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8920" yWindow="-120" windowWidth="24240" windowHeight="13740" activeTab="2"/>
  </bookViews>
  <sheets>
    <sheet name="Source Data" sheetId="1" r:id="rId1"/>
    <sheet name="Sheet1" sheetId="4" r:id="rId2"/>
    <sheet name="Sheet3" sheetId="6" r:id="rId3"/>
    <sheet name="Sheet2" sheetId="5" r:id="rId4"/>
    <sheet name="Work Data" sheetId="3" r:id="rId5"/>
  </sheets>
  <calcPr calcId="12451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2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2"/>
  <c r="X2" l="1"/>
  <c r="X473"/>
  <c r="X469"/>
  <c r="X465"/>
  <c r="X461"/>
  <c r="X457"/>
  <c r="X453"/>
  <c r="X449"/>
  <c r="X445"/>
  <c r="X441"/>
  <c r="X437"/>
  <c r="X433"/>
  <c r="X429"/>
  <c r="X425"/>
  <c r="X421"/>
  <c r="X417"/>
  <c r="X413"/>
  <c r="X409"/>
  <c r="X405"/>
  <c r="X401"/>
  <c r="X397"/>
  <c r="X393"/>
  <c r="X389"/>
  <c r="X385"/>
  <c r="X381"/>
  <c r="X377"/>
  <c r="X373"/>
  <c r="X369"/>
  <c r="X365"/>
  <c r="X361"/>
  <c r="X357"/>
  <c r="X353"/>
  <c r="X349"/>
  <c r="X345"/>
  <c r="X341"/>
  <c r="X337"/>
  <c r="X333"/>
  <c r="X329"/>
  <c r="X325"/>
  <c r="X321"/>
  <c r="X317"/>
  <c r="X313"/>
  <c r="X309"/>
  <c r="X305"/>
  <c r="X301"/>
  <c r="X297"/>
  <c r="X293"/>
  <c r="X289"/>
  <c r="X285"/>
  <c r="X281"/>
  <c r="X277"/>
  <c r="X273"/>
  <c r="X269"/>
  <c r="X265"/>
  <c r="X261"/>
  <c r="X257"/>
  <c r="X253"/>
  <c r="X249"/>
  <c r="X245"/>
  <c r="X241"/>
  <c r="X237"/>
  <c r="X233"/>
  <c r="X229"/>
  <c r="X225"/>
  <c r="X221"/>
  <c r="X217"/>
  <c r="X213"/>
  <c r="X209"/>
  <c r="X205"/>
  <c r="X201"/>
  <c r="X197"/>
  <c r="X193"/>
  <c r="X189"/>
  <c r="X185"/>
  <c r="X181"/>
  <c r="X177"/>
  <c r="X173"/>
  <c r="X169"/>
  <c r="X165"/>
  <c r="X161"/>
  <c r="X157"/>
  <c r="X153"/>
  <c r="X149"/>
  <c r="X145"/>
  <c r="X141"/>
  <c r="X137"/>
  <c r="X133"/>
  <c r="X129"/>
  <c r="X125"/>
  <c r="X121"/>
  <c r="X117"/>
  <c r="X113"/>
  <c r="X109"/>
  <c r="X105"/>
  <c r="X101"/>
  <c r="X97"/>
  <c r="X93"/>
  <c r="X89"/>
  <c r="X85"/>
  <c r="X81"/>
  <c r="X77"/>
  <c r="X73"/>
  <c r="X69"/>
  <c r="X65"/>
  <c r="X61"/>
  <c r="X57"/>
  <c r="X53"/>
  <c r="X49"/>
  <c r="X45"/>
  <c r="X41"/>
  <c r="X37"/>
  <c r="X33"/>
  <c r="X29"/>
  <c r="X25"/>
  <c r="X21"/>
  <c r="X17"/>
  <c r="X13"/>
  <c r="X9"/>
  <c r="X5"/>
  <c r="X474"/>
  <c r="X470"/>
  <c r="X466"/>
  <c r="X462"/>
  <c r="X458"/>
  <c r="X454"/>
  <c r="X450"/>
  <c r="X446"/>
  <c r="X442"/>
  <c r="X438"/>
  <c r="X434"/>
  <c r="X430"/>
  <c r="X426"/>
  <c r="X422"/>
  <c r="X418"/>
  <c r="X414"/>
  <c r="X410"/>
  <c r="X406"/>
  <c r="X402"/>
  <c r="X398"/>
  <c r="X394"/>
  <c r="X390"/>
  <c r="X386"/>
  <c r="X382"/>
  <c r="X378"/>
  <c r="X374"/>
  <c r="X370"/>
  <c r="X366"/>
  <c r="X362"/>
  <c r="X358"/>
  <c r="X354"/>
  <c r="X350"/>
  <c r="X346"/>
  <c r="X342"/>
  <c r="X338"/>
  <c r="X334"/>
  <c r="X330"/>
  <c r="X326"/>
  <c r="X322"/>
  <c r="X318"/>
  <c r="X314"/>
  <c r="X310"/>
  <c r="X306"/>
  <c r="X302"/>
  <c r="X298"/>
  <c r="X294"/>
  <c r="X290"/>
  <c r="X286"/>
  <c r="X282"/>
  <c r="X278"/>
  <c r="X274"/>
  <c r="X270"/>
  <c r="X266"/>
  <c r="X262"/>
  <c r="X258"/>
  <c r="X254"/>
  <c r="X250"/>
  <c r="X246"/>
  <c r="X242"/>
  <c r="X238"/>
  <c r="X234"/>
  <c r="X230"/>
  <c r="X226"/>
  <c r="X222"/>
  <c r="X218"/>
  <c r="X214"/>
  <c r="X210"/>
  <c r="X206"/>
  <c r="X202"/>
  <c r="X198"/>
  <c r="X194"/>
  <c r="X190"/>
  <c r="X186"/>
  <c r="X182"/>
  <c r="X178"/>
  <c r="X174"/>
  <c r="X170"/>
  <c r="X166"/>
  <c r="X162"/>
  <c r="X158"/>
  <c r="X154"/>
  <c r="X150"/>
  <c r="X146"/>
  <c r="X142"/>
  <c r="X138"/>
  <c r="X134"/>
  <c r="X130"/>
  <c r="X126"/>
  <c r="X122"/>
  <c r="X118"/>
  <c r="X114"/>
  <c r="X110"/>
  <c r="X106"/>
  <c r="X102"/>
  <c r="X98"/>
  <c r="X94"/>
  <c r="X90"/>
  <c r="X86"/>
  <c r="X82"/>
  <c r="X78"/>
  <c r="X74"/>
  <c r="X70"/>
  <c r="X66"/>
  <c r="X62"/>
  <c r="X58"/>
  <c r="X54"/>
  <c r="X50"/>
  <c r="X46"/>
  <c r="X42"/>
  <c r="X38"/>
  <c r="X34"/>
  <c r="X30"/>
  <c r="X26"/>
  <c r="X22"/>
  <c r="X18"/>
  <c r="X14"/>
  <c r="X10"/>
  <c r="X6"/>
  <c r="X475"/>
  <c r="X471"/>
  <c r="X467"/>
  <c r="X463"/>
  <c r="X459"/>
  <c r="X455"/>
  <c r="X451"/>
  <c r="X447"/>
  <c r="X443"/>
  <c r="X439"/>
  <c r="X435"/>
  <c r="X431"/>
  <c r="X427"/>
  <c r="X423"/>
  <c r="X419"/>
  <c r="X415"/>
  <c r="X411"/>
  <c r="X407"/>
  <c r="X403"/>
  <c r="X399"/>
  <c r="X395"/>
  <c r="X391"/>
  <c r="X387"/>
  <c r="X383"/>
  <c r="X379"/>
  <c r="X375"/>
  <c r="X371"/>
  <c r="X367"/>
  <c r="X363"/>
  <c r="X359"/>
  <c r="X355"/>
  <c r="X351"/>
  <c r="X347"/>
  <c r="X343"/>
  <c r="X339"/>
  <c r="X335"/>
  <c r="X331"/>
  <c r="X327"/>
  <c r="X323"/>
  <c r="X319"/>
  <c r="X315"/>
  <c r="X311"/>
  <c r="X307"/>
  <c r="X303"/>
  <c r="X299"/>
  <c r="X295"/>
  <c r="X291"/>
  <c r="X287"/>
  <c r="X283"/>
  <c r="X279"/>
  <c r="X275"/>
  <c r="X271"/>
  <c r="X267"/>
  <c r="X263"/>
  <c r="X259"/>
  <c r="X255"/>
  <c r="X251"/>
  <c r="X247"/>
  <c r="X243"/>
  <c r="X239"/>
  <c r="X235"/>
  <c r="X231"/>
  <c r="X227"/>
  <c r="X223"/>
  <c r="X219"/>
  <c r="X215"/>
  <c r="X211"/>
  <c r="X207"/>
  <c r="X203"/>
  <c r="X199"/>
  <c r="X195"/>
  <c r="X191"/>
  <c r="X187"/>
  <c r="X183"/>
  <c r="X179"/>
  <c r="X175"/>
  <c r="X171"/>
  <c r="X167"/>
  <c r="X163"/>
  <c r="X159"/>
  <c r="X155"/>
  <c r="X151"/>
  <c r="X147"/>
  <c r="X143"/>
  <c r="X139"/>
  <c r="X135"/>
  <c r="X131"/>
  <c r="X127"/>
  <c r="X123"/>
  <c r="X119"/>
  <c r="X115"/>
  <c r="X111"/>
  <c r="X107"/>
  <c r="X103"/>
  <c r="X99"/>
  <c r="X95"/>
  <c r="X91"/>
  <c r="X87"/>
  <c r="X83"/>
  <c r="X79"/>
  <c r="X75"/>
  <c r="X71"/>
  <c r="X67"/>
  <c r="X63"/>
  <c r="X59"/>
  <c r="X55"/>
  <c r="X51"/>
  <c r="X47"/>
  <c r="X43"/>
  <c r="X39"/>
  <c r="X35"/>
  <c r="X31"/>
  <c r="X27"/>
  <c r="X23"/>
  <c r="X19"/>
  <c r="X15"/>
  <c r="X11"/>
  <c r="X7"/>
  <c r="X3"/>
  <c r="X476"/>
  <c r="X472"/>
  <c r="X468"/>
  <c r="X464"/>
  <c r="X460"/>
  <c r="X456"/>
  <c r="X452"/>
  <c r="X448"/>
  <c r="X444"/>
  <c r="X440"/>
  <c r="X436"/>
  <c r="X432"/>
  <c r="X428"/>
  <c r="X424"/>
  <c r="X420"/>
  <c r="X416"/>
  <c r="X412"/>
  <c r="X408"/>
  <c r="X404"/>
  <c r="X400"/>
  <c r="X396"/>
  <c r="X392"/>
  <c r="X388"/>
  <c r="X384"/>
  <c r="X380"/>
  <c r="X376"/>
  <c r="X372"/>
  <c r="X368"/>
  <c r="X364"/>
  <c r="X360"/>
  <c r="X356"/>
  <c r="X352"/>
  <c r="X348"/>
  <c r="X344"/>
  <c r="X340"/>
  <c r="X336"/>
  <c r="X332"/>
  <c r="X328"/>
  <c r="X324"/>
  <c r="X320"/>
  <c r="X316"/>
  <c r="X312"/>
  <c r="X308"/>
  <c r="X304"/>
  <c r="X300"/>
  <c r="X296"/>
  <c r="X292"/>
  <c r="X288"/>
  <c r="X284"/>
  <c r="X280"/>
  <c r="X276"/>
  <c r="X272"/>
  <c r="X268"/>
  <c r="X264"/>
  <c r="X260"/>
  <c r="X256"/>
  <c r="X252"/>
  <c r="X248"/>
  <c r="X244"/>
  <c r="X240"/>
  <c r="X236"/>
  <c r="X232"/>
  <c r="X228"/>
  <c r="X224"/>
  <c r="X220"/>
  <c r="X216"/>
  <c r="X212"/>
  <c r="X208"/>
  <c r="X204"/>
  <c r="X200"/>
  <c r="X196"/>
  <c r="X192"/>
  <c r="X188"/>
  <c r="X184"/>
  <c r="X180"/>
  <c r="X176"/>
  <c r="X172"/>
  <c r="X168"/>
  <c r="X164"/>
  <c r="X160"/>
  <c r="X156"/>
  <c r="X152"/>
  <c r="X148"/>
  <c r="X144"/>
  <c r="X140"/>
  <c r="X136"/>
  <c r="X132"/>
  <c r="X128"/>
  <c r="X124"/>
  <c r="X120"/>
  <c r="X116"/>
  <c r="X112"/>
  <c r="X108"/>
  <c r="X104"/>
  <c r="X100"/>
  <c r="X96"/>
  <c r="X92"/>
  <c r="X88"/>
  <c r="X84"/>
  <c r="X80"/>
  <c r="X76"/>
  <c r="X72"/>
  <c r="X68"/>
  <c r="X64"/>
  <c r="X60"/>
  <c r="X56"/>
  <c r="X52"/>
  <c r="X48"/>
  <c r="X44"/>
  <c r="X40"/>
  <c r="X36"/>
  <c r="X32"/>
  <c r="X28"/>
  <c r="X24"/>
  <c r="X20"/>
  <c r="X16"/>
  <c r="X12"/>
  <c r="X8"/>
  <c r="X4"/>
</calcChain>
</file>

<file path=xl/sharedStrings.xml><?xml version="1.0" encoding="utf-8"?>
<sst xmlns="http://schemas.openxmlformats.org/spreadsheetml/2006/main" count="10365" uniqueCount="1812">
  <si>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</si>
  <si>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</si>
  <si>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</si>
  <si>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</si>
  <si>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</si>
  <si>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</si>
  <si>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</si>
  <si>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</si>
  <si>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</si>
  <si>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</si>
  <si>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</si>
  <si>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</si>
  <si>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</si>
  <si>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</si>
  <si>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</si>
  <si>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</si>
  <si>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</si>
  <si>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</si>
  <si>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</si>
  <si>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</si>
  <si>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</si>
  <si>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</si>
  <si>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</si>
  <si>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</si>
  <si>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</si>
  <si>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</si>
  <si>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</si>
  <si>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</si>
  <si>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</si>
  <si>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</si>
  <si>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</si>
  <si>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</si>
  <si>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</si>
  <si>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</si>
  <si>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</si>
  <si>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</si>
  <si>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</si>
  <si>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</si>
  <si>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</si>
  <si>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</si>
  <si>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</si>
  <si>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</si>
  <si>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</si>
  <si>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</si>
  <si>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</si>
  <si>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</si>
  <si>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</si>
  <si>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</si>
  <si>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</si>
  <si>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</si>
  <si>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</si>
  <si>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</si>
  <si>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</si>
  <si>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</si>
  <si>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</si>
  <si>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</si>
  <si>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</si>
  <si>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</si>
  <si>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</si>
  <si>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</si>
  <si>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</si>
  <si>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</si>
  <si>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</si>
  <si>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</si>
  <si>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</si>
  <si>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</si>
  <si>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</si>
  <si>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</si>
  <si>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</si>
  <si>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</si>
  <si>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</si>
  <si>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</si>
  <si>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</si>
  <si>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</si>
  <si>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</si>
  <si>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</si>
  <si>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</si>
  <si>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</si>
  <si>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</si>
  <si>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</si>
  <si>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</si>
  <si>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</si>
  <si>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</si>
  <si>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</si>
  <si>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</si>
  <si>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</si>
  <si>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</si>
  <si>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</si>
  <si>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</si>
  <si>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</si>
  <si>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</si>
  <si>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</si>
  <si>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</si>
  <si>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</si>
  <si>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</si>
  <si>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</si>
  <si>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</si>
  <si>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</si>
  <si>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</si>
  <si>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</si>
  <si>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</si>
  <si>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</si>
  <si>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</si>
  <si>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</si>
  <si>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</si>
  <si>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</si>
  <si>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</si>
  <si>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</si>
  <si>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</si>
  <si>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</si>
  <si>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</si>
  <si>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</si>
  <si>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</si>
  <si>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</si>
  <si>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</si>
  <si>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</si>
  <si>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</si>
  <si>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</si>
  <si>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</si>
  <si>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</si>
  <si>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</si>
  <si>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</si>
  <si>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</si>
  <si>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</si>
  <si>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</si>
  <si>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</si>
  <si>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</si>
  <si>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</si>
  <si>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</si>
  <si>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</si>
  <si>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</si>
  <si>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</si>
  <si>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</si>
  <si>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</si>
  <si>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</si>
  <si>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</si>
  <si>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</si>
  <si>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</si>
  <si>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</si>
  <si>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</si>
  <si>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</si>
  <si>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</si>
  <si>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</si>
  <si>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</si>
  <si>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</si>
  <si>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</si>
  <si>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</si>
  <si>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</si>
  <si>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</si>
  <si>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</si>
  <si>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</si>
  <si>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</si>
  <si>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</si>
  <si>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</si>
  <si>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</si>
  <si>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</si>
  <si>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</si>
  <si>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</si>
  <si>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</si>
  <si>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</si>
  <si>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</si>
  <si>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</si>
  <si>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</si>
  <si>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</si>
  <si>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</si>
  <si>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</si>
  <si>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</si>
  <si>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</si>
  <si>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</si>
  <si>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</si>
  <si>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</si>
  <si>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</si>
  <si>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</si>
  <si>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</si>
  <si>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</si>
  <si>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</si>
  <si>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</si>
  <si>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</si>
  <si>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</si>
  <si>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</si>
  <si>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</si>
  <si>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</si>
  <si>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</si>
  <si>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</si>
  <si>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</si>
  <si>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</si>
  <si>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</si>
  <si>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</si>
  <si>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</si>
  <si>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</si>
  <si>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</si>
  <si>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</si>
  <si>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</si>
  <si>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</si>
  <si>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</si>
  <si>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</si>
  <si>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</si>
  <si>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</si>
  <si>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</si>
  <si>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</si>
  <si>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</si>
  <si>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</si>
  <si>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</si>
  <si>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</si>
  <si>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</si>
  <si>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</si>
  <si>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</si>
  <si>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</si>
  <si>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</si>
  <si>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</si>
  <si>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</si>
  <si>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</si>
  <si>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</si>
  <si>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</si>
  <si>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</si>
  <si>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</si>
  <si>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</si>
  <si>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</si>
  <si>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</si>
  <si>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</si>
  <si>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</si>
  <si>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</si>
  <si>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</si>
  <si>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</si>
  <si>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</si>
  <si>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</si>
  <si>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</si>
  <si>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</si>
  <si>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</si>
  <si>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</si>
  <si>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</si>
  <si>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</si>
  <si>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</si>
  <si>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</si>
  <si>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</si>
  <si>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</si>
  <si>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</si>
  <si>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</si>
  <si>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</si>
  <si>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</si>
  <si>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</si>
  <si>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</si>
  <si>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</si>
  <si>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</si>
  <si>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</si>
  <si>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</si>
  <si>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</si>
  <si>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</si>
  <si>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</si>
  <si>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</si>
  <si>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</si>
  <si>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</si>
  <si>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</si>
  <si>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</si>
  <si>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</si>
  <si>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</si>
  <si>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</si>
  <si>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</si>
  <si>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</si>
  <si>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</si>
  <si>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</si>
  <si>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</si>
  <si>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</si>
  <si>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</si>
  <si>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</si>
  <si>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</si>
  <si>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</si>
  <si>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</si>
  <si>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</si>
  <si>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</si>
  <si>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</si>
  <si>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</si>
  <si>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</si>
  <si>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</si>
  <si>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</si>
  <si>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</si>
  <si>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</si>
  <si>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</si>
  <si>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</si>
  <si>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</si>
  <si>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</si>
  <si>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</si>
  <si>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</si>
  <si>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</si>
  <si>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</si>
  <si>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</si>
  <si>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</si>
  <si>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</si>
  <si>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</si>
  <si>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</si>
  <si>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</si>
  <si>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</si>
  <si>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</si>
  <si>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</si>
  <si>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</si>
  <si>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</si>
  <si>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</si>
  <si>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</si>
  <si>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</si>
  <si>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</si>
  <si>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</si>
  <si>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</si>
  <si>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</si>
  <si>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</si>
  <si>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</si>
  <si>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</si>
  <si>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</si>
  <si>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</si>
  <si>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</si>
  <si>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</si>
  <si>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</si>
  <si>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</si>
  <si>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</si>
  <si>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</si>
  <si>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</si>
  <si>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</si>
  <si>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</si>
  <si>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</si>
  <si>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</si>
  <si>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</si>
  <si>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</si>
  <si>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</si>
  <si>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</si>
  <si>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</si>
  <si>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</si>
  <si>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</si>
  <si>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</si>
  <si>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</si>
  <si>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</si>
  <si>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</si>
  <si>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</si>
  <si>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</si>
  <si>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</si>
  <si>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</si>
  <si>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</si>
  <si>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</si>
  <si>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</si>
  <si>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</si>
  <si>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</si>
  <si>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</si>
  <si>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</si>
  <si>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</si>
  <si>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</si>
  <si>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</si>
  <si>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</si>
  <si>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</si>
  <si>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</si>
  <si>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</si>
  <si>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</si>
  <si>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</si>
  <si>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</si>
  <si>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</si>
  <si>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</si>
  <si>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</si>
  <si>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</si>
  <si>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</si>
  <si>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</si>
  <si>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</si>
  <si>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</si>
  <si>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</si>
  <si>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</si>
  <si>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</si>
  <si>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</si>
  <si>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</si>
  <si>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</si>
  <si>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</si>
  <si>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</si>
  <si>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</si>
  <si>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</si>
  <si>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</si>
  <si>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</si>
  <si>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</si>
  <si>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</si>
  <si>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</si>
  <si>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</si>
  <si>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</si>
  <si>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</si>
  <si>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</si>
  <si>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</si>
  <si>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</si>
  <si>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</si>
  <si>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</si>
  <si>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</si>
  <si>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</si>
  <si>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</si>
  <si>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</si>
  <si>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</si>
  <si>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</si>
  <si>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</si>
  <si>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</si>
  <si>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</si>
  <si>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</si>
  <si>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</si>
  <si>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</si>
  <si>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</si>
  <si>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</si>
  <si>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</si>
  <si>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</si>
  <si>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</si>
  <si>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</si>
  <si>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</si>
  <si>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</si>
  <si>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</si>
  <si>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</si>
  <si>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</si>
  <si>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</si>
  <si>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</si>
  <si>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</si>
  <si>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</si>
  <si>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</si>
  <si>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</si>
  <si>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</si>
  <si>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</si>
  <si>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</si>
  <si>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</si>
  <si>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</si>
  <si>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</si>
  <si>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</si>
  <si>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</si>
  <si>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</si>
  <si>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</si>
  <si>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</si>
  <si>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</si>
  <si>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</si>
  <si>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</si>
  <si>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</si>
  <si>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</si>
  <si>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</si>
  <si>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</si>
  <si>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</si>
  <si>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</si>
  <si>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</si>
  <si>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</si>
  <si>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</si>
  <si>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</si>
  <si>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</si>
  <si>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</si>
  <si>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</si>
  <si>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</si>
  <si>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</si>
  <si>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</si>
  <si>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</si>
  <si>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</si>
  <si>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</si>
  <si>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</si>
  <si>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</si>
  <si>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</si>
  <si>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</si>
  <si>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</si>
  <si>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</si>
  <si>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</si>
  <si>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</si>
  <si>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</si>
  <si>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</si>
  <si>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</si>
  <si>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</si>
  <si>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</si>
  <si>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</si>
  <si>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</si>
  <si>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</si>
  <si>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</si>
  <si>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</si>
  <si>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</si>
  <si>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</si>
  <si>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</si>
  <si>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</si>
  <si>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</si>
  <si>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</si>
  <si>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</si>
  <si>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</si>
  <si>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</si>
  <si>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</si>
  <si>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</si>
  <si>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</si>
  <si>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</si>
  <si>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</si>
  <si>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</si>
  <si>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</si>
  <si>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</si>
  <si>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</si>
  <si>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</si>
  <si>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</si>
  <si>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</si>
  <si>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</si>
  <si>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</si>
  <si>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</si>
  <si>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</si>
  <si>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</si>
  <si>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</si>
  <si>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</si>
  <si>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</si>
  <si>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</si>
  <si>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</si>
  <si>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</si>
  <si>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</si>
  <si>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</si>
  <si>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</si>
  <si>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</si>
  <si>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</si>
  <si>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</si>
  <si>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</si>
  <si>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</si>
  <si>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</si>
  <si>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</si>
  <si>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</si>
  <si>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</si>
  <si>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</si>
  <si>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</si>
  <si>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</si>
  <si>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</si>
  <si>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</si>
  <si>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</si>
  <si>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</si>
  <si>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</si>
  <si>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</si>
  <si>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</si>
  <si>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</si>
  <si>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</si>
  <si>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</si>
  <si>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</si>
  <si>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</si>
  <si>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</si>
  <si>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</si>
  <si>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</si>
  <si>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</si>
  <si>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</si>
  <si>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</si>
  <si>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</si>
  <si>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</si>
  <si>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</si>
  <si>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</si>
  <si>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</si>
  <si>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</si>
  <si>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</si>
  <si>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</si>
  <si>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</si>
  <si>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</si>
  <si>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</si>
  <si>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</si>
  <si>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</si>
  <si>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</si>
  <si>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</si>
  <si>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</si>
  <si>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</si>
  <si>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</si>
  <si>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</si>
  <si>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</si>
  <si>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</si>
  <si>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</si>
  <si>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</si>
  <si>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</si>
  <si>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</si>
  <si>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</si>
  <si>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</si>
  <si>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</si>
  <si>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</si>
  <si>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</si>
  <si>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</si>
  <si>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</si>
  <si>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</si>
  <si>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</si>
  <si>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</si>
  <si>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</si>
  <si>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</si>
  <si>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</si>
  <si>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</si>
  <si>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</si>
  <si>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</si>
  <si>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</si>
  <si>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</si>
  <si>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</si>
  <si>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</si>
  <si>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</si>
  <si>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</si>
  <si>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</si>
  <si>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</si>
  <si>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</si>
  <si>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</si>
  <si>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</si>
  <si>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</si>
  <si>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</si>
  <si>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</si>
  <si>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</si>
  <si>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</si>
  <si>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</si>
  <si>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</si>
  <si>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</si>
  <si>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</si>
  <si>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</si>
  <si>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</si>
  <si>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</si>
  <si>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</si>
  <si>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</si>
  <si>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</si>
  <si>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</si>
  <si>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</si>
  <si>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</si>
  <si>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</si>
  <si>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</si>
  <si>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</si>
  <si>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</si>
  <si>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</si>
  <si>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</si>
  <si>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</si>
  <si>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</si>
  <si>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</si>
  <si>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</si>
  <si>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</si>
  <si>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</si>
  <si>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</si>
  <si>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</si>
  <si>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</si>
  <si>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</si>
  <si>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</si>
  <si>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</si>
  <si>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</si>
  <si>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</si>
  <si>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</si>
  <si>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</si>
  <si>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</si>
  <si>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</si>
  <si>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</si>
  <si>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</si>
  <si>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</si>
  <si>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</si>
  <si>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</si>
  <si>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</si>
  <si>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</si>
  <si>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</si>
  <si>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</si>
  <si>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</si>
  <si>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</si>
  <si>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</si>
  <si>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</si>
  <si>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</si>
  <si>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</si>
  <si>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</si>
  <si>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</si>
  <si>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</si>
  <si>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</si>
  <si>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</si>
  <si>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</si>
  <si>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</si>
  <si>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</si>
  <si>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</si>
  <si>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</si>
  <si>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</si>
  <si>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</si>
  <si>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</si>
  <si>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</si>
  <si>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</si>
  <si>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</si>
  <si>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</si>
  <si>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</si>
  <si>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</si>
  <si>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</si>
  <si>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</si>
  <si>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</si>
  <si>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</si>
  <si>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</si>
  <si>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</si>
  <si>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</si>
  <si>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</si>
  <si>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</si>
  <si>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</si>
  <si>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</si>
  <si>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</si>
  <si>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</si>
  <si>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</si>
  <si>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</si>
  <si>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</si>
  <si>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</si>
  <si>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</si>
  <si>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</si>
  <si>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</si>
  <si>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</si>
  <si>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</si>
  <si>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</si>
  <si>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</si>
  <si>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</si>
  <si>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</si>
  <si>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</si>
  <si>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</si>
  <si>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</si>
  <si>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</si>
  <si>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</si>
  <si>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</si>
  <si>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</si>
  <si>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</si>
  <si>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</si>
  <si>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</si>
  <si>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</si>
  <si>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</si>
  <si>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</si>
  <si>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</si>
  <si>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</si>
  <si>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</si>
  <si>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</si>
  <si>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</si>
  <si>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</si>
  <si>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</si>
  <si>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</si>
  <si>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</si>
  <si>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</si>
  <si>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</si>
  <si>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</si>
  <si>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</si>
  <si>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</si>
  <si>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</si>
  <si>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</si>
  <si>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</si>
  <si>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</si>
  <si>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</si>
  <si>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</si>
  <si>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</si>
  <si>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</si>
  <si>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</si>
  <si>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</si>
  <si>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</si>
  <si>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</si>
  <si>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</si>
  <si>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</si>
  <si>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</si>
  <si>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</si>
  <si>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</si>
  <si>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</si>
  <si>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</si>
  <si>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</si>
  <si>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</si>
  <si>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</si>
  <si>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</si>
  <si>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</si>
  <si>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</si>
  <si>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</si>
  <si>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</si>
  <si>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</si>
  <si>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</si>
  <si>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</si>
  <si>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</si>
  <si>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</si>
  <si>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</si>
  <si>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</si>
  <si>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</si>
  <si>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</si>
  <si>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</si>
  <si>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</si>
  <si>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</si>
  <si>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</si>
  <si>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</si>
  <si>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</si>
  <si>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</si>
  <si>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</si>
  <si>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</si>
  <si>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</si>
  <si>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</si>
  <si>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</si>
  <si>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</si>
  <si>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</si>
  <si>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</si>
  <si>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</si>
  <si>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</si>
  <si>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</si>
  <si>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</si>
  <si>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</si>
  <si>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</si>
  <si>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</si>
  <si>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</si>
  <si>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</si>
  <si>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</si>
  <si>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</si>
  <si>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</si>
  <si>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</si>
  <si>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</si>
  <si>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</si>
  <si>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</si>
  <si>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</si>
  <si>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</si>
  <si>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</si>
  <si>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</si>
  <si>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</si>
  <si>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</si>
  <si>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</si>
  <si>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</si>
  <si>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</si>
  <si>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</si>
  <si>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</si>
  <si>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</si>
  <si>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</si>
  <si>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</si>
  <si>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</si>
  <si>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</si>
  <si>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</si>
  <si>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</si>
  <si>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</si>
  <si>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</si>
  <si>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</si>
  <si>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</si>
  <si>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</si>
  <si>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</si>
  <si>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</si>
  <si>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</si>
  <si>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</si>
  <si>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</si>
  <si>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</si>
  <si>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</si>
  <si>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</si>
  <si>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</si>
  <si>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</si>
  <si>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</si>
  <si>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</si>
  <si>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</si>
  <si>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</si>
  <si>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</si>
  <si>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</si>
  <si>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</si>
  <si>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</si>
  <si>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</si>
  <si>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</si>
  <si>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</si>
  <si>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</si>
  <si>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</si>
  <si>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</si>
  <si>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</si>
  <si>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</si>
  <si>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</si>
  <si>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</si>
  <si>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</si>
  <si>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</si>
  <si>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</si>
  <si>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</si>
  <si>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</si>
  <si>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</si>
  <si>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</si>
  <si>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</si>
  <si>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</si>
  <si>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</si>
  <si>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</si>
  <si>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</si>
  <si>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</si>
  <si>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</si>
  <si>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</si>
  <si>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</si>
  <si>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</si>
  <si>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</si>
  <si>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</si>
  <si>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</si>
  <si>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</si>
  <si>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</si>
  <si>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</si>
  <si>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</si>
  <si>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</si>
  <si>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</si>
  <si>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</si>
  <si>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</si>
  <si>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</si>
  <si>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</si>
  <si>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</si>
  <si>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</si>
  <si>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</si>
  <si>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</si>
  <si>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</si>
  <si>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</si>
  <si>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</si>
  <si>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</si>
  <si>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</si>
  <si>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</si>
  <si>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</si>
  <si>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</si>
  <si>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</si>
  <si>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</si>
  <si>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</si>
  <si>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</si>
  <si>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</si>
  <si>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</si>
  <si>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</si>
  <si>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</si>
  <si>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</si>
  <si>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</si>
  <si>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</si>
  <si>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</si>
  <si>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</si>
  <si>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</si>
  <si>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</si>
  <si>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</si>
  <si>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</si>
  <si>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</si>
  <si>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</si>
  <si>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</si>
  <si>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</si>
  <si>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</si>
  <si>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</si>
  <si>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</si>
  <si>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</si>
  <si>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</si>
  <si>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</si>
  <si>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</si>
  <si>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</si>
  <si>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</si>
  <si>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</si>
  <si>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</si>
  <si>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</si>
  <si>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</si>
  <si>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</si>
  <si>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</si>
  <si>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</si>
  <si>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</si>
  <si>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</si>
  <si>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</si>
  <si>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</si>
  <si>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</si>
  <si>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</si>
  <si>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</si>
  <si>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</si>
  <si>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</si>
  <si>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</si>
  <si>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</si>
  <si>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</si>
  <si>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</si>
  <si>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</si>
  <si>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</si>
  <si>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</si>
  <si>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</si>
  <si>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</si>
  <si>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</si>
  <si>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</si>
  <si>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</si>
  <si>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</si>
  <si>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</si>
  <si>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</si>
  <si>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</si>
  <si>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</si>
  <si>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</si>
  <si>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</si>
  <si>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</si>
  <si>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</si>
  <si>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</si>
  <si>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</si>
  <si>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</si>
  <si>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</si>
  <si>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</si>
  <si>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</si>
  <si>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</si>
  <si>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</si>
  <si>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</si>
  <si>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</si>
  <si>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</si>
  <si>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</si>
  <si>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</si>
  <si>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</si>
  <si>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</si>
  <si>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</si>
  <si>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</si>
  <si>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</si>
  <si>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</si>
  <si>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</si>
  <si>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</si>
  <si>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</si>
  <si>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</si>
  <si>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</si>
  <si>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</si>
  <si>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</si>
  <si>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</si>
  <si>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</si>
  <si>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</si>
  <si>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</si>
  <si>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</si>
  <si>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</si>
  <si>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</si>
  <si>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</si>
  <si>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</si>
  <si>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</si>
  <si>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</si>
  <si>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</si>
  <si>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</si>
  <si>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</si>
  <si>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</si>
  <si>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</si>
  <si>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</si>
  <si>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</si>
  <si>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</si>
  <si>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</si>
  <si>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</si>
  <si>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</si>
  <si>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</si>
  <si>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</si>
  <si>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</si>
  <si>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</si>
  <si>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</si>
  <si>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</si>
  <si>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</si>
  <si>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</si>
  <si>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</si>
  <si>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</si>
  <si>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</si>
  <si>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</si>
  <si>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</si>
  <si>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</si>
  <si>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</si>
  <si>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</si>
  <si>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</si>
  <si>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</si>
  <si>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</si>
  <si>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</si>
  <si>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</si>
  <si>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</si>
  <si>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</si>
  <si>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</si>
  <si>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</si>
  <si>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</si>
  <si>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</si>
  <si>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</si>
  <si>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</si>
  <si>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</si>
  <si>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</si>
  <si>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</si>
  <si>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</si>
  <si>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</si>
  <si>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</si>
  <si>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</si>
  <si>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</si>
  <si>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</si>
  <si>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</si>
  <si>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</si>
  <si>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</si>
  <si>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</si>
  <si>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</si>
  <si>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</si>
  <si>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</si>
  <si>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</si>
  <si>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</si>
  <si>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</si>
  <si>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</si>
  <si>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</si>
  <si>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</si>
  <si>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</si>
  <si>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</si>
  <si>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</si>
  <si>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</si>
  <si>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</si>
  <si>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</si>
  <si>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</si>
  <si>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</si>
  <si>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</si>
  <si>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</si>
  <si>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</si>
  <si>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</si>
  <si>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</si>
  <si>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</si>
  <si>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</si>
  <si>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</si>
  <si>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</si>
  <si>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</si>
  <si>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</si>
  <si>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</si>
  <si>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</si>
  <si>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</si>
  <si>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</si>
  <si>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</si>
  <si>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</si>
  <si>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</si>
  <si>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</si>
  <si>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</si>
  <si>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</si>
  <si>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</si>
  <si>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</si>
  <si>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</si>
  <si>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</si>
  <si>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</si>
  <si>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</si>
  <si>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</si>
  <si>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</si>
  <si>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</si>
  <si>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</si>
  <si>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</si>
  <si>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</si>
  <si>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</si>
  <si>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</si>
  <si>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</si>
  <si>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</si>
  <si>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</si>
  <si>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</si>
  <si>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</si>
  <si>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</si>
  <si>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</si>
  <si>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</si>
  <si>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</si>
  <si>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</si>
  <si>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</si>
  <si>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</si>
  <si>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</si>
  <si>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</si>
  <si>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</si>
  <si>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</si>
  <si>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</si>
  <si>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</si>
  <si>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</si>
  <si>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</si>
  <si>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</si>
  <si>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</si>
  <si>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</si>
  <si>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</si>
  <si>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</si>
  <si>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</si>
  <si>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</si>
  <si>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</si>
  <si>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</si>
  <si>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</si>
  <si>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</si>
  <si>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</si>
  <si>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</si>
  <si>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</si>
  <si>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</si>
  <si>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</si>
  <si>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</si>
  <si>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</si>
  <si>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</si>
  <si>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</si>
  <si>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</si>
  <si>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</si>
  <si>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</si>
  <si>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</si>
  <si>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</si>
  <si>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</si>
  <si>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</si>
  <si>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</si>
  <si>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</si>
  <si>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</si>
  <si>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</si>
  <si>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</si>
  <si>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</si>
  <si>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</si>
  <si>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</si>
  <si>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</si>
  <si>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</si>
  <si>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</si>
  <si>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</si>
  <si>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</si>
  <si>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</si>
  <si>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</si>
  <si>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</si>
  <si>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</si>
  <si>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</si>
  <si>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</si>
  <si>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</si>
  <si>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</si>
  <si>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</si>
  <si>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</si>
  <si>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</si>
  <si>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</si>
  <si>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</si>
  <si>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</si>
  <si>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</si>
  <si>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</si>
  <si>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</si>
  <si>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</si>
  <si>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</si>
  <si>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</si>
  <si>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</si>
  <si>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</si>
  <si>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</si>
  <si>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</si>
  <si>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</si>
  <si>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</si>
  <si>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</si>
  <si>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</si>
  <si>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</si>
  <si>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</si>
  <si>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</si>
  <si>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</si>
  <si>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</si>
  <si>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</si>
  <si>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</si>
  <si>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</si>
  <si>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</si>
  <si>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</si>
  <si>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</si>
  <si>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</si>
  <si>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</si>
  <si>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</si>
  <si>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</si>
  <si>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</si>
  <si>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</si>
  <si>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</si>
  <si>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</si>
  <si>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</si>
  <si>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</si>
  <si>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</si>
  <si>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</si>
  <si>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</si>
  <si>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</si>
  <si>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</si>
  <si>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</si>
  <si>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</si>
  <si>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</si>
  <si>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</si>
  <si>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</si>
  <si>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</si>
  <si>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</si>
  <si>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</si>
  <si>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</si>
  <si>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</si>
  <si>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</si>
  <si>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</si>
  <si>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</si>
  <si>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</si>
  <si>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</si>
  <si>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</si>
  <si>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</si>
  <si>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</si>
  <si>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</si>
  <si>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</si>
  <si>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</si>
  <si>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</si>
  <si>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</si>
  <si>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</si>
  <si>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</si>
  <si>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</si>
  <si>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</si>
  <si>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</si>
  <si>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</si>
  <si>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</si>
  <si>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</si>
  <si>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</si>
  <si>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</si>
  <si>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</si>
  <si>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</si>
  <si>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</si>
  <si>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</si>
  <si>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</si>
  <si>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</si>
  <si>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</si>
  <si>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</si>
  <si>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</si>
  <si>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</si>
  <si>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</si>
  <si>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</si>
  <si>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</si>
  <si>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</si>
  <si>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</si>
  <si>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</si>
  <si>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</si>
  <si>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</si>
  <si>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</si>
  <si>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</si>
  <si>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</si>
  <si>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</si>
  <si>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</si>
  <si>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</si>
  <si>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</si>
  <si>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</si>
  <si>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</si>
  <si>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</si>
  <si>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</si>
  <si>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</si>
  <si>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</si>
  <si>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</si>
  <si>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</si>
  <si>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</si>
  <si>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</si>
  <si>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</si>
  <si>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</si>
  <si>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</si>
  <si>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</si>
  <si>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</si>
  <si>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</si>
  <si>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</si>
  <si>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</si>
  <si>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</si>
  <si>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</si>
  <si>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</si>
  <si>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</si>
  <si>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</si>
  <si>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</si>
  <si>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</si>
  <si>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</si>
  <si>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</si>
  <si>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</si>
  <si>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</si>
  <si>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</si>
  <si>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</si>
  <si>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</si>
  <si>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</si>
  <si>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</si>
  <si>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</si>
  <si>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</si>
  <si>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</si>
  <si>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</si>
  <si>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</si>
  <si>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</si>
  <si>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</si>
  <si>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</si>
  <si>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</si>
  <si>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</si>
  <si>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</si>
  <si>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</si>
  <si>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</si>
  <si>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</si>
  <si>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</si>
  <si>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</si>
  <si>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</si>
  <si>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</si>
  <si>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</si>
  <si>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</si>
  <si>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</si>
  <si>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</si>
  <si>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</si>
  <si>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</si>
  <si>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</si>
  <si>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</si>
  <si>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</si>
  <si>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</si>
  <si>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</si>
  <si>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</si>
  <si>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</si>
  <si>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</si>
  <si>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</si>
  <si>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</si>
  <si>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</si>
  <si>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</si>
  <si>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</si>
  <si>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</si>
  <si>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</si>
  <si>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</si>
  <si>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</si>
  <si>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</si>
  <si>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</si>
  <si>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</si>
  <si>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</si>
  <si>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</si>
  <si>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</si>
  <si>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</si>
  <si>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</si>
  <si>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</si>
  <si>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</si>
  <si>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</si>
  <si>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</si>
  <si>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</si>
  <si>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</si>
  <si>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</si>
  <si>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</si>
  <si>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</si>
  <si>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</si>
  <si>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</si>
  <si>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</si>
  <si>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</si>
  <si>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</si>
  <si>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</si>
  <si>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</si>
  <si>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</si>
  <si>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</si>
  <si>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</si>
  <si>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</si>
  <si>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</si>
  <si>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</si>
  <si>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</si>
  <si>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</si>
  <si>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</si>
  <si>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</si>
  <si>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</si>
  <si>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</si>
  <si>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</si>
  <si>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</si>
  <si>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</si>
  <si>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</si>
  <si>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</si>
  <si>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</si>
  <si>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</si>
  <si>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</si>
  <si>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</si>
  <si>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</si>
  <si>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</si>
  <si>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</si>
  <si>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</si>
  <si>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</si>
  <si>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</si>
  <si>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</si>
  <si>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</si>
  <si>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</si>
  <si>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</si>
  <si>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</si>
  <si>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</si>
  <si>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</si>
  <si>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</si>
  <si>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</si>
  <si>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</si>
  <si>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</si>
  <si>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</si>
  <si>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</si>
  <si>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</si>
  <si>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</si>
  <si>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</si>
  <si>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</si>
  <si>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</si>
  <si>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</si>
  <si>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</si>
  <si>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</si>
  <si>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</si>
  <si>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</si>
  <si>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</si>
  <si>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</si>
  <si>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</si>
  <si>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</si>
  <si>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</si>
  <si>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</si>
  <si>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</si>
  <si>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</si>
  <si>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</si>
  <si>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</si>
  <si>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</si>
  <si>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</si>
  <si>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</si>
  <si>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</si>
  <si>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</si>
  <si>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</si>
  <si>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</si>
  <si>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</si>
  <si>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</si>
  <si>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</si>
  <si>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</si>
  <si>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</si>
  <si>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</si>
  <si>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</si>
  <si>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</si>
  <si>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</si>
  <si>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</si>
  <si>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</si>
  <si>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</si>
  <si>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</si>
  <si>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</si>
  <si>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</si>
  <si>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</si>
  <si>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</si>
  <si>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</si>
  <si>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</si>
  <si>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</si>
  <si>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</si>
  <si>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</si>
  <si>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</si>
  <si>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</si>
  <si>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</si>
  <si>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</si>
  <si>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</si>
  <si>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</si>
  <si>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</si>
  <si>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</si>
  <si>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</si>
  <si>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</si>
  <si>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</si>
  <si>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</si>
  <si>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</si>
  <si>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</si>
  <si>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</si>
  <si>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</si>
  <si>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</si>
  <si>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</si>
  <si>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</si>
  <si>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</si>
  <si>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</si>
  <si>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</si>
  <si>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</si>
  <si>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</si>
  <si>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</si>
  <si>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</si>
  <si>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</si>
  <si>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</si>
  <si>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</si>
  <si>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</si>
  <si>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</si>
  <si>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</si>
  <si>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</si>
  <si>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</si>
  <si>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</si>
  <si>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</si>
  <si>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</si>
  <si>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</si>
  <si>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</si>
  <si>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</si>
  <si>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</si>
  <si>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</si>
  <si>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</si>
  <si>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</si>
  <si>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</si>
  <si>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</si>
  <si>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</si>
  <si>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</si>
  <si>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</si>
  <si>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</si>
  <si>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</si>
  <si>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</si>
  <si>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</si>
  <si>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</si>
  <si>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</si>
  <si>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</si>
  <si>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</si>
  <si>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</si>
  <si>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</si>
  <si>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</si>
  <si>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</si>
  <si>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</si>
  <si>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</si>
  <si>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</si>
  <si>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</si>
  <si>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</si>
  <si>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</si>
  <si>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</si>
  <si>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</si>
  <si>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</si>
  <si>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</si>
  <si>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</si>
  <si>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</si>
  <si>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</si>
  <si>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</si>
  <si>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</si>
  <si>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</si>
  <si>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</si>
  <si>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</si>
  <si>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</si>
  <si>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</si>
  <si>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</si>
  <si>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</si>
  <si>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</si>
  <si>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</si>
  <si>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</si>
  <si>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</si>
  <si>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</si>
  <si>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</si>
  <si>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</si>
  <si>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</si>
  <si>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</si>
  <si>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</si>
  <si>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</si>
  <si>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</si>
  <si>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</si>
  <si>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</si>
  <si>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</si>
  <si>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</si>
  <si>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</si>
  <si>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</si>
  <si>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</si>
  <si>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</si>
  <si>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</si>
  <si>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</si>
  <si>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</si>
  <si>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</si>
  <si>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</si>
  <si>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</si>
  <si>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</si>
  <si>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</si>
  <si>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</si>
  <si>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</si>
  <si>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</si>
  <si>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</si>
  <si>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</si>
  <si>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</si>
  <si>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</si>
  <si>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</si>
  <si>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</si>
  <si>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</si>
  <si>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</si>
  <si>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</si>
  <si>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</si>
  <si>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</si>
  <si>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</si>
  <si>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</si>
  <si>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</si>
  <si>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</si>
  <si>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</si>
  <si>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</si>
  <si>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</si>
  <si>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</si>
  <si>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</si>
  <si>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</si>
  <si>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</si>
  <si>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</si>
  <si>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</si>
  <si>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</si>
  <si>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</si>
  <si>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</si>
  <si>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</si>
  <si>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</si>
  <si>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</si>
  <si>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</si>
  <si>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</si>
  <si>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</si>
  <si>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</si>
  <si>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</si>
  <si>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</si>
  <si>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</si>
  <si>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</si>
  <si>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</si>
  <si>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</si>
  <si>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</si>
  <si>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</si>
  <si>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</si>
  <si>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</si>
  <si>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</si>
  <si>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</si>
  <si>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</si>
  <si>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</si>
  <si>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</si>
  <si>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</si>
  <si>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</si>
  <si>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</si>
  <si>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</si>
  <si>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</si>
  <si>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</si>
  <si>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</si>
  <si>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</si>
  <si>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</si>
  <si>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</si>
  <si>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</si>
  <si>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</si>
  <si>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</si>
  <si>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</si>
  <si>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</si>
  <si>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</si>
  <si>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</si>
  <si>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</si>
  <si>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</si>
  <si>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</si>
  <si>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</si>
  <si>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</si>
  <si>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</si>
  <si>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</si>
  <si>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</si>
  <si>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</si>
  <si>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</si>
  <si>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</si>
  <si>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</si>
  <si>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</si>
  <si>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</si>
  <si>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</si>
  <si>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</si>
  <si>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</si>
  <si>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</si>
  <si>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</si>
  <si>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</si>
  <si>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</si>
  <si>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</si>
  <si>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</si>
  <si>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</si>
  <si>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</si>
  <si>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</si>
  <si>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</si>
  <si>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</si>
  <si>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</si>
  <si>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</si>
  <si>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</si>
  <si>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</si>
  <si>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</si>
  <si>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</si>
  <si>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</si>
  <si>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</si>
  <si>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</si>
  <si>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</si>
  <si>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</si>
  <si>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</si>
  <si>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</si>
  <si>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</si>
  <si>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</si>
  <si>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</si>
  <si>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</si>
  <si>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</si>
  <si>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</si>
  <si>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</si>
  <si>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</si>
  <si>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</si>
  <si>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</si>
  <si>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</si>
  <si>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</si>
  <si>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</si>
  <si>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</si>
  <si>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</si>
  <si>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</si>
  <si>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</si>
  <si>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</si>
  <si>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</si>
  <si>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</si>
  <si>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</si>
  <si>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</si>
  <si>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</si>
  <si>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</si>
  <si>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</si>
  <si>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</si>
  <si>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</si>
  <si>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</si>
  <si>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</si>
  <si>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</si>
  <si>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</si>
  <si>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</si>
  <si>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</si>
  <si>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</si>
  <si>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</si>
  <si>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</si>
  <si>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</si>
  <si>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</si>
  <si>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</si>
  <si>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</si>
  <si>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</si>
  <si>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</si>
  <si>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</si>
  <si>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</si>
  <si>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</si>
  <si>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</si>
  <si>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</si>
  <si>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</si>
  <si>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</si>
  <si>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</si>
  <si>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</si>
  <si>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</si>
  <si>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</si>
  <si>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</si>
  <si>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</si>
  <si>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</si>
  <si>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</si>
  <si>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</si>
  <si>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</si>
  <si>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</si>
  <si>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</si>
  <si>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</si>
  <si>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</si>
  <si>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</si>
  <si>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</si>
  <si>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</si>
  <si>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</si>
  <si>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</si>
  <si>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</si>
  <si>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</si>
  <si>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</si>
  <si>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</si>
  <si>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</si>
  <si>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</si>
  <si>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</si>
  <si>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</si>
  <si>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</si>
  <si>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</si>
  <si>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</si>
  <si>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</si>
  <si>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</si>
  <si>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</si>
  <si>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</si>
  <si>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</si>
  <si>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</si>
  <si>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</si>
  <si>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</si>
  <si>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</si>
  <si>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</si>
  <si>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</si>
  <si>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</si>
  <si>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</si>
  <si>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</si>
  <si>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</si>
  <si>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</si>
  <si>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</si>
  <si>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</si>
  <si>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</si>
  <si>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</si>
  <si>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</si>
  <si>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</si>
  <si>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</si>
  <si>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</si>
  <si>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</si>
  <si>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</si>
  <si>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</si>
  <si>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</si>
  <si>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</si>
  <si>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</si>
  <si>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</si>
  <si>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</si>
  <si>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</si>
  <si>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</si>
  <si>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</si>
  <si>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</si>
  <si>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</si>
  <si>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</si>
  <si>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</si>
  <si>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</si>
  <si>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</si>
  <si>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</si>
  <si>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</si>
  <si>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</si>
  <si>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</si>
  <si>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</si>
  <si>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</si>
  <si>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</si>
  <si>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</si>
  <si>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</si>
  <si>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</si>
  <si>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</si>
  <si>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</si>
  <si>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</si>
  <si>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</si>
  <si>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</si>
  <si>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</si>
  <si>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</si>
  <si>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</si>
  <si>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Female</t>
  </si>
  <si>
    <t>Male</t>
  </si>
  <si>
    <t>Age</t>
  </si>
  <si>
    <t>Today Date</t>
  </si>
  <si>
    <t xml:space="preserve">Real Age </t>
  </si>
  <si>
    <t>Row Labels</t>
  </si>
  <si>
    <t>Grand Total</t>
  </si>
  <si>
    <t>Sum of finalWorth</t>
  </si>
  <si>
    <t xml:space="preserve">Count of Real Age </t>
  </si>
  <si>
    <t>40-50</t>
  </si>
  <si>
    <t>30-40</t>
  </si>
  <si>
    <t>50-60</t>
  </si>
  <si>
    <t>60-70</t>
  </si>
  <si>
    <t>70-80</t>
  </si>
  <si>
    <t>80-90</t>
  </si>
  <si>
    <t>90-100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</si>
</sst>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3" fontId="0" fillId="0" borderId="0" xfId="0" applyNumberFormat="1"/>
    <xf numFmtId="1" fontId="16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mmy mabel" refreshedDate="45882.926147222221" createdVersion="3" refreshedVersion="3" minRefreshableVersion="3" recordCount="475">
  <cacheSource type="worksheet">
    <worksheetSource ref="A1:X476" sheet="Work Data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/>
    </cacheField>
    <cacheField name="personName" numFmtId="0">
      <sharedItems/>
    </cacheField>
    <cacheField name="country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 count="360">
        <s v="Bernard"/>
        <s v="Elon"/>
        <s v="Jeff"/>
        <s v="Larry"/>
        <s v="Warren"/>
        <s v="Bill"/>
        <s v="Michael"/>
        <s v="Carlos"/>
        <s v="Mukesh"/>
        <s v="Steve"/>
        <s v="Francoise"/>
        <s v="Amancio"/>
        <s v="Sergey"/>
        <s v="Shanshan"/>
        <s v="Mark"/>
        <s v="Charles"/>
        <s v="Julia"/>
        <s v="Jim"/>
        <s v="Rob"/>
        <s v="Alice"/>
        <s v="David"/>
        <s v="Gautam"/>
        <s v="Phil"/>
        <s v="Yiming"/>
        <s v="Dieter"/>
        <s v="François"/>
        <s v="Klaus-Michael"/>
        <s v="Giovanni"/>
        <s v="Jacqueline"/>
        <s v="John"/>
        <s v="Huateng"/>
        <s v="Miriam"/>
        <s v="Ken"/>
        <s v="Robin"/>
        <s v="Tadashi"/>
        <s v="Len"/>
        <s v="Alain"/>
        <s v="Gerard"/>
        <s v="Gianluigi"/>
        <s v="Rafaela"/>
        <s v="Colin Zheng"/>
        <s v="Reinhold"/>
        <s v="Stephen"/>
        <s v="Susanne"/>
        <s v="Gina"/>
        <s v="William"/>
        <s v="Germán"/>
        <s v="Shiv"/>
        <s v="Kwong"/>
        <s v="Thomas"/>
        <s v="Andrey"/>
        <s v="Stefan"/>
        <s v="MacKenzie"/>
        <s v="R. Budi"/>
        <s v="Vladimir"/>
        <s v="Jack"/>
        <s v="Xiangjian"/>
        <s v="Iris"/>
        <s v="James"/>
        <s v="Cyrus"/>
        <s v="Masayoshi"/>
        <s v="Emmanuel"/>
        <s v="Abigail"/>
        <s v="Leonid"/>
        <s v="Lukas"/>
        <s v="Wei"/>
        <s v="Jensen"/>
        <s v="Leonard"/>
        <s v="Takemitsu"/>
        <s v="Alexey"/>
        <s v="Vagit"/>
        <s v="Andrew"/>
        <s v="Ray"/>
        <s v="Eric"/>
        <s v="Wenyin"/>
        <s v="Yinglin"/>
        <s v="Chuanfu"/>
        <s v="Harold"/>
        <s v="Gennady"/>
        <s v="Daniel"/>
        <s v="Lakshmi"/>
        <s v="Carl"/>
        <s v="Savitri"/>
        <s v="Donald"/>
        <s v="Rupert"/>
        <s v="Vicky"/>
        <s v="Theo"/>
        <s v="Renata"/>
        <s v="Xiting"/>
        <s v="Kang"/>
        <s v="Jorge Paulo"/>
        <s v="Dilip"/>
        <s v="Robert"/>
        <s v="Radhakishan"/>
        <s v="Shilin"/>
        <s v="Dhanin"/>
        <s v="Charoen"/>
        <s v="Charlene"/>
        <s v="Hang"/>
        <s v="Jianjun"/>
        <s v="Cheng Liang"/>
        <s v="Kumar"/>
        <s v="Aliko"/>
        <s v="Idan"/>
        <s v="Bang"/>
        <s v="Diane"/>
        <s v="Jan"/>
        <s v="Jerry"/>
        <s v="George"/>
        <s v="Xiangyang"/>
        <s v="Harry"/>
        <s v="Uday"/>
        <s v="Stanley"/>
        <s v="Mikhail"/>
        <s v="Sarath"/>
        <s v="Yanbao"/>
        <s v="Rensheng"/>
        <s v="Shahid"/>
        <s v="Laurene"/>
        <s v="Pavel"/>
        <s v="Andreas"/>
        <s v="Hanyuan"/>
        <s v="Israel"/>
        <s v="Viatcheslav"/>
        <s v="Anthony"/>
        <s v="Giorgio"/>
        <s v="Johann"/>
        <s v="Zhidong"/>
        <s v="Philip"/>
        <s v="Judy"/>
        <s v="Ricardo"/>
        <s v="Marcel Herrmann"/>
        <s v="Suleiman"/>
        <s v="Sky"/>
        <s v="Changpeng"/>
        <s v="Mike"/>
        <s v="Jeffery"/>
        <s v="Viktor"/>
        <s v="Eduardo"/>
        <s v="Georg"/>
        <s v="Christy"/>
        <s v="Scott"/>
        <s v="Leng Chan"/>
        <s v="Yajun"/>
        <s v="Autry"/>
        <s v="Yongxing"/>
        <s v="Vinod"/>
        <s v="Nicolas"/>
        <s v="Jacques"/>
        <s v="Rodolphe"/>
        <s v="Tanya"/>
        <s v="Melker"/>
        <s v="Andrei"/>
        <s v="Jun"/>
        <s v="Friedhelm"/>
        <s v="Piaoyang"/>
        <s v="Rick"/>
        <s v="Baofang"/>
        <s v="Liguo"/>
        <s v="Marijke"/>
        <s v="Pamela"/>
        <s v="Valerie"/>
        <s v="Victoria"/>
        <s v="Vincent"/>
        <s v="Ernesto"/>
        <s v="Xing"/>
        <s v="Brian"/>
        <s v="Roman"/>
        <s v="Antonia"/>
        <s v="Azim"/>
        <s v="Ivan"/>
        <s v="Alexander"/>
        <s v="Liping"/>
        <s v="Finn"/>
        <s v="Jorn"/>
        <s v="Kirsten"/>
        <s v="Tatyana"/>
        <s v="Richard"/>
        <s v="Dustin"/>
        <s v="Pierre"/>
        <s v="Zhenhua"/>
        <s v="Carrie"/>
        <s v="Jianhua"/>
        <s v="Leon"/>
        <s v="Graeme"/>
        <s v="Ravi"/>
        <s v="Hasso"/>
        <s v="Carlos Alberto"/>
        <s v="Manuel"/>
        <s v="Chase"/>
        <s v="Ann Walton"/>
        <s v="Zhenguo"/>
        <s v="Nicky"/>
        <s v="Blair"/>
        <s v="Shuliang"/>
        <s v="German"/>
        <s v="Abdulsamad"/>
        <s v="Kushal Pal"/>
        <s v="Jianlin"/>
        <s v="Huiyan"/>
        <s v="Laurent"/>
        <s v="Thierry"/>
        <s v="Tilman"/>
        <s v="Marie-Hélène"/>
        <s v="Karel"/>
        <s v="Nathan"/>
        <s v="Patrick"/>
        <s v="Robert F."/>
        <s v="Orlando"/>
        <s v="Shizhong"/>
        <s v="Nancy Walton"/>
        <s v="Jay Y."/>
        <s v="Ramzi"/>
        <s v="Rocco"/>
        <s v="Shuirong"/>
        <s v="Shi"/>
        <s v="Liangsong"/>
        <s v="Jean-Michel"/>
        <s v="Marie"/>
        <s v="Yonghao"/>
        <s v="Henry"/>
        <s v="Ivar"/>
        <s v="Renxian"/>
        <s v="Hasmukh"/>
        <s v="Joe"/>
        <s v="Huijuan"/>
        <s v="Arthur"/>
        <s v="Shijia"/>
        <s v="Paul Tudor"/>
        <s v="Yong"/>
        <s v="Sri Prakash"/>
        <s v="Jianrong"/>
        <s v="Steven"/>
        <s v="Nassef"/>
        <s v="Benu Gopal"/>
        <s v="Iskander"/>
        <s v="Anders Holch"/>
        <s v="Enrique"/>
        <s v="Laichun"/>
        <s v="Don"/>
        <s v="Guillaume"/>
        <s v="Takahisa"/>
        <s v="Qinghou"/>
        <s v="Tamara"/>
        <s v="Wengen"/>
        <s v="Frederik"/>
        <s v="Cho Yaw"/>
        <s v="Hejun"/>
        <s v="Marc"/>
        <s v="Dmitri"/>
        <s v="Igor"/>
        <s v="Ashwin"/>
        <s v="Ralph"/>
        <s v="Rohiqa Cyrus"/>
        <s v="Shapoor"/>
        <s v="J. Christopher"/>
        <s v="Jude"/>
        <s v="Edythe"/>
        <s v="Pauline MacMillan"/>
        <s v="Philippe"/>
        <s v="Jincheng"/>
        <s v="Sandra"/>
        <s v="Ronda"/>
        <s v="Dannine"/>
        <s v="Silvio"/>
        <s v="Denise"/>
        <s v="Milane"/>
        <s v="Edward"/>
        <s v="Yuri"/>
        <s v="Gordon"/>
        <s v="Laisheng"/>
        <s v="Randa Duncan"/>
        <s v="Christopher"/>
        <s v="Kjeld Kirk"/>
        <s v="Sofie Kirk"/>
        <s v="Thomas Kirk"/>
        <s v="Massimiliana"/>
        <s v="Ping"/>
        <s v="Magdalena"/>
        <s v="Xavier"/>
        <s v="Terrence"/>
        <s v="John A."/>
        <s v="Agnete Kirk"/>
        <s v="Shihui"/>
        <s v="Rahel"/>
        <s v="Bubba"/>
        <s v="Dan"/>
        <s v="Trudy"/>
        <s v="Bruce"/>
        <s v="Nadia"/>
        <s v="Melinda"/>
        <s v="Annette"/>
        <s v="Radovan"/>
        <s v="Alexei"/>
        <s v="Luis Carlos"/>
        <s v="Dennis"/>
        <s v="Jifan"/>
        <s v="Yusuo"/>
        <s v="Stef"/>
        <s v="Maria Asuncion"/>
        <s v="Gustaf"/>
        <s v="Frits"/>
        <s v="Muqin"/>
        <s v="Xueping"/>
        <s v="Michal"/>
        <s v="Tom"/>
        <s v="Wolfgang"/>
        <s v="Neil"/>
        <s v="Jay"/>
        <s v="Gopikishan"/>
        <s v="Sumet"/>
        <s v="Frank"/>
        <s v="Les"/>
        <s v="Kui"/>
        <s v="Jaran"/>
        <s v="Antony"/>
        <s v="Eng-meng"/>
        <s v="Josh"/>
        <s v="Niels Peter"/>
        <s v="Rinat"/>
        <s v="Fredrik"/>
        <s v="Dirk"/>
        <s v="Ray Lee"/>
        <s v="Meisong"/>
        <s v="Vikram"/>
        <s v="Ge"/>
        <s v="Karen"/>
        <s v="Teddy"/>
        <s v="Jung-jin"/>
        <s v="Jianshu"/>
        <s v="Micky"/>
        <s v="Archie Aldis"/>
        <s v="Piero"/>
        <s v="Weiping"/>
        <s v="Ludwig"/>
        <s v="Mitchell"/>
        <s v="Katharine"/>
        <s v="Paul"/>
        <s v="Sergio"/>
        <s v="Margaretta"/>
        <s v="Yan"/>
        <s v="Patrizio"/>
        <s v="Mahendra"/>
        <s v="Mat"/>
        <s v="Leo"/>
        <s v="Hangen"/>
        <s v="Miuccia"/>
        <s v="Matthias"/>
        <s v="Renate"/>
        <s v="Todd"/>
        <s v="Ibrahim"/>
        <s v="Elizabeth"/>
        <s v="Douglas"/>
        <s v="Prajogo"/>
        <s v="Lynda"/>
        <s v="Stewart"/>
        <s v="Gary"/>
        <s v="Ronald"/>
        <s v="Erich"/>
        <s v="M.A."/>
      </sharedItems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Today Date" numFmtId="14">
      <sharedItems containsSemiMixedTypes="0" containsNonDate="0" containsDate="1" containsString="0" minDate="2025-08-13T00:00:00" maxDate="2025-08-14T00:00:00"/>
    </cacheField>
    <cacheField name="Age" numFmtId="14">
      <sharedItems containsSemiMixedTypes="0" containsNonDate="0" containsDate="1" containsString="0" minDate="1926-07-16T00:00:00" maxDate="1992-05-08T00:00:00" count="445">
        <d v="1949-03-05T00:00:00"/>
        <d v="1971-06-28T00:00:00"/>
        <d v="1964-01-12T00:00:00"/>
        <d v="1944-08-17T00:00:00"/>
        <d v="1930-08-30T00:00:00"/>
        <d v="1955-10-28T00:00:00"/>
        <d v="1942-02-14T00:00:00"/>
        <d v="1940-01-28T00:00:00"/>
        <d v="1957-04-19T00:00:00"/>
        <d v="1956-03-24T00:00:00"/>
        <d v="1953-07-10T00:00:00"/>
        <d v="1973-03-26T00:00:00"/>
        <d v="1936-03-28T00:00:00"/>
        <d v="1973-08-21T00:00:00"/>
        <d v="1954-12-01T00:00:00"/>
        <d v="1984-05-14T00:00:00"/>
        <d v="1935-11-01T00:00:00"/>
        <d v="1962-04-12T00:00:00"/>
        <d v="1948-06-07T00:00:00"/>
        <d v="1944-10-27T00:00:00"/>
        <d v="1949-10-07T00:00:00"/>
        <d v="1957-06-12T00:00:00"/>
        <d v="1965-02-23T00:00:00"/>
        <d v="1962-06-24T00:00:00"/>
        <d v="1938-02-24T00:00:00"/>
        <d v="1984-01-01T00:00:00"/>
        <d v="1939-09-24T00:00:00"/>
        <d v="1936-08-21T00:00:00"/>
        <d v="1937-06-02T00:00:00"/>
        <d v="1964-09-21T00:00:00"/>
        <d v="1939-10-10T00:00:00"/>
        <d v="1935-10-15T00:00:00"/>
        <d v="1971-10-29T00:00:00"/>
        <d v="1945-10-10T00:00:00"/>
        <d v="1968-10-15T00:00:00"/>
        <d v="1992-05-07T00:00:00"/>
        <d v="1969-01-01T00:00:00"/>
        <d v="1949-02-07T00:00:00"/>
        <d v="1957-06-01T00:00:00"/>
        <d v="1948-08-28T00:00:00"/>
        <d v="1951-01-09T00:00:00"/>
        <d v="1940-06-27T00:00:00"/>
        <d v="1945-03-26T00:00:00"/>
        <d v="1980-02-02T00:00:00"/>
        <d v="1935-04-20T00:00:00"/>
        <d v="1958-07-17T00:00:00"/>
        <d v="1938-04-25T00:00:00"/>
        <d v="1947-02-14T00:00:00"/>
        <d v="1962-04-28T00:00:00"/>
        <d v="1954-02-09T00:00:00"/>
        <d v="1971-10-01T00:00:00"/>
        <d v="1953-10-26T00:00:00"/>
        <d v="1945-07-18T00:00:00"/>
        <d v="1948-04-17T00:00:00"/>
        <d v="1944-09-30T00:00:00"/>
        <d v="1972-03-08T00:00:00"/>
        <d v="1966-05-09T00:00:00"/>
        <d v="1970-04-07T00:00:00"/>
        <d v="1941-01-01T00:00:00"/>
        <d v="1961-01-03T00:00:00"/>
        <d v="1964-09-10T00:00:00"/>
        <d v="1942-08-11T00:00:00"/>
        <d v="1943-01-01T00:00:00"/>
        <d v="1939-10-02T00:00:00"/>
        <d v="1953-01-01T00:00:00"/>
        <d v="1941-05-11T00:00:00"/>
        <d v="1957-08-11T00:00:00"/>
        <d v="1956-05-07T00:00:00"/>
        <d v="1970-09-18T00:00:00"/>
        <d v="1961-12-19T00:00:00"/>
        <d v="1955-08-11T00:00:00"/>
        <d v="1986-09-19T00:00:00"/>
        <d v="1970-10-01T00:00:00"/>
        <d v="1963-02-17T00:00:00"/>
        <d v="1933-03-19T00:00:00"/>
        <d v="1945-06-10T00:00:00"/>
        <d v="1965-09-26T00:00:00"/>
        <d v="1950-09-01T00:00:00"/>
        <d v="1938-08-12T00:00:00"/>
        <d v="1961-11-18T00:00:00"/>
        <d v="1949-08-08T00:00:00"/>
        <d v="1963-06-01T00:00:00"/>
        <d v="1968-03-01T00:00:00"/>
        <d v="1965-04-17T00:00:00"/>
        <d v="1966-02-15T00:00:00"/>
        <d v="1945-12-11T00:00:00"/>
        <d v="1957-09-11T00:00:00"/>
        <d v="1952-11-09T00:00:00"/>
        <d v="1962-01-17T00:00:00"/>
        <d v="1950-06-15T00:00:00"/>
        <d v="1956-06-11T00:00:00"/>
        <d v="1936-02-16T00:00:00"/>
        <d v="1950-03-20T00:00:00"/>
        <d v="1932-05-11T00:00:00"/>
        <d v="1940-01-22T00:00:00"/>
        <d v="1931-03-11T00:00:00"/>
        <d v="1951-01-01T00:00:00"/>
        <d v="1967-07-04T00:00:00"/>
        <d v="1947-10-04T00:00:00"/>
        <d v="1955-04-27T00:00:00"/>
        <d v="1968-03-18T00:00:00"/>
        <d v="1956-01-19T00:00:00"/>
        <d v="1939-08-26T00:00:00"/>
        <d v="1955-10-01T00:00:00"/>
        <d v="1978-03-10T00:00:00"/>
        <d v="1955-01-01T00:00:00"/>
        <d v="1967-01-01T00:00:00"/>
        <d v="1939-04-19T00:00:00"/>
        <d v="1941-11-13T00:00:00"/>
        <d v="1944-05-02T00:00:00"/>
        <d v="1954-06-30T00:00:00"/>
        <d v="1962-05-22T00:00:00"/>
        <d v="1964-03-01T00:00:00"/>
        <d v="1927-06-27T00:00:00"/>
        <d v="1967-06-14T00:00:00"/>
        <d v="1957-04-10T00:00:00"/>
        <d v="1955-10-02T00:00:00"/>
        <d v="1965-09-01T00:00:00"/>
        <d v="1945-02-01T00:00:00"/>
        <d v="1947-03-02T00:00:00"/>
        <d v="1976-02-24T00:00:00"/>
        <d v="1942-10-13T00:00:00"/>
        <d v="1942-07-29T00:00:00"/>
        <d v="1962-12-28T00:00:00"/>
        <d v="1933-03-03T00:00:00"/>
        <d v="1959-03-15T00:00:00"/>
        <d v="1947-07-29T00:00:00"/>
        <d v="1964-04-21T00:00:00"/>
        <d v="1965-07-12T00:00:00"/>
        <d v="1973-02-01T00:00:00"/>
        <d v="1953-10-08T00:00:00"/>
        <d v="1950-07-18T00:00:00"/>
        <d v="1963-11-06T00:00:00"/>
        <d v="1940-05-10T00:00:00"/>
        <d v="1984-10-10T00:00:00"/>
        <d v="1950-02-16T00:00:00"/>
        <d v="1964-01-01T00:00:00"/>
        <d v="1972-07-21T00:00:00"/>
        <d v="1948-09-30T00:00:00"/>
        <d v="1953-09-08T00:00:00"/>
        <d v="1960-04-11T00:00:00"/>
        <d v="1965-05-03T00:00:00"/>
        <d v="1934-07-11T00:00:00"/>
        <d v="1950-06-01T00:00:00"/>
        <d v="1972-01-01T00:00:00"/>
        <d v="1939-12-28T00:00:00"/>
        <d v="1937-06-17T00:00:00"/>
        <d v="1955-10-19T00:00:00"/>
        <d v="1929-08-05T00:00:00"/>
        <d v="1941-06-05T00:00:00"/>
        <d v="1950-01-01T00:00:00"/>
        <d v="1966-03-12T00:00:00"/>
        <d v="1977-09-10T00:00:00"/>
        <d v="1952-11-29T00:00:00"/>
        <d v="1979-11-17T00:00:00"/>
        <d v="1962-08-19T00:00:00"/>
        <d v="1940-09-21T00:00:00"/>
        <d v="1959-03-05T00:00:00"/>
        <d v="1948-10-13T00:00:00"/>
        <d v="1982-03-19T00:00:00"/>
        <d v="1964-10-19T00:00:00"/>
        <d v="1949-02-08T00:00:00"/>
        <d v="1979-12-17T00:00:00"/>
        <d v="1941-08-12T00:00:00"/>
        <d v="1938-03-08T00:00:00"/>
        <d v="1948-06-01T00:00:00"/>
        <d v="1949-01-10T00:00:00"/>
        <d v="1943-01-29T00:00:00"/>
        <d v="1971-08-10T00:00:00"/>
        <d v="1970-03-03T00:00:00"/>
        <d v="1968-02-01T00:00:00"/>
        <d v="1947-05-15T00:00:00"/>
        <d v="1960-03-24T00:00:00"/>
        <d v="1963-10-01T00:00:00"/>
        <d v="1969-12-16T00:00:00"/>
        <d v="1946-08-15T00:00:00"/>
        <d v="1958-09-01T00:00:00"/>
        <d v="1952-07-25T00:00:00"/>
        <d v="1952-09-01T00:00:00"/>
        <d v="1956-03-01T00:00:00"/>
        <d v="1964-07-28T00:00:00"/>
        <d v="1960-08-01T00:00:00"/>
        <d v="1959-01-26T00:00:00"/>
        <d v="1956-12-15T00:00:00"/>
        <d v="1952-04-01T00:00:00"/>
        <d v="1928-10-01T00:00:00"/>
        <d v="1965-09-22T00:00:00"/>
        <d v="1979-02-18T00:00:00"/>
        <d v="1981-08-29T00:00:00"/>
        <d v="1947-05-02T00:00:00"/>
        <d v="1966-10-24T00:00:00"/>
        <d v="1943-09-06T00:00:00"/>
        <d v="1975-07-09T00:00:00"/>
        <d v="1941-03-07T00:00:00"/>
        <d v="1945-07-24T00:00:00"/>
        <d v="1937-07-29T00:00:00"/>
        <d v="1960-01-01T00:00:00"/>
        <d v="1951-03-29T00:00:00"/>
        <d v="1957-01-07T00:00:00"/>
        <d v="1967-07-07T00:00:00"/>
        <d v="1950-03-10T00:00:00"/>
        <d v="1966-02-24T00:00:00"/>
        <d v="1952-06-06T00:00:00"/>
        <d v="1975-10-16T00:00:00"/>
        <d v="1951-06-29T00:00:00"/>
        <d v="1974-03-10T00:00:00"/>
        <d v="1984-05-22T00:00:00"/>
        <d v="1967-06-21T00:00:00"/>
        <d v="1959-01-01T00:00:00"/>
        <d v="1971-01-01T00:00:00"/>
        <d v="1943-04-12T00:00:00"/>
        <d v="1951-07-31T00:00:00"/>
        <d v="1955-06-06T00:00:00"/>
        <d v="1954-11-28T00:00:00"/>
        <d v="1944-01-21T00:00:00"/>
        <d v="1948-01-01T00:00:00"/>
        <d v="1949-12-13T00:00:00"/>
        <d v="1955-09-30T00:00:00"/>
        <d v="1975-06-21T00:00:00"/>
        <d v="1948-12-18T00:00:00"/>
        <d v="1968-01-01T00:00:00"/>
        <d v="1947-11-29T00:00:00"/>
        <d v="1945-06-08T00:00:00"/>
        <d v="1950-05-21T00:00:00"/>
        <d v="1946-01-01T00:00:00"/>
        <d v="1948-03-19T00:00:00"/>
        <d v="1961-10-24T00:00:00"/>
        <d v="1960-08-04T00:00:00"/>
        <d v="1943-09-14T00:00:00"/>
        <d v="1931-08-15T00:00:00"/>
        <d v="1954-10-01T00:00:00"/>
        <d v="1981-09-27T00:00:00"/>
        <d v="1953-07-07T00:00:00"/>
        <d v="1957-03-26T00:00:00"/>
        <d v="1957-06-25T00:00:00"/>
        <d v="1965-04-04T00:00:00"/>
        <d v="1969-03-15T00:00:00"/>
        <d v="1983-06-11T00:00:00"/>
        <d v="1956-04-05T00:00:00"/>
        <d v="1929-05-12T00:00:00"/>
        <d v="1937-05-15T00:00:00"/>
        <d v="1962-12-01T00:00:00"/>
        <d v="1964-05-15T00:00:00"/>
        <d v="1970-09-23T00:00:00"/>
        <d v="1970-12-01T00:00:00"/>
        <d v="1951-05-15T00:00:00"/>
        <d v="1968-06-23T00:00:00"/>
        <d v="1968-09-17T00:00:00"/>
        <d v="1966-01-30T00:00:00"/>
        <d v="1972-09-14T00:00:00"/>
        <d v="1949-11-25T00:00:00"/>
        <d v="1956-07-01T00:00:00"/>
        <d v="1970-01-03T00:00:00"/>
        <d v="1964-08-01T00:00:00"/>
        <d v="1967-06-05T00:00:00"/>
        <d v="1980-07-30T00:00:00"/>
        <d v="1943-02-21T00:00:00"/>
        <d v="1968-11-17T00:00:00"/>
        <d v="1951-09-01T00:00:00"/>
        <d v="1954-09-20T00:00:00"/>
        <d v="1955-01-03T00:00:00"/>
        <d v="1961-06-23T00:00:00"/>
        <d v="1968-07-24T00:00:00"/>
        <d v="1933-09-19T00:00:00"/>
        <d v="1955-12-04T00:00:00"/>
        <d v="1981-08-21T00:00:00"/>
        <d v="1957-03-07T00:00:00"/>
        <d v="1938-03-28T00:00:00"/>
        <d v="1961-01-01T00:00:00"/>
        <d v="1942-09-27T00:00:00"/>
        <d v="1938-02-03T00:00:00"/>
        <d v="1954-09-28T00:00:00"/>
        <d v="1944-01-06T00:00:00"/>
        <d v="1970-07-01T00:00:00"/>
        <d v="1943-01-06T00:00:00"/>
        <d v="1952-08-11T00:00:00"/>
        <d v="1952-01-01T00:00:00"/>
        <d v="1951-03-31T00:00:00"/>
        <d v="1961-01-19T00:00:00"/>
        <d v="1941-11-30T00:00:00"/>
        <d v="1931-06-01T00:00:00"/>
        <d v="1963-12-05T00:00:00"/>
        <d v="1972-11-04T00:00:00"/>
        <d v="1960-03-03T00:00:00"/>
        <d v="1967-06-03T00:00:00"/>
        <d v="1957-11-25T00:00:00"/>
        <d v="1954-12-10T00:00:00"/>
        <d v="1943-06-13T00:00:00"/>
        <d v="1944-10-19T00:00:00"/>
        <d v="1981-08-15T00:00:00"/>
        <d v="1961-07-12T00:00:00"/>
        <d v="1945-10-01T00:00:00"/>
        <d v="1943-08-01T00:00:00"/>
        <d v="1947-01-03T00:00:00"/>
        <d v="1961-11-16T00:00:00"/>
        <d v="1956-12-14T00:00:00"/>
        <d v="1950-10-30T00:00:00"/>
        <d v="1929-01-10T00:00:00"/>
        <d v="1964-09-25T00:00:00"/>
        <d v="1985-05-27T00:00:00"/>
        <d v="1982-03-29T00:00:00"/>
        <d v="1945-07-23T00:00:00"/>
        <d v="1942-10-24T00:00:00"/>
        <d v="1939-10-14T00:00:00"/>
        <d v="1967-06-06T00:00:00"/>
        <d v="1964-09-06T00:00:00"/>
        <d v="1953-12-29T00:00:00"/>
        <d v="1955-09-16T00:00:00"/>
        <d v="1952-02-26T00:00:00"/>
        <d v="1936-01-01T00:00:00"/>
        <d v="1934-01-01T00:00:00"/>
        <d v="1967-09-16T00:00:00"/>
        <d v="1964-09-22T00:00:00"/>
        <d v="1942-09-20T00:00:00"/>
        <d v="1968-07-09T00:00:00"/>
        <d v="1954-05-01T00:00:00"/>
        <d v="1964-03-09T00:00:00"/>
        <d v="1936-09-29T00:00:00"/>
        <d v="1967-09-26T00:00:00"/>
        <d v="1982-11-01T00:00:00"/>
        <d v="1969-08-12T00:00:00"/>
        <d v="1964-11-18T00:00:00"/>
        <d v="1961-11-11T00:00:00"/>
        <d v="1929-01-03T00:00:00"/>
        <d v="1969-12-21T00:00:00"/>
        <d v="1961-07-15T00:00:00"/>
        <d v="1957-04-14T00:00:00"/>
        <d v="1964-12-14T00:00:00"/>
        <d v="1961-08-28T00:00:00"/>
        <d v="1950-11-29T00:00:00"/>
        <d v="1966-10-27T00:00:00"/>
        <d v="1947-12-27T00:00:00"/>
        <d v="1976-01-01T00:00:00"/>
        <d v="1979-01-01T00:00:00"/>
        <d v="1962-08-01T00:00:00"/>
        <d v="1967-08-25T00:00:00"/>
        <d v="1951-03-27T00:00:00"/>
        <d v="1938-12-25T00:00:00"/>
        <d v="1939-05-23T00:00:00"/>
        <d v="1930-08-12T00:00:00"/>
        <d v="1951-10-12T00:00:00"/>
        <d v="1983-05-18T00:00:00"/>
        <d v="1958-01-01T00:00:00"/>
        <d v="1954-04-22T00:00:00"/>
        <d v="1953-03-01T00:00:00"/>
        <d v="1955-12-17T00:00:00"/>
        <d v="1945-02-25T00:00:00"/>
        <d v="1959-10-08T00:00:00"/>
        <d v="1976-01-07T00:00:00"/>
        <d v="1942-11-27T00:00:00"/>
        <d v="1964-08-15T00:00:00"/>
        <d v="1930-02-27T00:00:00"/>
        <d v="1938-09-01T00:00:00"/>
        <d v="1971-04-22T00:00:00"/>
        <d v="1951-08-19T00:00:00"/>
        <d v="1960-04-10T00:00:00"/>
        <d v="1953-06-14T00:00:00"/>
        <d v="1963-11-01T00:00:00"/>
        <d v="1962-10-15T00:00:00"/>
        <d v="1933-01-27T00:00:00"/>
        <d v="1934-07-27T00:00:00"/>
        <d v="1945-10-23T00:00:00"/>
        <d v="1965-01-01T00:00:00"/>
        <d v="1956-06-01T00:00:00"/>
        <d v="1938-01-01T00:00:00"/>
        <d v="1964-03-11T00:00:00"/>
        <d v="1926-07-16T00:00:00"/>
        <d v="1963-05-02T00:00:00"/>
        <d v="1938-03-03T00:00:00"/>
        <d v="1933-08-02T00:00:00"/>
        <d v="1962-07-11T00:00:00"/>
        <d v="1953-04-29T00:00:00"/>
        <d v="1964-07-31T00:00:00"/>
        <d v="1943-09-28T00:00:00"/>
        <d v="1959-02-20T00:00:00"/>
        <d v="1938-01-12T00:00:00"/>
        <d v="1949-02-18T00:00:00"/>
        <d v="1959-08-26T00:00:00"/>
        <d v="1934-11-02T00:00:00"/>
        <d v="1930-10-22T00:00:00"/>
        <d v="1946-07-04T00:00:00"/>
        <d v="1951-07-02T00:00:00"/>
        <d v="1937-09-08T00:00:00"/>
        <d v="1963-01-01T00:00:00"/>
        <d v="1930-04-01T00:00:00"/>
        <d v="1961-04-23T00:00:00"/>
        <d v="1960-10-12T00:00:00"/>
        <d v="1957-01-15T00:00:00"/>
        <d v="1964-12-29T00:00:00"/>
        <d v="1947-10-25T00:00:00"/>
        <d v="1952-07-29T00:00:00"/>
        <d v="1966-09-21T00:00:00"/>
        <d v="1934-09-15T00:00:00"/>
        <d v="1930-01-01T00:00:00"/>
        <d v="1951-08-05T00:00:00"/>
        <d v="1945-12-17T00:00:00"/>
        <d v="1971-11-02T00:00:00"/>
        <d v="1964-04-01T00:00:00"/>
        <d v="1966-08-12T00:00:00"/>
        <d v="1943-04-06T00:00:00"/>
        <d v="1942-03-05T00:00:00"/>
        <d v="1935-09-16T00:00:00"/>
        <d v="1958-01-07T00:00:00"/>
        <d v="1953-09-26T00:00:00"/>
        <d v="1971-11-01T00:00:00"/>
        <d v="1957-10-23T00:00:00"/>
        <d v="1949-06-29T00:00:00"/>
        <d v="1957-04-12T00:00:00"/>
        <d v="1990-08-06T00:00:00"/>
        <d v="1988-09-09T00:00:00"/>
        <d v="1929-04-10T00:00:00"/>
        <d v="1945-05-22T00:00:00"/>
        <d v="1965-02-27T00:00:00"/>
        <d v="1928-03-20T00:00:00"/>
        <d v="1955-03-01T00:00:00"/>
        <d v="1941-06-04T00:00:00"/>
        <d v="1956-08-21T00:00:00"/>
        <d v="1945-01-12T00:00:00"/>
        <d v="1944-08-22T00:00:00"/>
        <d v="1943-03-20T00:00:00"/>
        <d v="1942-04-15T00:00:00"/>
        <d v="1955-04-01T00:00:00"/>
        <d v="1941-04-19T00:00:00"/>
        <d v="1980-01-06T00:00:00"/>
        <d v="1955-02-15T00:00:00"/>
        <d v="1946-02-05T00:00:00"/>
        <d v="1949-05-10T00:00:00"/>
        <d v="1952-10-04T00:00:00"/>
        <d v="1965-03-30T00:00:00"/>
        <d v="1963-07-13T00:00:00"/>
        <d v="1951-10-08T00:00:00"/>
        <d v="1973-09-20T00:00:00"/>
        <d v="1959-01-07T00:00:00"/>
        <d v="1962-09-26T00:00:00"/>
        <d v="1963-05-07T00:00:00"/>
        <d v="1957-07-04T00:00:00"/>
        <d v="1944-05-13T00:00:00"/>
        <d v="1950-06-06T00:00:00"/>
        <d v="1943-01-02T00:00:00"/>
        <d v="1936-12-24T00:00:00"/>
        <d v="1944-08-30T00:00:00"/>
        <d v="1960-05-22T00:00:00"/>
        <d v="1941-05-19T00:00:00"/>
        <d v="1945-06-02T00:00:00"/>
        <d v="1955-11-15T00:00:00"/>
      </sharedItems>
    </cacheField>
    <cacheField name="Real Age " numFmtId="1">
      <sharedItems containsSemiMixedTypes="0" containsString="0" containsNumber="1" minValue="33.266285530235933" maxValue="99.077344284736483" count="445">
        <n v="76.441473474612422"/>
        <n v="54.126636467718654"/>
        <n v="61.583855868586063"/>
        <n v="80.987012119795665"/>
        <n v="94.954140999315541"/>
        <n v="69.79261944240929"/>
        <n v="83.493497604380565"/>
        <n v="85.540048389150641"/>
        <n v="68.31826839139751"/>
        <n v="69.386733416770966"/>
        <n v="72.093762892397706"/>
        <n v="52.383975617315834"/>
        <n v="89.375779515103588"/>
        <n v="51.97876846781692"/>
        <n v="70.699520876112246"/>
        <n v="41.247115572648461"/>
        <n v="89.781665563511638"/>
        <n v="63.337440109514034"/>
        <n v="77.181396981396972"/>
        <n v="80.792627958999702"/>
        <n v="75.85009244773147"/>
        <n v="68.170422982302995"/>
        <n v="60.468850987432674"/>
        <n v="63.137577002053391"/>
        <n v="87.466119096509246"/>
        <n v="41.613975620885213"/>
        <n v="85.885703496239429"/>
        <n v="88.976059380038336"/>
        <n v="88.197803550004622"/>
        <n v="60.891194913008924"/>
        <n v="85.841898228278325"/>
        <n v="89.828208676815692"/>
        <n v="53.789885011697947"/>
        <n v="79.841879330741918"/>
        <n v="56.825489733301865"/>
        <n v="33.266285530235933"/>
        <n v="56.613958403381524"/>
        <n v="76.512658227848092"/>
        <n v="68.200539639711138"/>
        <n v="76.956897156897156"/>
        <n v="74.592063955610712"/>
        <n v="85.126639500827707"/>
        <n v="80.383978367415921"/>
        <n v="45.526365908820381"/>
        <n v="90.315542451411034"/>
        <n v="67.074606433949356"/>
        <n v="87.301848049281318"/>
        <n v="78.49350199272223"/>
        <n v="63.293634496919921"/>
        <n v="71.507186858316217"/>
        <n v="53.866543879735183"/>
        <n v="71.798072234932306"/>
        <n v="80.071860740239984"/>
        <n v="77.321024921024915"/>
        <n v="80.866548696203807"/>
        <n v="53.430541472317991"/>
        <n v="59.263518138261468"/>
        <n v="55.351129363449694"/>
        <n v="84.613959930425821"/>
        <n v="64.608483214691887"/>
        <n v="60.921310606729669"/>
        <n v="83.006160164271051"/>
        <n v="82.613966222456781"/>
        <n v="85.86380086225887"/>
        <n v="72.613959419420169"/>
        <n v="84.258036462024094"/>
        <n v="68.006150305531307"/>
        <n v="69.266270337922407"/>
        <n v="54.902121834360024"/>
        <n v="63.650225348553136"/>
        <n v="70.006169745112402"/>
        <n v="38.899383983572896"/>
        <n v="54.866529774127308"/>
        <n v="62.485289644083267"/>
        <n v="92.403144135657087"/>
        <n v="80.175899949298625"/>
        <n v="59.880206463195691"/>
        <n v="74.948665297741272"/>
        <n v="87.00342231348391"/>
        <n v="63.735099616696857"/>
        <n v="76.014364955198403"/>
        <n v="62.200556255703795"/>
        <n v="57.449704979938637"/>
        <n v="60.32374326750449"/>
        <n v="59.49075975359343"/>
        <n v="79.672131147540981"/>
        <n v="67.921276089199267"/>
        <n v="72.757038736172262"/>
        <n v="63.570157426420259"/>
        <n v="75.162217659137582"/>
        <n v="69.170447434292868"/>
        <n v="89.488029690019175"/>
        <n v="75.400410677618069"/>
        <n v="93.255315430768334"/>
        <n v="85.556475232395258"/>
        <n v="94.425055477103086"/>
        <n v="74.613966562020877"/>
        <n v="58.110208816705338"/>
        <n v="77.858326113325248"/>
        <n v="70.296379130837153"/>
        <n v="57.403162615057823"/>
        <n v="69.564690237797251"/>
        <n v="85.965100544418917"/>
        <n v="69.86654070103728"/>
        <n v="47.427789185489388"/>
        <n v="70.613966760498201"/>
        <n v="58.613967517401392"/>
        <n v="86.318280517355319"/>
        <n v="83.748792114926232"/>
        <n v="81.279957263530434"/>
        <n v="71.121149897330596"/>
        <n v="63.227926078028744"/>
        <n v="61.449704142011832"/>
        <n v="98.129369469026557"/>
        <n v="58.164965197215778"/>
        <n v="68.342909292913262"/>
        <n v="69.863802876643661"/>
        <n v="59.94865350089767"/>
        <n v="80.529085685313504"/>
        <n v="78.44969675966037"/>
        <n v="49.466133712971583"/>
        <n v="82.833675564681727"/>
        <n v="83.041752224503767"/>
        <n v="62.625598904859686"/>
        <n v="92.446950070654736"/>
        <n v="66.414105916966335"/>
        <n v="78.041760526771796"/>
        <n v="61.310076834761105"/>
        <n v="60.088285457809697"/>
        <n v="52.529083583014767"/>
        <n v="71.847354011176535"/>
        <n v="75.071868583162214"/>
        <n v="61.76798053105037"/>
        <n v="85.258054246784667"/>
        <n v="40.839189101101624"/>
        <n v="75.488021902806295"/>
        <n v="61.613971562306808"/>
        <n v="53.060940985601299"/>
        <n v="76.866549666549659"/>
        <n v="71.929490304916925"/>
        <n v="65.337453851578374"/>
        <n v="60.279937163375223"/>
        <n v="91.091033538672136"/>
        <n v="75.200547570157426"/>
        <n v="53.613972824984792"/>
        <n v="85.625609717720366"/>
        <n v="88.156735472359799"/>
        <n v="69.817259861951953"/>
        <n v="96.022580372011618"/>
        <n v="84.189589641177605"/>
        <n v="75.613963039014379"/>
        <n v="59.422313483915126"/>
        <n v="47.924009610549255"/>
        <n v="72.702282733360462"/>
        <n v="45.737869167588983"/>
        <n v="62.984257357973988"/>
        <n v="84.891188080988158"/>
        <n v="66.441484145145481"/>
        <n v="76.830958230958231"/>
        <n v="43.403148528405204"/>
        <n v="60.814536783537932"/>
        <n v="76.509920352723654"/>
        <n v="45.655734840100195"/>
        <n v="84.00341428847517"/>
        <n v="87.433264887063658"/>
        <n v="77.197823797823787"/>
        <n v="76.589318731332668"/>
        <n v="82.53730703259005"/>
        <n v="54.008910348947182"/>
        <n v="55.446954140999317"/>
        <n v="57.529100778852964"/>
        <n v="78.247097556749267"/>
        <n v="65.386734143609743"/>
        <n v="61.866542088566341"/>
        <n v="55.658437004659206"/>
        <n v="78.995208761122512"/>
        <n v="66.948665297741272"/>
        <n v="73.04998335121536"/>
        <n v="72.945946945872947"/>
        <n v="69.449702753441798"/>
        <n v="61.04177338161265"/>
        <n v="65.030820923383246"/>
        <n v="66.545521412226222"/>
        <n v="68.658479349186479"/>
        <n v="73.364830367383178"/>
        <n v="96.863807794384684"/>
        <n v="59.891157989228006"/>
        <n v="46.482553736820641"/>
        <n v="43.956862983694329"/>
        <n v="78.282689308612021"/>
        <n v="58.803559206023273"/>
        <n v="81.934984826494258"/>
        <n v="50.096521365686066"/>
        <n v="84.435998196224958"/>
        <n v="80.05543349670441"/>
        <n v="88.041744854954317"/>
        <n v="65.61397104575434"/>
        <n v="74.375775717310361"/>
        <n v="68.597531941909381"/>
        <n v="58.101995359628773"/>
        <n v="75.427789185489388"/>
        <n v="59.466119096509239"/>
        <n v="73.184135558104259"/>
        <n v="49.825477775391882"/>
        <n v="74.123895743593494"/>
        <n v="51.427789185489388"/>
        <n v="41.225213480216411"/>
        <n v="58.145800464037123"/>
        <n v="66.613966982674086"/>
        <n v="54.613967843098216"/>
        <n v="82.33744557329463"/>
        <n v="74.036285317952832"/>
        <n v="70.186866155091963"/>
        <n v="70.707734428473643"/>
        <n v="81.559213381857035"/>
        <n v="77.613969813969803"/>
        <n v="75.666654814393397"/>
        <n v="69.869278525430914"/>
        <n v="50.145802018466824"/>
        <n v="76.650263250263251"/>
        <n v="57.613972150106207"/>
        <n v="77.705007797608729"/>
        <n v="80.181375697143821"/>
        <n v="75.230663928815886"/>
        <n v="79.613963039014379"/>
        <n v="77.400421200421192"/>
        <n v="63.803546607135338"/>
        <n v="65.022607541378022"/>
        <n v="81.913082200818053"/>
        <n v="93.995216000461099"/>
        <n v="70.866529774127315"/>
        <n v="43.877464103188117"/>
        <n v="72.101976521771746"/>
        <n v="68.383977462106188"/>
        <n v="68.13483056900246"/>
        <n v="60.359335727109517"/>
        <n v="56.41409289591239"/>
        <n v="42.173182223354132"/>
        <n v="69.353879849812259"/>
        <n v="96.255299331056477"/>
        <n v="88.24708524317839"/>
        <n v="62.699520876112253"/>
        <n v="61.244369866643119"/>
        <n v="54.888432580424364"/>
        <n v="54.699520876112253"/>
        <n v="74.247097904650659"/>
        <n v="57.137597356620248"/>
        <n v="56.90214774604673"/>
        <n v="59.534565366187543"/>
        <n v="52.910363009531537"/>
        <n v="75.715936566633474"/>
        <n v="69.115691489361694"/>
        <n v="55.60848733744011"/>
        <n v="61.030822220259651"/>
        <n v="58.189605568445479"/>
        <n v="45.036305201761699"/>
        <n v="82.474336983770939"/>
        <n v="56.735142789709698"/>
        <n v="73.948674892312184"/>
        <n v="70.896646132785762"/>
        <n v="70.608491111710947"/>
        <n v="64.140305800092662"/>
        <n v="57.052725985367005"/>
        <n v="91.899375883184177"/>
        <n v="69.691319939844988"/>
        <n v="43.978766123144311"/>
        <n v="68.435997143083881"/>
        <n v="87.37850787132102"/>
        <n v="64.613958973926955"/>
        <n v="82.87748117727584"/>
        <n v="87.523613963039011"/>
        <n v="70.874743326488712"/>
        <n v="81.600280458081528"/>
        <n v="55.118412046543462"/>
        <n v="82.60027708140916"/>
        <n v="73.003440748825327"/>
        <n v="73.61397018017685"/>
        <n v="74.370300065707823"/>
        <n v="64.564677140811256"/>
        <n v="83.702248276750623"/>
        <n v="94.200553330067137"/>
        <n v="61.688583720829172"/>
        <n v="52.770736158994119"/>
        <n v="65.444227817646322"/>
        <n v="58.195081206496518"/>
        <n v="67.715935243234668"/>
        <n v="70.674880219028068"/>
        <n v="82.167700224303999"/>
        <n v="80.814530399652767"/>
        <n v="43.995193477731803"/>
        <n v="64.088286087359421"/>
        <n v="79.866520196045286"/>
        <n v="82.033546642037209"/>
        <n v="78.608490729509612"/>
        <n v="63.740575375931932"/>
        <n v="68.661217146433046"/>
        <n v="74.787132101300486"/>
        <n v="96.589319484038498"/>
        <n v="60.880243751655925"/>
        <n v="40.214223706176959"/>
        <n v="43.375770020533878"/>
        <n v="80.058171370627008"/>
        <n v="82.803559206023266"/>
        <n v="85.830946911288038"/>
        <n v="58.186867749419953"/>
        <n v="60.932261768082668"/>
        <n v="71.622848141619471"/>
        <n v="69.907608066941734"/>
        <n v="73.460653372303824"/>
        <n v="89.613968910656169"/>
        <n v="91.613963039014379"/>
        <n v="57.907610208816706"/>
        <n v="60.888457122670673"/>
        <n v="82.896646132785762"/>
        <n v="57.093792777908895"/>
        <n v="71.285420944558524"/>
        <n v="61.427801819305841"/>
        <n v="88.86928482341132"/>
        <n v="57.880232018561486"/>
        <n v="42.781656399726216"/>
        <n v="56.003410346318269"/>
        <n v="60.732403073390444"/>
        <n v="63.754264774019632"/>
        <n v="96.608484574783361"/>
        <n v="55.644747586339399"/>
        <n v="64.080072448506797"/>
        <n v="68.33195778112848"/>
        <n v="60.661220524595954"/>
        <n v="63.959605745335075"/>
        <n v="74.704996577686515"/>
        <n v="58.795345653661876"/>
        <n v="77.628348639750484"/>
        <n v="49.61397360784099"/>
        <n v="46.613968660802705"/>
        <n v="63.03353867214237"/>
        <n v="57.967842227378192"/>
        <n v="74.381251368912899"/>
        <n v="86.633812457221083"/>
        <n v="86.22519432293798"/>
        <n v="95.00342231348391"/>
        <n v="73.836424034460094"/>
        <n v="42.238889596332612"/>
        <n v="67.613963039014379"/>
        <n v="71.310061601642715"/>
        <n v="72.452424708397402"/>
        <n v="69.655728222727802"/>
        <n v="80.463376711171193"/>
        <n v="65.847376593658055"/>
        <n v="49.597546952855502"/>
        <n v="82.710472279260784"/>
        <n v="60.992493155524159"/>
        <n v="95.457905544147849"/>
        <n v="86.948665297741272"/>
        <n v="54.310070187664891"/>
        <n v="73.984266627728701"/>
        <n v="65.34019164558012"/>
        <n v="72.164947680306042"/>
        <n v="61.781669636260922"/>
        <n v="62.828199863107457"/>
        <n v="92.542775553462079"/>
        <n v="91.047227926078023"/>
        <n v="79.806286969748172"/>
        <n v="60.613958707360865"/>
        <n v="69.19782540675844"/>
        <n v="87.613963039014379"/>
        <n v="61.422326238629338"/>
        <n v="99.077344284736483"/>
        <n v="62.282690886967103"/>
        <n v="87.44695414099931"/>
        <n v="92.030793688177113"/>
        <n v="63.091033538672143"/>
        <n v="72.290889997374634"/>
        <n v="61.033560010597903"/>
        <n v="81.87475260588468"/>
        <n v="66.477075841778358"/>
        <n v="87.583846680355919"/>
        <n v="76.482541601479156"/>
        <n v="65.965102974828383"/>
        <n v="90.778918548939089"/>
        <n v="94.809034907597535"/>
        <n v="79.110198494182072"/>
        <n v="74.11568226618968"/>
        <n v="87.92949210939183"/>
        <n v="62.613967233062446"/>
        <n v="95.367556468172481"/>
        <n v="64.307316456762564"/>
        <n v="64.833699755257811"/>
        <n v="68.575628918339817"/>
        <n v="60.62015366952221"/>
        <n v="77.800831744931557"/>
        <n v="73.039032150653"/>
        <n v="58.893908281998634"/>
        <n v="90.910335386721428"/>
        <n v="95.613963039014379"/>
        <n v="74.02259618894648"/>
        <n v="79.655703904005406"/>
        <n v="53.778933744835484"/>
        <n v="61.3648326415261"/>
        <n v="59.003422313483917"/>
        <n v="82.353872542551784"/>
        <n v="83.441478439425055"/>
        <n v="89.907605752452014"/>
        <n v="67.597535934291585"/>
        <n v="71.880208528672696"/>
        <n v="53.7816715615511"/>
        <n v="67.806285215459098"/>
        <n v="76.123879960176353"/>
        <n v="68.337433537020871"/>
        <n v="35.019849418206711"/>
        <n v="36.924063400576372"/>
        <n v="96.342911174461591"/>
        <n v="80.227919553827945"/>
        <n v="60.457899461400359"/>
        <n v="97.397681240396707"/>
        <n v="70.45243512127405"/>
        <n v="84.192327514011467"/>
        <n v="68.976063829787236"/>
        <n v="80.583843163765422"/>
        <n v="80.973323094387496"/>
        <n v="82.400415622113741"/>
        <n v="83.329226557152637"/>
        <n v="70.367562565071523"/>
        <n v="84.318269664368998"/>
        <n v="45.600285680276158"/>
        <n v="70.490764662784869"/>
        <n v="79.518138261464756"/>
        <n v="76.260773716398802"/>
        <n v="72.855599541233488"/>
        <n v="60.373025134649914"/>
        <n v="62.08556777193516"/>
        <n v="73.847375337665184"/>
        <n v="51.89663188345903"/>
        <n v="66.597540045766593"/>
        <n v="62.880219028062967"/>
        <n v="62.26900178175655"/>
        <n v="68.110189667486708"/>
        <n v="81.249841407632474"/>
        <n v="75.186858316221759"/>
        <n v="82.611228394247263"/>
        <n v="88.633833237003017"/>
        <n v="80.951420653734431"/>
        <n v="65.225204297506949"/>
        <n v="84.236133479353214"/>
        <n v="80.197802940679395"/>
        <n v="69.743338603323949"/>
      </sharedItems>
      <fieldGroup base="23">
        <rangePr autoStart="0" autoEnd="0" startNum="30" endNum="100" groupInterval="10"/>
        <groupItems count="9">
          <s v="&lt;30"/>
          <s v="30-40"/>
          <s v="40-50"/>
          <s v="50-60"/>
          <s v="60-70"/>
          <s v="70-80"/>
          <s v="80-90"/>
          <s v="90-100"/>
          <s v="&gt;10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s v="Fashion &amp; Retail"/>
    <s v="Bernard Arnault &amp; family"/>
    <s v="France"/>
    <s v="Paris"/>
    <s v="LVMH"/>
    <s v="Fashion &amp; Retail"/>
    <b v="0"/>
    <s v="Male"/>
    <s v="Arnault"/>
    <x v="0"/>
    <n v="211000"/>
    <n v="1949"/>
    <n v="3"/>
    <n v="5"/>
    <n v="110.05"/>
    <n v="2715518274227"/>
    <n v="82.5"/>
    <n v="24.2"/>
    <n v="60.7"/>
    <n v="67059887"/>
    <d v="2025-08-13T00:00:00"/>
    <x v="0"/>
    <x v="0"/>
  </r>
  <r>
    <n v="2"/>
    <s v="Automotive"/>
    <s v="Elon Musk"/>
    <s v="United States"/>
    <s v="Austin"/>
    <s v="Tesla, SpaceX"/>
    <s v="Automotive"/>
    <b v="1"/>
    <s v="Male"/>
    <s v="Musk"/>
    <x v="1"/>
    <n v="180000"/>
    <n v="1971"/>
    <n v="6"/>
    <n v="28"/>
    <n v="117.24"/>
    <n v="21427700000000"/>
    <n v="78.5"/>
    <n v="9.6"/>
    <n v="36.6"/>
    <n v="328239523"/>
    <d v="2025-08-13T00:00:00"/>
    <x v="1"/>
    <x v="1"/>
  </r>
  <r>
    <n v="3"/>
    <s v="Technology"/>
    <s v="Jeff Bezos"/>
    <s v="United States"/>
    <s v="Medina"/>
    <s v="Amazon"/>
    <s v="Technology"/>
    <b v="1"/>
    <s v="Male"/>
    <s v="Bezos"/>
    <x v="2"/>
    <n v="114000"/>
    <n v="1964"/>
    <n v="1"/>
    <n v="12"/>
    <n v="117.24"/>
    <n v="21427700000000"/>
    <n v="78.5"/>
    <n v="9.6"/>
    <n v="36.6"/>
    <n v="328239523"/>
    <d v="2025-08-13T00:00:00"/>
    <x v="2"/>
    <x v="2"/>
  </r>
  <r>
    <n v="4"/>
    <s v="Technology"/>
    <s v="Larry Ellison"/>
    <s v="United States"/>
    <s v="Lanai"/>
    <s v="Oracle"/>
    <s v="Technology"/>
    <b v="1"/>
    <s v="Male"/>
    <s v="Ellison"/>
    <x v="3"/>
    <n v="107000"/>
    <n v="1944"/>
    <n v="8"/>
    <n v="17"/>
    <n v="117.24"/>
    <n v="21427700000000"/>
    <n v="78.5"/>
    <n v="9.6"/>
    <n v="36.6"/>
    <n v="328239523"/>
    <d v="2025-08-13T00:00:00"/>
    <x v="3"/>
    <x v="3"/>
  </r>
  <r>
    <n v="5"/>
    <s v="Finance &amp; Investments"/>
    <s v="Warren Buffett"/>
    <s v="United States"/>
    <s v="Omaha"/>
    <s v="Berkshire Hathaway"/>
    <s v="Finance &amp; Investments"/>
    <b v="1"/>
    <s v="Male"/>
    <s v="Buffett"/>
    <x v="4"/>
    <n v="106000"/>
    <n v="1930"/>
    <n v="8"/>
    <n v="30"/>
    <n v="117.24"/>
    <n v="21427700000000"/>
    <n v="78.5"/>
    <n v="9.6"/>
    <n v="36.6"/>
    <n v="328239523"/>
    <d v="2025-08-13T00:00:00"/>
    <x v="4"/>
    <x v="4"/>
  </r>
  <r>
    <n v="6"/>
    <s v="Technology"/>
    <s v="Bill Gates"/>
    <s v="United States"/>
    <s v="Medina"/>
    <s v="Microsoft"/>
    <s v="Technology"/>
    <b v="1"/>
    <s v="Male"/>
    <s v="Gates"/>
    <x v="5"/>
    <n v="104000"/>
    <n v="1955"/>
    <n v="10"/>
    <n v="28"/>
    <n v="117.24"/>
    <n v="21427700000000"/>
    <n v="78.5"/>
    <n v="9.6"/>
    <n v="36.6"/>
    <n v="328239523"/>
    <d v="2025-08-13T00:00:00"/>
    <x v="5"/>
    <x v="5"/>
  </r>
  <r>
    <n v="7"/>
    <s v="Media &amp; Entertainment"/>
    <s v="Michael Bloomberg"/>
    <s v="United States"/>
    <s v="New York"/>
    <s v="Bloomberg LP"/>
    <s v="Media &amp; Entertainment"/>
    <b v="1"/>
    <s v="Male"/>
    <s v="Bloomberg"/>
    <x v="6"/>
    <n v="94500"/>
    <n v="1942"/>
    <n v="2"/>
    <n v="14"/>
    <n v="117.24"/>
    <n v="21427700000000"/>
    <n v="78.5"/>
    <n v="9.6"/>
    <n v="36.6"/>
    <n v="328239523"/>
    <d v="2025-08-13T00:00:00"/>
    <x v="6"/>
    <x v="6"/>
  </r>
  <r>
    <n v="8"/>
    <s v="Telecom"/>
    <s v="Carlos Slim Helu &amp; family"/>
    <s v="Mexico"/>
    <s v="Mexico City"/>
    <s v="Telecom"/>
    <s v="Telecom"/>
    <b v="1"/>
    <s v="Male"/>
    <s v="Slim Helu"/>
    <x v="7"/>
    <n v="93000"/>
    <n v="1940"/>
    <n v="1"/>
    <n v="28"/>
    <n v="141.54"/>
    <n v="1258286717125"/>
    <n v="75"/>
    <n v="13.1"/>
    <n v="55.1"/>
    <n v="126014024"/>
    <d v="2025-08-13T00:00:00"/>
    <x v="7"/>
    <x v="7"/>
  </r>
  <r>
    <n v="9"/>
    <s v="Diversified"/>
    <s v="Mukesh Ambani"/>
    <s v="India"/>
    <s v="Mumbai"/>
    <s v="Diversified"/>
    <s v="Diversified"/>
    <b v="0"/>
    <s v="Male"/>
    <s v="Ambani"/>
    <x v="8"/>
    <n v="83400"/>
    <n v="1957"/>
    <n v="4"/>
    <n v="19"/>
    <n v="180.44"/>
    <n v="2611000000000"/>
    <n v="69.400000000000006"/>
    <n v="11.2"/>
    <n v="49.7"/>
    <n v="1366417754"/>
    <d v="2025-08-13T00:00:00"/>
    <x v="8"/>
    <x v="8"/>
  </r>
  <r>
    <n v="10"/>
    <s v="Technology"/>
    <s v="Steve Ballmer"/>
    <s v="United States"/>
    <s v="Hunts Point"/>
    <s v="Microsoft"/>
    <s v="Technology"/>
    <b v="1"/>
    <s v="Male"/>
    <s v="Ballmer"/>
    <x v="9"/>
    <n v="80700"/>
    <n v="1956"/>
    <n v="3"/>
    <n v="24"/>
    <n v="117.24"/>
    <n v="21427700000000"/>
    <n v="78.5"/>
    <n v="9.6"/>
    <n v="36.6"/>
    <n v="328239523"/>
    <d v="2025-08-13T00:00:00"/>
    <x v="9"/>
    <x v="9"/>
  </r>
  <r>
    <n v="11"/>
    <s v="Fashion &amp; Retail"/>
    <s v="Francoise Bettencourt Meyers &amp; family"/>
    <s v="France"/>
    <s v="Paris"/>
    <s v="L'Oréal"/>
    <s v="Fashion &amp; Retail"/>
    <b v="0"/>
    <s v="Female"/>
    <s v="Bettencourt Meyers"/>
    <x v="10"/>
    <n v="80500"/>
    <n v="1953"/>
    <n v="7"/>
    <n v="10"/>
    <n v="110.05"/>
    <n v="2715518274227"/>
    <n v="82.5"/>
    <n v="24.2"/>
    <n v="60.7"/>
    <n v="67059887"/>
    <d v="2025-08-13T00:00:00"/>
    <x v="10"/>
    <x v="10"/>
  </r>
  <r>
    <n v="12"/>
    <s v="Technology"/>
    <s v="Larry Page"/>
    <s v="United States"/>
    <s v="Palo Alto"/>
    <s v="Google"/>
    <s v="Technology"/>
    <b v="1"/>
    <s v="Male"/>
    <s v="Page"/>
    <x v="3"/>
    <n v="79200"/>
    <n v="1973"/>
    <n v="3"/>
    <n v="26"/>
    <n v="117.24"/>
    <n v="21427700000000"/>
    <n v="78.5"/>
    <n v="9.6"/>
    <n v="36.6"/>
    <n v="328239523"/>
    <d v="2025-08-13T00:00:00"/>
    <x v="11"/>
    <x v="11"/>
  </r>
  <r>
    <n v="13"/>
    <s v="Fashion &amp; Retail"/>
    <s v="Amancio Ortega"/>
    <s v="Spain"/>
    <s v="La Coruna"/>
    <s v="Zara"/>
    <s v="Fashion &amp; Retail"/>
    <b v="1"/>
    <s v="Male"/>
    <s v="Ortega"/>
    <x v="11"/>
    <n v="77300"/>
    <n v="1936"/>
    <n v="3"/>
    <n v="28"/>
    <n v="110.96"/>
    <n v="1394116310769"/>
    <n v="83.3"/>
    <n v="14.2"/>
    <n v="47"/>
    <n v="47076781"/>
    <d v="2025-08-13T00:00:00"/>
    <x v="12"/>
    <x v="12"/>
  </r>
  <r>
    <n v="14"/>
    <s v="Technology"/>
    <s v="Sergey Brin"/>
    <s v="United States"/>
    <s v="Los Altos"/>
    <s v="Google"/>
    <s v="Technology"/>
    <b v="1"/>
    <s v="Male"/>
    <s v="Brin"/>
    <x v="12"/>
    <n v="76000"/>
    <n v="1973"/>
    <n v="8"/>
    <n v="21"/>
    <n v="117.24"/>
    <n v="21427700000000"/>
    <n v="78.5"/>
    <n v="9.6"/>
    <n v="36.6"/>
    <n v="328239523"/>
    <d v="2025-08-13T00:00:00"/>
    <x v="13"/>
    <x v="13"/>
  </r>
  <r>
    <n v="15"/>
    <s v="Food &amp; Beverage"/>
    <s v="Zhong Shanshan"/>
    <s v="China"/>
    <s v="Hangzhou"/>
    <s v="Beverages, pharmaceuticals"/>
    <s v="Food &amp; Beverage"/>
    <b v="1"/>
    <s v="Male"/>
    <s v="Zhong"/>
    <x v="13"/>
    <n v="68000"/>
    <n v="1954"/>
    <n v="12"/>
    <n v="1"/>
    <n v="125.08"/>
    <n v="19910000000000"/>
    <n v="77"/>
    <n v="9.4"/>
    <n v="59.2"/>
    <n v="1397715000"/>
    <d v="2025-08-13T00:00:00"/>
    <x v="14"/>
    <x v="14"/>
  </r>
  <r>
    <n v="16"/>
    <s v="Technology"/>
    <s v="Mark Zuckerberg"/>
    <s v="United States"/>
    <s v="Palo Alto"/>
    <s v="Facebook"/>
    <s v="Technology"/>
    <b v="1"/>
    <s v="Male"/>
    <s v="Zuckerberg"/>
    <x v="14"/>
    <n v="64400"/>
    <n v="1984"/>
    <n v="5"/>
    <n v="14"/>
    <n v="117.24"/>
    <n v="21427700000000"/>
    <n v="78.5"/>
    <n v="9.6"/>
    <n v="36.6"/>
    <n v="328239523"/>
    <d v="2025-08-13T00:00:00"/>
    <x v="15"/>
    <x v="15"/>
  </r>
  <r>
    <n v="17"/>
    <s v="Diversified"/>
    <s v="Charles Koch &amp; family"/>
    <s v="United States"/>
    <s v="Wichita"/>
    <s v="Koch Industries"/>
    <s v="Diversified"/>
    <b v="0"/>
    <s v="Male"/>
    <s v="Koch"/>
    <x v="15"/>
    <n v="59000"/>
    <n v="1935"/>
    <n v="11"/>
    <n v="1"/>
    <n v="117.24"/>
    <n v="21427700000000"/>
    <n v="78.5"/>
    <n v="9.6"/>
    <n v="36.6"/>
    <n v="328239523"/>
    <d v="2025-08-13T00:00:00"/>
    <x v="16"/>
    <x v="16"/>
  </r>
  <r>
    <n v="17"/>
    <s v="Diversified"/>
    <s v="Julia Koch &amp; family"/>
    <s v="United States"/>
    <s v="New York"/>
    <s v="Koch Industries"/>
    <s v="Diversified"/>
    <b v="0"/>
    <s v="Female"/>
    <s v="Koch"/>
    <x v="16"/>
    <n v="59000"/>
    <n v="1962"/>
    <n v="4"/>
    <n v="12"/>
    <n v="117.24"/>
    <n v="21427700000000"/>
    <n v="78.5"/>
    <n v="9.6"/>
    <n v="36.6"/>
    <n v="328239523"/>
    <d v="2025-08-13T00:00:00"/>
    <x v="17"/>
    <x v="17"/>
  </r>
  <r>
    <n v="19"/>
    <s v="Fashion &amp; Retail"/>
    <s v="Jim Walton"/>
    <s v="United States"/>
    <s v="Bentonville"/>
    <s v="Walmart"/>
    <s v="Fashion &amp; Retail"/>
    <b v="0"/>
    <s v="Male"/>
    <s v="Walton"/>
    <x v="17"/>
    <n v="58800"/>
    <n v="1948"/>
    <n v="6"/>
    <n v="7"/>
    <n v="117.24"/>
    <n v="21427700000000"/>
    <n v="78.5"/>
    <n v="9.6"/>
    <n v="36.6"/>
    <n v="328239523"/>
    <d v="2025-08-13T00:00:00"/>
    <x v="18"/>
    <x v="18"/>
  </r>
  <r>
    <n v="20"/>
    <s v="Fashion &amp; Retail"/>
    <s v="Rob Walton &amp; family"/>
    <s v="United States"/>
    <s v="Bentonville"/>
    <s v="Walmart"/>
    <s v="Fashion &amp; Retail"/>
    <b v="0"/>
    <s v="Male"/>
    <s v="Walton"/>
    <x v="18"/>
    <n v="57600"/>
    <n v="1944"/>
    <n v="10"/>
    <n v="27"/>
    <n v="117.24"/>
    <n v="21427700000000"/>
    <n v="78.5"/>
    <n v="9.6"/>
    <n v="36.6"/>
    <n v="328239523"/>
    <d v="2025-08-13T00:00:00"/>
    <x v="19"/>
    <x v="19"/>
  </r>
  <r>
    <n v="21"/>
    <s v="Fashion &amp; Retail"/>
    <s v="Alice Walton"/>
    <s v="United States"/>
    <s v="Fort Worth"/>
    <s v="Walmart"/>
    <s v="Fashion &amp; Retail"/>
    <b v="0"/>
    <s v="Female"/>
    <s v="Walton"/>
    <x v="19"/>
    <n v="56700"/>
    <n v="1949"/>
    <n v="10"/>
    <n v="7"/>
    <n v="117.24"/>
    <n v="21427700000000"/>
    <n v="78.5"/>
    <n v="9.6"/>
    <n v="36.6"/>
    <n v="328239523"/>
    <d v="2025-08-13T00:00:00"/>
    <x v="20"/>
    <x v="20"/>
  </r>
  <r>
    <n v="22"/>
    <s v="Media &amp; Entertainment"/>
    <s v="David Thomson &amp; family"/>
    <s v="Canada"/>
    <s v="Toronto"/>
    <s v="Media"/>
    <s v="Media &amp; Entertainment"/>
    <b v="0"/>
    <s v="Male"/>
    <s v="Thomson"/>
    <x v="20"/>
    <n v="54400"/>
    <n v="1957"/>
    <n v="6"/>
    <n v="12"/>
    <n v="116.76"/>
    <n v="1736425629520"/>
    <n v="81.900000000000006"/>
    <n v="12.8"/>
    <n v="24.5"/>
    <n v="36991981"/>
    <d v="2025-08-13T00:00:00"/>
    <x v="21"/>
    <x v="21"/>
  </r>
  <r>
    <n v="23"/>
    <s v="Technology"/>
    <s v="Michael Dell"/>
    <s v="United States"/>
    <s v="Austin"/>
    <s v="Dell Technologies"/>
    <s v="Technology"/>
    <b v="1"/>
    <s v="Male"/>
    <s v="Dell"/>
    <x v="6"/>
    <n v="50100"/>
    <n v="1965"/>
    <n v="2"/>
    <n v="23"/>
    <n v="117.24"/>
    <n v="21427700000000"/>
    <n v="78.5"/>
    <n v="9.6"/>
    <n v="36.6"/>
    <n v="328239523"/>
    <d v="2025-08-13T00:00:00"/>
    <x v="22"/>
    <x v="22"/>
  </r>
  <r>
    <n v="24"/>
    <s v="Diversified"/>
    <s v="Gautam Adani"/>
    <s v="India"/>
    <s v="Ahmedabad"/>
    <s v="Infrastructure, commodities"/>
    <s v="Diversified"/>
    <b v="1"/>
    <s v="Male"/>
    <s v="Adani"/>
    <x v="21"/>
    <n v="47200"/>
    <n v="1962"/>
    <n v="6"/>
    <n v="24"/>
    <n v="180.44"/>
    <n v="2611000000000"/>
    <n v="69.400000000000006"/>
    <n v="11.2"/>
    <n v="49.7"/>
    <n v="1366417754"/>
    <d v="2025-08-13T00:00:00"/>
    <x v="23"/>
    <x v="23"/>
  </r>
  <r>
    <n v="25"/>
    <s v="Fashion &amp; Retail"/>
    <s v="Phil Knight &amp; family"/>
    <s v="United States"/>
    <s v="Hillsboro"/>
    <s v="Nike"/>
    <s v="Fashion &amp; Retail"/>
    <b v="1"/>
    <s v="Male"/>
    <s v="Knight"/>
    <x v="22"/>
    <n v="45100"/>
    <n v="1938"/>
    <n v="2"/>
    <n v="24"/>
    <n v="117.24"/>
    <n v="21427700000000"/>
    <n v="78.5"/>
    <n v="9.6"/>
    <n v="36.6"/>
    <n v="328239523"/>
    <d v="2025-08-13T00:00:00"/>
    <x v="24"/>
    <x v="24"/>
  </r>
  <r>
    <n v="26"/>
    <s v="Technology"/>
    <s v="Zhang Yiming"/>
    <s v="China"/>
    <s v="Beijing"/>
    <s v="TikTok"/>
    <s v="Technology"/>
    <b v="1"/>
    <s v="Male"/>
    <s v="Zhang"/>
    <x v="23"/>
    <n v="45000"/>
    <n v="1984"/>
    <n v="1"/>
    <n v="1"/>
    <n v="125.08"/>
    <n v="19910000000000"/>
    <n v="77"/>
    <n v="9.4"/>
    <n v="59.2"/>
    <n v="1397715000"/>
    <d v="2025-08-13T00:00:00"/>
    <x v="25"/>
    <x v="25"/>
  </r>
  <r>
    <n v="27"/>
    <s v="Fashion &amp; Retail"/>
    <s v="Dieter Schwarz"/>
    <s v="Germany"/>
    <s v="Neckarsulm"/>
    <s v="Retail"/>
    <s v="Fashion &amp; Retail"/>
    <b v="0"/>
    <s v="Male"/>
    <s v="Schwarz"/>
    <x v="24"/>
    <n v="42900"/>
    <n v="1939"/>
    <n v="9"/>
    <n v="24"/>
    <n v="112.85"/>
    <n v="3845630030824"/>
    <n v="80.900000000000006"/>
    <n v="11.5"/>
    <n v="48.8"/>
    <n v="83132799"/>
    <d v="2025-08-13T00:00:00"/>
    <x v="26"/>
    <x v="26"/>
  </r>
  <r>
    <n v="28"/>
    <s v="Fashion &amp; Retail"/>
    <s v="François Pinault &amp; family"/>
    <s v="France"/>
    <s v="Paris"/>
    <s v="Luxury goods"/>
    <s v="Fashion &amp; Retail"/>
    <b v="1"/>
    <s v="Male"/>
    <s v="Pinault"/>
    <x v="25"/>
    <n v="40100"/>
    <n v="1936"/>
    <n v="8"/>
    <n v="21"/>
    <n v="110.05"/>
    <n v="2715518274227"/>
    <n v="82.5"/>
    <n v="24.2"/>
    <n v="60.7"/>
    <n v="67059887"/>
    <d v="2025-08-13T00:00:00"/>
    <x v="27"/>
    <x v="27"/>
  </r>
  <r>
    <n v="29"/>
    <s v="Logistics"/>
    <s v="Klaus-Michael Kuehne"/>
    <s v="Switzerland"/>
    <s v="Schindellegi"/>
    <s v="Shipping"/>
    <s v="Logistics"/>
    <b v="0"/>
    <s v="Male"/>
    <s v="Kuehne"/>
    <x v="26"/>
    <n v="39100"/>
    <n v="1937"/>
    <n v="6"/>
    <n v="2"/>
    <n v="99.55"/>
    <n v="703082435360"/>
    <n v="83.6"/>
    <n v="10.1"/>
    <n v="28.8"/>
    <n v="8574832"/>
    <d v="2025-08-13T00:00:00"/>
    <x v="28"/>
    <x v="28"/>
  </r>
  <r>
    <n v="30"/>
    <s v="Food &amp; Beverage"/>
    <s v="Giovanni Ferrero"/>
    <s v="Belgium"/>
    <s v="Brussels"/>
    <s v="Nutella, chocolates"/>
    <s v="Food &amp; Beverage"/>
    <b v="0"/>
    <s v="Male"/>
    <s v="Ferrero"/>
    <x v="27"/>
    <n v="38900"/>
    <n v="1964"/>
    <n v="9"/>
    <n v="21"/>
    <n v="117.11"/>
    <n v="529606710418"/>
    <n v="81.599999999999994"/>
    <n v="24"/>
    <n v="55.4"/>
    <n v="11484055"/>
    <d v="2025-08-13T00:00:00"/>
    <x v="29"/>
    <x v="29"/>
  </r>
  <r>
    <n v="31"/>
    <s v="Food &amp; Beverage"/>
    <s v="Jacqueline Mars"/>
    <s v="United States"/>
    <s v="The Plains"/>
    <s v="Candy, pet food"/>
    <s v="Food &amp; Beverage"/>
    <b v="0"/>
    <s v="Female"/>
    <s v="Mars"/>
    <x v="28"/>
    <n v="38300"/>
    <n v="1939"/>
    <n v="10"/>
    <n v="10"/>
    <n v="117.24"/>
    <n v="21427700000000"/>
    <n v="78.5"/>
    <n v="9.6"/>
    <n v="36.6"/>
    <n v="328239523"/>
    <d v="2025-08-13T00:00:00"/>
    <x v="30"/>
    <x v="30"/>
  </r>
  <r>
    <n v="31"/>
    <s v="Food &amp; Beverage"/>
    <s v="John Mars"/>
    <s v="United States"/>
    <s v="Jackson"/>
    <s v="Candy, pet food"/>
    <s v="Food &amp; Beverage"/>
    <b v="0"/>
    <s v="Male"/>
    <s v="Mars"/>
    <x v="29"/>
    <n v="38300"/>
    <n v="1935"/>
    <n v="10"/>
    <n v="15"/>
    <n v="117.24"/>
    <n v="21427700000000"/>
    <n v="78.5"/>
    <n v="9.6"/>
    <n v="36.6"/>
    <n v="328239523"/>
    <d v="2025-08-13T00:00:00"/>
    <x v="31"/>
    <x v="31"/>
  </r>
  <r>
    <n v="34"/>
    <s v="Technology"/>
    <s v="Ma Huateng"/>
    <s v="China"/>
    <s v="Shenzhen"/>
    <s v="Internet media"/>
    <s v="Technology"/>
    <b v="1"/>
    <s v="Male"/>
    <s v="Ma"/>
    <x v="30"/>
    <n v="35300"/>
    <n v="1971"/>
    <n v="10"/>
    <n v="29"/>
    <n v="125.08"/>
    <n v="19910000000000"/>
    <n v="77"/>
    <n v="9.4"/>
    <n v="59.2"/>
    <n v="1397715000"/>
    <d v="2025-08-13T00:00:00"/>
    <x v="32"/>
    <x v="32"/>
  </r>
  <r>
    <n v="35"/>
    <s v="Gambling &amp; Casinos"/>
    <s v="Miriam Adelson &amp; family"/>
    <s v="United States"/>
    <s v="Las Vegas"/>
    <s v="Casinos"/>
    <s v="Gambling &amp; Casinos"/>
    <b v="0"/>
    <s v="Female"/>
    <s v="Adelson"/>
    <x v="31"/>
    <n v="35000"/>
    <n v="1945"/>
    <n v="10"/>
    <n v="10"/>
    <n v="117.24"/>
    <n v="21427700000000"/>
    <n v="78.5"/>
    <n v="9.6"/>
    <n v="36.6"/>
    <n v="328239523"/>
    <d v="2025-08-13T00:00:00"/>
    <x v="33"/>
    <x v="33"/>
  </r>
  <r>
    <n v="35"/>
    <s v="Finance &amp; Investments"/>
    <s v="Ken Griffin"/>
    <s v="United States"/>
    <s v="Miami"/>
    <s v="Hedge funds"/>
    <s v="Finance &amp; Investments"/>
    <b v="1"/>
    <s v="Male"/>
    <s v="Griffin"/>
    <x v="32"/>
    <n v="35000"/>
    <n v="1968"/>
    <n v="10"/>
    <n v="15"/>
    <n v="117.24"/>
    <n v="21427700000000"/>
    <n v="78.5"/>
    <n v="9.6"/>
    <n v="36.6"/>
    <n v="328239523"/>
    <d v="2025-08-13T00:00:00"/>
    <x v="34"/>
    <x v="34"/>
  </r>
  <r>
    <n v="37"/>
    <s v="Food &amp; Beverage"/>
    <s v="Mark Mateschitz"/>
    <s v="Austria"/>
    <s v="Salzburg"/>
    <s v="Red Bull"/>
    <s v="Food &amp; Beverage"/>
    <b v="0"/>
    <s v="Male"/>
    <s v="Mateschitz"/>
    <x v="14"/>
    <n v="34700"/>
    <n v="1992"/>
    <n v="5"/>
    <n v="7"/>
    <n v="118.06"/>
    <n v="446314739528"/>
    <n v="81.599999999999994"/>
    <n v="25.4"/>
    <n v="51.4"/>
    <n v="8877067"/>
    <d v="2025-08-13T00:00:00"/>
    <x v="35"/>
    <x v="35"/>
  </r>
  <r>
    <n v="38"/>
    <s v="Automotive"/>
    <s v="Robin Zeng"/>
    <s v="China"/>
    <s v="Ningde"/>
    <s v="Batteries"/>
    <s v="Automotive"/>
    <b v="1"/>
    <s v="Male"/>
    <s v="Zeng"/>
    <x v="33"/>
    <n v="33400"/>
    <n v="1969"/>
    <n v="1"/>
    <n v="1"/>
    <n v="125.08"/>
    <n v="19910000000000"/>
    <n v="77"/>
    <n v="9.4"/>
    <n v="59.2"/>
    <n v="1397715000"/>
    <d v="2025-08-13T00:00:00"/>
    <x v="36"/>
    <x v="36"/>
  </r>
  <r>
    <n v="39"/>
    <s v="Fashion &amp; Retail"/>
    <s v="Tadashi Yanai &amp; family"/>
    <s v="Japan"/>
    <s v="Tokyo"/>
    <s v="Fashion retail"/>
    <s v="Fashion &amp; Retail"/>
    <b v="1"/>
    <s v="Male"/>
    <s v="Yanai"/>
    <x v="34"/>
    <n v="32600"/>
    <n v="1949"/>
    <n v="2"/>
    <n v="7"/>
    <n v="105.48"/>
    <n v="5081769542380"/>
    <n v="84.2"/>
    <n v="11.9"/>
    <n v="46.7"/>
    <n v="126226568"/>
    <d v="2025-08-13T00:00:00"/>
    <x v="37"/>
    <x v="37"/>
  </r>
  <r>
    <n v="40"/>
    <s v="Diversified"/>
    <s v="Len Blavatnik"/>
    <s v="United Kingdom"/>
    <s v="London"/>
    <s v="Music, chemicals"/>
    <s v="Diversified"/>
    <b v="1"/>
    <s v="Male"/>
    <s v="Blavatnik"/>
    <x v="35"/>
    <n v="32100"/>
    <n v="1957"/>
    <n v="6"/>
    <n v="1"/>
    <n v="119.62"/>
    <n v="2827113184696"/>
    <n v="81.3"/>
    <n v="25.5"/>
    <n v="30.6"/>
    <n v="66834405"/>
    <d v="2025-08-13T00:00:00"/>
    <x v="38"/>
    <x v="38"/>
  </r>
  <r>
    <n v="41"/>
    <s v="Fashion &amp; Retail"/>
    <s v="Alain Wertheimer"/>
    <s v="United States"/>
    <s v="New York"/>
    <s v="Chanel"/>
    <s v="Fashion &amp; Retail"/>
    <b v="0"/>
    <s v="Male"/>
    <s v="Wertheimer"/>
    <x v="36"/>
    <n v="31600"/>
    <n v="1948"/>
    <n v="8"/>
    <n v="28"/>
    <n v="117.24"/>
    <n v="21427700000000"/>
    <n v="78.5"/>
    <n v="9.6"/>
    <n v="36.6"/>
    <n v="328239523"/>
    <d v="2025-08-13T00:00:00"/>
    <x v="39"/>
    <x v="39"/>
  </r>
  <r>
    <n v="41"/>
    <s v="Fashion &amp; Retail"/>
    <s v="Gerard Wertheimer"/>
    <s v="United States"/>
    <s v="New York"/>
    <s v="Chanel"/>
    <s v="Fashion &amp; Retail"/>
    <b v="0"/>
    <s v="Male"/>
    <s v="Wertheimer"/>
    <x v="37"/>
    <n v="31600"/>
    <n v="1951"/>
    <n v="1"/>
    <n v="9"/>
    <n v="117.24"/>
    <n v="21427700000000"/>
    <n v="78.5"/>
    <n v="9.6"/>
    <n v="36.6"/>
    <n v="328239523"/>
    <d v="2025-08-13T00:00:00"/>
    <x v="40"/>
    <x v="40"/>
  </r>
  <r>
    <n v="43"/>
    <s v="Logistics"/>
    <s v="Gianluigi Aponte"/>
    <s v="Switzerland"/>
    <s v="Geneva"/>
    <s v="Shipping"/>
    <s v="Logistics"/>
    <b v="1"/>
    <s v="Male"/>
    <s v="Aponte"/>
    <x v="38"/>
    <n v="31200"/>
    <n v="1940"/>
    <n v="6"/>
    <n v="27"/>
    <n v="99.55"/>
    <n v="703082435360"/>
    <n v="83.6"/>
    <n v="10.1"/>
    <n v="28.8"/>
    <n v="8574832"/>
    <d v="2025-08-13T00:00:00"/>
    <x v="41"/>
    <x v="41"/>
  </r>
  <r>
    <n v="43"/>
    <s v="Logistics"/>
    <s v="Rafaela Aponte-Diamant"/>
    <s v="Switzerland"/>
    <s v="Geneva"/>
    <s v="Shipping"/>
    <s v="Logistics"/>
    <b v="1"/>
    <s v="Female"/>
    <s v="Aponte-Diamant"/>
    <x v="39"/>
    <n v="31200"/>
    <n v="1945"/>
    <n v="3"/>
    <n v="26"/>
    <n v="99.55"/>
    <n v="703082435360"/>
    <n v="83.6"/>
    <n v="10.1"/>
    <n v="28.8"/>
    <n v="8574832"/>
    <d v="2025-08-13T00:00:00"/>
    <x v="42"/>
    <x v="42"/>
  </r>
  <r>
    <n v="45"/>
    <s v="Technology"/>
    <s v="Colin Zheng Huang"/>
    <s v="China"/>
    <s v="Shanghai"/>
    <s v="E-commerce"/>
    <s v="Technology"/>
    <b v="1"/>
    <s v="Male"/>
    <s v="Huang"/>
    <x v="40"/>
    <n v="30200"/>
    <n v="1980"/>
    <n v="2"/>
    <n v="2"/>
    <n v="125.08"/>
    <n v="19910000000000"/>
    <n v="77"/>
    <n v="9.4"/>
    <n v="59.2"/>
    <n v="1397715000"/>
    <d v="2025-08-13T00:00:00"/>
    <x v="43"/>
    <x v="43"/>
  </r>
  <r>
    <n v="46"/>
    <s v="Manufacturing"/>
    <s v="Reinhold Wuerth &amp; family"/>
    <s v="Germany"/>
    <s v="Kuenzelsau"/>
    <s v="Fasteners"/>
    <s v="Manufacturing"/>
    <b v="1"/>
    <s v="Male"/>
    <s v="Wuerth"/>
    <x v="41"/>
    <n v="29700"/>
    <n v="1935"/>
    <n v="4"/>
    <n v="20"/>
    <n v="112.85"/>
    <n v="3845630030824"/>
    <n v="80.900000000000006"/>
    <n v="11.5"/>
    <n v="48.8"/>
    <n v="83132799"/>
    <d v="2025-08-13T00:00:00"/>
    <x v="44"/>
    <x v="44"/>
  </r>
  <r>
    <n v="48"/>
    <s v="Finance &amp; Investments"/>
    <s v="Jeff Yass"/>
    <s v="United States"/>
    <s v="Haverford"/>
    <s v="Trading, investments"/>
    <s v="Finance &amp; Investments"/>
    <b v="1"/>
    <s v="Male"/>
    <s v="Yass"/>
    <x v="2"/>
    <n v="28500"/>
    <n v="1958"/>
    <n v="7"/>
    <n v="17"/>
    <n v="117.24"/>
    <n v="21427700000000"/>
    <n v="78.5"/>
    <n v="9.6"/>
    <n v="36.6"/>
    <n v="328239523"/>
    <d v="2025-08-13T00:00:00"/>
    <x v="45"/>
    <x v="45"/>
  </r>
  <r>
    <n v="49"/>
    <s v="Finance &amp; Investments"/>
    <s v="Jim Simons"/>
    <s v="United States"/>
    <s v="East Setauket"/>
    <s v="Hedge funds"/>
    <s v="Finance &amp; Investments"/>
    <b v="1"/>
    <s v="Male"/>
    <s v="Simons"/>
    <x v="17"/>
    <n v="28100"/>
    <n v="1938"/>
    <n v="4"/>
    <n v="25"/>
    <n v="117.24"/>
    <n v="21427700000000"/>
    <n v="78.5"/>
    <n v="9.6"/>
    <n v="36.6"/>
    <n v="328239523"/>
    <d v="2025-08-13T00:00:00"/>
    <x v="46"/>
    <x v="46"/>
  </r>
  <r>
    <n v="50"/>
    <s v="Finance &amp; Investments"/>
    <s v="Stephen Schwarzman"/>
    <s v="United States"/>
    <s v="New York"/>
    <s v="Investments"/>
    <s v="Finance &amp; Investments"/>
    <b v="1"/>
    <s v="Male"/>
    <s v="Schwarzman"/>
    <x v="42"/>
    <n v="27800"/>
    <n v="1947"/>
    <n v="2"/>
    <n v="14"/>
    <n v="117.24"/>
    <n v="21427700000000"/>
    <n v="78.5"/>
    <n v="9.6"/>
    <n v="36.6"/>
    <n v="328239523"/>
    <d v="2025-08-13T00:00:00"/>
    <x v="47"/>
    <x v="47"/>
  </r>
  <r>
    <n v="51"/>
    <s v="Automotive"/>
    <s v="Susanne Klatten"/>
    <s v="Germany"/>
    <s v="Bad Homburg"/>
    <s v="BMW, pharmaceuticals"/>
    <s v="Automotive"/>
    <b v="0"/>
    <s v="Female"/>
    <s v="Klatten"/>
    <x v="43"/>
    <n v="27400"/>
    <n v="1962"/>
    <n v="4"/>
    <n v="28"/>
    <n v="112.85"/>
    <n v="3845630030824"/>
    <n v="80.900000000000006"/>
    <n v="11.5"/>
    <n v="48.8"/>
    <n v="83132799"/>
    <d v="2025-08-13T00:00:00"/>
    <x v="48"/>
    <x v="48"/>
  </r>
  <r>
    <n v="52"/>
    <s v="Metals &amp; Mining"/>
    <s v="Gina Rinehart"/>
    <s v="Australia"/>
    <s v="Perth"/>
    <s v="Mining"/>
    <s v="Metals &amp; Mining"/>
    <b v="0"/>
    <s v="Female"/>
    <s v="Rinehart"/>
    <x v="44"/>
    <n v="27000"/>
    <n v="1954"/>
    <n v="2"/>
    <n v="9"/>
    <n v="119.8"/>
    <n v="1392680589329"/>
    <n v="82.7"/>
    <n v="23"/>
    <n v="47.4"/>
    <n v="25766605"/>
    <d v="2025-08-13T00:00:00"/>
    <x v="49"/>
    <x v="49"/>
  </r>
  <r>
    <n v="53"/>
    <s v="Technology"/>
    <s v="William Ding"/>
    <s v="China"/>
    <s v="Hangzhou"/>
    <s v="Online games"/>
    <s v="Technology"/>
    <b v="1"/>
    <s v="Male"/>
    <s v="Ding"/>
    <x v="45"/>
    <n v="26700"/>
    <n v="1971"/>
    <n v="10"/>
    <n v="1"/>
    <n v="125.08"/>
    <n v="19910000000000"/>
    <n v="77"/>
    <n v="9.4"/>
    <n v="59.2"/>
    <n v="1397715000"/>
    <d v="2025-08-13T00:00:00"/>
    <x v="50"/>
    <x v="50"/>
  </r>
  <r>
    <n v="54"/>
    <s v="Metals &amp; Mining"/>
    <s v="Germán Larrea Mota Velasco &amp; family"/>
    <s v="Mexico"/>
    <s v="Mexico City"/>
    <s v="Mining"/>
    <s v="Metals &amp; Mining"/>
    <b v="0"/>
    <s v="Male"/>
    <s v="Larrea Mota Velasco"/>
    <x v="46"/>
    <n v="26600"/>
    <n v="1953"/>
    <n v="10"/>
    <n v="26"/>
    <n v="141.54"/>
    <n v="1258286717125"/>
    <n v="75"/>
    <n v="13.1"/>
    <n v="55.1"/>
    <n v="126014024"/>
    <d v="2025-08-13T00:00:00"/>
    <x v="51"/>
    <x v="51"/>
  </r>
  <r>
    <n v="55"/>
    <s v="Technology"/>
    <s v="Shiv Nadar"/>
    <s v="India"/>
    <s v="Delhi"/>
    <s v="software services"/>
    <s v="Technology"/>
    <b v="1"/>
    <s v="Male"/>
    <s v="Nadar"/>
    <x v="47"/>
    <n v="25600"/>
    <n v="1945"/>
    <n v="7"/>
    <n v="18"/>
    <n v="180.44"/>
    <n v="2611000000000"/>
    <n v="69.400000000000006"/>
    <n v="11.2"/>
    <n v="49.7"/>
    <n v="1366417754"/>
    <d v="2025-08-13T00:00:00"/>
    <x v="52"/>
    <x v="52"/>
  </r>
  <r>
    <n v="56"/>
    <s v="Energy"/>
    <s v="Low Tuck Kwong"/>
    <s v="Indonesia"/>
    <s v="Jakarta"/>
    <s v="Coal"/>
    <s v="Energy"/>
    <b v="1"/>
    <s v="Male"/>
    <s v="Low Tuck"/>
    <x v="48"/>
    <n v="25500"/>
    <n v="1948"/>
    <n v="4"/>
    <n v="17"/>
    <n v="151.18"/>
    <n v="1119190780753"/>
    <n v="71.5"/>
    <n v="10.199999999999999"/>
    <n v="30.1"/>
    <n v="270203917"/>
    <d v="2025-08-13T00:00:00"/>
    <x v="53"/>
    <x v="53"/>
  </r>
  <r>
    <n v="57"/>
    <s v="Finance &amp; Investments"/>
    <s v="Thomas Peterffy"/>
    <s v="United States"/>
    <s v="Palm Beach"/>
    <s v="Discount brokerage"/>
    <s v="Finance &amp; Investments"/>
    <b v="1"/>
    <s v="Male"/>
    <s v="Peterffy"/>
    <x v="49"/>
    <n v="25300"/>
    <n v="1944"/>
    <n v="9"/>
    <n v="30"/>
    <n v="117.24"/>
    <n v="21427700000000"/>
    <n v="78.5"/>
    <n v="9.6"/>
    <n v="36.6"/>
    <n v="328239523"/>
    <d v="2025-08-13T00:00:00"/>
    <x v="54"/>
    <x v="54"/>
  </r>
  <r>
    <n v="58"/>
    <s v="Metals &amp; Mining"/>
    <s v="Andrey Melnichenko &amp; family"/>
    <s v="United Arab Emirates"/>
    <s v="Ras Al Khaimah"/>
    <s v="Fertilizers, coal"/>
    <s v="Metals &amp; Mining"/>
    <b v="1"/>
    <s v="Male"/>
    <s v="Melnichenko"/>
    <x v="50"/>
    <n v="25200"/>
    <n v="1972"/>
    <n v="3"/>
    <n v="8"/>
    <n v="114.52"/>
    <n v="421142267938"/>
    <n v="77.8"/>
    <n v="0.1"/>
    <n v="15.9"/>
    <n v="9770529"/>
    <d v="2025-08-13T00:00:00"/>
    <x v="55"/>
    <x v="55"/>
  </r>
  <r>
    <n v="59"/>
    <s v="Automotive"/>
    <s v="Stefan Quandt"/>
    <s v="Germany"/>
    <s v="Frankfurt"/>
    <s v="BMW"/>
    <s v="Automotive"/>
    <b v="0"/>
    <s v="Male"/>
    <s v="Quandt"/>
    <x v="51"/>
    <n v="24600"/>
    <n v="1966"/>
    <n v="5"/>
    <n v="9"/>
    <n v="112.85"/>
    <n v="3845630030824"/>
    <n v="80.900000000000006"/>
    <n v="11.5"/>
    <n v="48.8"/>
    <n v="83132799"/>
    <d v="2025-08-13T00:00:00"/>
    <x v="56"/>
    <x v="56"/>
  </r>
  <r>
    <n v="60"/>
    <s v="Technology"/>
    <s v="MacKenzie Scott"/>
    <s v="United States"/>
    <s v="Seattle"/>
    <s v="Amazon"/>
    <s v="Technology"/>
    <b v="0"/>
    <s v="Female"/>
    <s v="Scott"/>
    <x v="52"/>
    <n v="24400"/>
    <n v="1970"/>
    <n v="4"/>
    <n v="7"/>
    <n v="117.24"/>
    <n v="21427700000000"/>
    <n v="78.5"/>
    <n v="9.6"/>
    <n v="36.6"/>
    <n v="328239523"/>
    <d v="2025-08-13T00:00:00"/>
    <x v="57"/>
    <x v="57"/>
  </r>
  <r>
    <n v="61"/>
    <s v="Finance &amp; Investments"/>
    <s v="R. Budi Hartono"/>
    <s v="Indonesia"/>
    <s v="Kudus"/>
    <s v="Banking, tobacco"/>
    <s v="Finance &amp; Investments"/>
    <b v="0"/>
    <s v="Male"/>
    <s v="Hartono"/>
    <x v="53"/>
    <n v="24200"/>
    <n v="1941"/>
    <n v="1"/>
    <n v="1"/>
    <n v="151.18"/>
    <n v="1119190780753"/>
    <n v="71.5"/>
    <n v="10.199999999999999"/>
    <n v="30.1"/>
    <n v="270203917"/>
    <d v="2025-08-13T00:00:00"/>
    <x v="58"/>
    <x v="58"/>
  </r>
  <r>
    <n v="62"/>
    <s v="Metals &amp; Mining"/>
    <s v="Vladimir Potanin"/>
    <s v="Russia"/>
    <s v="Moscow"/>
    <s v="Metals"/>
    <s v="Metals &amp; Mining"/>
    <b v="1"/>
    <s v="Male"/>
    <s v="Potanin"/>
    <x v="54"/>
    <n v="23700"/>
    <n v="1961"/>
    <n v="1"/>
    <n v="3"/>
    <n v="180.75"/>
    <n v="1699876578871"/>
    <n v="72.7"/>
    <n v="11.4"/>
    <n v="46.2"/>
    <n v="144373535"/>
    <d v="2025-08-13T00:00:00"/>
    <x v="59"/>
    <x v="59"/>
  </r>
  <r>
    <n v="63"/>
    <s v="Technology"/>
    <s v="Jack Ma"/>
    <s v="China"/>
    <s v="Hangzhou"/>
    <s v="E-commerce"/>
    <s v="Technology"/>
    <b v="1"/>
    <s v="Male"/>
    <s v="Ma"/>
    <x v="55"/>
    <n v="23500"/>
    <n v="1964"/>
    <n v="9"/>
    <n v="10"/>
    <n v="125.08"/>
    <n v="19910000000000"/>
    <n v="77"/>
    <n v="9.4"/>
    <n v="59.2"/>
    <n v="1397715000"/>
    <d v="2025-08-13T00:00:00"/>
    <x v="60"/>
    <x v="60"/>
  </r>
  <r>
    <n v="64"/>
    <s v="Manufacturing"/>
    <s v="He Xiangjian &amp; family"/>
    <s v="China"/>
    <s v="Foshan"/>
    <s v="Home appliances"/>
    <s v="Manufacturing"/>
    <b v="1"/>
    <s v="Male"/>
    <s v="He"/>
    <x v="56"/>
    <n v="23400"/>
    <n v="1942"/>
    <n v="8"/>
    <n v="11"/>
    <n v="125.08"/>
    <n v="19910000000000"/>
    <n v="77"/>
    <n v="9.4"/>
    <n v="59.2"/>
    <n v="1397715000"/>
    <d v="2025-08-13T00:00:00"/>
    <x v="61"/>
    <x v="61"/>
  </r>
  <r>
    <n v="65"/>
    <s v="Metals &amp; Mining"/>
    <s v="Iris Fontbona &amp; family"/>
    <s v="Chile"/>
    <s v="Santiago"/>
    <s v="Mining"/>
    <s v="Metals &amp; Mining"/>
    <b v="0"/>
    <s v="Female"/>
    <s v="Fontbona"/>
    <x v="57"/>
    <n v="23100"/>
    <n v="1943"/>
    <n v="1"/>
    <n v="1"/>
    <n v="131.91"/>
    <n v="282318159745"/>
    <n v="80"/>
    <n v="18.2"/>
    <n v="34"/>
    <n v="18952038"/>
    <d v="2025-08-13T00:00:00"/>
    <x v="62"/>
    <x v="62"/>
  </r>
  <r>
    <n v="65"/>
    <s v="Manufacturing"/>
    <s v="Michael Hartono"/>
    <s v="Indonesia"/>
    <s v="Kudus"/>
    <s v="Banking, tobacco"/>
    <s v="Manufacturing"/>
    <b v="0"/>
    <s v="Male"/>
    <s v="Hartono"/>
    <x v="6"/>
    <n v="23100"/>
    <n v="1939"/>
    <n v="10"/>
    <n v="2"/>
    <n v="151.18"/>
    <n v="1119190780753"/>
    <n v="71.5"/>
    <n v="10.199999999999999"/>
    <n v="30.1"/>
    <n v="270203917"/>
    <d v="2025-08-13T00:00:00"/>
    <x v="63"/>
    <x v="63"/>
  </r>
  <r>
    <n v="67"/>
    <s v="Manufacturing"/>
    <s v="James Ratcliffe"/>
    <s v="United Kingdom"/>
    <s v="London"/>
    <s v="Chemicals"/>
    <s v="Manufacturing"/>
    <b v="1"/>
    <s v="Male"/>
    <s v="Ratcliffe"/>
    <x v="58"/>
    <n v="22900"/>
    <n v="1953"/>
    <n v="1"/>
    <n v="1"/>
    <n v="119.62"/>
    <n v="2827113184696"/>
    <n v="81.3"/>
    <n v="25.5"/>
    <n v="30.6"/>
    <n v="66834405"/>
    <d v="2025-08-13T00:00:00"/>
    <x v="64"/>
    <x v="64"/>
  </r>
  <r>
    <n v="68"/>
    <s v="Healthcare"/>
    <s v="Cyrus Poonawalla"/>
    <s v="India"/>
    <s v="Pune"/>
    <s v="Vaccines"/>
    <s v="Healthcare"/>
    <b v="0"/>
    <s v="Male"/>
    <s v="Poonawalla"/>
    <x v="59"/>
    <n v="22600"/>
    <n v="1941"/>
    <n v="5"/>
    <n v="11"/>
    <n v="180.44"/>
    <n v="2611000000000"/>
    <n v="69.400000000000006"/>
    <n v="11.2"/>
    <n v="49.7"/>
    <n v="1366417754"/>
    <d v="2025-08-13T00:00:00"/>
    <x v="65"/>
    <x v="65"/>
  </r>
  <r>
    <n v="69"/>
    <s v="Telecom"/>
    <s v="Masayoshi Son"/>
    <s v="Japan"/>
    <s v="Tokyo"/>
    <s v="Internet, telecom"/>
    <s v="Telecom"/>
    <b v="1"/>
    <s v="Male"/>
    <s v="Son"/>
    <x v="60"/>
    <n v="22400"/>
    <n v="1957"/>
    <n v="8"/>
    <n v="11"/>
    <n v="105.48"/>
    <n v="5081769542380"/>
    <n v="84.2"/>
    <n v="11.9"/>
    <n v="46.7"/>
    <n v="126226568"/>
    <d v="2025-08-13T00:00:00"/>
    <x v="66"/>
    <x v="66"/>
  </r>
  <r>
    <n v="70"/>
    <s v="Metals &amp; Mining"/>
    <s v="Vladimir Lisin"/>
    <s v="Russia"/>
    <s v="Moscow"/>
    <s v="Steel, transport"/>
    <s v="Metals &amp; Mining"/>
    <b v="1"/>
    <s v="Male"/>
    <s v="Lisin"/>
    <x v="54"/>
    <n v="22100"/>
    <n v="1956"/>
    <n v="5"/>
    <n v="7"/>
    <n v="180.75"/>
    <n v="1699876578871"/>
    <n v="72.7"/>
    <n v="11.4"/>
    <n v="46.2"/>
    <n v="144373535"/>
    <d v="2025-08-13T00:00:00"/>
    <x v="67"/>
    <x v="67"/>
  </r>
  <r>
    <n v="71"/>
    <s v="Food &amp; Beverage"/>
    <s v="Emmanuel Besnier"/>
    <s v="France"/>
    <s v="Laval"/>
    <s v="Cheese"/>
    <s v="Food &amp; Beverage"/>
    <b v="0"/>
    <s v="Male"/>
    <s v="Besnier"/>
    <x v="61"/>
    <n v="22000"/>
    <n v="1970"/>
    <n v="9"/>
    <n v="18"/>
    <n v="110.05"/>
    <n v="2715518274227"/>
    <n v="82.5"/>
    <n v="24.2"/>
    <n v="60.7"/>
    <n v="67059887"/>
    <d v="2025-08-13T00:00:00"/>
    <x v="68"/>
    <x v="68"/>
  </r>
  <r>
    <n v="72"/>
    <s v="Finance &amp; Investments"/>
    <s v="Abigail Johnson"/>
    <s v="United States"/>
    <s v="Milton"/>
    <s v="Fidelity"/>
    <s v="Finance &amp; Investments"/>
    <b v="0"/>
    <s v="Female"/>
    <s v="Johnson"/>
    <x v="62"/>
    <n v="21600"/>
    <n v="1961"/>
    <n v="12"/>
    <n v="19"/>
    <n v="117.24"/>
    <n v="21427700000000"/>
    <n v="78.5"/>
    <n v="9.6"/>
    <n v="36.6"/>
    <n v="328239523"/>
    <d v="2025-08-13T00:00:00"/>
    <x v="69"/>
    <x v="69"/>
  </r>
  <r>
    <n v="72"/>
    <s v="Energy"/>
    <s v="Leonid Mikhelson &amp; family"/>
    <s v="Russia"/>
    <s v="Moscow"/>
    <s v="Gas, chemicals"/>
    <s v="Energy"/>
    <b v="1"/>
    <s v="Male"/>
    <s v="Mikhelson"/>
    <x v="63"/>
    <n v="21600"/>
    <n v="1955"/>
    <n v="8"/>
    <n v="11"/>
    <n v="180.75"/>
    <n v="1699876578871"/>
    <n v="72.7"/>
    <n v="11.4"/>
    <n v="46.2"/>
    <n v="144373535"/>
    <d v="2025-08-13T00:00:00"/>
    <x v="70"/>
    <x v="70"/>
  </r>
  <r>
    <n v="74"/>
    <s v="Fashion &amp; Retail"/>
    <s v="Lukas Walton"/>
    <s v="United States"/>
    <s v="Chicago"/>
    <s v="Walmart"/>
    <s v="Fashion &amp; Retail"/>
    <b v="0"/>
    <s v="Male"/>
    <s v="Walton"/>
    <x v="64"/>
    <n v="21200"/>
    <n v="1986"/>
    <n v="9"/>
    <n v="19"/>
    <n v="117.24"/>
    <n v="21427700000000"/>
    <n v="78.5"/>
    <n v="9.6"/>
    <n v="36.6"/>
    <n v="328239523"/>
    <d v="2025-08-13T00:00:00"/>
    <x v="71"/>
    <x v="71"/>
  </r>
  <r>
    <n v="74"/>
    <s v="Service"/>
    <s v="Wang Wei"/>
    <s v="China"/>
    <s v="Shenzhen"/>
    <s v="Package delivery"/>
    <s v="Service"/>
    <b v="1"/>
    <s v="Male"/>
    <s v="Wang"/>
    <x v="65"/>
    <n v="21200"/>
    <n v="1970"/>
    <n v="10"/>
    <n v="1"/>
    <n v="125.08"/>
    <n v="19910000000000"/>
    <n v="77"/>
    <n v="9.4"/>
    <n v="59.2"/>
    <n v="1397715000"/>
    <d v="2025-08-13T00:00:00"/>
    <x v="72"/>
    <x v="72"/>
  </r>
  <r>
    <n v="76"/>
    <s v="Technology"/>
    <s v="Jensen Huang"/>
    <s v="United States"/>
    <s v="Los Altos"/>
    <s v="Semiconductors"/>
    <s v="Technology"/>
    <b v="1"/>
    <s v="Male"/>
    <s v="Huang"/>
    <x v="66"/>
    <n v="21100"/>
    <n v="1963"/>
    <n v="2"/>
    <n v="17"/>
    <n v="117.24"/>
    <n v="21427700000000"/>
    <n v="78.5"/>
    <n v="9.6"/>
    <n v="36.6"/>
    <n v="328239523"/>
    <d v="2025-08-13T00:00:00"/>
    <x v="73"/>
    <x v="73"/>
  </r>
  <r>
    <n v="77"/>
    <s v="Fashion &amp; Retail"/>
    <s v="Leonard Lauder"/>
    <s v="United States"/>
    <s v="New York"/>
    <s v="Estee Lauder"/>
    <s v="Fashion &amp; Retail"/>
    <b v="0"/>
    <s v="Male"/>
    <s v="Lauder"/>
    <x v="67"/>
    <n v="21000"/>
    <n v="1933"/>
    <n v="3"/>
    <n v="19"/>
    <n v="117.24"/>
    <n v="21427700000000"/>
    <n v="78.5"/>
    <n v="9.6"/>
    <n v="36.6"/>
    <n v="328239523"/>
    <d v="2025-08-13T00:00:00"/>
    <x v="74"/>
    <x v="74"/>
  </r>
  <r>
    <n v="77"/>
    <s v="Manufacturing"/>
    <s v="Takemitsu Takizaki"/>
    <s v="Japan"/>
    <s v="Osaka"/>
    <s v="Sensors"/>
    <s v="Manufacturing"/>
    <b v="1"/>
    <s v="Male"/>
    <s v="Takizaki"/>
    <x v="68"/>
    <n v="21000"/>
    <n v="1945"/>
    <n v="6"/>
    <n v="10"/>
    <n v="105.48"/>
    <n v="5081769542380"/>
    <n v="84.2"/>
    <n v="11.9"/>
    <n v="46.7"/>
    <n v="126226568"/>
    <d v="2025-08-13T00:00:00"/>
    <x v="75"/>
    <x v="75"/>
  </r>
  <r>
    <n v="79"/>
    <s v="Metals &amp; Mining"/>
    <s v="Alexey Mordashov &amp; family"/>
    <s v="Russia"/>
    <s v="Moscow"/>
    <s v="Steel, investments"/>
    <s v="Metals &amp; Mining"/>
    <b v="1"/>
    <s v="Male"/>
    <s v="Mordashov"/>
    <x v="69"/>
    <n v="20900"/>
    <n v="1965"/>
    <n v="9"/>
    <n v="26"/>
    <n v="180.75"/>
    <n v="1699876578871"/>
    <n v="72.7"/>
    <n v="11.4"/>
    <n v="46.2"/>
    <n v="144373535"/>
    <d v="2025-08-13T00:00:00"/>
    <x v="76"/>
    <x v="76"/>
  </r>
  <r>
    <n v="80"/>
    <s v="Energy"/>
    <s v="Vagit Alekperov"/>
    <s v="Russia"/>
    <s v="Moscow"/>
    <s v="Oil"/>
    <s v="Energy"/>
    <b v="1"/>
    <s v="Male"/>
    <s v="Alekperov"/>
    <x v="70"/>
    <n v="20500"/>
    <n v="1950"/>
    <n v="9"/>
    <n v="1"/>
    <n v="180.75"/>
    <n v="1699876578871"/>
    <n v="72.7"/>
    <n v="11.4"/>
    <n v="46.2"/>
    <n v="144373535"/>
    <d v="2025-08-13T00:00:00"/>
    <x v="77"/>
    <x v="77"/>
  </r>
  <r>
    <n v="81"/>
    <s v="Healthcare"/>
    <s v="Thomas Frist, Jr. &amp; family"/>
    <s v="United States"/>
    <s v="Nashville"/>
    <s v="Hospitals"/>
    <s v="Healthcare"/>
    <b v="1"/>
    <s v="Male"/>
    <s v="Frist"/>
    <x v="49"/>
    <n v="20200"/>
    <n v="1938"/>
    <n v="8"/>
    <n v="12"/>
    <n v="117.24"/>
    <n v="21427700000000"/>
    <n v="78.5"/>
    <n v="9.6"/>
    <n v="36.6"/>
    <n v="328239523"/>
    <d v="2025-08-13T00:00:00"/>
    <x v="78"/>
    <x v="78"/>
  </r>
  <r>
    <n v="82"/>
    <s v="Metals &amp; Mining"/>
    <s v="Andrew Forrest"/>
    <s v="Australia"/>
    <s v="Perth"/>
    <s v="Mining"/>
    <s v="Metals &amp; Mining"/>
    <b v="1"/>
    <s v="Male"/>
    <s v="Forrest"/>
    <x v="71"/>
    <n v="19600"/>
    <n v="1961"/>
    <n v="11"/>
    <n v="18"/>
    <n v="119.8"/>
    <n v="1392680589329"/>
    <n v="82.7"/>
    <n v="23"/>
    <n v="47.4"/>
    <n v="25766605"/>
    <d v="2025-08-13T00:00:00"/>
    <x v="79"/>
    <x v="79"/>
  </r>
  <r>
    <n v="83"/>
    <s v="Finance &amp; Investments"/>
    <s v="Ray Dalio"/>
    <s v="United States"/>
    <s v="Greenwich"/>
    <s v="Hedge funds"/>
    <s v="Finance &amp; Investments"/>
    <b v="1"/>
    <s v="Male"/>
    <s v="Dalio"/>
    <x v="72"/>
    <n v="19100"/>
    <n v="1949"/>
    <n v="8"/>
    <n v="8"/>
    <n v="117.24"/>
    <n v="21427700000000"/>
    <n v="78.5"/>
    <n v="9.6"/>
    <n v="36.6"/>
    <n v="328239523"/>
    <d v="2025-08-13T00:00:00"/>
    <x v="80"/>
    <x v="80"/>
  </r>
  <r>
    <n v="84"/>
    <s v="Automotive"/>
    <s v="Eric Li"/>
    <s v="China"/>
    <s v="Hangzhou"/>
    <s v="Automobiles"/>
    <s v="Automotive"/>
    <b v="1"/>
    <s v="Male"/>
    <s v="Li"/>
    <x v="73"/>
    <n v="19000"/>
    <n v="1963"/>
    <n v="6"/>
    <n v="1"/>
    <n v="125.08"/>
    <n v="19910000000000"/>
    <n v="77"/>
    <n v="9.4"/>
    <n v="59.2"/>
    <n v="1397715000"/>
    <d v="2025-08-13T00:00:00"/>
    <x v="81"/>
    <x v="81"/>
  </r>
  <r>
    <n v="84"/>
    <s v="Metals &amp; Mining"/>
    <s v="Wang Wenyin"/>
    <s v="China"/>
    <s v="Shenzhen"/>
    <s v="Mining, copper products"/>
    <s v="Metals &amp; Mining"/>
    <b v="1"/>
    <s v="Male"/>
    <s v="Wang"/>
    <x v="74"/>
    <n v="19000"/>
    <n v="1968"/>
    <n v="3"/>
    <n v="1"/>
    <n v="125.08"/>
    <n v="19910000000000"/>
    <n v="77"/>
    <n v="9.4"/>
    <n v="59.2"/>
    <n v="1397715000"/>
    <d v="2025-08-13T00:00:00"/>
    <x v="82"/>
    <x v="82"/>
  </r>
  <r>
    <n v="86"/>
    <s v="Food &amp; Beverage"/>
    <s v="Qin Yinglin"/>
    <s v="China"/>
    <s v="Nanyang"/>
    <s v="Pig breeding"/>
    <s v="Food &amp; Beverage"/>
    <b v="1"/>
    <s v="Male"/>
    <s v="Qin"/>
    <x v="75"/>
    <n v="18900"/>
    <n v="1965"/>
    <n v="4"/>
    <n v="17"/>
    <n v="125.08"/>
    <n v="19910000000000"/>
    <n v="77"/>
    <n v="9.4"/>
    <n v="59.2"/>
    <n v="1397715000"/>
    <d v="2025-08-13T00:00:00"/>
    <x v="83"/>
    <x v="83"/>
  </r>
  <r>
    <n v="88"/>
    <s v="Automotive"/>
    <s v="Wang Chuanfu"/>
    <s v="China"/>
    <s v="Shenzhen"/>
    <s v="Batteries, automobiles"/>
    <s v="Automotive"/>
    <b v="1"/>
    <s v="Male"/>
    <s v="Wang"/>
    <x v="76"/>
    <n v="18700"/>
    <n v="1966"/>
    <n v="2"/>
    <n v="15"/>
    <n v="125.08"/>
    <n v="19910000000000"/>
    <n v="77"/>
    <n v="9.4"/>
    <n v="59.2"/>
    <n v="1397715000"/>
    <d v="2025-08-13T00:00:00"/>
    <x v="84"/>
    <x v="84"/>
  </r>
  <r>
    <n v="89"/>
    <s v="Energy"/>
    <s v="Harold Hamm &amp; family"/>
    <s v="United States"/>
    <s v="Oklahoma City"/>
    <s v="Oil &amp; gas"/>
    <s v="Energy"/>
    <b v="1"/>
    <s v="Male"/>
    <s v="Hamm"/>
    <x v="77"/>
    <n v="18500"/>
    <n v="1945"/>
    <n v="12"/>
    <n v="11"/>
    <n v="117.24"/>
    <n v="21427700000000"/>
    <n v="78.5"/>
    <n v="9.6"/>
    <n v="36.6"/>
    <n v="328239523"/>
    <d v="2025-08-13T00:00:00"/>
    <x v="85"/>
    <x v="85"/>
  </r>
  <r>
    <n v="89"/>
    <s v="Finance &amp; Investments"/>
    <s v="David Tepper"/>
    <s v="United States"/>
    <s v="Palm Beach"/>
    <s v="Hedge funds"/>
    <s v="Finance &amp; Investments"/>
    <b v="1"/>
    <s v="Male"/>
    <s v="Tepper"/>
    <x v="20"/>
    <n v="18500"/>
    <n v="1957"/>
    <n v="9"/>
    <n v="11"/>
    <n v="117.24"/>
    <n v="21427700000000"/>
    <n v="78.5"/>
    <n v="9.6"/>
    <n v="36.6"/>
    <n v="328239523"/>
    <d v="2025-08-13T00:00:00"/>
    <x v="86"/>
    <x v="86"/>
  </r>
  <r>
    <n v="89"/>
    <s v="Energy"/>
    <s v="Gennady Timchenko"/>
    <s v="Russia"/>
    <s v="Moscow"/>
    <s v="Oil, gas"/>
    <s v="Energy"/>
    <b v="1"/>
    <s v="Male"/>
    <s v="Timchenko"/>
    <x v="78"/>
    <n v="18500"/>
    <n v="1952"/>
    <n v="11"/>
    <n v="9"/>
    <n v="180.75"/>
    <n v="1699876578871"/>
    <n v="72.7"/>
    <n v="11.4"/>
    <n v="46.2"/>
    <n v="144373535"/>
    <d v="2025-08-13T00:00:00"/>
    <x v="87"/>
    <x v="87"/>
  </r>
  <r>
    <n v="92"/>
    <s v="Finance &amp; Investments"/>
    <s v="Daniel Gilbert"/>
    <s v="United States"/>
    <s v="Franklin"/>
    <s v="Quicken Loans"/>
    <s v="Finance &amp; Investments"/>
    <b v="1"/>
    <s v="Male"/>
    <s v="Gilbert"/>
    <x v="79"/>
    <n v="18000"/>
    <n v="1962"/>
    <n v="1"/>
    <n v="17"/>
    <n v="117.24"/>
    <n v="21427700000000"/>
    <n v="78.5"/>
    <n v="9.6"/>
    <n v="36.6"/>
    <n v="328239523"/>
    <d v="2025-08-13T00:00:00"/>
    <x v="88"/>
    <x v="88"/>
  </r>
  <r>
    <n v="93"/>
    <s v="Metals &amp; Mining"/>
    <s v="Lakshmi Mittal"/>
    <s v="United Kingdom"/>
    <s v="London"/>
    <s v="Steel"/>
    <s v="Metals &amp; Mining"/>
    <b v="0"/>
    <s v="Male"/>
    <s v="Mittal"/>
    <x v="80"/>
    <n v="17700"/>
    <n v="1950"/>
    <n v="6"/>
    <n v="15"/>
    <n v="119.62"/>
    <n v="2827113184696"/>
    <n v="81.3"/>
    <n v="25.5"/>
    <n v="30.6"/>
    <n v="66834405"/>
    <d v="2025-08-13T00:00:00"/>
    <x v="89"/>
    <x v="89"/>
  </r>
  <r>
    <n v="94"/>
    <s v="Finance &amp; Investments"/>
    <s v="Steve Cohen"/>
    <s v="United States"/>
    <s v="Greenwich"/>
    <s v="Hedge funds"/>
    <s v="Finance &amp; Investments"/>
    <b v="1"/>
    <s v="Male"/>
    <s v="Cohen"/>
    <x v="9"/>
    <n v="17500"/>
    <n v="1956"/>
    <n v="6"/>
    <n v="11"/>
    <n v="117.24"/>
    <n v="21427700000000"/>
    <n v="78.5"/>
    <n v="9.6"/>
    <n v="36.6"/>
    <n v="328239523"/>
    <d v="2025-08-13T00:00:00"/>
    <x v="90"/>
    <x v="90"/>
  </r>
  <r>
    <n v="94"/>
    <s v="Finance &amp; Investments"/>
    <s v="Carl Icahn"/>
    <s v="United States"/>
    <s v="Indian Creek"/>
    <s v="Investments"/>
    <s v="Finance &amp; Investments"/>
    <b v="1"/>
    <s v="Male"/>
    <s v="Icahn"/>
    <x v="81"/>
    <n v="17500"/>
    <n v="1936"/>
    <n v="2"/>
    <n v="16"/>
    <n v="117.24"/>
    <n v="21427700000000"/>
    <n v="78.5"/>
    <n v="9.6"/>
    <n v="36.6"/>
    <n v="328239523"/>
    <d v="2025-08-13T00:00:00"/>
    <x v="91"/>
    <x v="91"/>
  </r>
  <r>
    <n v="94"/>
    <s v="Metals &amp; Mining"/>
    <s v="Savitri Jindal &amp; family"/>
    <s v="India"/>
    <s v="Hisar"/>
    <s v="Steel"/>
    <s v="Metals &amp; Mining"/>
    <b v="0"/>
    <s v="Female"/>
    <s v="Jindal"/>
    <x v="82"/>
    <n v="17500"/>
    <n v="1950"/>
    <n v="3"/>
    <n v="20"/>
    <n v="180.44"/>
    <n v="2611000000000"/>
    <n v="69.400000000000006"/>
    <n v="11.2"/>
    <n v="49.7"/>
    <n v="1366417754"/>
    <d v="2025-08-13T00:00:00"/>
    <x v="92"/>
    <x v="92"/>
  </r>
  <r>
    <n v="97"/>
    <s v="Real Estate"/>
    <s v="Donald Bren"/>
    <s v="United States"/>
    <s v="Newport Beach"/>
    <s v="Real estate"/>
    <s v="Real Estate"/>
    <b v="1"/>
    <s v="Male"/>
    <s v="Bren"/>
    <x v="83"/>
    <n v="17400"/>
    <n v="1932"/>
    <n v="5"/>
    <n v="11"/>
    <n v="117.24"/>
    <n v="21427700000000"/>
    <n v="78.5"/>
    <n v="9.6"/>
    <n v="36.6"/>
    <n v="328239523"/>
    <d v="2025-08-13T00:00:00"/>
    <x v="93"/>
    <x v="93"/>
  </r>
  <r>
    <n v="97"/>
    <s v="Fashion &amp; Retail"/>
    <s v="John Menard, Jr."/>
    <s v="United States"/>
    <s v="Eau Claire"/>
    <s v="Home improvement stores"/>
    <s v="Fashion &amp; Retail"/>
    <b v="1"/>
    <s v="Male"/>
    <s v="Menard"/>
    <x v="29"/>
    <n v="17400"/>
    <n v="1940"/>
    <n v="1"/>
    <n v="22"/>
    <n v="117.24"/>
    <n v="21427700000000"/>
    <n v="78.5"/>
    <n v="9.6"/>
    <n v="36.6"/>
    <n v="328239523"/>
    <d v="2025-08-13T00:00:00"/>
    <x v="94"/>
    <x v="94"/>
  </r>
  <r>
    <n v="99"/>
    <s v="Media &amp; Entertainment"/>
    <s v="Rupert Murdoch &amp; family"/>
    <s v="United States"/>
    <s v="New York"/>
    <s v="Newspapers, TV network"/>
    <s v="Media &amp; Entertainment"/>
    <b v="0"/>
    <s v="Male"/>
    <s v="Murdoch"/>
    <x v="84"/>
    <n v="17100"/>
    <n v="1931"/>
    <n v="3"/>
    <n v="11"/>
    <n v="117.24"/>
    <n v="21427700000000"/>
    <n v="78.5"/>
    <n v="9.6"/>
    <n v="36.6"/>
    <n v="328239523"/>
    <d v="2025-08-13T00:00:00"/>
    <x v="95"/>
    <x v="95"/>
  </r>
  <r>
    <n v="100"/>
    <s v="Finance &amp; Investments"/>
    <s v="Vicky Safra &amp; family"/>
    <s v="Switzerland"/>
    <s v="Crans-Montana"/>
    <s v="Banking"/>
    <s v="Finance &amp; Investments"/>
    <b v="0"/>
    <s v="Female"/>
    <s v="Safra"/>
    <x v="85"/>
    <n v="16700"/>
    <n v="1953"/>
    <n v="1"/>
    <n v="1"/>
    <n v="99.55"/>
    <n v="703082435360"/>
    <n v="83.6"/>
    <n v="10.1"/>
    <n v="28.8"/>
    <n v="8574832"/>
    <d v="2025-08-13T00:00:00"/>
    <x v="64"/>
    <x v="64"/>
  </r>
  <r>
    <n v="101"/>
    <s v="Fashion &amp; Retail"/>
    <s v="Theo Albrecht, Jr. &amp; family"/>
    <s v="Germany"/>
    <s v="Mulheim an der Ruhr"/>
    <s v="Aldi, Trader Joe's"/>
    <s v="Fashion &amp; Retail"/>
    <b v="0"/>
    <s v="Male"/>
    <s v="Albrecht"/>
    <x v="86"/>
    <n v="16500"/>
    <n v="1951"/>
    <n v="1"/>
    <n v="1"/>
    <n v="112.85"/>
    <n v="3845630030824"/>
    <n v="80.900000000000006"/>
    <n v="11.5"/>
    <n v="48.8"/>
    <n v="83132799"/>
    <d v="2025-08-13T00:00:00"/>
    <x v="96"/>
    <x v="96"/>
  </r>
  <r>
    <n v="101"/>
    <s v="Finance &amp; Investments"/>
    <s v="Renata Kellnerova &amp; family"/>
    <s v="Czech Republic"/>
    <s v="Prague"/>
    <s v="Finance, telecommunications"/>
    <s v="Finance &amp; Investments"/>
    <b v="0"/>
    <s v="Female"/>
    <s v="Kellnerova"/>
    <x v="87"/>
    <n v="16500"/>
    <n v="1967"/>
    <n v="7"/>
    <n v="4"/>
    <n v="116.48"/>
    <n v="246489245495"/>
    <n v="79"/>
    <n v="14.9"/>
    <n v="46.1"/>
    <n v="10669709"/>
    <d v="2025-08-13T00:00:00"/>
    <x v="97"/>
    <x v="97"/>
  </r>
  <r>
    <n v="103"/>
    <s v="Healthcare"/>
    <s v="Li Xiting"/>
    <s v="China"/>
    <s v="Shenzhen"/>
    <s v="medical devices"/>
    <s v="Healthcare"/>
    <b v="1"/>
    <s v="Male"/>
    <s v="Li"/>
    <x v="88"/>
    <n v="16300"/>
    <n v="1951"/>
    <n v="1"/>
    <n v="1"/>
    <n v="125.08"/>
    <n v="19910000000000"/>
    <n v="77"/>
    <n v="9.4"/>
    <n v="59.2"/>
    <n v="1397715000"/>
    <d v="2025-08-13T00:00:00"/>
    <x v="96"/>
    <x v="96"/>
  </r>
  <r>
    <n v="104"/>
    <s v="Fashion &amp; Retail"/>
    <s v="Stefan Persson"/>
    <s v="Sweden"/>
    <s v="Stockholm"/>
    <s v="H&amp;M"/>
    <s v="Fashion &amp; Retail"/>
    <b v="0"/>
    <s v="Male"/>
    <s v="Persson"/>
    <x v="51"/>
    <n v="16200"/>
    <n v="1947"/>
    <n v="10"/>
    <n v="4"/>
    <n v="110.51"/>
    <n v="530832908738"/>
    <n v="82.5"/>
    <n v="27.9"/>
    <n v="49.1"/>
    <n v="10285453"/>
    <d v="2025-08-13T00:00:00"/>
    <x v="98"/>
    <x v="98"/>
  </r>
  <r>
    <n v="104"/>
    <s v="Technology"/>
    <s v="Eric Schmidt"/>
    <s v="United States"/>
    <s v="Atherton"/>
    <s v="Google"/>
    <s v="Technology"/>
    <b v="1"/>
    <s v="Male"/>
    <s v="Schmidt"/>
    <x v="73"/>
    <n v="16200"/>
    <n v="1955"/>
    <n v="4"/>
    <n v="27"/>
    <n v="117.24"/>
    <n v="21427700000000"/>
    <n v="78.5"/>
    <n v="9.6"/>
    <n v="36.6"/>
    <n v="328239523"/>
    <d v="2025-08-13T00:00:00"/>
    <x v="99"/>
    <x v="99"/>
  </r>
  <r>
    <n v="106"/>
    <s v="Finance &amp; Investments"/>
    <s v="Michael Platt"/>
    <s v="Switzerland"/>
    <s v="Geneva"/>
    <s v="Hedge funds"/>
    <s v="Finance &amp; Investments"/>
    <b v="1"/>
    <s v="Male"/>
    <s v="Platt"/>
    <x v="6"/>
    <n v="16000"/>
    <n v="1968"/>
    <n v="3"/>
    <n v="18"/>
    <n v="99.55"/>
    <n v="703082435360"/>
    <n v="83.6"/>
    <n v="10.1"/>
    <n v="28.8"/>
    <n v="8574832"/>
    <d v="2025-08-13T00:00:00"/>
    <x v="100"/>
    <x v="100"/>
  </r>
  <r>
    <n v="107"/>
    <s v="Food &amp; Beverage"/>
    <s v="Pang Kang"/>
    <s v="China"/>
    <s v="Foshan"/>
    <s v="Soy sauce"/>
    <s v="Food &amp; Beverage"/>
    <b v="1"/>
    <s v="Male"/>
    <s v="Pang"/>
    <x v="89"/>
    <n v="15900"/>
    <n v="1956"/>
    <n v="1"/>
    <n v="19"/>
    <n v="125.08"/>
    <n v="19910000000000"/>
    <n v="77"/>
    <n v="9.4"/>
    <n v="59.2"/>
    <n v="1397715000"/>
    <d v="2025-08-13T00:00:00"/>
    <x v="101"/>
    <x v="101"/>
  </r>
  <r>
    <n v="108"/>
    <s v="Food &amp; Beverage"/>
    <s v="Jorge Paulo Lemann &amp; family"/>
    <s v="Switzerland"/>
    <s v="Zurich"/>
    <s v="Beer"/>
    <s v="Food &amp; Beverage"/>
    <b v="1"/>
    <s v="Male"/>
    <s v="Lemann"/>
    <x v="90"/>
    <n v="15800"/>
    <n v="1939"/>
    <n v="8"/>
    <n v="26"/>
    <n v="99.55"/>
    <n v="703082435360"/>
    <n v="83.6"/>
    <n v="10.1"/>
    <n v="28.8"/>
    <n v="8574832"/>
    <d v="2025-08-13T00:00:00"/>
    <x v="102"/>
    <x v="102"/>
  </r>
  <r>
    <n v="112"/>
    <s v="Healthcare"/>
    <s v="Dilip Shanghvi"/>
    <s v="India"/>
    <s v="Mumbai"/>
    <s v="Pharmaceuticals"/>
    <s v="Healthcare"/>
    <b v="1"/>
    <s v="Male"/>
    <s v="Shanghvi"/>
    <x v="91"/>
    <n v="15600"/>
    <n v="1955"/>
    <n v="10"/>
    <n v="1"/>
    <n v="180.44"/>
    <n v="2611000000000"/>
    <n v="69.400000000000006"/>
    <n v="11.2"/>
    <n v="49.7"/>
    <n v="1366417754"/>
    <d v="2025-08-13T00:00:00"/>
    <x v="103"/>
    <x v="103"/>
  </r>
  <r>
    <n v="113"/>
    <s v="Technology"/>
    <s v="Robert Pera"/>
    <s v="United States"/>
    <s v="San Jose"/>
    <s v="Wireless networking"/>
    <s v="Technology"/>
    <b v="1"/>
    <s v="Male"/>
    <s v="Pera"/>
    <x v="92"/>
    <n v="15500"/>
    <n v="1978"/>
    <n v="3"/>
    <n v="10"/>
    <n v="117.24"/>
    <n v="21427700000000"/>
    <n v="78.5"/>
    <n v="9.6"/>
    <n v="36.6"/>
    <n v="328239523"/>
    <d v="2025-08-13T00:00:00"/>
    <x v="104"/>
    <x v="104"/>
  </r>
  <r>
    <n v="114"/>
    <s v="Fashion &amp; Retail"/>
    <s v="Radhakishan Damani"/>
    <s v="India"/>
    <s v="Mumbai"/>
    <s v="Retail, investments"/>
    <s v="Fashion &amp; Retail"/>
    <b v="1"/>
    <s v="Male"/>
    <s v="Damani"/>
    <x v="93"/>
    <n v="15300"/>
    <n v="1955"/>
    <n v="1"/>
    <n v="1"/>
    <n v="180.44"/>
    <n v="2611000000000"/>
    <n v="69.400000000000006"/>
    <n v="11.2"/>
    <n v="49.7"/>
    <n v="1366417754"/>
    <d v="2025-08-13T00:00:00"/>
    <x v="105"/>
    <x v="105"/>
  </r>
  <r>
    <n v="115"/>
    <s v="Automotive"/>
    <s v="Huang Shilin"/>
    <s v="China"/>
    <s v="Ningde"/>
    <s v="Batteries"/>
    <s v="Automotive"/>
    <b v="1"/>
    <s v="Male"/>
    <s v="Huang"/>
    <x v="94"/>
    <n v="15200"/>
    <n v="1967"/>
    <n v="1"/>
    <n v="1"/>
    <n v="125.08"/>
    <n v="19910000000000"/>
    <n v="77"/>
    <n v="9.4"/>
    <n v="59.2"/>
    <n v="1397715000"/>
    <d v="2025-08-13T00:00:00"/>
    <x v="106"/>
    <x v="106"/>
  </r>
  <r>
    <n v="116"/>
    <s v="Diversified"/>
    <s v="Dhanin Chearavanont"/>
    <s v="Thailand"/>
    <s v="Bangkok"/>
    <s v="Diversified"/>
    <s v="Diversified"/>
    <b v="0"/>
    <s v="Male"/>
    <s v="Chearavanont"/>
    <x v="95"/>
    <n v="14900"/>
    <n v="1939"/>
    <n v="4"/>
    <n v="19"/>
    <n v="113.27"/>
    <n v="543649976166"/>
    <n v="76.900000000000006"/>
    <n v="14.9"/>
    <n v="29.5"/>
    <n v="69625582"/>
    <d v="2025-08-13T00:00:00"/>
    <x v="107"/>
    <x v="107"/>
  </r>
  <r>
    <n v="116"/>
    <s v="Fashion &amp; Retail"/>
    <s v="David Green &amp; family"/>
    <s v="United States"/>
    <s v="Oklahoma City"/>
    <s v="Retail"/>
    <s v="Fashion &amp; Retail"/>
    <b v="1"/>
    <s v="Male"/>
    <s v="Green"/>
    <x v="20"/>
    <n v="14900"/>
    <n v="1941"/>
    <n v="11"/>
    <n v="13"/>
    <n v="117.24"/>
    <n v="21427700000000"/>
    <n v="78.5"/>
    <n v="9.6"/>
    <n v="36.6"/>
    <n v="328239523"/>
    <d v="2025-08-13T00:00:00"/>
    <x v="108"/>
    <x v="108"/>
  </r>
  <r>
    <n v="118"/>
    <s v="Food &amp; Beverage"/>
    <s v="Charoen Sirivadhanabhakdi"/>
    <s v="Thailand"/>
    <s v="Bangkok"/>
    <s v="Alcohol, real estate"/>
    <s v="Food &amp; Beverage"/>
    <b v="1"/>
    <s v="Male"/>
    <s v="Sirivadhanabhakdi"/>
    <x v="96"/>
    <n v="14800"/>
    <n v="1944"/>
    <n v="5"/>
    <n v="2"/>
    <n v="113.27"/>
    <n v="543649976166"/>
    <n v="76.900000000000006"/>
    <n v="14.9"/>
    <n v="29.5"/>
    <n v="69625582"/>
    <d v="2025-08-13T00:00:00"/>
    <x v="109"/>
    <x v="109"/>
  </r>
  <r>
    <n v="119"/>
    <s v="Food &amp; Beverage"/>
    <s v="Charlene de Carvalho-Heineken &amp; family"/>
    <s v="United Kingdom"/>
    <s v="London"/>
    <s v="Heineken"/>
    <s v="Food &amp; Beverage"/>
    <b v="0"/>
    <s v="Female"/>
    <s v="de Carvalho-Heineken"/>
    <x v="97"/>
    <n v="14700"/>
    <n v="1954"/>
    <n v="6"/>
    <n v="30"/>
    <n v="119.62"/>
    <n v="2827113184696"/>
    <n v="81.3"/>
    <n v="25.5"/>
    <n v="30.6"/>
    <n v="66834405"/>
    <d v="2025-08-13T00:00:00"/>
    <x v="110"/>
    <x v="110"/>
  </r>
  <r>
    <n v="120"/>
    <s v="Healthcare"/>
    <s v="Xu Hang"/>
    <s v="China"/>
    <s v="Shenzhen"/>
    <s v="Medical devices"/>
    <s v="Healthcare"/>
    <b v="1"/>
    <s v="Male"/>
    <s v="Xu"/>
    <x v="98"/>
    <n v="14600"/>
    <n v="1962"/>
    <n v="5"/>
    <n v="22"/>
    <n v="125.08"/>
    <n v="19910000000000"/>
    <n v="77"/>
    <n v="9.4"/>
    <n v="59.2"/>
    <n v="1397715000"/>
    <d v="2025-08-13T00:00:00"/>
    <x v="111"/>
    <x v="111"/>
  </r>
  <r>
    <n v="121"/>
    <s v="Automotive"/>
    <s v="Wei Jianjun &amp; family"/>
    <s v="China"/>
    <s v="Baoding"/>
    <s v="Automobiles"/>
    <s v="Automotive"/>
    <b v="1"/>
    <s v="Male"/>
    <s v="Wei"/>
    <x v="99"/>
    <n v="14500"/>
    <n v="1964"/>
    <n v="3"/>
    <n v="1"/>
    <n v="125.08"/>
    <n v="19910000000000"/>
    <n v="77"/>
    <n v="9.4"/>
    <n v="59.2"/>
    <n v="1397715000"/>
    <d v="2025-08-13T00:00:00"/>
    <x v="112"/>
    <x v="112"/>
  </r>
  <r>
    <n v="123"/>
    <s v="Manufacturing"/>
    <s v="Goh Cheng Liang"/>
    <s v="Singapore"/>
    <s v="Singapore"/>
    <s v="Paints"/>
    <s v="Manufacturing"/>
    <b v="1"/>
    <s v="Male"/>
    <s v="Goh"/>
    <x v="100"/>
    <n v="14300"/>
    <n v="1927"/>
    <n v="6"/>
    <n v="27"/>
    <n v="114.41"/>
    <n v="372062527489"/>
    <n v="83.1"/>
    <n v="13.1"/>
    <n v="21"/>
    <n v="5703569"/>
    <d v="2025-08-13T00:00:00"/>
    <x v="113"/>
    <x v="113"/>
  </r>
  <r>
    <n v="124"/>
    <s v="Diversified"/>
    <s v="Kumar Birla"/>
    <s v="India"/>
    <s v="Mumbai"/>
    <s v="Commodities"/>
    <s v="Diversified"/>
    <b v="0"/>
    <s v="Male"/>
    <s v="Birla"/>
    <x v="101"/>
    <n v="14200"/>
    <n v="1967"/>
    <n v="6"/>
    <n v="14"/>
    <n v="180.44"/>
    <n v="2611000000000"/>
    <n v="69.400000000000006"/>
    <n v="11.2"/>
    <n v="49.7"/>
    <n v="1366417754"/>
    <d v="2025-08-13T00:00:00"/>
    <x v="114"/>
    <x v="114"/>
  </r>
  <r>
    <n v="124"/>
    <s v="Manufacturing"/>
    <s v="Aliko Dangote"/>
    <s v="Nigeria"/>
    <s v="Lagos"/>
    <s v="Cement, sugar"/>
    <s v="Manufacturing"/>
    <b v="1"/>
    <s v="Male"/>
    <s v="Dangote"/>
    <x v="102"/>
    <n v="14200"/>
    <n v="1957"/>
    <n v="4"/>
    <n v="10"/>
    <n v="267.51"/>
    <n v="448120428859"/>
    <n v="54.3"/>
    <n v="1.5"/>
    <n v="34.799999999999997"/>
    <n v="200963599"/>
    <d v="2025-08-13T00:00:00"/>
    <x v="115"/>
    <x v="115"/>
  </r>
  <r>
    <n v="127"/>
    <s v="Diversified"/>
    <s v="Idan Ofer"/>
    <s v="United Kingdom"/>
    <s v="London"/>
    <s v="Shipping"/>
    <s v="Diversified"/>
    <b v="0"/>
    <s v="Male"/>
    <s v="Ofer"/>
    <x v="103"/>
    <n v="14000"/>
    <n v="1955"/>
    <n v="10"/>
    <n v="2"/>
    <n v="119.62"/>
    <n v="2827113184696"/>
    <n v="81.3"/>
    <n v="25.5"/>
    <n v="30.6"/>
    <n v="66834405"/>
    <d v="2025-08-13T00:00:00"/>
    <x v="116"/>
    <x v="116"/>
  </r>
  <r>
    <n v="128"/>
    <s v="Healthcare"/>
    <s v="Chen Bang"/>
    <s v="China"/>
    <s v="Changsha"/>
    <s v="Hospitals"/>
    <s v="Healthcare"/>
    <b v="1"/>
    <s v="Male"/>
    <s v="Chen"/>
    <x v="104"/>
    <n v="13900"/>
    <n v="1965"/>
    <n v="9"/>
    <n v="1"/>
    <n v="125.08"/>
    <n v="19910000000000"/>
    <n v="77"/>
    <n v="9.4"/>
    <n v="59.2"/>
    <n v="1397715000"/>
    <d v="2025-08-13T00:00:00"/>
    <x v="117"/>
    <x v="117"/>
  </r>
  <r>
    <n v="130"/>
    <s v="Logistics"/>
    <s v="John Fredriksen"/>
    <s v="United Kingdom"/>
    <s v="London"/>
    <s v="Shipping"/>
    <s v="Logistics"/>
    <b v="1"/>
    <s v="Male"/>
    <s v="Fredriksen"/>
    <x v="29"/>
    <n v="13700"/>
    <n v="1945"/>
    <n v="2"/>
    <n v="1"/>
    <n v="119.62"/>
    <n v="2827113184696"/>
    <n v="81.3"/>
    <n v="25.5"/>
    <n v="30.6"/>
    <n v="66834405"/>
    <d v="2025-08-13T00:00:00"/>
    <x v="118"/>
    <x v="118"/>
  </r>
  <r>
    <n v="130"/>
    <s v="Construction &amp; Engineering"/>
    <s v="Diane Hendricks"/>
    <s v="United States"/>
    <s v="Afton"/>
    <s v="Building supplies"/>
    <s v="Construction &amp; Engineering"/>
    <b v="1"/>
    <s v="Female"/>
    <s v="Hendricks"/>
    <x v="105"/>
    <n v="13700"/>
    <n v="1947"/>
    <n v="3"/>
    <n v="2"/>
    <n v="117.24"/>
    <n v="21427700000000"/>
    <n v="78.5"/>
    <n v="9.6"/>
    <n v="36.6"/>
    <n v="328239523"/>
    <d v="2025-08-13T00:00:00"/>
    <x v="119"/>
    <x v="119"/>
  </r>
  <r>
    <n v="130"/>
    <s v="Technology"/>
    <s v="Jan Koum"/>
    <s v="United States"/>
    <s v="Atherton"/>
    <s v="WhatsApp"/>
    <s v="Technology"/>
    <b v="1"/>
    <s v="Male"/>
    <s v="Koum"/>
    <x v="106"/>
    <n v="13700"/>
    <n v="1976"/>
    <n v="2"/>
    <n v="24"/>
    <n v="117.24"/>
    <n v="21427700000000"/>
    <n v="78.5"/>
    <n v="9.6"/>
    <n v="36.6"/>
    <n v="328239523"/>
    <d v="2025-08-13T00:00:00"/>
    <x v="120"/>
    <x v="120"/>
  </r>
  <r>
    <n v="133"/>
    <s v="Sports"/>
    <s v="Jerry Jones"/>
    <s v="United States"/>
    <s v="Dallas"/>
    <s v="Dallas Cowboys"/>
    <s v="Sports"/>
    <b v="1"/>
    <s v="Male"/>
    <s v="Jones"/>
    <x v="107"/>
    <n v="13300"/>
    <n v="1942"/>
    <n v="10"/>
    <n v="13"/>
    <n v="117.24"/>
    <n v="21427700000000"/>
    <n v="78.5"/>
    <n v="9.6"/>
    <n v="36.6"/>
    <n v="328239523"/>
    <d v="2025-08-13T00:00:00"/>
    <x v="121"/>
    <x v="121"/>
  </r>
  <r>
    <n v="133"/>
    <s v="Energy"/>
    <s v="George Kaiser"/>
    <s v="United States"/>
    <s v="Tulsa"/>
    <s v="Oil &amp; gas, banking"/>
    <s v="Energy"/>
    <b v="0"/>
    <s v="Male"/>
    <s v="Kaiser"/>
    <x v="108"/>
    <n v="13300"/>
    <n v="1942"/>
    <n v="7"/>
    <n v="29"/>
    <n v="117.24"/>
    <n v="21427700000000"/>
    <n v="78.5"/>
    <n v="9.6"/>
    <n v="36.6"/>
    <n v="328239523"/>
    <d v="2025-08-13T00:00:00"/>
    <x v="122"/>
    <x v="122"/>
  </r>
  <r>
    <n v="136"/>
    <s v="Automotive"/>
    <s v="Lu Xiangyang"/>
    <s v="China"/>
    <s v="Guangzhou"/>
    <s v="Automobiles, batteries"/>
    <s v="Automotive"/>
    <b v="1"/>
    <s v="Male"/>
    <s v="Lu"/>
    <x v="109"/>
    <n v="13200"/>
    <n v="1962"/>
    <n v="12"/>
    <n v="28"/>
    <n v="125.08"/>
    <n v="19910000000000"/>
    <n v="77"/>
    <n v="9.4"/>
    <n v="59.2"/>
    <n v="1397715000"/>
    <d v="2025-08-13T00:00:00"/>
    <x v="123"/>
    <x v="123"/>
  </r>
  <r>
    <n v="137"/>
    <s v="Real Estate"/>
    <s v="Harry Triguboff"/>
    <s v="Australia"/>
    <s v="Sydney"/>
    <s v="Real estate"/>
    <s v="Real Estate"/>
    <b v="1"/>
    <s v="Male"/>
    <s v="Triguboff"/>
    <x v="110"/>
    <n v="13100"/>
    <n v="1933"/>
    <n v="3"/>
    <n v="3"/>
    <n v="119.8"/>
    <n v="1392680589329"/>
    <n v="82.7"/>
    <n v="23"/>
    <n v="47.4"/>
    <n v="25766605"/>
    <d v="2025-08-13T00:00:00"/>
    <x v="124"/>
    <x v="124"/>
  </r>
  <r>
    <n v="138"/>
    <s v="Finance &amp; Investments"/>
    <s v="Uday Kotak"/>
    <s v="India"/>
    <s v="Mumbai"/>
    <s v="Banking"/>
    <s v="Finance &amp; Investments"/>
    <b v="1"/>
    <s v="Male"/>
    <s v="Kotak"/>
    <x v="111"/>
    <n v="12900"/>
    <n v="1959"/>
    <n v="3"/>
    <n v="15"/>
    <n v="180.44"/>
    <n v="2611000000000"/>
    <n v="69.400000000000006"/>
    <n v="11.2"/>
    <n v="49.7"/>
    <n v="1366417754"/>
    <d v="2025-08-13T00:00:00"/>
    <x v="125"/>
    <x v="125"/>
  </r>
  <r>
    <n v="138"/>
    <s v="Sports"/>
    <s v="Stanley Kroenke"/>
    <s v="United States"/>
    <s v="Electra"/>
    <s v="Sports, real estate"/>
    <s v="Sports"/>
    <b v="1"/>
    <s v="Male"/>
    <s v="Kroenke"/>
    <x v="112"/>
    <n v="12900"/>
    <n v="1947"/>
    <n v="7"/>
    <n v="29"/>
    <n v="117.24"/>
    <n v="21427700000000"/>
    <n v="78.5"/>
    <n v="9.6"/>
    <n v="36.6"/>
    <n v="328239523"/>
    <d v="2025-08-13T00:00:00"/>
    <x v="126"/>
    <x v="126"/>
  </r>
  <r>
    <n v="140"/>
    <s v="Energy"/>
    <s v="Mikhail Fridman"/>
    <s v="United Kingdom"/>
    <s v="London"/>
    <s v="Oil, banking, telecom"/>
    <s v="Energy"/>
    <b v="1"/>
    <s v="Male"/>
    <s v="Fridman"/>
    <x v="113"/>
    <n v="12600"/>
    <n v="1964"/>
    <n v="4"/>
    <n v="21"/>
    <n v="119.62"/>
    <n v="2827113184696"/>
    <n v="81.3"/>
    <n v="25.5"/>
    <n v="30.6"/>
    <n v="66834405"/>
    <d v="2025-08-13T00:00:00"/>
    <x v="127"/>
    <x v="127"/>
  </r>
  <r>
    <n v="141"/>
    <s v="Energy"/>
    <s v="Sarath Ratanavadi"/>
    <s v="Thailand"/>
    <s v="Bangkok"/>
    <s v="Energy"/>
    <s v="Energy"/>
    <b v="1"/>
    <s v="Male"/>
    <s v="Ratanavadi"/>
    <x v="114"/>
    <n v="12300"/>
    <n v="1965"/>
    <n v="7"/>
    <n v="12"/>
    <n v="113.27"/>
    <n v="543649976166"/>
    <n v="76.900000000000006"/>
    <n v="14.9"/>
    <n v="29.5"/>
    <n v="69625582"/>
    <d v="2025-08-13T00:00:00"/>
    <x v="128"/>
    <x v="128"/>
  </r>
  <r>
    <n v="142"/>
    <s v="Metals &amp; Mining"/>
    <s v="Dang Yanbao"/>
    <s v="China"/>
    <s v="Yinchuan"/>
    <s v="Coal"/>
    <s v="Metals &amp; Mining"/>
    <b v="1"/>
    <s v="Male"/>
    <s v="Dang"/>
    <x v="115"/>
    <n v="12200"/>
    <n v="1973"/>
    <n v="2"/>
    <n v="1"/>
    <n v="125.08"/>
    <n v="19910000000000"/>
    <n v="77"/>
    <n v="9.4"/>
    <n v="59.2"/>
    <n v="1397715000"/>
    <d v="2025-08-13T00:00:00"/>
    <x v="129"/>
    <x v="129"/>
  </r>
  <r>
    <n v="142"/>
    <s v="Healthcare"/>
    <s v="Jiang Rensheng &amp; family"/>
    <s v="China"/>
    <s v="Chongqing"/>
    <s v="Vaccines"/>
    <s v="Healthcare"/>
    <b v="1"/>
    <s v="Male"/>
    <s v="Jiang"/>
    <x v="116"/>
    <n v="12200"/>
    <n v="1953"/>
    <n v="10"/>
    <n v="8"/>
    <n v="125.08"/>
    <n v="19910000000000"/>
    <n v="77"/>
    <n v="9.4"/>
    <n v="59.2"/>
    <n v="1397715000"/>
    <d v="2025-08-13T00:00:00"/>
    <x v="130"/>
    <x v="130"/>
  </r>
  <r>
    <n v="144"/>
    <s v="Automotive"/>
    <s v="Shahid Khan"/>
    <s v="United States"/>
    <s v="Naples"/>
    <s v="Auto parts"/>
    <s v="Automotive"/>
    <b v="1"/>
    <s v="Male"/>
    <s v="Khan"/>
    <x v="117"/>
    <n v="12100"/>
    <n v="1950"/>
    <n v="7"/>
    <n v="18"/>
    <n v="117.24"/>
    <n v="21427700000000"/>
    <n v="78.5"/>
    <n v="9.6"/>
    <n v="36.6"/>
    <n v="328239523"/>
    <d v="2025-08-13T00:00:00"/>
    <x v="131"/>
    <x v="131"/>
  </r>
  <r>
    <n v="145"/>
    <s v="Technology"/>
    <s v="Laurene Powell Jobs &amp; family"/>
    <s v="United States"/>
    <s v="Palo Alto"/>
    <s v="Apple, Disney"/>
    <s v="Technology"/>
    <b v="0"/>
    <s v="Female"/>
    <s v="Powell Jobs"/>
    <x v="118"/>
    <n v="12000"/>
    <n v="1963"/>
    <n v="11"/>
    <n v="6"/>
    <n v="117.24"/>
    <n v="21427700000000"/>
    <n v="78.5"/>
    <n v="9.6"/>
    <n v="36.6"/>
    <n v="328239523"/>
    <d v="2025-08-13T00:00:00"/>
    <x v="132"/>
    <x v="132"/>
  </r>
  <r>
    <n v="147"/>
    <s v="Real Estate"/>
    <s v="Stephen Ross"/>
    <s v="United States"/>
    <s v="New York"/>
    <s v="Real estate"/>
    <s v="Real Estate"/>
    <b v="1"/>
    <s v="Male"/>
    <s v="Ross"/>
    <x v="42"/>
    <n v="11600"/>
    <n v="1940"/>
    <n v="5"/>
    <n v="10"/>
    <n v="117.24"/>
    <n v="21427700000000"/>
    <n v="78.5"/>
    <n v="9.6"/>
    <n v="36.6"/>
    <n v="328239523"/>
    <d v="2025-08-13T00:00:00"/>
    <x v="133"/>
    <x v="133"/>
  </r>
  <r>
    <n v="148"/>
    <s v="Technology"/>
    <s v="Pavel Durov"/>
    <s v="United Arab Emirates"/>
    <s v="Dubai"/>
    <s v="Messaging app"/>
    <s v="Technology"/>
    <b v="1"/>
    <s v="Male"/>
    <s v="Durov"/>
    <x v="119"/>
    <n v="11500"/>
    <n v="1984"/>
    <n v="10"/>
    <n v="10"/>
    <n v="114.52"/>
    <n v="421142267938"/>
    <n v="77.8"/>
    <n v="0.1"/>
    <n v="15.9"/>
    <n v="9770529"/>
    <d v="2025-08-13T00:00:00"/>
    <x v="134"/>
    <x v="134"/>
  </r>
  <r>
    <n v="148"/>
    <s v="Healthcare"/>
    <s v="Andreas Struengmann &amp; family"/>
    <s v="Germany"/>
    <s v="Tegernsee"/>
    <s v="Pharmaceuticals"/>
    <s v="Healthcare"/>
    <b v="1"/>
    <s v="Male"/>
    <s v="Struengmann"/>
    <x v="120"/>
    <n v="11500"/>
    <n v="1950"/>
    <n v="2"/>
    <n v="16"/>
    <n v="112.85"/>
    <n v="3845630030824"/>
    <n v="80.900000000000006"/>
    <n v="11.5"/>
    <n v="48.8"/>
    <n v="83132799"/>
    <d v="2025-08-13T00:00:00"/>
    <x v="135"/>
    <x v="135"/>
  </r>
  <r>
    <n v="148"/>
    <s v="Healthcare"/>
    <s v="Thomas Struengmann &amp; family"/>
    <s v="Germany"/>
    <s v="Tegernsee"/>
    <s v="Pharmaceuticals"/>
    <s v="Healthcare"/>
    <b v="1"/>
    <s v="Male"/>
    <s v="Struengmann"/>
    <x v="49"/>
    <n v="11500"/>
    <n v="1950"/>
    <n v="2"/>
    <n v="16"/>
    <n v="112.85"/>
    <n v="3845630030824"/>
    <n v="80.900000000000006"/>
    <n v="11.5"/>
    <n v="48.8"/>
    <n v="83132799"/>
    <d v="2025-08-13T00:00:00"/>
    <x v="135"/>
    <x v="135"/>
  </r>
  <r>
    <n v="151"/>
    <s v="Food &amp; Beverage"/>
    <s v="Liu Hanyuan"/>
    <s v="China"/>
    <s v="Chengdu"/>
    <s v="Agribusiness"/>
    <s v="Food &amp; Beverage"/>
    <b v="1"/>
    <s v="Male"/>
    <s v="Liu"/>
    <x v="121"/>
    <n v="11400"/>
    <n v="1964"/>
    <n v="1"/>
    <n v="1"/>
    <n v="125.08"/>
    <n v="19910000000000"/>
    <n v="77"/>
    <n v="9.4"/>
    <n v="59.2"/>
    <n v="1397715000"/>
    <d v="2025-08-13T00:00:00"/>
    <x v="136"/>
    <x v="136"/>
  </r>
  <r>
    <n v="151"/>
    <s v="Fashion &amp; Retail"/>
    <s v="Michael Rubin"/>
    <s v="United States"/>
    <s v="Bryn Mawr"/>
    <s v="Online retail"/>
    <s v="Fashion &amp; Retail"/>
    <b v="1"/>
    <s v="Male"/>
    <s v="Rubin"/>
    <x v="6"/>
    <n v="11400"/>
    <n v="1972"/>
    <n v="7"/>
    <n v="21"/>
    <n v="117.24"/>
    <n v="21427700000000"/>
    <n v="78.5"/>
    <n v="9.6"/>
    <n v="36.6"/>
    <n v="328239523"/>
    <d v="2025-08-13T00:00:00"/>
    <x v="137"/>
    <x v="137"/>
  </r>
  <r>
    <n v="153"/>
    <s v="Finance &amp; Investments"/>
    <s v="Israel Englander"/>
    <s v="United States"/>
    <s v="New York"/>
    <s v="Hedge funds"/>
    <s v="Finance &amp; Investments"/>
    <b v="1"/>
    <s v="Male"/>
    <s v="Englander"/>
    <x v="122"/>
    <n v="11300"/>
    <n v="1948"/>
    <n v="9"/>
    <n v="30"/>
    <n v="117.24"/>
    <n v="21427700000000"/>
    <n v="78.5"/>
    <n v="9.6"/>
    <n v="36.6"/>
    <n v="328239523"/>
    <d v="2025-08-13T00:00:00"/>
    <x v="138"/>
    <x v="138"/>
  </r>
  <r>
    <n v="153"/>
    <s v="Manufacturing"/>
    <s v="Viatcheslav Kantor"/>
    <s v="Israel"/>
    <s v="Herzliya"/>
    <s v="Fertilizer, real estate"/>
    <s v="Manufacturing"/>
    <b v="1"/>
    <s v="Male"/>
    <s v="Kantor"/>
    <x v="123"/>
    <n v="11300"/>
    <n v="1953"/>
    <n v="9"/>
    <n v="8"/>
    <n v="108.15"/>
    <n v="395098666122"/>
    <n v="82.8"/>
    <n v="23.1"/>
    <n v="25.3"/>
    <n v="9053300"/>
    <d v="2025-08-13T00:00:00"/>
    <x v="139"/>
    <x v="139"/>
  </r>
  <r>
    <n v="153"/>
    <s v="Manufacturing"/>
    <s v="Anthony Pratt"/>
    <s v="Australia"/>
    <s v="Melbourne"/>
    <s v="Manufacturing"/>
    <s v="Manufacturing"/>
    <b v="0"/>
    <s v="Male"/>
    <s v="Pratt"/>
    <x v="124"/>
    <n v="11300"/>
    <n v="1960"/>
    <n v="4"/>
    <n v="11"/>
    <n v="119.8"/>
    <n v="1392680589329"/>
    <n v="82.7"/>
    <n v="23"/>
    <n v="47.4"/>
    <n v="25766605"/>
    <d v="2025-08-13T00:00:00"/>
    <x v="140"/>
    <x v="140"/>
  </r>
  <r>
    <n v="153"/>
    <s v="Finance &amp; Investments"/>
    <s v="Mikhail Prokhorov"/>
    <s v="Switzerland"/>
    <s v="Frauenfeld"/>
    <s v="Investments"/>
    <s v="Finance &amp; Investments"/>
    <b v="1"/>
    <s v="Male"/>
    <s v="Prokhorov"/>
    <x v="113"/>
    <n v="11300"/>
    <n v="1965"/>
    <n v="5"/>
    <n v="3"/>
    <n v="99.55"/>
    <n v="703082435360"/>
    <n v="83.6"/>
    <n v="10.1"/>
    <n v="28.8"/>
    <n v="8574832"/>
    <d v="2025-08-13T00:00:00"/>
    <x v="141"/>
    <x v="141"/>
  </r>
  <r>
    <n v="157"/>
    <s v="Fashion &amp; Retail"/>
    <s v="Giorgio Armani"/>
    <s v="Italy"/>
    <s v="Milan"/>
    <s v="Luxury goods"/>
    <s v="Fashion &amp; Retail"/>
    <b v="1"/>
    <s v="Male"/>
    <s v="Armani"/>
    <x v="125"/>
    <n v="11100"/>
    <n v="1934"/>
    <n v="7"/>
    <n v="11"/>
    <n v="110.62"/>
    <n v="2001244392042"/>
    <n v="82.9"/>
    <n v="24.3"/>
    <n v="59.1"/>
    <n v="60297396"/>
    <d v="2025-08-13T00:00:00"/>
    <x v="142"/>
    <x v="142"/>
  </r>
  <r>
    <n v="157"/>
    <s v="Fashion &amp; Retail"/>
    <s v="Johann Rupert &amp; family"/>
    <s v="South Africa"/>
    <s v="Cape Town"/>
    <s v="Luxury goods"/>
    <s v="Fashion &amp; Retail"/>
    <b v="0"/>
    <s v="Male"/>
    <s v="Rupert"/>
    <x v="126"/>
    <n v="11100"/>
    <n v="1950"/>
    <n v="6"/>
    <n v="1"/>
    <n v="158.93"/>
    <n v="351431649241"/>
    <n v="63.9"/>
    <n v="27.5"/>
    <n v="29.2"/>
    <n v="58558270"/>
    <d v="2025-08-13T00:00:00"/>
    <x v="143"/>
    <x v="143"/>
  </r>
  <r>
    <n v="159"/>
    <s v="Technology"/>
    <s v="Zhang Zhidong"/>
    <s v="China"/>
    <s v="Shenzhen"/>
    <s v="Internet media"/>
    <s v="Technology"/>
    <b v="1"/>
    <s v="Male"/>
    <s v="Zhang"/>
    <x v="127"/>
    <n v="11000"/>
    <n v="1972"/>
    <n v="1"/>
    <n v="1"/>
    <n v="125.08"/>
    <n v="19910000000000"/>
    <n v="77"/>
    <n v="9.4"/>
    <n v="59.2"/>
    <n v="1397715000"/>
    <d v="2025-08-13T00:00:00"/>
    <x v="144"/>
    <x v="144"/>
  </r>
  <r>
    <n v="161"/>
    <s v="Finance &amp; Investments"/>
    <s v="Philip Anschutz"/>
    <s v="United States"/>
    <s v="Denver"/>
    <s v="Energy, sports, entertainment"/>
    <s v="Finance &amp; Investments"/>
    <b v="0"/>
    <s v="Male"/>
    <s v="Anschutz"/>
    <x v="128"/>
    <n v="10900"/>
    <n v="1939"/>
    <n v="12"/>
    <n v="28"/>
    <n v="117.24"/>
    <n v="21427700000000"/>
    <n v="78.5"/>
    <n v="9.6"/>
    <n v="36.6"/>
    <n v="328239523"/>
    <d v="2025-08-13T00:00:00"/>
    <x v="145"/>
    <x v="145"/>
  </r>
  <r>
    <n v="161"/>
    <s v="Fashion &amp; Retail"/>
    <s v="Judy Love &amp; family"/>
    <s v="United States"/>
    <s v="Oklahoma City"/>
    <s v="Gas stations"/>
    <s v="Fashion &amp; Retail"/>
    <b v="1"/>
    <s v="Female"/>
    <s v="Love"/>
    <x v="129"/>
    <n v="10900"/>
    <n v="1937"/>
    <n v="6"/>
    <n v="17"/>
    <n v="117.24"/>
    <n v="21427700000000"/>
    <n v="78.5"/>
    <n v="9.6"/>
    <n v="36.6"/>
    <n v="328239523"/>
    <d v="2025-08-13T00:00:00"/>
    <x v="146"/>
    <x v="146"/>
  </r>
  <r>
    <n v="161"/>
    <s v="Fashion &amp; Retail"/>
    <s v="Ricardo Salinas Pliego &amp; family"/>
    <s v="Mexico"/>
    <s v="Mexico City"/>
    <s v="Retail, media"/>
    <s v="Fashion &amp; Retail"/>
    <b v="0"/>
    <s v="Male"/>
    <s v="Salinas Pliego"/>
    <x v="130"/>
    <n v="10900"/>
    <n v="1955"/>
    <n v="10"/>
    <n v="19"/>
    <n v="141.54"/>
    <n v="1258286717125"/>
    <n v="75"/>
    <n v="13.1"/>
    <n v="55.1"/>
    <n v="126014024"/>
    <d v="2025-08-13T00:00:00"/>
    <x v="147"/>
    <x v="147"/>
  </r>
  <r>
    <n v="164"/>
    <s v="Media &amp; Entertainment"/>
    <s v="Donald Newhouse"/>
    <s v="United States"/>
    <s v="New York"/>
    <s v="Media"/>
    <s v="Media &amp; Entertainment"/>
    <b v="0"/>
    <s v="Male"/>
    <s v="Newhouse"/>
    <x v="83"/>
    <n v="10700"/>
    <n v="1929"/>
    <n v="8"/>
    <n v="5"/>
    <n v="117.24"/>
    <n v="21427700000000"/>
    <n v="78.5"/>
    <n v="9.6"/>
    <n v="36.6"/>
    <n v="328239523"/>
    <d v="2025-08-13T00:00:00"/>
    <x v="148"/>
    <x v="148"/>
  </r>
  <r>
    <n v="165"/>
    <s v="Sports"/>
    <s v="Robert Kraft"/>
    <s v="United States"/>
    <s v="Brookline"/>
    <s v="Manufacturing, New England Patriots"/>
    <s v="Sports"/>
    <b v="1"/>
    <s v="Male"/>
    <s v="Kraft"/>
    <x v="92"/>
    <n v="10600"/>
    <n v="1941"/>
    <n v="6"/>
    <n v="5"/>
    <n v="117.24"/>
    <n v="21427700000000"/>
    <n v="78.5"/>
    <n v="9.6"/>
    <n v="36.6"/>
    <n v="328239523"/>
    <d v="2025-08-13T00:00:00"/>
    <x v="149"/>
    <x v="149"/>
  </r>
  <r>
    <n v="165"/>
    <s v="Food &amp; Beverage"/>
    <s v="Marcel Herrmann Telles"/>
    <s v="Brazil"/>
    <s v="Sao Paulo"/>
    <s v="Beer"/>
    <s v="Food &amp; Beverage"/>
    <b v="1"/>
    <s v="Male"/>
    <s v="Telles"/>
    <x v="131"/>
    <n v="10600"/>
    <n v="1950"/>
    <n v="1"/>
    <n v="1"/>
    <n v="167.4"/>
    <n v="1839758040766"/>
    <n v="75.7"/>
    <n v="14.2"/>
    <n v="65.099999999999994"/>
    <n v="212559417"/>
    <d v="2025-08-13T00:00:00"/>
    <x v="150"/>
    <x v="150"/>
  </r>
  <r>
    <n v="167"/>
    <s v="Finance &amp; Investments"/>
    <s v="Suleiman Kerimov &amp; family"/>
    <s v="Russia"/>
    <s v="Moscow"/>
    <s v="Gold"/>
    <s v="Finance &amp; Investments"/>
    <b v="1"/>
    <s v="Male"/>
    <s v="Kerimov &amp; family"/>
    <x v="132"/>
    <n v="10500"/>
    <n v="1966"/>
    <n v="3"/>
    <n v="12"/>
    <n v="180.75"/>
    <n v="1699876578871"/>
    <n v="72.7"/>
    <n v="11.4"/>
    <n v="46.2"/>
    <n v="144373535"/>
    <d v="2025-08-13T00:00:00"/>
    <x v="151"/>
    <x v="151"/>
  </r>
  <r>
    <n v="167"/>
    <s v="Fashion &amp; Retail"/>
    <s v="Sky Xu"/>
    <s v="China"/>
    <s v="Guangzhou"/>
    <s v="E-commerce"/>
    <s v="Fashion &amp; Retail"/>
    <b v="1"/>
    <s v="Male"/>
    <s v="Xu"/>
    <x v="133"/>
    <n v="10500"/>
    <n v="1984"/>
    <n v="1"/>
    <n v="1"/>
    <n v="125.08"/>
    <n v="19910000000000"/>
    <n v="77"/>
    <n v="9.4"/>
    <n v="59.2"/>
    <n v="1397715000"/>
    <d v="2025-08-13T00:00:00"/>
    <x v="25"/>
    <x v="25"/>
  </r>
  <r>
    <n v="167"/>
    <s v="Finance &amp; Investments"/>
    <s v="Changpeng Zhao"/>
    <s v="United Arab Emirates"/>
    <s v="Dubai"/>
    <s v="Cryptocurrency exchange"/>
    <s v="Finance &amp; Investments"/>
    <b v="1"/>
    <s v="Male"/>
    <s v="Zhao"/>
    <x v="134"/>
    <n v="10500"/>
    <n v="1977"/>
    <n v="9"/>
    <n v="10"/>
    <n v="114.52"/>
    <n v="421142267938"/>
    <n v="77.8"/>
    <n v="0.1"/>
    <n v="15.9"/>
    <n v="9770529"/>
    <d v="2025-08-13T00:00:00"/>
    <x v="152"/>
    <x v="152"/>
  </r>
  <r>
    <n v="170"/>
    <s v="Finance &amp; Investments"/>
    <s v="Andrew Beal"/>
    <s v="United States"/>
    <s v="Dallas"/>
    <s v="Banks, real estate"/>
    <s v="Finance &amp; Investments"/>
    <b v="1"/>
    <s v="Male"/>
    <s v="Beal"/>
    <x v="71"/>
    <n v="10300"/>
    <n v="1952"/>
    <n v="11"/>
    <n v="29"/>
    <n v="117.24"/>
    <n v="21427700000000"/>
    <n v="78.5"/>
    <n v="9.6"/>
    <n v="36.6"/>
    <n v="328239523"/>
    <d v="2025-08-13T00:00:00"/>
    <x v="153"/>
    <x v="153"/>
  </r>
  <r>
    <n v="171"/>
    <s v="Technology"/>
    <s v="Mike Cannon-Brookes"/>
    <s v="Australia"/>
    <s v="Sydney"/>
    <s v="Software"/>
    <s v="Technology"/>
    <b v="1"/>
    <s v="Male"/>
    <s v="Cannon-Brookes"/>
    <x v="135"/>
    <n v="10200"/>
    <n v="1979"/>
    <n v="11"/>
    <n v="17"/>
    <n v="119.8"/>
    <n v="1392680589329"/>
    <n v="82.7"/>
    <n v="23"/>
    <n v="47.4"/>
    <n v="25766605"/>
    <d v="2025-08-13T00:00:00"/>
    <x v="154"/>
    <x v="154"/>
  </r>
  <r>
    <n v="171"/>
    <s v="Healthcare"/>
    <s v="Carl Cook"/>
    <s v="United States"/>
    <s v="Bloomington"/>
    <s v="Medical devices"/>
    <s v="Healthcare"/>
    <b v="0"/>
    <s v="Male"/>
    <s v="Cook"/>
    <x v="81"/>
    <n v="10200"/>
    <n v="1962"/>
    <n v="8"/>
    <n v="19"/>
    <n v="117.24"/>
    <n v="21427700000000"/>
    <n v="78.5"/>
    <n v="9.6"/>
    <n v="36.6"/>
    <n v="328239523"/>
    <d v="2025-08-13T00:00:00"/>
    <x v="155"/>
    <x v="155"/>
  </r>
  <r>
    <n v="171"/>
    <s v="Technology"/>
    <s v="David Duffield"/>
    <s v="United States"/>
    <s v="Incline Village"/>
    <s v="Business software"/>
    <s v="Technology"/>
    <b v="1"/>
    <s v="Male"/>
    <s v="Duffield"/>
    <x v="20"/>
    <n v="10200"/>
    <n v="1940"/>
    <n v="9"/>
    <n v="21"/>
    <n v="117.24"/>
    <n v="21427700000000"/>
    <n v="78.5"/>
    <n v="9.6"/>
    <n v="36.6"/>
    <n v="328239523"/>
    <d v="2025-08-13T00:00:00"/>
    <x v="156"/>
    <x v="156"/>
  </r>
  <r>
    <n v="171"/>
    <s v="Energy"/>
    <s v="Jeffery Hildebrand"/>
    <s v="United States"/>
    <s v="Houston"/>
    <s v="Oil"/>
    <s v="Energy"/>
    <b v="1"/>
    <s v="Male"/>
    <s v="Hildebrand"/>
    <x v="136"/>
    <n v="10200"/>
    <n v="1959"/>
    <n v="3"/>
    <n v="5"/>
    <n v="117.24"/>
    <n v="21427700000000"/>
    <n v="78.5"/>
    <n v="9.6"/>
    <n v="36.6"/>
    <n v="328239523"/>
    <d v="2025-08-13T00:00:00"/>
    <x v="157"/>
    <x v="157"/>
  </r>
  <r>
    <n v="171"/>
    <s v="Manufacturing"/>
    <s v="Viktor Rashnikov"/>
    <s v="Russia"/>
    <s v="Magnitogorsk"/>
    <s v="Steel"/>
    <s v="Manufacturing"/>
    <b v="1"/>
    <s v="Male"/>
    <s v="Rashnikov"/>
    <x v="137"/>
    <n v="10200"/>
    <n v="1948"/>
    <n v="10"/>
    <n v="13"/>
    <n v="180.75"/>
    <n v="1699876578871"/>
    <n v="72.7"/>
    <n v="11.4"/>
    <n v="46.2"/>
    <n v="144373535"/>
    <d v="2025-08-13T00:00:00"/>
    <x v="158"/>
    <x v="158"/>
  </r>
  <r>
    <n v="171"/>
    <s v="Technology"/>
    <s v="Eduardo Saverin"/>
    <s v="Singapore"/>
    <s v="Singapore"/>
    <s v="Facebook"/>
    <s v="Technology"/>
    <b v="1"/>
    <s v="Male"/>
    <s v="Saverin"/>
    <x v="138"/>
    <n v="10200"/>
    <n v="1982"/>
    <n v="3"/>
    <n v="19"/>
    <n v="114.41"/>
    <n v="372062527489"/>
    <n v="83.1"/>
    <n v="13.1"/>
    <n v="21"/>
    <n v="5703569"/>
    <d v="2025-08-13T00:00:00"/>
    <x v="159"/>
    <x v="159"/>
  </r>
  <r>
    <n v="171"/>
    <s v="Automotive"/>
    <s v="Georg Schaeffler"/>
    <s v="Germany"/>
    <s v="Herzogenaurach"/>
    <s v="Auto parts"/>
    <s v="Automotive"/>
    <b v="0"/>
    <s v="Male"/>
    <s v="Schaeffler"/>
    <x v="139"/>
    <n v="10200"/>
    <n v="1964"/>
    <n v="10"/>
    <n v="19"/>
    <n v="112.85"/>
    <n v="3845630030824"/>
    <n v="80.900000000000006"/>
    <n v="11.5"/>
    <n v="48.8"/>
    <n v="83132799"/>
    <d v="2025-08-13T00:00:00"/>
    <x v="160"/>
    <x v="160"/>
  </r>
  <r>
    <n v="171"/>
    <s v="Fashion &amp; Retail"/>
    <s v="Christy Walton"/>
    <s v="United States"/>
    <s v="Jackson"/>
    <s v="Walmart"/>
    <s v="Fashion &amp; Retail"/>
    <b v="0"/>
    <s v="Female"/>
    <s v="Walton"/>
    <x v="140"/>
    <n v="10200"/>
    <n v="1949"/>
    <n v="2"/>
    <n v="8"/>
    <n v="117.24"/>
    <n v="21427700000000"/>
    <n v="78.5"/>
    <n v="9.6"/>
    <n v="36.6"/>
    <n v="328239523"/>
    <d v="2025-08-13T00:00:00"/>
    <x v="161"/>
    <x v="161"/>
  </r>
  <r>
    <n v="179"/>
    <s v="Technology"/>
    <s v="Scott Farquhar"/>
    <s v="Australia"/>
    <s v="Sydney"/>
    <s v="Software"/>
    <s v="Technology"/>
    <b v="1"/>
    <s v="Male"/>
    <s v="Farquhar"/>
    <x v="141"/>
    <n v="10100"/>
    <n v="1979"/>
    <n v="12"/>
    <n v="17"/>
    <n v="119.8"/>
    <n v="1392680589329"/>
    <n v="82.7"/>
    <n v="23"/>
    <n v="47.4"/>
    <n v="25766605"/>
    <d v="2025-08-13T00:00:00"/>
    <x v="162"/>
    <x v="162"/>
  </r>
  <r>
    <n v="179"/>
    <s v="Diversified"/>
    <s v="Quek Leng Chan"/>
    <s v="Malaysia"/>
    <s v="Kuala Lumpur"/>
    <s v="Banking, property"/>
    <s v="Diversified"/>
    <b v="0"/>
    <s v="Male"/>
    <s v="Quek"/>
    <x v="142"/>
    <n v="10100"/>
    <n v="1941"/>
    <n v="8"/>
    <n v="12"/>
    <n v="121.46"/>
    <n v="364701517788"/>
    <n v="76"/>
    <n v="12"/>
    <n v="38.700000000000003"/>
    <n v="32447385"/>
    <d v="2025-08-13T00:00:00"/>
    <x v="163"/>
    <x v="163"/>
  </r>
  <r>
    <n v="179"/>
    <s v="Real Estate"/>
    <s v="Wu Yajun"/>
    <s v="China"/>
    <s v="Beijing"/>
    <s v="Real estate"/>
    <s v="Real Estate"/>
    <b v="1"/>
    <s v="Female"/>
    <s v="Wu"/>
    <x v="143"/>
    <n v="10100"/>
    <n v="1964"/>
    <n v="1"/>
    <n v="1"/>
    <n v="125.08"/>
    <n v="19910000000000"/>
    <n v="77"/>
    <n v="9.4"/>
    <n v="59.2"/>
    <n v="1397715000"/>
    <d v="2025-08-13T00:00:00"/>
    <x v="136"/>
    <x v="136"/>
  </r>
  <r>
    <n v="182"/>
    <s v="Energy"/>
    <s v="Autry Stephens"/>
    <s v="United States"/>
    <s v="Midland"/>
    <s v="Oil"/>
    <s v="Energy"/>
    <b v="1"/>
    <s v="Male"/>
    <s v="Stephens"/>
    <x v="144"/>
    <n v="10000"/>
    <n v="1938"/>
    <n v="3"/>
    <n v="8"/>
    <n v="117.24"/>
    <n v="21427700000000"/>
    <n v="78.5"/>
    <n v="9.6"/>
    <n v="36.6"/>
    <n v="328239523"/>
    <d v="2025-08-13T00:00:00"/>
    <x v="164"/>
    <x v="164"/>
  </r>
  <r>
    <n v="183"/>
    <s v="Service"/>
    <s v="Liu Yongxing"/>
    <s v="China"/>
    <s v="Shanghai"/>
    <s v="Diversified"/>
    <s v="Service"/>
    <b v="1"/>
    <s v="Male"/>
    <s v="Liu"/>
    <x v="145"/>
    <n v="9900"/>
    <n v="1948"/>
    <n v="6"/>
    <n v="1"/>
    <n v="125.08"/>
    <n v="19910000000000"/>
    <n v="77"/>
    <n v="9.4"/>
    <n v="59.2"/>
    <n v="1397715000"/>
    <d v="2025-08-13T00:00:00"/>
    <x v="165"/>
    <x v="165"/>
  </r>
  <r>
    <n v="184"/>
    <s v="Diversified"/>
    <s v="Vinod Adani"/>
    <s v="United Arab Emirates"/>
    <s v="Dubai"/>
    <s v="Infrastructure, commodities"/>
    <s v="Diversified"/>
    <b v="1"/>
    <s v="Male"/>
    <s v="Adani"/>
    <x v="146"/>
    <n v="9800"/>
    <n v="1949"/>
    <n v="1"/>
    <n v="10"/>
    <n v="114.52"/>
    <n v="421142267938"/>
    <n v="77.8"/>
    <n v="0.1"/>
    <n v="15.9"/>
    <n v="9770529"/>
    <d v="2025-08-13T00:00:00"/>
    <x v="166"/>
    <x v="166"/>
  </r>
  <r>
    <n v="184"/>
    <s v="Fashion &amp; Retail"/>
    <s v="Nicolas Puech"/>
    <s v="Switzerland"/>
    <s v="Martigny"/>
    <s v="Hermes"/>
    <s v="Fashion &amp; Retail"/>
    <b v="0"/>
    <s v="Male"/>
    <s v="Puech"/>
    <x v="147"/>
    <n v="9800"/>
    <n v="1943"/>
    <n v="1"/>
    <n v="29"/>
    <n v="99.55"/>
    <n v="703082435360"/>
    <n v="83.6"/>
    <n v="10.1"/>
    <n v="28.8"/>
    <n v="8574832"/>
    <d v="2025-08-13T00:00:00"/>
    <x v="167"/>
    <x v="167"/>
  </r>
  <r>
    <n v="184"/>
    <s v="Logistics"/>
    <s v="Jacques Saadé, Jr."/>
    <s v="France"/>
    <s v="Marseille"/>
    <s v="Shipping"/>
    <s v="Logistics"/>
    <b v="0"/>
    <s v="Male"/>
    <s v="Saadé"/>
    <x v="148"/>
    <n v="9800"/>
    <n v="1971"/>
    <n v="8"/>
    <n v="10"/>
    <n v="110.05"/>
    <n v="2715518274227"/>
    <n v="82.5"/>
    <n v="24.2"/>
    <n v="60.7"/>
    <n v="67059887"/>
    <d v="2025-08-13T00:00:00"/>
    <x v="168"/>
    <x v="168"/>
  </r>
  <r>
    <n v="184"/>
    <s v="Logistics"/>
    <s v="Rodolphe Saadé"/>
    <s v="France"/>
    <s v="Marseille"/>
    <s v="Shipping"/>
    <s v="Logistics"/>
    <b v="0"/>
    <s v="Male"/>
    <s v="Saadé"/>
    <x v="149"/>
    <n v="9800"/>
    <n v="1970"/>
    <n v="3"/>
    <n v="3"/>
    <n v="110.05"/>
    <n v="2715518274227"/>
    <n v="82.5"/>
    <n v="24.2"/>
    <n v="60.7"/>
    <n v="67059887"/>
    <d v="2025-08-13T00:00:00"/>
    <x v="169"/>
    <x v="169"/>
  </r>
  <r>
    <n v="184"/>
    <s v="Logistics"/>
    <s v="Tanya Saadé Zeenny"/>
    <s v="France"/>
    <s v="Marseille"/>
    <s v="Shipping"/>
    <s v="Logistics"/>
    <b v="0"/>
    <s v="Female"/>
    <s v="Saadé Zeenny"/>
    <x v="150"/>
    <n v="9800"/>
    <n v="1968"/>
    <n v="2"/>
    <n v="1"/>
    <n v="110.05"/>
    <n v="2715518274227"/>
    <n v="82.5"/>
    <n v="24.2"/>
    <n v="60.7"/>
    <n v="67059887"/>
    <d v="2025-08-13T00:00:00"/>
    <x v="170"/>
    <x v="170"/>
  </r>
  <r>
    <n v="184"/>
    <s v="Finance &amp; Investments"/>
    <s v="Melker Schorling &amp; family"/>
    <s v="Sweden"/>
    <s v="Stockholm"/>
    <s v="Investments"/>
    <s v="Finance &amp; Investments"/>
    <b v="1"/>
    <s v="Male"/>
    <s v="Schorling"/>
    <x v="151"/>
    <n v="9800"/>
    <n v="1947"/>
    <n v="5"/>
    <n v="15"/>
    <n v="110.51"/>
    <n v="530832908738"/>
    <n v="82.5"/>
    <n v="27.9"/>
    <n v="49.1"/>
    <n v="10285453"/>
    <d v="2025-08-13T00:00:00"/>
    <x v="171"/>
    <x v="171"/>
  </r>
  <r>
    <n v="190"/>
    <s v="Manufacturing"/>
    <s v="Andrei Guriev &amp; family"/>
    <s v="Russia"/>
    <s v="Moscow"/>
    <s v="Fertilizers"/>
    <s v="Manufacturing"/>
    <b v="1"/>
    <s v="Male"/>
    <s v="Guriev &amp; family"/>
    <x v="152"/>
    <n v="9700"/>
    <n v="1960"/>
    <n v="3"/>
    <n v="24"/>
    <n v="180.75"/>
    <n v="1699876578871"/>
    <n v="72.7"/>
    <n v="11.4"/>
    <n v="46.2"/>
    <n v="144373535"/>
    <d v="2025-08-13T00:00:00"/>
    <x v="172"/>
    <x v="172"/>
  </r>
  <r>
    <n v="190"/>
    <s v="Finance &amp; Investments"/>
    <s v="Michael Kim"/>
    <s v="South Korea"/>
    <s v="Seoul"/>
    <s v="Private equity"/>
    <s v="Finance &amp; Investments"/>
    <b v="1"/>
    <s v="Male"/>
    <s v="Kim"/>
    <x v="6"/>
    <n v="9700"/>
    <n v="1963"/>
    <n v="10"/>
    <n v="1"/>
    <n v="115.16"/>
    <n v="2029000000000"/>
    <n v="82.6"/>
    <n v="15.6"/>
    <n v="33.200000000000003"/>
    <n v="51709098"/>
    <d v="2025-08-13T00:00:00"/>
    <x v="173"/>
    <x v="173"/>
  </r>
  <r>
    <n v="190"/>
    <s v="Technology"/>
    <s v="Lei Jun"/>
    <s v="China"/>
    <s v="Beijing"/>
    <s v="Smartphones"/>
    <s v="Technology"/>
    <b v="1"/>
    <s v="Male"/>
    <s v="Lei"/>
    <x v="153"/>
    <n v="9700"/>
    <n v="1969"/>
    <n v="12"/>
    <n v="16"/>
    <n v="125.08"/>
    <n v="19910000000000"/>
    <n v="77"/>
    <n v="9.4"/>
    <n v="59.2"/>
    <n v="1397715000"/>
    <d v="2025-08-13T00:00:00"/>
    <x v="174"/>
    <x v="174"/>
  </r>
  <r>
    <n v="190"/>
    <s v="Manufacturing"/>
    <s v="Friedhelm Loh"/>
    <s v="Germany"/>
    <s v="Haiger"/>
    <s v="Manufacturing"/>
    <s v="Manufacturing"/>
    <b v="0"/>
    <s v="Male"/>
    <s v="Loh"/>
    <x v="154"/>
    <n v="9700"/>
    <n v="1946"/>
    <n v="8"/>
    <n v="15"/>
    <n v="112.85"/>
    <n v="3845630030824"/>
    <n v="80.900000000000006"/>
    <n v="11.5"/>
    <n v="48.8"/>
    <n v="83132799"/>
    <d v="2025-08-13T00:00:00"/>
    <x v="175"/>
    <x v="175"/>
  </r>
  <r>
    <n v="190"/>
    <s v="Healthcare"/>
    <s v="Sun Piaoyang"/>
    <s v="China"/>
    <s v="Lianyungang"/>
    <s v="Pharmaceuticals"/>
    <s v="Healthcare"/>
    <b v="1"/>
    <s v="Male"/>
    <s v="Sun"/>
    <x v="155"/>
    <n v="9700"/>
    <n v="1958"/>
    <n v="9"/>
    <n v="1"/>
    <n v="125.08"/>
    <n v="19910000000000"/>
    <n v="77"/>
    <n v="9.4"/>
    <n v="59.2"/>
    <n v="1397715000"/>
    <d v="2025-08-13T00:00:00"/>
    <x v="176"/>
    <x v="176"/>
  </r>
  <r>
    <n v="195"/>
    <s v="Technology"/>
    <s v="Rick Cohen &amp; family"/>
    <s v="United States"/>
    <s v="Keene"/>
    <s v="Warehouse automation"/>
    <s v="Technology"/>
    <b v="0"/>
    <s v="Male"/>
    <s v="Cohen"/>
    <x v="156"/>
    <n v="9600"/>
    <n v="1952"/>
    <n v="7"/>
    <n v="25"/>
    <n v="117.24"/>
    <n v="21427700000000"/>
    <n v="78.5"/>
    <n v="9.6"/>
    <n v="36.6"/>
    <n v="328239523"/>
    <d v="2025-08-13T00:00:00"/>
    <x v="177"/>
    <x v="177"/>
  </r>
  <r>
    <n v="195"/>
    <s v="Energy"/>
    <s v="Jin Baofang"/>
    <s v="China"/>
    <s v="Xingtai"/>
    <s v="Solar panels"/>
    <s v="Energy"/>
    <b v="1"/>
    <s v="Male"/>
    <s v="Jin"/>
    <x v="157"/>
    <n v="9600"/>
    <n v="1952"/>
    <n v="9"/>
    <n v="1"/>
    <n v="125.08"/>
    <n v="19910000000000"/>
    <n v="77"/>
    <n v="9.4"/>
    <n v="59.2"/>
    <n v="1397715000"/>
    <d v="2025-08-13T00:00:00"/>
    <x v="178"/>
    <x v="178"/>
  </r>
  <r>
    <n v="195"/>
    <s v="Manufacturing"/>
    <s v="Luo Liguo &amp; family"/>
    <s v="China"/>
    <s v="Ningbo"/>
    <s v="Chemicals"/>
    <s v="Manufacturing"/>
    <b v="1"/>
    <s v="Male"/>
    <s v="Luo"/>
    <x v="158"/>
    <n v="9600"/>
    <n v="1956"/>
    <n v="3"/>
    <n v="1"/>
    <n v="125.08"/>
    <n v="19910000000000"/>
    <n v="77"/>
    <n v="9.4"/>
    <n v="59.2"/>
    <n v="1397715000"/>
    <d v="2025-08-13T00:00:00"/>
    <x v="179"/>
    <x v="179"/>
  </r>
  <r>
    <n v="195"/>
    <s v="Food &amp; Beverage"/>
    <s v="Marijke Mars"/>
    <s v="United States"/>
    <s v="Los Angeles"/>
    <s v="Candy, pet food"/>
    <s v="Food &amp; Beverage"/>
    <b v="0"/>
    <s v="Female"/>
    <s v="Mars"/>
    <x v="159"/>
    <n v="9600"/>
    <n v="1964"/>
    <n v="7"/>
    <n v="28"/>
    <n v="117.24"/>
    <n v="21427700000000"/>
    <n v="78.5"/>
    <n v="9.6"/>
    <n v="36.6"/>
    <n v="328239523"/>
    <d v="2025-08-13T00:00:00"/>
    <x v="180"/>
    <x v="180"/>
  </r>
  <r>
    <n v="195"/>
    <s v="Food &amp; Beverage"/>
    <s v="Pamela Mars"/>
    <s v="United States"/>
    <s v="Alexandria"/>
    <s v="Candy, pet food"/>
    <s v="Food &amp; Beverage"/>
    <b v="0"/>
    <s v="Female"/>
    <s v="Mars"/>
    <x v="160"/>
    <n v="9600"/>
    <n v="1960"/>
    <n v="8"/>
    <n v="1"/>
    <n v="117.24"/>
    <n v="21427700000000"/>
    <n v="78.5"/>
    <n v="9.6"/>
    <n v="36.6"/>
    <n v="328239523"/>
    <d v="2025-08-13T00:00:00"/>
    <x v="181"/>
    <x v="181"/>
  </r>
  <r>
    <n v="195"/>
    <s v="Food &amp; Beverage"/>
    <s v="Valerie Mars"/>
    <s v="United States"/>
    <s v="New York"/>
    <s v="Candy, pet food"/>
    <s v="Food &amp; Beverage"/>
    <b v="0"/>
    <s v="Female"/>
    <s v="Mars"/>
    <x v="161"/>
    <n v="9600"/>
    <n v="1959"/>
    <n v="1"/>
    <n v="26"/>
    <n v="117.24"/>
    <n v="21427700000000"/>
    <n v="78.5"/>
    <n v="9.6"/>
    <n v="36.6"/>
    <n v="328239523"/>
    <d v="2025-08-13T00:00:00"/>
    <x v="182"/>
    <x v="182"/>
  </r>
  <r>
    <n v="195"/>
    <s v="Food &amp; Beverage"/>
    <s v="Victoria Mars"/>
    <s v="United States"/>
    <s v="Philadelphia"/>
    <s v="Candy, pet food"/>
    <s v="Food &amp; Beverage"/>
    <b v="0"/>
    <s v="Female"/>
    <s v="Mars"/>
    <x v="162"/>
    <n v="9600"/>
    <n v="1956"/>
    <n v="12"/>
    <n v="15"/>
    <n v="117.24"/>
    <n v="21427700000000"/>
    <n v="78.5"/>
    <n v="9.6"/>
    <n v="36.6"/>
    <n v="328239523"/>
    <d v="2025-08-13T00:00:00"/>
    <x v="183"/>
    <x v="183"/>
  </r>
  <r>
    <n v="202"/>
    <s v="Finance &amp; Investments"/>
    <s v="Vincent Bolloré &amp; family"/>
    <s v="France"/>
    <s v="Paris"/>
    <s v="Investments"/>
    <s v="Finance &amp; Investments"/>
    <b v="0"/>
    <s v="Male"/>
    <s v="Bolloré"/>
    <x v="163"/>
    <n v="9500"/>
    <n v="1952"/>
    <n v="4"/>
    <n v="1"/>
    <n v="110.05"/>
    <n v="2715518274227"/>
    <n v="82.5"/>
    <n v="24.2"/>
    <n v="60.7"/>
    <n v="67059887"/>
    <d v="2025-08-13T00:00:00"/>
    <x v="184"/>
    <x v="184"/>
  </r>
  <r>
    <n v="202"/>
    <s v="Diversified"/>
    <s v="Jim Pattison"/>
    <s v="Canada"/>
    <s v="Vancouver"/>
    <s v="Diversified"/>
    <s v="Diversified"/>
    <b v="1"/>
    <s v="Male"/>
    <s v="Pattison"/>
    <x v="17"/>
    <n v="9500"/>
    <n v="1928"/>
    <n v="10"/>
    <n v="1"/>
    <n v="116.76"/>
    <n v="1736425629520"/>
    <n v="81.900000000000006"/>
    <n v="12.8"/>
    <n v="24.5"/>
    <n v="36991981"/>
    <d v="2025-08-13T00:00:00"/>
    <x v="185"/>
    <x v="185"/>
  </r>
  <r>
    <n v="204"/>
    <s v="Healthcare"/>
    <s v="Ernesto Bertarelli"/>
    <s v="Switzerland"/>
    <s v="Gstaad"/>
    <s v="Biotech, investments"/>
    <s v="Healthcare"/>
    <b v="0"/>
    <s v="Male"/>
    <s v="Bertarelli"/>
    <x v="164"/>
    <n v="9400"/>
    <n v="1965"/>
    <n v="9"/>
    <n v="22"/>
    <n v="99.55"/>
    <n v="703082435360"/>
    <n v="83.6"/>
    <n v="10.1"/>
    <n v="28.8"/>
    <n v="8574832"/>
    <d v="2025-08-13T00:00:00"/>
    <x v="186"/>
    <x v="186"/>
  </r>
  <r>
    <n v="204"/>
    <s v="Technology"/>
    <s v="Wang Xing"/>
    <s v="China"/>
    <s v="Beijing"/>
    <s v="Food delivery"/>
    <s v="Technology"/>
    <b v="1"/>
    <s v="Male"/>
    <s v="Wang"/>
    <x v="165"/>
    <n v="9400"/>
    <n v="1979"/>
    <n v="2"/>
    <n v="18"/>
    <n v="125.08"/>
    <n v="19910000000000"/>
    <n v="77"/>
    <n v="9.4"/>
    <n v="59.2"/>
    <n v="1397715000"/>
    <d v="2025-08-13T00:00:00"/>
    <x v="187"/>
    <x v="187"/>
  </r>
  <r>
    <n v="206"/>
    <s v="Technology"/>
    <s v="Brian Chesky"/>
    <s v="United States"/>
    <s v="San Francisco"/>
    <s v="Airbnb"/>
    <s v="Technology"/>
    <b v="1"/>
    <s v="Male"/>
    <s v="Chesky"/>
    <x v="166"/>
    <n v="9300"/>
    <n v="1981"/>
    <n v="8"/>
    <n v="29"/>
    <n v="117.24"/>
    <n v="21427700000000"/>
    <n v="78.5"/>
    <n v="9.6"/>
    <n v="36.6"/>
    <n v="328239523"/>
    <d v="2025-08-13T00:00:00"/>
    <x v="188"/>
    <x v="188"/>
  </r>
  <r>
    <n v="206"/>
    <s v="Manufacturing"/>
    <s v="James Dyson"/>
    <s v="United Kingdom"/>
    <s v="Gloucestershire"/>
    <s v="Vacuums"/>
    <s v="Manufacturing"/>
    <b v="1"/>
    <s v="Male"/>
    <s v="Dyson"/>
    <x v="58"/>
    <n v="9300"/>
    <n v="1947"/>
    <n v="5"/>
    <n v="2"/>
    <n v="119.62"/>
    <n v="2827113184696"/>
    <n v="81.3"/>
    <n v="25.5"/>
    <n v="30.6"/>
    <n v="66834405"/>
    <d v="2025-08-13T00:00:00"/>
    <x v="189"/>
    <x v="189"/>
  </r>
  <r>
    <n v="208"/>
    <s v="Diversified"/>
    <s v="Roman Abramovich &amp; family"/>
    <s v="Russia"/>
    <s v="Moscow"/>
    <s v="Steel, investments"/>
    <s v="Diversified"/>
    <b v="1"/>
    <s v="Male"/>
    <s v="Abramovich"/>
    <x v="167"/>
    <n v="9200"/>
    <n v="1966"/>
    <n v="10"/>
    <n v="24"/>
    <n v="180.75"/>
    <n v="1699876578871"/>
    <n v="72.7"/>
    <n v="11.4"/>
    <n v="46.2"/>
    <n v="144373535"/>
    <d v="2025-08-13T00:00:00"/>
    <x v="190"/>
    <x v="190"/>
  </r>
  <r>
    <n v="208"/>
    <s v="Diversified"/>
    <s v="Antonia Ax:son Johnson &amp; family"/>
    <s v="Sweden"/>
    <s v="Stockholm"/>
    <s v="Diversified"/>
    <s v="Diversified"/>
    <b v="0"/>
    <s v="Female"/>
    <s v="Ax:son Johnson"/>
    <x v="168"/>
    <n v="9200"/>
    <n v="1943"/>
    <n v="9"/>
    <n v="6"/>
    <n v="110.51"/>
    <n v="530832908738"/>
    <n v="82.5"/>
    <n v="27.9"/>
    <n v="49.1"/>
    <n v="10285453"/>
    <d v="2025-08-13T00:00:00"/>
    <x v="191"/>
    <x v="191"/>
  </r>
  <r>
    <n v="208"/>
    <s v="Energy"/>
    <s v="Daniel Kretinsky"/>
    <s v="Czech Republic"/>
    <s v="Prague"/>
    <s v="Energy, investments"/>
    <s v="Energy"/>
    <b v="1"/>
    <s v="Male"/>
    <s v="Kretinsky"/>
    <x v="79"/>
    <n v="9200"/>
    <n v="1975"/>
    <n v="7"/>
    <n v="9"/>
    <n v="116.48"/>
    <n v="246489245495"/>
    <n v="79"/>
    <n v="14.9"/>
    <n v="46.1"/>
    <n v="10669709"/>
    <d v="2025-08-13T00:00:00"/>
    <x v="192"/>
    <x v="192"/>
  </r>
  <r>
    <n v="208"/>
    <s v="Media &amp; Entertainment"/>
    <s v="John Malone"/>
    <s v="United States"/>
    <s v="Elizabeth"/>
    <s v="Cable television"/>
    <s v="Media &amp; Entertainment"/>
    <b v="1"/>
    <s v="Male"/>
    <s v="Malone"/>
    <x v="29"/>
    <n v="9200"/>
    <n v="1941"/>
    <n v="3"/>
    <n v="7"/>
    <n v="117.24"/>
    <n v="21427700000000"/>
    <n v="78.5"/>
    <n v="9.6"/>
    <n v="36.6"/>
    <n v="328239523"/>
    <d v="2025-08-13T00:00:00"/>
    <x v="193"/>
    <x v="193"/>
  </r>
  <r>
    <n v="208"/>
    <s v="Technology"/>
    <s v="Azim Premji"/>
    <s v="India"/>
    <s v="Bangalore"/>
    <s v="Software services"/>
    <s v="Technology"/>
    <b v="0"/>
    <s v="Male"/>
    <s v="Premji"/>
    <x v="169"/>
    <n v="9200"/>
    <n v="1945"/>
    <n v="7"/>
    <n v="24"/>
    <n v="180.44"/>
    <n v="2611000000000"/>
    <n v="69.400000000000006"/>
    <n v="11.2"/>
    <n v="49.7"/>
    <n v="1366417754"/>
    <d v="2025-08-13T00:00:00"/>
    <x v="194"/>
    <x v="194"/>
  </r>
  <r>
    <n v="208"/>
    <s v="Finance &amp; Investments"/>
    <s v="Charles Schwab"/>
    <s v="United States"/>
    <s v="Woodside"/>
    <s v="Discount brokerage"/>
    <s v="Finance &amp; Investments"/>
    <b v="1"/>
    <s v="Male"/>
    <s v="Schwab"/>
    <x v="15"/>
    <n v="9200"/>
    <n v="1937"/>
    <n v="7"/>
    <n v="29"/>
    <n v="117.24"/>
    <n v="21427700000000"/>
    <n v="78.5"/>
    <n v="9.6"/>
    <n v="36.6"/>
    <n v="328239523"/>
    <d v="2025-08-13T00:00:00"/>
    <x v="195"/>
    <x v="195"/>
  </r>
  <r>
    <n v="208"/>
    <s v="Fashion &amp; Retail"/>
    <s v="Eric Smidt"/>
    <s v="United States"/>
    <s v="Beverly Hills"/>
    <s v="Hardware stores"/>
    <s v="Fashion &amp; Retail"/>
    <b v="1"/>
    <s v="Male"/>
    <s v="Smidt"/>
    <x v="73"/>
    <n v="9200"/>
    <n v="1960"/>
    <n v="1"/>
    <n v="1"/>
    <n v="117.24"/>
    <n v="21427700000000"/>
    <n v="78.5"/>
    <n v="9.6"/>
    <n v="36.6"/>
    <n v="328239523"/>
    <d v="2025-08-13T00:00:00"/>
    <x v="196"/>
    <x v="196"/>
  </r>
  <r>
    <n v="215"/>
    <s v="Technology"/>
    <s v="David Cheriton"/>
    <s v="United States"/>
    <s v="Palo Alto"/>
    <s v="Google"/>
    <s v="Technology"/>
    <b v="1"/>
    <s v="Male"/>
    <s v="Cheriton"/>
    <x v="20"/>
    <n v="9000"/>
    <n v="1951"/>
    <n v="3"/>
    <n v="29"/>
    <n v="117.24"/>
    <n v="21427700000000"/>
    <n v="78.5"/>
    <n v="9.6"/>
    <n v="36.6"/>
    <n v="328239523"/>
    <d v="2025-08-13T00:00:00"/>
    <x v="197"/>
    <x v="197"/>
  </r>
  <r>
    <n v="215"/>
    <s v="Metals &amp; Mining"/>
    <s v="Ivan Glasenberg"/>
    <s v="Switzerland"/>
    <s v="Ruschlikon"/>
    <s v="Mining"/>
    <s v="Metals &amp; Mining"/>
    <b v="1"/>
    <s v="Male"/>
    <s v="Glasenberg"/>
    <x v="170"/>
    <n v="9000"/>
    <n v="1957"/>
    <n v="1"/>
    <n v="7"/>
    <n v="99.55"/>
    <n v="703082435360"/>
    <n v="83.6"/>
    <n v="10.1"/>
    <n v="28.8"/>
    <n v="8574832"/>
    <d v="2025-08-13T00:00:00"/>
    <x v="198"/>
    <x v="198"/>
  </r>
  <r>
    <n v="215"/>
    <s v="Real Estate"/>
    <s v="Alexander Otto"/>
    <s v="Germany"/>
    <s v="Hamburg"/>
    <s v="Real estate"/>
    <s v="Real Estate"/>
    <b v="0"/>
    <s v="Male"/>
    <s v="Otto"/>
    <x v="171"/>
    <n v="9000"/>
    <n v="1967"/>
    <n v="7"/>
    <n v="7"/>
    <n v="112.85"/>
    <n v="3845630030824"/>
    <n v="80.900000000000006"/>
    <n v="11.5"/>
    <n v="48.8"/>
    <n v="83132799"/>
    <d v="2025-08-13T00:00:00"/>
    <x v="199"/>
    <x v="199"/>
  </r>
  <r>
    <n v="215"/>
    <s v="Food &amp; Beverage"/>
    <s v="Anthony von Mandl"/>
    <s v="Canada"/>
    <s v="Vancouver"/>
    <s v="Alcoholic beverages"/>
    <s v="Food &amp; Beverage"/>
    <b v="1"/>
    <s v="Male"/>
    <s v="von Mandl"/>
    <x v="124"/>
    <n v="9000"/>
    <n v="1950"/>
    <n v="3"/>
    <n v="10"/>
    <n v="116.76"/>
    <n v="1736425629520"/>
    <n v="81.900000000000006"/>
    <n v="12.8"/>
    <n v="24.5"/>
    <n v="36991981"/>
    <d v="2025-08-13T00:00:00"/>
    <x v="200"/>
    <x v="200"/>
  </r>
  <r>
    <n v="215"/>
    <s v="Manufacturing"/>
    <s v="Wang Liping &amp; family"/>
    <s v="China"/>
    <s v="Changzhou"/>
    <s v="Hydraulic machinery"/>
    <s v="Manufacturing"/>
    <b v="1"/>
    <s v="Male"/>
    <s v="Wang"/>
    <x v="172"/>
    <n v="9000"/>
    <n v="1966"/>
    <n v="2"/>
    <n v="24"/>
    <n v="125.08"/>
    <n v="19910000000000"/>
    <n v="77"/>
    <n v="9.4"/>
    <n v="59.2"/>
    <n v="1397715000"/>
    <d v="2025-08-13T00:00:00"/>
    <x v="201"/>
    <x v="201"/>
  </r>
  <r>
    <n v="220"/>
    <s v="Food &amp; Beverage"/>
    <s v="Finn Rausing"/>
    <s v="United Kingdom"/>
    <s v="London"/>
    <s v="Packaging"/>
    <s v="Food &amp; Beverage"/>
    <b v="0"/>
    <s v="Male"/>
    <s v="Rausing"/>
    <x v="173"/>
    <n v="8900"/>
    <n v="1955"/>
    <n v="1"/>
    <n v="1"/>
    <n v="119.62"/>
    <n v="2827113184696"/>
    <n v="81.3"/>
    <n v="25.5"/>
    <n v="30.6"/>
    <n v="66834405"/>
    <d v="2025-08-13T00:00:00"/>
    <x v="105"/>
    <x v="105"/>
  </r>
  <r>
    <n v="220"/>
    <s v="Food &amp; Beverage"/>
    <s v="Jorn Rausing"/>
    <s v="United Kingdom"/>
    <s v="Surrey"/>
    <s v="Packaging"/>
    <s v="Food &amp; Beverage"/>
    <b v="0"/>
    <s v="Male"/>
    <s v="Rausing"/>
    <x v="174"/>
    <n v="8900"/>
    <n v="1960"/>
    <n v="1"/>
    <n v="1"/>
    <n v="119.62"/>
    <n v="2827113184696"/>
    <n v="81.3"/>
    <n v="25.5"/>
    <n v="30.6"/>
    <n v="66834405"/>
    <d v="2025-08-13T00:00:00"/>
    <x v="196"/>
    <x v="196"/>
  </r>
  <r>
    <n v="220"/>
    <s v="Food &amp; Beverage"/>
    <s v="Kirsten Rausing"/>
    <s v="United Kingdom"/>
    <s v="Newmarket"/>
    <s v="Packaging"/>
    <s v="Food &amp; Beverage"/>
    <b v="0"/>
    <s v="Female"/>
    <s v="Rausing"/>
    <x v="175"/>
    <n v="8900"/>
    <n v="1952"/>
    <n v="6"/>
    <n v="6"/>
    <n v="119.62"/>
    <n v="2827113184696"/>
    <n v="81.3"/>
    <n v="25.5"/>
    <n v="30.6"/>
    <n v="66834405"/>
    <d v="2025-08-13T00:00:00"/>
    <x v="202"/>
    <x v="202"/>
  </r>
  <r>
    <n v="223"/>
    <s v="Fashion &amp; Retail"/>
    <s v="Tatyana Bakalchuk"/>
    <s v="Russia"/>
    <s v="Moscow region"/>
    <s v="Ecommerce"/>
    <s v="Fashion &amp; Retail"/>
    <b v="1"/>
    <s v="Female"/>
    <s v="Bakalchuk"/>
    <x v="176"/>
    <n v="8800"/>
    <n v="1975"/>
    <n v="10"/>
    <n v="16"/>
    <n v="180.75"/>
    <n v="1699876578871"/>
    <n v="72.7"/>
    <n v="11.4"/>
    <n v="46.2"/>
    <n v="144373535"/>
    <d v="2025-08-13T00:00:00"/>
    <x v="203"/>
    <x v="203"/>
  </r>
  <r>
    <n v="223"/>
    <s v="Technology"/>
    <s v="John Doerr"/>
    <s v="United States"/>
    <s v="Woodside"/>
    <s v="Venture capital"/>
    <s v="Technology"/>
    <b v="1"/>
    <s v="Male"/>
    <s v="Doerr"/>
    <x v="29"/>
    <n v="8800"/>
    <n v="1951"/>
    <n v="6"/>
    <n v="29"/>
    <n v="117.24"/>
    <n v="21427700000000"/>
    <n v="78.5"/>
    <n v="9.6"/>
    <n v="36.6"/>
    <n v="328239523"/>
    <d v="2025-08-13T00:00:00"/>
    <x v="204"/>
    <x v="204"/>
  </r>
  <r>
    <n v="223"/>
    <s v="Technology"/>
    <s v="Richard Liu"/>
    <s v="China"/>
    <s v="Beijing"/>
    <s v="E-commerce"/>
    <s v="Technology"/>
    <b v="1"/>
    <s v="Male"/>
    <s v="Liu"/>
    <x v="177"/>
    <n v="8800"/>
    <n v="1974"/>
    <n v="3"/>
    <n v="10"/>
    <n v="125.08"/>
    <n v="19910000000000"/>
    <n v="77"/>
    <n v="9.4"/>
    <n v="59.2"/>
    <n v="1397715000"/>
    <d v="2025-08-13T00:00:00"/>
    <x v="205"/>
    <x v="205"/>
  </r>
  <r>
    <n v="223"/>
    <s v="Technology"/>
    <s v="Dustin Moskovitz"/>
    <s v="United States"/>
    <s v="San Francisco"/>
    <s v="Facebook"/>
    <s v="Technology"/>
    <b v="1"/>
    <s v="Male"/>
    <s v="Moskovitz"/>
    <x v="178"/>
    <n v="8800"/>
    <n v="1984"/>
    <n v="5"/>
    <n v="22"/>
    <n v="117.24"/>
    <n v="21427700000000"/>
    <n v="78.5"/>
    <n v="9.6"/>
    <n v="36.6"/>
    <n v="328239523"/>
    <d v="2025-08-13T00:00:00"/>
    <x v="206"/>
    <x v="206"/>
  </r>
  <r>
    <n v="223"/>
    <s v="Technology"/>
    <s v="Pierre Omidyar"/>
    <s v="United States"/>
    <s v="Honolulu"/>
    <s v="EBay, PayPal"/>
    <s v="Technology"/>
    <b v="1"/>
    <s v="Male"/>
    <s v="Omidyar"/>
    <x v="179"/>
    <n v="8800"/>
    <n v="1967"/>
    <n v="6"/>
    <n v="21"/>
    <n v="117.24"/>
    <n v="21427700000000"/>
    <n v="78.5"/>
    <n v="9.6"/>
    <n v="36.6"/>
    <n v="328239523"/>
    <d v="2025-08-13T00:00:00"/>
    <x v="207"/>
    <x v="207"/>
  </r>
  <r>
    <n v="223"/>
    <s v="Energy"/>
    <s v="Pei Zhenhua"/>
    <s v="China"/>
    <s v="Ningde"/>
    <s v="Batteries"/>
    <s v="Energy"/>
    <b v="1"/>
    <s v="Male"/>
    <s v="Pei"/>
    <x v="180"/>
    <n v="8800"/>
    <n v="1959"/>
    <n v="1"/>
    <n v="1"/>
    <n v="125.08"/>
    <n v="19910000000000"/>
    <n v="77"/>
    <n v="9.4"/>
    <n v="59.2"/>
    <n v="1397715000"/>
    <d v="2025-08-13T00:00:00"/>
    <x v="208"/>
    <x v="208"/>
  </r>
  <r>
    <n v="223"/>
    <s v="Energy"/>
    <s v="Carrie Perrodo &amp; family"/>
    <s v="United Kingdom"/>
    <s v="London"/>
    <s v="Oil"/>
    <s v="Energy"/>
    <b v="0"/>
    <s v="Female"/>
    <s v="Perrodo"/>
    <x v="181"/>
    <n v="8800"/>
    <n v="1951"/>
    <n v="1"/>
    <n v="1"/>
    <n v="119.62"/>
    <n v="2827113184696"/>
    <n v="81.3"/>
    <n v="25.5"/>
    <n v="30.6"/>
    <n v="66834405"/>
    <d v="2025-08-13T00:00:00"/>
    <x v="96"/>
    <x v="96"/>
  </r>
  <r>
    <n v="230"/>
    <s v="Manufacturing"/>
    <s v="Chen Jianhua"/>
    <s v="China"/>
    <s v="Wujiang"/>
    <s v="Chemicals"/>
    <s v="Manufacturing"/>
    <b v="1"/>
    <s v="Male"/>
    <s v="Chen"/>
    <x v="182"/>
    <n v="8700"/>
    <n v="1971"/>
    <n v="1"/>
    <n v="1"/>
    <n v="125.08"/>
    <n v="19910000000000"/>
    <n v="77"/>
    <n v="9.4"/>
    <n v="59.2"/>
    <n v="1397715000"/>
    <d v="2025-08-13T00:00:00"/>
    <x v="209"/>
    <x v="209"/>
  </r>
  <r>
    <n v="230"/>
    <s v="Fashion &amp; Retail"/>
    <s v="Michael Otto"/>
    <s v="Germany"/>
    <s v="Hamburg"/>
    <s v="Retail, real estate"/>
    <s v="Fashion &amp; Retail"/>
    <b v="0"/>
    <s v="Male"/>
    <s v="Otto"/>
    <x v="6"/>
    <n v="8700"/>
    <n v="1943"/>
    <n v="4"/>
    <n v="12"/>
    <n v="112.85"/>
    <n v="3845630030824"/>
    <n v="80.900000000000006"/>
    <n v="11.5"/>
    <n v="48.8"/>
    <n v="83132799"/>
    <d v="2025-08-13T00:00:00"/>
    <x v="210"/>
    <x v="210"/>
  </r>
  <r>
    <n v="232"/>
    <s v="Finance &amp; Investments"/>
    <s v="Leon Black"/>
    <s v="United States"/>
    <s v="New York"/>
    <s v="Private equity"/>
    <s v="Finance &amp; Investments"/>
    <b v="1"/>
    <s v="Male"/>
    <s v="Black"/>
    <x v="183"/>
    <n v="8600"/>
    <n v="1951"/>
    <n v="7"/>
    <n v="31"/>
    <n v="117.24"/>
    <n v="21427700000000"/>
    <n v="78.5"/>
    <n v="9.6"/>
    <n v="36.6"/>
    <n v="328239523"/>
    <d v="2025-08-13T00:00:00"/>
    <x v="211"/>
    <x v="211"/>
  </r>
  <r>
    <n v="232"/>
    <s v="Finance &amp; Investments"/>
    <s v="Graeme Hart"/>
    <s v="New Zealand"/>
    <s v="Auckland"/>
    <s v="Investments"/>
    <s v="Finance &amp; Investments"/>
    <b v="1"/>
    <s v="Male"/>
    <s v="Hart"/>
    <x v="184"/>
    <n v="8600"/>
    <n v="1955"/>
    <n v="6"/>
    <n v="6"/>
    <n v="114.24"/>
    <n v="206928765544"/>
    <n v="81.900000000000006"/>
    <n v="29"/>
    <n v="34.6"/>
    <n v="4841000"/>
    <d v="2025-08-13T00:00:00"/>
    <x v="212"/>
    <x v="212"/>
  </r>
  <r>
    <n v="232"/>
    <s v="Food &amp; Beverage"/>
    <s v="Ravi Jaipuria"/>
    <s v="India"/>
    <s v="Delhi"/>
    <s v="Soft drinks, fast food"/>
    <s v="Food &amp; Beverage"/>
    <b v="0"/>
    <s v="Male"/>
    <s v="Jaipuria"/>
    <x v="185"/>
    <n v="8600"/>
    <n v="1954"/>
    <n v="11"/>
    <n v="28"/>
    <n v="180.44"/>
    <n v="2611000000000"/>
    <n v="69.400000000000006"/>
    <n v="11.2"/>
    <n v="49.7"/>
    <n v="1366417754"/>
    <d v="2025-08-13T00:00:00"/>
    <x v="213"/>
    <x v="213"/>
  </r>
  <r>
    <n v="232"/>
    <s v="Technology"/>
    <s v="Hasso Plattner &amp; family"/>
    <s v="Germany"/>
    <s v="Heidelberg"/>
    <s v="Software"/>
    <s v="Technology"/>
    <b v="1"/>
    <s v="Male"/>
    <s v="Plattner"/>
    <x v="186"/>
    <n v="8600"/>
    <n v="1944"/>
    <n v="1"/>
    <n v="21"/>
    <n v="112.85"/>
    <n v="3845630030824"/>
    <n v="80.900000000000006"/>
    <n v="11.5"/>
    <n v="48.8"/>
    <n v="83132799"/>
    <d v="2025-08-13T00:00:00"/>
    <x v="214"/>
    <x v="214"/>
  </r>
  <r>
    <n v="232"/>
    <s v="Food &amp; Beverage"/>
    <s v="Carlos Alberto Sicupira &amp; family"/>
    <s v="Switzerland"/>
    <s v="St. Gallen"/>
    <s v="Beer"/>
    <s v="Food &amp; Beverage"/>
    <b v="1"/>
    <s v="Male"/>
    <s v="Sicupira"/>
    <x v="187"/>
    <n v="8600"/>
    <n v="1948"/>
    <n v="1"/>
    <n v="1"/>
    <n v="99.55"/>
    <n v="703082435360"/>
    <n v="83.6"/>
    <n v="10.1"/>
    <n v="28.8"/>
    <n v="8574832"/>
    <d v="2025-08-13T00:00:00"/>
    <x v="215"/>
    <x v="215"/>
  </r>
  <r>
    <n v="232"/>
    <s v="Real Estate"/>
    <s v="Manuel Villar"/>
    <s v="Philippines"/>
    <s v="Manila"/>
    <s v="Real estate"/>
    <s v="Real Estate"/>
    <b v="1"/>
    <s v="Male"/>
    <s v="Villar"/>
    <x v="188"/>
    <n v="8600"/>
    <n v="1949"/>
    <n v="12"/>
    <n v="13"/>
    <n v="129.61000000000001"/>
    <n v="376795508680"/>
    <n v="71.099999999999994"/>
    <n v="14"/>
    <n v="43.1"/>
    <n v="108116615"/>
    <d v="2025-08-13T00:00:00"/>
    <x v="216"/>
    <x v="216"/>
  </r>
  <r>
    <n v="232"/>
    <s v="Technology"/>
    <s v="Andreas von Bechtolsheim &amp; family"/>
    <s v="United States"/>
    <s v="Palo Alto"/>
    <s v="Google"/>
    <s v="Technology"/>
    <b v="1"/>
    <s v="Male"/>
    <s v="von Bechtolsheim"/>
    <x v="120"/>
    <n v="8600"/>
    <n v="1955"/>
    <n v="9"/>
    <n v="30"/>
    <n v="117.24"/>
    <n v="21427700000000"/>
    <n v="78.5"/>
    <n v="9.6"/>
    <n v="36.6"/>
    <n v="328239523"/>
    <d v="2025-08-13T00:00:00"/>
    <x v="217"/>
    <x v="217"/>
  </r>
  <r>
    <n v="239"/>
    <s v="Finance &amp; Investments"/>
    <s v="Chase Coleman, III."/>
    <s v="United States"/>
    <s v="New York"/>
    <s v="Investments"/>
    <s v="Finance &amp; Investments"/>
    <b v="1"/>
    <s v="Male"/>
    <s v="Coleman"/>
    <x v="189"/>
    <n v="8500"/>
    <n v="1975"/>
    <n v="6"/>
    <n v="21"/>
    <n v="117.24"/>
    <n v="21427700000000"/>
    <n v="78.5"/>
    <n v="9.6"/>
    <n v="36.6"/>
    <n v="328239523"/>
    <d v="2025-08-13T00:00:00"/>
    <x v="218"/>
    <x v="218"/>
  </r>
  <r>
    <n v="239"/>
    <s v="Fashion &amp; Retail"/>
    <s v="Ann Walton Kroenke"/>
    <s v="United States"/>
    <s v="Electra"/>
    <s v="Walmart"/>
    <s v="Fashion &amp; Retail"/>
    <b v="0"/>
    <s v="Female"/>
    <s v="Kroenke"/>
    <x v="190"/>
    <n v="8500"/>
    <n v="1948"/>
    <n v="12"/>
    <n v="18"/>
    <n v="117.24"/>
    <n v="21427700000000"/>
    <n v="78.5"/>
    <n v="9.6"/>
    <n v="36.6"/>
    <n v="328239523"/>
    <d v="2025-08-13T00:00:00"/>
    <x v="219"/>
    <x v="219"/>
  </r>
  <r>
    <n v="239"/>
    <s v="Manufacturing"/>
    <s v="Li Zhenguo &amp; family"/>
    <s v="China"/>
    <s v="Xi'an"/>
    <s v="Solar wafers and modules"/>
    <s v="Manufacturing"/>
    <b v="1"/>
    <s v="Male"/>
    <s v="Li"/>
    <x v="191"/>
    <n v="8500"/>
    <n v="1968"/>
    <n v="1"/>
    <n v="1"/>
    <n v="125.08"/>
    <n v="19910000000000"/>
    <n v="77"/>
    <n v="9.4"/>
    <n v="59.2"/>
    <n v="1397715000"/>
    <d v="2025-08-13T00:00:00"/>
    <x v="220"/>
    <x v="220"/>
  </r>
  <r>
    <n v="242"/>
    <s v="Media &amp; Entertainment"/>
    <s v="Jim Kennedy"/>
    <s v="United States"/>
    <s v="Atlanta"/>
    <s v="Media, automotive"/>
    <s v="Media &amp; Entertainment"/>
    <b v="0"/>
    <s v="Male"/>
    <s v="Kennedy"/>
    <x v="17"/>
    <n v="8400"/>
    <n v="1947"/>
    <n v="11"/>
    <n v="29"/>
    <n v="117.24"/>
    <n v="21427700000000"/>
    <n v="78.5"/>
    <n v="9.6"/>
    <n v="36.6"/>
    <n v="328239523"/>
    <d v="2025-08-13T00:00:00"/>
    <x v="221"/>
    <x v="221"/>
  </r>
  <r>
    <n v="242"/>
    <s v="Metals &amp; Mining"/>
    <s v="Nicky Oppenheimer &amp; family"/>
    <s v="South Africa"/>
    <s v="Johannesburg"/>
    <s v="Diamonds"/>
    <s v="Metals &amp; Mining"/>
    <b v="0"/>
    <s v="Male"/>
    <s v="Oppenheimer"/>
    <x v="192"/>
    <n v="8400"/>
    <n v="1945"/>
    <n v="6"/>
    <n v="8"/>
    <n v="158.93"/>
    <n v="351431649241"/>
    <n v="63.9"/>
    <n v="27.5"/>
    <n v="29.2"/>
    <n v="58558270"/>
    <d v="2025-08-13T00:00:00"/>
    <x v="222"/>
    <x v="222"/>
  </r>
  <r>
    <n v="242"/>
    <s v="Media &amp; Entertainment"/>
    <s v="Blair Parry-Okeden"/>
    <s v="Australia"/>
    <s v="New South Wales"/>
    <s v="Media, automotive"/>
    <s v="Media &amp; Entertainment"/>
    <b v="0"/>
    <s v="Female"/>
    <s v="Parry-Okeden"/>
    <x v="193"/>
    <n v="8400"/>
    <n v="1950"/>
    <n v="5"/>
    <n v="21"/>
    <n v="119.8"/>
    <n v="1392680589329"/>
    <n v="82.7"/>
    <n v="23"/>
    <n v="47.4"/>
    <n v="25766605"/>
    <d v="2025-08-13T00:00:00"/>
    <x v="223"/>
    <x v="223"/>
  </r>
  <r>
    <n v="242"/>
    <s v="Metals &amp; Mining"/>
    <s v="Zheng Shuliang &amp; family"/>
    <s v="China"/>
    <s v="Binzhou"/>
    <s v="Aluminum products"/>
    <s v="Metals &amp; Mining"/>
    <b v="0"/>
    <s v="Female"/>
    <s v="Zheng"/>
    <x v="194"/>
    <n v="8400"/>
    <n v="1946"/>
    <n v="1"/>
    <n v="1"/>
    <n v="125.08"/>
    <n v="19910000000000"/>
    <n v="77"/>
    <n v="9.4"/>
    <n v="59.2"/>
    <n v="1397715000"/>
    <d v="2025-08-13T00:00:00"/>
    <x v="224"/>
    <x v="224"/>
  </r>
  <r>
    <n v="246"/>
    <s v="Fashion &amp; Retail"/>
    <s v="John Morris"/>
    <s v="United States"/>
    <s v="Springfield"/>
    <s v="Sporting goods retail"/>
    <s v="Fashion &amp; Retail"/>
    <b v="1"/>
    <s v="Male"/>
    <s v="Morris"/>
    <x v="29"/>
    <n v="8300"/>
    <n v="1948"/>
    <n v="3"/>
    <n v="19"/>
    <n v="117.24"/>
    <n v="21427700000000"/>
    <n v="78.5"/>
    <n v="9.6"/>
    <n v="36.6"/>
    <n v="328239523"/>
    <d v="2025-08-13T00:00:00"/>
    <x v="225"/>
    <x v="225"/>
  </r>
  <r>
    <n v="249"/>
    <s v="Energy"/>
    <s v="German Khan"/>
    <s v="Russia"/>
    <s v="Moscow"/>
    <s v="Oil, banking, telecom"/>
    <s v="Energy"/>
    <b v="1"/>
    <s v="Male"/>
    <s v="Khan"/>
    <x v="195"/>
    <n v="8200"/>
    <n v="1961"/>
    <n v="10"/>
    <n v="24"/>
    <n v="180.75"/>
    <n v="1699876578871"/>
    <n v="72.7"/>
    <n v="11.4"/>
    <n v="46.2"/>
    <n v="144373535"/>
    <d v="2025-08-13T00:00:00"/>
    <x v="226"/>
    <x v="226"/>
  </r>
  <r>
    <n v="249"/>
    <s v="Diversified"/>
    <s v="Abdulsamad Rabiu"/>
    <s v="Nigeria"/>
    <s v="Lagos"/>
    <s v="Cement, sugar"/>
    <s v="Diversified"/>
    <b v="0"/>
    <s v="Male"/>
    <s v="Rabiu"/>
    <x v="196"/>
    <n v="8200"/>
    <n v="1960"/>
    <n v="8"/>
    <n v="4"/>
    <n v="267.51"/>
    <n v="448120428859"/>
    <n v="54.3"/>
    <n v="1.5"/>
    <n v="34.799999999999997"/>
    <n v="200963599"/>
    <d v="2025-08-13T00:00:00"/>
    <x v="227"/>
    <x v="227"/>
  </r>
  <r>
    <n v="249"/>
    <s v="Finance &amp; Investments"/>
    <s v="George Roberts"/>
    <s v="United States"/>
    <s v="Atherton"/>
    <s v="Private equity"/>
    <s v="Finance &amp; Investments"/>
    <b v="1"/>
    <s v="Male"/>
    <s v="Roberts"/>
    <x v="108"/>
    <n v="8200"/>
    <n v="1943"/>
    <n v="9"/>
    <n v="14"/>
    <n v="117.24"/>
    <n v="21427700000000"/>
    <n v="78.5"/>
    <n v="9.6"/>
    <n v="36.6"/>
    <n v="328239523"/>
    <d v="2025-08-13T00:00:00"/>
    <x v="228"/>
    <x v="228"/>
  </r>
  <r>
    <n v="249"/>
    <s v="Real Estate"/>
    <s v="Kushal Pal Singh"/>
    <s v="India"/>
    <s v="Delhi"/>
    <s v="Real estate"/>
    <s v="Real Estate"/>
    <b v="0"/>
    <s v="Male"/>
    <s v="Singh"/>
    <x v="197"/>
    <n v="8200"/>
    <n v="1931"/>
    <n v="8"/>
    <n v="15"/>
    <n v="180.44"/>
    <n v="2611000000000"/>
    <n v="69.400000000000006"/>
    <n v="11.2"/>
    <n v="49.7"/>
    <n v="1366417754"/>
    <d v="2025-08-13T00:00:00"/>
    <x v="229"/>
    <x v="229"/>
  </r>
  <r>
    <n v="249"/>
    <s v="Real Estate"/>
    <s v="Wang Jianlin"/>
    <s v="China"/>
    <s v="Beijing"/>
    <s v="Real estate"/>
    <s v="Real Estate"/>
    <b v="1"/>
    <s v="Male"/>
    <s v="Wang"/>
    <x v="198"/>
    <n v="8200"/>
    <n v="1954"/>
    <n v="10"/>
    <n v="1"/>
    <n v="125.08"/>
    <n v="19910000000000"/>
    <n v="77"/>
    <n v="9.4"/>
    <n v="59.2"/>
    <n v="1397715000"/>
    <d v="2025-08-13T00:00:00"/>
    <x v="230"/>
    <x v="230"/>
  </r>
  <r>
    <n v="249"/>
    <s v="Real Estate"/>
    <s v="Yang Huiyan &amp; family"/>
    <s v="China"/>
    <s v="Foshan"/>
    <s v="Real estate"/>
    <s v="Real Estate"/>
    <b v="0"/>
    <s v="Female"/>
    <s v="Yang"/>
    <x v="199"/>
    <n v="8200"/>
    <n v="1981"/>
    <n v="9"/>
    <n v="27"/>
    <n v="125.08"/>
    <n v="19910000000000"/>
    <n v="77"/>
    <n v="9.4"/>
    <n v="59.2"/>
    <n v="1397715000"/>
    <d v="2025-08-13T00:00:00"/>
    <x v="231"/>
    <x v="231"/>
  </r>
  <r>
    <n v="256"/>
    <s v="Diversified"/>
    <s v="Laurent Dassault"/>
    <s v="France"/>
    <s v="Paris"/>
    <s v="Diversified"/>
    <s v="Diversified"/>
    <b v="0"/>
    <s v="Male"/>
    <s v="Dassault"/>
    <x v="200"/>
    <n v="8100"/>
    <n v="1953"/>
    <n v="7"/>
    <n v="7"/>
    <n v="110.05"/>
    <n v="2715518274227"/>
    <n v="82.5"/>
    <n v="24.2"/>
    <n v="60.7"/>
    <n v="67059887"/>
    <d v="2025-08-13T00:00:00"/>
    <x v="232"/>
    <x v="232"/>
  </r>
  <r>
    <n v="256"/>
    <s v="Diversified"/>
    <s v="Thierry Dassault"/>
    <s v="France"/>
    <s v="Paris"/>
    <s v="Diversified"/>
    <s v="Diversified"/>
    <b v="0"/>
    <s v="Male"/>
    <s v="Dassault"/>
    <x v="201"/>
    <n v="8100"/>
    <n v="1957"/>
    <n v="3"/>
    <n v="26"/>
    <n v="110.05"/>
    <n v="2715518274227"/>
    <n v="82.5"/>
    <n v="24.2"/>
    <n v="60.7"/>
    <n v="67059887"/>
    <d v="2025-08-13T00:00:00"/>
    <x v="233"/>
    <x v="233"/>
  </r>
  <r>
    <n v="256"/>
    <s v="Food &amp; Beverage"/>
    <s v="Tilman Fertitta"/>
    <s v="United States"/>
    <s v="Houston"/>
    <s v="Houston Rockets, entertainment"/>
    <s v="Food &amp; Beverage"/>
    <b v="1"/>
    <s v="Male"/>
    <s v="Fertitta"/>
    <x v="202"/>
    <n v="8100"/>
    <n v="1957"/>
    <n v="6"/>
    <n v="25"/>
    <n v="117.24"/>
    <n v="21427700000000"/>
    <n v="78.5"/>
    <n v="9.6"/>
    <n v="36.6"/>
    <n v="328239523"/>
    <d v="2025-08-13T00:00:00"/>
    <x v="234"/>
    <x v="234"/>
  </r>
  <r>
    <n v="256"/>
    <s v="Diversified"/>
    <s v="Marie-Hélène Habert-Dassault"/>
    <s v="France"/>
    <s v="Paris"/>
    <s v="Diversified"/>
    <s v="Diversified"/>
    <b v="0"/>
    <s v="Female"/>
    <s v="Habert-Dassault"/>
    <x v="203"/>
    <n v="8100"/>
    <n v="1965"/>
    <n v="4"/>
    <n v="4"/>
    <n v="110.05"/>
    <n v="2715518274227"/>
    <n v="82.5"/>
    <n v="24.2"/>
    <n v="60.7"/>
    <n v="67059887"/>
    <d v="2025-08-13T00:00:00"/>
    <x v="235"/>
    <x v="235"/>
  </r>
  <r>
    <n v="256"/>
    <s v="Gambling &amp; Casinos"/>
    <s v="Karel Komarek"/>
    <s v="Switzerland"/>
    <s v="Verbier"/>
    <s v="Oil and gas, IT, lotteries"/>
    <s v="Gambling &amp; Casinos"/>
    <b v="1"/>
    <s v="Male"/>
    <s v="Komarek"/>
    <x v="204"/>
    <n v="8100"/>
    <n v="1969"/>
    <n v="3"/>
    <n v="15"/>
    <n v="99.55"/>
    <n v="703082435360"/>
    <n v="83.6"/>
    <n v="10.1"/>
    <n v="28.8"/>
    <n v="8574832"/>
    <d v="2025-08-13T00:00:00"/>
    <x v="236"/>
    <x v="236"/>
  </r>
  <r>
    <n v="261"/>
    <s v="Technology"/>
    <s v="Nathan Blecharczyk"/>
    <s v="United States"/>
    <s v="San Francisco"/>
    <s v="Airbnb"/>
    <s v="Technology"/>
    <b v="1"/>
    <s v="Male"/>
    <s v="Blecharczyk"/>
    <x v="205"/>
    <n v="8000"/>
    <n v="1983"/>
    <n v="6"/>
    <n v="11"/>
    <n v="117.24"/>
    <n v="21427700000000"/>
    <n v="78.5"/>
    <n v="9.6"/>
    <n v="36.6"/>
    <n v="328239523"/>
    <d v="2025-08-13T00:00:00"/>
    <x v="237"/>
    <x v="237"/>
  </r>
  <r>
    <n v="261"/>
    <s v="Energy"/>
    <s v="Leonid Fedun"/>
    <s v="Russia"/>
    <s v="Moscow"/>
    <s v="Oil"/>
    <s v="Energy"/>
    <b v="1"/>
    <s v="Male"/>
    <s v="Fedun"/>
    <x v="63"/>
    <n v="8000"/>
    <n v="1956"/>
    <n v="4"/>
    <n v="5"/>
    <n v="180.75"/>
    <n v="1699876578871"/>
    <n v="72.7"/>
    <n v="11.4"/>
    <n v="46.2"/>
    <n v="144373535"/>
    <d v="2025-08-13T00:00:00"/>
    <x v="238"/>
    <x v="238"/>
  </r>
  <r>
    <n v="261"/>
    <s v="Fashion &amp; Retail"/>
    <s v="Bernard Marcus"/>
    <s v="United States"/>
    <s v="Atlanta"/>
    <s v="Home Depot"/>
    <s v="Fashion &amp; Retail"/>
    <b v="1"/>
    <s v="Male"/>
    <s v="Marcus"/>
    <x v="0"/>
    <n v="8000"/>
    <n v="1929"/>
    <n v="5"/>
    <n v="12"/>
    <n v="117.24"/>
    <n v="21427700000000"/>
    <n v="78.5"/>
    <n v="9.6"/>
    <n v="36.6"/>
    <n v="328239523"/>
    <d v="2025-08-13T00:00:00"/>
    <x v="239"/>
    <x v="239"/>
  </r>
  <r>
    <n v="261"/>
    <s v="Finance &amp; Investments"/>
    <s v="Patrick Ryan"/>
    <s v="United States"/>
    <s v="Winnetka"/>
    <s v="Insurance"/>
    <s v="Finance &amp; Investments"/>
    <b v="1"/>
    <s v="Male"/>
    <s v="Ryan"/>
    <x v="206"/>
    <n v="8000"/>
    <n v="1937"/>
    <n v="5"/>
    <n v="15"/>
    <n v="117.24"/>
    <n v="21427700000000"/>
    <n v="78.5"/>
    <n v="9.6"/>
    <n v="36.6"/>
    <n v="328239523"/>
    <d v="2025-08-13T00:00:00"/>
    <x v="240"/>
    <x v="240"/>
  </r>
  <r>
    <n v="261"/>
    <s v="Finance &amp; Investments"/>
    <s v="Robert F. Smith"/>
    <s v="United States"/>
    <s v="Austin"/>
    <s v="Private equity"/>
    <s v="Finance &amp; Investments"/>
    <b v="1"/>
    <s v="Male"/>
    <s v="Smith"/>
    <x v="207"/>
    <n v="8000"/>
    <n v="1962"/>
    <n v="12"/>
    <n v="1"/>
    <n v="117.24"/>
    <n v="21427700000000"/>
    <n v="78.5"/>
    <n v="9.6"/>
    <n v="36.6"/>
    <n v="328239523"/>
    <d v="2025-08-13T00:00:00"/>
    <x v="241"/>
    <x v="241"/>
  </r>
  <r>
    <n v="261"/>
    <s v="Metals &amp; Mining"/>
    <s v="Pavel Tykac"/>
    <s v="Czech Republic"/>
    <s v="Prague"/>
    <s v="Coal mines"/>
    <s v="Metals &amp; Mining"/>
    <b v="1"/>
    <s v="Male"/>
    <s v="Tykac"/>
    <x v="119"/>
    <n v="8000"/>
    <n v="1964"/>
    <n v="5"/>
    <n v="15"/>
    <n v="116.48"/>
    <n v="246489245495"/>
    <n v="79"/>
    <n v="14.9"/>
    <n v="46.1"/>
    <n v="10669709"/>
    <d v="2025-08-13T00:00:00"/>
    <x v="242"/>
    <x v="242"/>
  </r>
  <r>
    <n v="268"/>
    <s v="Finance &amp; Investments"/>
    <s v="Orlando Bravo"/>
    <s v="United States"/>
    <s v="Miami Beach"/>
    <s v="Private equity"/>
    <s v="Finance &amp; Investments"/>
    <b v="1"/>
    <s v="Male"/>
    <s v="Bravo"/>
    <x v="208"/>
    <n v="7900"/>
    <n v="1970"/>
    <n v="9"/>
    <n v="23"/>
    <n v="117.24"/>
    <n v="21427700000000"/>
    <n v="78.5"/>
    <n v="9.6"/>
    <n v="36.6"/>
    <n v="328239523"/>
    <d v="2025-08-13T00:00:00"/>
    <x v="243"/>
    <x v="243"/>
  </r>
  <r>
    <n v="268"/>
    <s v="Fashion &amp; Retail"/>
    <s v="Ding Shizhong"/>
    <s v="China"/>
    <s v="Quanzhou"/>
    <s v="Sports apparel"/>
    <s v="Fashion &amp; Retail"/>
    <b v="1"/>
    <s v="Male"/>
    <s v="Ding"/>
    <x v="209"/>
    <n v="7900"/>
    <n v="1970"/>
    <n v="12"/>
    <n v="1"/>
    <n v="125.08"/>
    <n v="19910000000000"/>
    <n v="77"/>
    <n v="9.4"/>
    <n v="59.2"/>
    <n v="1397715000"/>
    <d v="2025-08-13T00:00:00"/>
    <x v="244"/>
    <x v="244"/>
  </r>
  <r>
    <n v="268"/>
    <s v="Fashion &amp; Retail"/>
    <s v="Nancy Walton Laurie"/>
    <s v="United States"/>
    <s v="Henderson"/>
    <s v="Walmart"/>
    <s v="Fashion &amp; Retail"/>
    <b v="0"/>
    <s v="Female"/>
    <s v="Laurie"/>
    <x v="210"/>
    <n v="7900"/>
    <n v="1951"/>
    <n v="5"/>
    <n v="15"/>
    <n v="117.24"/>
    <n v="21427700000000"/>
    <n v="78.5"/>
    <n v="9.6"/>
    <n v="36.6"/>
    <n v="328239523"/>
    <d v="2025-08-13T00:00:00"/>
    <x v="245"/>
    <x v="245"/>
  </r>
  <r>
    <n v="268"/>
    <s v="Technology"/>
    <s v="Jay Y. Lee"/>
    <s v="South Korea"/>
    <s v="Seoul"/>
    <s v="Samsung"/>
    <s v="Technology"/>
    <b v="0"/>
    <s v="Male"/>
    <s v="Lee"/>
    <x v="211"/>
    <n v="7900"/>
    <n v="1968"/>
    <n v="6"/>
    <n v="23"/>
    <n v="115.16"/>
    <n v="2029000000000"/>
    <n v="82.6"/>
    <n v="15.6"/>
    <n v="33.200000000000003"/>
    <n v="51709098"/>
    <d v="2025-08-13T00:00:00"/>
    <x v="246"/>
    <x v="246"/>
  </r>
  <r>
    <n v="268"/>
    <s v="Finance &amp; Investments"/>
    <s v="Ramzi Musallam"/>
    <s v="United States"/>
    <s v="New York"/>
    <s v="Private equity"/>
    <s v="Finance &amp; Investments"/>
    <b v="1"/>
    <s v="Male"/>
    <s v="Musallam"/>
    <x v="212"/>
    <n v="7900"/>
    <n v="1968"/>
    <n v="9"/>
    <n v="17"/>
    <n v="117.24"/>
    <n v="21427700000000"/>
    <n v="78.5"/>
    <n v="9.6"/>
    <n v="36.6"/>
    <n v="328239523"/>
    <d v="2025-08-13T00:00:00"/>
    <x v="247"/>
    <x v="247"/>
  </r>
  <r>
    <n v="268"/>
    <s v="Finance &amp; Investments"/>
    <s v="David Shaw"/>
    <s v="United States"/>
    <s v="New York"/>
    <s v="Hedge funds"/>
    <s v="Finance &amp; Investments"/>
    <b v="1"/>
    <s v="Male"/>
    <s v="Shaw"/>
    <x v="20"/>
    <n v="7900"/>
    <n v="1951"/>
    <n v="3"/>
    <n v="29"/>
    <n v="117.24"/>
    <n v="21427700000000"/>
    <n v="78.5"/>
    <n v="9.6"/>
    <n v="36.6"/>
    <n v="328239523"/>
    <d v="2025-08-13T00:00:00"/>
    <x v="197"/>
    <x v="197"/>
  </r>
  <r>
    <n v="268"/>
    <s v="Metals &amp; Mining"/>
    <s v="Andrei Skoch &amp; family"/>
    <s v="Russia"/>
    <s v="Moscow"/>
    <s v="Metals and mining"/>
    <s v="Metals &amp; Mining"/>
    <b v="1"/>
    <s v="Male"/>
    <s v="Skoch &amp; family"/>
    <x v="152"/>
    <n v="7900"/>
    <n v="1966"/>
    <n v="1"/>
    <n v="30"/>
    <n v="180.75"/>
    <n v="1699876578871"/>
    <n v="72.7"/>
    <n v="11.4"/>
    <n v="46.2"/>
    <n v="144373535"/>
    <d v="2025-08-13T00:00:00"/>
    <x v="248"/>
    <x v="248"/>
  </r>
  <r>
    <n v="268"/>
    <s v="Diversified"/>
    <s v="Georg Stumpf"/>
    <s v="Austria"/>
    <s v="Vienna"/>
    <s v="Real estate, construction"/>
    <s v="Diversified"/>
    <b v="1"/>
    <s v="Male"/>
    <s v="Stumpf"/>
    <x v="139"/>
    <n v="7900"/>
    <n v="1972"/>
    <n v="9"/>
    <n v="14"/>
    <n v="118.06"/>
    <n v="446314739528"/>
    <n v="81.599999999999994"/>
    <n v="25.4"/>
    <n v="51.4"/>
    <n v="8877067"/>
    <d v="2025-08-13T00:00:00"/>
    <x v="249"/>
    <x v="249"/>
  </r>
  <r>
    <n v="276"/>
    <s v="Telecom"/>
    <s v="Rocco Commisso"/>
    <s v="United States"/>
    <s v="Saddle River"/>
    <s v="Telecom"/>
    <s v="Telecom"/>
    <b v="1"/>
    <s v="Male"/>
    <s v="Commisso"/>
    <x v="213"/>
    <n v="7800"/>
    <n v="1949"/>
    <n v="11"/>
    <n v="25"/>
    <n v="117.24"/>
    <n v="21427700000000"/>
    <n v="78.5"/>
    <n v="9.6"/>
    <n v="36.6"/>
    <n v="328239523"/>
    <d v="2025-08-13T00:00:00"/>
    <x v="250"/>
    <x v="250"/>
  </r>
  <r>
    <n v="276"/>
    <s v="Manufacturing"/>
    <s v="Li Shuirong &amp; family"/>
    <s v="China"/>
    <s v="Hangzhou"/>
    <s v="Petrochemicals"/>
    <s v="Manufacturing"/>
    <b v="1"/>
    <s v="Male"/>
    <s v="Li"/>
    <x v="214"/>
    <n v="7800"/>
    <n v="1956"/>
    <n v="7"/>
    <n v="1"/>
    <n v="125.08"/>
    <n v="19910000000000"/>
    <n v="77"/>
    <n v="9.4"/>
    <n v="59.2"/>
    <n v="1397715000"/>
    <d v="2025-08-13T00:00:00"/>
    <x v="251"/>
    <x v="251"/>
  </r>
  <r>
    <n v="276"/>
    <s v="Technology"/>
    <s v="Qi Shi &amp; family"/>
    <s v="China"/>
    <s v="Shanghai"/>
    <s v="Financial information"/>
    <s v="Technology"/>
    <b v="1"/>
    <s v="Male"/>
    <s v="Qi"/>
    <x v="215"/>
    <n v="7800"/>
    <n v="1970"/>
    <n v="1"/>
    <n v="3"/>
    <n v="125.08"/>
    <n v="19910000000000"/>
    <n v="77"/>
    <n v="9.4"/>
    <n v="59.2"/>
    <n v="1397715000"/>
    <d v="2025-08-13T00:00:00"/>
    <x v="252"/>
    <x v="252"/>
  </r>
  <r>
    <n v="276"/>
    <s v="Manufacturing"/>
    <s v="Yao Liangsong"/>
    <s v="China"/>
    <s v="Guangzhou"/>
    <s v="Furniture"/>
    <s v="Manufacturing"/>
    <b v="1"/>
    <s v="Male"/>
    <s v="Yao"/>
    <x v="216"/>
    <n v="7800"/>
    <n v="1964"/>
    <n v="8"/>
    <n v="1"/>
    <n v="125.08"/>
    <n v="19910000000000"/>
    <n v="77"/>
    <n v="9.4"/>
    <n v="59.2"/>
    <n v="1397715000"/>
    <d v="2025-08-13T00:00:00"/>
    <x v="253"/>
    <x v="253"/>
  </r>
  <r>
    <n v="282"/>
    <s v="Food &amp; Beverage"/>
    <s v="Jean-Michel Besnier"/>
    <s v="France"/>
    <s v="Laval"/>
    <s v="Cheese"/>
    <s v="Food &amp; Beverage"/>
    <b v="0"/>
    <s v="Male"/>
    <s v="Besnier"/>
    <x v="217"/>
    <n v="7700"/>
    <n v="1967"/>
    <n v="6"/>
    <n v="5"/>
    <n v="110.05"/>
    <n v="2715518274227"/>
    <n v="82.5"/>
    <n v="24.2"/>
    <n v="60.7"/>
    <n v="67059887"/>
    <d v="2025-08-13T00:00:00"/>
    <x v="254"/>
    <x v="254"/>
  </r>
  <r>
    <n v="282"/>
    <s v="Food &amp; Beverage"/>
    <s v="Marie Besnier Beauvalot"/>
    <s v="France"/>
    <s v="Laval"/>
    <s v="Cheese"/>
    <s v="Food &amp; Beverage"/>
    <b v="0"/>
    <s v="Female"/>
    <s v="Besnier Beauvalot"/>
    <x v="218"/>
    <n v="7700"/>
    <n v="1980"/>
    <n v="7"/>
    <n v="30"/>
    <n v="110.05"/>
    <n v="2715518274227"/>
    <n v="82.5"/>
    <n v="24.2"/>
    <n v="60.7"/>
    <n v="67059887"/>
    <d v="2025-08-13T00:00:00"/>
    <x v="255"/>
    <x v="255"/>
  </r>
  <r>
    <n v="282"/>
    <s v="Media &amp; Entertainment"/>
    <s v="David Geffen"/>
    <s v="United States"/>
    <s v="Beverly Hills"/>
    <s v="Movies, record labels"/>
    <s v="Media &amp; Entertainment"/>
    <b v="1"/>
    <s v="Male"/>
    <s v="Geffen"/>
    <x v="20"/>
    <n v="7700"/>
    <n v="1943"/>
    <n v="2"/>
    <n v="21"/>
    <n v="117.24"/>
    <n v="21427700000000"/>
    <n v="78.5"/>
    <n v="9.6"/>
    <n v="36.6"/>
    <n v="328239523"/>
    <d v="2025-08-13T00:00:00"/>
    <x v="256"/>
    <x v="256"/>
  </r>
  <r>
    <n v="282"/>
    <s v="Technology"/>
    <s v="Robin Li"/>
    <s v="China"/>
    <s v="Beijing"/>
    <s v="Internet search"/>
    <s v="Technology"/>
    <b v="1"/>
    <s v="Male"/>
    <s v="Li"/>
    <x v="33"/>
    <n v="7700"/>
    <n v="1968"/>
    <n v="11"/>
    <n v="17"/>
    <n v="125.08"/>
    <n v="19910000000000"/>
    <n v="77"/>
    <n v="9.4"/>
    <n v="59.2"/>
    <n v="1397715000"/>
    <d v="2025-08-13T00:00:00"/>
    <x v="257"/>
    <x v="257"/>
  </r>
  <r>
    <n v="282"/>
    <s v="Service"/>
    <s v="Liu Yonghao &amp; family"/>
    <s v="China"/>
    <s v="Chengdu"/>
    <s v="Agribusiness"/>
    <s v="Service"/>
    <b v="1"/>
    <s v="Male"/>
    <s v="Liu"/>
    <x v="219"/>
    <n v="7700"/>
    <n v="1951"/>
    <n v="9"/>
    <n v="1"/>
    <n v="125.08"/>
    <n v="19910000000000"/>
    <n v="77"/>
    <n v="9.4"/>
    <n v="59.2"/>
    <n v="1397715000"/>
    <d v="2025-08-13T00:00:00"/>
    <x v="258"/>
    <x v="258"/>
  </r>
  <r>
    <n v="282"/>
    <s v="Technology"/>
    <s v="Henry Samueli"/>
    <s v="United States"/>
    <s v="Newport Beach"/>
    <s v="Semiconductors"/>
    <s v="Technology"/>
    <b v="1"/>
    <s v="Male"/>
    <s v="Samueli"/>
    <x v="220"/>
    <n v="7700"/>
    <n v="1954"/>
    <n v="9"/>
    <n v="20"/>
    <n v="117.24"/>
    <n v="21427700000000"/>
    <n v="78.5"/>
    <n v="9.6"/>
    <n v="36.6"/>
    <n v="328239523"/>
    <d v="2025-08-13T00:00:00"/>
    <x v="259"/>
    <x v="259"/>
  </r>
  <r>
    <n v="282"/>
    <s v="Healthcare"/>
    <s v="Reinhold Schmieding"/>
    <s v="United States"/>
    <s v="Naples"/>
    <s v="Medical devices"/>
    <s v="Healthcare"/>
    <b v="1"/>
    <s v="Male"/>
    <s v="Schmieding"/>
    <x v="41"/>
    <n v="7700"/>
    <n v="1955"/>
    <n v="1"/>
    <n v="3"/>
    <n v="117.24"/>
    <n v="21427700000000"/>
    <n v="78.5"/>
    <n v="9.6"/>
    <n v="36.6"/>
    <n v="328239523"/>
    <d v="2025-08-13T00:00:00"/>
    <x v="260"/>
    <x v="260"/>
  </r>
  <r>
    <n v="282"/>
    <s v="Real Estate"/>
    <s v="Ivar Tollefsen"/>
    <s v="Norway"/>
    <s v="Oslo"/>
    <s v="Real estate"/>
    <s v="Real Estate"/>
    <b v="1"/>
    <s v="Male"/>
    <s v="Tollefsen"/>
    <x v="221"/>
    <n v="7700"/>
    <n v="1961"/>
    <n v="6"/>
    <n v="23"/>
    <n v="120.27"/>
    <n v="403336363636"/>
    <n v="82.8"/>
    <n v="23.9"/>
    <n v="36.200000000000003"/>
    <n v="5347896"/>
    <d v="2025-08-13T00:00:00"/>
    <x v="261"/>
    <x v="261"/>
  </r>
  <r>
    <n v="290"/>
    <s v="Energy"/>
    <s v="Cao Renxian"/>
    <s v="China"/>
    <s v="Hefei"/>
    <s v="Photovoltaic equipment"/>
    <s v="Energy"/>
    <b v="1"/>
    <s v="Male"/>
    <s v="Cao"/>
    <x v="222"/>
    <n v="7600"/>
    <n v="1968"/>
    <n v="7"/>
    <n v="24"/>
    <n v="125.08"/>
    <n v="19910000000000"/>
    <n v="77"/>
    <n v="9.4"/>
    <n v="59.2"/>
    <n v="1397715000"/>
    <d v="2025-08-13T00:00:00"/>
    <x v="262"/>
    <x v="262"/>
  </r>
  <r>
    <n v="290"/>
    <s v="Healthcare"/>
    <s v="Hasmukh Chudgar &amp; family"/>
    <s v="India"/>
    <s v="Ahmedabad"/>
    <s v="Pharmaceuticals"/>
    <s v="Healthcare"/>
    <b v="1"/>
    <s v="Male"/>
    <s v="Chudgar"/>
    <x v="223"/>
    <n v="7600"/>
    <n v="1933"/>
    <n v="9"/>
    <n v="19"/>
    <n v="180.44"/>
    <n v="2611000000000"/>
    <n v="69.400000000000006"/>
    <n v="11.2"/>
    <n v="49.7"/>
    <n v="1366417754"/>
    <d v="2025-08-13T00:00:00"/>
    <x v="263"/>
    <x v="263"/>
  </r>
  <r>
    <n v="290"/>
    <s v="Manufacturing"/>
    <s v="Andrew Currie"/>
    <s v="United Kingdom"/>
    <s v="London"/>
    <s v="Chemicals"/>
    <s v="Manufacturing"/>
    <b v="1"/>
    <s v="Male"/>
    <s v="Currie"/>
    <x v="71"/>
    <n v="7600"/>
    <n v="1955"/>
    <n v="12"/>
    <n v="4"/>
    <n v="119.62"/>
    <n v="2827113184696"/>
    <n v="81.3"/>
    <n v="25.5"/>
    <n v="30.6"/>
    <n v="66834405"/>
    <d v="2025-08-13T00:00:00"/>
    <x v="264"/>
    <x v="264"/>
  </r>
  <r>
    <n v="290"/>
    <s v="Technology"/>
    <s v="Joe Gebbia"/>
    <s v="United States"/>
    <s v="Austin"/>
    <s v="Airbnb"/>
    <s v="Technology"/>
    <b v="1"/>
    <s v="Male"/>
    <s v="Gebbia"/>
    <x v="224"/>
    <n v="7600"/>
    <n v="1981"/>
    <n v="8"/>
    <n v="21"/>
    <n v="117.24"/>
    <n v="21427700000000"/>
    <n v="78.5"/>
    <n v="9.6"/>
    <n v="36.6"/>
    <n v="328239523"/>
    <d v="2025-08-13T00:00:00"/>
    <x v="265"/>
    <x v="265"/>
  </r>
  <r>
    <n v="290"/>
    <s v="Real Estate"/>
    <s v="Philip Ng"/>
    <s v="Singapore"/>
    <s v="Singapore"/>
    <s v="Real Estate"/>
    <s v="Real Estate"/>
    <b v="0"/>
    <s v="Male"/>
    <s v="Ng"/>
    <x v="128"/>
    <n v="7600"/>
    <n v="1959"/>
    <n v="1"/>
    <n v="1"/>
    <n v="114.41"/>
    <n v="372062527489"/>
    <n v="83.1"/>
    <n v="13.1"/>
    <n v="21"/>
    <n v="5703569"/>
    <d v="2025-08-13T00:00:00"/>
    <x v="208"/>
    <x v="208"/>
  </r>
  <r>
    <n v="290"/>
    <s v="Manufacturing"/>
    <s v="John Reece"/>
    <s v="United Kingdom"/>
    <s v="London"/>
    <s v="Chemicals"/>
    <s v="Manufacturing"/>
    <b v="1"/>
    <s v="Male"/>
    <s v="Reece"/>
    <x v="29"/>
    <n v="7600"/>
    <n v="1957"/>
    <n v="3"/>
    <n v="7"/>
    <n v="119.62"/>
    <n v="2827113184696"/>
    <n v="81.3"/>
    <n v="25.5"/>
    <n v="30.6"/>
    <n v="66834405"/>
    <d v="2025-08-13T00:00:00"/>
    <x v="266"/>
    <x v="266"/>
  </r>
  <r>
    <n v="290"/>
    <s v="Real Estate"/>
    <s v="Leonard Stern"/>
    <s v="United States"/>
    <s v="New York"/>
    <s v="Real estate"/>
    <s v="Real Estate"/>
    <b v="0"/>
    <s v="Male"/>
    <s v="Stern"/>
    <x v="67"/>
    <n v="7600"/>
    <n v="1938"/>
    <n v="3"/>
    <n v="28"/>
    <n v="117.24"/>
    <n v="21427700000000"/>
    <n v="78.5"/>
    <n v="9.6"/>
    <n v="36.6"/>
    <n v="328239523"/>
    <d v="2025-08-13T00:00:00"/>
    <x v="267"/>
    <x v="267"/>
  </r>
  <r>
    <n v="290"/>
    <s v="Healthcare"/>
    <s v="Zhong Huijuan"/>
    <s v="China"/>
    <s v="Shanghai"/>
    <s v="Pharmaceuticals"/>
    <s v="Healthcare"/>
    <b v="1"/>
    <s v="Female"/>
    <s v="Zhong"/>
    <x v="225"/>
    <n v="7600"/>
    <n v="1961"/>
    <n v="1"/>
    <n v="1"/>
    <n v="125.08"/>
    <n v="19910000000000"/>
    <n v="77"/>
    <n v="9.4"/>
    <n v="59.2"/>
    <n v="1397715000"/>
    <d v="2025-08-13T00:00:00"/>
    <x v="268"/>
    <x v="268"/>
  </r>
  <r>
    <n v="299"/>
    <s v="Sports"/>
    <s v="Arthur Blank"/>
    <s v="United States"/>
    <s v="Atlanta"/>
    <s v="Home Depot"/>
    <s v="Sports"/>
    <b v="1"/>
    <s v="Male"/>
    <s v="Blank"/>
    <x v="226"/>
    <n v="7500"/>
    <n v="1942"/>
    <n v="9"/>
    <n v="27"/>
    <n v="117.24"/>
    <n v="21427700000000"/>
    <n v="78.5"/>
    <n v="9.6"/>
    <n v="36.6"/>
    <n v="328239523"/>
    <d v="2025-08-13T00:00:00"/>
    <x v="269"/>
    <x v="269"/>
  </r>
  <r>
    <n v="299"/>
    <s v="Fashion &amp; Retail"/>
    <s v="Charles Butt"/>
    <s v="United States"/>
    <s v="San Antonio"/>
    <s v="Supermarkets"/>
    <s v="Fashion &amp; Retail"/>
    <b v="0"/>
    <s v="Male"/>
    <s v="Butt"/>
    <x v="15"/>
    <n v="7500"/>
    <n v="1938"/>
    <n v="2"/>
    <n v="3"/>
    <n v="117.24"/>
    <n v="21427700000000"/>
    <n v="78.5"/>
    <n v="9.6"/>
    <n v="36.6"/>
    <n v="328239523"/>
    <d v="2025-08-13T00:00:00"/>
    <x v="270"/>
    <x v="270"/>
  </r>
  <r>
    <n v="299"/>
    <s v="Fashion &amp; Retail"/>
    <s v="Ding Shijia"/>
    <s v="China"/>
    <s v="Quanzhou"/>
    <s v="Sports apparel"/>
    <s v="Fashion &amp; Retail"/>
    <b v="1"/>
    <s v="Male"/>
    <s v="Ding"/>
    <x v="227"/>
    <n v="7500"/>
    <n v="1964"/>
    <n v="1"/>
    <n v="1"/>
    <n v="125.08"/>
    <n v="19910000000000"/>
    <n v="77"/>
    <n v="9.4"/>
    <n v="59.2"/>
    <n v="1397715000"/>
    <d v="2025-08-13T00:00:00"/>
    <x v="136"/>
    <x v="136"/>
  </r>
  <r>
    <n v="299"/>
    <s v="Finance &amp; Investments"/>
    <s v="Paul Tudor Jones, II."/>
    <s v="United States"/>
    <s v="Palm Beach"/>
    <s v="Hedge funds"/>
    <s v="Finance &amp; Investments"/>
    <b v="1"/>
    <s v="Male"/>
    <s v="Jones"/>
    <x v="228"/>
    <n v="7500"/>
    <n v="1954"/>
    <n v="9"/>
    <n v="28"/>
    <n v="117.24"/>
    <n v="21427700000000"/>
    <n v="78.5"/>
    <n v="9.6"/>
    <n v="36.6"/>
    <n v="328239523"/>
    <d v="2025-08-13T00:00:00"/>
    <x v="271"/>
    <x v="271"/>
  </r>
  <r>
    <n v="299"/>
    <s v="Finance &amp; Investments"/>
    <s v="Henry Kravis"/>
    <s v="United States"/>
    <s v="New York"/>
    <s v="Private equity"/>
    <s v="Finance &amp; Investments"/>
    <b v="1"/>
    <s v="Male"/>
    <s v="Kravis"/>
    <x v="220"/>
    <n v="7500"/>
    <n v="1944"/>
    <n v="1"/>
    <n v="6"/>
    <n v="117.24"/>
    <n v="21427700000000"/>
    <n v="78.5"/>
    <n v="9.6"/>
    <n v="36.6"/>
    <n v="328239523"/>
    <d v="2025-08-13T00:00:00"/>
    <x v="272"/>
    <x v="272"/>
  </r>
  <r>
    <n v="299"/>
    <s v="Food &amp; Beverage"/>
    <s v="Zhang Yong"/>
    <s v="Singapore"/>
    <s v="Singapore"/>
    <s v="Restaurants"/>
    <s v="Food &amp; Beverage"/>
    <b v="1"/>
    <s v="Male"/>
    <s v="Zhang"/>
    <x v="229"/>
    <n v="7500"/>
    <n v="1970"/>
    <n v="7"/>
    <n v="1"/>
    <n v="114.41"/>
    <n v="372062527489"/>
    <n v="83.1"/>
    <n v="13.1"/>
    <n v="21"/>
    <n v="5703569"/>
    <d v="2025-08-13T00:00:00"/>
    <x v="273"/>
    <x v="273"/>
  </r>
  <r>
    <n v="305"/>
    <s v="Technology"/>
    <s v="James Goodnight"/>
    <s v="United States"/>
    <s v="Cary"/>
    <s v="Software"/>
    <s v="Technology"/>
    <b v="1"/>
    <s v="Male"/>
    <s v="Goodnight"/>
    <x v="58"/>
    <n v="7400"/>
    <n v="1943"/>
    <n v="1"/>
    <n v="6"/>
    <n v="117.24"/>
    <n v="21427700000000"/>
    <n v="78.5"/>
    <n v="9.6"/>
    <n v="36.6"/>
    <n v="328239523"/>
    <d v="2025-08-13T00:00:00"/>
    <x v="274"/>
    <x v="274"/>
  </r>
  <r>
    <n v="305"/>
    <s v="Manufacturing"/>
    <s v="Sri Prakash Lohia"/>
    <s v="United Kingdom"/>
    <s v="London"/>
    <s v="Petrochemicals"/>
    <s v="Manufacturing"/>
    <b v="0"/>
    <s v="Male"/>
    <s v="Lohia"/>
    <x v="230"/>
    <n v="7400"/>
    <n v="1952"/>
    <n v="8"/>
    <n v="11"/>
    <n v="119.62"/>
    <n v="2827113184696"/>
    <n v="81.3"/>
    <n v="25.5"/>
    <n v="30.6"/>
    <n v="66834405"/>
    <d v="2025-08-13T00:00:00"/>
    <x v="275"/>
    <x v="275"/>
  </r>
  <r>
    <n v="305"/>
    <s v="Fashion &amp; Retail"/>
    <s v="Ma Jianrong"/>
    <s v="China"/>
    <s v="Ningbo"/>
    <s v="Textiles, apparel"/>
    <s v="Fashion &amp; Retail"/>
    <b v="1"/>
    <s v="Male"/>
    <s v="Ma"/>
    <x v="231"/>
    <n v="7400"/>
    <n v="1964"/>
    <n v="1"/>
    <n v="1"/>
    <n v="125.08"/>
    <n v="19910000000000"/>
    <n v="77"/>
    <n v="9.4"/>
    <n v="59.2"/>
    <n v="1397715000"/>
    <d v="2025-08-13T00:00:00"/>
    <x v="136"/>
    <x v="136"/>
  </r>
  <r>
    <n v="305"/>
    <s v="Real Estate"/>
    <s v="Robert Ng"/>
    <s v="Singapore"/>
    <s v="Singapore"/>
    <s v="Real estate"/>
    <s v="Real Estate"/>
    <b v="0"/>
    <s v="Male"/>
    <s v="Ng"/>
    <x v="92"/>
    <n v="7400"/>
    <n v="1952"/>
    <n v="1"/>
    <n v="1"/>
    <n v="114.41"/>
    <n v="372062527489"/>
    <n v="83.1"/>
    <n v="13.1"/>
    <n v="21"/>
    <n v="5703569"/>
    <d v="2025-08-13T00:00:00"/>
    <x v="276"/>
    <x v="276"/>
  </r>
  <r>
    <n v="305"/>
    <s v="Manufacturing"/>
    <s v="Steven Rales"/>
    <s v="United States"/>
    <s v="Santa Barbara"/>
    <s v="Manufacturing, investments"/>
    <s v="Manufacturing"/>
    <b v="1"/>
    <s v="Male"/>
    <s v="Rales"/>
    <x v="232"/>
    <n v="7400"/>
    <n v="1951"/>
    <n v="3"/>
    <n v="31"/>
    <n v="117.24"/>
    <n v="21427700000000"/>
    <n v="78.5"/>
    <n v="9.6"/>
    <n v="36.6"/>
    <n v="328239523"/>
    <d v="2025-08-13T00:00:00"/>
    <x v="277"/>
    <x v="277"/>
  </r>
  <r>
    <n v="305"/>
    <s v="Construction &amp; Engineering"/>
    <s v="Nassef Sawiris"/>
    <s v="Egypt"/>
    <s v="Cairo"/>
    <s v="Construction, investments"/>
    <s v="Construction &amp; Engineering"/>
    <b v="0"/>
    <s v="Male"/>
    <s v="Sawiris"/>
    <x v="233"/>
    <n v="7400"/>
    <n v="1961"/>
    <n v="1"/>
    <n v="19"/>
    <n v="288.57"/>
    <n v="303175127598"/>
    <n v="71.8"/>
    <n v="12.5"/>
    <n v="44.4"/>
    <n v="100388073"/>
    <d v="2025-08-13T00:00:00"/>
    <x v="278"/>
    <x v="278"/>
  </r>
  <r>
    <n v="305"/>
    <s v="Food &amp; Beverage"/>
    <s v="Harry Stine"/>
    <s v="United States"/>
    <s v="Adel"/>
    <s v="Agriculture"/>
    <s v="Food &amp; Beverage"/>
    <b v="1"/>
    <s v="Male"/>
    <s v="Stine"/>
    <x v="110"/>
    <n v="7400"/>
    <n v="1941"/>
    <n v="11"/>
    <n v="30"/>
    <n v="117.24"/>
    <n v="21427700000000"/>
    <n v="78.5"/>
    <n v="9.6"/>
    <n v="36.6"/>
    <n v="328239523"/>
    <d v="2025-08-13T00:00:00"/>
    <x v="279"/>
    <x v="279"/>
  </r>
  <r>
    <n v="312"/>
    <s v="Manufacturing"/>
    <s v="Benu Gopal Bangur"/>
    <s v="India"/>
    <s v="Kolkata"/>
    <s v="Cement"/>
    <s v="Manufacturing"/>
    <b v="0"/>
    <s v="Male"/>
    <s v="Bangur"/>
    <x v="234"/>
    <n v="7300"/>
    <n v="1931"/>
    <n v="6"/>
    <n v="1"/>
    <n v="180.44"/>
    <n v="2611000000000"/>
    <n v="69.400000000000006"/>
    <n v="11.2"/>
    <n v="49.7"/>
    <n v="1366417754"/>
    <d v="2025-08-13T00:00:00"/>
    <x v="280"/>
    <x v="280"/>
  </r>
  <r>
    <n v="312"/>
    <s v="Metals &amp; Mining"/>
    <s v="Iskander Makhmudov"/>
    <s v="Russia"/>
    <s v="Moscow"/>
    <s v="Mining, metals, machinery"/>
    <s v="Metals &amp; Mining"/>
    <b v="1"/>
    <s v="Male"/>
    <s v="Makhmudov"/>
    <x v="235"/>
    <n v="7300"/>
    <n v="1963"/>
    <n v="12"/>
    <n v="5"/>
    <n v="180.75"/>
    <n v="1699876578871"/>
    <n v="72.7"/>
    <n v="11.4"/>
    <n v="46.2"/>
    <n v="144373535"/>
    <d v="2025-08-13T00:00:00"/>
    <x v="281"/>
    <x v="281"/>
  </r>
  <r>
    <n v="312"/>
    <s v="Fashion &amp; Retail"/>
    <s v="Anders Holch Povlsen"/>
    <s v="Denmark"/>
    <s v="Aarhus"/>
    <s v="Fashion retail"/>
    <s v="Fashion &amp; Retail"/>
    <b v="0"/>
    <s v="Male"/>
    <s v="Povlsen"/>
    <x v="236"/>
    <n v="7300"/>
    <n v="1972"/>
    <n v="11"/>
    <n v="4"/>
    <n v="110.35"/>
    <n v="348078018464"/>
    <n v="81"/>
    <n v="32.4"/>
    <n v="23.8"/>
    <n v="5818553"/>
    <d v="2025-08-13T00:00:00"/>
    <x v="282"/>
    <x v="282"/>
  </r>
  <r>
    <n v="312"/>
    <s v="Logistics"/>
    <s v="Enrique Razon Jr."/>
    <s v="Philippines"/>
    <s v="Manila"/>
    <s v="Ports"/>
    <s v="Logistics"/>
    <b v="0"/>
    <s v="Male"/>
    <s v="Razon Jr."/>
    <x v="237"/>
    <n v="7300"/>
    <n v="1960"/>
    <n v="3"/>
    <n v="3"/>
    <n v="129.61000000000001"/>
    <n v="376795508680"/>
    <n v="71.099999999999994"/>
    <n v="14"/>
    <n v="43.1"/>
    <n v="108116615"/>
    <d v="2025-08-13T00:00:00"/>
    <x v="283"/>
    <x v="283"/>
  </r>
  <r>
    <n v="312"/>
    <s v="Technology"/>
    <s v="Wang Laichun"/>
    <s v="China"/>
    <s v="Shenzhen"/>
    <s v="Electronics components"/>
    <s v="Technology"/>
    <b v="1"/>
    <s v="Female"/>
    <s v="Wang"/>
    <x v="238"/>
    <n v="7300"/>
    <n v="1967"/>
    <n v="6"/>
    <n v="3"/>
    <n v="125.08"/>
    <n v="19910000000000"/>
    <n v="77"/>
    <n v="9.4"/>
    <n v="59.2"/>
    <n v="1397715000"/>
    <d v="2025-08-13T00:00:00"/>
    <x v="284"/>
    <x v="284"/>
  </r>
  <r>
    <n v="317"/>
    <s v="Finance &amp; Investments"/>
    <s v="Arthur Dantchik"/>
    <s v="United States"/>
    <s v="Gladwyne"/>
    <s v="Trading, investments"/>
    <s v="Finance &amp; Investments"/>
    <b v="1"/>
    <s v="Male"/>
    <s v="Dantchik"/>
    <x v="226"/>
    <n v="7200"/>
    <n v="1957"/>
    <n v="11"/>
    <n v="25"/>
    <n v="117.24"/>
    <n v="21427700000000"/>
    <n v="78.5"/>
    <n v="9.6"/>
    <n v="36.6"/>
    <n v="328239523"/>
    <d v="2025-08-13T00:00:00"/>
    <x v="285"/>
    <x v="285"/>
  </r>
  <r>
    <n v="317"/>
    <s v="Real Estate"/>
    <s v="Jeff Greene"/>
    <s v="United States"/>
    <s v="Palm Beach"/>
    <s v="Real estate, investments"/>
    <s v="Real Estate"/>
    <b v="1"/>
    <s v="Male"/>
    <s v="Greene"/>
    <x v="2"/>
    <n v="7200"/>
    <n v="1954"/>
    <n v="12"/>
    <n v="10"/>
    <n v="117.24"/>
    <n v="21427700000000"/>
    <n v="78.5"/>
    <n v="9.6"/>
    <n v="36.6"/>
    <n v="328239523"/>
    <d v="2025-08-13T00:00:00"/>
    <x v="286"/>
    <x v="286"/>
  </r>
  <r>
    <n v="317"/>
    <s v="Finance &amp; Investments"/>
    <s v="Don Hankey"/>
    <s v="United States"/>
    <s v="Malibu"/>
    <s v="Auto loans"/>
    <s v="Finance &amp; Investments"/>
    <b v="1"/>
    <s v="Male"/>
    <s v="Hankey"/>
    <x v="239"/>
    <n v="7200"/>
    <n v="1943"/>
    <n v="6"/>
    <n v="13"/>
    <n v="117.24"/>
    <n v="21427700000000"/>
    <n v="78.5"/>
    <n v="9.6"/>
    <n v="36.6"/>
    <n v="328239523"/>
    <d v="2025-08-13T00:00:00"/>
    <x v="287"/>
    <x v="287"/>
  </r>
  <r>
    <n v="317"/>
    <s v="Energy"/>
    <s v="Richard Kinder"/>
    <s v="United States"/>
    <s v="Houston"/>
    <s v="Pipelines"/>
    <s v="Energy"/>
    <b v="1"/>
    <s v="Male"/>
    <s v="Kinder"/>
    <x v="177"/>
    <n v="7200"/>
    <n v="1944"/>
    <n v="10"/>
    <n v="19"/>
    <n v="117.24"/>
    <n v="21427700000000"/>
    <n v="78.5"/>
    <n v="9.6"/>
    <n v="36.6"/>
    <n v="328239523"/>
    <d v="2025-08-13T00:00:00"/>
    <x v="288"/>
    <x v="288"/>
  </r>
  <r>
    <n v="317"/>
    <s v="Finance &amp; Investments"/>
    <s v="Guillaume Pousaz"/>
    <s v="United Arab Emirates"/>
    <s v="Dubai"/>
    <s v="Fintech"/>
    <s v="Finance &amp; Investments"/>
    <b v="1"/>
    <s v="Male"/>
    <s v="Pousaz"/>
    <x v="240"/>
    <n v="7200"/>
    <n v="1981"/>
    <n v="8"/>
    <n v="15"/>
    <n v="114.52"/>
    <n v="421142267938"/>
    <n v="77.8"/>
    <n v="0.1"/>
    <n v="15.9"/>
    <n v="9770529"/>
    <d v="2025-08-13T00:00:00"/>
    <x v="289"/>
    <x v="289"/>
  </r>
  <r>
    <n v="317"/>
    <s v="Fashion &amp; Retail"/>
    <s v="Takahisa Takahara"/>
    <s v="Japan"/>
    <s v="Tokyo"/>
    <s v="Personal care goods"/>
    <s v="Fashion &amp; Retail"/>
    <b v="0"/>
    <s v="Male"/>
    <s v="Takahara"/>
    <x v="241"/>
    <n v="7200"/>
    <n v="1961"/>
    <n v="7"/>
    <n v="12"/>
    <n v="105.48"/>
    <n v="5081769542380"/>
    <n v="84.2"/>
    <n v="11.9"/>
    <n v="46.7"/>
    <n v="126226568"/>
    <d v="2025-08-13T00:00:00"/>
    <x v="290"/>
    <x v="290"/>
  </r>
  <r>
    <n v="317"/>
    <s v="Food &amp; Beverage"/>
    <s v="Zong Qinghou"/>
    <s v="China"/>
    <s v="Hangzhou"/>
    <s v="Beverages"/>
    <s v="Food &amp; Beverage"/>
    <b v="1"/>
    <s v="Male"/>
    <s v="Zong"/>
    <x v="242"/>
    <n v="7200"/>
    <n v="1945"/>
    <n v="10"/>
    <n v="1"/>
    <n v="125.08"/>
    <n v="19910000000000"/>
    <n v="77"/>
    <n v="9.4"/>
    <n v="59.2"/>
    <n v="1397715000"/>
    <d v="2025-08-13T00:00:00"/>
    <x v="291"/>
    <x v="291"/>
  </r>
  <r>
    <n v="325"/>
    <s v="Technology"/>
    <s v="Judy Faulkner"/>
    <s v="United States"/>
    <s v="Madison"/>
    <s v="Healthcare software"/>
    <s v="Technology"/>
    <b v="1"/>
    <s v="Female"/>
    <s v="Faulkner"/>
    <x v="129"/>
    <n v="7100"/>
    <n v="1943"/>
    <n v="8"/>
    <n v="1"/>
    <n v="117.24"/>
    <n v="21427700000000"/>
    <n v="78.5"/>
    <n v="9.6"/>
    <n v="36.6"/>
    <n v="328239523"/>
    <d v="2025-08-13T00:00:00"/>
    <x v="292"/>
    <x v="292"/>
  </r>
  <r>
    <n v="325"/>
    <s v="Gambling &amp; Casinos"/>
    <s v="Johann Graf"/>
    <s v="Austria"/>
    <s v="Vienna"/>
    <s v="Gambling"/>
    <s v="Gambling &amp; Casinos"/>
    <b v="1"/>
    <s v="Male"/>
    <s v="Graf"/>
    <x v="126"/>
    <n v="7100"/>
    <n v="1947"/>
    <n v="1"/>
    <n v="3"/>
    <n v="118.06"/>
    <n v="446314739528"/>
    <n v="81.599999999999994"/>
    <n v="25.4"/>
    <n v="51.4"/>
    <n v="8877067"/>
    <d v="2025-08-13T00:00:00"/>
    <x v="293"/>
    <x v="293"/>
  </r>
  <r>
    <n v="325"/>
    <s v="Service"/>
    <s v="Tamara Gustavson"/>
    <s v="United States"/>
    <s v="Lexington"/>
    <s v="Self storage"/>
    <s v="Service"/>
    <b v="0"/>
    <s v="Female"/>
    <s v="Gustavson"/>
    <x v="243"/>
    <n v="7100"/>
    <n v="1961"/>
    <n v="11"/>
    <n v="16"/>
    <n v="117.24"/>
    <n v="21427700000000"/>
    <n v="78.5"/>
    <n v="9.6"/>
    <n v="36.6"/>
    <n v="328239523"/>
    <d v="2025-08-13T00:00:00"/>
    <x v="294"/>
    <x v="294"/>
  </r>
  <r>
    <n v="325"/>
    <s v="Manufacturing"/>
    <s v="Liang Wengen"/>
    <s v="China"/>
    <s v="Changsha"/>
    <s v="Construction equipment"/>
    <s v="Manufacturing"/>
    <b v="1"/>
    <s v="Male"/>
    <s v="Liang"/>
    <x v="244"/>
    <n v="7100"/>
    <n v="1956"/>
    <n v="12"/>
    <n v="14"/>
    <n v="125.08"/>
    <n v="19910000000000"/>
    <n v="77"/>
    <n v="9.4"/>
    <n v="59.2"/>
    <n v="1397715000"/>
    <d v="2025-08-13T00:00:00"/>
    <x v="295"/>
    <x v="295"/>
  </r>
  <r>
    <n v="325"/>
    <s v="Healthcare"/>
    <s v="Frederik Paulsen"/>
    <s v="Switzerland"/>
    <s v="Lausanne"/>
    <s v="Health care"/>
    <s v="Healthcare"/>
    <b v="0"/>
    <s v="Male"/>
    <s v="Paulsen"/>
    <x v="245"/>
    <n v="7100"/>
    <n v="1950"/>
    <n v="10"/>
    <n v="30"/>
    <n v="99.55"/>
    <n v="703082435360"/>
    <n v="83.6"/>
    <n v="10.1"/>
    <n v="28.8"/>
    <n v="8574832"/>
    <d v="2025-08-13T00:00:00"/>
    <x v="296"/>
    <x v="296"/>
  </r>
  <r>
    <n v="325"/>
    <s v="Finance &amp; Investments"/>
    <s v="Wee Cho Yaw"/>
    <s v="Singapore"/>
    <s v="Singapore"/>
    <s v="Banking"/>
    <s v="Finance &amp; Investments"/>
    <b v="0"/>
    <s v="Male"/>
    <s v="Wee"/>
    <x v="246"/>
    <n v="7100"/>
    <n v="1929"/>
    <n v="1"/>
    <n v="10"/>
    <n v="114.41"/>
    <n v="372062527489"/>
    <n v="83.1"/>
    <n v="13.1"/>
    <n v="21"/>
    <n v="5703569"/>
    <d v="2025-08-13T00:00:00"/>
    <x v="297"/>
    <x v="297"/>
  </r>
  <r>
    <n v="325"/>
    <s v="Manufacturing"/>
    <s v="Zhang Hejun"/>
    <s v="China"/>
    <s v="Ningbo"/>
    <s v="Electronics"/>
    <s v="Manufacturing"/>
    <b v="1"/>
    <s v="Male"/>
    <s v="Zhang"/>
    <x v="247"/>
    <n v="7100"/>
    <n v="1952"/>
    <n v="1"/>
    <n v="1"/>
    <n v="125.08"/>
    <n v="19910000000000"/>
    <n v="77"/>
    <n v="9.4"/>
    <n v="59.2"/>
    <n v="1397715000"/>
    <d v="2025-08-13T00:00:00"/>
    <x v="276"/>
    <x v="276"/>
  </r>
  <r>
    <n v="332"/>
    <s v="Technology"/>
    <s v="Marc Benioff"/>
    <s v="United States"/>
    <s v="San Francisco"/>
    <s v="Business software"/>
    <s v="Technology"/>
    <b v="1"/>
    <s v="Male"/>
    <s v="Benioff"/>
    <x v="248"/>
    <n v="7000"/>
    <n v="1964"/>
    <n v="9"/>
    <n v="25"/>
    <n v="117.24"/>
    <n v="21427700000000"/>
    <n v="78.5"/>
    <n v="9.6"/>
    <n v="36.6"/>
    <n v="328239523"/>
    <d v="2025-08-13T00:00:00"/>
    <x v="298"/>
    <x v="298"/>
  </r>
  <r>
    <n v="332"/>
    <s v="Media &amp; Entertainment"/>
    <s v="Dmitri Bukhman"/>
    <s v="United Kingdom"/>
    <s v="London"/>
    <s v="Online games"/>
    <s v="Media &amp; Entertainment"/>
    <b v="1"/>
    <s v="Male"/>
    <s v="Bukhman"/>
    <x v="249"/>
    <n v="7000"/>
    <n v="1985"/>
    <n v="5"/>
    <n v="27"/>
    <n v="119.62"/>
    <n v="2827113184696"/>
    <n v="81.3"/>
    <n v="25.5"/>
    <n v="30.6"/>
    <n v="66834405"/>
    <d v="2025-08-13T00:00:00"/>
    <x v="299"/>
    <x v="299"/>
  </r>
  <r>
    <n v="332"/>
    <s v="Media &amp; Entertainment"/>
    <s v="Igor Bukhman"/>
    <s v="United Kingdom"/>
    <s v="London"/>
    <s v="Online games"/>
    <s v="Media &amp; Entertainment"/>
    <b v="1"/>
    <s v="Male"/>
    <s v="Bukhman"/>
    <x v="250"/>
    <n v="7000"/>
    <n v="1982"/>
    <n v="3"/>
    <n v="29"/>
    <n v="119.62"/>
    <n v="2827113184696"/>
    <n v="81.3"/>
    <n v="25.5"/>
    <n v="30.6"/>
    <n v="66834405"/>
    <d v="2025-08-13T00:00:00"/>
    <x v="300"/>
    <x v="300"/>
  </r>
  <r>
    <n v="332"/>
    <s v="Technology"/>
    <s v="Jack Dangermond"/>
    <s v="United States"/>
    <s v="Redlands"/>
    <s v="Mapping software"/>
    <s v="Technology"/>
    <b v="1"/>
    <s v="Male"/>
    <s v="Dangermond"/>
    <x v="55"/>
    <n v="7000"/>
    <n v="1945"/>
    <n v="7"/>
    <n v="23"/>
    <n v="117.24"/>
    <n v="21427700000000"/>
    <n v="78.5"/>
    <n v="9.6"/>
    <n v="36.6"/>
    <n v="328239523"/>
    <d v="2025-08-13T00:00:00"/>
    <x v="301"/>
    <x v="301"/>
  </r>
  <r>
    <n v="332"/>
    <s v="Manufacturing"/>
    <s v="Ashwin Dani &amp; family"/>
    <s v="India"/>
    <s v="Mumbai"/>
    <s v="Paints"/>
    <s v="Manufacturing"/>
    <b v="0"/>
    <s v="Male"/>
    <s v="Dani"/>
    <x v="251"/>
    <n v="7000"/>
    <n v="1942"/>
    <n v="10"/>
    <n v="24"/>
    <n v="180.44"/>
    <n v="2611000000000"/>
    <n v="69.400000000000006"/>
    <n v="11.2"/>
    <n v="49.7"/>
    <n v="1366417754"/>
    <d v="2025-08-13T00:00:00"/>
    <x v="302"/>
    <x v="302"/>
  </r>
  <r>
    <n v="332"/>
    <s v="Fashion &amp; Retail"/>
    <s v="Ralph Lauren"/>
    <s v="United States"/>
    <s v="New York"/>
    <s v="Apparel"/>
    <s v="Fashion &amp; Retail"/>
    <b v="1"/>
    <s v="Male"/>
    <s v="Lauren"/>
    <x v="252"/>
    <n v="7000"/>
    <n v="1939"/>
    <n v="10"/>
    <n v="14"/>
    <n v="117.24"/>
    <n v="21427700000000"/>
    <n v="78.5"/>
    <n v="9.6"/>
    <n v="36.6"/>
    <n v="328239523"/>
    <d v="2025-08-13T00:00:00"/>
    <x v="303"/>
    <x v="303"/>
  </r>
  <r>
    <n v="332"/>
    <s v="Diversified"/>
    <s v="Rohiqa Cyrus Mistry"/>
    <s v="India"/>
    <s v="Mumbai"/>
    <s v="Diversified"/>
    <s v="Diversified"/>
    <b v="0"/>
    <s v="Female"/>
    <s v="Mistry"/>
    <x v="253"/>
    <n v="7000"/>
    <n v="1967"/>
    <n v="6"/>
    <n v="6"/>
    <n v="180.44"/>
    <n v="2611000000000"/>
    <n v="69.400000000000006"/>
    <n v="11.2"/>
    <n v="49.7"/>
    <n v="1366417754"/>
    <d v="2025-08-13T00:00:00"/>
    <x v="304"/>
    <x v="304"/>
  </r>
  <r>
    <n v="332"/>
    <s v="Diversified"/>
    <s v="Shapoor Mistry"/>
    <s v="India"/>
    <s v="Mumbai"/>
    <s v="Diversified"/>
    <s v="Diversified"/>
    <b v="0"/>
    <s v="Male"/>
    <s v="Mistry"/>
    <x v="254"/>
    <n v="7000"/>
    <n v="1964"/>
    <n v="9"/>
    <n v="6"/>
    <n v="180.44"/>
    <n v="2611000000000"/>
    <n v="69.400000000000006"/>
    <n v="11.2"/>
    <n v="49.7"/>
    <n v="1366417754"/>
    <d v="2025-08-13T00:00:00"/>
    <x v="305"/>
    <x v="305"/>
  </r>
  <r>
    <n v="332"/>
    <s v="Food &amp; Beverage"/>
    <s v="J. Christopher Reyes"/>
    <s v="United States"/>
    <s v="Hobe Sound"/>
    <s v="Food distribution"/>
    <s v="Food &amp; Beverage"/>
    <b v="1"/>
    <s v="Male"/>
    <s v="Reyes"/>
    <x v="255"/>
    <n v="7000"/>
    <n v="1953"/>
    <n v="12"/>
    <n v="29"/>
    <n v="117.24"/>
    <n v="21427700000000"/>
    <n v="78.5"/>
    <n v="9.6"/>
    <n v="36.6"/>
    <n v="328239523"/>
    <d v="2025-08-13T00:00:00"/>
    <x v="306"/>
    <x v="306"/>
  </r>
  <r>
    <n v="332"/>
    <s v="Food &amp; Beverage"/>
    <s v="Jude Reyes"/>
    <s v="United States"/>
    <s v="Palm Beach"/>
    <s v="Food distribution"/>
    <s v="Food &amp; Beverage"/>
    <b v="1"/>
    <s v="Male"/>
    <s v="Reyes"/>
    <x v="256"/>
    <n v="7000"/>
    <n v="1955"/>
    <n v="9"/>
    <n v="16"/>
    <n v="117.24"/>
    <n v="21427700000000"/>
    <n v="78.5"/>
    <n v="9.6"/>
    <n v="36.6"/>
    <n v="328239523"/>
    <d v="2025-08-13T00:00:00"/>
    <x v="307"/>
    <x v="307"/>
  </r>
  <r>
    <n v="332"/>
    <s v="Food &amp; Beverage"/>
    <s v="Don Vultaggio &amp; family"/>
    <s v="United States"/>
    <s v="Port Washington"/>
    <s v="Beverages"/>
    <s v="Food &amp; Beverage"/>
    <b v="1"/>
    <s v="Male"/>
    <s v="Vultaggio"/>
    <x v="239"/>
    <n v="7000"/>
    <n v="1952"/>
    <n v="2"/>
    <n v="26"/>
    <n v="117.24"/>
    <n v="21427700000000"/>
    <n v="78.5"/>
    <n v="9.6"/>
    <n v="36.6"/>
    <n v="328239523"/>
    <d v="2025-08-13T00:00:00"/>
    <x v="308"/>
    <x v="308"/>
  </r>
  <r>
    <n v="344"/>
    <s v="Diversified"/>
    <s v="Edythe Broad &amp; family"/>
    <s v="United States"/>
    <s v="Los Angeles"/>
    <s v="Homebuilding, insurance"/>
    <s v="Diversified"/>
    <b v="0"/>
    <s v="Female"/>
    <s v="Broad"/>
    <x v="257"/>
    <n v="6900"/>
    <n v="1936"/>
    <n v="1"/>
    <n v="1"/>
    <n v="117.24"/>
    <n v="21427700000000"/>
    <n v="78.5"/>
    <n v="9.6"/>
    <n v="36.6"/>
    <n v="328239523"/>
    <d v="2025-08-13T00:00:00"/>
    <x v="309"/>
    <x v="309"/>
  </r>
  <r>
    <n v="344"/>
    <s v="Food &amp; Beverage"/>
    <s v="Pauline MacMillan Keinath"/>
    <s v="United States"/>
    <s v="St. Louis"/>
    <s v="Cargill"/>
    <s v="Food &amp; Beverage"/>
    <b v="0"/>
    <s v="Female"/>
    <s v="Keinath"/>
    <x v="258"/>
    <n v="6900"/>
    <n v="1934"/>
    <n v="1"/>
    <n v="1"/>
    <n v="117.24"/>
    <n v="21427700000000"/>
    <n v="78.5"/>
    <n v="9.6"/>
    <n v="36.6"/>
    <n v="328239523"/>
    <d v="2025-08-13T00:00:00"/>
    <x v="310"/>
    <x v="310"/>
  </r>
  <r>
    <n v="344"/>
    <s v="Finance &amp; Investments"/>
    <s v="Philippe Laffont"/>
    <s v="United States"/>
    <s v="New York"/>
    <s v="Hedge fund"/>
    <s v="Finance &amp; Investments"/>
    <b v="1"/>
    <s v="Male"/>
    <s v="Laffont"/>
    <x v="259"/>
    <n v="6900"/>
    <n v="1967"/>
    <n v="9"/>
    <n v="16"/>
    <n v="117.24"/>
    <n v="21427700000000"/>
    <n v="78.5"/>
    <n v="9.6"/>
    <n v="36.6"/>
    <n v="328239523"/>
    <d v="2025-08-13T00:00:00"/>
    <x v="311"/>
    <x v="311"/>
  </r>
  <r>
    <n v="344"/>
    <s v="Technology"/>
    <s v="Liu Jincheng &amp; family"/>
    <s v="China"/>
    <s v="Huizhou"/>
    <s v="Lithium batteries"/>
    <s v="Technology"/>
    <b v="1"/>
    <s v="Male"/>
    <s v="Liu"/>
    <x v="260"/>
    <n v="6900"/>
    <n v="1964"/>
    <n v="9"/>
    <n v="22"/>
    <n v="125.08"/>
    <n v="19910000000000"/>
    <n v="77"/>
    <n v="9.4"/>
    <n v="59.2"/>
    <n v="1397715000"/>
    <d v="2025-08-13T00:00:00"/>
    <x v="312"/>
    <x v="312"/>
  </r>
  <r>
    <n v="344"/>
    <s v="Real Estate"/>
    <s v="Igor Olenicoff"/>
    <s v="United States"/>
    <s v="Lighthouse Point"/>
    <s v="Real estate"/>
    <s v="Real Estate"/>
    <b v="1"/>
    <s v="Male"/>
    <s v="Olenicoff"/>
    <x v="250"/>
    <n v="6900"/>
    <n v="1942"/>
    <n v="9"/>
    <n v="20"/>
    <n v="117.24"/>
    <n v="21427700000000"/>
    <n v="78.5"/>
    <n v="9.6"/>
    <n v="36.6"/>
    <n v="328239523"/>
    <d v="2025-08-13T00:00:00"/>
    <x v="313"/>
    <x v="313"/>
  </r>
  <r>
    <n v="344"/>
    <s v="Fashion &amp; Retail"/>
    <s v="Sandra Ortega Mera"/>
    <s v="Spain"/>
    <s v="La Coruna"/>
    <s v="Zara"/>
    <s v="Fashion &amp; Retail"/>
    <b v="0"/>
    <s v="Female"/>
    <s v="Ortega Mera"/>
    <x v="261"/>
    <n v="6900"/>
    <n v="1968"/>
    <n v="7"/>
    <n v="9"/>
    <n v="110.96"/>
    <n v="1394116310769"/>
    <n v="83.3"/>
    <n v="14.2"/>
    <n v="47"/>
    <n v="47076781"/>
    <d v="2025-08-13T00:00:00"/>
    <x v="314"/>
    <x v="314"/>
  </r>
  <r>
    <n v="344"/>
    <s v="Healthcare"/>
    <s v="Ronda Stryker"/>
    <s v="United States"/>
    <s v="Portage"/>
    <s v="Medical equipment"/>
    <s v="Healthcare"/>
    <b v="0"/>
    <s v="Female"/>
    <s v="Stryker"/>
    <x v="262"/>
    <n v="6900"/>
    <n v="1954"/>
    <n v="5"/>
    <n v="1"/>
    <n v="117.24"/>
    <n v="21427700000000"/>
    <n v="78.5"/>
    <n v="9.6"/>
    <n v="36.6"/>
    <n v="328239523"/>
    <d v="2025-08-13T00:00:00"/>
    <x v="315"/>
    <x v="315"/>
  </r>
  <r>
    <n v="352"/>
    <s v="Energy"/>
    <s v="Dannine Avara"/>
    <s v="United States"/>
    <s v="Houston"/>
    <s v="Pipelines"/>
    <s v="Energy"/>
    <b v="0"/>
    <s v="Female"/>
    <s v="Avara"/>
    <x v="263"/>
    <n v="6800"/>
    <n v="1964"/>
    <n v="3"/>
    <n v="9"/>
    <n v="117.24"/>
    <n v="21427700000000"/>
    <n v="78.5"/>
    <n v="9.6"/>
    <n v="36.6"/>
    <n v="328239523"/>
    <d v="2025-08-13T00:00:00"/>
    <x v="316"/>
    <x v="316"/>
  </r>
  <r>
    <n v="352"/>
    <s v="Diversified"/>
    <s v="Silvio Berlusconi &amp; family"/>
    <s v="Italy"/>
    <s v="Milan"/>
    <s v="Media"/>
    <s v="Diversified"/>
    <b v="1"/>
    <s v="Male"/>
    <s v="Berlusconi"/>
    <x v="264"/>
    <n v="6800"/>
    <n v="1936"/>
    <n v="9"/>
    <n v="29"/>
    <n v="110.62"/>
    <n v="2001244392042"/>
    <n v="82.9"/>
    <n v="24.3"/>
    <n v="59.1"/>
    <n v="60297396"/>
    <d v="2025-08-13T00:00:00"/>
    <x v="317"/>
    <x v="317"/>
  </r>
  <r>
    <n v="352"/>
    <s v="Gambling &amp; Casinos"/>
    <s v="Denise Coates"/>
    <s v="United Kingdom"/>
    <s v="Stoke-on-Trent"/>
    <s v="Online gambling"/>
    <s v="Gambling &amp; Casinos"/>
    <b v="1"/>
    <s v="Female"/>
    <s v="Coates"/>
    <x v="265"/>
    <n v="6800"/>
    <n v="1967"/>
    <n v="9"/>
    <n v="26"/>
    <n v="119.62"/>
    <n v="2827113184696"/>
    <n v="81.3"/>
    <n v="25.5"/>
    <n v="30.6"/>
    <n v="66834405"/>
    <d v="2025-08-13T00:00:00"/>
    <x v="318"/>
    <x v="318"/>
  </r>
  <r>
    <n v="352"/>
    <s v="Energy"/>
    <s v="Scott Duncan"/>
    <s v="United States"/>
    <s v="Houston"/>
    <s v="Pipelines"/>
    <s v="Energy"/>
    <b v="0"/>
    <s v="Male"/>
    <s v="Duncan"/>
    <x v="141"/>
    <n v="6800"/>
    <n v="1982"/>
    <n v="11"/>
    <n v="1"/>
    <n v="117.24"/>
    <n v="21427700000000"/>
    <n v="78.5"/>
    <n v="9.6"/>
    <n v="36.6"/>
    <n v="328239523"/>
    <d v="2025-08-13T00:00:00"/>
    <x v="319"/>
    <x v="319"/>
  </r>
  <r>
    <n v="352"/>
    <s v="Energy"/>
    <s v="Milane Frantz"/>
    <s v="United States"/>
    <s v="Houston"/>
    <s v="Pipelines"/>
    <s v="Energy"/>
    <b v="0"/>
    <s v="Female"/>
    <s v="Frantz"/>
    <x v="266"/>
    <n v="6800"/>
    <n v="1969"/>
    <n v="8"/>
    <n v="12"/>
    <n v="117.24"/>
    <n v="21427700000000"/>
    <n v="78.5"/>
    <n v="9.6"/>
    <n v="36.6"/>
    <n v="328239523"/>
    <d v="2025-08-13T00:00:00"/>
    <x v="320"/>
    <x v="320"/>
  </r>
  <r>
    <n v="352"/>
    <s v="Finance &amp; Investments"/>
    <s v="Edward Johnson, IV."/>
    <s v="United States"/>
    <s v="Boston"/>
    <s v="Fidelity"/>
    <s v="Finance &amp; Investments"/>
    <b v="0"/>
    <s v="Male"/>
    <s v="Johnson"/>
    <x v="267"/>
    <n v="6800"/>
    <n v="1964"/>
    <n v="11"/>
    <n v="18"/>
    <n v="117.24"/>
    <n v="21427700000000"/>
    <n v="78.5"/>
    <n v="9.6"/>
    <n v="36.6"/>
    <n v="328239523"/>
    <d v="2025-08-13T00:00:00"/>
    <x v="321"/>
    <x v="321"/>
  </r>
  <r>
    <n v="352"/>
    <s v="Finance &amp; Investments"/>
    <s v="Yuri Milner"/>
    <s v="United States"/>
    <s v="Los Altos"/>
    <s v="Tech investments"/>
    <s v="Finance &amp; Investments"/>
    <b v="1"/>
    <s v="Male"/>
    <s v="Milner"/>
    <x v="268"/>
    <n v="6800"/>
    <n v="1961"/>
    <n v="11"/>
    <n v="11"/>
    <n v="117.24"/>
    <n v="21427700000000"/>
    <n v="78.5"/>
    <n v="9.6"/>
    <n v="36.6"/>
    <n v="328239523"/>
    <d v="2025-08-13T00:00:00"/>
    <x v="322"/>
    <x v="322"/>
  </r>
  <r>
    <n v="352"/>
    <s v="Technology"/>
    <s v="Gordon Moore"/>
    <s v="United States"/>
    <s v="Woodside"/>
    <s v="Intel"/>
    <s v="Technology"/>
    <b v="1"/>
    <s v="Male"/>
    <s v="Moore"/>
    <x v="269"/>
    <n v="6800"/>
    <n v="1929"/>
    <n v="1"/>
    <n v="3"/>
    <n v="117.24"/>
    <n v="21427700000000"/>
    <n v="78.5"/>
    <n v="9.6"/>
    <n v="36.6"/>
    <n v="328239523"/>
    <d v="2025-08-13T00:00:00"/>
    <x v="323"/>
    <x v="323"/>
  </r>
  <r>
    <n v="352"/>
    <s v="Finance &amp; Investments"/>
    <s v="John Overdeck"/>
    <s v="United States"/>
    <s v="Millburn"/>
    <s v="Hedge funds"/>
    <s v="Finance &amp; Investments"/>
    <b v="1"/>
    <s v="Male"/>
    <s v="Overdeck"/>
    <x v="29"/>
    <n v="6800"/>
    <n v="1969"/>
    <n v="12"/>
    <n v="21"/>
    <n v="117.24"/>
    <n v="21427700000000"/>
    <n v="78.5"/>
    <n v="9.6"/>
    <n v="36.6"/>
    <n v="328239523"/>
    <d v="2025-08-13T00:00:00"/>
    <x v="324"/>
    <x v="324"/>
  </r>
  <r>
    <n v="352"/>
    <s v="Finance &amp; Investments"/>
    <s v="David Siegel"/>
    <s v="United States"/>
    <s v="Scarsdale"/>
    <s v="Hedge funds"/>
    <s v="Finance &amp; Investments"/>
    <b v="1"/>
    <s v="Male"/>
    <s v="Siegel"/>
    <x v="20"/>
    <n v="6800"/>
    <n v="1961"/>
    <n v="7"/>
    <n v="15"/>
    <n v="117.24"/>
    <n v="21427700000000"/>
    <n v="78.5"/>
    <n v="9.6"/>
    <n v="36.6"/>
    <n v="328239523"/>
    <d v="2025-08-13T00:00:00"/>
    <x v="325"/>
    <x v="325"/>
  </r>
  <r>
    <n v="352"/>
    <s v="Diversified"/>
    <s v="Viktor Vekselberg"/>
    <s v="Russia"/>
    <s v="Moscow"/>
    <s v="Metals, investments"/>
    <s v="Diversified"/>
    <b v="1"/>
    <s v="Male"/>
    <s v="Vekselberg"/>
    <x v="137"/>
    <n v="6800"/>
    <n v="1957"/>
    <n v="4"/>
    <n v="14"/>
    <n v="180.75"/>
    <n v="1699876578871"/>
    <n v="72.7"/>
    <n v="11.4"/>
    <n v="46.2"/>
    <n v="144373535"/>
    <d v="2025-08-13T00:00:00"/>
    <x v="326"/>
    <x v="326"/>
  </r>
  <r>
    <n v="352"/>
    <s v="Technology"/>
    <s v="Wang Laisheng"/>
    <s v="China"/>
    <s v="Shenzhen"/>
    <s v="Electronics components"/>
    <s v="Technology"/>
    <b v="1"/>
    <s v="Male"/>
    <s v="Wang"/>
    <x v="270"/>
    <n v="6800"/>
    <n v="1964"/>
    <n v="12"/>
    <n v="14"/>
    <n v="125.08"/>
    <n v="19910000000000"/>
    <n v="77"/>
    <n v="9.4"/>
    <n v="59.2"/>
    <n v="1397715000"/>
    <d v="2025-08-13T00:00:00"/>
    <x v="327"/>
    <x v="327"/>
  </r>
  <r>
    <n v="352"/>
    <s v="Energy"/>
    <s v="Randa Duncan Williams"/>
    <s v="United States"/>
    <s v="Houston"/>
    <s v="Pipelines"/>
    <s v="Energy"/>
    <b v="0"/>
    <s v="Female"/>
    <s v="Williams"/>
    <x v="271"/>
    <n v="6800"/>
    <n v="1961"/>
    <n v="8"/>
    <n v="28"/>
    <n v="117.24"/>
    <n v="21427700000000"/>
    <n v="78.5"/>
    <n v="9.6"/>
    <n v="36.6"/>
    <n v="328239523"/>
    <d v="2025-08-13T00:00:00"/>
    <x v="328"/>
    <x v="328"/>
  </r>
  <r>
    <n v="365"/>
    <s v="Finance &amp; Investments"/>
    <s v="Ken Fisher"/>
    <s v="United States"/>
    <s v="Dallas"/>
    <s v="Money management"/>
    <s v="Finance &amp; Investments"/>
    <b v="1"/>
    <s v="Male"/>
    <s v="Fisher"/>
    <x v="32"/>
    <n v="6700"/>
    <n v="1950"/>
    <n v="11"/>
    <n v="29"/>
    <n v="117.24"/>
    <n v="21427700000000"/>
    <n v="78.5"/>
    <n v="9.6"/>
    <n v="36.6"/>
    <n v="328239523"/>
    <d v="2025-08-13T00:00:00"/>
    <x v="329"/>
    <x v="329"/>
  </r>
  <r>
    <n v="365"/>
    <s v="Finance &amp; Investments"/>
    <s v="Christopher Hohn"/>
    <s v="United Kingdom"/>
    <s v="London"/>
    <s v="Hedge funds"/>
    <s v="Finance &amp; Investments"/>
    <b v="1"/>
    <s v="Male"/>
    <s v="Hohn"/>
    <x v="272"/>
    <n v="6700"/>
    <n v="1966"/>
    <n v="10"/>
    <n v="27"/>
    <n v="119.62"/>
    <n v="2827113184696"/>
    <n v="81.3"/>
    <n v="25.5"/>
    <n v="30.6"/>
    <n v="66834405"/>
    <d v="2025-08-13T00:00:00"/>
    <x v="330"/>
    <x v="330"/>
  </r>
  <r>
    <n v="365"/>
    <s v="Manufacturing"/>
    <s v="Kjeld Kirk Kristiansen"/>
    <s v="Denmark"/>
    <s v="Billund"/>
    <s v="Lego"/>
    <s v="Manufacturing"/>
    <b v="0"/>
    <s v="Male"/>
    <s v="Kristiansen"/>
    <x v="273"/>
    <n v="6700"/>
    <n v="1947"/>
    <n v="12"/>
    <n v="27"/>
    <n v="110.35"/>
    <n v="348078018464"/>
    <n v="81"/>
    <n v="32.4"/>
    <n v="23.8"/>
    <n v="5818553"/>
    <d v="2025-08-13T00:00:00"/>
    <x v="331"/>
    <x v="331"/>
  </r>
  <r>
    <n v="365"/>
    <s v="Manufacturing"/>
    <s v="Sofie Kirk Kristiansen"/>
    <s v="Denmark"/>
    <s v="Billund"/>
    <s v="Lego"/>
    <s v="Manufacturing"/>
    <b v="0"/>
    <s v="Female"/>
    <s v="Kristiansen"/>
    <x v="274"/>
    <n v="6700"/>
    <n v="1976"/>
    <n v="1"/>
    <n v="1"/>
    <n v="110.35"/>
    <n v="348078018464"/>
    <n v="81"/>
    <n v="32.4"/>
    <n v="23.8"/>
    <n v="5818553"/>
    <d v="2025-08-13T00:00:00"/>
    <x v="332"/>
    <x v="332"/>
  </r>
  <r>
    <n v="365"/>
    <s v="Manufacturing"/>
    <s v="Thomas Kirk Kristiansen"/>
    <s v="Denmark"/>
    <s v="Billund"/>
    <s v="Lego"/>
    <s v="Manufacturing"/>
    <b v="0"/>
    <s v="Male"/>
    <s v="Kristiansen"/>
    <x v="275"/>
    <n v="6700"/>
    <n v="1979"/>
    <n v="1"/>
    <n v="1"/>
    <n v="110.35"/>
    <n v="348078018464"/>
    <n v="81"/>
    <n v="32.4"/>
    <n v="23.8"/>
    <n v="5818553"/>
    <d v="2025-08-13T00:00:00"/>
    <x v="333"/>
    <x v="333"/>
  </r>
  <r>
    <n v="365"/>
    <s v="Healthcare"/>
    <s v="Massimiliana Landini Aleotti &amp; family"/>
    <s v="Italy"/>
    <s v="Fiesole"/>
    <s v="Pharmaceuticals"/>
    <s v="Healthcare"/>
    <b v="0"/>
    <s v="Female"/>
    <s v="Landini Aleotti"/>
    <x v="276"/>
    <n v="6700"/>
    <n v="1943"/>
    <n v="1"/>
    <n v="1"/>
    <n v="110.62"/>
    <n v="2001244392042"/>
    <n v="82.9"/>
    <n v="24.3"/>
    <n v="59.1"/>
    <n v="60297396"/>
    <d v="2025-08-13T00:00:00"/>
    <x v="62"/>
    <x v="62"/>
  </r>
  <r>
    <n v="365"/>
    <s v="Automotive"/>
    <s v="Li Ping"/>
    <s v="China"/>
    <s v="Ningde"/>
    <s v="Batteries"/>
    <s v="Automotive"/>
    <b v="1"/>
    <s v="Male"/>
    <s v="Li"/>
    <x v="277"/>
    <n v="6700"/>
    <n v="1968"/>
    <n v="1"/>
    <n v="1"/>
    <n v="125.08"/>
    <n v="19910000000000"/>
    <n v="77"/>
    <n v="9.4"/>
    <n v="59.2"/>
    <n v="1397715000"/>
    <d v="2025-08-13T00:00:00"/>
    <x v="220"/>
    <x v="220"/>
  </r>
  <r>
    <n v="365"/>
    <s v="Manufacturing"/>
    <s v="Lin Jianhua"/>
    <s v="China"/>
    <s v="Hangzhou"/>
    <s v="Solar panel components"/>
    <s v="Manufacturing"/>
    <b v="1"/>
    <s v="Male"/>
    <s v="Lin"/>
    <x v="182"/>
    <n v="6700"/>
    <n v="1962"/>
    <n v="8"/>
    <n v="1"/>
    <n v="125.08"/>
    <n v="19910000000000"/>
    <n v="77"/>
    <n v="9.4"/>
    <n v="59.2"/>
    <n v="1397715000"/>
    <d v="2025-08-13T00:00:00"/>
    <x v="334"/>
    <x v="334"/>
  </r>
  <r>
    <n v="365"/>
    <s v="Manufacturing"/>
    <s v="Magdalena Martullo-Blocher"/>
    <s v="Switzerland"/>
    <s v="Feldmeilen"/>
    <s v="Chemicals"/>
    <s v="Manufacturing"/>
    <b v="0"/>
    <s v="Female"/>
    <s v="Martullo-Blocher"/>
    <x v="278"/>
    <n v="6700"/>
    <n v="1969"/>
    <n v="1"/>
    <n v="1"/>
    <n v="99.55"/>
    <n v="703082435360"/>
    <n v="83.6"/>
    <n v="10.1"/>
    <n v="28.8"/>
    <n v="8574832"/>
    <d v="2025-08-13T00:00:00"/>
    <x v="36"/>
    <x v="36"/>
  </r>
  <r>
    <n v="365"/>
    <s v="Telecom"/>
    <s v="Xavier Niel"/>
    <s v="France"/>
    <s v="Paris"/>
    <s v="Internet, telecom"/>
    <s v="Telecom"/>
    <b v="1"/>
    <s v="Male"/>
    <s v="Niel"/>
    <x v="279"/>
    <n v="6700"/>
    <n v="1967"/>
    <n v="8"/>
    <n v="25"/>
    <n v="110.05"/>
    <n v="2715518274227"/>
    <n v="82.5"/>
    <n v="24.2"/>
    <n v="60.7"/>
    <n v="67059887"/>
    <d v="2025-08-13T00:00:00"/>
    <x v="335"/>
    <x v="335"/>
  </r>
  <r>
    <n v="365"/>
    <s v="Energy"/>
    <s v="Terrence Pegula"/>
    <s v="United States"/>
    <s v="Boca Raton"/>
    <s v="Natural gas"/>
    <s v="Energy"/>
    <b v="1"/>
    <s v="Male"/>
    <s v="Pegula"/>
    <x v="280"/>
    <n v="6700"/>
    <n v="1951"/>
    <n v="3"/>
    <n v="27"/>
    <n v="117.24"/>
    <n v="21427700000000"/>
    <n v="78.5"/>
    <n v="9.6"/>
    <n v="36.6"/>
    <n v="328239523"/>
    <d v="2025-08-13T00:00:00"/>
    <x v="336"/>
    <x v="336"/>
  </r>
  <r>
    <n v="365"/>
    <s v="Real Estate"/>
    <s v="Edward Roski, Jr."/>
    <s v="United States"/>
    <s v="Los Angeles"/>
    <s v="Real estate"/>
    <s v="Real Estate"/>
    <b v="0"/>
    <s v="Male"/>
    <s v="Roski"/>
    <x v="267"/>
    <n v="6700"/>
    <n v="1938"/>
    <n v="12"/>
    <n v="25"/>
    <n v="117.24"/>
    <n v="21427700000000"/>
    <n v="78.5"/>
    <n v="9.6"/>
    <n v="36.6"/>
    <n v="328239523"/>
    <d v="2025-08-13T00:00:00"/>
    <x v="337"/>
    <x v="337"/>
  </r>
  <r>
    <n v="365"/>
    <s v="Real Estate"/>
    <s v="John A. Sobrato &amp; family"/>
    <s v="United States"/>
    <s v="Atherton"/>
    <s v="Real estate"/>
    <s v="Real Estate"/>
    <b v="1"/>
    <s v="Male"/>
    <s v="Sobrato"/>
    <x v="281"/>
    <n v="6700"/>
    <n v="1939"/>
    <n v="5"/>
    <n v="23"/>
    <n v="117.24"/>
    <n v="21427700000000"/>
    <n v="78.5"/>
    <n v="9.6"/>
    <n v="36.6"/>
    <n v="328239523"/>
    <d v="2025-08-13T00:00:00"/>
    <x v="338"/>
    <x v="338"/>
  </r>
  <r>
    <n v="365"/>
    <s v="Finance &amp; Investments"/>
    <s v="George Soros"/>
    <s v="United States"/>
    <s v="Katonah"/>
    <s v="Hedge funds"/>
    <s v="Finance &amp; Investments"/>
    <b v="1"/>
    <s v="Male"/>
    <s v="Soros"/>
    <x v="108"/>
    <n v="6700"/>
    <n v="1930"/>
    <n v="8"/>
    <n v="12"/>
    <n v="117.24"/>
    <n v="21427700000000"/>
    <n v="78.5"/>
    <n v="9.6"/>
    <n v="36.6"/>
    <n v="328239523"/>
    <d v="2025-08-13T00:00:00"/>
    <x v="339"/>
    <x v="339"/>
  </r>
  <r>
    <n v="365"/>
    <s v="Technology"/>
    <s v="David Sun"/>
    <s v="United States"/>
    <s v="Irvine"/>
    <s v="Computer hardware"/>
    <s v="Technology"/>
    <b v="1"/>
    <s v="Male"/>
    <s v="Sun"/>
    <x v="20"/>
    <n v="6700"/>
    <n v="1951"/>
    <n v="10"/>
    <n v="12"/>
    <n v="117.24"/>
    <n v="21427700000000"/>
    <n v="78.5"/>
    <n v="9.6"/>
    <n v="36.6"/>
    <n v="328239523"/>
    <d v="2025-08-13T00:00:00"/>
    <x v="340"/>
    <x v="340"/>
  </r>
  <r>
    <n v="365"/>
    <s v="Manufacturing"/>
    <s v="Agnete Kirk Thinggaard"/>
    <s v="Denmark"/>
    <s v="Billund"/>
    <s v="Lego"/>
    <s v="Manufacturing"/>
    <b v="0"/>
    <s v="Female"/>
    <s v="Thinggaard"/>
    <x v="282"/>
    <n v="6700"/>
    <n v="1983"/>
    <n v="5"/>
    <n v="18"/>
    <n v="110.35"/>
    <n v="348078018464"/>
    <n v="81"/>
    <n v="32.4"/>
    <n v="23.8"/>
    <n v="5818553"/>
    <d v="2025-08-13T00:00:00"/>
    <x v="341"/>
    <x v="341"/>
  </r>
  <r>
    <n v="365"/>
    <s v="Technology"/>
    <s v="John Tu"/>
    <s v="United States"/>
    <s v="Rolling Hills"/>
    <s v="Computer hardware"/>
    <s v="Technology"/>
    <b v="1"/>
    <s v="Male"/>
    <s v="Tu"/>
    <x v="29"/>
    <n v="6700"/>
    <n v="1941"/>
    <n v="8"/>
    <n v="12"/>
    <n v="117.24"/>
    <n v="21427700000000"/>
    <n v="78.5"/>
    <n v="9.6"/>
    <n v="36.6"/>
    <n v="328239523"/>
    <d v="2025-08-13T00:00:00"/>
    <x v="163"/>
    <x v="163"/>
  </r>
  <r>
    <n v="365"/>
    <s v="Food &amp; Beverage"/>
    <s v="Xu Shihui"/>
    <s v="China"/>
    <s v="Quanzhou"/>
    <s v="Snacks, beverages"/>
    <s v="Food &amp; Beverage"/>
    <b v="1"/>
    <s v="Male"/>
    <s v="Xu"/>
    <x v="283"/>
    <n v="6700"/>
    <n v="1958"/>
    <n v="1"/>
    <n v="1"/>
    <n v="125.08"/>
    <n v="19910000000000"/>
    <n v="77"/>
    <n v="9.4"/>
    <n v="59.2"/>
    <n v="1397715000"/>
    <d v="2025-08-13T00:00:00"/>
    <x v="342"/>
    <x v="342"/>
  </r>
  <r>
    <n v="383"/>
    <s v="Manufacturing"/>
    <s v="Rahel Blocher"/>
    <s v="Switzerland"/>
    <s v="Wilen bei Wollerau"/>
    <s v="Chemicals"/>
    <s v="Manufacturing"/>
    <b v="0"/>
    <s v="Female"/>
    <s v="Blocher"/>
    <x v="284"/>
    <n v="6600"/>
    <n v="1976"/>
    <n v="1"/>
    <n v="1"/>
    <n v="99.55"/>
    <n v="703082435360"/>
    <n v="83.6"/>
    <n v="10.1"/>
    <n v="28.8"/>
    <n v="8574832"/>
    <d v="2025-08-13T00:00:00"/>
    <x v="332"/>
    <x v="332"/>
  </r>
  <r>
    <n v="383"/>
    <s v="Food &amp; Beverage"/>
    <s v="Bubba Cathy"/>
    <s v="United States"/>
    <s v="Atlanta"/>
    <s v="Chick-fil-A"/>
    <s v="Food &amp; Beverage"/>
    <b v="0"/>
    <s v="Male"/>
    <s v="Cathy"/>
    <x v="285"/>
    <n v="6600"/>
    <n v="1954"/>
    <n v="4"/>
    <n v="22"/>
    <n v="117.24"/>
    <n v="21427700000000"/>
    <n v="78.5"/>
    <n v="9.6"/>
    <n v="36.6"/>
    <n v="328239523"/>
    <d v="2025-08-13T00:00:00"/>
    <x v="343"/>
    <x v="343"/>
  </r>
  <r>
    <n v="383"/>
    <s v="Food &amp; Beverage"/>
    <s v="Dan Cathy"/>
    <s v="United States"/>
    <s v="Atlanta"/>
    <s v="Chick-fil-A"/>
    <s v="Food &amp; Beverage"/>
    <b v="0"/>
    <s v="Male"/>
    <s v="Cathy"/>
    <x v="286"/>
    <n v="6600"/>
    <n v="1953"/>
    <n v="3"/>
    <n v="1"/>
    <n v="117.24"/>
    <n v="21427700000000"/>
    <n v="78.5"/>
    <n v="9.6"/>
    <n v="36.6"/>
    <n v="328239523"/>
    <d v="2025-08-13T00:00:00"/>
    <x v="344"/>
    <x v="344"/>
  </r>
  <r>
    <n v="383"/>
    <s v="Food &amp; Beverage"/>
    <s v="Trudy Cathy White"/>
    <s v="United States"/>
    <s v="Hampton"/>
    <s v="Chick-fil-A"/>
    <s v="Food &amp; Beverage"/>
    <b v="0"/>
    <s v="Female"/>
    <s v="Cathy White"/>
    <x v="287"/>
    <n v="6600"/>
    <n v="1955"/>
    <n v="12"/>
    <n v="17"/>
    <n v="117.24"/>
    <n v="21427700000000"/>
    <n v="78.5"/>
    <n v="9.6"/>
    <n v="36.6"/>
    <n v="328239523"/>
    <d v="2025-08-13T00:00:00"/>
    <x v="345"/>
    <x v="345"/>
  </r>
  <r>
    <n v="383"/>
    <s v="Finance &amp; Investments"/>
    <s v="Bruce Kovner"/>
    <s v="United States"/>
    <s v="New York"/>
    <s v="Hedge funds"/>
    <s v="Finance &amp; Investments"/>
    <b v="1"/>
    <s v="Male"/>
    <s v="Kovner"/>
    <x v="288"/>
    <n v="6600"/>
    <n v="1945"/>
    <n v="2"/>
    <n v="25"/>
    <n v="117.24"/>
    <n v="21427700000000"/>
    <n v="78.5"/>
    <n v="9.6"/>
    <n v="36.6"/>
    <n v="328239523"/>
    <d v="2025-08-13T00:00:00"/>
    <x v="346"/>
    <x v="346"/>
  </r>
  <r>
    <n v="383"/>
    <s v="Technology"/>
    <s v="Henry Nicholas, III."/>
    <s v="United States"/>
    <s v="Newport Coast"/>
    <s v="Semiconductors"/>
    <s v="Technology"/>
    <b v="1"/>
    <s v="Male"/>
    <s v="Nicholas"/>
    <x v="220"/>
    <n v="6600"/>
    <n v="1959"/>
    <n v="10"/>
    <n v="8"/>
    <n v="117.24"/>
    <n v="21427700000000"/>
    <n v="78.5"/>
    <n v="9.6"/>
    <n v="36.6"/>
    <n v="328239523"/>
    <d v="2025-08-13T00:00:00"/>
    <x v="347"/>
    <x v="347"/>
  </r>
  <r>
    <n v="383"/>
    <s v="Finance &amp; Investments"/>
    <s v="Nadia Thiele"/>
    <s v="Germany"/>
    <s v="Munich"/>
    <s v="Investments"/>
    <s v="Finance &amp; Investments"/>
    <b v="0"/>
    <s v="Female"/>
    <s v="Thiele"/>
    <x v="289"/>
    <n v="6600"/>
    <n v="1976"/>
    <n v="1"/>
    <n v="7"/>
    <n v="112.85"/>
    <n v="3845630030824"/>
    <n v="80.900000000000006"/>
    <n v="11.5"/>
    <n v="48.8"/>
    <n v="83132799"/>
    <d v="2025-08-13T00:00:00"/>
    <x v="348"/>
    <x v="348"/>
  </r>
  <r>
    <n v="390"/>
    <s v="Finance &amp; Investments"/>
    <s v="David Bonderman"/>
    <s v="United States"/>
    <s v="Fort Worth"/>
    <s v="Private equity"/>
    <s v="Finance &amp; Investments"/>
    <b v="1"/>
    <s v="Male"/>
    <s v="Bonderman"/>
    <x v="20"/>
    <n v="6500"/>
    <n v="1942"/>
    <n v="11"/>
    <n v="27"/>
    <n v="117.24"/>
    <n v="21427700000000"/>
    <n v="78.5"/>
    <n v="9.6"/>
    <n v="36.6"/>
    <n v="328239523"/>
    <d v="2025-08-13T00:00:00"/>
    <x v="349"/>
    <x v="349"/>
  </r>
  <r>
    <n v="390"/>
    <s v="Technology"/>
    <s v="Melinda French Gates"/>
    <s v="United States"/>
    <s v="Medina"/>
    <s v="Microsoft"/>
    <s v="Technology"/>
    <b v="0"/>
    <s v="Female"/>
    <s v="French Gates"/>
    <x v="290"/>
    <n v="6500"/>
    <n v="1964"/>
    <n v="8"/>
    <n v="15"/>
    <n v="117.24"/>
    <n v="21427700000000"/>
    <n v="78.5"/>
    <n v="9.6"/>
    <n v="36.6"/>
    <n v="328239523"/>
    <d v="2025-08-13T00:00:00"/>
    <x v="350"/>
    <x v="350"/>
  </r>
  <r>
    <n v="390"/>
    <s v="Real Estate"/>
    <s v="Annette Lerner &amp; family"/>
    <s v="United States"/>
    <s v="Chevy Chase"/>
    <s v="Real estate"/>
    <s v="Real Estate"/>
    <b v="0"/>
    <s v="Female"/>
    <s v="Lerner"/>
    <x v="291"/>
    <n v="6500"/>
    <n v="1930"/>
    <n v="2"/>
    <n v="27"/>
    <n v="117.24"/>
    <n v="21427700000000"/>
    <n v="78.5"/>
    <n v="9.6"/>
    <n v="36.6"/>
    <n v="328239523"/>
    <d v="2025-08-13T00:00:00"/>
    <x v="351"/>
    <x v="351"/>
  </r>
  <r>
    <n v="390"/>
    <s v="Real Estate"/>
    <s v="David Reuben"/>
    <s v="United Kingdom"/>
    <s v="London"/>
    <s v="Investments, real estate"/>
    <s v="Real Estate"/>
    <b v="1"/>
    <s v="Male"/>
    <s v="Reuben"/>
    <x v="20"/>
    <n v="6500"/>
    <n v="1938"/>
    <n v="9"/>
    <n v="1"/>
    <n v="119.62"/>
    <n v="2827113184696"/>
    <n v="81.3"/>
    <n v="25.5"/>
    <n v="30.6"/>
    <n v="66834405"/>
    <d v="2025-08-13T00:00:00"/>
    <x v="352"/>
    <x v="352"/>
  </r>
  <r>
    <n v="390"/>
    <s v="Real Estate"/>
    <s v="Radovan Vitek"/>
    <s v="Switzerland"/>
    <s v="Crans Montana"/>
    <s v="Real estate"/>
    <s v="Real Estate"/>
    <b v="1"/>
    <s v="Male"/>
    <s v="Vitek"/>
    <x v="292"/>
    <n v="6500"/>
    <n v="1971"/>
    <n v="4"/>
    <n v="22"/>
    <n v="99.55"/>
    <n v="703082435360"/>
    <n v="83.6"/>
    <n v="10.1"/>
    <n v="28.8"/>
    <n v="8574832"/>
    <d v="2025-08-13T00:00:00"/>
    <x v="353"/>
    <x v="353"/>
  </r>
  <r>
    <n v="397"/>
    <s v="Finance &amp; Investments"/>
    <s v="Carl Bennet"/>
    <s v="Sweden"/>
    <s v="Gothenberg"/>
    <s v="Investments"/>
    <s v="Finance &amp; Investments"/>
    <b v="1"/>
    <s v="Male"/>
    <s v="Bennet"/>
    <x v="81"/>
    <n v="6400"/>
    <n v="1951"/>
    <n v="8"/>
    <n v="19"/>
    <n v="110.51"/>
    <n v="530832908738"/>
    <n v="82.5"/>
    <n v="27.9"/>
    <n v="49.1"/>
    <n v="10285453"/>
    <d v="2025-08-13T00:00:00"/>
    <x v="354"/>
    <x v="354"/>
  </r>
  <r>
    <n v="397"/>
    <s v="Sports"/>
    <s v="Stephen Bisciotti"/>
    <s v="United States"/>
    <s v="Hobe Sound"/>
    <s v="Staffing, Baltimore Ravens"/>
    <s v="Sports"/>
    <b v="1"/>
    <s v="Male"/>
    <s v="Bisciotti"/>
    <x v="42"/>
    <n v="6400"/>
    <n v="1960"/>
    <n v="4"/>
    <n v="10"/>
    <n v="117.24"/>
    <n v="21427700000000"/>
    <n v="78.5"/>
    <n v="9.6"/>
    <n v="36.6"/>
    <n v="328239523"/>
    <d v="2025-08-13T00:00:00"/>
    <x v="355"/>
    <x v="355"/>
  </r>
  <r>
    <n v="397"/>
    <s v="Finance &amp; Investments"/>
    <s v="Stanley Druckenmiller"/>
    <s v="United States"/>
    <s v="New York"/>
    <s v="Hedge funds"/>
    <s v="Finance &amp; Investments"/>
    <b v="1"/>
    <s v="Male"/>
    <s v="Druckenmiller"/>
    <x v="112"/>
    <n v="6400"/>
    <n v="1953"/>
    <n v="6"/>
    <n v="14"/>
    <n v="117.24"/>
    <n v="21427700000000"/>
    <n v="78.5"/>
    <n v="9.6"/>
    <n v="36.6"/>
    <n v="328239523"/>
    <d v="2025-08-13T00:00:00"/>
    <x v="356"/>
    <x v="356"/>
  </r>
  <r>
    <n v="397"/>
    <s v="Healthcare"/>
    <s v="Jian Jun"/>
    <s v="China"/>
    <s v="Beijing"/>
    <s v="Biomedical products"/>
    <s v="Healthcare"/>
    <b v="1"/>
    <s v="Female"/>
    <s v="Jian"/>
    <x v="153"/>
    <n v="6400"/>
    <n v="1963"/>
    <n v="11"/>
    <n v="1"/>
    <n v="125.08"/>
    <n v="19910000000000"/>
    <n v="77"/>
    <n v="9.4"/>
    <n v="59.2"/>
    <n v="1397715000"/>
    <d v="2025-08-13T00:00:00"/>
    <x v="357"/>
    <x v="357"/>
  </r>
  <r>
    <n v="397"/>
    <s v="Energy"/>
    <s v="Alexei Kuzmichev"/>
    <s v="France"/>
    <s v="Paris"/>
    <s v="Oil, banking, telecom"/>
    <s v="Energy"/>
    <b v="1"/>
    <s v="Male"/>
    <s v="Kuzmichev"/>
    <x v="293"/>
    <n v="6400"/>
    <n v="1962"/>
    <n v="10"/>
    <n v="15"/>
    <n v="110.05"/>
    <n v="2715518274227"/>
    <n v="82.5"/>
    <n v="24.2"/>
    <n v="60.7"/>
    <n v="67059887"/>
    <d v="2025-08-13T00:00:00"/>
    <x v="358"/>
    <x v="358"/>
  </r>
  <r>
    <n v="397"/>
    <s v="Finance &amp; Investments"/>
    <s v="Luis Carlos Sarmiento"/>
    <s v="Colombia"/>
    <s v="Bogota"/>
    <s v="Banking"/>
    <s v="Finance &amp; Investments"/>
    <b v="1"/>
    <s v="Male"/>
    <s v="Sarmiento"/>
    <x v="294"/>
    <n v="6400"/>
    <n v="1933"/>
    <n v="1"/>
    <n v="27"/>
    <n v="140.94999999999999"/>
    <n v="323802808108"/>
    <n v="77.099999999999994"/>
    <n v="14.4"/>
    <n v="71.2"/>
    <n v="50339443"/>
    <d v="2025-08-13T00:00:00"/>
    <x v="359"/>
    <x v="359"/>
  </r>
  <r>
    <n v="397"/>
    <s v="Logistics"/>
    <s v="Dennis Washington"/>
    <s v="United States"/>
    <s v="Missoula"/>
    <s v="Construction, mining"/>
    <s v="Logistics"/>
    <b v="1"/>
    <s v="Male"/>
    <s v="Washington"/>
    <x v="295"/>
    <n v="6400"/>
    <n v="1934"/>
    <n v="7"/>
    <n v="27"/>
    <n v="117.24"/>
    <n v="21427700000000"/>
    <n v="78.5"/>
    <n v="9.6"/>
    <n v="36.6"/>
    <n v="328239523"/>
    <d v="2025-08-13T00:00:00"/>
    <x v="360"/>
    <x v="360"/>
  </r>
  <r>
    <n v="405"/>
    <s v="Construction &amp; Engineering"/>
    <s v="Anthony Bamford &amp; family"/>
    <s v="United Kingdom"/>
    <s v="Gloucestershire"/>
    <s v="Construction equipment"/>
    <s v="Construction &amp; Engineering"/>
    <b v="0"/>
    <s v="Male"/>
    <s v="Bamford"/>
    <x v="124"/>
    <n v="6300"/>
    <n v="1945"/>
    <n v="10"/>
    <n v="23"/>
    <n v="119.62"/>
    <n v="2827113184696"/>
    <n v="81.3"/>
    <n v="25.5"/>
    <n v="30.6"/>
    <n v="66834405"/>
    <d v="2025-08-13T00:00:00"/>
    <x v="361"/>
    <x v="361"/>
  </r>
  <r>
    <n v="405"/>
    <s v="Energy"/>
    <s v="Gao Jifan &amp; family"/>
    <s v="China"/>
    <s v="Changzhou"/>
    <s v="Solar equipment"/>
    <s v="Energy"/>
    <b v="1"/>
    <s v="Male"/>
    <s v="Gao"/>
    <x v="296"/>
    <n v="6300"/>
    <n v="1965"/>
    <n v="1"/>
    <n v="1"/>
    <n v="125.08"/>
    <n v="19910000000000"/>
    <n v="77"/>
    <n v="9.4"/>
    <n v="59.2"/>
    <n v="1397715000"/>
    <d v="2025-08-13T00:00:00"/>
    <x v="362"/>
    <x v="362"/>
  </r>
  <r>
    <n v="405"/>
    <s v="Finance &amp; Investments"/>
    <s v="John Grayken"/>
    <s v="United Kingdom"/>
    <s v="London"/>
    <s v="Private equity"/>
    <s v="Finance &amp; Investments"/>
    <b v="1"/>
    <s v="Male"/>
    <s v="Grayken"/>
    <x v="29"/>
    <n v="6300"/>
    <n v="1956"/>
    <n v="6"/>
    <n v="1"/>
    <n v="119.62"/>
    <n v="2827113184696"/>
    <n v="81.3"/>
    <n v="25.5"/>
    <n v="30.6"/>
    <n v="66834405"/>
    <d v="2025-08-13T00:00:00"/>
    <x v="363"/>
    <x v="363"/>
  </r>
  <r>
    <n v="405"/>
    <s v="Healthcare"/>
    <s v="Alain Merieux &amp; family"/>
    <s v="France"/>
    <s v="Lyon"/>
    <s v="Pharmaceuticals"/>
    <s v="Healthcare"/>
    <b v="0"/>
    <s v="Male"/>
    <s v="Merieux"/>
    <x v="36"/>
    <n v="6300"/>
    <n v="1938"/>
    <n v="1"/>
    <n v="1"/>
    <n v="110.05"/>
    <n v="2715518274227"/>
    <n v="82.5"/>
    <n v="24.2"/>
    <n v="60.7"/>
    <n v="67059887"/>
    <d v="2025-08-13T00:00:00"/>
    <x v="364"/>
    <x v="364"/>
  </r>
  <r>
    <n v="405"/>
    <s v="Energy"/>
    <s v="Wang Yusuo &amp; family"/>
    <s v="China"/>
    <s v="Langfang"/>
    <s v="Natural gas distribution"/>
    <s v="Energy"/>
    <b v="1"/>
    <s v="Male"/>
    <s v="Wang"/>
    <x v="297"/>
    <n v="6300"/>
    <n v="1964"/>
    <n v="3"/>
    <n v="11"/>
    <n v="125.08"/>
    <n v="19910000000000"/>
    <n v="77"/>
    <n v="9.4"/>
    <n v="59.2"/>
    <n v="1397715000"/>
    <d v="2025-08-13T00:00:00"/>
    <x v="365"/>
    <x v="365"/>
  </r>
  <r>
    <n v="405"/>
    <s v="Manufacturing"/>
    <s v="Stef Wertheimer &amp; family"/>
    <s v="Israel"/>
    <s v="Tel Aviv"/>
    <s v="Metalworking tools"/>
    <s v="Manufacturing"/>
    <b v="1"/>
    <s v="Male"/>
    <s v="Wertheimer"/>
    <x v="298"/>
    <n v="6300"/>
    <n v="1926"/>
    <n v="7"/>
    <n v="16"/>
    <n v="108.15"/>
    <n v="395098666122"/>
    <n v="82.8"/>
    <n v="23.1"/>
    <n v="25.3"/>
    <n v="9053300"/>
    <d v="2025-08-13T00:00:00"/>
    <x v="366"/>
    <x v="366"/>
  </r>
  <r>
    <n v="411"/>
    <s v="Food &amp; Beverage"/>
    <s v="Maria Asuncion Aramburuzabala &amp; family"/>
    <s v="Mexico"/>
    <s v="Mexico City"/>
    <s v="Beer, investments"/>
    <s v="Food &amp; Beverage"/>
    <b v="0"/>
    <s v="Female"/>
    <s v="Aramburuzabala"/>
    <x v="299"/>
    <n v="6200"/>
    <n v="1963"/>
    <n v="5"/>
    <n v="2"/>
    <n v="141.54"/>
    <n v="1258286717125"/>
    <n v="75"/>
    <n v="13.1"/>
    <n v="55.1"/>
    <n v="126014024"/>
    <d v="2025-08-13T00:00:00"/>
    <x v="367"/>
    <x v="367"/>
  </r>
  <r>
    <n v="411"/>
    <s v="Diversified"/>
    <s v="Gustaf Douglas"/>
    <s v="Sweden"/>
    <s v="Stockholm"/>
    <s v="Investments"/>
    <s v="Diversified"/>
    <b v="1"/>
    <s v="Male"/>
    <s v="Douglas"/>
    <x v="300"/>
    <n v="6200"/>
    <n v="1938"/>
    <n v="3"/>
    <n v="3"/>
    <n v="110.51"/>
    <n v="530832908738"/>
    <n v="82.5"/>
    <n v="27.9"/>
    <n v="49.1"/>
    <n v="10285453"/>
    <d v="2025-08-13T00:00:00"/>
    <x v="368"/>
    <x v="368"/>
  </r>
  <r>
    <n v="411"/>
    <s v="Service"/>
    <s v="Frits Goldschmeding"/>
    <s v="Netherlands"/>
    <s v="Amsterdam"/>
    <s v="Temp agency"/>
    <s v="Service"/>
    <b v="1"/>
    <s v="Male"/>
    <s v="Goldschmeding"/>
    <x v="301"/>
    <n v="6200"/>
    <n v="1933"/>
    <n v="8"/>
    <n v="2"/>
    <n v="115.91"/>
    <n v="909070395161"/>
    <n v="81.8"/>
    <n v="23"/>
    <n v="41.2"/>
    <n v="17332850"/>
    <d v="2025-08-13T00:00:00"/>
    <x v="369"/>
    <x v="369"/>
  </r>
  <r>
    <n v="411"/>
    <s v="Food &amp; Beverage"/>
    <s v="Lin Muqin &amp; family"/>
    <s v="China"/>
    <s v="Shenzhen"/>
    <s v="Beverages"/>
    <s v="Food &amp; Beverage"/>
    <b v="1"/>
    <s v="Male"/>
    <s v="Lin"/>
    <x v="302"/>
    <n v="6200"/>
    <n v="1964"/>
    <n v="1"/>
    <n v="1"/>
    <n v="125.08"/>
    <n v="19910000000000"/>
    <n v="77"/>
    <n v="9.4"/>
    <n v="59.2"/>
    <n v="1397715000"/>
    <d v="2025-08-13T00:00:00"/>
    <x v="136"/>
    <x v="136"/>
  </r>
  <r>
    <n v="411"/>
    <s v="Manufacturing"/>
    <s v="Ruan Liping"/>
    <s v="China"/>
    <s v="Ningbo"/>
    <s v="Power strips"/>
    <s v="Manufacturing"/>
    <b v="1"/>
    <s v="Male"/>
    <s v="Ruan"/>
    <x v="172"/>
    <n v="6200"/>
    <n v="1964"/>
    <n v="1"/>
    <n v="1"/>
    <n v="125.08"/>
    <n v="19910000000000"/>
    <n v="77"/>
    <n v="9.4"/>
    <n v="59.2"/>
    <n v="1397715000"/>
    <d v="2025-08-13T00:00:00"/>
    <x v="136"/>
    <x v="136"/>
  </r>
  <r>
    <n v="411"/>
    <s v="Manufacturing"/>
    <s v="Ruan Xueping"/>
    <s v="China"/>
    <s v="Ningbo"/>
    <s v="Power strip"/>
    <s v="Manufacturing"/>
    <b v="1"/>
    <s v="Male"/>
    <s v="Ruan"/>
    <x v="303"/>
    <n v="6200"/>
    <n v="1972"/>
    <n v="1"/>
    <n v="1"/>
    <n v="125.08"/>
    <n v="19910000000000"/>
    <n v="77"/>
    <n v="9.4"/>
    <n v="59.2"/>
    <n v="1397715000"/>
    <d v="2025-08-13T00:00:00"/>
    <x v="144"/>
    <x v="144"/>
  </r>
  <r>
    <n v="411"/>
    <s v="Finance &amp; Investments"/>
    <s v="Michal Solowow"/>
    <s v="Poland"/>
    <s v="Kielce"/>
    <s v="Investments"/>
    <s v="Finance &amp; Investments"/>
    <b v="1"/>
    <s v="Male"/>
    <s v="Solowow"/>
    <x v="304"/>
    <n v="6200"/>
    <n v="1962"/>
    <n v="7"/>
    <n v="11"/>
    <n v="114.11"/>
    <n v="592164400688"/>
    <n v="77.599999999999994"/>
    <n v="17.399999999999999"/>
    <n v="40.799999999999997"/>
    <n v="37970874"/>
    <d v="2025-08-13T00:00:00"/>
    <x v="370"/>
    <x v="370"/>
  </r>
  <r>
    <n v="418"/>
    <s v="Diversified"/>
    <s v="Mike Adenuga"/>
    <s v="Nigeria"/>
    <s v="Lagos"/>
    <s v="Telecom, oil"/>
    <s v="Diversified"/>
    <b v="1"/>
    <s v="Male"/>
    <s v="Adenuga"/>
    <x v="135"/>
    <n v="6100"/>
    <n v="1953"/>
    <n v="4"/>
    <n v="29"/>
    <n v="267.51"/>
    <n v="448120428859"/>
    <n v="54.3"/>
    <n v="1.5"/>
    <n v="34.799999999999997"/>
    <n v="200963599"/>
    <d v="2025-08-13T00:00:00"/>
    <x v="371"/>
    <x v="371"/>
  </r>
  <r>
    <n v="418"/>
    <s v="Finance &amp; Investments"/>
    <s v="Tom Gores"/>
    <s v="United States"/>
    <s v="Beverly Hills"/>
    <s v="Private equity"/>
    <s v="Finance &amp; Investments"/>
    <b v="1"/>
    <s v="Male"/>
    <s v="Gores"/>
    <x v="305"/>
    <n v="6100"/>
    <n v="1964"/>
    <n v="7"/>
    <n v="31"/>
    <n v="117.24"/>
    <n v="21427700000000"/>
    <n v="78.5"/>
    <n v="9.6"/>
    <n v="36.6"/>
    <n v="328239523"/>
    <d v="2025-08-13T00:00:00"/>
    <x v="372"/>
    <x v="372"/>
  </r>
  <r>
    <n v="418"/>
    <s v="Fashion &amp; Retail"/>
    <s v="Michael Herz"/>
    <s v="Germany"/>
    <s v="Hamburg"/>
    <s v="Coffee"/>
    <s v="Fashion &amp; Retail"/>
    <b v="0"/>
    <s v="Male"/>
    <s v="Herz"/>
    <x v="6"/>
    <n v="6100"/>
    <n v="1943"/>
    <n v="9"/>
    <n v="28"/>
    <n v="112.85"/>
    <n v="3845630030824"/>
    <n v="80.900000000000006"/>
    <n v="11.5"/>
    <n v="48.8"/>
    <n v="83132799"/>
    <d v="2025-08-13T00:00:00"/>
    <x v="373"/>
    <x v="373"/>
  </r>
  <r>
    <n v="418"/>
    <s v="Fashion &amp; Retail"/>
    <s v="Wolfgang Herz"/>
    <s v="Germany"/>
    <s v="Hamburg"/>
    <s v="Coffee"/>
    <s v="Fashion &amp; Retail"/>
    <b v="0"/>
    <s v="Male"/>
    <s v="Herz"/>
    <x v="306"/>
    <n v="6100"/>
    <n v="1951"/>
    <n v="1"/>
    <n v="1"/>
    <n v="112.85"/>
    <n v="3845630030824"/>
    <n v="80.900000000000006"/>
    <n v="11.5"/>
    <n v="48.8"/>
    <n v="83132799"/>
    <d v="2025-08-13T00:00:00"/>
    <x v="96"/>
    <x v="96"/>
  </r>
  <r>
    <n v="425"/>
    <s v="Metals &amp; Mining"/>
    <s v="Alexander Abramov"/>
    <s v="Russia"/>
    <s v="Moscow"/>
    <s v="Steel, mining"/>
    <s v="Metals &amp; Mining"/>
    <b v="1"/>
    <s v="Male"/>
    <s v="Abramov"/>
    <x v="171"/>
    <n v="6000"/>
    <n v="1959"/>
    <n v="2"/>
    <n v="20"/>
    <n v="180.75"/>
    <n v="1699876578871"/>
    <n v="72.7"/>
    <n v="11.4"/>
    <n v="46.2"/>
    <n v="144373535"/>
    <d v="2025-08-13T00:00:00"/>
    <x v="374"/>
    <x v="374"/>
  </r>
  <r>
    <n v="425"/>
    <s v="Real Estate"/>
    <s v="Neil Bluhm"/>
    <s v="United States"/>
    <s v="Chicago"/>
    <s v="Real estate"/>
    <s v="Real Estate"/>
    <b v="1"/>
    <s v="Male"/>
    <s v="Bluhm"/>
    <x v="307"/>
    <n v="6000"/>
    <n v="1938"/>
    <n v="1"/>
    <n v="12"/>
    <n v="117.24"/>
    <n v="21427700000000"/>
    <n v="78.5"/>
    <n v="9.6"/>
    <n v="36.6"/>
    <n v="328239523"/>
    <d v="2025-08-13T00:00:00"/>
    <x v="375"/>
    <x v="375"/>
  </r>
  <r>
    <n v="425"/>
    <s v="Fashion &amp; Retail"/>
    <s v="Alain Bouchard"/>
    <s v="Canada"/>
    <s v="Montreal"/>
    <s v="Convinience stores"/>
    <s v="Fashion &amp; Retail"/>
    <b v="1"/>
    <s v="Male"/>
    <s v="Bouchard"/>
    <x v="36"/>
    <n v="6000"/>
    <n v="1949"/>
    <n v="2"/>
    <n v="18"/>
    <n v="116.76"/>
    <n v="1736425629520"/>
    <n v="81.900000000000006"/>
    <n v="12.8"/>
    <n v="24.5"/>
    <n v="36991981"/>
    <d v="2025-08-13T00:00:00"/>
    <x v="376"/>
    <x v="376"/>
  </r>
  <r>
    <n v="425"/>
    <s v="Technology"/>
    <s v="Jay Chaudhry"/>
    <s v="United States"/>
    <s v="Reno"/>
    <s v="Security software"/>
    <s v="Technology"/>
    <b v="1"/>
    <s v="Male"/>
    <s v="Chaudhry"/>
    <x v="308"/>
    <n v="6000"/>
    <n v="1959"/>
    <n v="8"/>
    <n v="26"/>
    <n v="117.24"/>
    <n v="21427700000000"/>
    <n v="78.5"/>
    <n v="9.6"/>
    <n v="36.6"/>
    <n v="328239523"/>
    <d v="2025-08-13T00:00:00"/>
    <x v="377"/>
    <x v="377"/>
  </r>
  <r>
    <n v="425"/>
    <s v="Fashion &amp; Retail"/>
    <s v="Gopikishan Damani"/>
    <s v="India"/>
    <s v="Mumbai"/>
    <s v="Retail, investments"/>
    <s v="Fashion &amp; Retail"/>
    <b v="1"/>
    <s v="Male"/>
    <s v="Damani"/>
    <x v="309"/>
    <n v="6000"/>
    <n v="1958"/>
    <n v="1"/>
    <n v="1"/>
    <n v="180.44"/>
    <n v="2611000000000"/>
    <n v="69.400000000000006"/>
    <n v="11.2"/>
    <n v="49.7"/>
    <n v="1366417754"/>
    <d v="2025-08-13T00:00:00"/>
    <x v="342"/>
    <x v="342"/>
  </r>
  <r>
    <n v="425"/>
    <s v="Diversified"/>
    <s v="Sumet Jiaravanon"/>
    <s v="Thailand"/>
    <s v="Bangkok"/>
    <s v="Diversified"/>
    <s v="Diversified"/>
    <b v="0"/>
    <s v="Male"/>
    <s v="Jiaravanon"/>
    <x v="310"/>
    <n v="6000"/>
    <n v="1934"/>
    <n v="11"/>
    <n v="2"/>
    <n v="113.27"/>
    <n v="543649976166"/>
    <n v="76.900000000000006"/>
    <n v="14.9"/>
    <n v="29.5"/>
    <n v="69625582"/>
    <d v="2025-08-13T00:00:00"/>
    <x v="378"/>
    <x v="378"/>
  </r>
  <r>
    <n v="425"/>
    <s v="Finance &amp; Investments"/>
    <s v="Frank Lowy"/>
    <s v="Israel"/>
    <s v="Tel Aviv"/>
    <s v="Investments"/>
    <s v="Finance &amp; Investments"/>
    <b v="1"/>
    <s v="Male"/>
    <s v="Lowy"/>
    <x v="311"/>
    <n v="6000"/>
    <n v="1930"/>
    <n v="10"/>
    <n v="22"/>
    <n v="108.15"/>
    <n v="395098666122"/>
    <n v="82.8"/>
    <n v="23.1"/>
    <n v="25.3"/>
    <n v="9053300"/>
    <d v="2025-08-13T00:00:00"/>
    <x v="379"/>
    <x v="379"/>
  </r>
  <r>
    <n v="425"/>
    <s v="Finance &amp; Investments"/>
    <s v="Michael Milken"/>
    <s v="United States"/>
    <s v="Los Angeles"/>
    <s v="Investments"/>
    <s v="Finance &amp; Investments"/>
    <b v="1"/>
    <s v="Male"/>
    <s v="Milken"/>
    <x v="6"/>
    <n v="6000"/>
    <n v="1946"/>
    <n v="7"/>
    <n v="4"/>
    <n v="117.24"/>
    <n v="21427700000000"/>
    <n v="78.5"/>
    <n v="9.6"/>
    <n v="36.6"/>
    <n v="328239523"/>
    <d v="2025-08-13T00:00:00"/>
    <x v="380"/>
    <x v="380"/>
  </r>
  <r>
    <n v="425"/>
    <s v="Technology"/>
    <s v="David Steward"/>
    <s v="United States"/>
    <s v="St. Louis"/>
    <s v="IT provider"/>
    <s v="Technology"/>
    <b v="1"/>
    <s v="Male"/>
    <s v="Steward"/>
    <x v="20"/>
    <n v="6000"/>
    <n v="1951"/>
    <n v="7"/>
    <n v="2"/>
    <n v="117.24"/>
    <n v="21427700000000"/>
    <n v="78.5"/>
    <n v="9.6"/>
    <n v="36.6"/>
    <n v="328239523"/>
    <d v="2025-08-13T00:00:00"/>
    <x v="381"/>
    <x v="381"/>
  </r>
  <r>
    <n v="425"/>
    <s v="Fashion &amp; Retail"/>
    <s v="Les Wexner &amp; family"/>
    <s v="United States"/>
    <s v="New Albany"/>
    <s v="Retail"/>
    <s v="Fashion &amp; Retail"/>
    <b v="1"/>
    <s v="Male"/>
    <s v="Wexner"/>
    <x v="312"/>
    <n v="6000"/>
    <n v="1937"/>
    <n v="9"/>
    <n v="8"/>
    <n v="117.24"/>
    <n v="21427700000000"/>
    <n v="78.5"/>
    <n v="9.6"/>
    <n v="36.6"/>
    <n v="328239523"/>
    <d v="2025-08-13T00:00:00"/>
    <x v="382"/>
    <x v="382"/>
  </r>
  <r>
    <n v="437"/>
    <s v="Real Estate"/>
    <s v="Cai Kui"/>
    <s v="China"/>
    <s v="Chengdu"/>
    <s v="Real estate"/>
    <s v="Real Estate"/>
    <b v="1"/>
    <s v="Male"/>
    <s v="Cai"/>
    <x v="313"/>
    <n v="5900"/>
    <n v="1963"/>
    <n v="1"/>
    <n v="1"/>
    <n v="125.08"/>
    <n v="19910000000000"/>
    <n v="77"/>
    <n v="9.4"/>
    <n v="59.2"/>
    <n v="1397715000"/>
    <d v="2025-08-13T00:00:00"/>
    <x v="383"/>
    <x v="383"/>
  </r>
  <r>
    <n v="437"/>
    <s v="Diversified"/>
    <s v="Jaran Chiaravanont"/>
    <s v="Thailand"/>
    <s v="Bangkok"/>
    <s v="Diversified"/>
    <s v="Diversified"/>
    <b v="0"/>
    <s v="Male"/>
    <s v="Chiaravanont"/>
    <x v="314"/>
    <n v="5900"/>
    <n v="1930"/>
    <n v="4"/>
    <n v="1"/>
    <n v="113.27"/>
    <n v="543649976166"/>
    <n v="76.900000000000006"/>
    <n v="14.9"/>
    <n v="29.5"/>
    <n v="69625582"/>
    <d v="2025-08-13T00:00:00"/>
    <x v="384"/>
    <x v="384"/>
  </r>
  <r>
    <n v="437"/>
    <s v="Finance &amp; Investments"/>
    <s v="Andreas Halvorsen"/>
    <s v="United States"/>
    <s v="Darien"/>
    <s v="Hedge funds"/>
    <s v="Finance &amp; Investments"/>
    <b v="1"/>
    <s v="Male"/>
    <s v="Halvorsen"/>
    <x v="120"/>
    <n v="5900"/>
    <n v="1961"/>
    <n v="4"/>
    <n v="23"/>
    <n v="117.24"/>
    <n v="21427700000000"/>
    <n v="78.5"/>
    <n v="9.6"/>
    <n v="36.6"/>
    <n v="328239523"/>
    <d v="2025-08-13T00:00:00"/>
    <x v="385"/>
    <x v="385"/>
  </r>
  <r>
    <n v="437"/>
    <s v="Finance &amp; Investments"/>
    <s v="Antony Ressler"/>
    <s v="United States"/>
    <s v="Los Angeles"/>
    <s v="Finance"/>
    <s v="Finance &amp; Investments"/>
    <b v="1"/>
    <s v="Male"/>
    <s v="Ressler"/>
    <x v="315"/>
    <n v="5900"/>
    <n v="1960"/>
    <n v="10"/>
    <n v="12"/>
    <n v="117.24"/>
    <n v="21427700000000"/>
    <n v="78.5"/>
    <n v="9.6"/>
    <n v="36.6"/>
    <n v="328239523"/>
    <d v="2025-08-13T00:00:00"/>
    <x v="386"/>
    <x v="386"/>
  </r>
  <r>
    <n v="437"/>
    <s v="Food &amp; Beverage"/>
    <s v="Tsai Eng-meng"/>
    <s v="China"/>
    <s v="Shanghai"/>
    <s v="Food, beverages"/>
    <s v="Food &amp; Beverage"/>
    <b v="0"/>
    <s v="Male"/>
    <s v="Tsai"/>
    <x v="316"/>
    <n v="5900"/>
    <n v="1957"/>
    <n v="1"/>
    <n v="15"/>
    <n v="125.08"/>
    <n v="19910000000000"/>
    <n v="77"/>
    <n v="9.4"/>
    <n v="59.2"/>
    <n v="1397715000"/>
    <d v="2025-08-13T00:00:00"/>
    <x v="387"/>
    <x v="387"/>
  </r>
  <r>
    <n v="442"/>
    <s v="Finance &amp; Investments"/>
    <s v="Josh Harris"/>
    <s v="United States"/>
    <s v="Miami"/>
    <s v="Private equity"/>
    <s v="Finance &amp; Investments"/>
    <b v="1"/>
    <s v="Male"/>
    <s v="Harris"/>
    <x v="317"/>
    <n v="5800"/>
    <n v="1964"/>
    <n v="12"/>
    <n v="29"/>
    <n v="117.24"/>
    <n v="21427700000000"/>
    <n v="78.5"/>
    <n v="9.6"/>
    <n v="36.6"/>
    <n v="328239523"/>
    <d v="2025-08-13T00:00:00"/>
    <x v="388"/>
    <x v="388"/>
  </r>
  <r>
    <n v="442"/>
    <s v="Healthcare"/>
    <s v="Niels Peter Louis-Hansen"/>
    <s v="Denmark"/>
    <s v="Humlebaek"/>
    <s v="Medical devices"/>
    <s v="Healthcare"/>
    <b v="0"/>
    <s v="Male"/>
    <s v="Louis-Hansen"/>
    <x v="318"/>
    <n v="5800"/>
    <n v="1947"/>
    <n v="10"/>
    <n v="25"/>
    <n v="110.35"/>
    <n v="348078018464"/>
    <n v="81"/>
    <n v="32.4"/>
    <n v="23.8"/>
    <n v="5818553"/>
    <d v="2025-08-13T00:00:00"/>
    <x v="389"/>
    <x v="389"/>
  </r>
  <r>
    <n v="442"/>
    <s v="Healthcare"/>
    <s v="Patrick Soon-Shiong"/>
    <s v="United States"/>
    <s v="Los Angeles"/>
    <s v="Pharmaceuticals"/>
    <s v="Healthcare"/>
    <b v="1"/>
    <s v="Male"/>
    <s v="Soon-Shiong"/>
    <x v="206"/>
    <n v="5800"/>
    <n v="1952"/>
    <n v="7"/>
    <n v="29"/>
    <n v="117.24"/>
    <n v="21427700000000"/>
    <n v="78.5"/>
    <n v="9.6"/>
    <n v="36.6"/>
    <n v="328239523"/>
    <d v="2025-08-13T00:00:00"/>
    <x v="390"/>
    <x v="390"/>
  </r>
  <r>
    <n v="445"/>
    <s v="Metals &amp; Mining"/>
    <s v="Rinat Akhmetov"/>
    <s v="Ukraine"/>
    <s v="Donetsk"/>
    <s v="Steel, coal"/>
    <s v="Metals &amp; Mining"/>
    <b v="1"/>
    <s v="Male"/>
    <s v="Akhmetov"/>
    <x v="319"/>
    <n v="5700"/>
    <n v="1966"/>
    <n v="9"/>
    <n v="21"/>
    <n v="281.66000000000003"/>
    <n v="153781069118"/>
    <n v="71.599999999999994"/>
    <n v="20.100000000000001"/>
    <n v="45.2"/>
    <n v="44385155"/>
    <d v="2025-08-13T00:00:00"/>
    <x v="391"/>
    <x v="391"/>
  </r>
  <r>
    <n v="445"/>
    <s v="Healthcare"/>
    <s v="John Brown"/>
    <s v="United States"/>
    <s v="Atlanta"/>
    <s v="Medical equipment"/>
    <s v="Healthcare"/>
    <b v="1"/>
    <s v="Male"/>
    <s v="Brown"/>
    <x v="29"/>
    <n v="5700"/>
    <n v="1934"/>
    <n v="9"/>
    <n v="15"/>
    <n v="117.24"/>
    <n v="21427700000000"/>
    <n v="78.5"/>
    <n v="9.6"/>
    <n v="36.6"/>
    <n v="328239523"/>
    <d v="2025-08-13T00:00:00"/>
    <x v="392"/>
    <x v="392"/>
  </r>
  <r>
    <n v="445"/>
    <s v="Energy"/>
    <s v="Arthur Irving"/>
    <s v="Canada"/>
    <s v="Saint John"/>
    <s v="Oil"/>
    <s v="Energy"/>
    <b v="0"/>
    <s v="Male"/>
    <s v="Irving"/>
    <x v="226"/>
    <n v="5700"/>
    <n v="1930"/>
    <n v="1"/>
    <n v="1"/>
    <n v="116.76"/>
    <n v="1736425629520"/>
    <n v="81.900000000000006"/>
    <n v="12.8"/>
    <n v="24.5"/>
    <n v="36991981"/>
    <d v="2025-08-13T00:00:00"/>
    <x v="393"/>
    <x v="393"/>
  </r>
  <r>
    <n v="445"/>
    <s v="Real Estate"/>
    <s v="Fredrik Lundberg"/>
    <s v="Sweden"/>
    <s v="Stockholm"/>
    <s v="Real estate, investments"/>
    <s v="Real Estate"/>
    <b v="0"/>
    <s v="Male"/>
    <s v="Lundberg"/>
    <x v="320"/>
    <n v="5700"/>
    <n v="1951"/>
    <n v="8"/>
    <n v="5"/>
    <n v="110.51"/>
    <n v="530832908738"/>
    <n v="82.5"/>
    <n v="27.9"/>
    <n v="49.1"/>
    <n v="10285453"/>
    <d v="2025-08-13T00:00:00"/>
    <x v="394"/>
    <x v="394"/>
  </r>
  <r>
    <n v="445"/>
    <s v="Construction &amp; Engineering"/>
    <s v="Thomas Schmidheiny"/>
    <s v="Switzerland"/>
    <s v="Jona"/>
    <s v="Cement"/>
    <s v="Construction &amp; Engineering"/>
    <b v="0"/>
    <s v="Male"/>
    <s v="Schmidheiny"/>
    <x v="49"/>
    <n v="5700"/>
    <n v="1945"/>
    <n v="12"/>
    <n v="17"/>
    <n v="99.55"/>
    <n v="703082435360"/>
    <n v="83.6"/>
    <n v="10.1"/>
    <n v="28.8"/>
    <n v="8574832"/>
    <d v="2025-08-13T00:00:00"/>
    <x v="395"/>
    <x v="395"/>
  </r>
  <r>
    <n v="445"/>
    <s v="Finance &amp; Investments"/>
    <s v="Daniel Ziff"/>
    <s v="United States"/>
    <s v="New York"/>
    <s v="Investments"/>
    <s v="Finance &amp; Investments"/>
    <b v="0"/>
    <s v="Male"/>
    <s v="Ziff"/>
    <x v="79"/>
    <n v="5700"/>
    <n v="1971"/>
    <n v="11"/>
    <n v="2"/>
    <n v="117.24"/>
    <n v="21427700000000"/>
    <n v="78.5"/>
    <n v="9.6"/>
    <n v="36.6"/>
    <n v="328239523"/>
    <d v="2025-08-13T00:00:00"/>
    <x v="396"/>
    <x v="396"/>
  </r>
  <r>
    <n v="445"/>
    <s v="Finance &amp; Investments"/>
    <s v="Dirk Ziff"/>
    <s v="United States"/>
    <s v="North Palm Beach"/>
    <s v="Investments"/>
    <s v="Finance &amp; Investments"/>
    <b v="0"/>
    <s v="Male"/>
    <s v="Ziff"/>
    <x v="321"/>
    <n v="5700"/>
    <n v="1964"/>
    <n v="4"/>
    <n v="1"/>
    <n v="117.24"/>
    <n v="21427700000000"/>
    <n v="78.5"/>
    <n v="9.6"/>
    <n v="36.6"/>
    <n v="328239523"/>
    <d v="2025-08-13T00:00:00"/>
    <x v="397"/>
    <x v="397"/>
  </r>
  <r>
    <n v="445"/>
    <s v="Finance &amp; Investments"/>
    <s v="Robert Ziff"/>
    <s v="United States"/>
    <s v="New York"/>
    <s v="Investments"/>
    <s v="Finance &amp; Investments"/>
    <b v="0"/>
    <s v="Male"/>
    <s v="Ziff"/>
    <x v="92"/>
    <n v="5700"/>
    <n v="1966"/>
    <n v="8"/>
    <n v="12"/>
    <n v="117.24"/>
    <n v="21427700000000"/>
    <n v="78.5"/>
    <n v="9.6"/>
    <n v="36.6"/>
    <n v="328239523"/>
    <d v="2025-08-13T00:00:00"/>
    <x v="398"/>
    <x v="398"/>
  </r>
  <r>
    <n v="455"/>
    <s v="Energy"/>
    <s v="Ray Lee Hunt"/>
    <s v="United States"/>
    <s v="Dallas"/>
    <s v="Oil, real estate"/>
    <s v="Energy"/>
    <b v="0"/>
    <s v="Male"/>
    <s v="Hunt"/>
    <x v="322"/>
    <n v="5600"/>
    <n v="1943"/>
    <n v="4"/>
    <n v="6"/>
    <n v="117.24"/>
    <n v="21427700000000"/>
    <n v="78.5"/>
    <n v="9.6"/>
    <n v="36.6"/>
    <n v="328239523"/>
    <d v="2025-08-13T00:00:00"/>
    <x v="399"/>
    <x v="399"/>
  </r>
  <r>
    <n v="455"/>
    <s v="Logistics"/>
    <s v="Lai Meisong"/>
    <s v="China"/>
    <s v="Shanghai"/>
    <s v="Package delivery"/>
    <s v="Logistics"/>
    <b v="1"/>
    <s v="Male"/>
    <s v="Lai"/>
    <x v="323"/>
    <n v="5600"/>
    <n v="1970"/>
    <n v="12"/>
    <n v="1"/>
    <n v="125.08"/>
    <n v="19910000000000"/>
    <n v="77"/>
    <n v="9.4"/>
    <n v="59.2"/>
    <n v="1397715000"/>
    <d v="2025-08-13T00:00:00"/>
    <x v="244"/>
    <x v="244"/>
  </r>
  <r>
    <n v="455"/>
    <s v="Automotive"/>
    <s v="Vikram Lal &amp; family"/>
    <s v="India"/>
    <s v="Delhi"/>
    <s v="Motorcycles"/>
    <s v="Automotive"/>
    <b v="0"/>
    <s v="Male"/>
    <s v="Lal"/>
    <x v="324"/>
    <n v="5600"/>
    <n v="1942"/>
    <n v="3"/>
    <n v="5"/>
    <n v="180.44"/>
    <n v="2611000000000"/>
    <n v="69.400000000000006"/>
    <n v="11.2"/>
    <n v="49.7"/>
    <n v="1366417754"/>
    <d v="2025-08-13T00:00:00"/>
    <x v="400"/>
    <x v="400"/>
  </r>
  <r>
    <n v="455"/>
    <s v="Finance &amp; Investments"/>
    <s v="Ken Langone"/>
    <s v="United States"/>
    <s v="Sands Point"/>
    <s v="Investments"/>
    <s v="Finance &amp; Investments"/>
    <b v="1"/>
    <s v="Male"/>
    <s v="Langone"/>
    <x v="32"/>
    <n v="5600"/>
    <n v="1935"/>
    <n v="9"/>
    <n v="16"/>
    <n v="117.24"/>
    <n v="21427700000000"/>
    <n v="78.5"/>
    <n v="9.6"/>
    <n v="36.6"/>
    <n v="328239523"/>
    <d v="2025-08-13T00:00:00"/>
    <x v="401"/>
    <x v="401"/>
  </r>
  <r>
    <n v="455"/>
    <s v="Healthcare"/>
    <s v="Li Ge"/>
    <s v="China"/>
    <s v="Shanghai"/>
    <s v="Pharmaceutical ingredients"/>
    <s v="Healthcare"/>
    <b v="1"/>
    <s v="Male"/>
    <s v="Li"/>
    <x v="325"/>
    <n v="5600"/>
    <n v="1967"/>
    <n v="1"/>
    <n v="1"/>
    <n v="125.08"/>
    <n v="19910000000000"/>
    <n v="77"/>
    <n v="9.4"/>
    <n v="59.2"/>
    <n v="1397715000"/>
    <d v="2025-08-13T00:00:00"/>
    <x v="106"/>
    <x v="106"/>
  </r>
  <r>
    <n v="455"/>
    <s v="Finance &amp; Investments"/>
    <s v="Karen Pritzker"/>
    <s v="United States"/>
    <s v="Branford"/>
    <s v="Hotels, investments"/>
    <s v="Finance &amp; Investments"/>
    <b v="0"/>
    <s v="Female"/>
    <s v="Pritzker"/>
    <x v="326"/>
    <n v="5600"/>
    <n v="1958"/>
    <n v="1"/>
    <n v="7"/>
    <n v="117.24"/>
    <n v="21427700000000"/>
    <n v="78.5"/>
    <n v="9.6"/>
    <n v="36.6"/>
    <n v="328239523"/>
    <d v="2025-08-13T00:00:00"/>
    <x v="402"/>
    <x v="402"/>
  </r>
  <r>
    <n v="455"/>
    <s v="Service"/>
    <s v="Robert Rowling"/>
    <s v="United States"/>
    <s v="Dallas"/>
    <s v="Hotels, investments"/>
    <s v="Service"/>
    <b v="0"/>
    <s v="Male"/>
    <s v="Rowling"/>
    <x v="92"/>
    <n v="5600"/>
    <n v="1953"/>
    <n v="9"/>
    <n v="26"/>
    <n v="117.24"/>
    <n v="21427700000000"/>
    <n v="78.5"/>
    <n v="9.6"/>
    <n v="36.6"/>
    <n v="328239523"/>
    <d v="2025-08-13T00:00:00"/>
    <x v="403"/>
    <x v="403"/>
  </r>
  <r>
    <n v="455"/>
    <s v="Gambling &amp; Casinos"/>
    <s v="Teddy Sagi"/>
    <s v="Israel"/>
    <s v="Tel Aviv"/>
    <s v="Gambling software"/>
    <s v="Gambling &amp; Casinos"/>
    <b v="1"/>
    <s v="Male"/>
    <s v="Sagi"/>
    <x v="327"/>
    <n v="5600"/>
    <n v="1971"/>
    <n v="11"/>
    <n v="1"/>
    <n v="108.15"/>
    <n v="395098666122"/>
    <n v="82.8"/>
    <n v="23.1"/>
    <n v="25.3"/>
    <n v="9053300"/>
    <d v="2025-08-13T00:00:00"/>
    <x v="404"/>
    <x v="404"/>
  </r>
  <r>
    <n v="455"/>
    <s v="Healthcare"/>
    <s v="Seo Jung-jin"/>
    <s v="South Korea"/>
    <s v="Seoul"/>
    <s v="Biotech"/>
    <s v="Healthcare"/>
    <b v="1"/>
    <s v="Male"/>
    <s v="Seo"/>
    <x v="328"/>
    <n v="5600"/>
    <n v="1957"/>
    <n v="10"/>
    <n v="23"/>
    <n v="115.16"/>
    <n v="2029000000000"/>
    <n v="82.6"/>
    <n v="15.6"/>
    <n v="33.200000000000003"/>
    <n v="51709098"/>
    <d v="2025-08-13T00:00:00"/>
    <x v="405"/>
    <x v="405"/>
  </r>
  <r>
    <n v="455"/>
    <s v="Automotive"/>
    <s v="Wu Jianshu"/>
    <s v="China"/>
    <s v="Ningbo"/>
    <s v="Auto parts"/>
    <s v="Automotive"/>
    <b v="1"/>
    <s v="Male"/>
    <s v="Wu"/>
    <x v="329"/>
    <n v="5600"/>
    <n v="1964"/>
    <n v="1"/>
    <n v="1"/>
    <n v="125.08"/>
    <n v="19910000000000"/>
    <n v="77"/>
    <n v="9.4"/>
    <n v="59.2"/>
    <n v="1397715000"/>
    <d v="2025-08-13T00:00:00"/>
    <x v="136"/>
    <x v="136"/>
  </r>
  <r>
    <n v="466"/>
    <s v="Service"/>
    <s v="Micky Arison"/>
    <s v="United States"/>
    <s v="Bal Harbour"/>
    <s v="Carnival Cruises"/>
    <s v="Service"/>
    <b v="0"/>
    <s v="Male"/>
    <s v="Arison"/>
    <x v="330"/>
    <n v="5500"/>
    <n v="1949"/>
    <n v="6"/>
    <n v="29"/>
    <n v="117.24"/>
    <n v="21427700000000"/>
    <n v="78.5"/>
    <n v="9.6"/>
    <n v="36.6"/>
    <n v="328239523"/>
    <d v="2025-08-13T00:00:00"/>
    <x v="406"/>
    <x v="406"/>
  </r>
  <r>
    <n v="466"/>
    <s v="Media &amp; Entertainment"/>
    <s v="James Chambers"/>
    <s v="United States"/>
    <s v="Palisades"/>
    <s v="Media, automotive"/>
    <s v="Media &amp; Entertainment"/>
    <b v="0"/>
    <s v="Male"/>
    <s v="Chambers"/>
    <x v="58"/>
    <n v="5500"/>
    <n v="1957"/>
    <n v="4"/>
    <n v="12"/>
    <n v="117.24"/>
    <n v="21427700000000"/>
    <n v="78.5"/>
    <n v="9.6"/>
    <n v="36.6"/>
    <n v="328239523"/>
    <d v="2025-08-13T00:00:00"/>
    <x v="407"/>
    <x v="407"/>
  </r>
  <r>
    <n v="466"/>
    <s v="Technology"/>
    <s v="John Collison"/>
    <s v="United States"/>
    <s v="San Francisco"/>
    <s v="Payments software"/>
    <s v="Technology"/>
    <b v="1"/>
    <s v="Male"/>
    <s v="Collison"/>
    <x v="29"/>
    <n v="5500"/>
    <n v="1990"/>
    <n v="8"/>
    <n v="6"/>
    <n v="117.24"/>
    <n v="21427700000000"/>
    <n v="78.5"/>
    <n v="9.6"/>
    <n v="36.6"/>
    <n v="328239523"/>
    <d v="2025-08-13T00:00:00"/>
    <x v="408"/>
    <x v="408"/>
  </r>
  <r>
    <n v="466"/>
    <s v="Technology"/>
    <s v="Patrick Collison"/>
    <s v="United States"/>
    <s v="San Francisco"/>
    <s v="Payment software"/>
    <s v="Technology"/>
    <b v="1"/>
    <s v="Male"/>
    <s v="Collison"/>
    <x v="206"/>
    <n v="5500"/>
    <n v="1988"/>
    <n v="9"/>
    <n v="9"/>
    <n v="117.24"/>
    <n v="21427700000000"/>
    <n v="78.5"/>
    <n v="9.6"/>
    <n v="36.6"/>
    <n v="328239523"/>
    <d v="2025-08-13T00:00:00"/>
    <x v="409"/>
    <x v="409"/>
  </r>
  <r>
    <n v="466"/>
    <s v="Manufacturing"/>
    <s v="Archie Aldis Emmerson &amp; family"/>
    <s v="United States"/>
    <s v="Redding"/>
    <s v="Timberland, lumber mills"/>
    <s v="Manufacturing"/>
    <b v="1"/>
    <s v="Male"/>
    <s v="Emmerson"/>
    <x v="331"/>
    <n v="5500"/>
    <n v="1929"/>
    <n v="4"/>
    <n v="10"/>
    <n v="117.24"/>
    <n v="21427700000000"/>
    <n v="78.5"/>
    <n v="9.6"/>
    <n v="36.6"/>
    <n v="328239523"/>
    <d v="2025-08-13T00:00:00"/>
    <x v="410"/>
    <x v="410"/>
  </r>
  <r>
    <n v="466"/>
    <s v="Automotive"/>
    <s v="Piero Ferrari"/>
    <s v="Italy"/>
    <s v="Modena"/>
    <s v="Automobiles"/>
    <s v="Automotive"/>
    <b v="0"/>
    <s v="Male"/>
    <s v="Ferrari"/>
    <x v="332"/>
    <n v="5500"/>
    <n v="1945"/>
    <n v="5"/>
    <n v="22"/>
    <n v="110.62"/>
    <n v="2001244392042"/>
    <n v="82.9"/>
    <n v="24.3"/>
    <n v="59.1"/>
    <n v="60297396"/>
    <d v="2025-08-13T00:00:00"/>
    <x v="411"/>
    <x v="411"/>
  </r>
  <r>
    <n v="466"/>
    <s v="Automotive"/>
    <s v="Dan Friedkin"/>
    <s v="United States"/>
    <s v="Houston"/>
    <s v="Toyota dealerships"/>
    <s v="Automotive"/>
    <b v="0"/>
    <s v="Male"/>
    <s v="Friedkin"/>
    <x v="286"/>
    <n v="5500"/>
    <n v="1965"/>
    <n v="2"/>
    <n v="27"/>
    <n v="117.24"/>
    <n v="21427700000000"/>
    <n v="78.5"/>
    <n v="9.6"/>
    <n v="36.6"/>
    <n v="328239523"/>
    <d v="2025-08-13T00:00:00"/>
    <x v="412"/>
    <x v="412"/>
  </r>
  <r>
    <n v="466"/>
    <s v="Diversified"/>
    <s v="James Irving"/>
    <s v="Canada"/>
    <s v="Saint John"/>
    <s v="Diversified"/>
    <s v="Diversified"/>
    <b v="0"/>
    <s v="Male"/>
    <s v="Irving"/>
    <x v="58"/>
    <n v="5500"/>
    <n v="1928"/>
    <n v="3"/>
    <n v="20"/>
    <n v="116.76"/>
    <n v="1736425629520"/>
    <n v="81.900000000000006"/>
    <n v="12.8"/>
    <n v="24.5"/>
    <n v="36991981"/>
    <d v="2025-08-13T00:00:00"/>
    <x v="413"/>
    <x v="413"/>
  </r>
  <r>
    <n v="466"/>
    <s v="Manufacturing"/>
    <s v="Jiang Weiping &amp; family"/>
    <s v="China"/>
    <s v="Chengdu"/>
    <s v="Chemicals"/>
    <s v="Manufacturing"/>
    <b v="1"/>
    <s v="Male"/>
    <s v="Jiang"/>
    <x v="333"/>
    <n v="5500"/>
    <n v="1955"/>
    <n v="3"/>
    <n v="1"/>
    <n v="125.08"/>
    <n v="19910000000000"/>
    <n v="77"/>
    <n v="9.4"/>
    <n v="59.2"/>
    <n v="1397715000"/>
    <d v="2025-08-13T00:00:00"/>
    <x v="414"/>
    <x v="414"/>
  </r>
  <r>
    <n v="466"/>
    <s v="Healthcare"/>
    <s v="Wolfgang Marguerre &amp; family"/>
    <s v="Germany"/>
    <s v="Heidelberg"/>
    <s v="Pharmaceuticals"/>
    <s v="Healthcare"/>
    <b v="1"/>
    <s v="Male"/>
    <s v="Marguerre"/>
    <x v="306"/>
    <n v="5500"/>
    <n v="1941"/>
    <n v="6"/>
    <n v="4"/>
    <n v="112.85"/>
    <n v="3845630030824"/>
    <n v="80.900000000000006"/>
    <n v="11.5"/>
    <n v="48.8"/>
    <n v="83132799"/>
    <d v="2025-08-13T00:00:00"/>
    <x v="415"/>
    <x v="415"/>
  </r>
  <r>
    <n v="466"/>
    <s v="Finance &amp; Investments"/>
    <s v="Ludwig Merckle"/>
    <s v="Germany"/>
    <s v="Ulm"/>
    <s v="Pharmaceuticals"/>
    <s v="Finance &amp; Investments"/>
    <b v="0"/>
    <s v="Male"/>
    <s v="Merckle"/>
    <x v="334"/>
    <n v="5500"/>
    <n v="1965"/>
    <n v="1"/>
    <n v="1"/>
    <n v="112.85"/>
    <n v="3845630030824"/>
    <n v="80.900000000000006"/>
    <n v="11.5"/>
    <n v="48.8"/>
    <n v="83132799"/>
    <d v="2025-08-13T00:00:00"/>
    <x v="362"/>
    <x v="362"/>
  </r>
  <r>
    <n v="466"/>
    <s v="Manufacturing"/>
    <s v="Mitchell Rales"/>
    <s v="United States"/>
    <s v="Potomac"/>
    <s v="Manufacturing, investments"/>
    <s v="Manufacturing"/>
    <b v="1"/>
    <s v="Male"/>
    <s v="Rales"/>
    <x v="335"/>
    <n v="5500"/>
    <n v="1956"/>
    <n v="8"/>
    <n v="21"/>
    <n v="117.24"/>
    <n v="21427700000000"/>
    <n v="78.5"/>
    <n v="9.6"/>
    <n v="36.6"/>
    <n v="328239523"/>
    <d v="2025-08-13T00:00:00"/>
    <x v="416"/>
    <x v="416"/>
  </r>
  <r>
    <n v="466"/>
    <s v="Media &amp; Entertainment"/>
    <s v="Katharine Rayner"/>
    <s v="United States"/>
    <s v="East Hampton"/>
    <s v="Media, automotive"/>
    <s v="Media &amp; Entertainment"/>
    <b v="0"/>
    <s v="Female"/>
    <s v="Rayner"/>
    <x v="336"/>
    <n v="5500"/>
    <n v="1945"/>
    <n v="1"/>
    <n v="12"/>
    <n v="117.24"/>
    <n v="21427700000000"/>
    <n v="78.5"/>
    <n v="9.6"/>
    <n v="36.6"/>
    <n v="328239523"/>
    <d v="2025-08-13T00:00:00"/>
    <x v="417"/>
    <x v="417"/>
  </r>
  <r>
    <n v="466"/>
    <s v="Finance &amp; Investments"/>
    <s v="Paul Singer"/>
    <s v="United States"/>
    <s v="New York"/>
    <s v="Hedge funds"/>
    <s v="Finance &amp; Investments"/>
    <b v="1"/>
    <s v="Male"/>
    <s v="Singer"/>
    <x v="337"/>
    <n v="5500"/>
    <n v="1944"/>
    <n v="8"/>
    <n v="22"/>
    <n v="117.24"/>
    <n v="21427700000000"/>
    <n v="78.5"/>
    <n v="9.6"/>
    <n v="36.6"/>
    <n v="328239523"/>
    <d v="2025-08-13T00:00:00"/>
    <x v="418"/>
    <x v="418"/>
  </r>
  <r>
    <n v="466"/>
    <s v="Healthcare"/>
    <s v="Sergio Stevanato &amp; family"/>
    <s v="Italy"/>
    <s v="Venice"/>
    <s v="Medical packaging"/>
    <s v="Healthcare"/>
    <b v="1"/>
    <s v="Male"/>
    <s v="Stevanato"/>
    <x v="338"/>
    <n v="5500"/>
    <n v="1943"/>
    <n v="3"/>
    <n v="20"/>
    <n v="110.62"/>
    <n v="2001244392042"/>
    <n v="82.9"/>
    <n v="24.3"/>
    <n v="59.1"/>
    <n v="60297396"/>
    <d v="2025-08-13T00:00:00"/>
    <x v="419"/>
    <x v="419"/>
  </r>
  <r>
    <n v="466"/>
    <s v="Media &amp; Entertainment"/>
    <s v="Margaretta Taylor"/>
    <s v="United States"/>
    <s v="Southampton"/>
    <s v="Media, automotive"/>
    <s v="Media &amp; Entertainment"/>
    <b v="0"/>
    <s v="Female"/>
    <s v="Taylor"/>
    <x v="339"/>
    <n v="5500"/>
    <n v="1942"/>
    <n v="4"/>
    <n v="15"/>
    <n v="117.24"/>
    <n v="21427700000000"/>
    <n v="78.5"/>
    <n v="9.6"/>
    <n v="36.6"/>
    <n v="328239523"/>
    <d v="2025-08-13T00:00:00"/>
    <x v="420"/>
    <x v="420"/>
  </r>
  <r>
    <n v="466"/>
    <s v="Technology"/>
    <s v="Richard White"/>
    <s v="Australia"/>
    <s v="Sydney"/>
    <s v="Software"/>
    <s v="Technology"/>
    <b v="1"/>
    <s v="Male"/>
    <s v="White"/>
    <x v="177"/>
    <n v="5500"/>
    <n v="1955"/>
    <n v="4"/>
    <n v="1"/>
    <n v="119.8"/>
    <n v="1392680589329"/>
    <n v="82.7"/>
    <n v="23"/>
    <n v="47.4"/>
    <n v="25766605"/>
    <d v="2025-08-13T00:00:00"/>
    <x v="421"/>
    <x v="421"/>
  </r>
  <r>
    <n v="466"/>
    <s v="Diversified"/>
    <s v="Zhao Yan"/>
    <s v="China"/>
    <s v="Beijing"/>
    <s v="Biotech"/>
    <s v="Diversified"/>
    <b v="1"/>
    <s v="Female"/>
    <s v="Zhao"/>
    <x v="340"/>
    <n v="5500"/>
    <n v="1967"/>
    <n v="1"/>
    <n v="1"/>
    <n v="125.08"/>
    <n v="19910000000000"/>
    <n v="77"/>
    <n v="9.4"/>
    <n v="59.2"/>
    <n v="1397715000"/>
    <d v="2025-08-13T00:00:00"/>
    <x v="106"/>
    <x v="106"/>
  </r>
  <r>
    <n v="486"/>
    <s v="Fashion &amp; Retail"/>
    <s v="Patrizio Bertelli"/>
    <s v="Italy"/>
    <s v="Milan"/>
    <s v="Luxury goods"/>
    <s v="Fashion &amp; Retail"/>
    <b v="1"/>
    <s v="Male"/>
    <s v="Bertelli"/>
    <x v="341"/>
    <n v="5400"/>
    <n v="1946"/>
    <n v="1"/>
    <n v="1"/>
    <n v="110.62"/>
    <n v="2001244392042"/>
    <n v="82.9"/>
    <n v="24.3"/>
    <n v="59.1"/>
    <n v="60297396"/>
    <d v="2025-08-13T00:00:00"/>
    <x v="224"/>
    <x v="224"/>
  </r>
  <r>
    <n v="486"/>
    <s v="Manufacturing"/>
    <s v="Mahendra Choksi &amp; family"/>
    <s v="India"/>
    <s v="Mumbai"/>
    <s v="Paints"/>
    <s v="Manufacturing"/>
    <b v="0"/>
    <s v="Male"/>
    <s v="Choksi"/>
    <x v="342"/>
    <n v="5400"/>
    <n v="1941"/>
    <n v="4"/>
    <n v="19"/>
    <n v="180.44"/>
    <n v="2611000000000"/>
    <n v="69.400000000000006"/>
    <n v="11.2"/>
    <n v="49.7"/>
    <n v="1366417754"/>
    <d v="2025-08-13T00:00:00"/>
    <x v="422"/>
    <x v="422"/>
  </r>
  <r>
    <n v="486"/>
    <s v="Finance &amp; Investments"/>
    <s v="Mat Ishbia"/>
    <s v="United States"/>
    <s v="Bloomfield Hills"/>
    <s v="Mortgage lender"/>
    <s v="Finance &amp; Investments"/>
    <b v="0"/>
    <s v="Male"/>
    <s v="Ishbia"/>
    <x v="343"/>
    <n v="5400"/>
    <n v="1980"/>
    <n v="1"/>
    <n v="6"/>
    <n v="117.24"/>
    <n v="21427700000000"/>
    <n v="78.5"/>
    <n v="9.6"/>
    <n v="36.6"/>
    <n v="328239523"/>
    <d v="2025-08-13T00:00:00"/>
    <x v="423"/>
    <x v="423"/>
  </r>
  <r>
    <n v="486"/>
    <s v="Technology"/>
    <s v="Leo Koguan"/>
    <s v="Singapore"/>
    <s v="Singapore"/>
    <s v="IT provider"/>
    <s v="Technology"/>
    <b v="1"/>
    <s v="Male"/>
    <s v="Koguan"/>
    <x v="344"/>
    <n v="5400"/>
    <n v="1955"/>
    <n v="2"/>
    <n v="15"/>
    <n v="114.41"/>
    <n v="372062527489"/>
    <n v="83.1"/>
    <n v="13.1"/>
    <n v="21"/>
    <n v="5703569"/>
    <d v="2025-08-13T00:00:00"/>
    <x v="424"/>
    <x v="424"/>
  </r>
  <r>
    <n v="486"/>
    <s v="Diversified"/>
    <s v="Miao Hangen"/>
    <s v="China"/>
    <s v="Suzhou"/>
    <s v="Textiles, petrochemicals"/>
    <s v="Diversified"/>
    <b v="1"/>
    <s v="Male"/>
    <s v="Miao"/>
    <x v="345"/>
    <n v="5400"/>
    <n v="1965"/>
    <n v="1"/>
    <n v="1"/>
    <n v="125.08"/>
    <n v="19910000000000"/>
    <n v="77"/>
    <n v="9.4"/>
    <n v="59.2"/>
    <n v="1397715000"/>
    <d v="2025-08-13T00:00:00"/>
    <x v="362"/>
    <x v="362"/>
  </r>
  <r>
    <n v="486"/>
    <s v="Manufacturing"/>
    <s v="Michael Pieper"/>
    <s v="Switzerland"/>
    <s v="Lucerne"/>
    <s v="Kitchen appliances"/>
    <s v="Manufacturing"/>
    <b v="1"/>
    <s v="Male"/>
    <s v="Pieper"/>
    <x v="6"/>
    <n v="5400"/>
    <n v="1946"/>
    <n v="2"/>
    <n v="5"/>
    <n v="99.55"/>
    <n v="703082435360"/>
    <n v="83.6"/>
    <n v="10.1"/>
    <n v="28.8"/>
    <n v="8574832"/>
    <d v="2025-08-13T00:00:00"/>
    <x v="425"/>
    <x v="425"/>
  </r>
  <r>
    <n v="486"/>
    <s v="Fashion &amp; Retail"/>
    <s v="Miuccia Prada"/>
    <s v="Italy"/>
    <s v="Milan"/>
    <s v="Luxury goods"/>
    <s v="Fashion &amp; Retail"/>
    <b v="0"/>
    <s v="Female"/>
    <s v="Prada"/>
    <x v="346"/>
    <n v="5400"/>
    <n v="1949"/>
    <n v="5"/>
    <n v="10"/>
    <n v="110.62"/>
    <n v="2001244392042"/>
    <n v="82.9"/>
    <n v="24.3"/>
    <n v="59.1"/>
    <n v="60297396"/>
    <d v="2025-08-13T00:00:00"/>
    <x v="426"/>
    <x v="426"/>
  </r>
  <r>
    <n v="486"/>
    <s v="Fashion &amp; Retail"/>
    <s v="Wolfgang Reimann"/>
    <s v="Germany"/>
    <s v="Passau"/>
    <s v="Consumer goods"/>
    <s v="Fashion &amp; Retail"/>
    <b v="0"/>
    <s v="Male"/>
    <s v="Reimann"/>
    <x v="306"/>
    <n v="5400"/>
    <n v="1952"/>
    <n v="10"/>
    <n v="4"/>
    <n v="112.85"/>
    <n v="3845630030824"/>
    <n v="80.900000000000006"/>
    <n v="11.5"/>
    <n v="48.8"/>
    <n v="83132799"/>
    <d v="2025-08-13T00:00:00"/>
    <x v="427"/>
    <x v="427"/>
  </r>
  <r>
    <n v="486"/>
    <s v="Fashion &amp; Retail"/>
    <s v="Matthias Reimann-Andersen"/>
    <s v="Germany"/>
    <s v="Munich"/>
    <s v="Consumer goods"/>
    <s v="Fashion &amp; Retail"/>
    <b v="0"/>
    <s v="Male"/>
    <s v="Reimann-Andersen"/>
    <x v="347"/>
    <n v="5400"/>
    <n v="1965"/>
    <n v="3"/>
    <n v="30"/>
    <n v="112.85"/>
    <n v="3845630030824"/>
    <n v="80.900000000000006"/>
    <n v="11.5"/>
    <n v="48.8"/>
    <n v="83132799"/>
    <d v="2025-08-13T00:00:00"/>
    <x v="428"/>
    <x v="428"/>
  </r>
  <r>
    <n v="486"/>
    <s v="Fashion &amp; Retail"/>
    <s v="Stefan Reimann-Andersen"/>
    <s v="Austria"/>
    <s v="Vienna"/>
    <s v="Consumer goods"/>
    <s v="Fashion &amp; Retail"/>
    <b v="0"/>
    <s v="Male"/>
    <s v="Reimann-Andersen"/>
    <x v="51"/>
    <n v="5400"/>
    <n v="1963"/>
    <n v="7"/>
    <n v="13"/>
    <n v="118.06"/>
    <n v="446314739528"/>
    <n v="81.599999999999994"/>
    <n v="25.4"/>
    <n v="51.4"/>
    <n v="8877067"/>
    <d v="2025-08-13T00:00:00"/>
    <x v="429"/>
    <x v="429"/>
  </r>
  <r>
    <n v="486"/>
    <s v="Fashion &amp; Retail"/>
    <s v="Renate Reimann-Haas"/>
    <s v="Austria"/>
    <s v="Vienna"/>
    <s v="Consumer goods"/>
    <s v="Fashion &amp; Retail"/>
    <b v="0"/>
    <s v="Female"/>
    <s v="Reimann-Haas"/>
    <x v="348"/>
    <n v="5400"/>
    <n v="1951"/>
    <n v="10"/>
    <n v="8"/>
    <n v="118.06"/>
    <n v="446314739528"/>
    <n v="81.599999999999994"/>
    <n v="25.4"/>
    <n v="51.4"/>
    <n v="8877067"/>
    <d v="2025-08-13T00:00:00"/>
    <x v="430"/>
    <x v="430"/>
  </r>
  <r>
    <n v="497"/>
    <s v="Finance &amp; Investments"/>
    <s v="Todd Boehly"/>
    <s v="United States"/>
    <s v="Darien"/>
    <s v="Finance"/>
    <s v="Finance &amp; Investments"/>
    <b v="1"/>
    <s v="Male"/>
    <s v="Boehly"/>
    <x v="349"/>
    <n v="5300"/>
    <n v="1973"/>
    <n v="9"/>
    <n v="20"/>
    <n v="117.24"/>
    <n v="21427700000000"/>
    <n v="78.5"/>
    <n v="9.6"/>
    <n v="36.6"/>
    <n v="328239523"/>
    <d v="2025-08-13T00:00:00"/>
    <x v="431"/>
    <x v="431"/>
  </r>
  <r>
    <n v="497"/>
    <s v="Real Estate"/>
    <s v="Rick Caruso"/>
    <s v="United States"/>
    <s v="Los Angeles"/>
    <s v="Real estate"/>
    <s v="Real Estate"/>
    <b v="1"/>
    <s v="Male"/>
    <s v="Caruso"/>
    <x v="156"/>
    <n v="5300"/>
    <n v="1959"/>
    <n v="1"/>
    <n v="7"/>
    <n v="117.24"/>
    <n v="21427700000000"/>
    <n v="78.5"/>
    <n v="9.6"/>
    <n v="36.6"/>
    <n v="328239523"/>
    <d v="2025-08-13T00:00:00"/>
    <x v="432"/>
    <x v="432"/>
  </r>
  <r>
    <n v="497"/>
    <s v="Manufacturing"/>
    <s v="Ibrahim Erdemoglu"/>
    <s v="Turkey"/>
    <s v="Istanbul"/>
    <s v="Carpet"/>
    <s v="Manufacturing"/>
    <b v="1"/>
    <s v="Male"/>
    <s v="Erdemoglu"/>
    <x v="350"/>
    <n v="5300"/>
    <n v="1962"/>
    <n v="9"/>
    <n v="26"/>
    <n v="234.44"/>
    <n v="754411708203"/>
    <n v="77.400000000000006"/>
    <n v="17.899999999999999"/>
    <n v="42.3"/>
    <n v="83429615"/>
    <d v="2025-08-13T00:00:00"/>
    <x v="433"/>
    <x v="433"/>
  </r>
  <r>
    <n v="497"/>
    <s v="Finance &amp; Investments"/>
    <s v="Elizabeth Johnson"/>
    <s v="United States"/>
    <s v="Boston"/>
    <s v="Fidelity"/>
    <s v="Finance &amp; Investments"/>
    <b v="0"/>
    <s v="Female"/>
    <s v="Johnson"/>
    <x v="351"/>
    <n v="5300"/>
    <n v="1963"/>
    <n v="5"/>
    <n v="7"/>
    <n v="117.24"/>
    <n v="21427700000000"/>
    <n v="78.5"/>
    <n v="9.6"/>
    <n v="36.6"/>
    <n v="328239523"/>
    <d v="2025-08-13T00:00:00"/>
    <x v="434"/>
    <x v="434"/>
  </r>
  <r>
    <n v="497"/>
    <s v="Finance &amp; Investments"/>
    <s v="Douglas Leone"/>
    <s v="United States"/>
    <s v="Atherton"/>
    <s v="Venture capital"/>
    <s v="Finance &amp; Investments"/>
    <b v="1"/>
    <s v="Male"/>
    <s v="Leone"/>
    <x v="352"/>
    <n v="5300"/>
    <n v="1957"/>
    <n v="7"/>
    <n v="4"/>
    <n v="117.24"/>
    <n v="21427700000000"/>
    <n v="78.5"/>
    <n v="9.6"/>
    <n v="36.6"/>
    <n v="328239523"/>
    <d v="2025-08-13T00:00:00"/>
    <x v="435"/>
    <x v="435"/>
  </r>
  <r>
    <n v="497"/>
    <s v="Diversified"/>
    <s v="Prajogo Pangestu"/>
    <s v="Indonesia"/>
    <s v="Jakarta"/>
    <s v="Petrochemicals"/>
    <s v="Diversified"/>
    <b v="0"/>
    <s v="Male"/>
    <s v="Pangestu"/>
    <x v="353"/>
    <n v="5300"/>
    <n v="1944"/>
    <n v="5"/>
    <n v="13"/>
    <n v="151.18"/>
    <n v="1119190780753"/>
    <n v="71.5"/>
    <n v="10.199999999999999"/>
    <n v="30.1"/>
    <n v="270203917"/>
    <d v="2025-08-13T00:00:00"/>
    <x v="436"/>
    <x v="436"/>
  </r>
  <r>
    <n v="497"/>
    <s v="Finance &amp; Investments"/>
    <s v="Thomas Pritzker"/>
    <s v="United States"/>
    <s v="Chicago"/>
    <s v="Hotels, investments"/>
    <s v="Finance &amp; Investments"/>
    <b v="0"/>
    <s v="Male"/>
    <s v="Pritzker"/>
    <x v="49"/>
    <n v="5300"/>
    <n v="1950"/>
    <n v="6"/>
    <n v="6"/>
    <n v="117.24"/>
    <n v="21427700000000"/>
    <n v="78.5"/>
    <n v="9.6"/>
    <n v="36.6"/>
    <n v="328239523"/>
    <d v="2025-08-13T00:00:00"/>
    <x v="437"/>
    <x v="437"/>
  </r>
  <r>
    <n v="497"/>
    <s v="Food &amp; Beverage"/>
    <s v="Lynda Resnick"/>
    <s v="United States"/>
    <s v="Beverly Hills"/>
    <s v="Agriculture"/>
    <s v="Food &amp; Beverage"/>
    <b v="1"/>
    <s v="Female"/>
    <s v="Resnick"/>
    <x v="354"/>
    <n v="5300"/>
    <n v="1943"/>
    <n v="1"/>
    <n v="2"/>
    <n v="117.24"/>
    <n v="21427700000000"/>
    <n v="78.5"/>
    <n v="9.6"/>
    <n v="36.6"/>
    <n v="328239523"/>
    <d v="2025-08-13T00:00:00"/>
    <x v="438"/>
    <x v="438"/>
  </r>
  <r>
    <n v="497"/>
    <s v="Food &amp; Beverage"/>
    <s v="Stewart Resnick"/>
    <s v="United States"/>
    <s v="Beverly Hills"/>
    <s v="Agriculture"/>
    <s v="Food &amp; Beverage"/>
    <b v="1"/>
    <s v="Male"/>
    <s v="Resnick"/>
    <x v="355"/>
    <n v="5300"/>
    <n v="1936"/>
    <n v="12"/>
    <n v="24"/>
    <n v="117.24"/>
    <n v="21427700000000"/>
    <n v="78.5"/>
    <n v="9.6"/>
    <n v="36.6"/>
    <n v="328239523"/>
    <d v="2025-08-13T00:00:00"/>
    <x v="439"/>
    <x v="439"/>
  </r>
  <r>
    <n v="497"/>
    <s v="Service"/>
    <s v="Gary Rollins"/>
    <s v="United States"/>
    <s v="Atlanta"/>
    <s v="Pest control"/>
    <s v="Service"/>
    <b v="0"/>
    <s v="Male"/>
    <s v="Rollins"/>
    <x v="356"/>
    <n v="5300"/>
    <n v="1944"/>
    <n v="8"/>
    <n v="30"/>
    <n v="117.24"/>
    <n v="21427700000000"/>
    <n v="78.5"/>
    <n v="9.6"/>
    <n v="36.6"/>
    <n v="328239523"/>
    <d v="2025-08-13T00:00:00"/>
    <x v="440"/>
    <x v="440"/>
  </r>
  <r>
    <n v="497"/>
    <s v="Finance &amp; Investments"/>
    <s v="Mark Walter"/>
    <s v="United States"/>
    <s v="Chicago"/>
    <s v="Finance, asset management"/>
    <s v="Finance &amp; Investments"/>
    <b v="1"/>
    <s v="Male"/>
    <s v="Walter"/>
    <x v="14"/>
    <n v="5300"/>
    <n v="1960"/>
    <n v="5"/>
    <n v="22"/>
    <n v="117.24"/>
    <n v="21427700000000"/>
    <n v="78.5"/>
    <n v="9.6"/>
    <n v="36.6"/>
    <n v="328239523"/>
    <d v="2025-08-13T00:00:00"/>
    <x v="441"/>
    <x v="441"/>
  </r>
  <r>
    <n v="497"/>
    <s v="Manufacturing"/>
    <s v="Ronald Wanek"/>
    <s v="United States"/>
    <s v="Saint Petersburg"/>
    <s v="Furniture"/>
    <s v="Manufacturing"/>
    <b v="1"/>
    <s v="Male"/>
    <s v="Wanek"/>
    <x v="357"/>
    <n v="5300"/>
    <n v="1941"/>
    <n v="5"/>
    <n v="19"/>
    <n v="117.24"/>
    <n v="21427700000000"/>
    <n v="78.5"/>
    <n v="9.6"/>
    <n v="36.6"/>
    <n v="328239523"/>
    <d v="2025-08-13T00:00:00"/>
    <x v="442"/>
    <x v="442"/>
  </r>
  <r>
    <n v="497"/>
    <s v="Food &amp; Beverage"/>
    <s v="Erich Wesjohann &amp; family"/>
    <s v="Germany"/>
    <s v="Visbek"/>
    <s v="Poultry genetics"/>
    <s v="Food &amp; Beverage"/>
    <b v="1"/>
    <s v="Male"/>
    <s v="Wesjohann"/>
    <x v="358"/>
    <n v="5300"/>
    <n v="1945"/>
    <n v="6"/>
    <n v="2"/>
    <n v="112.85"/>
    <n v="3845630030824"/>
    <n v="80.900000000000006"/>
    <n v="11.5"/>
    <n v="48.8"/>
    <n v="83132799"/>
    <d v="2025-08-13T00:00:00"/>
    <x v="443"/>
    <x v="443"/>
  </r>
  <r>
    <n v="497"/>
    <s v="Fashion &amp; Retail"/>
    <s v="M.A. Yusuff Ali"/>
    <s v="United Arab Emirates"/>
    <s v="Abu Dhabi"/>
    <s v="Retail"/>
    <s v="Fashion &amp; Retail"/>
    <b v="1"/>
    <s v="Male"/>
    <s v="Yusuff Ali"/>
    <x v="359"/>
    <n v="5300"/>
    <n v="1955"/>
    <n v="11"/>
    <n v="15"/>
    <n v="114.52"/>
    <n v="421142267938"/>
    <n v="77.8"/>
    <n v="0.1"/>
    <n v="15.9"/>
    <n v="9770529"/>
    <d v="2025-08-13T00:00:00"/>
    <x v="444"/>
    <x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numFmtId="14" showAll="0"/>
    <pivotField numFmtId="14" showAll="0"/>
    <pivotField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7:B2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numFmtId="14" showAll="0"/>
    <pivotField numFmtId="14" showAll="0">
      <items count="446">
        <item x="366"/>
        <item x="113"/>
        <item x="413"/>
        <item x="185"/>
        <item x="323"/>
        <item x="297"/>
        <item x="410"/>
        <item x="239"/>
        <item x="148"/>
        <item x="393"/>
        <item x="351"/>
        <item x="384"/>
        <item x="339"/>
        <item x="4"/>
        <item x="379"/>
        <item x="95"/>
        <item x="280"/>
        <item x="229"/>
        <item x="93"/>
        <item x="359"/>
        <item x="124"/>
        <item x="74"/>
        <item x="369"/>
        <item x="263"/>
        <item x="310"/>
        <item x="142"/>
        <item x="360"/>
        <item x="392"/>
        <item x="378"/>
        <item x="44"/>
        <item x="401"/>
        <item x="31"/>
        <item x="16"/>
        <item x="309"/>
        <item x="91"/>
        <item x="12"/>
        <item x="27"/>
        <item x="317"/>
        <item x="439"/>
        <item x="240"/>
        <item x="28"/>
        <item x="146"/>
        <item x="195"/>
        <item x="382"/>
        <item x="364"/>
        <item x="375"/>
        <item x="270"/>
        <item x="24"/>
        <item x="368"/>
        <item x="164"/>
        <item x="267"/>
        <item x="46"/>
        <item x="78"/>
        <item x="352"/>
        <item x="337"/>
        <item x="107"/>
        <item x="338"/>
        <item x="102"/>
        <item x="26"/>
        <item x="63"/>
        <item x="30"/>
        <item x="303"/>
        <item x="145"/>
        <item x="94"/>
        <item x="7"/>
        <item x="133"/>
        <item x="41"/>
        <item x="156"/>
        <item x="58"/>
        <item x="193"/>
        <item x="422"/>
        <item x="65"/>
        <item x="442"/>
        <item x="415"/>
        <item x="149"/>
        <item x="163"/>
        <item x="108"/>
        <item x="279"/>
        <item x="6"/>
        <item x="400"/>
        <item x="420"/>
        <item x="122"/>
        <item x="61"/>
        <item x="313"/>
        <item x="269"/>
        <item x="121"/>
        <item x="302"/>
        <item x="349"/>
        <item x="62"/>
        <item x="438"/>
        <item x="274"/>
        <item x="167"/>
        <item x="256"/>
        <item x="419"/>
        <item x="399"/>
        <item x="210"/>
        <item x="287"/>
        <item x="292"/>
        <item x="191"/>
        <item x="228"/>
        <item x="373"/>
        <item x="272"/>
        <item x="214"/>
        <item x="109"/>
        <item x="436"/>
        <item x="3"/>
        <item x="418"/>
        <item x="440"/>
        <item x="54"/>
        <item x="288"/>
        <item x="19"/>
        <item x="417"/>
        <item x="118"/>
        <item x="346"/>
        <item x="42"/>
        <item x="411"/>
        <item x="443"/>
        <item x="222"/>
        <item x="75"/>
        <item x="52"/>
        <item x="301"/>
        <item x="194"/>
        <item x="291"/>
        <item x="33"/>
        <item x="361"/>
        <item x="85"/>
        <item x="395"/>
        <item x="224"/>
        <item x="425"/>
        <item x="380"/>
        <item x="175"/>
        <item x="293"/>
        <item x="47"/>
        <item x="119"/>
        <item x="189"/>
        <item x="171"/>
        <item x="126"/>
        <item x="98"/>
        <item x="389"/>
        <item x="221"/>
        <item x="331"/>
        <item x="215"/>
        <item x="225"/>
        <item x="53"/>
        <item x="165"/>
        <item x="18"/>
        <item x="39"/>
        <item x="138"/>
        <item x="158"/>
        <item x="219"/>
        <item x="166"/>
        <item x="37"/>
        <item x="161"/>
        <item x="376"/>
        <item x="0"/>
        <item x="426"/>
        <item x="406"/>
        <item x="80"/>
        <item x="20"/>
        <item x="250"/>
        <item x="216"/>
        <item x="150"/>
        <item x="135"/>
        <item x="200"/>
        <item x="92"/>
        <item x="223"/>
        <item x="143"/>
        <item x="437"/>
        <item x="89"/>
        <item x="131"/>
        <item x="77"/>
        <item x="296"/>
        <item x="329"/>
        <item x="96"/>
        <item x="40"/>
        <item x="336"/>
        <item x="197"/>
        <item x="277"/>
        <item x="245"/>
        <item x="204"/>
        <item x="381"/>
        <item x="211"/>
        <item x="394"/>
        <item x="354"/>
        <item x="258"/>
        <item x="430"/>
        <item x="340"/>
        <item x="276"/>
        <item x="308"/>
        <item x="184"/>
        <item x="202"/>
        <item x="177"/>
        <item x="390"/>
        <item x="275"/>
        <item x="178"/>
        <item x="427"/>
        <item x="87"/>
        <item x="153"/>
        <item x="64"/>
        <item x="344"/>
        <item x="371"/>
        <item x="356"/>
        <item x="232"/>
        <item x="10"/>
        <item x="139"/>
        <item x="403"/>
        <item x="130"/>
        <item x="51"/>
        <item x="306"/>
        <item x="49"/>
        <item x="343"/>
        <item x="315"/>
        <item x="110"/>
        <item x="259"/>
        <item x="271"/>
        <item x="230"/>
        <item x="213"/>
        <item x="14"/>
        <item x="286"/>
        <item x="105"/>
        <item x="260"/>
        <item x="424"/>
        <item x="414"/>
        <item x="421"/>
        <item x="99"/>
        <item x="212"/>
        <item x="70"/>
        <item x="307"/>
        <item x="217"/>
        <item x="103"/>
        <item x="116"/>
        <item x="147"/>
        <item x="5"/>
        <item x="444"/>
        <item x="264"/>
        <item x="345"/>
        <item x="101"/>
        <item x="179"/>
        <item x="9"/>
        <item x="238"/>
        <item x="67"/>
        <item x="363"/>
        <item x="90"/>
        <item x="251"/>
        <item x="416"/>
        <item x="295"/>
        <item x="183"/>
        <item x="198"/>
        <item x="387"/>
        <item x="266"/>
        <item x="233"/>
        <item x="115"/>
        <item x="407"/>
        <item x="326"/>
        <item x="8"/>
        <item x="38"/>
        <item x="21"/>
        <item x="234"/>
        <item x="435"/>
        <item x="66"/>
        <item x="86"/>
        <item x="405"/>
        <item x="285"/>
        <item x="342"/>
        <item x="402"/>
        <item x="45"/>
        <item x="176"/>
        <item x="208"/>
        <item x="432"/>
        <item x="182"/>
        <item x="374"/>
        <item x="157"/>
        <item x="125"/>
        <item x="377"/>
        <item x="347"/>
        <item x="196"/>
        <item x="283"/>
        <item x="172"/>
        <item x="355"/>
        <item x="140"/>
        <item x="441"/>
        <item x="181"/>
        <item x="227"/>
        <item x="386"/>
        <item x="268"/>
        <item x="59"/>
        <item x="278"/>
        <item x="385"/>
        <item x="261"/>
        <item x="290"/>
        <item x="325"/>
        <item x="328"/>
        <item x="226"/>
        <item x="322"/>
        <item x="294"/>
        <item x="79"/>
        <item x="69"/>
        <item x="88"/>
        <item x="17"/>
        <item x="48"/>
        <item x="111"/>
        <item x="23"/>
        <item x="370"/>
        <item x="334"/>
        <item x="155"/>
        <item x="433"/>
        <item x="358"/>
        <item x="241"/>
        <item x="123"/>
        <item x="383"/>
        <item x="73"/>
        <item x="367"/>
        <item x="434"/>
        <item x="81"/>
        <item x="429"/>
        <item x="173"/>
        <item x="357"/>
        <item x="132"/>
        <item x="281"/>
        <item x="136"/>
        <item x="2"/>
        <item x="112"/>
        <item x="316"/>
        <item x="365"/>
        <item x="397"/>
        <item x="127"/>
        <item x="242"/>
        <item x="180"/>
        <item x="372"/>
        <item x="253"/>
        <item x="350"/>
        <item x="305"/>
        <item x="60"/>
        <item x="29"/>
        <item x="312"/>
        <item x="298"/>
        <item x="160"/>
        <item x="321"/>
        <item x="327"/>
        <item x="388"/>
        <item x="362"/>
        <item x="22"/>
        <item x="412"/>
        <item x="428"/>
        <item x="235"/>
        <item x="83"/>
        <item x="141"/>
        <item x="128"/>
        <item x="117"/>
        <item x="186"/>
        <item x="76"/>
        <item x="248"/>
        <item x="84"/>
        <item x="201"/>
        <item x="151"/>
        <item x="56"/>
        <item x="398"/>
        <item x="391"/>
        <item x="190"/>
        <item x="330"/>
        <item x="106"/>
        <item x="284"/>
        <item x="254"/>
        <item x="304"/>
        <item x="114"/>
        <item x="207"/>
        <item x="97"/>
        <item x="199"/>
        <item x="335"/>
        <item x="311"/>
        <item x="318"/>
        <item x="220"/>
        <item x="170"/>
        <item x="82"/>
        <item x="100"/>
        <item x="246"/>
        <item x="314"/>
        <item x="262"/>
        <item x="247"/>
        <item x="34"/>
        <item x="257"/>
        <item x="36"/>
        <item x="236"/>
        <item x="320"/>
        <item x="174"/>
        <item x="324"/>
        <item x="252"/>
        <item x="169"/>
        <item x="57"/>
        <item x="273"/>
        <item x="68"/>
        <item x="243"/>
        <item x="72"/>
        <item x="244"/>
        <item x="209"/>
        <item x="353"/>
        <item x="1"/>
        <item x="168"/>
        <item x="50"/>
        <item x="32"/>
        <item x="404"/>
        <item x="396"/>
        <item x="144"/>
        <item x="55"/>
        <item x="137"/>
        <item x="249"/>
        <item x="282"/>
        <item x="129"/>
        <item x="11"/>
        <item x="13"/>
        <item x="431"/>
        <item x="205"/>
        <item x="218"/>
        <item x="192"/>
        <item x="203"/>
        <item x="332"/>
        <item x="348"/>
        <item x="120"/>
        <item x="152"/>
        <item x="104"/>
        <item x="333"/>
        <item x="187"/>
        <item x="154"/>
        <item x="162"/>
        <item x="423"/>
        <item x="43"/>
        <item x="255"/>
        <item x="289"/>
        <item x="265"/>
        <item x="188"/>
        <item x="231"/>
        <item x="159"/>
        <item x="300"/>
        <item x="319"/>
        <item x="341"/>
        <item x="237"/>
        <item x="25"/>
        <item x="15"/>
        <item x="206"/>
        <item x="134"/>
        <item x="299"/>
        <item x="71"/>
        <item x="409"/>
        <item x="408"/>
        <item x="35"/>
        <item t="default"/>
      </items>
    </pivotField>
    <pivotField axis="axisRow" dataField="1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Real Age " fld="23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numFmtId="14" showAll="0"/>
    <pivotField numFmtId="14" showAll="0"/>
    <pivotField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0"/>
  </rowFields>
  <rowItems count="11">
    <i>
      <x v="209"/>
    </i>
    <i>
      <x v="30"/>
    </i>
    <i>
      <x v="172"/>
    </i>
    <i>
      <x v="72"/>
    </i>
    <i>
      <x v="55"/>
    </i>
    <i>
      <x v="134"/>
    </i>
    <i>
      <x v="148"/>
    </i>
    <i>
      <x v="334"/>
    </i>
    <i>
      <x v="144"/>
    </i>
    <i>
      <x v="201"/>
    </i>
    <i t="grand">
      <x/>
    </i>
  </rowItems>
  <colItems count="1">
    <i/>
  </colItems>
  <dataFields count="1">
    <dataField name="Sum of finalWorth" fld="11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</pivotTableDefinition>
</file>

<file path=xl/tables/table1.xml><?xml version="1.0" encoding="utf-8"?>
<table xmlns="http://schemas.openxmlformats.org/spreadsheetml/2006/main" id="1" name="Table1" displayName="Table1" ref="A1:X133" totalsRowShown="0">
  <autoFilter ref="A1:X133"/>
  <tableColumns count="24">
    <tableColumn id="1" name="rank"/>
    <tableColumn id="2" name="category"/>
    <tableColumn id="3" name="personName"/>
    <tableColumn id="4" name="country"/>
    <tableColumn id="5" name="city"/>
    <tableColumn id="6" name="source"/>
    <tableColumn id="7" name="industries"/>
    <tableColumn id="8" name="selfMade"/>
    <tableColumn id="9" name="gender"/>
    <tableColumn id="10" name="lastName"/>
    <tableColumn id="11" name="firstName"/>
    <tableColumn id="12" name="finalWorth"/>
    <tableColumn id="13" name="birthYear"/>
    <tableColumn id="14" name="birthMonth"/>
    <tableColumn id="15" name="birthDay"/>
    <tableColumn id="16" name="cpi_country"/>
    <tableColumn id="17" name="gdp_country"/>
    <tableColumn id="18" name="life_expectancy_country"/>
    <tableColumn id="19" name="tax_revenue_country_country"/>
    <tableColumn id="20" name="total_tax_rate_country"/>
    <tableColumn id="21" name="population_country"/>
    <tableColumn id="22" name="Today Date" dataDxfId="1"/>
    <tableColumn id="23" name="Age" dataDxfId="0"/>
    <tableColumn id="24" name="Real Ag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82"/>
  <sheetViews>
    <sheetView zoomScale="107" workbookViewId="0"/>
  </sheetViews>
  <sheetFormatPr defaultColWidth="10.625" defaultRowHeight="15.7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B8" sqref="B8"/>
    </sheetView>
  </sheetViews>
  <sheetFormatPr defaultRowHeight="15.75"/>
  <sheetData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33"/>
  <sheetViews>
    <sheetView tabSelected="1" workbookViewId="0">
      <selection sqref="A1:X133"/>
    </sheetView>
  </sheetViews>
  <sheetFormatPr defaultRowHeight="15.75"/>
  <cols>
    <col min="2" max="2" width="9.75" customWidth="1"/>
    <col min="3" max="3" width="13" customWidth="1"/>
    <col min="7" max="7" width="10.75" customWidth="1"/>
    <col min="8" max="8" width="10.375" customWidth="1"/>
    <col min="10" max="10" width="10.5" customWidth="1"/>
    <col min="11" max="11" width="10.75" customWidth="1"/>
    <col min="12" max="12" width="11.375" customWidth="1"/>
    <col min="13" max="13" width="10.125" customWidth="1"/>
    <col min="14" max="14" width="11.75" customWidth="1"/>
    <col min="15" max="15" width="9.625" customWidth="1"/>
    <col min="16" max="16" width="12.125" customWidth="1"/>
    <col min="17" max="17" width="12.75" customWidth="1"/>
    <col min="18" max="18" width="22.5" customWidth="1"/>
    <col min="19" max="19" width="26.75" customWidth="1"/>
    <col min="20" max="20" width="21.25" customWidth="1"/>
    <col min="21" max="21" width="18.375" customWidth="1"/>
    <col min="22" max="22" width="12" customWidth="1"/>
    <col min="24" max="24" width="10.5" customWidth="1"/>
  </cols>
  <sheetData>
    <row r="1" spans="1:2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1799</v>
      </c>
      <c r="W1" t="s">
        <v>1798</v>
      </c>
      <c r="X1" t="s">
        <v>1800</v>
      </c>
    </row>
    <row r="2" spans="1:24">
      <c r="A2">
        <v>497</v>
      </c>
      <c r="B2" t="s">
        <v>21</v>
      </c>
      <c r="C2" t="s">
        <v>1792</v>
      </c>
      <c r="D2" t="s">
        <v>306</v>
      </c>
      <c r="E2" t="s">
        <v>1793</v>
      </c>
      <c r="F2" t="s">
        <v>160</v>
      </c>
      <c r="G2" t="s">
        <v>21</v>
      </c>
      <c r="H2" t="b">
        <v>1</v>
      </c>
      <c r="I2" t="s">
        <v>1797</v>
      </c>
      <c r="J2" t="s">
        <v>1794</v>
      </c>
      <c r="K2" t="s">
        <v>1795</v>
      </c>
      <c r="L2">
        <v>5300</v>
      </c>
      <c r="M2">
        <v>1955</v>
      </c>
      <c r="N2">
        <v>11</v>
      </c>
      <c r="O2">
        <v>15</v>
      </c>
      <c r="P2">
        <v>114.52</v>
      </c>
      <c r="Q2">
        <v>421142267938</v>
      </c>
      <c r="R2">
        <v>77.8</v>
      </c>
      <c r="S2">
        <v>0.1</v>
      </c>
      <c r="T2">
        <v>15.9</v>
      </c>
      <c r="U2">
        <v>9770529</v>
      </c>
      <c r="V2" s="3">
        <v>45882</v>
      </c>
      <c r="W2" s="3">
        <v>20408</v>
      </c>
      <c r="X2">
        <v>69.743338603323949</v>
      </c>
    </row>
    <row r="3" spans="1:24">
      <c r="A3">
        <v>497</v>
      </c>
      <c r="B3" t="s">
        <v>49</v>
      </c>
      <c r="C3" t="s">
        <v>1780</v>
      </c>
      <c r="D3" t="s">
        <v>32</v>
      </c>
      <c r="E3" t="s">
        <v>379</v>
      </c>
      <c r="F3" t="s">
        <v>1781</v>
      </c>
      <c r="G3" t="s">
        <v>49</v>
      </c>
      <c r="H3" t="b">
        <v>1</v>
      </c>
      <c r="I3" t="s">
        <v>1797</v>
      </c>
      <c r="J3" t="s">
        <v>1782</v>
      </c>
      <c r="K3" t="s">
        <v>114</v>
      </c>
      <c r="L3">
        <v>5300</v>
      </c>
      <c r="M3">
        <v>1960</v>
      </c>
      <c r="N3">
        <v>5</v>
      </c>
      <c r="O3">
        <v>22</v>
      </c>
      <c r="P3">
        <v>117.24</v>
      </c>
      <c r="Q3">
        <v>21427700000000</v>
      </c>
      <c r="R3">
        <v>78.5</v>
      </c>
      <c r="S3">
        <v>9.6</v>
      </c>
      <c r="T3">
        <v>36.6</v>
      </c>
      <c r="U3">
        <v>328239523</v>
      </c>
      <c r="V3" s="3">
        <v>45882</v>
      </c>
      <c r="W3" s="3">
        <v>22058</v>
      </c>
      <c r="X3">
        <v>65.225204297506949</v>
      </c>
    </row>
    <row r="4" spans="1:24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1797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>
        <v>21427700000000</v>
      </c>
      <c r="R4">
        <v>78.5</v>
      </c>
      <c r="S4">
        <v>9.6</v>
      </c>
      <c r="T4">
        <v>36.6</v>
      </c>
      <c r="U4">
        <v>328239523</v>
      </c>
      <c r="V4" s="3">
        <v>45882</v>
      </c>
      <c r="W4" s="3">
        <v>23388</v>
      </c>
      <c r="X4">
        <v>61.583855868586063</v>
      </c>
    </row>
    <row r="5" spans="1:24">
      <c r="A5">
        <v>497</v>
      </c>
      <c r="B5" t="s">
        <v>49</v>
      </c>
      <c r="C5" t="s">
        <v>1765</v>
      </c>
      <c r="D5" t="s">
        <v>32</v>
      </c>
      <c r="E5" t="s">
        <v>503</v>
      </c>
      <c r="F5" t="s">
        <v>922</v>
      </c>
      <c r="G5" t="s">
        <v>49</v>
      </c>
      <c r="H5" t="b">
        <v>1</v>
      </c>
      <c r="I5" t="s">
        <v>1797</v>
      </c>
      <c r="J5" t="s">
        <v>1766</v>
      </c>
      <c r="K5" t="s">
        <v>1508</v>
      </c>
      <c r="L5">
        <v>5300</v>
      </c>
      <c r="M5">
        <v>1957</v>
      </c>
      <c r="N5">
        <v>7</v>
      </c>
      <c r="O5">
        <v>4</v>
      </c>
      <c r="P5">
        <v>117.24</v>
      </c>
      <c r="Q5">
        <v>21427700000000</v>
      </c>
      <c r="R5">
        <v>78.5</v>
      </c>
      <c r="S5">
        <v>9.6</v>
      </c>
      <c r="T5">
        <v>36.6</v>
      </c>
      <c r="U5">
        <v>328239523</v>
      </c>
      <c r="V5" s="3">
        <v>45882</v>
      </c>
      <c r="W5" s="3">
        <v>21005</v>
      </c>
      <c r="X5">
        <v>68.110189667486708</v>
      </c>
    </row>
    <row r="6" spans="1:24">
      <c r="A6">
        <v>497</v>
      </c>
      <c r="B6" t="s">
        <v>49</v>
      </c>
      <c r="C6" t="s">
        <v>1764</v>
      </c>
      <c r="D6" t="s">
        <v>32</v>
      </c>
      <c r="E6" t="s">
        <v>1339</v>
      </c>
      <c r="F6" t="s">
        <v>371</v>
      </c>
      <c r="G6" t="s">
        <v>49</v>
      </c>
      <c r="H6" t="b">
        <v>0</v>
      </c>
      <c r="I6" t="s">
        <v>1796</v>
      </c>
      <c r="J6" t="s">
        <v>372</v>
      </c>
      <c r="K6" t="s">
        <v>874</v>
      </c>
      <c r="L6">
        <v>5300</v>
      </c>
      <c r="M6">
        <v>1963</v>
      </c>
      <c r="N6">
        <v>5</v>
      </c>
      <c r="O6">
        <v>7</v>
      </c>
      <c r="P6">
        <v>117.24</v>
      </c>
      <c r="Q6">
        <v>21427700000000</v>
      </c>
      <c r="R6">
        <v>78.5</v>
      </c>
      <c r="S6">
        <v>9.6</v>
      </c>
      <c r="T6">
        <v>36.6</v>
      </c>
      <c r="U6">
        <v>328239523</v>
      </c>
      <c r="V6" s="3">
        <v>45882</v>
      </c>
      <c r="W6" s="3">
        <v>23138</v>
      </c>
      <c r="X6">
        <v>62.26900178175655</v>
      </c>
    </row>
    <row r="7" spans="1:24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1797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>
        <v>21427700000000</v>
      </c>
      <c r="R7">
        <v>78.5</v>
      </c>
      <c r="S7">
        <v>9.6</v>
      </c>
      <c r="T7">
        <v>36.6</v>
      </c>
      <c r="U7">
        <v>328239523</v>
      </c>
      <c r="V7" s="3">
        <v>45882</v>
      </c>
      <c r="W7" s="3">
        <v>20390</v>
      </c>
      <c r="X7">
        <v>69.79261944240929</v>
      </c>
    </row>
    <row r="8" spans="1:24">
      <c r="A8">
        <v>497</v>
      </c>
      <c r="B8" t="s">
        <v>250</v>
      </c>
      <c r="C8" t="s">
        <v>1757</v>
      </c>
      <c r="D8" t="s">
        <v>1758</v>
      </c>
      <c r="E8" t="s">
        <v>1759</v>
      </c>
      <c r="F8" t="s">
        <v>1760</v>
      </c>
      <c r="G8" t="s">
        <v>250</v>
      </c>
      <c r="H8" t="b">
        <v>1</v>
      </c>
      <c r="I8" t="s">
        <v>1797</v>
      </c>
      <c r="J8" t="s">
        <v>1761</v>
      </c>
      <c r="K8" t="s">
        <v>1762</v>
      </c>
      <c r="L8">
        <v>5300</v>
      </c>
      <c r="M8">
        <v>1962</v>
      </c>
      <c r="N8">
        <v>9</v>
      </c>
      <c r="O8">
        <v>26</v>
      </c>
      <c r="P8">
        <v>234.44</v>
      </c>
      <c r="Q8">
        <v>754411708203</v>
      </c>
      <c r="R8">
        <v>77.400000000000006</v>
      </c>
      <c r="S8">
        <v>17.899999999999999</v>
      </c>
      <c r="T8">
        <v>42.3</v>
      </c>
      <c r="U8">
        <v>83429615</v>
      </c>
      <c r="V8" s="3">
        <v>45882</v>
      </c>
      <c r="W8" s="3">
        <v>22915</v>
      </c>
      <c r="X8">
        <v>62.880219028062967</v>
      </c>
    </row>
    <row r="9" spans="1:24">
      <c r="A9">
        <v>497</v>
      </c>
      <c r="B9" t="s">
        <v>462</v>
      </c>
      <c r="C9" t="s">
        <v>1755</v>
      </c>
      <c r="D9" t="s">
        <v>32</v>
      </c>
      <c r="E9" t="s">
        <v>831</v>
      </c>
      <c r="F9" t="s">
        <v>465</v>
      </c>
      <c r="G9" t="s">
        <v>462</v>
      </c>
      <c r="H9" t="b">
        <v>1</v>
      </c>
      <c r="I9" t="s">
        <v>1797</v>
      </c>
      <c r="J9" t="s">
        <v>1756</v>
      </c>
      <c r="K9" t="s">
        <v>820</v>
      </c>
      <c r="L9">
        <v>5300</v>
      </c>
      <c r="M9">
        <v>1959</v>
      </c>
      <c r="N9">
        <v>1</v>
      </c>
      <c r="O9">
        <v>7</v>
      </c>
      <c r="P9">
        <v>117.24</v>
      </c>
      <c r="Q9">
        <v>21427700000000</v>
      </c>
      <c r="R9">
        <v>78.5</v>
      </c>
      <c r="S9">
        <v>9.6</v>
      </c>
      <c r="T9">
        <v>36.6</v>
      </c>
      <c r="U9">
        <v>328239523</v>
      </c>
      <c r="V9" s="3">
        <v>45882</v>
      </c>
      <c r="W9" s="3">
        <v>21557</v>
      </c>
      <c r="X9">
        <v>66.597540045766593</v>
      </c>
    </row>
    <row r="10" spans="1:24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1797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>
        <v>2611000000000</v>
      </c>
      <c r="R10">
        <v>69.400000000000006</v>
      </c>
      <c r="S10">
        <v>11.2</v>
      </c>
      <c r="T10">
        <v>49.7</v>
      </c>
      <c r="U10">
        <v>1366417754</v>
      </c>
      <c r="V10" s="3">
        <v>45882</v>
      </c>
      <c r="W10" s="3">
        <v>20929</v>
      </c>
      <c r="X10">
        <v>68.31826839139751</v>
      </c>
    </row>
    <row r="11" spans="1:24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1797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>
        <v>21427700000000</v>
      </c>
      <c r="R11">
        <v>78.5</v>
      </c>
      <c r="S11">
        <v>9.6</v>
      </c>
      <c r="T11">
        <v>36.6</v>
      </c>
      <c r="U11">
        <v>328239523</v>
      </c>
      <c r="V11" s="3">
        <v>45882</v>
      </c>
      <c r="W11" s="3">
        <v>20538</v>
      </c>
      <c r="X11">
        <v>69.386733416770966</v>
      </c>
    </row>
    <row r="12" spans="1:24">
      <c r="A12">
        <v>486</v>
      </c>
      <c r="B12" t="s">
        <v>21</v>
      </c>
      <c r="C12" t="s">
        <v>1748</v>
      </c>
      <c r="D12" t="s">
        <v>208</v>
      </c>
      <c r="E12" t="s">
        <v>1081</v>
      </c>
      <c r="F12" t="s">
        <v>1743</v>
      </c>
      <c r="G12" t="s">
        <v>21</v>
      </c>
      <c r="H12" t="b">
        <v>0</v>
      </c>
      <c r="I12" t="s">
        <v>1797</v>
      </c>
      <c r="J12" t="s">
        <v>1746</v>
      </c>
      <c r="K12" t="s">
        <v>316</v>
      </c>
      <c r="L12">
        <v>5400</v>
      </c>
      <c r="M12">
        <v>1963</v>
      </c>
      <c r="N12">
        <v>7</v>
      </c>
      <c r="O12">
        <v>13</v>
      </c>
      <c r="P12">
        <v>118.06</v>
      </c>
      <c r="Q12">
        <v>446314739528</v>
      </c>
      <c r="R12">
        <v>81.599999999999994</v>
      </c>
      <c r="S12">
        <v>25.4</v>
      </c>
      <c r="T12">
        <v>51.4</v>
      </c>
      <c r="U12">
        <v>8877067</v>
      </c>
      <c r="V12" s="3">
        <v>45882</v>
      </c>
      <c r="W12" s="3">
        <v>23205</v>
      </c>
      <c r="X12">
        <v>62.08556777193516</v>
      </c>
    </row>
    <row r="13" spans="1:24">
      <c r="A13">
        <v>486</v>
      </c>
      <c r="B13" t="s">
        <v>21</v>
      </c>
      <c r="C13" t="s">
        <v>1745</v>
      </c>
      <c r="D13" t="s">
        <v>158</v>
      </c>
      <c r="E13" t="s">
        <v>1440</v>
      </c>
      <c r="F13" t="s">
        <v>1743</v>
      </c>
      <c r="G13" t="s">
        <v>21</v>
      </c>
      <c r="H13" t="b">
        <v>0</v>
      </c>
      <c r="I13" t="s">
        <v>1797</v>
      </c>
      <c r="J13" t="s">
        <v>1746</v>
      </c>
      <c r="K13" t="s">
        <v>1747</v>
      </c>
      <c r="L13">
        <v>5400</v>
      </c>
      <c r="M13">
        <v>1965</v>
      </c>
      <c r="N13">
        <v>3</v>
      </c>
      <c r="O13">
        <v>30</v>
      </c>
      <c r="P13">
        <v>112.85</v>
      </c>
      <c r="Q13">
        <v>3845630030824</v>
      </c>
      <c r="R13">
        <v>80.900000000000006</v>
      </c>
      <c r="S13">
        <v>11.5</v>
      </c>
      <c r="T13">
        <v>48.8</v>
      </c>
      <c r="U13">
        <v>83132799</v>
      </c>
      <c r="V13" s="3">
        <v>45882</v>
      </c>
      <c r="W13" s="3">
        <v>23831</v>
      </c>
      <c r="X13">
        <v>60.373025134649914</v>
      </c>
    </row>
    <row r="14" spans="1:24">
      <c r="A14">
        <v>486</v>
      </c>
      <c r="B14" t="s">
        <v>72</v>
      </c>
      <c r="C14" t="s">
        <v>1729</v>
      </c>
      <c r="D14" t="s">
        <v>105</v>
      </c>
      <c r="E14" t="s">
        <v>1730</v>
      </c>
      <c r="F14" t="s">
        <v>1731</v>
      </c>
      <c r="G14" t="s">
        <v>72</v>
      </c>
      <c r="H14" t="b">
        <v>1</v>
      </c>
      <c r="I14" t="s">
        <v>1797</v>
      </c>
      <c r="J14" t="s">
        <v>1732</v>
      </c>
      <c r="K14" t="s">
        <v>1733</v>
      </c>
      <c r="L14">
        <v>5400</v>
      </c>
      <c r="M14">
        <v>1965</v>
      </c>
      <c r="N14">
        <v>1</v>
      </c>
      <c r="O14">
        <v>1</v>
      </c>
      <c r="P14">
        <v>125.08</v>
      </c>
      <c r="Q14">
        <v>19910000000000</v>
      </c>
      <c r="R14">
        <v>77</v>
      </c>
      <c r="S14">
        <v>9.4</v>
      </c>
      <c r="T14">
        <v>59.2</v>
      </c>
      <c r="U14">
        <v>1397715000</v>
      </c>
      <c r="V14" s="3">
        <v>45882</v>
      </c>
      <c r="W14" s="3">
        <v>23743</v>
      </c>
      <c r="X14">
        <v>60.613958707360865</v>
      </c>
    </row>
    <row r="15" spans="1:24">
      <c r="A15">
        <v>466</v>
      </c>
      <c r="B15" t="s">
        <v>250</v>
      </c>
      <c r="C15" t="s">
        <v>1692</v>
      </c>
      <c r="D15" t="s">
        <v>32</v>
      </c>
      <c r="E15" t="s">
        <v>1693</v>
      </c>
      <c r="F15" t="s">
        <v>1171</v>
      </c>
      <c r="G15" t="s">
        <v>250</v>
      </c>
      <c r="H15" t="b">
        <v>1</v>
      </c>
      <c r="I15" t="s">
        <v>1797</v>
      </c>
      <c r="J15" t="s">
        <v>1172</v>
      </c>
      <c r="K15" t="s">
        <v>1694</v>
      </c>
      <c r="L15">
        <v>5500</v>
      </c>
      <c r="M15">
        <v>1956</v>
      </c>
      <c r="N15">
        <v>8</v>
      </c>
      <c r="O15">
        <v>21</v>
      </c>
      <c r="P15">
        <v>117.24</v>
      </c>
      <c r="Q15">
        <v>21427700000000</v>
      </c>
      <c r="R15">
        <v>78.5</v>
      </c>
      <c r="S15">
        <v>9.6</v>
      </c>
      <c r="T15">
        <v>36.6</v>
      </c>
      <c r="U15">
        <v>328239523</v>
      </c>
      <c r="V15" s="3">
        <v>45882</v>
      </c>
      <c r="W15" s="3">
        <v>20688</v>
      </c>
      <c r="X15">
        <v>68.976063829787236</v>
      </c>
    </row>
    <row r="16" spans="1:24">
      <c r="A16">
        <v>466</v>
      </c>
      <c r="B16" t="s">
        <v>49</v>
      </c>
      <c r="C16" t="s">
        <v>1688</v>
      </c>
      <c r="D16" t="s">
        <v>158</v>
      </c>
      <c r="E16" t="s">
        <v>1689</v>
      </c>
      <c r="F16" t="s">
        <v>517</v>
      </c>
      <c r="G16" t="s">
        <v>49</v>
      </c>
      <c r="H16" t="b">
        <v>0</v>
      </c>
      <c r="I16" t="s">
        <v>1797</v>
      </c>
      <c r="J16" t="s">
        <v>1690</v>
      </c>
      <c r="K16" t="s">
        <v>1691</v>
      </c>
      <c r="L16">
        <v>5500</v>
      </c>
      <c r="M16">
        <v>1965</v>
      </c>
      <c r="N16">
        <v>1</v>
      </c>
      <c r="O16">
        <v>1</v>
      </c>
      <c r="P16">
        <v>112.85</v>
      </c>
      <c r="Q16">
        <v>3845630030824</v>
      </c>
      <c r="R16">
        <v>80.900000000000006</v>
      </c>
      <c r="S16">
        <v>11.5</v>
      </c>
      <c r="T16">
        <v>48.8</v>
      </c>
      <c r="U16">
        <v>83132799</v>
      </c>
      <c r="V16" s="3">
        <v>45882</v>
      </c>
      <c r="W16" s="3">
        <v>23743</v>
      </c>
      <c r="X16">
        <v>60.613958707360865</v>
      </c>
    </row>
    <row r="17" spans="1:24">
      <c r="A17">
        <v>466</v>
      </c>
      <c r="B17" t="s">
        <v>30</v>
      </c>
      <c r="C17" t="s">
        <v>1680</v>
      </c>
      <c r="D17" t="s">
        <v>32</v>
      </c>
      <c r="E17" t="s">
        <v>742</v>
      </c>
      <c r="F17" t="s">
        <v>1681</v>
      </c>
      <c r="G17" t="s">
        <v>30</v>
      </c>
      <c r="H17" t="b">
        <v>0</v>
      </c>
      <c r="I17" t="s">
        <v>1797</v>
      </c>
      <c r="J17" t="s">
        <v>1682</v>
      </c>
      <c r="K17" t="s">
        <v>1428</v>
      </c>
      <c r="L17">
        <v>5500</v>
      </c>
      <c r="M17">
        <v>1965</v>
      </c>
      <c r="N17">
        <v>2</v>
      </c>
      <c r="O17">
        <v>27</v>
      </c>
      <c r="P17">
        <v>117.24</v>
      </c>
      <c r="Q17">
        <v>21427700000000</v>
      </c>
      <c r="R17">
        <v>78.5</v>
      </c>
      <c r="S17">
        <v>9.6</v>
      </c>
      <c r="T17">
        <v>36.6</v>
      </c>
      <c r="U17">
        <v>328239523</v>
      </c>
      <c r="V17" s="3">
        <v>45882</v>
      </c>
      <c r="W17" s="3">
        <v>23800</v>
      </c>
      <c r="X17">
        <v>60.457899461400359</v>
      </c>
    </row>
    <row r="18" spans="1:24">
      <c r="A18">
        <v>466</v>
      </c>
      <c r="B18" t="s">
        <v>59</v>
      </c>
      <c r="C18" t="s">
        <v>1663</v>
      </c>
      <c r="D18" t="s">
        <v>32</v>
      </c>
      <c r="E18" t="s">
        <v>1664</v>
      </c>
      <c r="F18" t="s">
        <v>985</v>
      </c>
      <c r="G18" t="s">
        <v>59</v>
      </c>
      <c r="H18" t="b">
        <v>0</v>
      </c>
      <c r="I18" t="s">
        <v>1797</v>
      </c>
      <c r="J18" t="s">
        <v>1665</v>
      </c>
      <c r="K18" t="s">
        <v>350</v>
      </c>
      <c r="L18">
        <v>5500</v>
      </c>
      <c r="M18">
        <v>1957</v>
      </c>
      <c r="N18">
        <v>4</v>
      </c>
      <c r="O18">
        <v>12</v>
      </c>
      <c r="P18">
        <v>117.24</v>
      </c>
      <c r="Q18">
        <v>21427700000000</v>
      </c>
      <c r="R18">
        <v>78.5</v>
      </c>
      <c r="S18">
        <v>9.6</v>
      </c>
      <c r="T18">
        <v>36.6</v>
      </c>
      <c r="U18">
        <v>328239523</v>
      </c>
      <c r="V18" s="3">
        <v>45882</v>
      </c>
      <c r="W18" s="3">
        <v>20922</v>
      </c>
      <c r="X18">
        <v>68.337433537020871</v>
      </c>
    </row>
    <row r="19" spans="1:24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1796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>
        <v>21427700000000</v>
      </c>
      <c r="R19">
        <v>78.5</v>
      </c>
      <c r="S19">
        <v>9.6</v>
      </c>
      <c r="T19">
        <v>36.6</v>
      </c>
      <c r="U19">
        <v>328239523</v>
      </c>
      <c r="V19" s="3">
        <v>45882</v>
      </c>
      <c r="W19" s="3">
        <v>22748</v>
      </c>
      <c r="X19">
        <v>63.337440109514034</v>
      </c>
    </row>
    <row r="20" spans="1:24">
      <c r="A20">
        <v>455</v>
      </c>
      <c r="B20" t="s">
        <v>30</v>
      </c>
      <c r="C20" t="s">
        <v>1656</v>
      </c>
      <c r="D20" t="s">
        <v>105</v>
      </c>
      <c r="E20" t="s">
        <v>827</v>
      </c>
      <c r="F20" t="s">
        <v>635</v>
      </c>
      <c r="G20" t="s">
        <v>30</v>
      </c>
      <c r="H20" t="b">
        <v>1</v>
      </c>
      <c r="I20" t="s">
        <v>1797</v>
      </c>
      <c r="J20" t="s">
        <v>768</v>
      </c>
      <c r="K20" t="s">
        <v>1657</v>
      </c>
      <c r="L20">
        <v>5600</v>
      </c>
      <c r="M20">
        <v>1964</v>
      </c>
      <c r="N20">
        <v>1</v>
      </c>
      <c r="O20">
        <v>1</v>
      </c>
      <c r="P20">
        <v>125.08</v>
      </c>
      <c r="Q20">
        <v>19910000000000</v>
      </c>
      <c r="R20">
        <v>77</v>
      </c>
      <c r="S20">
        <v>9.4</v>
      </c>
      <c r="T20">
        <v>59.2</v>
      </c>
      <c r="U20">
        <v>1397715000</v>
      </c>
      <c r="V20" s="3">
        <v>45882</v>
      </c>
      <c r="W20" s="3">
        <v>23377</v>
      </c>
      <c r="X20">
        <v>61.613971562306808</v>
      </c>
    </row>
    <row r="21" spans="1:24">
      <c r="A21">
        <v>455</v>
      </c>
      <c r="B21" t="s">
        <v>351</v>
      </c>
      <c r="C21" t="s">
        <v>1652</v>
      </c>
      <c r="D21" t="s">
        <v>800</v>
      </c>
      <c r="E21" t="s">
        <v>801</v>
      </c>
      <c r="F21" t="s">
        <v>1653</v>
      </c>
      <c r="G21" t="s">
        <v>351</v>
      </c>
      <c r="H21" t="b">
        <v>1</v>
      </c>
      <c r="I21" t="s">
        <v>1797</v>
      </c>
      <c r="J21" t="s">
        <v>1654</v>
      </c>
      <c r="K21" t="s">
        <v>1655</v>
      </c>
      <c r="L21">
        <v>5600</v>
      </c>
      <c r="M21">
        <v>1957</v>
      </c>
      <c r="N21">
        <v>10</v>
      </c>
      <c r="O21">
        <v>23</v>
      </c>
      <c r="P21">
        <v>115.16</v>
      </c>
      <c r="Q21">
        <v>2029000000000</v>
      </c>
      <c r="R21">
        <v>82.6</v>
      </c>
      <c r="S21">
        <v>15.6</v>
      </c>
      <c r="T21">
        <v>33.200000000000003</v>
      </c>
      <c r="U21">
        <v>51709098</v>
      </c>
      <c r="V21" s="3">
        <v>45882</v>
      </c>
      <c r="W21" s="3">
        <v>21116</v>
      </c>
      <c r="X21">
        <v>67.806285215459098</v>
      </c>
    </row>
    <row r="22" spans="1:24">
      <c r="A22">
        <v>455</v>
      </c>
      <c r="B22" t="s">
        <v>49</v>
      </c>
      <c r="C22" t="s">
        <v>1641</v>
      </c>
      <c r="D22" t="s">
        <v>32</v>
      </c>
      <c r="E22" t="s">
        <v>1642</v>
      </c>
      <c r="F22" t="s">
        <v>1643</v>
      </c>
      <c r="G22" t="s">
        <v>49</v>
      </c>
      <c r="H22" t="b">
        <v>0</v>
      </c>
      <c r="I22" t="s">
        <v>1796</v>
      </c>
      <c r="J22" t="s">
        <v>1644</v>
      </c>
      <c r="K22" t="s">
        <v>1645</v>
      </c>
      <c r="L22">
        <v>5600</v>
      </c>
      <c r="M22">
        <v>1958</v>
      </c>
      <c r="N22">
        <v>1</v>
      </c>
      <c r="O22">
        <v>7</v>
      </c>
      <c r="P22">
        <v>117.24</v>
      </c>
      <c r="Q22">
        <v>21427700000000</v>
      </c>
      <c r="R22">
        <v>78.5</v>
      </c>
      <c r="S22">
        <v>9.6</v>
      </c>
      <c r="T22">
        <v>36.6</v>
      </c>
      <c r="U22">
        <v>328239523</v>
      </c>
      <c r="V22" s="3">
        <v>45882</v>
      </c>
      <c r="W22" s="3">
        <v>21192</v>
      </c>
      <c r="X22">
        <v>67.597535934291585</v>
      </c>
    </row>
    <row r="23" spans="1:24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1797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>
        <v>1736425629520</v>
      </c>
      <c r="R23">
        <v>81.900000000000006</v>
      </c>
      <c r="S23">
        <v>12.8</v>
      </c>
      <c r="T23">
        <v>24.5</v>
      </c>
      <c r="U23">
        <v>36991981</v>
      </c>
      <c r="V23" s="3">
        <v>45882</v>
      </c>
      <c r="W23" s="3">
        <v>20983</v>
      </c>
      <c r="X23">
        <v>68.170422982302995</v>
      </c>
    </row>
    <row r="24" spans="1:24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1797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>
        <v>21427700000000</v>
      </c>
      <c r="R24">
        <v>78.5</v>
      </c>
      <c r="S24">
        <v>9.6</v>
      </c>
      <c r="T24">
        <v>36.6</v>
      </c>
      <c r="U24">
        <v>328239523</v>
      </c>
      <c r="V24" s="3">
        <v>45882</v>
      </c>
      <c r="W24" s="3">
        <v>23796</v>
      </c>
      <c r="X24">
        <v>60.468850987432674</v>
      </c>
    </row>
    <row r="25" spans="1:24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1797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>
        <v>2611000000000</v>
      </c>
      <c r="R25">
        <v>69.400000000000006</v>
      </c>
      <c r="S25">
        <v>11.2</v>
      </c>
      <c r="T25">
        <v>49.7</v>
      </c>
      <c r="U25">
        <v>1366417754</v>
      </c>
      <c r="V25" s="3">
        <v>45882</v>
      </c>
      <c r="W25" s="3">
        <v>22821</v>
      </c>
      <c r="X25">
        <v>63.137577002053391</v>
      </c>
    </row>
    <row r="26" spans="1:24">
      <c r="A26">
        <v>445</v>
      </c>
      <c r="B26" t="s">
        <v>49</v>
      </c>
      <c r="C26" t="s">
        <v>1620</v>
      </c>
      <c r="D26" t="s">
        <v>32</v>
      </c>
      <c r="E26" t="s">
        <v>1621</v>
      </c>
      <c r="F26" t="s">
        <v>264</v>
      </c>
      <c r="G26" t="s">
        <v>49</v>
      </c>
      <c r="H26" t="b">
        <v>0</v>
      </c>
      <c r="I26" t="s">
        <v>1797</v>
      </c>
      <c r="J26" t="s">
        <v>1619</v>
      </c>
      <c r="K26" t="s">
        <v>1622</v>
      </c>
      <c r="L26">
        <v>5700</v>
      </c>
      <c r="M26">
        <v>1964</v>
      </c>
      <c r="N26">
        <v>4</v>
      </c>
      <c r="O26">
        <v>1</v>
      </c>
      <c r="P26">
        <v>117.24</v>
      </c>
      <c r="Q26">
        <v>21427700000000</v>
      </c>
      <c r="R26">
        <v>78.5</v>
      </c>
      <c r="S26">
        <v>9.6</v>
      </c>
      <c r="T26">
        <v>36.6</v>
      </c>
      <c r="U26">
        <v>328239523</v>
      </c>
      <c r="V26" s="3">
        <v>45882</v>
      </c>
      <c r="W26" s="3">
        <v>23468</v>
      </c>
      <c r="X26">
        <v>61.3648326415261</v>
      </c>
    </row>
    <row r="27" spans="1:24">
      <c r="A27">
        <v>442</v>
      </c>
      <c r="B27" t="s">
        <v>49</v>
      </c>
      <c r="C27" t="s">
        <v>1591</v>
      </c>
      <c r="D27" t="s">
        <v>32</v>
      </c>
      <c r="E27" t="s">
        <v>203</v>
      </c>
      <c r="F27" t="s">
        <v>802</v>
      </c>
      <c r="G27" t="s">
        <v>49</v>
      </c>
      <c r="H27" t="b">
        <v>1</v>
      </c>
      <c r="I27" t="s">
        <v>1797</v>
      </c>
      <c r="J27" t="s">
        <v>1592</v>
      </c>
      <c r="K27" t="s">
        <v>1593</v>
      </c>
      <c r="L27">
        <v>5800</v>
      </c>
      <c r="M27">
        <v>1964</v>
      </c>
      <c r="N27">
        <v>12</v>
      </c>
      <c r="O27">
        <v>29</v>
      </c>
      <c r="P27">
        <v>117.24</v>
      </c>
      <c r="Q27">
        <v>21427700000000</v>
      </c>
      <c r="R27">
        <v>78.5</v>
      </c>
      <c r="S27">
        <v>9.6</v>
      </c>
      <c r="T27">
        <v>36.6</v>
      </c>
      <c r="U27">
        <v>328239523</v>
      </c>
      <c r="V27" s="3">
        <v>45882</v>
      </c>
      <c r="W27" s="3">
        <v>23740</v>
      </c>
      <c r="X27">
        <v>60.62015366952221</v>
      </c>
    </row>
    <row r="28" spans="1:24">
      <c r="A28">
        <v>437</v>
      </c>
      <c r="B28" t="s">
        <v>103</v>
      </c>
      <c r="C28" t="s">
        <v>1587</v>
      </c>
      <c r="D28" t="s">
        <v>105</v>
      </c>
      <c r="E28" t="s">
        <v>246</v>
      </c>
      <c r="F28" t="s">
        <v>1588</v>
      </c>
      <c r="G28" t="s">
        <v>103</v>
      </c>
      <c r="H28" t="b">
        <v>0</v>
      </c>
      <c r="I28" t="s">
        <v>1797</v>
      </c>
      <c r="J28" t="s">
        <v>1589</v>
      </c>
      <c r="K28" t="s">
        <v>1590</v>
      </c>
      <c r="L28">
        <v>5900</v>
      </c>
      <c r="M28">
        <v>1957</v>
      </c>
      <c r="N28">
        <v>1</v>
      </c>
      <c r="O28">
        <v>15</v>
      </c>
      <c r="P28">
        <v>125.08</v>
      </c>
      <c r="Q28">
        <v>19910000000000</v>
      </c>
      <c r="R28">
        <v>77</v>
      </c>
      <c r="S28">
        <v>9.4</v>
      </c>
      <c r="T28">
        <v>59.2</v>
      </c>
      <c r="U28">
        <v>1397715000</v>
      </c>
      <c r="V28" s="3">
        <v>45882</v>
      </c>
      <c r="W28" s="3">
        <v>20835</v>
      </c>
      <c r="X28">
        <v>68.575628918339817</v>
      </c>
    </row>
    <row r="29" spans="1:24">
      <c r="A29">
        <v>437</v>
      </c>
      <c r="B29" t="s">
        <v>49</v>
      </c>
      <c r="C29" t="s">
        <v>1583</v>
      </c>
      <c r="D29" t="s">
        <v>32</v>
      </c>
      <c r="E29" t="s">
        <v>831</v>
      </c>
      <c r="F29" t="s">
        <v>1584</v>
      </c>
      <c r="G29" t="s">
        <v>49</v>
      </c>
      <c r="H29" t="b">
        <v>1</v>
      </c>
      <c r="I29" t="s">
        <v>1797</v>
      </c>
      <c r="J29" t="s">
        <v>1585</v>
      </c>
      <c r="K29" t="s">
        <v>1586</v>
      </c>
      <c r="L29">
        <v>5900</v>
      </c>
      <c r="M29">
        <v>1960</v>
      </c>
      <c r="N29">
        <v>10</v>
      </c>
      <c r="O29">
        <v>12</v>
      </c>
      <c r="P29">
        <v>117.24</v>
      </c>
      <c r="Q29">
        <v>21427700000000</v>
      </c>
      <c r="R29">
        <v>78.5</v>
      </c>
      <c r="S29">
        <v>9.6</v>
      </c>
      <c r="T29">
        <v>36.6</v>
      </c>
      <c r="U29">
        <v>328239523</v>
      </c>
      <c r="V29" s="3">
        <v>45882</v>
      </c>
      <c r="W29" s="3">
        <v>22201</v>
      </c>
      <c r="X29">
        <v>64.833699755257811</v>
      </c>
    </row>
    <row r="30" spans="1:24">
      <c r="A30">
        <v>437</v>
      </c>
      <c r="B30" t="s">
        <v>49</v>
      </c>
      <c r="C30" t="s">
        <v>1580</v>
      </c>
      <c r="D30" t="s">
        <v>32</v>
      </c>
      <c r="E30" t="s">
        <v>1581</v>
      </c>
      <c r="F30" t="s">
        <v>204</v>
      </c>
      <c r="G30" t="s">
        <v>49</v>
      </c>
      <c r="H30" t="b">
        <v>1</v>
      </c>
      <c r="I30" t="s">
        <v>1797</v>
      </c>
      <c r="J30" t="s">
        <v>1582</v>
      </c>
      <c r="K30" t="s">
        <v>652</v>
      </c>
      <c r="L30">
        <v>5900</v>
      </c>
      <c r="M30">
        <v>1961</v>
      </c>
      <c r="N30">
        <v>4</v>
      </c>
      <c r="O30">
        <v>23</v>
      </c>
      <c r="P30">
        <v>117.24</v>
      </c>
      <c r="Q30">
        <v>21427700000000</v>
      </c>
      <c r="R30">
        <v>78.5</v>
      </c>
      <c r="S30">
        <v>9.6</v>
      </c>
      <c r="T30">
        <v>36.6</v>
      </c>
      <c r="U30">
        <v>328239523</v>
      </c>
      <c r="V30" s="3">
        <v>45882</v>
      </c>
      <c r="W30" s="3">
        <v>22394</v>
      </c>
      <c r="X30">
        <v>64.307316456762564</v>
      </c>
    </row>
    <row r="31" spans="1:24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1797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>
        <v>529606710418</v>
      </c>
      <c r="R31">
        <v>81.599999999999994</v>
      </c>
      <c r="S31">
        <v>24</v>
      </c>
      <c r="T31">
        <v>55.4</v>
      </c>
      <c r="U31">
        <v>11484055</v>
      </c>
      <c r="V31" s="3">
        <v>45882</v>
      </c>
      <c r="W31" s="3">
        <v>23641</v>
      </c>
      <c r="X31">
        <v>60.891194913008924</v>
      </c>
    </row>
    <row r="32" spans="1:24">
      <c r="A32">
        <v>437</v>
      </c>
      <c r="B32" t="s">
        <v>462</v>
      </c>
      <c r="C32" t="s">
        <v>1574</v>
      </c>
      <c r="D32" t="s">
        <v>105</v>
      </c>
      <c r="E32" t="s">
        <v>655</v>
      </c>
      <c r="F32" t="s">
        <v>465</v>
      </c>
      <c r="G32" t="s">
        <v>462</v>
      </c>
      <c r="H32" t="b">
        <v>1</v>
      </c>
      <c r="I32" t="s">
        <v>1797</v>
      </c>
      <c r="J32" t="s">
        <v>1575</v>
      </c>
      <c r="K32" t="s">
        <v>1576</v>
      </c>
      <c r="L32">
        <v>5900</v>
      </c>
      <c r="M32">
        <v>1963</v>
      </c>
      <c r="N32">
        <v>1</v>
      </c>
      <c r="O32">
        <v>1</v>
      </c>
      <c r="P32">
        <v>125.08</v>
      </c>
      <c r="Q32">
        <v>19910000000000</v>
      </c>
      <c r="R32">
        <v>77</v>
      </c>
      <c r="S32">
        <v>9.4</v>
      </c>
      <c r="T32">
        <v>59.2</v>
      </c>
      <c r="U32">
        <v>1397715000</v>
      </c>
      <c r="V32" s="3">
        <v>45882</v>
      </c>
      <c r="W32" s="3">
        <v>23012</v>
      </c>
      <c r="X32">
        <v>62.613967233062446</v>
      </c>
    </row>
    <row r="33" spans="1:24">
      <c r="A33">
        <v>425</v>
      </c>
      <c r="B33" t="s">
        <v>21</v>
      </c>
      <c r="C33" t="s">
        <v>1557</v>
      </c>
      <c r="D33" t="s">
        <v>74</v>
      </c>
      <c r="E33" t="s">
        <v>75</v>
      </c>
      <c r="F33" t="s">
        <v>526</v>
      </c>
      <c r="G33" t="s">
        <v>21</v>
      </c>
      <c r="H33" t="b">
        <v>1</v>
      </c>
      <c r="I33" t="s">
        <v>1797</v>
      </c>
      <c r="J33" t="s">
        <v>527</v>
      </c>
      <c r="K33" t="s">
        <v>1558</v>
      </c>
      <c r="L33">
        <v>6000</v>
      </c>
      <c r="M33">
        <v>1958</v>
      </c>
      <c r="N33">
        <v>1</v>
      </c>
      <c r="O33">
        <v>1</v>
      </c>
      <c r="P33">
        <v>180.44</v>
      </c>
      <c r="Q33">
        <v>2611000000000</v>
      </c>
      <c r="R33">
        <v>69.400000000000006</v>
      </c>
      <c r="S33">
        <v>11.2</v>
      </c>
      <c r="T33">
        <v>49.7</v>
      </c>
      <c r="U33">
        <v>1366417754</v>
      </c>
      <c r="V33" s="3">
        <v>45882</v>
      </c>
      <c r="W33" s="3">
        <v>21186</v>
      </c>
      <c r="X33">
        <v>67.613963039014379</v>
      </c>
    </row>
    <row r="34" spans="1:24">
      <c r="A34">
        <v>425</v>
      </c>
      <c r="B34" t="s">
        <v>38</v>
      </c>
      <c r="C34" t="s">
        <v>1552</v>
      </c>
      <c r="D34" t="s">
        <v>32</v>
      </c>
      <c r="E34" t="s">
        <v>1553</v>
      </c>
      <c r="F34" t="s">
        <v>1554</v>
      </c>
      <c r="G34" t="s">
        <v>38</v>
      </c>
      <c r="H34" t="b">
        <v>1</v>
      </c>
      <c r="I34" t="s">
        <v>1797</v>
      </c>
      <c r="J34" t="s">
        <v>1555</v>
      </c>
      <c r="K34" t="s">
        <v>1556</v>
      </c>
      <c r="L34">
        <v>6000</v>
      </c>
      <c r="M34">
        <v>1959</v>
      </c>
      <c r="N34">
        <v>8</v>
      </c>
      <c r="O34">
        <v>26</v>
      </c>
      <c r="P34">
        <v>117.24</v>
      </c>
      <c r="Q34">
        <v>21427700000000</v>
      </c>
      <c r="R34">
        <v>78.5</v>
      </c>
      <c r="S34">
        <v>9.6</v>
      </c>
      <c r="T34">
        <v>36.6</v>
      </c>
      <c r="U34">
        <v>328239523</v>
      </c>
      <c r="V34" s="3">
        <v>45882</v>
      </c>
      <c r="W34" s="3">
        <v>21788</v>
      </c>
      <c r="X34">
        <v>65.965102974828383</v>
      </c>
    </row>
    <row r="35" spans="1:24">
      <c r="A35">
        <v>425</v>
      </c>
      <c r="B35" t="s">
        <v>272</v>
      </c>
      <c r="C35" t="s">
        <v>1542</v>
      </c>
      <c r="D35" t="s">
        <v>327</v>
      </c>
      <c r="E35" t="s">
        <v>328</v>
      </c>
      <c r="F35" t="s">
        <v>1543</v>
      </c>
      <c r="G35" t="s">
        <v>272</v>
      </c>
      <c r="H35" t="b">
        <v>1</v>
      </c>
      <c r="I35" t="s">
        <v>1797</v>
      </c>
      <c r="J35" t="s">
        <v>1544</v>
      </c>
      <c r="K35" t="s">
        <v>898</v>
      </c>
      <c r="L35">
        <v>6000</v>
      </c>
      <c r="M35">
        <v>1959</v>
      </c>
      <c r="N35">
        <v>2</v>
      </c>
      <c r="O35">
        <v>20</v>
      </c>
      <c r="P35">
        <v>180.75</v>
      </c>
      <c r="Q35">
        <v>1699876578871</v>
      </c>
      <c r="R35">
        <v>72.7</v>
      </c>
      <c r="S35">
        <v>11.4</v>
      </c>
      <c r="T35">
        <v>46.2</v>
      </c>
      <c r="U35">
        <v>144373535</v>
      </c>
      <c r="V35" s="3">
        <v>45882</v>
      </c>
      <c r="W35" s="3">
        <v>21601</v>
      </c>
      <c r="X35">
        <v>66.477075841778358</v>
      </c>
    </row>
    <row r="36" spans="1:24">
      <c r="A36">
        <v>418</v>
      </c>
      <c r="B36" t="s">
        <v>49</v>
      </c>
      <c r="C36" t="s">
        <v>1534</v>
      </c>
      <c r="D36" t="s">
        <v>32</v>
      </c>
      <c r="E36" t="s">
        <v>886</v>
      </c>
      <c r="F36" t="s">
        <v>802</v>
      </c>
      <c r="G36" t="s">
        <v>49</v>
      </c>
      <c r="H36" t="b">
        <v>1</v>
      </c>
      <c r="I36" t="s">
        <v>1797</v>
      </c>
      <c r="J36" t="s">
        <v>1535</v>
      </c>
      <c r="K36" t="s">
        <v>1536</v>
      </c>
      <c r="L36">
        <v>6100</v>
      </c>
      <c r="M36">
        <v>1964</v>
      </c>
      <c r="N36">
        <v>7</v>
      </c>
      <c r="O36">
        <v>31</v>
      </c>
      <c r="P36">
        <v>117.24</v>
      </c>
      <c r="Q36">
        <v>21427700000000</v>
      </c>
      <c r="R36">
        <v>78.5</v>
      </c>
      <c r="S36">
        <v>9.6</v>
      </c>
      <c r="T36">
        <v>36.6</v>
      </c>
      <c r="U36">
        <v>328239523</v>
      </c>
      <c r="V36" s="3">
        <v>45882</v>
      </c>
      <c r="W36" s="3">
        <v>23589</v>
      </c>
      <c r="X36">
        <v>61.033560010597903</v>
      </c>
    </row>
    <row r="37" spans="1:24">
      <c r="A37">
        <v>411</v>
      </c>
      <c r="B37" t="s">
        <v>49</v>
      </c>
      <c r="C37" t="s">
        <v>1525</v>
      </c>
      <c r="D37" t="s">
        <v>1526</v>
      </c>
      <c r="E37" t="s">
        <v>1527</v>
      </c>
      <c r="F37" t="s">
        <v>264</v>
      </c>
      <c r="G37" t="s">
        <v>49</v>
      </c>
      <c r="H37" t="b">
        <v>1</v>
      </c>
      <c r="I37" t="s">
        <v>1797</v>
      </c>
      <c r="J37" t="s">
        <v>1528</v>
      </c>
      <c r="K37" t="s">
        <v>1529</v>
      </c>
      <c r="L37">
        <v>6200</v>
      </c>
      <c r="M37">
        <v>1962</v>
      </c>
      <c r="N37">
        <v>7</v>
      </c>
      <c r="O37">
        <v>11</v>
      </c>
      <c r="P37">
        <v>114.11</v>
      </c>
      <c r="Q37">
        <v>592164400688</v>
      </c>
      <c r="R37">
        <v>77.599999999999994</v>
      </c>
      <c r="S37">
        <v>17.399999999999999</v>
      </c>
      <c r="T37">
        <v>40.799999999999997</v>
      </c>
      <c r="U37">
        <v>37970874</v>
      </c>
      <c r="V37" s="3">
        <v>45882</v>
      </c>
      <c r="W37" s="3">
        <v>22838</v>
      </c>
      <c r="X37">
        <v>63.091033538672143</v>
      </c>
    </row>
    <row r="38" spans="1:24">
      <c r="A38">
        <v>411</v>
      </c>
      <c r="B38" t="s">
        <v>250</v>
      </c>
      <c r="C38" t="s">
        <v>1519</v>
      </c>
      <c r="D38" t="s">
        <v>105</v>
      </c>
      <c r="E38" t="s">
        <v>827</v>
      </c>
      <c r="F38" t="s">
        <v>1520</v>
      </c>
      <c r="G38" t="s">
        <v>250</v>
      </c>
      <c r="H38" t="b">
        <v>1</v>
      </c>
      <c r="I38" t="s">
        <v>1797</v>
      </c>
      <c r="J38" t="s">
        <v>1521</v>
      </c>
      <c r="K38" t="s">
        <v>905</v>
      </c>
      <c r="L38">
        <v>6200</v>
      </c>
      <c r="M38">
        <v>1964</v>
      </c>
      <c r="N38">
        <v>1</v>
      </c>
      <c r="O38">
        <v>1</v>
      </c>
      <c r="P38">
        <v>125.08</v>
      </c>
      <c r="Q38">
        <v>19910000000000</v>
      </c>
      <c r="R38">
        <v>77</v>
      </c>
      <c r="S38">
        <v>9.4</v>
      </c>
      <c r="T38">
        <v>59.2</v>
      </c>
      <c r="U38">
        <v>1397715000</v>
      </c>
      <c r="V38" s="3">
        <v>45882</v>
      </c>
      <c r="W38" s="3">
        <v>23377</v>
      </c>
      <c r="X38">
        <v>61.613971562306808</v>
      </c>
    </row>
    <row r="39" spans="1:24">
      <c r="A39">
        <v>411</v>
      </c>
      <c r="B39" t="s">
        <v>103</v>
      </c>
      <c r="C39" t="s">
        <v>1517</v>
      </c>
      <c r="D39" t="s">
        <v>105</v>
      </c>
      <c r="E39" t="s">
        <v>192</v>
      </c>
      <c r="F39" t="s">
        <v>1230</v>
      </c>
      <c r="G39" t="s">
        <v>103</v>
      </c>
      <c r="H39" t="b">
        <v>1</v>
      </c>
      <c r="I39" t="s">
        <v>1797</v>
      </c>
      <c r="J39" t="s">
        <v>1386</v>
      </c>
      <c r="K39" t="s">
        <v>1518</v>
      </c>
      <c r="L39">
        <v>6200</v>
      </c>
      <c r="M39">
        <v>1964</v>
      </c>
      <c r="N39">
        <v>1</v>
      </c>
      <c r="O39">
        <v>1</v>
      </c>
      <c r="P39">
        <v>125.08</v>
      </c>
      <c r="Q39">
        <v>19910000000000</v>
      </c>
      <c r="R39">
        <v>77</v>
      </c>
      <c r="S39">
        <v>9.4</v>
      </c>
      <c r="T39">
        <v>59.2</v>
      </c>
      <c r="U39">
        <v>1397715000</v>
      </c>
      <c r="V39" s="3">
        <v>45882</v>
      </c>
      <c r="W39" s="3">
        <v>23377</v>
      </c>
      <c r="X39">
        <v>61.613971562306808</v>
      </c>
    </row>
    <row r="40" spans="1:24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1797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>
        <v>2827113184696</v>
      </c>
      <c r="R40">
        <v>81.3</v>
      </c>
      <c r="S40">
        <v>25.5</v>
      </c>
      <c r="T40">
        <v>30.6</v>
      </c>
      <c r="U40">
        <v>66834405</v>
      </c>
      <c r="V40" s="3">
        <v>45882</v>
      </c>
      <c r="W40" s="3">
        <v>20972</v>
      </c>
      <c r="X40">
        <v>68.200539639711138</v>
      </c>
    </row>
    <row r="41" spans="1:24">
      <c r="A41">
        <v>411</v>
      </c>
      <c r="B41" t="s">
        <v>103</v>
      </c>
      <c r="C41" t="s">
        <v>1503</v>
      </c>
      <c r="D41" t="s">
        <v>67</v>
      </c>
      <c r="E41" t="s">
        <v>68</v>
      </c>
      <c r="F41" t="s">
        <v>1504</v>
      </c>
      <c r="G41" t="s">
        <v>103</v>
      </c>
      <c r="H41" t="b">
        <v>0</v>
      </c>
      <c r="I41" t="s">
        <v>1796</v>
      </c>
      <c r="J41" t="s">
        <v>1505</v>
      </c>
      <c r="K41" t="s">
        <v>1506</v>
      </c>
      <c r="L41">
        <v>6200</v>
      </c>
      <c r="M41">
        <v>1963</v>
      </c>
      <c r="N41">
        <v>5</v>
      </c>
      <c r="O41">
        <v>2</v>
      </c>
      <c r="P41">
        <v>141.54</v>
      </c>
      <c r="Q41">
        <v>1258286717125</v>
      </c>
      <c r="R41">
        <v>75</v>
      </c>
      <c r="S41">
        <v>13.1</v>
      </c>
      <c r="T41">
        <v>55.1</v>
      </c>
      <c r="U41">
        <v>126014024</v>
      </c>
      <c r="V41" s="3">
        <v>45882</v>
      </c>
      <c r="W41" s="3">
        <v>23133</v>
      </c>
      <c r="X41">
        <v>62.282690886967103</v>
      </c>
    </row>
    <row r="42" spans="1:24">
      <c r="A42">
        <v>405</v>
      </c>
      <c r="B42" t="s">
        <v>292</v>
      </c>
      <c r="C42" t="s">
        <v>1495</v>
      </c>
      <c r="D42" t="s">
        <v>105</v>
      </c>
      <c r="E42" t="s">
        <v>1496</v>
      </c>
      <c r="F42" t="s">
        <v>1497</v>
      </c>
      <c r="G42" t="s">
        <v>292</v>
      </c>
      <c r="H42" t="b">
        <v>1</v>
      </c>
      <c r="I42" t="s">
        <v>1797</v>
      </c>
      <c r="J42" t="s">
        <v>384</v>
      </c>
      <c r="K42" t="s">
        <v>1498</v>
      </c>
      <c r="L42">
        <v>6300</v>
      </c>
      <c r="M42">
        <v>1964</v>
      </c>
      <c r="N42">
        <v>3</v>
      </c>
      <c r="O42">
        <v>11</v>
      </c>
      <c r="P42">
        <v>125.08</v>
      </c>
      <c r="Q42">
        <v>19910000000000</v>
      </c>
      <c r="R42">
        <v>77</v>
      </c>
      <c r="S42">
        <v>9.4</v>
      </c>
      <c r="T42">
        <v>59.2</v>
      </c>
      <c r="U42">
        <v>1397715000</v>
      </c>
      <c r="V42" s="3">
        <v>45882</v>
      </c>
      <c r="W42" s="3">
        <v>23447</v>
      </c>
      <c r="X42">
        <v>61.422326238629338</v>
      </c>
    </row>
    <row r="43" spans="1:24">
      <c r="A43">
        <v>405</v>
      </c>
      <c r="B43" t="s">
        <v>49</v>
      </c>
      <c r="C43" t="s">
        <v>1490</v>
      </c>
      <c r="D43" t="s">
        <v>226</v>
      </c>
      <c r="E43" t="s">
        <v>227</v>
      </c>
      <c r="F43" t="s">
        <v>802</v>
      </c>
      <c r="G43" t="s">
        <v>49</v>
      </c>
      <c r="H43" t="b">
        <v>1</v>
      </c>
      <c r="I43" t="s">
        <v>1797</v>
      </c>
      <c r="J43" t="s">
        <v>1491</v>
      </c>
      <c r="K43" t="s">
        <v>190</v>
      </c>
      <c r="L43">
        <v>6300</v>
      </c>
      <c r="M43">
        <v>1956</v>
      </c>
      <c r="N43">
        <v>6</v>
      </c>
      <c r="O43">
        <v>1</v>
      </c>
      <c r="P43">
        <v>119.62</v>
      </c>
      <c r="Q43">
        <v>2827113184696</v>
      </c>
      <c r="R43">
        <v>81.3</v>
      </c>
      <c r="S43">
        <v>25.5</v>
      </c>
      <c r="T43">
        <v>30.6</v>
      </c>
      <c r="U43">
        <v>66834405</v>
      </c>
      <c r="V43" s="3">
        <v>45882</v>
      </c>
      <c r="W43" s="3">
        <v>20607</v>
      </c>
      <c r="X43">
        <v>69.19782540675844</v>
      </c>
    </row>
    <row r="44" spans="1:24">
      <c r="A44">
        <v>405</v>
      </c>
      <c r="B44" t="s">
        <v>292</v>
      </c>
      <c r="C44" t="s">
        <v>1486</v>
      </c>
      <c r="D44" t="s">
        <v>105</v>
      </c>
      <c r="E44" t="s">
        <v>903</v>
      </c>
      <c r="F44" t="s">
        <v>1487</v>
      </c>
      <c r="G44" t="s">
        <v>292</v>
      </c>
      <c r="H44" t="b">
        <v>1</v>
      </c>
      <c r="I44" t="s">
        <v>1797</v>
      </c>
      <c r="J44" t="s">
        <v>1488</v>
      </c>
      <c r="K44" t="s">
        <v>1489</v>
      </c>
      <c r="L44">
        <v>6300</v>
      </c>
      <c r="M44">
        <v>1965</v>
      </c>
      <c r="N44">
        <v>1</v>
      </c>
      <c r="O44">
        <v>1</v>
      </c>
      <c r="P44">
        <v>125.08</v>
      </c>
      <c r="Q44">
        <v>19910000000000</v>
      </c>
      <c r="R44">
        <v>77</v>
      </c>
      <c r="S44">
        <v>9.4</v>
      </c>
      <c r="T44">
        <v>59.2</v>
      </c>
      <c r="U44">
        <v>1397715000</v>
      </c>
      <c r="V44" s="3">
        <v>45882</v>
      </c>
      <c r="W44" s="3">
        <v>23743</v>
      </c>
      <c r="X44">
        <v>60.613958707360865</v>
      </c>
    </row>
    <row r="45" spans="1:24">
      <c r="A45">
        <v>397</v>
      </c>
      <c r="B45" t="s">
        <v>292</v>
      </c>
      <c r="C45" t="s">
        <v>1470</v>
      </c>
      <c r="D45" t="s">
        <v>23</v>
      </c>
      <c r="E45" t="s">
        <v>24</v>
      </c>
      <c r="F45" t="s">
        <v>619</v>
      </c>
      <c r="G45" t="s">
        <v>292</v>
      </c>
      <c r="H45" t="b">
        <v>1</v>
      </c>
      <c r="I45" t="s">
        <v>1797</v>
      </c>
      <c r="J45" t="s">
        <v>1471</v>
      </c>
      <c r="K45" t="s">
        <v>1472</v>
      </c>
      <c r="L45">
        <v>6400</v>
      </c>
      <c r="M45">
        <v>1962</v>
      </c>
      <c r="N45">
        <v>10</v>
      </c>
      <c r="O45">
        <v>15</v>
      </c>
      <c r="P45">
        <v>110.05</v>
      </c>
      <c r="Q45">
        <v>2715518274227</v>
      </c>
      <c r="R45">
        <v>82.5</v>
      </c>
      <c r="S45">
        <v>24.2</v>
      </c>
      <c r="T45">
        <v>60.7</v>
      </c>
      <c r="U45">
        <v>67059887</v>
      </c>
      <c r="V45" s="3">
        <v>45882</v>
      </c>
      <c r="W45" s="3">
        <v>22934</v>
      </c>
      <c r="X45">
        <v>62.828199863107457</v>
      </c>
    </row>
    <row r="46" spans="1:24">
      <c r="A46">
        <v>397</v>
      </c>
      <c r="B46" t="s">
        <v>351</v>
      </c>
      <c r="C46" t="s">
        <v>1467</v>
      </c>
      <c r="D46" t="s">
        <v>105</v>
      </c>
      <c r="E46" t="s">
        <v>153</v>
      </c>
      <c r="F46" t="s">
        <v>1468</v>
      </c>
      <c r="G46" t="s">
        <v>351</v>
      </c>
      <c r="H46" t="b">
        <v>1</v>
      </c>
      <c r="I46" t="s">
        <v>1796</v>
      </c>
      <c r="J46" t="s">
        <v>1469</v>
      </c>
      <c r="K46" t="s">
        <v>808</v>
      </c>
      <c r="L46">
        <v>6400</v>
      </c>
      <c r="M46">
        <v>1963</v>
      </c>
      <c r="N46">
        <v>11</v>
      </c>
      <c r="O46">
        <v>1</v>
      </c>
      <c r="P46">
        <v>125.08</v>
      </c>
      <c r="Q46">
        <v>19910000000000</v>
      </c>
      <c r="R46">
        <v>77</v>
      </c>
      <c r="S46">
        <v>9.4</v>
      </c>
      <c r="T46">
        <v>59.2</v>
      </c>
      <c r="U46">
        <v>1397715000</v>
      </c>
      <c r="V46" s="3">
        <v>45882</v>
      </c>
      <c r="W46" s="3">
        <v>23316</v>
      </c>
      <c r="X46">
        <v>61.781669636260922</v>
      </c>
    </row>
    <row r="47" spans="1:24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1797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>
        <v>21427700000000</v>
      </c>
      <c r="R47">
        <v>78.5</v>
      </c>
      <c r="S47">
        <v>9.6</v>
      </c>
      <c r="T47">
        <v>36.6</v>
      </c>
      <c r="U47">
        <v>328239523</v>
      </c>
      <c r="V47" s="3">
        <v>45882</v>
      </c>
      <c r="W47" s="3">
        <v>21383</v>
      </c>
      <c r="X47">
        <v>67.074606433949356</v>
      </c>
    </row>
    <row r="48" spans="1:24">
      <c r="A48">
        <v>397</v>
      </c>
      <c r="B48" t="s">
        <v>590</v>
      </c>
      <c r="C48" t="s">
        <v>1462</v>
      </c>
      <c r="D48" t="s">
        <v>32</v>
      </c>
      <c r="E48" t="s">
        <v>1285</v>
      </c>
      <c r="F48" t="s">
        <v>1463</v>
      </c>
      <c r="G48" t="s">
        <v>590</v>
      </c>
      <c r="H48" t="b">
        <v>1</v>
      </c>
      <c r="I48" t="s">
        <v>1797</v>
      </c>
      <c r="J48" t="s">
        <v>1464</v>
      </c>
      <c r="K48" t="s">
        <v>266</v>
      </c>
      <c r="L48">
        <v>6400</v>
      </c>
      <c r="M48">
        <v>1960</v>
      </c>
      <c r="N48">
        <v>4</v>
      </c>
      <c r="O48">
        <v>10</v>
      </c>
      <c r="P48">
        <v>117.24</v>
      </c>
      <c r="Q48">
        <v>21427700000000</v>
      </c>
      <c r="R48">
        <v>78.5</v>
      </c>
      <c r="S48">
        <v>9.6</v>
      </c>
      <c r="T48">
        <v>36.6</v>
      </c>
      <c r="U48">
        <v>328239523</v>
      </c>
      <c r="V48" s="3">
        <v>45882</v>
      </c>
      <c r="W48" s="3">
        <v>22016</v>
      </c>
      <c r="X48">
        <v>65.34019164558012</v>
      </c>
    </row>
    <row r="49" spans="1:24">
      <c r="A49">
        <v>390</v>
      </c>
      <c r="B49" t="s">
        <v>38</v>
      </c>
      <c r="C49" t="s">
        <v>1445</v>
      </c>
      <c r="D49" t="s">
        <v>32</v>
      </c>
      <c r="E49" t="s">
        <v>40</v>
      </c>
      <c r="F49" t="s">
        <v>56</v>
      </c>
      <c r="G49" t="s">
        <v>38</v>
      </c>
      <c r="H49" t="b">
        <v>0</v>
      </c>
      <c r="I49" t="s">
        <v>1796</v>
      </c>
      <c r="J49" t="s">
        <v>1446</v>
      </c>
      <c r="K49" t="s">
        <v>1447</v>
      </c>
      <c r="L49">
        <v>6500</v>
      </c>
      <c r="M49">
        <v>1964</v>
      </c>
      <c r="N49">
        <v>8</v>
      </c>
      <c r="O49">
        <v>15</v>
      </c>
      <c r="P49">
        <v>117.24</v>
      </c>
      <c r="Q49">
        <v>21427700000000</v>
      </c>
      <c r="R49">
        <v>78.5</v>
      </c>
      <c r="S49">
        <v>9.6</v>
      </c>
      <c r="T49">
        <v>36.6</v>
      </c>
      <c r="U49">
        <v>328239523</v>
      </c>
      <c r="V49" s="3">
        <v>45882</v>
      </c>
      <c r="W49" s="3">
        <v>23604</v>
      </c>
      <c r="X49">
        <v>60.992493155524159</v>
      </c>
    </row>
    <row r="50" spans="1:24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1796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>
        <v>3845630030824</v>
      </c>
      <c r="R50">
        <v>80.900000000000006</v>
      </c>
      <c r="S50">
        <v>11.5</v>
      </c>
      <c r="T50">
        <v>48.8</v>
      </c>
      <c r="U50">
        <v>83132799</v>
      </c>
      <c r="V50" s="3">
        <v>45882</v>
      </c>
      <c r="W50" s="3">
        <v>22764</v>
      </c>
      <c r="X50">
        <v>63.293634496919921</v>
      </c>
    </row>
    <row r="51" spans="1:24">
      <c r="A51">
        <v>383</v>
      </c>
      <c r="B51" t="s">
        <v>38</v>
      </c>
      <c r="C51" t="s">
        <v>1436</v>
      </c>
      <c r="D51" t="s">
        <v>32</v>
      </c>
      <c r="E51" t="s">
        <v>1437</v>
      </c>
      <c r="F51" t="s">
        <v>387</v>
      </c>
      <c r="G51" t="s">
        <v>38</v>
      </c>
      <c r="H51" t="b">
        <v>1</v>
      </c>
      <c r="I51" t="s">
        <v>1797</v>
      </c>
      <c r="J51" t="s">
        <v>1438</v>
      </c>
      <c r="K51" t="s">
        <v>1113</v>
      </c>
      <c r="L51">
        <v>6600</v>
      </c>
      <c r="M51">
        <v>1959</v>
      </c>
      <c r="N51">
        <v>10</v>
      </c>
      <c r="O51">
        <v>8</v>
      </c>
      <c r="P51">
        <v>117.24</v>
      </c>
      <c r="Q51">
        <v>21427700000000</v>
      </c>
      <c r="R51">
        <v>78.5</v>
      </c>
      <c r="S51">
        <v>9.6</v>
      </c>
      <c r="T51">
        <v>36.6</v>
      </c>
      <c r="U51">
        <v>328239523</v>
      </c>
      <c r="V51" s="3">
        <v>45882</v>
      </c>
      <c r="W51" s="3">
        <v>21831</v>
      </c>
      <c r="X51">
        <v>65.847376593658055</v>
      </c>
    </row>
    <row r="52" spans="1:24">
      <c r="A52">
        <v>383</v>
      </c>
      <c r="B52" t="s">
        <v>103</v>
      </c>
      <c r="C52" t="s">
        <v>1429</v>
      </c>
      <c r="D52" t="s">
        <v>32</v>
      </c>
      <c r="E52" t="s">
        <v>1430</v>
      </c>
      <c r="F52" t="s">
        <v>1424</v>
      </c>
      <c r="G52" t="s">
        <v>103</v>
      </c>
      <c r="H52" t="b">
        <v>0</v>
      </c>
      <c r="I52" t="s">
        <v>1796</v>
      </c>
      <c r="J52" t="s">
        <v>1431</v>
      </c>
      <c r="K52" t="s">
        <v>1432</v>
      </c>
      <c r="L52">
        <v>6600</v>
      </c>
      <c r="M52">
        <v>1955</v>
      </c>
      <c r="N52">
        <v>12</v>
      </c>
      <c r="O52">
        <v>17</v>
      </c>
      <c r="P52">
        <v>117.24</v>
      </c>
      <c r="Q52">
        <v>21427700000000</v>
      </c>
      <c r="R52">
        <v>78.5</v>
      </c>
      <c r="S52">
        <v>9.6</v>
      </c>
      <c r="T52">
        <v>36.6</v>
      </c>
      <c r="U52">
        <v>328239523</v>
      </c>
      <c r="V52" s="3">
        <v>45882</v>
      </c>
      <c r="W52" s="3">
        <v>20440</v>
      </c>
      <c r="X52">
        <v>69.655728222727802</v>
      </c>
    </row>
    <row r="53" spans="1:24">
      <c r="A53">
        <v>365</v>
      </c>
      <c r="B53" t="s">
        <v>103</v>
      </c>
      <c r="C53" t="s">
        <v>1416</v>
      </c>
      <c r="D53" t="s">
        <v>105</v>
      </c>
      <c r="E53" t="s">
        <v>1061</v>
      </c>
      <c r="F53" t="s">
        <v>1417</v>
      </c>
      <c r="G53" t="s">
        <v>103</v>
      </c>
      <c r="H53" t="b">
        <v>1</v>
      </c>
      <c r="I53" t="s">
        <v>1797</v>
      </c>
      <c r="J53" t="s">
        <v>549</v>
      </c>
      <c r="K53" t="s">
        <v>1418</v>
      </c>
      <c r="L53">
        <v>6700</v>
      </c>
      <c r="M53">
        <v>1958</v>
      </c>
      <c r="N53">
        <v>1</v>
      </c>
      <c r="O53">
        <v>1</v>
      </c>
      <c r="P53">
        <v>125.08</v>
      </c>
      <c r="Q53">
        <v>19910000000000</v>
      </c>
      <c r="R53">
        <v>77</v>
      </c>
      <c r="S53">
        <v>9.4</v>
      </c>
      <c r="T53">
        <v>59.2</v>
      </c>
      <c r="U53">
        <v>1397715000</v>
      </c>
      <c r="V53" s="3">
        <v>45882</v>
      </c>
      <c r="W53" s="3">
        <v>21186</v>
      </c>
      <c r="X53">
        <v>67.613963039014379</v>
      </c>
    </row>
    <row r="54" spans="1:24">
      <c r="A54">
        <v>365</v>
      </c>
      <c r="B54" t="s">
        <v>250</v>
      </c>
      <c r="C54" t="s">
        <v>1384</v>
      </c>
      <c r="D54" t="s">
        <v>105</v>
      </c>
      <c r="E54" t="s">
        <v>106</v>
      </c>
      <c r="F54" t="s">
        <v>1385</v>
      </c>
      <c r="G54" t="s">
        <v>250</v>
      </c>
      <c r="H54" t="b">
        <v>1</v>
      </c>
      <c r="I54" t="s">
        <v>1797</v>
      </c>
      <c r="J54" t="s">
        <v>1386</v>
      </c>
      <c r="K54" t="s">
        <v>942</v>
      </c>
      <c r="L54">
        <v>6700</v>
      </c>
      <c r="M54">
        <v>1962</v>
      </c>
      <c r="N54">
        <v>8</v>
      </c>
      <c r="O54">
        <v>1</v>
      </c>
      <c r="P54">
        <v>125.08</v>
      </c>
      <c r="Q54">
        <v>19910000000000</v>
      </c>
      <c r="R54">
        <v>77</v>
      </c>
      <c r="S54">
        <v>9.4</v>
      </c>
      <c r="T54">
        <v>59.2</v>
      </c>
      <c r="U54">
        <v>1397715000</v>
      </c>
      <c r="V54" s="3">
        <v>45882</v>
      </c>
      <c r="W54" s="3">
        <v>22859</v>
      </c>
      <c r="X54">
        <v>63.03353867214237</v>
      </c>
    </row>
    <row r="55" spans="1:24">
      <c r="A55">
        <v>352</v>
      </c>
      <c r="B55" t="s">
        <v>292</v>
      </c>
      <c r="C55" t="s">
        <v>1360</v>
      </c>
      <c r="D55" t="s">
        <v>32</v>
      </c>
      <c r="E55" t="s">
        <v>742</v>
      </c>
      <c r="F55" t="s">
        <v>1219</v>
      </c>
      <c r="G55" t="s">
        <v>292</v>
      </c>
      <c r="H55" t="b">
        <v>0</v>
      </c>
      <c r="I55" t="s">
        <v>1796</v>
      </c>
      <c r="J55" t="s">
        <v>1361</v>
      </c>
      <c r="K55" t="s">
        <v>1362</v>
      </c>
      <c r="L55">
        <v>6800</v>
      </c>
      <c r="M55">
        <v>1961</v>
      </c>
      <c r="N55">
        <v>8</v>
      </c>
      <c r="O55">
        <v>28</v>
      </c>
      <c r="P55">
        <v>117.24</v>
      </c>
      <c r="Q55">
        <v>21427700000000</v>
      </c>
      <c r="R55">
        <v>78.5</v>
      </c>
      <c r="S55">
        <v>9.6</v>
      </c>
      <c r="T55">
        <v>36.6</v>
      </c>
      <c r="U55">
        <v>328239523</v>
      </c>
      <c r="V55" s="3">
        <v>45882</v>
      </c>
      <c r="W55" s="3">
        <v>22521</v>
      </c>
      <c r="X55">
        <v>63.959605745335075</v>
      </c>
    </row>
    <row r="56" spans="1:24">
      <c r="A56">
        <v>352</v>
      </c>
      <c r="B56" t="s">
        <v>38</v>
      </c>
      <c r="C56" t="s">
        <v>1358</v>
      </c>
      <c r="D56" t="s">
        <v>105</v>
      </c>
      <c r="E56" t="s">
        <v>192</v>
      </c>
      <c r="F56" t="s">
        <v>1205</v>
      </c>
      <c r="G56" t="s">
        <v>38</v>
      </c>
      <c r="H56" t="b">
        <v>1</v>
      </c>
      <c r="I56" t="s">
        <v>1797</v>
      </c>
      <c r="J56" t="s">
        <v>384</v>
      </c>
      <c r="K56" t="s">
        <v>1359</v>
      </c>
      <c r="L56">
        <v>6800</v>
      </c>
      <c r="M56">
        <v>1964</v>
      </c>
      <c r="N56">
        <v>12</v>
      </c>
      <c r="O56">
        <v>14</v>
      </c>
      <c r="P56">
        <v>125.08</v>
      </c>
      <c r="Q56">
        <v>19910000000000</v>
      </c>
      <c r="R56">
        <v>77</v>
      </c>
      <c r="S56">
        <v>9.4</v>
      </c>
      <c r="T56">
        <v>59.2</v>
      </c>
      <c r="U56">
        <v>1397715000</v>
      </c>
      <c r="V56" s="3">
        <v>45882</v>
      </c>
      <c r="W56" s="3">
        <v>23725</v>
      </c>
      <c r="X56">
        <v>60.661220524595954</v>
      </c>
    </row>
    <row r="57" spans="1:24">
      <c r="A57">
        <v>352</v>
      </c>
      <c r="B57" t="s">
        <v>72</v>
      </c>
      <c r="C57" t="s">
        <v>1355</v>
      </c>
      <c r="D57" t="s">
        <v>327</v>
      </c>
      <c r="E57" t="s">
        <v>328</v>
      </c>
      <c r="F57" t="s">
        <v>1356</v>
      </c>
      <c r="G57" t="s">
        <v>72</v>
      </c>
      <c r="H57" t="b">
        <v>1</v>
      </c>
      <c r="I57" t="s">
        <v>1797</v>
      </c>
      <c r="J57" t="s">
        <v>1357</v>
      </c>
      <c r="K57" t="s">
        <v>748</v>
      </c>
      <c r="L57">
        <v>6800</v>
      </c>
      <c r="M57">
        <v>1957</v>
      </c>
      <c r="N57">
        <v>4</v>
      </c>
      <c r="O57">
        <v>14</v>
      </c>
      <c r="P57">
        <v>180.75</v>
      </c>
      <c r="Q57">
        <v>1699876578871</v>
      </c>
      <c r="R57">
        <v>72.7</v>
      </c>
      <c r="S57">
        <v>11.4</v>
      </c>
      <c r="T57">
        <v>46.2</v>
      </c>
      <c r="U57">
        <v>144373535</v>
      </c>
      <c r="V57" s="3">
        <v>45882</v>
      </c>
      <c r="W57" s="3">
        <v>20924</v>
      </c>
      <c r="X57">
        <v>68.33195778112848</v>
      </c>
    </row>
    <row r="58" spans="1:24">
      <c r="A58">
        <v>352</v>
      </c>
      <c r="B58" t="s">
        <v>49</v>
      </c>
      <c r="C58" t="s">
        <v>1352</v>
      </c>
      <c r="D58" t="s">
        <v>32</v>
      </c>
      <c r="E58" t="s">
        <v>1353</v>
      </c>
      <c r="F58" t="s">
        <v>204</v>
      </c>
      <c r="G58" t="s">
        <v>49</v>
      </c>
      <c r="H58" t="b">
        <v>1</v>
      </c>
      <c r="I58" t="s">
        <v>1797</v>
      </c>
      <c r="J58" t="s">
        <v>1354</v>
      </c>
      <c r="K58" t="s">
        <v>137</v>
      </c>
      <c r="L58">
        <v>6800</v>
      </c>
      <c r="M58">
        <v>1961</v>
      </c>
      <c r="N58">
        <v>7</v>
      </c>
      <c r="O58">
        <v>15</v>
      </c>
      <c r="P58">
        <v>117.24</v>
      </c>
      <c r="Q58">
        <v>21427700000000</v>
      </c>
      <c r="R58">
        <v>78.5</v>
      </c>
      <c r="S58">
        <v>9.6</v>
      </c>
      <c r="T58">
        <v>36.6</v>
      </c>
      <c r="U58">
        <v>328239523</v>
      </c>
      <c r="V58" s="3">
        <v>45882</v>
      </c>
      <c r="W58" s="3">
        <v>22477</v>
      </c>
      <c r="X58">
        <v>64.080072448506797</v>
      </c>
    </row>
    <row r="59" spans="1:24">
      <c r="A59">
        <v>352</v>
      </c>
      <c r="B59" t="s">
        <v>49</v>
      </c>
      <c r="C59" t="s">
        <v>1341</v>
      </c>
      <c r="D59" t="s">
        <v>32</v>
      </c>
      <c r="E59" t="s">
        <v>100</v>
      </c>
      <c r="F59" t="s">
        <v>1342</v>
      </c>
      <c r="G59" t="s">
        <v>49</v>
      </c>
      <c r="H59" t="b">
        <v>1</v>
      </c>
      <c r="I59" t="s">
        <v>1797</v>
      </c>
      <c r="J59" t="s">
        <v>1343</v>
      </c>
      <c r="K59" t="s">
        <v>1344</v>
      </c>
      <c r="L59">
        <v>6800</v>
      </c>
      <c r="M59">
        <v>1961</v>
      </c>
      <c r="N59">
        <v>11</v>
      </c>
      <c r="O59">
        <v>11</v>
      </c>
      <c r="P59">
        <v>117.24</v>
      </c>
      <c r="Q59">
        <v>21427700000000</v>
      </c>
      <c r="R59">
        <v>78.5</v>
      </c>
      <c r="S59">
        <v>9.6</v>
      </c>
      <c r="T59">
        <v>36.6</v>
      </c>
      <c r="U59">
        <v>328239523</v>
      </c>
      <c r="V59" s="3">
        <v>45882</v>
      </c>
      <c r="W59" s="3">
        <v>22596</v>
      </c>
      <c r="X59">
        <v>63.754264774019632</v>
      </c>
    </row>
    <row r="60" spans="1:24">
      <c r="A60">
        <v>352</v>
      </c>
      <c r="B60" t="s">
        <v>49</v>
      </c>
      <c r="C60" t="s">
        <v>1338</v>
      </c>
      <c r="D60" t="s">
        <v>32</v>
      </c>
      <c r="E60" t="s">
        <v>1339</v>
      </c>
      <c r="F60" t="s">
        <v>371</v>
      </c>
      <c r="G60" t="s">
        <v>49</v>
      </c>
      <c r="H60" t="b">
        <v>0</v>
      </c>
      <c r="I60" t="s">
        <v>1797</v>
      </c>
      <c r="J60" t="s">
        <v>372</v>
      </c>
      <c r="K60" t="s">
        <v>1340</v>
      </c>
      <c r="L60">
        <v>6800</v>
      </c>
      <c r="M60">
        <v>1964</v>
      </c>
      <c r="N60">
        <v>11</v>
      </c>
      <c r="O60">
        <v>18</v>
      </c>
      <c r="P60">
        <v>117.24</v>
      </c>
      <c r="Q60">
        <v>21427700000000</v>
      </c>
      <c r="R60">
        <v>78.5</v>
      </c>
      <c r="S60">
        <v>9.6</v>
      </c>
      <c r="T60">
        <v>36.6</v>
      </c>
      <c r="U60">
        <v>328239523</v>
      </c>
      <c r="V60" s="3">
        <v>45882</v>
      </c>
      <c r="W60" s="3">
        <v>23699</v>
      </c>
      <c r="X60">
        <v>60.732403073390444</v>
      </c>
    </row>
    <row r="61" spans="1:24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1797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>
        <v>1699876578871</v>
      </c>
      <c r="R61">
        <v>72.7</v>
      </c>
      <c r="S61">
        <v>11.4</v>
      </c>
      <c r="T61">
        <v>46.2</v>
      </c>
      <c r="U61">
        <v>144373535</v>
      </c>
      <c r="V61" s="3">
        <v>45882</v>
      </c>
      <c r="W61" s="3">
        <v>22284</v>
      </c>
      <c r="X61">
        <v>64.608483214691887</v>
      </c>
    </row>
    <row r="62" spans="1:24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1797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>
        <v>19910000000000</v>
      </c>
      <c r="R62">
        <v>77</v>
      </c>
      <c r="S62">
        <v>9.4</v>
      </c>
      <c r="T62">
        <v>59.2</v>
      </c>
      <c r="U62">
        <v>1397715000</v>
      </c>
      <c r="V62" s="3">
        <v>45882</v>
      </c>
      <c r="W62" s="3">
        <v>23630</v>
      </c>
      <c r="X62">
        <v>60.921310606729669</v>
      </c>
    </row>
    <row r="63" spans="1:24">
      <c r="A63">
        <v>352</v>
      </c>
      <c r="B63" t="s">
        <v>292</v>
      </c>
      <c r="C63" t="s">
        <v>1322</v>
      </c>
      <c r="D63" t="s">
        <v>32</v>
      </c>
      <c r="E63" t="s">
        <v>742</v>
      </c>
      <c r="F63" t="s">
        <v>1219</v>
      </c>
      <c r="G63" t="s">
        <v>292</v>
      </c>
      <c r="H63" t="b">
        <v>0</v>
      </c>
      <c r="I63" t="s">
        <v>1796</v>
      </c>
      <c r="J63" t="s">
        <v>1323</v>
      </c>
      <c r="K63" t="s">
        <v>1324</v>
      </c>
      <c r="L63">
        <v>6800</v>
      </c>
      <c r="M63">
        <v>1964</v>
      </c>
      <c r="N63">
        <v>3</v>
      </c>
      <c r="O63">
        <v>9</v>
      </c>
      <c r="P63">
        <v>117.24</v>
      </c>
      <c r="Q63">
        <v>21427700000000</v>
      </c>
      <c r="R63">
        <v>78.5</v>
      </c>
      <c r="S63">
        <v>9.6</v>
      </c>
      <c r="T63">
        <v>36.6</v>
      </c>
      <c r="U63">
        <v>328239523</v>
      </c>
      <c r="V63" s="3">
        <v>45882</v>
      </c>
      <c r="W63" s="3">
        <v>23445</v>
      </c>
      <c r="X63">
        <v>61.427801819305841</v>
      </c>
    </row>
    <row r="64" spans="1:24">
      <c r="A64">
        <v>344</v>
      </c>
      <c r="B64" t="s">
        <v>38</v>
      </c>
      <c r="C64" t="s">
        <v>1307</v>
      </c>
      <c r="D64" t="s">
        <v>105</v>
      </c>
      <c r="E64" t="s">
        <v>1308</v>
      </c>
      <c r="F64" t="s">
        <v>1309</v>
      </c>
      <c r="G64" t="s">
        <v>38</v>
      </c>
      <c r="H64" t="b">
        <v>1</v>
      </c>
      <c r="I64" t="s">
        <v>1797</v>
      </c>
      <c r="J64" t="s">
        <v>657</v>
      </c>
      <c r="K64" t="s">
        <v>1310</v>
      </c>
      <c r="L64">
        <v>6900</v>
      </c>
      <c r="M64">
        <v>1964</v>
      </c>
      <c r="N64">
        <v>9</v>
      </c>
      <c r="O64">
        <v>22</v>
      </c>
      <c r="P64">
        <v>125.08</v>
      </c>
      <c r="Q64">
        <v>19910000000000</v>
      </c>
      <c r="R64">
        <v>77</v>
      </c>
      <c r="S64">
        <v>9.4</v>
      </c>
      <c r="T64">
        <v>59.2</v>
      </c>
      <c r="U64">
        <v>1397715000</v>
      </c>
      <c r="V64" s="3">
        <v>45882</v>
      </c>
      <c r="W64" s="3">
        <v>23642</v>
      </c>
      <c r="X64">
        <v>60.888457122670673</v>
      </c>
    </row>
    <row r="65" spans="1:24">
      <c r="A65">
        <v>332</v>
      </c>
      <c r="B65" t="s">
        <v>103</v>
      </c>
      <c r="C65" t="s">
        <v>1289</v>
      </c>
      <c r="D65" t="s">
        <v>32</v>
      </c>
      <c r="E65" t="s">
        <v>301</v>
      </c>
      <c r="F65" t="s">
        <v>1286</v>
      </c>
      <c r="G65" t="s">
        <v>103</v>
      </c>
      <c r="H65" t="b">
        <v>1</v>
      </c>
      <c r="I65" t="s">
        <v>1797</v>
      </c>
      <c r="J65" t="s">
        <v>1287</v>
      </c>
      <c r="K65" t="s">
        <v>1290</v>
      </c>
      <c r="L65">
        <v>7000</v>
      </c>
      <c r="M65">
        <v>1955</v>
      </c>
      <c r="N65">
        <v>9</v>
      </c>
      <c r="O65">
        <v>16</v>
      </c>
      <c r="P65">
        <v>117.24</v>
      </c>
      <c r="Q65">
        <v>21427700000000</v>
      </c>
      <c r="R65">
        <v>78.5</v>
      </c>
      <c r="S65">
        <v>9.6</v>
      </c>
      <c r="T65">
        <v>36.6</v>
      </c>
      <c r="U65">
        <v>328239523</v>
      </c>
      <c r="V65" s="3">
        <v>45882</v>
      </c>
      <c r="W65" s="3">
        <v>20348</v>
      </c>
      <c r="X65">
        <v>69.907608066941734</v>
      </c>
    </row>
    <row r="66" spans="1:24">
      <c r="A66">
        <v>332</v>
      </c>
      <c r="B66" t="s">
        <v>72</v>
      </c>
      <c r="C66" t="s">
        <v>1282</v>
      </c>
      <c r="D66" t="s">
        <v>74</v>
      </c>
      <c r="E66" t="s">
        <v>75</v>
      </c>
      <c r="F66" t="s">
        <v>72</v>
      </c>
      <c r="G66" t="s">
        <v>72</v>
      </c>
      <c r="H66" t="b">
        <v>0</v>
      </c>
      <c r="I66" t="s">
        <v>1797</v>
      </c>
      <c r="J66" t="s">
        <v>1280</v>
      </c>
      <c r="K66" t="s">
        <v>1283</v>
      </c>
      <c r="L66">
        <v>7000</v>
      </c>
      <c r="M66">
        <v>1964</v>
      </c>
      <c r="N66">
        <v>9</v>
      </c>
      <c r="O66">
        <v>6</v>
      </c>
      <c r="P66">
        <v>180.44</v>
      </c>
      <c r="Q66">
        <v>2611000000000</v>
      </c>
      <c r="R66">
        <v>69.400000000000006</v>
      </c>
      <c r="S66">
        <v>11.2</v>
      </c>
      <c r="T66">
        <v>49.7</v>
      </c>
      <c r="U66">
        <v>1366417754</v>
      </c>
      <c r="V66" s="3">
        <v>45882</v>
      </c>
      <c r="W66" s="3">
        <v>23626</v>
      </c>
      <c r="X66">
        <v>60.932261768082668</v>
      </c>
    </row>
    <row r="67" spans="1:24">
      <c r="A67">
        <v>332</v>
      </c>
      <c r="B67" t="s">
        <v>38</v>
      </c>
      <c r="C67" t="s">
        <v>1260</v>
      </c>
      <c r="D67" t="s">
        <v>32</v>
      </c>
      <c r="E67" t="s">
        <v>856</v>
      </c>
      <c r="F67" t="s">
        <v>739</v>
      </c>
      <c r="G67" t="s">
        <v>38</v>
      </c>
      <c r="H67" t="b">
        <v>1</v>
      </c>
      <c r="I67" t="s">
        <v>1797</v>
      </c>
      <c r="J67" t="s">
        <v>1261</v>
      </c>
      <c r="K67" t="s">
        <v>1262</v>
      </c>
      <c r="L67">
        <v>7000</v>
      </c>
      <c r="M67">
        <v>1964</v>
      </c>
      <c r="N67">
        <v>9</v>
      </c>
      <c r="O67">
        <v>25</v>
      </c>
      <c r="P67">
        <v>117.24</v>
      </c>
      <c r="Q67">
        <v>21427700000000</v>
      </c>
      <c r="R67">
        <v>78.5</v>
      </c>
      <c r="S67">
        <v>9.6</v>
      </c>
      <c r="T67">
        <v>36.6</v>
      </c>
      <c r="U67">
        <v>328239523</v>
      </c>
      <c r="V67" s="3">
        <v>45882</v>
      </c>
      <c r="W67" s="3">
        <v>23645</v>
      </c>
      <c r="X67">
        <v>60.880243751655925</v>
      </c>
    </row>
    <row r="68" spans="1:24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1797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>
        <v>5081769542380</v>
      </c>
      <c r="R68">
        <v>84.2</v>
      </c>
      <c r="S68">
        <v>11.9</v>
      </c>
      <c r="T68">
        <v>46.7</v>
      </c>
      <c r="U68">
        <v>126226568</v>
      </c>
      <c r="V68" s="3">
        <v>45882</v>
      </c>
      <c r="W68" s="3">
        <v>21043</v>
      </c>
      <c r="X68">
        <v>68.006150305531307</v>
      </c>
    </row>
    <row r="69" spans="1:24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1797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>
        <v>1699876578871</v>
      </c>
      <c r="R69">
        <v>72.7</v>
      </c>
      <c r="S69">
        <v>11.4</v>
      </c>
      <c r="T69">
        <v>46.2</v>
      </c>
      <c r="U69">
        <v>144373535</v>
      </c>
      <c r="V69" s="3">
        <v>45882</v>
      </c>
      <c r="W69" s="3">
        <v>20582</v>
      </c>
      <c r="X69">
        <v>69.266270337922407</v>
      </c>
    </row>
    <row r="70" spans="1:24">
      <c r="A70">
        <v>325</v>
      </c>
      <c r="B70" t="s">
        <v>250</v>
      </c>
      <c r="C70" t="s">
        <v>1245</v>
      </c>
      <c r="D70" t="s">
        <v>105</v>
      </c>
      <c r="E70" t="s">
        <v>575</v>
      </c>
      <c r="F70" t="s">
        <v>1246</v>
      </c>
      <c r="G70" t="s">
        <v>250</v>
      </c>
      <c r="H70" t="b">
        <v>1</v>
      </c>
      <c r="I70" t="s">
        <v>1797</v>
      </c>
      <c r="J70" t="s">
        <v>1247</v>
      </c>
      <c r="K70" t="s">
        <v>1248</v>
      </c>
      <c r="L70">
        <v>7100</v>
      </c>
      <c r="M70">
        <v>1956</v>
      </c>
      <c r="N70">
        <v>12</v>
      </c>
      <c r="O70">
        <v>14</v>
      </c>
      <c r="P70">
        <v>125.08</v>
      </c>
      <c r="Q70">
        <v>19910000000000</v>
      </c>
      <c r="R70">
        <v>77</v>
      </c>
      <c r="S70">
        <v>9.4</v>
      </c>
      <c r="T70">
        <v>59.2</v>
      </c>
      <c r="U70">
        <v>1397715000</v>
      </c>
      <c r="V70" s="3">
        <v>45882</v>
      </c>
      <c r="W70" s="3">
        <v>20803</v>
      </c>
      <c r="X70">
        <v>68.661217146433046</v>
      </c>
    </row>
    <row r="71" spans="1:24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1796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>
        <v>21427700000000</v>
      </c>
      <c r="R71">
        <v>78.5</v>
      </c>
      <c r="S71">
        <v>9.6</v>
      </c>
      <c r="T71">
        <v>36.6</v>
      </c>
      <c r="U71">
        <v>328239523</v>
      </c>
      <c r="V71" s="3">
        <v>45882</v>
      </c>
      <c r="W71" s="3">
        <v>22634</v>
      </c>
      <c r="X71">
        <v>63.650225348553136</v>
      </c>
    </row>
    <row r="72" spans="1:24">
      <c r="A72">
        <v>325</v>
      </c>
      <c r="B72" t="s">
        <v>381</v>
      </c>
      <c r="C72" t="s">
        <v>1240</v>
      </c>
      <c r="D72" t="s">
        <v>32</v>
      </c>
      <c r="E72" t="s">
        <v>1241</v>
      </c>
      <c r="F72" t="s">
        <v>1242</v>
      </c>
      <c r="G72" t="s">
        <v>381</v>
      </c>
      <c r="H72" t="b">
        <v>0</v>
      </c>
      <c r="I72" t="s">
        <v>1796</v>
      </c>
      <c r="J72" t="s">
        <v>1243</v>
      </c>
      <c r="K72" t="s">
        <v>1244</v>
      </c>
      <c r="L72">
        <v>7100</v>
      </c>
      <c r="M72">
        <v>1961</v>
      </c>
      <c r="N72">
        <v>11</v>
      </c>
      <c r="O72">
        <v>16</v>
      </c>
      <c r="P72">
        <v>117.24</v>
      </c>
      <c r="Q72">
        <v>21427700000000</v>
      </c>
      <c r="R72">
        <v>78.5</v>
      </c>
      <c r="S72">
        <v>9.6</v>
      </c>
      <c r="T72">
        <v>36.6</v>
      </c>
      <c r="U72">
        <v>328239523</v>
      </c>
      <c r="V72" s="3">
        <v>45882</v>
      </c>
      <c r="W72" s="3">
        <v>22601</v>
      </c>
      <c r="X72">
        <v>63.740575375931932</v>
      </c>
    </row>
    <row r="73" spans="1:24">
      <c r="A73">
        <v>317</v>
      </c>
      <c r="B73" t="s">
        <v>21</v>
      </c>
      <c r="C73" t="s">
        <v>1225</v>
      </c>
      <c r="D73" t="s">
        <v>219</v>
      </c>
      <c r="E73" t="s">
        <v>220</v>
      </c>
      <c r="F73" t="s">
        <v>1226</v>
      </c>
      <c r="G73" t="s">
        <v>21</v>
      </c>
      <c r="H73" t="b">
        <v>0</v>
      </c>
      <c r="I73" t="s">
        <v>1797</v>
      </c>
      <c r="J73" t="s">
        <v>1227</v>
      </c>
      <c r="K73" t="s">
        <v>1228</v>
      </c>
      <c r="L73">
        <v>7200</v>
      </c>
      <c r="M73">
        <v>1961</v>
      </c>
      <c r="N73">
        <v>7</v>
      </c>
      <c r="O73">
        <v>12</v>
      </c>
      <c r="P73">
        <v>105.48</v>
      </c>
      <c r="Q73">
        <v>5081769542380</v>
      </c>
      <c r="R73">
        <v>84.2</v>
      </c>
      <c r="S73">
        <v>11.9</v>
      </c>
      <c r="T73">
        <v>46.7</v>
      </c>
      <c r="U73">
        <v>126226568</v>
      </c>
      <c r="V73" s="3">
        <v>45882</v>
      </c>
      <c r="W73" s="3">
        <v>22474</v>
      </c>
      <c r="X73">
        <v>64.088286087359421</v>
      </c>
    </row>
    <row r="74" spans="1:24">
      <c r="A74">
        <v>317</v>
      </c>
      <c r="B74" t="s">
        <v>49</v>
      </c>
      <c r="C74" t="s">
        <v>1207</v>
      </c>
      <c r="D74" t="s">
        <v>32</v>
      </c>
      <c r="E74" t="s">
        <v>1208</v>
      </c>
      <c r="F74" t="s">
        <v>258</v>
      </c>
      <c r="G74" t="s">
        <v>49</v>
      </c>
      <c r="H74" t="b">
        <v>1</v>
      </c>
      <c r="I74" t="s">
        <v>1797</v>
      </c>
      <c r="J74" t="s">
        <v>1209</v>
      </c>
      <c r="K74" t="s">
        <v>1145</v>
      </c>
      <c r="L74">
        <v>7200</v>
      </c>
      <c r="M74">
        <v>1957</v>
      </c>
      <c r="N74">
        <v>11</v>
      </c>
      <c r="O74">
        <v>25</v>
      </c>
      <c r="P74">
        <v>117.24</v>
      </c>
      <c r="Q74">
        <v>21427700000000</v>
      </c>
      <c r="R74">
        <v>78.5</v>
      </c>
      <c r="S74">
        <v>9.6</v>
      </c>
      <c r="T74">
        <v>36.6</v>
      </c>
      <c r="U74">
        <v>328239523</v>
      </c>
      <c r="V74" s="3">
        <v>45882</v>
      </c>
      <c r="W74" s="3">
        <v>21149</v>
      </c>
      <c r="X74">
        <v>67.715935243234668</v>
      </c>
    </row>
    <row r="75" spans="1:24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1797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>
        <v>21427700000000</v>
      </c>
      <c r="R75">
        <v>78.5</v>
      </c>
      <c r="S75">
        <v>9.6</v>
      </c>
      <c r="T75">
        <v>36.6</v>
      </c>
      <c r="U75">
        <v>328239523</v>
      </c>
      <c r="V75" s="3">
        <v>45882</v>
      </c>
      <c r="W75" s="3">
        <v>23059</v>
      </c>
      <c r="X75">
        <v>62.485289644083267</v>
      </c>
    </row>
    <row r="76" spans="1:24">
      <c r="A76">
        <v>312</v>
      </c>
      <c r="B76" t="s">
        <v>168</v>
      </c>
      <c r="C76" t="s">
        <v>1200</v>
      </c>
      <c r="D76" t="s">
        <v>967</v>
      </c>
      <c r="E76" t="s">
        <v>968</v>
      </c>
      <c r="F76" t="s">
        <v>1201</v>
      </c>
      <c r="G76" t="s">
        <v>168</v>
      </c>
      <c r="H76" t="b">
        <v>0</v>
      </c>
      <c r="I76" t="s">
        <v>1797</v>
      </c>
      <c r="J76" t="s">
        <v>1202</v>
      </c>
      <c r="K76" t="s">
        <v>1203</v>
      </c>
      <c r="L76">
        <v>7300</v>
      </c>
      <c r="M76">
        <v>1960</v>
      </c>
      <c r="N76">
        <v>3</v>
      </c>
      <c r="O76">
        <v>3</v>
      </c>
      <c r="P76">
        <v>129.61000000000001</v>
      </c>
      <c r="Q76">
        <v>376795508680</v>
      </c>
      <c r="R76">
        <v>71.099999999999994</v>
      </c>
      <c r="S76">
        <v>14</v>
      </c>
      <c r="T76">
        <v>43.1</v>
      </c>
      <c r="U76">
        <v>108116615</v>
      </c>
      <c r="V76" s="3">
        <v>45882</v>
      </c>
      <c r="W76" s="3">
        <v>21978</v>
      </c>
      <c r="X76">
        <v>65.444227817646322</v>
      </c>
    </row>
    <row r="77" spans="1:24">
      <c r="A77">
        <v>312</v>
      </c>
      <c r="B77" t="s">
        <v>272</v>
      </c>
      <c r="C77" t="s">
        <v>1190</v>
      </c>
      <c r="D77" t="s">
        <v>327</v>
      </c>
      <c r="E77" t="s">
        <v>328</v>
      </c>
      <c r="F77" t="s">
        <v>1191</v>
      </c>
      <c r="G77" t="s">
        <v>272</v>
      </c>
      <c r="H77" t="b">
        <v>1</v>
      </c>
      <c r="I77" t="s">
        <v>1797</v>
      </c>
      <c r="J77" t="s">
        <v>1192</v>
      </c>
      <c r="K77" t="s">
        <v>1193</v>
      </c>
      <c r="L77">
        <v>7300</v>
      </c>
      <c r="M77">
        <v>1963</v>
      </c>
      <c r="N77">
        <v>12</v>
      </c>
      <c r="O77">
        <v>5</v>
      </c>
      <c r="P77">
        <v>180.75</v>
      </c>
      <c r="Q77">
        <v>1699876578871</v>
      </c>
      <c r="R77">
        <v>72.7</v>
      </c>
      <c r="S77">
        <v>11.4</v>
      </c>
      <c r="T77">
        <v>46.2</v>
      </c>
      <c r="U77">
        <v>144373535</v>
      </c>
      <c r="V77" s="3">
        <v>45882</v>
      </c>
      <c r="W77" s="3">
        <v>23350</v>
      </c>
      <c r="X77">
        <v>61.688583720829172</v>
      </c>
    </row>
    <row r="78" spans="1:24">
      <c r="A78">
        <v>305</v>
      </c>
      <c r="B78" t="s">
        <v>580</v>
      </c>
      <c r="C78" t="s">
        <v>1174</v>
      </c>
      <c r="D78" t="s">
        <v>1175</v>
      </c>
      <c r="E78" t="s">
        <v>1176</v>
      </c>
      <c r="F78" t="s">
        <v>1177</v>
      </c>
      <c r="G78" t="s">
        <v>580</v>
      </c>
      <c r="H78" t="b">
        <v>0</v>
      </c>
      <c r="I78" t="s">
        <v>1797</v>
      </c>
      <c r="J78" t="s">
        <v>1178</v>
      </c>
      <c r="K78" t="s">
        <v>1179</v>
      </c>
      <c r="L78">
        <v>7400</v>
      </c>
      <c r="M78">
        <v>1961</v>
      </c>
      <c r="N78">
        <v>1</v>
      </c>
      <c r="O78">
        <v>19</v>
      </c>
      <c r="P78">
        <v>288.57</v>
      </c>
      <c r="Q78">
        <v>303175127598</v>
      </c>
      <c r="R78">
        <v>71.8</v>
      </c>
      <c r="S78">
        <v>12.5</v>
      </c>
      <c r="T78">
        <v>44.4</v>
      </c>
      <c r="U78">
        <v>100388073</v>
      </c>
      <c r="V78" s="3">
        <v>45882</v>
      </c>
      <c r="W78" s="3">
        <v>22300</v>
      </c>
      <c r="X78">
        <v>64.564677140811256</v>
      </c>
    </row>
    <row r="79" spans="1:24">
      <c r="A79">
        <v>305</v>
      </c>
      <c r="B79" t="s">
        <v>21</v>
      </c>
      <c r="C79" t="s">
        <v>1165</v>
      </c>
      <c r="D79" t="s">
        <v>105</v>
      </c>
      <c r="E79" t="s">
        <v>827</v>
      </c>
      <c r="F79" t="s">
        <v>1166</v>
      </c>
      <c r="G79" t="s">
        <v>21</v>
      </c>
      <c r="H79" t="b">
        <v>1</v>
      </c>
      <c r="I79" t="s">
        <v>1797</v>
      </c>
      <c r="J79" t="s">
        <v>194</v>
      </c>
      <c r="K79" t="s">
        <v>1167</v>
      </c>
      <c r="L79">
        <v>7400</v>
      </c>
      <c r="M79">
        <v>1964</v>
      </c>
      <c r="N79">
        <v>1</v>
      </c>
      <c r="O79">
        <v>1</v>
      </c>
      <c r="P79">
        <v>125.08</v>
      </c>
      <c r="Q79">
        <v>19910000000000</v>
      </c>
      <c r="R79">
        <v>77</v>
      </c>
      <c r="S79">
        <v>9.4</v>
      </c>
      <c r="T79">
        <v>59.2</v>
      </c>
      <c r="U79">
        <v>1397715000</v>
      </c>
      <c r="V79" s="3">
        <v>45882</v>
      </c>
      <c r="W79" s="3">
        <v>23377</v>
      </c>
      <c r="X79">
        <v>61.613971562306808</v>
      </c>
    </row>
    <row r="80" spans="1:24">
      <c r="A80">
        <v>299</v>
      </c>
      <c r="B80" t="s">
        <v>21</v>
      </c>
      <c r="C80" t="s">
        <v>1150</v>
      </c>
      <c r="D80" t="s">
        <v>105</v>
      </c>
      <c r="E80" t="s">
        <v>1061</v>
      </c>
      <c r="F80" t="s">
        <v>1062</v>
      </c>
      <c r="G80" t="s">
        <v>21</v>
      </c>
      <c r="H80" t="b">
        <v>1</v>
      </c>
      <c r="I80" t="s">
        <v>1797</v>
      </c>
      <c r="J80" t="s">
        <v>282</v>
      </c>
      <c r="K80" t="s">
        <v>1151</v>
      </c>
      <c r="L80">
        <v>7500</v>
      </c>
      <c r="M80">
        <v>1964</v>
      </c>
      <c r="N80">
        <v>1</v>
      </c>
      <c r="O80">
        <v>1</v>
      </c>
      <c r="P80">
        <v>125.08</v>
      </c>
      <c r="Q80">
        <v>19910000000000</v>
      </c>
      <c r="R80">
        <v>77</v>
      </c>
      <c r="S80">
        <v>9.4</v>
      </c>
      <c r="T80">
        <v>59.2</v>
      </c>
      <c r="U80">
        <v>1397715000</v>
      </c>
      <c r="V80" s="3">
        <v>45882</v>
      </c>
      <c r="W80" s="3">
        <v>23377</v>
      </c>
      <c r="X80">
        <v>61.613971562306808</v>
      </c>
    </row>
    <row r="81" spans="1:24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1797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>
        <v>1392680589329</v>
      </c>
      <c r="R81">
        <v>82.7</v>
      </c>
      <c r="S81">
        <v>23</v>
      </c>
      <c r="T81">
        <v>47.4</v>
      </c>
      <c r="U81">
        <v>25766605</v>
      </c>
      <c r="V81" s="3">
        <v>45882</v>
      </c>
      <c r="W81" s="3">
        <v>22603</v>
      </c>
      <c r="X81">
        <v>63.735099616696857</v>
      </c>
    </row>
    <row r="82" spans="1:24">
      <c r="A82">
        <v>290</v>
      </c>
      <c r="B82" t="s">
        <v>351</v>
      </c>
      <c r="C82" t="s">
        <v>1141</v>
      </c>
      <c r="D82" t="s">
        <v>105</v>
      </c>
      <c r="E82" t="s">
        <v>246</v>
      </c>
      <c r="F82" t="s">
        <v>517</v>
      </c>
      <c r="G82" t="s">
        <v>351</v>
      </c>
      <c r="H82" t="b">
        <v>1</v>
      </c>
      <c r="I82" t="s">
        <v>1796</v>
      </c>
      <c r="J82" t="s">
        <v>108</v>
      </c>
      <c r="K82" t="s">
        <v>1142</v>
      </c>
      <c r="L82">
        <v>7600</v>
      </c>
      <c r="M82">
        <v>1961</v>
      </c>
      <c r="N82">
        <v>1</v>
      </c>
      <c r="O82">
        <v>1</v>
      </c>
      <c r="P82">
        <v>125.08</v>
      </c>
      <c r="Q82">
        <v>19910000000000</v>
      </c>
      <c r="R82">
        <v>77</v>
      </c>
      <c r="S82">
        <v>9.4</v>
      </c>
      <c r="T82">
        <v>59.2</v>
      </c>
      <c r="U82">
        <v>1397715000</v>
      </c>
      <c r="V82" s="3">
        <v>45882</v>
      </c>
      <c r="W82" s="3">
        <v>22282</v>
      </c>
      <c r="X82">
        <v>64.613958973926955</v>
      </c>
    </row>
    <row r="83" spans="1:24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1797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>
        <v>19910000000000</v>
      </c>
      <c r="R83">
        <v>77</v>
      </c>
      <c r="S83">
        <v>9.4</v>
      </c>
      <c r="T83">
        <v>59.2</v>
      </c>
      <c r="U83">
        <v>1397715000</v>
      </c>
      <c r="V83" s="3">
        <v>45882</v>
      </c>
      <c r="W83" s="3">
        <v>23163</v>
      </c>
      <c r="X83">
        <v>62.200556255703795</v>
      </c>
    </row>
    <row r="84" spans="1:24">
      <c r="A84">
        <v>290</v>
      </c>
      <c r="B84" t="s">
        <v>250</v>
      </c>
      <c r="C84" t="s">
        <v>1137</v>
      </c>
      <c r="D84" t="s">
        <v>226</v>
      </c>
      <c r="E84" t="s">
        <v>227</v>
      </c>
      <c r="F84" t="s">
        <v>348</v>
      </c>
      <c r="G84" t="s">
        <v>250</v>
      </c>
      <c r="H84" t="b">
        <v>1</v>
      </c>
      <c r="I84" t="s">
        <v>1797</v>
      </c>
      <c r="J84" t="s">
        <v>1138</v>
      </c>
      <c r="K84" t="s">
        <v>190</v>
      </c>
      <c r="L84">
        <v>7600</v>
      </c>
      <c r="M84">
        <v>1957</v>
      </c>
      <c r="N84">
        <v>3</v>
      </c>
      <c r="O84">
        <v>7</v>
      </c>
      <c r="P84">
        <v>119.62</v>
      </c>
      <c r="Q84">
        <v>2827113184696</v>
      </c>
      <c r="R84">
        <v>81.3</v>
      </c>
      <c r="S84">
        <v>25.5</v>
      </c>
      <c r="T84">
        <v>30.6</v>
      </c>
      <c r="U84">
        <v>66834405</v>
      </c>
      <c r="V84" s="3">
        <v>45882</v>
      </c>
      <c r="W84" s="3">
        <v>20886</v>
      </c>
      <c r="X84">
        <v>68.435997143083881</v>
      </c>
    </row>
    <row r="85" spans="1:24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1797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>
        <v>19910000000000</v>
      </c>
      <c r="R85">
        <v>77</v>
      </c>
      <c r="S85">
        <v>9.4</v>
      </c>
      <c r="T85">
        <v>59.2</v>
      </c>
      <c r="U85">
        <v>1397715000</v>
      </c>
      <c r="V85" s="3">
        <v>45882</v>
      </c>
      <c r="W85" s="3">
        <v>23849</v>
      </c>
      <c r="X85">
        <v>60.32374326750449</v>
      </c>
    </row>
    <row r="86" spans="1:24">
      <c r="A86">
        <v>290</v>
      </c>
      <c r="B86" t="s">
        <v>462</v>
      </c>
      <c r="C86" t="s">
        <v>1135</v>
      </c>
      <c r="D86" t="s">
        <v>555</v>
      </c>
      <c r="E86" t="s">
        <v>555</v>
      </c>
      <c r="F86" t="s">
        <v>462</v>
      </c>
      <c r="G86" t="s">
        <v>462</v>
      </c>
      <c r="H86" t="b">
        <v>0</v>
      </c>
      <c r="I86" t="s">
        <v>1797</v>
      </c>
      <c r="J86" t="s">
        <v>1136</v>
      </c>
      <c r="K86" t="s">
        <v>696</v>
      </c>
      <c r="L86">
        <v>7600</v>
      </c>
      <c r="M86">
        <v>1959</v>
      </c>
      <c r="N86">
        <v>1</v>
      </c>
      <c r="O86">
        <v>1</v>
      </c>
      <c r="P86">
        <v>114.41</v>
      </c>
      <c r="Q86">
        <v>372062527489</v>
      </c>
      <c r="R86">
        <v>83.1</v>
      </c>
      <c r="S86">
        <v>13.1</v>
      </c>
      <c r="T86">
        <v>21</v>
      </c>
      <c r="U86">
        <v>5703569</v>
      </c>
      <c r="V86" s="3">
        <v>45882</v>
      </c>
      <c r="W86" s="3">
        <v>21551</v>
      </c>
      <c r="X86">
        <v>66.613966982674086</v>
      </c>
    </row>
    <row r="87" spans="1:24">
      <c r="A87">
        <v>290</v>
      </c>
      <c r="B87" t="s">
        <v>250</v>
      </c>
      <c r="C87" t="s">
        <v>1130</v>
      </c>
      <c r="D87" t="s">
        <v>226</v>
      </c>
      <c r="E87" t="s">
        <v>227</v>
      </c>
      <c r="F87" t="s">
        <v>348</v>
      </c>
      <c r="G87" t="s">
        <v>250</v>
      </c>
      <c r="H87" t="b">
        <v>1</v>
      </c>
      <c r="I87" t="s">
        <v>1797</v>
      </c>
      <c r="J87" t="s">
        <v>1131</v>
      </c>
      <c r="K87" t="s">
        <v>412</v>
      </c>
      <c r="L87">
        <v>7600</v>
      </c>
      <c r="M87">
        <v>1955</v>
      </c>
      <c r="N87">
        <v>12</v>
      </c>
      <c r="O87">
        <v>4</v>
      </c>
      <c r="P87">
        <v>119.62</v>
      </c>
      <c r="Q87">
        <v>2827113184696</v>
      </c>
      <c r="R87">
        <v>81.3</v>
      </c>
      <c r="S87">
        <v>25.5</v>
      </c>
      <c r="T87">
        <v>30.6</v>
      </c>
      <c r="U87">
        <v>66834405</v>
      </c>
      <c r="V87" s="3">
        <v>45882</v>
      </c>
      <c r="W87" s="3">
        <v>20427</v>
      </c>
      <c r="X87">
        <v>69.691319939844988</v>
      </c>
    </row>
    <row r="88" spans="1:24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1797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>
        <v>21427700000000</v>
      </c>
      <c r="R88">
        <v>78.5</v>
      </c>
      <c r="S88">
        <v>9.6</v>
      </c>
      <c r="T88">
        <v>36.6</v>
      </c>
      <c r="U88">
        <v>328239523</v>
      </c>
      <c r="V88" s="3">
        <v>45882</v>
      </c>
      <c r="W88" s="3">
        <v>21074</v>
      </c>
      <c r="X88">
        <v>67.921276089199267</v>
      </c>
    </row>
    <row r="89" spans="1:24">
      <c r="A89">
        <v>282</v>
      </c>
      <c r="B89" t="s">
        <v>462</v>
      </c>
      <c r="C89" t="s">
        <v>1116</v>
      </c>
      <c r="D89" t="s">
        <v>1117</v>
      </c>
      <c r="E89" t="s">
        <v>1118</v>
      </c>
      <c r="F89" t="s">
        <v>465</v>
      </c>
      <c r="G89" t="s">
        <v>462</v>
      </c>
      <c r="H89" t="b">
        <v>1</v>
      </c>
      <c r="I89" t="s">
        <v>1797</v>
      </c>
      <c r="J89" t="s">
        <v>1119</v>
      </c>
      <c r="K89" t="s">
        <v>1120</v>
      </c>
      <c r="L89">
        <v>7700</v>
      </c>
      <c r="M89">
        <v>1961</v>
      </c>
      <c r="N89">
        <v>6</v>
      </c>
      <c r="O89">
        <v>23</v>
      </c>
      <c r="P89">
        <v>120.27</v>
      </c>
      <c r="Q89">
        <v>403336363636</v>
      </c>
      <c r="R89">
        <v>82.8</v>
      </c>
      <c r="S89">
        <v>23.9</v>
      </c>
      <c r="T89">
        <v>36.200000000000003</v>
      </c>
      <c r="U89">
        <v>5347896</v>
      </c>
      <c r="V89" s="3">
        <v>45882</v>
      </c>
      <c r="W89" s="3">
        <v>22455</v>
      </c>
      <c r="X89">
        <v>64.140305800092662</v>
      </c>
    </row>
    <row r="90" spans="1:24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1797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>
        <v>21427700000000</v>
      </c>
      <c r="R90">
        <v>78.5</v>
      </c>
      <c r="S90">
        <v>9.6</v>
      </c>
      <c r="T90">
        <v>36.6</v>
      </c>
      <c r="U90">
        <v>328239523</v>
      </c>
      <c r="V90" s="3">
        <v>45882</v>
      </c>
      <c r="W90" s="3">
        <v>22663</v>
      </c>
      <c r="X90">
        <v>63.570157426420259</v>
      </c>
    </row>
    <row r="91" spans="1:24">
      <c r="A91">
        <v>276</v>
      </c>
      <c r="B91" t="s">
        <v>250</v>
      </c>
      <c r="C91" t="s">
        <v>1095</v>
      </c>
      <c r="D91" t="s">
        <v>105</v>
      </c>
      <c r="E91" t="s">
        <v>602</v>
      </c>
      <c r="F91" t="s">
        <v>1096</v>
      </c>
      <c r="G91" t="s">
        <v>250</v>
      </c>
      <c r="H91" t="b">
        <v>1</v>
      </c>
      <c r="I91" t="s">
        <v>1797</v>
      </c>
      <c r="J91" t="s">
        <v>1097</v>
      </c>
      <c r="K91" t="s">
        <v>1098</v>
      </c>
      <c r="L91">
        <v>7800</v>
      </c>
      <c r="M91">
        <v>1964</v>
      </c>
      <c r="N91">
        <v>8</v>
      </c>
      <c r="O91">
        <v>1</v>
      </c>
      <c r="P91">
        <v>125.08</v>
      </c>
      <c r="Q91">
        <v>19910000000000</v>
      </c>
      <c r="R91">
        <v>77</v>
      </c>
      <c r="S91">
        <v>9.4</v>
      </c>
      <c r="T91">
        <v>59.2</v>
      </c>
      <c r="U91">
        <v>1397715000</v>
      </c>
      <c r="V91" s="3">
        <v>45882</v>
      </c>
      <c r="W91" s="3">
        <v>23590</v>
      </c>
      <c r="X91">
        <v>61.030822220259651</v>
      </c>
    </row>
    <row r="92" spans="1:24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1797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>
        <v>21427700000000</v>
      </c>
      <c r="R92">
        <v>78.5</v>
      </c>
      <c r="S92">
        <v>9.6</v>
      </c>
      <c r="T92">
        <v>36.6</v>
      </c>
      <c r="U92">
        <v>328239523</v>
      </c>
      <c r="V92" s="3">
        <v>45882</v>
      </c>
      <c r="W92" s="3">
        <v>20617</v>
      </c>
      <c r="X92">
        <v>69.170447434292868</v>
      </c>
    </row>
    <row r="93" spans="1:24">
      <c r="A93">
        <v>276</v>
      </c>
      <c r="B93" t="s">
        <v>250</v>
      </c>
      <c r="C93" t="s">
        <v>1088</v>
      </c>
      <c r="D93" t="s">
        <v>105</v>
      </c>
      <c r="E93" t="s">
        <v>106</v>
      </c>
      <c r="F93" t="s">
        <v>1089</v>
      </c>
      <c r="G93" t="s">
        <v>250</v>
      </c>
      <c r="H93" t="b">
        <v>1</v>
      </c>
      <c r="I93" t="s">
        <v>1797</v>
      </c>
      <c r="J93" t="s">
        <v>419</v>
      </c>
      <c r="K93" t="s">
        <v>1090</v>
      </c>
      <c r="L93">
        <v>7800</v>
      </c>
      <c r="M93">
        <v>1956</v>
      </c>
      <c r="N93">
        <v>7</v>
      </c>
      <c r="O93">
        <v>1</v>
      </c>
      <c r="P93">
        <v>125.08</v>
      </c>
      <c r="Q93">
        <v>19910000000000</v>
      </c>
      <c r="R93">
        <v>77</v>
      </c>
      <c r="S93">
        <v>9.4</v>
      </c>
      <c r="T93">
        <v>59.2</v>
      </c>
      <c r="U93">
        <v>1397715000</v>
      </c>
      <c r="V93" s="3">
        <v>45882</v>
      </c>
      <c r="W93" s="3">
        <v>20637</v>
      </c>
      <c r="X93">
        <v>69.115691489361694</v>
      </c>
    </row>
    <row r="94" spans="1:24">
      <c r="A94">
        <v>261</v>
      </c>
      <c r="B94" t="s">
        <v>272</v>
      </c>
      <c r="C94" t="s">
        <v>1053</v>
      </c>
      <c r="D94" t="s">
        <v>487</v>
      </c>
      <c r="E94" t="s">
        <v>488</v>
      </c>
      <c r="F94" t="s">
        <v>1054</v>
      </c>
      <c r="G94" t="s">
        <v>272</v>
      </c>
      <c r="H94" t="b">
        <v>1</v>
      </c>
      <c r="I94" t="s">
        <v>1797</v>
      </c>
      <c r="J94" t="s">
        <v>1055</v>
      </c>
      <c r="K94" t="s">
        <v>648</v>
      </c>
      <c r="L94">
        <v>8000</v>
      </c>
      <c r="M94">
        <v>1964</v>
      </c>
      <c r="N94">
        <v>5</v>
      </c>
      <c r="O94">
        <v>15</v>
      </c>
      <c r="P94">
        <v>116.48</v>
      </c>
      <c r="Q94">
        <v>246489245495</v>
      </c>
      <c r="R94">
        <v>79</v>
      </c>
      <c r="S94">
        <v>14.9</v>
      </c>
      <c r="T94">
        <v>46.1</v>
      </c>
      <c r="U94">
        <v>10669709</v>
      </c>
      <c r="V94" s="3">
        <v>45882</v>
      </c>
      <c r="W94" s="3">
        <v>23512</v>
      </c>
      <c r="X94">
        <v>61.244369866643119</v>
      </c>
    </row>
    <row r="95" spans="1:24">
      <c r="A95">
        <v>261</v>
      </c>
      <c r="B95" t="s">
        <v>49</v>
      </c>
      <c r="C95" t="s">
        <v>1050</v>
      </c>
      <c r="D95" t="s">
        <v>32</v>
      </c>
      <c r="E95" t="s">
        <v>33</v>
      </c>
      <c r="F95" t="s">
        <v>802</v>
      </c>
      <c r="G95" t="s">
        <v>49</v>
      </c>
      <c r="H95" t="b">
        <v>1</v>
      </c>
      <c r="I95" t="s">
        <v>1797</v>
      </c>
      <c r="J95" t="s">
        <v>1051</v>
      </c>
      <c r="K95" t="s">
        <v>1052</v>
      </c>
      <c r="L95">
        <v>8000</v>
      </c>
      <c r="M95">
        <v>1962</v>
      </c>
      <c r="N95">
        <v>12</v>
      </c>
      <c r="O95">
        <v>1</v>
      </c>
      <c r="P95">
        <v>117.24</v>
      </c>
      <c r="Q95">
        <v>21427700000000</v>
      </c>
      <c r="R95">
        <v>78.5</v>
      </c>
      <c r="S95">
        <v>9.6</v>
      </c>
      <c r="T95">
        <v>36.6</v>
      </c>
      <c r="U95">
        <v>328239523</v>
      </c>
      <c r="V95" s="3">
        <v>45882</v>
      </c>
      <c r="W95" s="3">
        <v>22981</v>
      </c>
      <c r="X95">
        <v>62.699520876112253</v>
      </c>
    </row>
    <row r="96" spans="1:24">
      <c r="A96">
        <v>261</v>
      </c>
      <c r="B96" t="s">
        <v>292</v>
      </c>
      <c r="C96" t="s">
        <v>1040</v>
      </c>
      <c r="D96" t="s">
        <v>327</v>
      </c>
      <c r="E96" t="s">
        <v>328</v>
      </c>
      <c r="F96" t="s">
        <v>403</v>
      </c>
      <c r="G96" t="s">
        <v>292</v>
      </c>
      <c r="H96" t="b">
        <v>1</v>
      </c>
      <c r="I96" t="s">
        <v>1797</v>
      </c>
      <c r="J96" t="s">
        <v>1041</v>
      </c>
      <c r="K96" t="s">
        <v>377</v>
      </c>
      <c r="L96">
        <v>8000</v>
      </c>
      <c r="M96">
        <v>1956</v>
      </c>
      <c r="N96">
        <v>4</v>
      </c>
      <c r="O96">
        <v>5</v>
      </c>
      <c r="P96">
        <v>180.75</v>
      </c>
      <c r="Q96">
        <v>1699876578871</v>
      </c>
      <c r="R96">
        <v>72.7</v>
      </c>
      <c r="S96">
        <v>11.4</v>
      </c>
      <c r="T96">
        <v>46.2</v>
      </c>
      <c r="U96">
        <v>144373535</v>
      </c>
      <c r="V96" s="3">
        <v>45882</v>
      </c>
      <c r="W96" s="3">
        <v>20550</v>
      </c>
      <c r="X96">
        <v>69.353879849812259</v>
      </c>
    </row>
    <row r="97" spans="1:24">
      <c r="A97">
        <v>256</v>
      </c>
      <c r="B97" t="s">
        <v>72</v>
      </c>
      <c r="C97" t="s">
        <v>1029</v>
      </c>
      <c r="D97" t="s">
        <v>23</v>
      </c>
      <c r="E97" t="s">
        <v>24</v>
      </c>
      <c r="F97" t="s">
        <v>72</v>
      </c>
      <c r="G97" t="s">
        <v>72</v>
      </c>
      <c r="H97" t="b">
        <v>0</v>
      </c>
      <c r="I97" t="s">
        <v>1796</v>
      </c>
      <c r="J97" t="s">
        <v>1030</v>
      </c>
      <c r="K97" t="s">
        <v>1031</v>
      </c>
      <c r="L97">
        <v>8100</v>
      </c>
      <c r="M97">
        <v>1965</v>
      </c>
      <c r="N97">
        <v>4</v>
      </c>
      <c r="O97">
        <v>4</v>
      </c>
      <c r="P97">
        <v>110.05</v>
      </c>
      <c r="Q97">
        <v>2715518274227</v>
      </c>
      <c r="R97">
        <v>82.5</v>
      </c>
      <c r="S97">
        <v>24.2</v>
      </c>
      <c r="T97">
        <v>60.7</v>
      </c>
      <c r="U97">
        <v>67059887</v>
      </c>
      <c r="V97" s="3">
        <v>45882</v>
      </c>
      <c r="W97" s="3">
        <v>23836</v>
      </c>
      <c r="X97">
        <v>60.359335727109517</v>
      </c>
    </row>
    <row r="98" spans="1:24">
      <c r="A98">
        <v>256</v>
      </c>
      <c r="B98" t="s">
        <v>103</v>
      </c>
      <c r="C98" t="s">
        <v>1025</v>
      </c>
      <c r="D98" t="s">
        <v>32</v>
      </c>
      <c r="E98" t="s">
        <v>742</v>
      </c>
      <c r="F98" t="s">
        <v>1026</v>
      </c>
      <c r="G98" t="s">
        <v>103</v>
      </c>
      <c r="H98" t="b">
        <v>1</v>
      </c>
      <c r="I98" t="s">
        <v>1797</v>
      </c>
      <c r="J98" t="s">
        <v>1027</v>
      </c>
      <c r="K98" t="s">
        <v>1028</v>
      </c>
      <c r="L98">
        <v>8100</v>
      </c>
      <c r="M98">
        <v>1957</v>
      </c>
      <c r="N98">
        <v>6</v>
      </c>
      <c r="O98">
        <v>25</v>
      </c>
      <c r="P98">
        <v>117.24</v>
      </c>
      <c r="Q98">
        <v>21427700000000</v>
      </c>
      <c r="R98">
        <v>78.5</v>
      </c>
      <c r="S98">
        <v>9.6</v>
      </c>
      <c r="T98">
        <v>36.6</v>
      </c>
      <c r="U98">
        <v>328239523</v>
      </c>
      <c r="V98" s="3">
        <v>45882</v>
      </c>
      <c r="W98" s="3">
        <v>20996</v>
      </c>
      <c r="X98">
        <v>68.13483056900246</v>
      </c>
    </row>
    <row r="99" spans="1:24">
      <c r="A99">
        <v>256</v>
      </c>
      <c r="B99" t="s">
        <v>72</v>
      </c>
      <c r="C99" t="s">
        <v>1023</v>
      </c>
      <c r="D99" t="s">
        <v>23</v>
      </c>
      <c r="E99" t="s">
        <v>24</v>
      </c>
      <c r="F99" t="s">
        <v>72</v>
      </c>
      <c r="G99" t="s">
        <v>72</v>
      </c>
      <c r="H99" t="b">
        <v>0</v>
      </c>
      <c r="I99" t="s">
        <v>1797</v>
      </c>
      <c r="J99" t="s">
        <v>1021</v>
      </c>
      <c r="K99" t="s">
        <v>1024</v>
      </c>
      <c r="L99">
        <v>8100</v>
      </c>
      <c r="M99">
        <v>1957</v>
      </c>
      <c r="N99">
        <v>3</v>
      </c>
      <c r="O99">
        <v>26</v>
      </c>
      <c r="P99">
        <v>110.05</v>
      </c>
      <c r="Q99">
        <v>2715518274227</v>
      </c>
      <c r="R99">
        <v>82.5</v>
      </c>
      <c r="S99">
        <v>24.2</v>
      </c>
      <c r="T99">
        <v>60.7</v>
      </c>
      <c r="U99">
        <v>67059887</v>
      </c>
      <c r="V99" s="3">
        <v>45882</v>
      </c>
      <c r="W99" s="3">
        <v>20905</v>
      </c>
      <c r="X99">
        <v>68.383977462106188</v>
      </c>
    </row>
    <row r="100" spans="1:24">
      <c r="A100">
        <v>249</v>
      </c>
      <c r="B100" t="s">
        <v>72</v>
      </c>
      <c r="C100" t="s">
        <v>1007</v>
      </c>
      <c r="D100" t="s">
        <v>565</v>
      </c>
      <c r="E100" t="s">
        <v>566</v>
      </c>
      <c r="F100" t="s">
        <v>567</v>
      </c>
      <c r="G100" t="s">
        <v>72</v>
      </c>
      <c r="H100" t="b">
        <v>0</v>
      </c>
      <c r="I100" t="s">
        <v>1797</v>
      </c>
      <c r="J100" t="s">
        <v>1008</v>
      </c>
      <c r="K100" t="s">
        <v>1009</v>
      </c>
      <c r="L100">
        <v>8200</v>
      </c>
      <c r="M100">
        <v>1960</v>
      </c>
      <c r="N100">
        <v>8</v>
      </c>
      <c r="O100">
        <v>4</v>
      </c>
      <c r="P100">
        <v>267.51</v>
      </c>
      <c r="Q100">
        <v>448120428859</v>
      </c>
      <c r="R100">
        <v>54.3</v>
      </c>
      <c r="S100">
        <v>1.5</v>
      </c>
      <c r="T100">
        <v>34.799999999999997</v>
      </c>
      <c r="U100">
        <v>200963599</v>
      </c>
      <c r="V100" s="3">
        <v>45882</v>
      </c>
      <c r="W100" s="3">
        <v>22132</v>
      </c>
      <c r="X100">
        <v>65.022607541378022</v>
      </c>
    </row>
    <row r="101" spans="1:24">
      <c r="A101">
        <v>249</v>
      </c>
      <c r="B101" t="s">
        <v>292</v>
      </c>
      <c r="C101" t="s">
        <v>1005</v>
      </c>
      <c r="D101" t="s">
        <v>327</v>
      </c>
      <c r="E101" t="s">
        <v>328</v>
      </c>
      <c r="F101" t="s">
        <v>619</v>
      </c>
      <c r="G101" t="s">
        <v>292</v>
      </c>
      <c r="H101" t="b">
        <v>1</v>
      </c>
      <c r="I101" t="s">
        <v>1797</v>
      </c>
      <c r="J101" t="s">
        <v>636</v>
      </c>
      <c r="K101" t="s">
        <v>1006</v>
      </c>
      <c r="L101">
        <v>8200</v>
      </c>
      <c r="M101">
        <v>1961</v>
      </c>
      <c r="N101">
        <v>10</v>
      </c>
      <c r="O101">
        <v>24</v>
      </c>
      <c r="P101">
        <v>180.75</v>
      </c>
      <c r="Q101">
        <v>1699876578871</v>
      </c>
      <c r="R101">
        <v>72.7</v>
      </c>
      <c r="S101">
        <v>11.4</v>
      </c>
      <c r="T101">
        <v>46.2</v>
      </c>
      <c r="U101">
        <v>144373535</v>
      </c>
      <c r="V101" s="3">
        <v>45882</v>
      </c>
      <c r="W101" s="3">
        <v>22578</v>
      </c>
      <c r="X101">
        <v>63.803546607135338</v>
      </c>
    </row>
    <row r="102" spans="1:24">
      <c r="A102">
        <v>232</v>
      </c>
      <c r="B102" t="s">
        <v>38</v>
      </c>
      <c r="C102" t="s">
        <v>972</v>
      </c>
      <c r="D102" t="s">
        <v>32</v>
      </c>
      <c r="E102" t="s">
        <v>89</v>
      </c>
      <c r="F102" t="s">
        <v>90</v>
      </c>
      <c r="G102" t="s">
        <v>38</v>
      </c>
      <c r="H102" t="b">
        <v>1</v>
      </c>
      <c r="I102" t="s">
        <v>1797</v>
      </c>
      <c r="J102" t="s">
        <v>973</v>
      </c>
      <c r="K102" t="s">
        <v>652</v>
      </c>
      <c r="L102">
        <v>8600</v>
      </c>
      <c r="M102">
        <v>1955</v>
      </c>
      <c r="N102">
        <v>9</v>
      </c>
      <c r="O102">
        <v>30</v>
      </c>
      <c r="P102">
        <v>117.24</v>
      </c>
      <c r="Q102">
        <v>21427700000000</v>
      </c>
      <c r="R102">
        <v>78.5</v>
      </c>
      <c r="S102">
        <v>9.6</v>
      </c>
      <c r="T102">
        <v>36.6</v>
      </c>
      <c r="U102">
        <v>328239523</v>
      </c>
      <c r="V102" s="3">
        <v>45882</v>
      </c>
      <c r="W102" s="3">
        <v>20362</v>
      </c>
      <c r="X102">
        <v>69.869278525430914</v>
      </c>
    </row>
    <row r="103" spans="1:24">
      <c r="A103">
        <v>223</v>
      </c>
      <c r="B103" t="s">
        <v>292</v>
      </c>
      <c r="C103" t="s">
        <v>934</v>
      </c>
      <c r="D103" t="s">
        <v>105</v>
      </c>
      <c r="E103" t="s">
        <v>214</v>
      </c>
      <c r="F103" t="s">
        <v>215</v>
      </c>
      <c r="G103" t="s">
        <v>292</v>
      </c>
      <c r="H103" t="b">
        <v>1</v>
      </c>
      <c r="I103" t="s">
        <v>1797</v>
      </c>
      <c r="J103" t="s">
        <v>935</v>
      </c>
      <c r="K103" t="s">
        <v>936</v>
      </c>
      <c r="L103">
        <v>8800</v>
      </c>
      <c r="M103">
        <v>1959</v>
      </c>
      <c r="N103">
        <v>1</v>
      </c>
      <c r="O103">
        <v>1</v>
      </c>
      <c r="P103">
        <v>125.08</v>
      </c>
      <c r="Q103">
        <v>19910000000000</v>
      </c>
      <c r="R103">
        <v>77</v>
      </c>
      <c r="S103">
        <v>9.4</v>
      </c>
      <c r="T103">
        <v>59.2</v>
      </c>
      <c r="U103">
        <v>1397715000</v>
      </c>
      <c r="V103" s="3">
        <v>45882</v>
      </c>
      <c r="W103" s="3">
        <v>21551</v>
      </c>
      <c r="X103">
        <v>66.613966982674086</v>
      </c>
    </row>
    <row r="104" spans="1:24">
      <c r="A104">
        <v>220</v>
      </c>
      <c r="B104" t="s">
        <v>103</v>
      </c>
      <c r="C104" t="s">
        <v>910</v>
      </c>
      <c r="D104" t="s">
        <v>226</v>
      </c>
      <c r="E104" t="s">
        <v>911</v>
      </c>
      <c r="F104" t="s">
        <v>907</v>
      </c>
      <c r="G104" t="s">
        <v>103</v>
      </c>
      <c r="H104" t="b">
        <v>0</v>
      </c>
      <c r="I104" t="s">
        <v>1797</v>
      </c>
      <c r="J104" t="s">
        <v>908</v>
      </c>
      <c r="K104" t="s">
        <v>912</v>
      </c>
      <c r="L104">
        <v>8900</v>
      </c>
      <c r="M104">
        <v>1960</v>
      </c>
      <c r="N104">
        <v>1</v>
      </c>
      <c r="O104">
        <v>1</v>
      </c>
      <c r="P104">
        <v>119.62</v>
      </c>
      <c r="Q104">
        <v>2827113184696</v>
      </c>
      <c r="R104">
        <v>81.3</v>
      </c>
      <c r="S104">
        <v>25.5</v>
      </c>
      <c r="T104">
        <v>30.6</v>
      </c>
      <c r="U104">
        <v>66834405</v>
      </c>
      <c r="V104" s="3">
        <v>45882</v>
      </c>
      <c r="W104" s="3">
        <v>21916</v>
      </c>
      <c r="X104">
        <v>65.61397104575434</v>
      </c>
    </row>
    <row r="105" spans="1:24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1797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>
        <v>19910000000000</v>
      </c>
      <c r="R105">
        <v>77</v>
      </c>
      <c r="S105">
        <v>9.4</v>
      </c>
      <c r="T105">
        <v>59.2</v>
      </c>
      <c r="U105">
        <v>1397715000</v>
      </c>
      <c r="V105" s="3">
        <v>45882</v>
      </c>
      <c r="W105" s="3">
        <v>20473</v>
      </c>
      <c r="X105">
        <v>69.564690237797251</v>
      </c>
    </row>
    <row r="106" spans="1:24">
      <c r="A106">
        <v>215</v>
      </c>
      <c r="B106" t="s">
        <v>272</v>
      </c>
      <c r="C106" t="s">
        <v>891</v>
      </c>
      <c r="D106" t="s">
        <v>170</v>
      </c>
      <c r="E106" t="s">
        <v>892</v>
      </c>
      <c r="F106" t="s">
        <v>276</v>
      </c>
      <c r="G106" t="s">
        <v>272</v>
      </c>
      <c r="H106" t="b">
        <v>1</v>
      </c>
      <c r="I106" t="s">
        <v>1797</v>
      </c>
      <c r="J106" t="s">
        <v>893</v>
      </c>
      <c r="K106" t="s">
        <v>894</v>
      </c>
      <c r="L106">
        <v>9000</v>
      </c>
      <c r="M106">
        <v>1957</v>
      </c>
      <c r="N106">
        <v>1</v>
      </c>
      <c r="O106">
        <v>7</v>
      </c>
      <c r="P106">
        <v>99.55</v>
      </c>
      <c r="Q106">
        <v>703082435360</v>
      </c>
      <c r="R106">
        <v>83.6</v>
      </c>
      <c r="S106">
        <v>10.1</v>
      </c>
      <c r="T106">
        <v>28.8</v>
      </c>
      <c r="U106">
        <v>8574832</v>
      </c>
      <c r="V106" s="3">
        <v>45882</v>
      </c>
      <c r="W106" s="3">
        <v>20827</v>
      </c>
      <c r="X106">
        <v>68.597531941909381</v>
      </c>
    </row>
    <row r="107" spans="1:24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1797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 s="3">
        <v>45882</v>
      </c>
      <c r="W107" s="3">
        <v>20363</v>
      </c>
      <c r="X107">
        <v>69.86654070103728</v>
      </c>
    </row>
    <row r="108" spans="1:24">
      <c r="A108">
        <v>208</v>
      </c>
      <c r="B108" t="s">
        <v>21</v>
      </c>
      <c r="C108" t="s">
        <v>885</v>
      </c>
      <c r="D108" t="s">
        <v>32</v>
      </c>
      <c r="E108" t="s">
        <v>886</v>
      </c>
      <c r="F108" t="s">
        <v>887</v>
      </c>
      <c r="G108" t="s">
        <v>21</v>
      </c>
      <c r="H108" t="b">
        <v>1</v>
      </c>
      <c r="I108" t="s">
        <v>1797</v>
      </c>
      <c r="J108" t="s">
        <v>888</v>
      </c>
      <c r="K108" t="s">
        <v>420</v>
      </c>
      <c r="L108">
        <v>9200</v>
      </c>
      <c r="M108">
        <v>1960</v>
      </c>
      <c r="N108">
        <v>1</v>
      </c>
      <c r="O108">
        <v>1</v>
      </c>
      <c r="P108">
        <v>117.24</v>
      </c>
      <c r="Q108">
        <v>21427700000000</v>
      </c>
      <c r="R108">
        <v>78.5</v>
      </c>
      <c r="S108">
        <v>9.6</v>
      </c>
      <c r="T108">
        <v>36.6</v>
      </c>
      <c r="U108">
        <v>328239523</v>
      </c>
      <c r="V108" s="3">
        <v>45882</v>
      </c>
      <c r="W108" s="3">
        <v>21916</v>
      </c>
      <c r="X108">
        <v>65.61397104575434</v>
      </c>
    </row>
    <row r="109" spans="1:24">
      <c r="A109">
        <v>195</v>
      </c>
      <c r="B109" t="s">
        <v>103</v>
      </c>
      <c r="C109" t="s">
        <v>838</v>
      </c>
      <c r="D109" t="s">
        <v>32</v>
      </c>
      <c r="E109" t="s">
        <v>839</v>
      </c>
      <c r="F109" t="s">
        <v>185</v>
      </c>
      <c r="G109" t="s">
        <v>103</v>
      </c>
      <c r="H109" t="b">
        <v>0</v>
      </c>
      <c r="I109" t="s">
        <v>1796</v>
      </c>
      <c r="J109" t="s">
        <v>186</v>
      </c>
      <c r="K109" t="s">
        <v>840</v>
      </c>
      <c r="L109">
        <v>9600</v>
      </c>
      <c r="M109">
        <v>1956</v>
      </c>
      <c r="N109">
        <v>12</v>
      </c>
      <c r="O109">
        <v>15</v>
      </c>
      <c r="P109">
        <v>117.24</v>
      </c>
      <c r="Q109">
        <v>21427700000000</v>
      </c>
      <c r="R109">
        <v>78.5</v>
      </c>
      <c r="S109">
        <v>9.6</v>
      </c>
      <c r="T109">
        <v>36.6</v>
      </c>
      <c r="U109">
        <v>328239523</v>
      </c>
      <c r="V109" s="3">
        <v>45882</v>
      </c>
      <c r="W109" s="3">
        <v>20804</v>
      </c>
      <c r="X109">
        <v>68.658479349186479</v>
      </c>
    </row>
    <row r="110" spans="1:24">
      <c r="A110">
        <v>195</v>
      </c>
      <c r="B110" t="s">
        <v>103</v>
      </c>
      <c r="C110" t="s">
        <v>836</v>
      </c>
      <c r="D110" t="s">
        <v>32</v>
      </c>
      <c r="E110" t="s">
        <v>61</v>
      </c>
      <c r="F110" t="s">
        <v>185</v>
      </c>
      <c r="G110" t="s">
        <v>103</v>
      </c>
      <c r="H110" t="b">
        <v>0</v>
      </c>
      <c r="I110" t="s">
        <v>1796</v>
      </c>
      <c r="J110" t="s">
        <v>186</v>
      </c>
      <c r="K110" t="s">
        <v>837</v>
      </c>
      <c r="L110">
        <v>9600</v>
      </c>
      <c r="M110">
        <v>1959</v>
      </c>
      <c r="N110">
        <v>1</v>
      </c>
      <c r="O110">
        <v>26</v>
      </c>
      <c r="P110">
        <v>117.24</v>
      </c>
      <c r="Q110">
        <v>21427700000000</v>
      </c>
      <c r="R110">
        <v>78.5</v>
      </c>
      <c r="S110">
        <v>9.6</v>
      </c>
      <c r="T110">
        <v>36.6</v>
      </c>
      <c r="U110">
        <v>328239523</v>
      </c>
      <c r="V110" s="3">
        <v>45882</v>
      </c>
      <c r="W110" s="3">
        <v>21576</v>
      </c>
      <c r="X110">
        <v>66.545521412226222</v>
      </c>
    </row>
    <row r="111" spans="1:24">
      <c r="A111">
        <v>195</v>
      </c>
      <c r="B111" t="s">
        <v>103</v>
      </c>
      <c r="C111" t="s">
        <v>833</v>
      </c>
      <c r="D111" t="s">
        <v>32</v>
      </c>
      <c r="E111" t="s">
        <v>834</v>
      </c>
      <c r="F111" t="s">
        <v>185</v>
      </c>
      <c r="G111" t="s">
        <v>103</v>
      </c>
      <c r="H111" t="b">
        <v>0</v>
      </c>
      <c r="I111" t="s">
        <v>1796</v>
      </c>
      <c r="J111" t="s">
        <v>186</v>
      </c>
      <c r="K111" t="s">
        <v>835</v>
      </c>
      <c r="L111">
        <v>9600</v>
      </c>
      <c r="M111">
        <v>1960</v>
      </c>
      <c r="N111">
        <v>8</v>
      </c>
      <c r="O111">
        <v>1</v>
      </c>
      <c r="P111">
        <v>117.24</v>
      </c>
      <c r="Q111">
        <v>21427700000000</v>
      </c>
      <c r="R111">
        <v>78.5</v>
      </c>
      <c r="S111">
        <v>9.6</v>
      </c>
      <c r="T111">
        <v>36.6</v>
      </c>
      <c r="U111">
        <v>328239523</v>
      </c>
      <c r="V111" s="3">
        <v>45882</v>
      </c>
      <c r="W111" s="3">
        <v>22129</v>
      </c>
      <c r="X111">
        <v>65.030820923383246</v>
      </c>
    </row>
    <row r="112" spans="1:24">
      <c r="A112">
        <v>195</v>
      </c>
      <c r="B112" t="s">
        <v>103</v>
      </c>
      <c r="C112" t="s">
        <v>830</v>
      </c>
      <c r="D112" t="s">
        <v>32</v>
      </c>
      <c r="E112" t="s">
        <v>831</v>
      </c>
      <c r="F112" t="s">
        <v>185</v>
      </c>
      <c r="G112" t="s">
        <v>103</v>
      </c>
      <c r="H112" t="b">
        <v>0</v>
      </c>
      <c r="I112" t="s">
        <v>1796</v>
      </c>
      <c r="J112" t="s">
        <v>186</v>
      </c>
      <c r="K112" t="s">
        <v>832</v>
      </c>
      <c r="L112">
        <v>9600</v>
      </c>
      <c r="M112">
        <v>1964</v>
      </c>
      <c r="N112">
        <v>7</v>
      </c>
      <c r="O112">
        <v>28</v>
      </c>
      <c r="P112">
        <v>117.24</v>
      </c>
      <c r="Q112">
        <v>21427700000000</v>
      </c>
      <c r="R112">
        <v>78.5</v>
      </c>
      <c r="S112">
        <v>9.6</v>
      </c>
      <c r="T112">
        <v>36.6</v>
      </c>
      <c r="U112">
        <v>328239523</v>
      </c>
      <c r="V112" s="3">
        <v>45882</v>
      </c>
      <c r="W112" s="3">
        <v>23586</v>
      </c>
      <c r="X112">
        <v>61.04177338161265</v>
      </c>
    </row>
    <row r="113" spans="1:24">
      <c r="A113">
        <v>195</v>
      </c>
      <c r="B113" t="s">
        <v>250</v>
      </c>
      <c r="C113" t="s">
        <v>826</v>
      </c>
      <c r="D113" t="s">
        <v>105</v>
      </c>
      <c r="E113" t="s">
        <v>827</v>
      </c>
      <c r="F113" t="s">
        <v>348</v>
      </c>
      <c r="G113" t="s">
        <v>250</v>
      </c>
      <c r="H113" t="b">
        <v>1</v>
      </c>
      <c r="I113" t="s">
        <v>1797</v>
      </c>
      <c r="J113" t="s">
        <v>828</v>
      </c>
      <c r="K113" t="s">
        <v>829</v>
      </c>
      <c r="L113">
        <v>9600</v>
      </c>
      <c r="M113">
        <v>1956</v>
      </c>
      <c r="N113">
        <v>3</v>
      </c>
      <c r="O113">
        <v>1</v>
      </c>
      <c r="P113">
        <v>125.08</v>
      </c>
      <c r="Q113">
        <v>19910000000000</v>
      </c>
      <c r="R113">
        <v>77</v>
      </c>
      <c r="S113">
        <v>9.4</v>
      </c>
      <c r="T113">
        <v>59.2</v>
      </c>
      <c r="U113">
        <v>1397715000</v>
      </c>
      <c r="V113" s="3">
        <v>45882</v>
      </c>
      <c r="W113" s="3">
        <v>20515</v>
      </c>
      <c r="X113">
        <v>69.449702753441798</v>
      </c>
    </row>
    <row r="114" spans="1:24">
      <c r="A114">
        <v>190</v>
      </c>
      <c r="B114" t="s">
        <v>351</v>
      </c>
      <c r="C114" t="s">
        <v>813</v>
      </c>
      <c r="D114" t="s">
        <v>105</v>
      </c>
      <c r="E114" t="s">
        <v>814</v>
      </c>
      <c r="F114" t="s">
        <v>517</v>
      </c>
      <c r="G114" t="s">
        <v>351</v>
      </c>
      <c r="H114" t="b">
        <v>1</v>
      </c>
      <c r="I114" t="s">
        <v>1797</v>
      </c>
      <c r="J114" t="s">
        <v>815</v>
      </c>
      <c r="K114" t="s">
        <v>816</v>
      </c>
      <c r="L114">
        <v>9700</v>
      </c>
      <c r="M114">
        <v>1958</v>
      </c>
      <c r="N114">
        <v>9</v>
      </c>
      <c r="O114">
        <v>1</v>
      </c>
      <c r="P114">
        <v>125.08</v>
      </c>
      <c r="Q114">
        <v>19910000000000</v>
      </c>
      <c r="R114">
        <v>77</v>
      </c>
      <c r="S114">
        <v>9.4</v>
      </c>
      <c r="T114">
        <v>59.2</v>
      </c>
      <c r="U114">
        <v>1397715000</v>
      </c>
      <c r="V114" s="3">
        <v>45882</v>
      </c>
      <c r="W114" s="3">
        <v>21429</v>
      </c>
      <c r="X114">
        <v>66.948665297741272</v>
      </c>
    </row>
    <row r="115" spans="1:24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1797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>
        <v>19910000000000</v>
      </c>
      <c r="R115">
        <v>77</v>
      </c>
      <c r="S115">
        <v>9.4</v>
      </c>
      <c r="T115">
        <v>59.2</v>
      </c>
      <c r="U115">
        <v>1397715000</v>
      </c>
      <c r="V115" s="3">
        <v>45882</v>
      </c>
      <c r="W115" s="3">
        <v>22788</v>
      </c>
      <c r="X115">
        <v>63.227926078028744</v>
      </c>
    </row>
    <row r="116" spans="1:24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1797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>
        <v>19910000000000</v>
      </c>
      <c r="R116">
        <v>77</v>
      </c>
      <c r="S116">
        <v>9.4</v>
      </c>
      <c r="T116">
        <v>59.2</v>
      </c>
      <c r="U116">
        <v>1397715000</v>
      </c>
      <c r="V116" s="3">
        <v>45882</v>
      </c>
      <c r="W116" s="3">
        <v>23437</v>
      </c>
      <c r="X116">
        <v>61.449704142011832</v>
      </c>
    </row>
    <row r="117" spans="1:24">
      <c r="A117">
        <v>190</v>
      </c>
      <c r="B117" t="s">
        <v>49</v>
      </c>
      <c r="C117" t="s">
        <v>799</v>
      </c>
      <c r="D117" t="s">
        <v>800</v>
      </c>
      <c r="E117" t="s">
        <v>801</v>
      </c>
      <c r="F117" t="s">
        <v>802</v>
      </c>
      <c r="G117" t="s">
        <v>49</v>
      </c>
      <c r="H117" t="b">
        <v>1</v>
      </c>
      <c r="I117" t="s">
        <v>1797</v>
      </c>
      <c r="J117" t="s">
        <v>803</v>
      </c>
      <c r="K117" t="s">
        <v>64</v>
      </c>
      <c r="L117">
        <v>9700</v>
      </c>
      <c r="M117">
        <v>1963</v>
      </c>
      <c r="N117">
        <v>10</v>
      </c>
      <c r="O117">
        <v>1</v>
      </c>
      <c r="P117">
        <v>115.16</v>
      </c>
      <c r="Q117">
        <v>2029000000000</v>
      </c>
      <c r="R117">
        <v>82.6</v>
      </c>
      <c r="S117">
        <v>15.6</v>
      </c>
      <c r="T117">
        <v>33.200000000000003</v>
      </c>
      <c r="U117">
        <v>51709098</v>
      </c>
      <c r="V117" s="3">
        <v>45882</v>
      </c>
      <c r="W117" s="3">
        <v>23285</v>
      </c>
      <c r="X117">
        <v>61.866542088566341</v>
      </c>
    </row>
    <row r="118" spans="1:24">
      <c r="A118">
        <v>190</v>
      </c>
      <c r="B118" t="s">
        <v>250</v>
      </c>
      <c r="C118" t="s">
        <v>795</v>
      </c>
      <c r="D118" t="s">
        <v>327</v>
      </c>
      <c r="E118" t="s">
        <v>328</v>
      </c>
      <c r="F118" t="s">
        <v>796</v>
      </c>
      <c r="G118" t="s">
        <v>250</v>
      </c>
      <c r="H118" t="b">
        <v>1</v>
      </c>
      <c r="I118" t="s">
        <v>1797</v>
      </c>
      <c r="J118" t="s">
        <v>797</v>
      </c>
      <c r="K118" t="s">
        <v>798</v>
      </c>
      <c r="L118">
        <v>9700</v>
      </c>
      <c r="M118">
        <v>1960</v>
      </c>
      <c r="N118">
        <v>3</v>
      </c>
      <c r="O118">
        <v>24</v>
      </c>
      <c r="P118">
        <v>180.75</v>
      </c>
      <c r="Q118">
        <v>1699876578871</v>
      </c>
      <c r="R118">
        <v>72.7</v>
      </c>
      <c r="S118">
        <v>11.4</v>
      </c>
      <c r="T118">
        <v>46.2</v>
      </c>
      <c r="U118">
        <v>144373535</v>
      </c>
      <c r="V118" s="3">
        <v>45882</v>
      </c>
      <c r="W118" s="3">
        <v>21999</v>
      </c>
      <c r="X118">
        <v>65.386734143609743</v>
      </c>
    </row>
    <row r="119" spans="1:24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1797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>
        <v>448120428859</v>
      </c>
      <c r="R119">
        <v>54.3</v>
      </c>
      <c r="S119">
        <v>1.5</v>
      </c>
      <c r="T119">
        <v>34.799999999999997</v>
      </c>
      <c r="U119">
        <v>200963599</v>
      </c>
      <c r="V119" s="3">
        <v>45882</v>
      </c>
      <c r="W119" s="3">
        <v>20920</v>
      </c>
      <c r="X119">
        <v>68.342909292913262</v>
      </c>
    </row>
    <row r="120" spans="1:24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1797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>
        <v>2827113184696</v>
      </c>
      <c r="R120">
        <v>81.3</v>
      </c>
      <c r="S120">
        <v>25.5</v>
      </c>
      <c r="T120">
        <v>30.6</v>
      </c>
      <c r="U120">
        <v>66834405</v>
      </c>
      <c r="V120" s="3">
        <v>45882</v>
      </c>
      <c r="W120" s="3">
        <v>20364</v>
      </c>
      <c r="X120">
        <v>69.863802876643661</v>
      </c>
    </row>
    <row r="121" spans="1:24">
      <c r="A121">
        <v>179</v>
      </c>
      <c r="B121" t="s">
        <v>462</v>
      </c>
      <c r="C121" t="s">
        <v>767</v>
      </c>
      <c r="D121" t="s">
        <v>105</v>
      </c>
      <c r="E121" t="s">
        <v>153</v>
      </c>
      <c r="F121" t="s">
        <v>465</v>
      </c>
      <c r="G121" t="s">
        <v>462</v>
      </c>
      <c r="H121" t="b">
        <v>1</v>
      </c>
      <c r="I121" t="s">
        <v>1796</v>
      </c>
      <c r="J121" t="s">
        <v>768</v>
      </c>
      <c r="K121" t="s">
        <v>769</v>
      </c>
      <c r="L121">
        <v>10100</v>
      </c>
      <c r="M121">
        <v>1964</v>
      </c>
      <c r="N121">
        <v>1</v>
      </c>
      <c r="O121">
        <v>1</v>
      </c>
      <c r="P121">
        <v>125.08</v>
      </c>
      <c r="Q121">
        <v>19910000000000</v>
      </c>
      <c r="R121">
        <v>77</v>
      </c>
      <c r="S121">
        <v>9.4</v>
      </c>
      <c r="T121">
        <v>59.2</v>
      </c>
      <c r="U121">
        <v>1397715000</v>
      </c>
      <c r="V121" s="3">
        <v>45882</v>
      </c>
      <c r="W121" s="3">
        <v>23377</v>
      </c>
      <c r="X121">
        <v>61.613971562306808</v>
      </c>
    </row>
    <row r="122" spans="1:24">
      <c r="A122">
        <v>171</v>
      </c>
      <c r="B122" t="s">
        <v>30</v>
      </c>
      <c r="C122" t="s">
        <v>752</v>
      </c>
      <c r="D122" t="s">
        <v>158</v>
      </c>
      <c r="E122" t="s">
        <v>753</v>
      </c>
      <c r="F122" t="s">
        <v>635</v>
      </c>
      <c r="G122" t="s">
        <v>30</v>
      </c>
      <c r="H122" t="b">
        <v>0</v>
      </c>
      <c r="I122" t="s">
        <v>1797</v>
      </c>
      <c r="J122" t="s">
        <v>754</v>
      </c>
      <c r="K122" t="s">
        <v>755</v>
      </c>
      <c r="L122">
        <v>10200</v>
      </c>
      <c r="M122">
        <v>1964</v>
      </c>
      <c r="N122">
        <v>10</v>
      </c>
      <c r="O122">
        <v>19</v>
      </c>
      <c r="P122">
        <v>112.85</v>
      </c>
      <c r="Q122">
        <v>3845630030824</v>
      </c>
      <c r="R122">
        <v>80.900000000000006</v>
      </c>
      <c r="S122">
        <v>11.5</v>
      </c>
      <c r="T122">
        <v>48.8</v>
      </c>
      <c r="U122">
        <v>83132799</v>
      </c>
      <c r="V122" s="3">
        <v>45882</v>
      </c>
      <c r="W122" s="3">
        <v>23669</v>
      </c>
      <c r="X122">
        <v>60.814536783537932</v>
      </c>
    </row>
    <row r="123" spans="1:24">
      <c r="A123">
        <v>171</v>
      </c>
      <c r="B123" t="s">
        <v>292</v>
      </c>
      <c r="C123" t="s">
        <v>741</v>
      </c>
      <c r="D123" t="s">
        <v>32</v>
      </c>
      <c r="E123" t="s">
        <v>742</v>
      </c>
      <c r="F123" t="s">
        <v>403</v>
      </c>
      <c r="G123" t="s">
        <v>292</v>
      </c>
      <c r="H123" t="b">
        <v>1</v>
      </c>
      <c r="I123" t="s">
        <v>1797</v>
      </c>
      <c r="J123" t="s">
        <v>743</v>
      </c>
      <c r="K123" t="s">
        <v>744</v>
      </c>
      <c r="L123">
        <v>10200</v>
      </c>
      <c r="M123">
        <v>1959</v>
      </c>
      <c r="N123">
        <v>3</v>
      </c>
      <c r="O123">
        <v>5</v>
      </c>
      <c r="P123">
        <v>117.24</v>
      </c>
      <c r="Q123">
        <v>21427700000000</v>
      </c>
      <c r="R123">
        <v>78.5</v>
      </c>
      <c r="S123">
        <v>9.6</v>
      </c>
      <c r="T123">
        <v>36.6</v>
      </c>
      <c r="U123">
        <v>328239523</v>
      </c>
      <c r="V123" s="3">
        <v>45882</v>
      </c>
      <c r="W123" s="3">
        <v>21614</v>
      </c>
      <c r="X123">
        <v>66.441484145145481</v>
      </c>
    </row>
    <row r="124" spans="1:24">
      <c r="A124">
        <v>171</v>
      </c>
      <c r="B124" t="s">
        <v>351</v>
      </c>
      <c r="C124" t="s">
        <v>734</v>
      </c>
      <c r="D124" t="s">
        <v>32</v>
      </c>
      <c r="E124" t="s">
        <v>735</v>
      </c>
      <c r="F124" t="s">
        <v>548</v>
      </c>
      <c r="G124" t="s">
        <v>351</v>
      </c>
      <c r="H124" t="b">
        <v>0</v>
      </c>
      <c r="I124" t="s">
        <v>1797</v>
      </c>
      <c r="J124" t="s">
        <v>736</v>
      </c>
      <c r="K124" t="s">
        <v>457</v>
      </c>
      <c r="L124">
        <v>10200</v>
      </c>
      <c r="M124">
        <v>1962</v>
      </c>
      <c r="N124">
        <v>8</v>
      </c>
      <c r="O124">
        <v>19</v>
      </c>
      <c r="P124">
        <v>117.24</v>
      </c>
      <c r="Q124">
        <v>21427700000000</v>
      </c>
      <c r="R124">
        <v>78.5</v>
      </c>
      <c r="S124">
        <v>9.6</v>
      </c>
      <c r="T124">
        <v>36.6</v>
      </c>
      <c r="U124">
        <v>328239523</v>
      </c>
      <c r="V124" s="3">
        <v>45882</v>
      </c>
      <c r="W124" s="3">
        <v>22877</v>
      </c>
      <c r="X124">
        <v>62.984257357973988</v>
      </c>
    </row>
    <row r="125" spans="1:24">
      <c r="A125">
        <v>161</v>
      </c>
      <c r="B125" t="s">
        <v>21</v>
      </c>
      <c r="C125" t="s">
        <v>701</v>
      </c>
      <c r="D125" t="s">
        <v>67</v>
      </c>
      <c r="E125" t="s">
        <v>68</v>
      </c>
      <c r="F125" t="s">
        <v>702</v>
      </c>
      <c r="G125" t="s">
        <v>21</v>
      </c>
      <c r="H125" t="b">
        <v>0</v>
      </c>
      <c r="I125" t="s">
        <v>1797</v>
      </c>
      <c r="J125" t="s">
        <v>703</v>
      </c>
      <c r="K125" t="s">
        <v>704</v>
      </c>
      <c r="L125">
        <v>10900</v>
      </c>
      <c r="M125">
        <v>1955</v>
      </c>
      <c r="N125">
        <v>10</v>
      </c>
      <c r="O125">
        <v>19</v>
      </c>
      <c r="P125">
        <v>141.54</v>
      </c>
      <c r="Q125">
        <v>1258286717125</v>
      </c>
      <c r="R125">
        <v>75</v>
      </c>
      <c r="S125">
        <v>13.1</v>
      </c>
      <c r="T125">
        <v>55.1</v>
      </c>
      <c r="U125">
        <v>126014024</v>
      </c>
      <c r="V125" s="3">
        <v>45882</v>
      </c>
      <c r="W125" s="3">
        <v>20381</v>
      </c>
      <c r="X125">
        <v>69.817259861951953</v>
      </c>
    </row>
    <row r="126" spans="1:24">
      <c r="A126">
        <v>153</v>
      </c>
      <c r="B126" t="s">
        <v>49</v>
      </c>
      <c r="C126" t="s">
        <v>676</v>
      </c>
      <c r="D126" t="s">
        <v>170</v>
      </c>
      <c r="E126" t="s">
        <v>677</v>
      </c>
      <c r="F126" t="s">
        <v>264</v>
      </c>
      <c r="G126" t="s">
        <v>49</v>
      </c>
      <c r="H126" t="b">
        <v>1</v>
      </c>
      <c r="I126" t="s">
        <v>1797</v>
      </c>
      <c r="J126" t="s">
        <v>678</v>
      </c>
      <c r="K126" t="s">
        <v>621</v>
      </c>
      <c r="L126">
        <v>11300</v>
      </c>
      <c r="M126">
        <v>1965</v>
      </c>
      <c r="N126">
        <v>5</v>
      </c>
      <c r="O126">
        <v>3</v>
      </c>
      <c r="P126">
        <v>99.55</v>
      </c>
      <c r="Q126">
        <v>703082435360</v>
      </c>
      <c r="R126">
        <v>83.6</v>
      </c>
      <c r="S126">
        <v>10.1</v>
      </c>
      <c r="T126">
        <v>28.8</v>
      </c>
      <c r="U126">
        <v>8574832</v>
      </c>
      <c r="V126" s="3">
        <v>45882</v>
      </c>
      <c r="W126" s="3">
        <v>23865</v>
      </c>
      <c r="X126">
        <v>60.279937163375223</v>
      </c>
    </row>
    <row r="127" spans="1:24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1797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>
        <v>19910000000000</v>
      </c>
      <c r="R127">
        <v>77</v>
      </c>
      <c r="S127">
        <v>9.4</v>
      </c>
      <c r="T127">
        <v>59.2</v>
      </c>
      <c r="U127">
        <v>1397715000</v>
      </c>
      <c r="V127" s="3">
        <v>45882</v>
      </c>
      <c r="W127" s="3">
        <v>23008</v>
      </c>
      <c r="X127">
        <v>62.625598904859686</v>
      </c>
    </row>
    <row r="128" spans="1:24">
      <c r="A128">
        <v>153</v>
      </c>
      <c r="B128" t="s">
        <v>250</v>
      </c>
      <c r="C128" t="s">
        <v>672</v>
      </c>
      <c r="D128" t="s">
        <v>274</v>
      </c>
      <c r="E128" t="s">
        <v>673</v>
      </c>
      <c r="F128" t="s">
        <v>250</v>
      </c>
      <c r="G128" t="s">
        <v>250</v>
      </c>
      <c r="H128" t="b">
        <v>0</v>
      </c>
      <c r="I128" t="s">
        <v>1797</v>
      </c>
      <c r="J128" t="s">
        <v>674</v>
      </c>
      <c r="K128" t="s">
        <v>675</v>
      </c>
      <c r="L128">
        <v>11300</v>
      </c>
      <c r="M128">
        <v>1960</v>
      </c>
      <c r="N128">
        <v>4</v>
      </c>
      <c r="O128">
        <v>11</v>
      </c>
      <c r="P128">
        <v>119.8</v>
      </c>
      <c r="Q128">
        <v>1392680589329</v>
      </c>
      <c r="R128">
        <v>82.7</v>
      </c>
      <c r="S128">
        <v>23</v>
      </c>
      <c r="T128">
        <v>47.4</v>
      </c>
      <c r="U128">
        <v>25766605</v>
      </c>
      <c r="V128" s="3">
        <v>45882</v>
      </c>
      <c r="W128" s="3">
        <v>22017</v>
      </c>
      <c r="X128">
        <v>65.337453851578374</v>
      </c>
    </row>
    <row r="129" spans="1:24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1797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 s="3">
        <v>45882</v>
      </c>
      <c r="W129" s="3">
        <v>21624</v>
      </c>
      <c r="X129">
        <v>66.414105916966335</v>
      </c>
    </row>
    <row r="130" spans="1:24">
      <c r="A130">
        <v>151</v>
      </c>
      <c r="B130" t="s">
        <v>103</v>
      </c>
      <c r="C130" t="s">
        <v>654</v>
      </c>
      <c r="D130" t="s">
        <v>105</v>
      </c>
      <c r="E130" t="s">
        <v>655</v>
      </c>
      <c r="F130" t="s">
        <v>656</v>
      </c>
      <c r="G130" t="s">
        <v>103</v>
      </c>
      <c r="H130" t="b">
        <v>1</v>
      </c>
      <c r="I130" t="s">
        <v>1797</v>
      </c>
      <c r="J130" t="s">
        <v>657</v>
      </c>
      <c r="K130" t="s">
        <v>658</v>
      </c>
      <c r="L130">
        <v>11400</v>
      </c>
      <c r="M130">
        <v>1964</v>
      </c>
      <c r="N130">
        <v>1</v>
      </c>
      <c r="O130">
        <v>1</v>
      </c>
      <c r="P130">
        <v>125.08</v>
      </c>
      <c r="Q130">
        <v>19910000000000</v>
      </c>
      <c r="R130">
        <v>77</v>
      </c>
      <c r="S130">
        <v>9.4</v>
      </c>
      <c r="T130">
        <v>59.2</v>
      </c>
      <c r="U130">
        <v>1397715000</v>
      </c>
      <c r="V130" s="3">
        <v>45882</v>
      </c>
      <c r="W130" s="3">
        <v>23377</v>
      </c>
      <c r="X130">
        <v>61.613971562306808</v>
      </c>
    </row>
    <row r="131" spans="1:24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1797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>
        <v>2827113184696</v>
      </c>
      <c r="R131">
        <v>81.3</v>
      </c>
      <c r="S131">
        <v>25.5</v>
      </c>
      <c r="T131">
        <v>30.6</v>
      </c>
      <c r="U131">
        <v>66834405</v>
      </c>
      <c r="V131" s="3">
        <v>45882</v>
      </c>
      <c r="W131" s="3">
        <v>23488</v>
      </c>
      <c r="X131">
        <v>61.310076834761105</v>
      </c>
    </row>
    <row r="132" spans="1:24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1797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>
        <v>543649976166</v>
      </c>
      <c r="R132">
        <v>76.900000000000006</v>
      </c>
      <c r="S132">
        <v>14.9</v>
      </c>
      <c r="T132">
        <v>29.5</v>
      </c>
      <c r="U132">
        <v>69625582</v>
      </c>
      <c r="V132" s="3">
        <v>45882</v>
      </c>
      <c r="W132" s="3">
        <v>23935</v>
      </c>
      <c r="X132">
        <v>60.088285457809697</v>
      </c>
    </row>
    <row r="133" spans="1:24">
      <c r="A133">
        <v>145</v>
      </c>
      <c r="B133" t="s">
        <v>38</v>
      </c>
      <c r="C133" t="s">
        <v>638</v>
      </c>
      <c r="D133" t="s">
        <v>32</v>
      </c>
      <c r="E133" t="s">
        <v>89</v>
      </c>
      <c r="F133" t="s">
        <v>639</v>
      </c>
      <c r="G133" t="s">
        <v>38</v>
      </c>
      <c r="H133" t="b">
        <v>0</v>
      </c>
      <c r="I133" t="s">
        <v>1796</v>
      </c>
      <c r="J133" t="s">
        <v>640</v>
      </c>
      <c r="K133" t="s">
        <v>641</v>
      </c>
      <c r="L133">
        <v>12000</v>
      </c>
      <c r="M133">
        <v>1963</v>
      </c>
      <c r="N133">
        <v>11</v>
      </c>
      <c r="O133">
        <v>6</v>
      </c>
      <c r="P133">
        <v>117.24</v>
      </c>
      <c r="Q133">
        <v>21427700000000</v>
      </c>
      <c r="R133">
        <v>78.5</v>
      </c>
      <c r="S133">
        <v>9.6</v>
      </c>
      <c r="T133">
        <v>36.6</v>
      </c>
      <c r="U133">
        <v>328239523</v>
      </c>
      <c r="V133" s="3">
        <v>45882</v>
      </c>
      <c r="W133" s="3">
        <v>23321</v>
      </c>
      <c r="X133">
        <v>61.76798053105037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3:B25"/>
  <sheetViews>
    <sheetView topLeftCell="A6" workbookViewId="0">
      <selection activeCell="B21" sqref="B21"/>
    </sheetView>
  </sheetViews>
  <sheetFormatPr defaultRowHeight="15.75"/>
  <cols>
    <col min="1" max="1" width="12.375" customWidth="1"/>
    <col min="2" max="2" width="16.875" customWidth="1"/>
  </cols>
  <sheetData>
    <row r="3" spans="1:2">
      <c r="A3" s="17" t="s">
        <v>1801</v>
      </c>
      <c r="B3" t="s">
        <v>1803</v>
      </c>
    </row>
    <row r="4" spans="1:2">
      <c r="A4" s="18" t="s">
        <v>64</v>
      </c>
      <c r="B4" s="4">
        <v>231000</v>
      </c>
    </row>
    <row r="5" spans="1:2">
      <c r="A5" s="18" t="s">
        <v>28</v>
      </c>
      <c r="B5" s="4">
        <v>219000</v>
      </c>
    </row>
    <row r="6" spans="1:2">
      <c r="A6" s="18" t="s">
        <v>48</v>
      </c>
      <c r="B6" s="4">
        <v>186200</v>
      </c>
    </row>
    <row r="7" spans="1:2">
      <c r="A7" s="18" t="s">
        <v>36</v>
      </c>
      <c r="B7" s="4">
        <v>180000</v>
      </c>
    </row>
    <row r="8" spans="1:2">
      <c r="A8" s="18" t="s">
        <v>137</v>
      </c>
      <c r="B8" s="4">
        <v>155100</v>
      </c>
    </row>
    <row r="9" spans="1:2">
      <c r="A9" s="18" t="s">
        <v>43</v>
      </c>
      <c r="B9" s="4">
        <v>149700</v>
      </c>
    </row>
    <row r="10" spans="1:2">
      <c r="A10" s="18" t="s">
        <v>190</v>
      </c>
      <c r="B10" s="4">
        <v>134300</v>
      </c>
    </row>
    <row r="11" spans="1:2">
      <c r="A11" s="18" t="s">
        <v>54</v>
      </c>
      <c r="B11" s="4">
        <v>106000</v>
      </c>
    </row>
    <row r="12" spans="1:2">
      <c r="A12" s="18" t="s">
        <v>126</v>
      </c>
      <c r="B12" s="4">
        <v>104800</v>
      </c>
    </row>
    <row r="13" spans="1:2">
      <c r="A13" s="18" t="s">
        <v>114</v>
      </c>
      <c r="B13" s="4">
        <v>104400</v>
      </c>
    </row>
    <row r="14" spans="1:2">
      <c r="A14" s="18" t="s">
        <v>1802</v>
      </c>
      <c r="B14" s="4">
        <v>1570500</v>
      </c>
    </row>
    <row r="17" spans="1:2">
      <c r="A17" s="17" t="s">
        <v>1801</v>
      </c>
      <c r="B17" t="s">
        <v>1804</v>
      </c>
    </row>
    <row r="18" spans="1:2">
      <c r="A18" s="19" t="s">
        <v>1806</v>
      </c>
      <c r="B18" s="4">
        <v>4</v>
      </c>
    </row>
    <row r="19" spans="1:2">
      <c r="A19" s="19" t="s">
        <v>1805</v>
      </c>
      <c r="B19" s="4">
        <v>29</v>
      </c>
    </row>
    <row r="20" spans="1:2">
      <c r="A20" s="19" t="s">
        <v>1807</v>
      </c>
      <c r="B20" s="4">
        <v>72</v>
      </c>
    </row>
    <row r="21" spans="1:2">
      <c r="A21" s="19" t="s">
        <v>1808</v>
      </c>
      <c r="B21" s="4">
        <v>132</v>
      </c>
    </row>
    <row r="22" spans="1:2">
      <c r="A22" s="19" t="s">
        <v>1809</v>
      </c>
      <c r="B22" s="4">
        <v>114</v>
      </c>
    </row>
    <row r="23" spans="1:2">
      <c r="A23" s="19" t="s">
        <v>1810</v>
      </c>
      <c r="B23" s="4">
        <v>94</v>
      </c>
    </row>
    <row r="24" spans="1:2">
      <c r="A24" s="19" t="s">
        <v>1811</v>
      </c>
      <c r="B24" s="4">
        <v>30</v>
      </c>
    </row>
    <row r="25" spans="1:2">
      <c r="A25" s="19" t="s">
        <v>1802</v>
      </c>
      <c r="B25" s="4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76"/>
  <sheetViews>
    <sheetView zoomScale="107" workbookViewId="0">
      <selection activeCell="P1" sqref="A1:X476"/>
    </sheetView>
  </sheetViews>
  <sheetFormatPr defaultColWidth="10.625" defaultRowHeight="15.75"/>
  <cols>
    <col min="1" max="1" width="4.625" customWidth="1"/>
    <col min="8" max="8" width="11" customWidth="1"/>
    <col min="12" max="16" width="11" customWidth="1"/>
    <col min="17" max="17" width="22" bestFit="1" customWidth="1"/>
    <col min="18" max="20" width="11" customWidth="1"/>
    <col min="21" max="21" width="12" customWidth="1"/>
    <col min="22" max="22" width="11.125" bestFit="1" customWidth="1"/>
    <col min="23" max="23" width="13.375" customWidth="1"/>
  </cols>
  <sheetData>
    <row r="1" spans="1:24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1799</v>
      </c>
      <c r="W1" s="2" t="s">
        <v>1798</v>
      </c>
      <c r="X1" s="7" t="s">
        <v>1800</v>
      </c>
    </row>
    <row r="2" spans="1:24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1797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6">
        <v>2715518274227</v>
      </c>
      <c r="R2">
        <v>82.5</v>
      </c>
      <c r="S2">
        <v>24.2</v>
      </c>
      <c r="T2">
        <v>60.7</v>
      </c>
      <c r="U2">
        <v>67059887</v>
      </c>
      <c r="V2" s="3">
        <f ca="1">TODAY()</f>
        <v>45882</v>
      </c>
      <c r="W2" s="3">
        <f>DATE(M2,N2,O2)</f>
        <v>17962</v>
      </c>
      <c r="X2" s="5">
        <f ca="1">YEARFRAC(W2,V2, 1)</f>
        <v>76.441473474612422</v>
      </c>
    </row>
    <row r="3" spans="1:24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1797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6">
        <v>21427700000000</v>
      </c>
      <c r="R3">
        <v>78.5</v>
      </c>
      <c r="S3">
        <v>9.6</v>
      </c>
      <c r="T3">
        <v>36.6</v>
      </c>
      <c r="U3">
        <v>328239523</v>
      </c>
      <c r="V3" s="3">
        <f t="shared" ref="V3:V66" ca="1" si="0">TODAY()</f>
        <v>45882</v>
      </c>
      <c r="W3" s="3">
        <f>DATE(M3,N3,O3)</f>
        <v>26112</v>
      </c>
      <c r="X3" s="5">
        <f t="shared" ref="X3:X66" ca="1" si="1">YEARFRAC(W3,V3, 1)</f>
        <v>54.126636467718654</v>
      </c>
    </row>
    <row r="4" spans="1:24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1797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6">
        <v>21427700000000</v>
      </c>
      <c r="R4">
        <v>78.5</v>
      </c>
      <c r="S4">
        <v>9.6</v>
      </c>
      <c r="T4">
        <v>36.6</v>
      </c>
      <c r="U4">
        <v>328239523</v>
      </c>
      <c r="V4" s="3">
        <f t="shared" ca="1" si="0"/>
        <v>45882</v>
      </c>
      <c r="W4" s="3">
        <f>DATE(M4,N4,O4)</f>
        <v>23388</v>
      </c>
      <c r="X4" s="5">
        <f t="shared" ca="1" si="1"/>
        <v>61.583855868586063</v>
      </c>
    </row>
    <row r="5" spans="1:24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1797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6">
        <v>21427700000000</v>
      </c>
      <c r="R5">
        <v>78.5</v>
      </c>
      <c r="S5">
        <v>9.6</v>
      </c>
      <c r="T5">
        <v>36.6</v>
      </c>
      <c r="U5">
        <v>328239523</v>
      </c>
      <c r="V5" s="3">
        <f t="shared" ca="1" si="0"/>
        <v>45882</v>
      </c>
      <c r="W5" s="3">
        <f>DATE(M5,N5,O5)</f>
        <v>16301</v>
      </c>
      <c r="X5" s="5">
        <f t="shared" ca="1" si="1"/>
        <v>80.987012119795665</v>
      </c>
    </row>
    <row r="6" spans="1:24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1797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6">
        <v>21427700000000</v>
      </c>
      <c r="R6">
        <v>78.5</v>
      </c>
      <c r="S6">
        <v>9.6</v>
      </c>
      <c r="T6">
        <v>36.6</v>
      </c>
      <c r="U6">
        <v>328239523</v>
      </c>
      <c r="V6" s="3">
        <f t="shared" ca="1" si="0"/>
        <v>45882</v>
      </c>
      <c r="W6" s="3">
        <f>DATE(M6,N6,O6)</f>
        <v>11200</v>
      </c>
      <c r="X6" s="5">
        <f t="shared" ca="1" si="1"/>
        <v>94.954140999315541</v>
      </c>
    </row>
    <row r="7" spans="1:24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1797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6">
        <v>21427700000000</v>
      </c>
      <c r="R7">
        <v>78.5</v>
      </c>
      <c r="S7">
        <v>9.6</v>
      </c>
      <c r="T7">
        <v>36.6</v>
      </c>
      <c r="U7">
        <v>328239523</v>
      </c>
      <c r="V7" s="3">
        <f t="shared" ca="1" si="0"/>
        <v>45882</v>
      </c>
      <c r="W7" s="3">
        <f>DATE(M7,N7,O7)</f>
        <v>20390</v>
      </c>
      <c r="X7" s="5">
        <f t="shared" ca="1" si="1"/>
        <v>69.79261944240929</v>
      </c>
    </row>
    <row r="8" spans="1:24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1797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6">
        <v>21427700000000</v>
      </c>
      <c r="R8">
        <v>78.5</v>
      </c>
      <c r="S8">
        <v>9.6</v>
      </c>
      <c r="T8">
        <v>36.6</v>
      </c>
      <c r="U8">
        <v>328239523</v>
      </c>
      <c r="V8" s="3">
        <f t="shared" ca="1" si="0"/>
        <v>45882</v>
      </c>
      <c r="W8" s="3">
        <f>DATE(M8,N8,O8)</f>
        <v>15386</v>
      </c>
      <c r="X8" s="5">
        <f t="shared" ca="1" si="1"/>
        <v>83.493497604380565</v>
      </c>
    </row>
    <row r="9" spans="1:24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1797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6">
        <v>1258286717125</v>
      </c>
      <c r="R9">
        <v>75</v>
      </c>
      <c r="S9">
        <v>13.1</v>
      </c>
      <c r="T9">
        <v>55.1</v>
      </c>
      <c r="U9">
        <v>126014024</v>
      </c>
      <c r="V9" s="3">
        <f t="shared" ca="1" si="0"/>
        <v>45882</v>
      </c>
      <c r="W9" s="3">
        <f>DATE(M9,N9,O9)</f>
        <v>14638</v>
      </c>
      <c r="X9" s="5">
        <f t="shared" ca="1" si="1"/>
        <v>85.540048389150641</v>
      </c>
    </row>
    <row r="10" spans="1:24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1797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6">
        <v>2611000000000</v>
      </c>
      <c r="R10">
        <v>69.400000000000006</v>
      </c>
      <c r="S10">
        <v>11.2</v>
      </c>
      <c r="T10">
        <v>49.7</v>
      </c>
      <c r="U10">
        <v>1366417754</v>
      </c>
      <c r="V10" s="3">
        <f t="shared" ca="1" si="0"/>
        <v>45882</v>
      </c>
      <c r="W10" s="3">
        <f>DATE(M10,N10,O10)</f>
        <v>20929</v>
      </c>
      <c r="X10" s="5">
        <f t="shared" ca="1" si="1"/>
        <v>68.31826839139751</v>
      </c>
    </row>
    <row r="11" spans="1:24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1797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6">
        <v>21427700000000</v>
      </c>
      <c r="R11">
        <v>78.5</v>
      </c>
      <c r="S11">
        <v>9.6</v>
      </c>
      <c r="T11">
        <v>36.6</v>
      </c>
      <c r="U11">
        <v>328239523</v>
      </c>
      <c r="V11" s="3">
        <f t="shared" ca="1" si="0"/>
        <v>45882</v>
      </c>
      <c r="W11" s="3">
        <f>DATE(M11,N11,O11)</f>
        <v>20538</v>
      </c>
      <c r="X11" s="5">
        <f t="shared" ca="1" si="1"/>
        <v>69.386733416770966</v>
      </c>
    </row>
    <row r="12" spans="1:24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1796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>
        <v>110.05</v>
      </c>
      <c r="Q12" s="6">
        <v>2715518274227</v>
      </c>
      <c r="R12">
        <v>82.5</v>
      </c>
      <c r="S12">
        <v>24.2</v>
      </c>
      <c r="T12">
        <v>60.7</v>
      </c>
      <c r="U12">
        <v>67059887</v>
      </c>
      <c r="V12" s="3">
        <f t="shared" ca="1" si="0"/>
        <v>45882</v>
      </c>
      <c r="W12" s="3">
        <f>DATE(M12,N12,O12)</f>
        <v>19550</v>
      </c>
      <c r="X12" s="5">
        <f t="shared" ca="1" si="1"/>
        <v>72.093762892397706</v>
      </c>
    </row>
    <row r="13" spans="1:24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1797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6">
        <v>21427700000000</v>
      </c>
      <c r="R13">
        <v>78.5</v>
      </c>
      <c r="S13">
        <v>9.6</v>
      </c>
      <c r="T13">
        <v>36.6</v>
      </c>
      <c r="U13">
        <v>328239523</v>
      </c>
      <c r="V13" s="3">
        <f t="shared" ca="1" si="0"/>
        <v>45882</v>
      </c>
      <c r="W13" s="3">
        <f>DATE(M13,N13,O13)</f>
        <v>26749</v>
      </c>
      <c r="X13" s="5">
        <f t="shared" ca="1" si="1"/>
        <v>52.383975617315834</v>
      </c>
    </row>
    <row r="14" spans="1:24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1797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>
        <v>110.96</v>
      </c>
      <c r="Q14" s="6">
        <v>1394116310769</v>
      </c>
      <c r="R14">
        <v>83.3</v>
      </c>
      <c r="S14">
        <v>14.2</v>
      </c>
      <c r="T14">
        <v>47</v>
      </c>
      <c r="U14">
        <v>47076781</v>
      </c>
      <c r="V14" s="3">
        <f t="shared" ca="1" si="0"/>
        <v>45882</v>
      </c>
      <c r="W14" s="3">
        <f>DATE(M14,N14,O14)</f>
        <v>13237</v>
      </c>
      <c r="X14" s="5">
        <f t="shared" ca="1" si="1"/>
        <v>89.375779515103588</v>
      </c>
    </row>
    <row r="15" spans="1:24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1797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6">
        <v>21427700000000</v>
      </c>
      <c r="R15">
        <v>78.5</v>
      </c>
      <c r="S15">
        <v>9.6</v>
      </c>
      <c r="T15">
        <v>36.6</v>
      </c>
      <c r="U15">
        <v>328239523</v>
      </c>
      <c r="V15" s="3">
        <f t="shared" ca="1" si="0"/>
        <v>45882</v>
      </c>
      <c r="W15" s="3">
        <f>DATE(M15,N15,O15)</f>
        <v>26897</v>
      </c>
      <c r="X15" s="5">
        <f t="shared" ca="1" si="1"/>
        <v>51.97876846781692</v>
      </c>
    </row>
    <row r="16" spans="1:24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1797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6">
        <v>19910000000000</v>
      </c>
      <c r="R16">
        <v>77</v>
      </c>
      <c r="S16">
        <v>9.4</v>
      </c>
      <c r="T16">
        <v>59.2</v>
      </c>
      <c r="U16">
        <v>1397715000</v>
      </c>
      <c r="V16" s="3">
        <f t="shared" ca="1" si="0"/>
        <v>45882</v>
      </c>
      <c r="W16" s="3">
        <f>DATE(M16,N16,O16)</f>
        <v>20059</v>
      </c>
      <c r="X16" s="5">
        <f t="shared" ca="1" si="1"/>
        <v>70.699520876112246</v>
      </c>
    </row>
    <row r="17" spans="1:24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1797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6">
        <v>21427700000000</v>
      </c>
      <c r="R17">
        <v>78.5</v>
      </c>
      <c r="S17">
        <v>9.6</v>
      </c>
      <c r="T17">
        <v>36.6</v>
      </c>
      <c r="U17">
        <v>328239523</v>
      </c>
      <c r="V17" s="3">
        <f t="shared" ca="1" si="0"/>
        <v>45882</v>
      </c>
      <c r="W17" s="3">
        <f>DATE(M17,N17,O17)</f>
        <v>30816</v>
      </c>
      <c r="X17" s="5">
        <f t="shared" ca="1" si="1"/>
        <v>41.247115572648461</v>
      </c>
    </row>
    <row r="18" spans="1:24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1797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6">
        <v>21427700000000</v>
      </c>
      <c r="R18">
        <v>78.5</v>
      </c>
      <c r="S18">
        <v>9.6</v>
      </c>
      <c r="T18">
        <v>36.6</v>
      </c>
      <c r="U18">
        <v>328239523</v>
      </c>
      <c r="V18" s="3">
        <f t="shared" ca="1" si="0"/>
        <v>45882</v>
      </c>
      <c r="W18" s="3">
        <f>DATE(M18,N18,O18)</f>
        <v>13089</v>
      </c>
      <c r="X18" s="5">
        <f t="shared" ca="1" si="1"/>
        <v>89.781665563511638</v>
      </c>
    </row>
    <row r="19" spans="1:24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1796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6">
        <v>21427700000000</v>
      </c>
      <c r="R19">
        <v>78.5</v>
      </c>
      <c r="S19">
        <v>9.6</v>
      </c>
      <c r="T19">
        <v>36.6</v>
      </c>
      <c r="U19">
        <v>328239523</v>
      </c>
      <c r="V19" s="3">
        <f t="shared" ca="1" si="0"/>
        <v>45882</v>
      </c>
      <c r="W19" s="3">
        <f>DATE(M19,N19,O19)</f>
        <v>22748</v>
      </c>
      <c r="X19" s="5">
        <f t="shared" ca="1" si="1"/>
        <v>63.337440109514034</v>
      </c>
    </row>
    <row r="20" spans="1:24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1797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6">
        <v>21427700000000</v>
      </c>
      <c r="R20">
        <v>78.5</v>
      </c>
      <c r="S20">
        <v>9.6</v>
      </c>
      <c r="T20">
        <v>36.6</v>
      </c>
      <c r="U20">
        <v>328239523</v>
      </c>
      <c r="V20" s="3">
        <f t="shared" ca="1" si="0"/>
        <v>45882</v>
      </c>
      <c r="W20" s="3">
        <f>DATE(M20,N20,O20)</f>
        <v>17691</v>
      </c>
      <c r="X20" s="5">
        <f t="shared" ca="1" si="1"/>
        <v>77.181396981396972</v>
      </c>
    </row>
    <row r="21" spans="1:24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1797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6">
        <v>21427700000000</v>
      </c>
      <c r="R21">
        <v>78.5</v>
      </c>
      <c r="S21">
        <v>9.6</v>
      </c>
      <c r="T21">
        <v>36.6</v>
      </c>
      <c r="U21">
        <v>328239523</v>
      </c>
      <c r="V21" s="3">
        <f t="shared" ca="1" si="0"/>
        <v>45882</v>
      </c>
      <c r="W21" s="3">
        <f>DATE(M21,N21,O21)</f>
        <v>16372</v>
      </c>
      <c r="X21" s="5">
        <f t="shared" ca="1" si="1"/>
        <v>80.792627958999702</v>
      </c>
    </row>
    <row r="22" spans="1:24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1796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6">
        <v>21427700000000</v>
      </c>
      <c r="R22">
        <v>78.5</v>
      </c>
      <c r="S22">
        <v>9.6</v>
      </c>
      <c r="T22">
        <v>36.6</v>
      </c>
      <c r="U22">
        <v>328239523</v>
      </c>
      <c r="V22" s="3">
        <f t="shared" ca="1" si="0"/>
        <v>45882</v>
      </c>
      <c r="W22" s="3">
        <f>DATE(M22,N22,O22)</f>
        <v>18178</v>
      </c>
      <c r="X22" s="5">
        <f t="shared" ca="1" si="1"/>
        <v>75.85009244773147</v>
      </c>
    </row>
    <row r="23" spans="1:24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1797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6">
        <v>1736425629520</v>
      </c>
      <c r="R23">
        <v>81.900000000000006</v>
      </c>
      <c r="S23">
        <v>12.8</v>
      </c>
      <c r="T23">
        <v>24.5</v>
      </c>
      <c r="U23">
        <v>36991981</v>
      </c>
      <c r="V23" s="3">
        <f t="shared" ca="1" si="0"/>
        <v>45882</v>
      </c>
      <c r="W23" s="3">
        <f>DATE(M23,N23,O23)</f>
        <v>20983</v>
      </c>
      <c r="X23" s="5">
        <f t="shared" ca="1" si="1"/>
        <v>68.170422982302995</v>
      </c>
    </row>
    <row r="24" spans="1:24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1797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 s="6">
        <v>21427700000000</v>
      </c>
      <c r="R24">
        <v>78.5</v>
      </c>
      <c r="S24">
        <v>9.6</v>
      </c>
      <c r="T24">
        <v>36.6</v>
      </c>
      <c r="U24">
        <v>328239523</v>
      </c>
      <c r="V24" s="3">
        <f t="shared" ca="1" si="0"/>
        <v>45882</v>
      </c>
      <c r="W24" s="3">
        <f>DATE(M24,N24,O24)</f>
        <v>23796</v>
      </c>
      <c r="X24" s="5">
        <f t="shared" ca="1" si="1"/>
        <v>60.468850987432674</v>
      </c>
    </row>
    <row r="25" spans="1:24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1797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 s="6">
        <v>2611000000000</v>
      </c>
      <c r="R25">
        <v>69.400000000000006</v>
      </c>
      <c r="S25">
        <v>11.2</v>
      </c>
      <c r="T25">
        <v>49.7</v>
      </c>
      <c r="U25">
        <v>1366417754</v>
      </c>
      <c r="V25" s="3">
        <f t="shared" ca="1" si="0"/>
        <v>45882</v>
      </c>
      <c r="W25" s="3">
        <f>DATE(M25,N25,O25)</f>
        <v>22821</v>
      </c>
      <c r="X25" s="5">
        <f t="shared" ca="1" si="1"/>
        <v>63.137577002053391</v>
      </c>
    </row>
    <row r="26" spans="1:24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1797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6">
        <v>21427700000000</v>
      </c>
      <c r="R26">
        <v>78.5</v>
      </c>
      <c r="S26">
        <v>9.6</v>
      </c>
      <c r="T26">
        <v>36.6</v>
      </c>
      <c r="U26">
        <v>328239523</v>
      </c>
      <c r="V26" s="3">
        <f t="shared" ca="1" si="0"/>
        <v>45882</v>
      </c>
      <c r="W26" s="3">
        <f>DATE(M26,N26,O26)</f>
        <v>13935</v>
      </c>
      <c r="X26" s="5">
        <f t="shared" ca="1" si="1"/>
        <v>87.466119096509246</v>
      </c>
    </row>
    <row r="27" spans="1:24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1797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>
        <v>125.08</v>
      </c>
      <c r="Q27" s="6">
        <v>19910000000000</v>
      </c>
      <c r="R27">
        <v>77</v>
      </c>
      <c r="S27">
        <v>9.4</v>
      </c>
      <c r="T27">
        <v>59.2</v>
      </c>
      <c r="U27">
        <v>1397715000</v>
      </c>
      <c r="V27" s="3">
        <f t="shared" ca="1" si="0"/>
        <v>45882</v>
      </c>
      <c r="W27" s="3">
        <f>DATE(M27,N27,O27)</f>
        <v>30682</v>
      </c>
      <c r="X27" s="5">
        <f t="shared" ca="1" si="1"/>
        <v>41.613975620885213</v>
      </c>
    </row>
    <row r="28" spans="1:24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1797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6">
        <v>3845630030824</v>
      </c>
      <c r="R28">
        <v>80.900000000000006</v>
      </c>
      <c r="S28">
        <v>11.5</v>
      </c>
      <c r="T28">
        <v>48.8</v>
      </c>
      <c r="U28">
        <v>83132799</v>
      </c>
      <c r="V28" s="3">
        <f t="shared" ca="1" si="0"/>
        <v>45882</v>
      </c>
      <c r="W28" s="3">
        <f>DATE(M28,N28,O28)</f>
        <v>14512</v>
      </c>
      <c r="X28" s="5">
        <f t="shared" ca="1" si="1"/>
        <v>85.885703496239429</v>
      </c>
    </row>
    <row r="29" spans="1:24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1797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>
        <v>110.05</v>
      </c>
      <c r="Q29" s="6">
        <v>2715518274227</v>
      </c>
      <c r="R29">
        <v>82.5</v>
      </c>
      <c r="S29">
        <v>24.2</v>
      </c>
      <c r="T29">
        <v>60.7</v>
      </c>
      <c r="U29">
        <v>67059887</v>
      </c>
      <c r="V29" s="3">
        <f t="shared" ca="1" si="0"/>
        <v>45882</v>
      </c>
      <c r="W29" s="3">
        <f>DATE(M29,N29,O29)</f>
        <v>13383</v>
      </c>
      <c r="X29" s="5">
        <f t="shared" ca="1" si="1"/>
        <v>88.976059380038336</v>
      </c>
    </row>
    <row r="30" spans="1:24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1797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>
        <v>99.55</v>
      </c>
      <c r="Q30" s="6">
        <v>703082435360</v>
      </c>
      <c r="R30">
        <v>83.6</v>
      </c>
      <c r="S30">
        <v>10.1</v>
      </c>
      <c r="T30">
        <v>28.8</v>
      </c>
      <c r="U30">
        <v>8574832</v>
      </c>
      <c r="V30" s="3">
        <f t="shared" ca="1" si="0"/>
        <v>45882</v>
      </c>
      <c r="W30" s="3">
        <f>DATE(M30,N30,O30)</f>
        <v>13668</v>
      </c>
      <c r="X30" s="5">
        <f t="shared" ca="1" si="1"/>
        <v>88.197803550004622</v>
      </c>
    </row>
    <row r="31" spans="1:24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1797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6">
        <v>529606710418</v>
      </c>
      <c r="R31">
        <v>81.599999999999994</v>
      </c>
      <c r="S31">
        <v>24</v>
      </c>
      <c r="T31">
        <v>55.4</v>
      </c>
      <c r="U31">
        <v>11484055</v>
      </c>
      <c r="V31" s="3">
        <f t="shared" ca="1" si="0"/>
        <v>45882</v>
      </c>
      <c r="W31" s="3">
        <f>DATE(M31,N31,O31)</f>
        <v>23641</v>
      </c>
      <c r="X31" s="5">
        <f t="shared" ca="1" si="1"/>
        <v>60.891194913008924</v>
      </c>
    </row>
    <row r="32" spans="1:24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1796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6">
        <v>21427700000000</v>
      </c>
      <c r="R32">
        <v>78.5</v>
      </c>
      <c r="S32">
        <v>9.6</v>
      </c>
      <c r="T32">
        <v>36.6</v>
      </c>
      <c r="U32">
        <v>328239523</v>
      </c>
      <c r="V32" s="3">
        <f t="shared" ca="1" si="0"/>
        <v>45882</v>
      </c>
      <c r="W32" s="3">
        <f>DATE(M32,N32,O32)</f>
        <v>14528</v>
      </c>
      <c r="X32" s="5">
        <f t="shared" ca="1" si="1"/>
        <v>85.841898228278325</v>
      </c>
    </row>
    <row r="33" spans="1:24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1797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6">
        <v>21427700000000</v>
      </c>
      <c r="R33">
        <v>78.5</v>
      </c>
      <c r="S33">
        <v>9.6</v>
      </c>
      <c r="T33">
        <v>36.6</v>
      </c>
      <c r="U33">
        <v>328239523</v>
      </c>
      <c r="V33" s="3">
        <f t="shared" ca="1" si="0"/>
        <v>45882</v>
      </c>
      <c r="W33" s="3">
        <f>DATE(M33,N33,O33)</f>
        <v>13072</v>
      </c>
      <c r="X33" s="5">
        <f t="shared" ca="1" si="1"/>
        <v>89.828208676815692</v>
      </c>
    </row>
    <row r="34" spans="1:24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1797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6">
        <v>19910000000000</v>
      </c>
      <c r="R34">
        <v>77</v>
      </c>
      <c r="S34">
        <v>9.4</v>
      </c>
      <c r="T34">
        <v>59.2</v>
      </c>
      <c r="U34">
        <v>1397715000</v>
      </c>
      <c r="V34" s="3">
        <f t="shared" ca="1" si="0"/>
        <v>45882</v>
      </c>
      <c r="W34" s="3">
        <f>DATE(M34,N34,O34)</f>
        <v>26235</v>
      </c>
      <c r="X34" s="5">
        <f t="shared" ca="1" si="1"/>
        <v>53.789885011697947</v>
      </c>
    </row>
    <row r="35" spans="1:24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1796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6">
        <v>21427700000000</v>
      </c>
      <c r="R35">
        <v>78.5</v>
      </c>
      <c r="S35">
        <v>9.6</v>
      </c>
      <c r="T35">
        <v>36.6</v>
      </c>
      <c r="U35">
        <v>328239523</v>
      </c>
      <c r="V35" s="3">
        <f t="shared" ca="1" si="0"/>
        <v>45882</v>
      </c>
      <c r="W35" s="3">
        <f>DATE(M35,N35,O35)</f>
        <v>16720</v>
      </c>
      <c r="X35" s="5">
        <f t="shared" ca="1" si="1"/>
        <v>79.841879330741918</v>
      </c>
    </row>
    <row r="36" spans="1:24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1797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6">
        <v>21427700000000</v>
      </c>
      <c r="R36">
        <v>78.5</v>
      </c>
      <c r="S36">
        <v>9.6</v>
      </c>
      <c r="T36">
        <v>36.6</v>
      </c>
      <c r="U36">
        <v>328239523</v>
      </c>
      <c r="V36" s="3">
        <f t="shared" ca="1" si="0"/>
        <v>45882</v>
      </c>
      <c r="W36" s="3">
        <f>DATE(M36,N36,O36)</f>
        <v>25126</v>
      </c>
      <c r="X36" s="5">
        <f t="shared" ca="1" si="1"/>
        <v>56.825489733301865</v>
      </c>
    </row>
    <row r="37" spans="1:24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1797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6">
        <v>446314739528</v>
      </c>
      <c r="R37">
        <v>81.599999999999994</v>
      </c>
      <c r="S37">
        <v>25.4</v>
      </c>
      <c r="T37">
        <v>51.4</v>
      </c>
      <c r="U37">
        <v>8877067</v>
      </c>
      <c r="V37" s="3">
        <f t="shared" ca="1" si="0"/>
        <v>45882</v>
      </c>
      <c r="W37" s="3">
        <f>DATE(M37,N37,O37)</f>
        <v>33731</v>
      </c>
      <c r="X37" s="5">
        <f t="shared" ca="1" si="1"/>
        <v>33.266285530235933</v>
      </c>
    </row>
    <row r="38" spans="1:24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1797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6">
        <v>19910000000000</v>
      </c>
      <c r="R38">
        <v>77</v>
      </c>
      <c r="S38">
        <v>9.4</v>
      </c>
      <c r="T38">
        <v>59.2</v>
      </c>
      <c r="U38">
        <v>1397715000</v>
      </c>
      <c r="V38" s="3">
        <f t="shared" ca="1" si="0"/>
        <v>45882</v>
      </c>
      <c r="W38" s="3">
        <f>DATE(M38,N38,O38)</f>
        <v>25204</v>
      </c>
      <c r="X38" s="5">
        <f t="shared" ca="1" si="1"/>
        <v>56.613958403381524</v>
      </c>
    </row>
    <row r="39" spans="1:24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1797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6">
        <v>5081769542380</v>
      </c>
      <c r="R39">
        <v>84.2</v>
      </c>
      <c r="S39">
        <v>11.9</v>
      </c>
      <c r="T39">
        <v>46.7</v>
      </c>
      <c r="U39">
        <v>126226568</v>
      </c>
      <c r="V39" s="3">
        <f t="shared" ca="1" si="0"/>
        <v>45882</v>
      </c>
      <c r="W39" s="3">
        <f>DATE(M39,N39,O39)</f>
        <v>17936</v>
      </c>
      <c r="X39" s="5">
        <f t="shared" ca="1" si="1"/>
        <v>76.512658227848092</v>
      </c>
    </row>
    <row r="40" spans="1:24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1797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6">
        <v>2827113184696</v>
      </c>
      <c r="R40">
        <v>81.3</v>
      </c>
      <c r="S40">
        <v>25.5</v>
      </c>
      <c r="T40">
        <v>30.6</v>
      </c>
      <c r="U40">
        <v>66834405</v>
      </c>
      <c r="V40" s="3">
        <f t="shared" ca="1" si="0"/>
        <v>45882</v>
      </c>
      <c r="W40" s="3">
        <f>DATE(M40,N40,O40)</f>
        <v>20972</v>
      </c>
      <c r="X40" s="5">
        <f t="shared" ca="1" si="1"/>
        <v>68.200539639711138</v>
      </c>
    </row>
    <row r="41" spans="1:24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1797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6">
        <v>21427700000000</v>
      </c>
      <c r="R41">
        <v>78.5</v>
      </c>
      <c r="S41">
        <v>9.6</v>
      </c>
      <c r="T41">
        <v>36.6</v>
      </c>
      <c r="U41">
        <v>328239523</v>
      </c>
      <c r="V41" s="3">
        <f t="shared" ca="1" si="0"/>
        <v>45882</v>
      </c>
      <c r="W41" s="3">
        <f>DATE(M41,N41,O41)</f>
        <v>17773</v>
      </c>
      <c r="X41" s="5">
        <f t="shared" ca="1" si="1"/>
        <v>76.956897156897156</v>
      </c>
    </row>
    <row r="42" spans="1:24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1797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6">
        <v>21427700000000</v>
      </c>
      <c r="R42">
        <v>78.5</v>
      </c>
      <c r="S42">
        <v>9.6</v>
      </c>
      <c r="T42">
        <v>36.6</v>
      </c>
      <c r="U42">
        <v>328239523</v>
      </c>
      <c r="V42" s="3">
        <f t="shared" ca="1" si="0"/>
        <v>45882</v>
      </c>
      <c r="W42" s="3">
        <f>DATE(M42,N42,O42)</f>
        <v>18637</v>
      </c>
      <c r="X42" s="5">
        <f t="shared" ca="1" si="1"/>
        <v>74.592063955610712</v>
      </c>
    </row>
    <row r="43" spans="1:24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1797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6">
        <v>703082435360</v>
      </c>
      <c r="R43">
        <v>83.6</v>
      </c>
      <c r="S43">
        <v>10.1</v>
      </c>
      <c r="T43">
        <v>28.8</v>
      </c>
      <c r="U43">
        <v>8574832</v>
      </c>
      <c r="V43" s="3">
        <f t="shared" ca="1" si="0"/>
        <v>45882</v>
      </c>
      <c r="W43" s="3">
        <f>DATE(M43,N43,O43)</f>
        <v>14789</v>
      </c>
      <c r="X43" s="5">
        <f t="shared" ca="1" si="1"/>
        <v>85.126639500827707</v>
      </c>
    </row>
    <row r="44" spans="1:24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1796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>
        <v>99.55</v>
      </c>
      <c r="Q44" s="6">
        <v>703082435360</v>
      </c>
      <c r="R44">
        <v>83.6</v>
      </c>
      <c r="S44">
        <v>10.1</v>
      </c>
      <c r="T44">
        <v>28.8</v>
      </c>
      <c r="U44">
        <v>8574832</v>
      </c>
      <c r="V44" s="3">
        <f t="shared" ca="1" si="0"/>
        <v>45882</v>
      </c>
      <c r="W44" s="3">
        <f>DATE(M44,N44,O44)</f>
        <v>16522</v>
      </c>
      <c r="X44" s="5">
        <f t="shared" ca="1" si="1"/>
        <v>80.383978367415921</v>
      </c>
    </row>
    <row r="45" spans="1:24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1797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6">
        <v>19910000000000</v>
      </c>
      <c r="R45">
        <v>77</v>
      </c>
      <c r="S45">
        <v>9.4</v>
      </c>
      <c r="T45">
        <v>59.2</v>
      </c>
      <c r="U45">
        <v>1397715000</v>
      </c>
      <c r="V45" s="3">
        <f t="shared" ca="1" si="0"/>
        <v>45882</v>
      </c>
      <c r="W45" s="3">
        <f>DATE(M45,N45,O45)</f>
        <v>29253</v>
      </c>
      <c r="X45" s="5">
        <f t="shared" ca="1" si="1"/>
        <v>45.526365908820381</v>
      </c>
    </row>
    <row r="46" spans="1:24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1797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6">
        <v>3845630030824</v>
      </c>
      <c r="R46">
        <v>80.900000000000006</v>
      </c>
      <c r="S46">
        <v>11.5</v>
      </c>
      <c r="T46">
        <v>48.8</v>
      </c>
      <c r="U46">
        <v>83132799</v>
      </c>
      <c r="V46" s="3">
        <f t="shared" ca="1" si="0"/>
        <v>45882</v>
      </c>
      <c r="W46" s="3">
        <f>DATE(M46,N46,O46)</f>
        <v>12894</v>
      </c>
      <c r="X46" s="5">
        <f t="shared" ca="1" si="1"/>
        <v>90.315542451411034</v>
      </c>
    </row>
    <row r="47" spans="1:24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1797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 s="6">
        <v>21427700000000</v>
      </c>
      <c r="R47">
        <v>78.5</v>
      </c>
      <c r="S47">
        <v>9.6</v>
      </c>
      <c r="T47">
        <v>36.6</v>
      </c>
      <c r="U47">
        <v>328239523</v>
      </c>
      <c r="V47" s="3">
        <f t="shared" ca="1" si="0"/>
        <v>45882</v>
      </c>
      <c r="W47" s="3">
        <f>DATE(M47,N47,O47)</f>
        <v>21383</v>
      </c>
      <c r="X47" s="5">
        <f t="shared" ca="1" si="1"/>
        <v>67.074606433949356</v>
      </c>
    </row>
    <row r="48" spans="1:24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1797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6">
        <v>21427700000000</v>
      </c>
      <c r="R48">
        <v>78.5</v>
      </c>
      <c r="S48">
        <v>9.6</v>
      </c>
      <c r="T48">
        <v>36.6</v>
      </c>
      <c r="U48">
        <v>328239523</v>
      </c>
      <c r="V48" s="3">
        <f t="shared" ca="1" si="0"/>
        <v>45882</v>
      </c>
      <c r="W48" s="3">
        <f>DATE(M48,N48,O48)</f>
        <v>13995</v>
      </c>
      <c r="X48" s="5">
        <f t="shared" ca="1" si="1"/>
        <v>87.301848049281318</v>
      </c>
    </row>
    <row r="49" spans="1:24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1797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6">
        <v>21427700000000</v>
      </c>
      <c r="R49">
        <v>78.5</v>
      </c>
      <c r="S49">
        <v>9.6</v>
      </c>
      <c r="T49">
        <v>36.6</v>
      </c>
      <c r="U49">
        <v>328239523</v>
      </c>
      <c r="V49" s="3">
        <f t="shared" ca="1" si="0"/>
        <v>45882</v>
      </c>
      <c r="W49" s="3">
        <f>DATE(M49,N49,O49)</f>
        <v>17212</v>
      </c>
      <c r="X49" s="5">
        <f t="shared" ca="1" si="1"/>
        <v>78.49350199272223</v>
      </c>
    </row>
    <row r="50" spans="1:24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1796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6">
        <v>3845630030824</v>
      </c>
      <c r="R50">
        <v>80.900000000000006</v>
      </c>
      <c r="S50">
        <v>11.5</v>
      </c>
      <c r="T50">
        <v>48.8</v>
      </c>
      <c r="U50">
        <v>83132799</v>
      </c>
      <c r="V50" s="3">
        <f t="shared" ca="1" si="0"/>
        <v>45882</v>
      </c>
      <c r="W50" s="3">
        <f>DATE(M50,N50,O50)</f>
        <v>22764</v>
      </c>
      <c r="X50" s="5">
        <f t="shared" ca="1" si="1"/>
        <v>63.293634496919921</v>
      </c>
    </row>
    <row r="51" spans="1:24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1796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6">
        <v>1392680589329</v>
      </c>
      <c r="R51">
        <v>82.7</v>
      </c>
      <c r="S51">
        <v>23</v>
      </c>
      <c r="T51">
        <v>47.4</v>
      </c>
      <c r="U51">
        <v>25766605</v>
      </c>
      <c r="V51" s="3">
        <f t="shared" ca="1" si="0"/>
        <v>45882</v>
      </c>
      <c r="W51" s="3">
        <f>DATE(M51,N51,O51)</f>
        <v>19764</v>
      </c>
      <c r="X51" s="5">
        <f t="shared" ca="1" si="1"/>
        <v>71.507186858316217</v>
      </c>
    </row>
    <row r="52" spans="1:24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1797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>
        <v>125.08</v>
      </c>
      <c r="Q52" s="6">
        <v>19910000000000</v>
      </c>
      <c r="R52">
        <v>77</v>
      </c>
      <c r="S52">
        <v>9.4</v>
      </c>
      <c r="T52">
        <v>59.2</v>
      </c>
      <c r="U52">
        <v>1397715000</v>
      </c>
      <c r="V52" s="3">
        <f t="shared" ca="1" si="0"/>
        <v>45882</v>
      </c>
      <c r="W52" s="3">
        <f>DATE(M52,N52,O52)</f>
        <v>26207</v>
      </c>
      <c r="X52" s="5">
        <f t="shared" ca="1" si="1"/>
        <v>53.866543879735183</v>
      </c>
    </row>
    <row r="53" spans="1:24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1797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6">
        <v>1258286717125</v>
      </c>
      <c r="R53">
        <v>75</v>
      </c>
      <c r="S53">
        <v>13.1</v>
      </c>
      <c r="T53">
        <v>55.1</v>
      </c>
      <c r="U53">
        <v>126014024</v>
      </c>
      <c r="V53" s="3">
        <f t="shared" ca="1" si="0"/>
        <v>45882</v>
      </c>
      <c r="W53" s="3">
        <f>DATE(M53,N53,O53)</f>
        <v>19658</v>
      </c>
      <c r="X53" s="5">
        <f t="shared" ca="1" si="1"/>
        <v>71.798072234932306</v>
      </c>
    </row>
    <row r="54" spans="1:24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1797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6">
        <v>2611000000000</v>
      </c>
      <c r="R54">
        <v>69.400000000000006</v>
      </c>
      <c r="S54">
        <v>11.2</v>
      </c>
      <c r="T54">
        <v>49.7</v>
      </c>
      <c r="U54">
        <v>1366417754</v>
      </c>
      <c r="V54" s="3">
        <f t="shared" ca="1" si="0"/>
        <v>45882</v>
      </c>
      <c r="W54" s="3">
        <f>DATE(M54,N54,O54)</f>
        <v>16636</v>
      </c>
      <c r="X54" s="5">
        <f t="shared" ca="1" si="1"/>
        <v>80.071860740239984</v>
      </c>
    </row>
    <row r="55" spans="1:24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1797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6">
        <v>1119190780753</v>
      </c>
      <c r="R55">
        <v>71.5</v>
      </c>
      <c r="S55">
        <v>10.199999999999999</v>
      </c>
      <c r="T55">
        <v>30.1</v>
      </c>
      <c r="U55">
        <v>270203917</v>
      </c>
      <c r="V55" s="3">
        <f t="shared" ca="1" si="0"/>
        <v>45882</v>
      </c>
      <c r="W55" s="3">
        <f>DATE(M55,N55,O55)</f>
        <v>17640</v>
      </c>
      <c r="X55" s="5">
        <f t="shared" ca="1" si="1"/>
        <v>77.321024921024915</v>
      </c>
    </row>
    <row r="56" spans="1:24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1797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>
        <v>117.24</v>
      </c>
      <c r="Q56" s="6">
        <v>21427700000000</v>
      </c>
      <c r="R56">
        <v>78.5</v>
      </c>
      <c r="S56">
        <v>9.6</v>
      </c>
      <c r="T56">
        <v>36.6</v>
      </c>
      <c r="U56">
        <v>328239523</v>
      </c>
      <c r="V56" s="3">
        <f t="shared" ca="1" si="0"/>
        <v>45882</v>
      </c>
      <c r="W56" s="3">
        <f>DATE(M56,N56,O56)</f>
        <v>16345</v>
      </c>
      <c r="X56" s="5">
        <f t="shared" ca="1" si="1"/>
        <v>80.866548696203807</v>
      </c>
    </row>
    <row r="57" spans="1:24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1797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6">
        <v>421142267938</v>
      </c>
      <c r="R57">
        <v>77.8</v>
      </c>
      <c r="S57">
        <v>0.1</v>
      </c>
      <c r="T57">
        <v>15.9</v>
      </c>
      <c r="U57">
        <v>9770529</v>
      </c>
      <c r="V57" s="3">
        <f t="shared" ca="1" si="0"/>
        <v>45882</v>
      </c>
      <c r="W57" s="3">
        <f>DATE(M57,N57,O57)</f>
        <v>26366</v>
      </c>
      <c r="X57" s="5">
        <f t="shared" ca="1" si="1"/>
        <v>53.430541472317991</v>
      </c>
    </row>
    <row r="58" spans="1:24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1797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>
        <v>112.85</v>
      </c>
      <c r="Q58" s="6">
        <v>3845630030824</v>
      </c>
      <c r="R58">
        <v>80.900000000000006</v>
      </c>
      <c r="S58">
        <v>11.5</v>
      </c>
      <c r="T58">
        <v>48.8</v>
      </c>
      <c r="U58">
        <v>83132799</v>
      </c>
      <c r="V58" s="3">
        <f t="shared" ca="1" si="0"/>
        <v>45882</v>
      </c>
      <c r="W58" s="3">
        <f>DATE(M58,N58,O58)</f>
        <v>24236</v>
      </c>
      <c r="X58" s="5">
        <f t="shared" ca="1" si="1"/>
        <v>59.263518138261468</v>
      </c>
    </row>
    <row r="59" spans="1:24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1796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>
        <v>117.24</v>
      </c>
      <c r="Q59" s="6">
        <v>21427700000000</v>
      </c>
      <c r="R59">
        <v>78.5</v>
      </c>
      <c r="S59">
        <v>9.6</v>
      </c>
      <c r="T59">
        <v>36.6</v>
      </c>
      <c r="U59">
        <v>328239523</v>
      </c>
      <c r="V59" s="3">
        <f t="shared" ca="1" si="0"/>
        <v>45882</v>
      </c>
      <c r="W59" s="3">
        <f>DATE(M59,N59,O59)</f>
        <v>25665</v>
      </c>
      <c r="X59" s="5">
        <f t="shared" ca="1" si="1"/>
        <v>55.351129363449694</v>
      </c>
    </row>
    <row r="60" spans="1:24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1797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6">
        <v>1119190780753</v>
      </c>
      <c r="R60">
        <v>71.5</v>
      </c>
      <c r="S60">
        <v>10.199999999999999</v>
      </c>
      <c r="T60">
        <v>30.1</v>
      </c>
      <c r="U60">
        <v>270203917</v>
      </c>
      <c r="V60" s="3">
        <f t="shared" ca="1" si="0"/>
        <v>45882</v>
      </c>
      <c r="W60" s="3">
        <f>DATE(M60,N60,O60)</f>
        <v>14977</v>
      </c>
      <c r="X60" s="5">
        <f t="shared" ca="1" si="1"/>
        <v>84.613959930425821</v>
      </c>
    </row>
    <row r="61" spans="1:24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1797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 s="6">
        <v>1699876578871</v>
      </c>
      <c r="R61">
        <v>72.7</v>
      </c>
      <c r="S61">
        <v>11.4</v>
      </c>
      <c r="T61">
        <v>46.2</v>
      </c>
      <c r="U61">
        <v>144373535</v>
      </c>
      <c r="V61" s="3">
        <f t="shared" ca="1" si="0"/>
        <v>45882</v>
      </c>
      <c r="W61" s="3">
        <f>DATE(M61,N61,O61)</f>
        <v>22284</v>
      </c>
      <c r="X61" s="5">
        <f t="shared" ca="1" si="1"/>
        <v>64.608483214691887</v>
      </c>
    </row>
    <row r="62" spans="1:24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1797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6">
        <v>19910000000000</v>
      </c>
      <c r="R62">
        <v>77</v>
      </c>
      <c r="S62">
        <v>9.4</v>
      </c>
      <c r="T62">
        <v>59.2</v>
      </c>
      <c r="U62">
        <v>1397715000</v>
      </c>
      <c r="V62" s="3">
        <f t="shared" ca="1" si="0"/>
        <v>45882</v>
      </c>
      <c r="W62" s="3">
        <f>DATE(M62,N62,O62)</f>
        <v>23630</v>
      </c>
      <c r="X62" s="5">
        <f t="shared" ca="1" si="1"/>
        <v>60.921310606729669</v>
      </c>
    </row>
    <row r="63" spans="1:24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1797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6">
        <v>19910000000000</v>
      </c>
      <c r="R63">
        <v>77</v>
      </c>
      <c r="S63">
        <v>9.4</v>
      </c>
      <c r="T63">
        <v>59.2</v>
      </c>
      <c r="U63">
        <v>1397715000</v>
      </c>
      <c r="V63" s="3">
        <f t="shared" ca="1" si="0"/>
        <v>45882</v>
      </c>
      <c r="W63" s="3">
        <f>DATE(M63,N63,O63)</f>
        <v>15564</v>
      </c>
      <c r="X63" s="5">
        <f t="shared" ca="1" si="1"/>
        <v>83.006160164271051</v>
      </c>
    </row>
    <row r="64" spans="1:24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1796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6">
        <v>282318159745</v>
      </c>
      <c r="R64">
        <v>80</v>
      </c>
      <c r="S64">
        <v>18.2</v>
      </c>
      <c r="T64">
        <v>34</v>
      </c>
      <c r="U64">
        <v>18952038</v>
      </c>
      <c r="V64" s="3">
        <f t="shared" ca="1" si="0"/>
        <v>45882</v>
      </c>
      <c r="W64" s="3">
        <f>DATE(M64,N64,O64)</f>
        <v>15707</v>
      </c>
      <c r="X64" s="5">
        <f t="shared" ca="1" si="1"/>
        <v>82.613966222456781</v>
      </c>
    </row>
    <row r="65" spans="1:24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1797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>
        <v>151.18</v>
      </c>
      <c r="Q65" s="6">
        <v>1119190780753</v>
      </c>
      <c r="R65">
        <v>71.5</v>
      </c>
      <c r="S65">
        <v>10.199999999999999</v>
      </c>
      <c r="T65">
        <v>30.1</v>
      </c>
      <c r="U65">
        <v>270203917</v>
      </c>
      <c r="V65" s="3">
        <f t="shared" ca="1" si="0"/>
        <v>45882</v>
      </c>
      <c r="W65" s="3">
        <f>DATE(M65,N65,O65)</f>
        <v>14520</v>
      </c>
      <c r="X65" s="5">
        <f t="shared" ca="1" si="1"/>
        <v>85.86380086225887</v>
      </c>
    </row>
    <row r="66" spans="1:24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1797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>
        <v>119.62</v>
      </c>
      <c r="Q66" s="6">
        <v>2827113184696</v>
      </c>
      <c r="R66">
        <v>81.3</v>
      </c>
      <c r="S66">
        <v>25.5</v>
      </c>
      <c r="T66">
        <v>30.6</v>
      </c>
      <c r="U66">
        <v>66834405</v>
      </c>
      <c r="V66" s="3">
        <f t="shared" ca="1" si="0"/>
        <v>45882</v>
      </c>
      <c r="W66" s="3">
        <f>DATE(M66,N66,O66)</f>
        <v>19360</v>
      </c>
      <c r="X66" s="5">
        <f t="shared" ca="1" si="1"/>
        <v>72.613959419420169</v>
      </c>
    </row>
    <row r="67" spans="1:24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1797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6">
        <v>2611000000000</v>
      </c>
      <c r="R67">
        <v>69.400000000000006</v>
      </c>
      <c r="S67">
        <v>11.2</v>
      </c>
      <c r="T67">
        <v>49.7</v>
      </c>
      <c r="U67">
        <v>1366417754</v>
      </c>
      <c r="V67" s="3">
        <f t="shared" ref="V67:V130" ca="1" si="2">TODAY()</f>
        <v>45882</v>
      </c>
      <c r="W67" s="3">
        <f>DATE(M67,N67,O67)</f>
        <v>15107</v>
      </c>
      <c r="X67" s="5">
        <f t="shared" ref="X67:X130" ca="1" si="3">YEARFRAC(W67,V67, 1)</f>
        <v>84.258036462024094</v>
      </c>
    </row>
    <row r="68" spans="1:24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1797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 s="6">
        <v>5081769542380</v>
      </c>
      <c r="R68">
        <v>84.2</v>
      </c>
      <c r="S68">
        <v>11.9</v>
      </c>
      <c r="T68">
        <v>46.7</v>
      </c>
      <c r="U68">
        <v>126226568</v>
      </c>
      <c r="V68" s="3">
        <f t="shared" ca="1" si="2"/>
        <v>45882</v>
      </c>
      <c r="W68" s="3">
        <f>DATE(M68,N68,O68)</f>
        <v>21043</v>
      </c>
      <c r="X68" s="5">
        <f t="shared" ca="1" si="3"/>
        <v>68.006150305531307</v>
      </c>
    </row>
    <row r="69" spans="1:24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1797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 s="6">
        <v>1699876578871</v>
      </c>
      <c r="R69">
        <v>72.7</v>
      </c>
      <c r="S69">
        <v>11.4</v>
      </c>
      <c r="T69">
        <v>46.2</v>
      </c>
      <c r="U69">
        <v>144373535</v>
      </c>
      <c r="V69" s="3">
        <f t="shared" ca="1" si="2"/>
        <v>45882</v>
      </c>
      <c r="W69" s="3">
        <f>DATE(M69,N69,O69)</f>
        <v>20582</v>
      </c>
      <c r="X69" s="5">
        <f t="shared" ca="1" si="3"/>
        <v>69.266270337922407</v>
      </c>
    </row>
    <row r="70" spans="1:24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1797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>
        <v>110.05</v>
      </c>
      <c r="Q70" s="6">
        <v>2715518274227</v>
      </c>
      <c r="R70">
        <v>82.5</v>
      </c>
      <c r="S70">
        <v>24.2</v>
      </c>
      <c r="T70">
        <v>60.7</v>
      </c>
      <c r="U70">
        <v>67059887</v>
      </c>
      <c r="V70" s="3">
        <f t="shared" ca="1" si="2"/>
        <v>45882</v>
      </c>
      <c r="W70" s="3">
        <f>DATE(M70,N70,O70)</f>
        <v>25829</v>
      </c>
      <c r="X70" s="5">
        <f t="shared" ca="1" si="3"/>
        <v>54.902121834360024</v>
      </c>
    </row>
    <row r="71" spans="1:24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1796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6">
        <v>21427700000000</v>
      </c>
      <c r="R71">
        <v>78.5</v>
      </c>
      <c r="S71">
        <v>9.6</v>
      </c>
      <c r="T71">
        <v>36.6</v>
      </c>
      <c r="U71">
        <v>328239523</v>
      </c>
      <c r="V71" s="3">
        <f t="shared" ca="1" si="2"/>
        <v>45882</v>
      </c>
      <c r="W71" s="3">
        <f>DATE(M71,N71,O71)</f>
        <v>22634</v>
      </c>
      <c r="X71" s="5">
        <f t="shared" ca="1" si="3"/>
        <v>63.650225348553136</v>
      </c>
    </row>
    <row r="72" spans="1:24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1797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6">
        <v>1699876578871</v>
      </c>
      <c r="R72">
        <v>72.7</v>
      </c>
      <c r="S72">
        <v>11.4</v>
      </c>
      <c r="T72">
        <v>46.2</v>
      </c>
      <c r="U72">
        <v>144373535</v>
      </c>
      <c r="V72" s="3">
        <f t="shared" ca="1" si="2"/>
        <v>45882</v>
      </c>
      <c r="W72" s="3">
        <f>DATE(M72,N72,O72)</f>
        <v>20312</v>
      </c>
      <c r="X72" s="5">
        <f t="shared" ca="1" si="3"/>
        <v>70.006169745112402</v>
      </c>
    </row>
    <row r="73" spans="1:24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1797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6">
        <v>21427700000000</v>
      </c>
      <c r="R73">
        <v>78.5</v>
      </c>
      <c r="S73">
        <v>9.6</v>
      </c>
      <c r="T73">
        <v>36.6</v>
      </c>
      <c r="U73">
        <v>328239523</v>
      </c>
      <c r="V73" s="3">
        <f t="shared" ca="1" si="2"/>
        <v>45882</v>
      </c>
      <c r="W73" s="3">
        <f>DATE(M73,N73,O73)</f>
        <v>31674</v>
      </c>
      <c r="X73" s="5">
        <f t="shared" ca="1" si="3"/>
        <v>38.899383983572896</v>
      </c>
    </row>
    <row r="74" spans="1:24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1797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6">
        <v>19910000000000</v>
      </c>
      <c r="R74">
        <v>77</v>
      </c>
      <c r="S74">
        <v>9.4</v>
      </c>
      <c r="T74">
        <v>59.2</v>
      </c>
      <c r="U74">
        <v>1397715000</v>
      </c>
      <c r="V74" s="3">
        <f t="shared" ca="1" si="2"/>
        <v>45882</v>
      </c>
      <c r="W74" s="3">
        <f>DATE(M74,N74,O74)</f>
        <v>25842</v>
      </c>
      <c r="X74" s="5">
        <f t="shared" ca="1" si="3"/>
        <v>54.866529774127308</v>
      </c>
    </row>
    <row r="75" spans="1:24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1797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6">
        <v>21427700000000</v>
      </c>
      <c r="R75">
        <v>78.5</v>
      </c>
      <c r="S75">
        <v>9.6</v>
      </c>
      <c r="T75">
        <v>36.6</v>
      </c>
      <c r="U75">
        <v>328239523</v>
      </c>
      <c r="V75" s="3">
        <f t="shared" ca="1" si="2"/>
        <v>45882</v>
      </c>
      <c r="W75" s="3">
        <f>DATE(M75,N75,O75)</f>
        <v>23059</v>
      </c>
      <c r="X75" s="5">
        <f t="shared" ca="1" si="3"/>
        <v>62.485289644083267</v>
      </c>
    </row>
    <row r="76" spans="1:24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1797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6">
        <v>21427700000000</v>
      </c>
      <c r="R76">
        <v>78.5</v>
      </c>
      <c r="S76">
        <v>9.6</v>
      </c>
      <c r="T76">
        <v>36.6</v>
      </c>
      <c r="U76">
        <v>328239523</v>
      </c>
      <c r="V76" s="3">
        <f t="shared" ca="1" si="2"/>
        <v>45882</v>
      </c>
      <c r="W76" s="3">
        <f>DATE(M76,N76,O76)</f>
        <v>12132</v>
      </c>
      <c r="X76" s="5">
        <f t="shared" ca="1" si="3"/>
        <v>92.403144135657087</v>
      </c>
    </row>
    <row r="77" spans="1:24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1797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>
        <v>105.48</v>
      </c>
      <c r="Q77" s="6">
        <v>5081769542380</v>
      </c>
      <c r="R77">
        <v>84.2</v>
      </c>
      <c r="S77">
        <v>11.9</v>
      </c>
      <c r="T77">
        <v>46.7</v>
      </c>
      <c r="U77">
        <v>126226568</v>
      </c>
      <c r="V77" s="3">
        <f t="shared" ca="1" si="2"/>
        <v>45882</v>
      </c>
      <c r="W77" s="3">
        <f>DATE(M77,N77,O77)</f>
        <v>16598</v>
      </c>
      <c r="X77" s="5">
        <f t="shared" ca="1" si="3"/>
        <v>80.175899949298625</v>
      </c>
    </row>
    <row r="78" spans="1:24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1797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6">
        <v>1699876578871</v>
      </c>
      <c r="R78">
        <v>72.7</v>
      </c>
      <c r="S78">
        <v>11.4</v>
      </c>
      <c r="T78">
        <v>46.2</v>
      </c>
      <c r="U78">
        <v>144373535</v>
      </c>
      <c r="V78" s="3">
        <f t="shared" ca="1" si="2"/>
        <v>45882</v>
      </c>
      <c r="W78" s="3">
        <f>DATE(M78,N78,O78)</f>
        <v>24011</v>
      </c>
      <c r="X78" s="5">
        <f t="shared" ca="1" si="3"/>
        <v>59.880206463195691</v>
      </c>
    </row>
    <row r="79" spans="1:24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1797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6">
        <v>1699876578871</v>
      </c>
      <c r="R79">
        <v>72.7</v>
      </c>
      <c r="S79">
        <v>11.4</v>
      </c>
      <c r="T79">
        <v>46.2</v>
      </c>
      <c r="U79">
        <v>144373535</v>
      </c>
      <c r="V79" s="3">
        <f t="shared" ca="1" si="2"/>
        <v>45882</v>
      </c>
      <c r="W79" s="3">
        <f>DATE(M79,N79,O79)</f>
        <v>18507</v>
      </c>
      <c r="X79" s="5">
        <f t="shared" ca="1" si="3"/>
        <v>74.948665297741272</v>
      </c>
    </row>
    <row r="80" spans="1:24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1797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>
        <v>117.24</v>
      </c>
      <c r="Q80" s="6">
        <v>21427700000000</v>
      </c>
      <c r="R80">
        <v>78.5</v>
      </c>
      <c r="S80">
        <v>9.6</v>
      </c>
      <c r="T80">
        <v>36.6</v>
      </c>
      <c r="U80">
        <v>328239523</v>
      </c>
      <c r="V80" s="3">
        <f t="shared" ca="1" si="2"/>
        <v>45882</v>
      </c>
      <c r="W80" s="3">
        <f>DATE(M80,N80,O80)</f>
        <v>14104</v>
      </c>
      <c r="X80" s="5">
        <f t="shared" ca="1" si="3"/>
        <v>87.00342231348391</v>
      </c>
    </row>
    <row r="81" spans="1:24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1797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6">
        <v>1392680589329</v>
      </c>
      <c r="R81">
        <v>82.7</v>
      </c>
      <c r="S81">
        <v>23</v>
      </c>
      <c r="T81">
        <v>47.4</v>
      </c>
      <c r="U81">
        <v>25766605</v>
      </c>
      <c r="V81" s="3">
        <f t="shared" ca="1" si="2"/>
        <v>45882</v>
      </c>
      <c r="W81" s="3">
        <f>DATE(M81,N81,O81)</f>
        <v>22603</v>
      </c>
      <c r="X81" s="5">
        <f t="shared" ca="1" si="3"/>
        <v>63.735099616696857</v>
      </c>
    </row>
    <row r="82" spans="1:24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1797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6">
        <v>21427700000000</v>
      </c>
      <c r="R82">
        <v>78.5</v>
      </c>
      <c r="S82">
        <v>9.6</v>
      </c>
      <c r="T82">
        <v>36.6</v>
      </c>
      <c r="U82">
        <v>328239523</v>
      </c>
      <c r="V82" s="3">
        <f t="shared" ca="1" si="2"/>
        <v>45882</v>
      </c>
      <c r="W82" s="3">
        <f>DATE(M82,N82,O82)</f>
        <v>18118</v>
      </c>
      <c r="X82" s="5">
        <f t="shared" ca="1" si="3"/>
        <v>76.014364955198403</v>
      </c>
    </row>
    <row r="83" spans="1:24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1797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6">
        <v>19910000000000</v>
      </c>
      <c r="R83">
        <v>77</v>
      </c>
      <c r="S83">
        <v>9.4</v>
      </c>
      <c r="T83">
        <v>59.2</v>
      </c>
      <c r="U83">
        <v>1397715000</v>
      </c>
      <c r="V83" s="3">
        <f t="shared" ca="1" si="2"/>
        <v>45882</v>
      </c>
      <c r="W83" s="3">
        <f>DATE(M83,N83,O83)</f>
        <v>23163</v>
      </c>
      <c r="X83" s="5">
        <f t="shared" ca="1" si="3"/>
        <v>62.200556255703795</v>
      </c>
    </row>
    <row r="84" spans="1:24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1797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6">
        <v>19910000000000</v>
      </c>
      <c r="R84">
        <v>77</v>
      </c>
      <c r="S84">
        <v>9.4</v>
      </c>
      <c r="T84">
        <v>59.2</v>
      </c>
      <c r="U84">
        <v>1397715000</v>
      </c>
      <c r="V84" s="3">
        <f t="shared" ca="1" si="2"/>
        <v>45882</v>
      </c>
      <c r="W84" s="3">
        <f>DATE(M84,N84,O84)</f>
        <v>24898</v>
      </c>
      <c r="X84" s="5">
        <f t="shared" ca="1" si="3"/>
        <v>57.449704979938637</v>
      </c>
    </row>
    <row r="85" spans="1:24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1797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6">
        <v>19910000000000</v>
      </c>
      <c r="R85">
        <v>77</v>
      </c>
      <c r="S85">
        <v>9.4</v>
      </c>
      <c r="T85">
        <v>59.2</v>
      </c>
      <c r="U85">
        <v>1397715000</v>
      </c>
      <c r="V85" s="3">
        <f t="shared" ca="1" si="2"/>
        <v>45882</v>
      </c>
      <c r="W85" s="3">
        <f>DATE(M85,N85,O85)</f>
        <v>23849</v>
      </c>
      <c r="X85" s="5">
        <f t="shared" ca="1" si="3"/>
        <v>60.32374326750449</v>
      </c>
    </row>
    <row r="86" spans="1:24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1797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>
        <v>125.08</v>
      </c>
      <c r="Q86" s="6">
        <v>19910000000000</v>
      </c>
      <c r="R86">
        <v>77</v>
      </c>
      <c r="S86">
        <v>9.4</v>
      </c>
      <c r="T86">
        <v>59.2</v>
      </c>
      <c r="U86">
        <v>1397715000</v>
      </c>
      <c r="V86" s="3">
        <f t="shared" ca="1" si="2"/>
        <v>45882</v>
      </c>
      <c r="W86" s="3">
        <f>DATE(M86,N86,O86)</f>
        <v>24153</v>
      </c>
      <c r="X86" s="5">
        <f t="shared" ca="1" si="3"/>
        <v>59.49075975359343</v>
      </c>
    </row>
    <row r="87" spans="1:24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1797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6">
        <v>21427700000000</v>
      </c>
      <c r="R87">
        <v>78.5</v>
      </c>
      <c r="S87">
        <v>9.6</v>
      </c>
      <c r="T87">
        <v>36.6</v>
      </c>
      <c r="U87">
        <v>328239523</v>
      </c>
      <c r="V87" s="3">
        <f t="shared" ca="1" si="2"/>
        <v>45882</v>
      </c>
      <c r="W87" s="3">
        <f>DATE(M87,N87,O87)</f>
        <v>16782</v>
      </c>
      <c r="X87" s="5">
        <f t="shared" ca="1" si="3"/>
        <v>79.672131147540981</v>
      </c>
    </row>
    <row r="88" spans="1:24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1797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6">
        <v>21427700000000</v>
      </c>
      <c r="R88">
        <v>78.5</v>
      </c>
      <c r="S88">
        <v>9.6</v>
      </c>
      <c r="T88">
        <v>36.6</v>
      </c>
      <c r="U88">
        <v>328239523</v>
      </c>
      <c r="V88" s="3">
        <f t="shared" ca="1" si="2"/>
        <v>45882</v>
      </c>
      <c r="W88" s="3">
        <f>DATE(M88,N88,O88)</f>
        <v>21074</v>
      </c>
      <c r="X88" s="5">
        <f t="shared" ca="1" si="3"/>
        <v>67.921276089199267</v>
      </c>
    </row>
    <row r="89" spans="1:24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1797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6">
        <v>1699876578871</v>
      </c>
      <c r="R89">
        <v>72.7</v>
      </c>
      <c r="S89">
        <v>11.4</v>
      </c>
      <c r="T89">
        <v>46.2</v>
      </c>
      <c r="U89">
        <v>144373535</v>
      </c>
      <c r="V89" s="3">
        <f t="shared" ca="1" si="2"/>
        <v>45882</v>
      </c>
      <c r="W89" s="3">
        <f>DATE(M89,N89,O89)</f>
        <v>19307</v>
      </c>
      <c r="X89" s="5">
        <f t="shared" ca="1" si="3"/>
        <v>72.757038736172262</v>
      </c>
    </row>
    <row r="90" spans="1:24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1797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6">
        <v>21427700000000</v>
      </c>
      <c r="R90">
        <v>78.5</v>
      </c>
      <c r="S90">
        <v>9.6</v>
      </c>
      <c r="T90">
        <v>36.6</v>
      </c>
      <c r="U90">
        <v>328239523</v>
      </c>
      <c r="V90" s="3">
        <f t="shared" ca="1" si="2"/>
        <v>45882</v>
      </c>
      <c r="W90" s="3">
        <f>DATE(M90,N90,O90)</f>
        <v>22663</v>
      </c>
      <c r="X90" s="5">
        <f t="shared" ca="1" si="3"/>
        <v>63.570157426420259</v>
      </c>
    </row>
    <row r="91" spans="1:24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1797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>
        <v>119.62</v>
      </c>
      <c r="Q91" s="6">
        <v>2827113184696</v>
      </c>
      <c r="R91">
        <v>81.3</v>
      </c>
      <c r="S91">
        <v>25.5</v>
      </c>
      <c r="T91">
        <v>30.6</v>
      </c>
      <c r="U91">
        <v>66834405</v>
      </c>
      <c r="V91" s="3">
        <f t="shared" ca="1" si="2"/>
        <v>45882</v>
      </c>
      <c r="W91" s="3">
        <f>DATE(M91,N91,O91)</f>
        <v>18429</v>
      </c>
      <c r="X91" s="5">
        <f t="shared" ca="1" si="3"/>
        <v>75.162217659137582</v>
      </c>
    </row>
    <row r="92" spans="1:24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1797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6">
        <v>21427700000000</v>
      </c>
      <c r="R92">
        <v>78.5</v>
      </c>
      <c r="S92">
        <v>9.6</v>
      </c>
      <c r="T92">
        <v>36.6</v>
      </c>
      <c r="U92">
        <v>328239523</v>
      </c>
      <c r="V92" s="3">
        <f t="shared" ca="1" si="2"/>
        <v>45882</v>
      </c>
      <c r="W92" s="3">
        <f>DATE(M92,N92,O92)</f>
        <v>20617</v>
      </c>
      <c r="X92" s="5">
        <f t="shared" ca="1" si="3"/>
        <v>69.170447434292868</v>
      </c>
    </row>
    <row r="93" spans="1:24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1797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6">
        <v>21427700000000</v>
      </c>
      <c r="R93">
        <v>78.5</v>
      </c>
      <c r="S93">
        <v>9.6</v>
      </c>
      <c r="T93">
        <v>36.6</v>
      </c>
      <c r="U93">
        <v>328239523</v>
      </c>
      <c r="V93" s="3">
        <f t="shared" ca="1" si="2"/>
        <v>45882</v>
      </c>
      <c r="W93" s="3">
        <f>DATE(M93,N93,O93)</f>
        <v>13196</v>
      </c>
      <c r="X93" s="5">
        <f t="shared" ca="1" si="3"/>
        <v>89.488029690019175</v>
      </c>
    </row>
    <row r="94" spans="1:24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1796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6">
        <v>2611000000000</v>
      </c>
      <c r="R94">
        <v>69.400000000000006</v>
      </c>
      <c r="S94">
        <v>11.2</v>
      </c>
      <c r="T94">
        <v>49.7</v>
      </c>
      <c r="U94">
        <v>1366417754</v>
      </c>
      <c r="V94" s="3">
        <f t="shared" ca="1" si="2"/>
        <v>45882</v>
      </c>
      <c r="W94" s="3">
        <f>DATE(M94,N94,O94)</f>
        <v>18342</v>
      </c>
      <c r="X94" s="5">
        <f t="shared" ca="1" si="3"/>
        <v>75.400410677618069</v>
      </c>
    </row>
    <row r="95" spans="1:24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1797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6">
        <v>21427700000000</v>
      </c>
      <c r="R95">
        <v>78.5</v>
      </c>
      <c r="S95">
        <v>9.6</v>
      </c>
      <c r="T95">
        <v>36.6</v>
      </c>
      <c r="U95">
        <v>328239523</v>
      </c>
      <c r="V95" s="3">
        <f t="shared" ca="1" si="2"/>
        <v>45882</v>
      </c>
      <c r="W95" s="3">
        <f>DATE(M95,N95,O95)</f>
        <v>11820</v>
      </c>
      <c r="X95" s="5">
        <f t="shared" ca="1" si="3"/>
        <v>93.255315430768334</v>
      </c>
    </row>
    <row r="96" spans="1:24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1797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6">
        <v>21427700000000</v>
      </c>
      <c r="R96">
        <v>78.5</v>
      </c>
      <c r="S96">
        <v>9.6</v>
      </c>
      <c r="T96">
        <v>36.6</v>
      </c>
      <c r="U96">
        <v>328239523</v>
      </c>
      <c r="V96" s="3">
        <f t="shared" ca="1" si="2"/>
        <v>45882</v>
      </c>
      <c r="W96" s="3">
        <f>DATE(M96,N96,O96)</f>
        <v>14632</v>
      </c>
      <c r="X96" s="5">
        <f t="shared" ca="1" si="3"/>
        <v>85.556475232395258</v>
      </c>
    </row>
    <row r="97" spans="1:24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1797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6">
        <v>21427700000000</v>
      </c>
      <c r="R97">
        <v>78.5</v>
      </c>
      <c r="S97">
        <v>9.6</v>
      </c>
      <c r="T97">
        <v>36.6</v>
      </c>
      <c r="U97">
        <v>328239523</v>
      </c>
      <c r="V97" s="3">
        <f t="shared" ca="1" si="2"/>
        <v>45882</v>
      </c>
      <c r="W97" s="3">
        <f>DATE(M97,N97,O97)</f>
        <v>11393</v>
      </c>
      <c r="X97" s="5">
        <f t="shared" ca="1" si="3"/>
        <v>94.425055477103086</v>
      </c>
    </row>
    <row r="98" spans="1:24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1796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6">
        <v>703082435360</v>
      </c>
      <c r="R98">
        <v>83.6</v>
      </c>
      <c r="S98">
        <v>10.1</v>
      </c>
      <c r="T98">
        <v>28.8</v>
      </c>
      <c r="U98">
        <v>8574832</v>
      </c>
      <c r="V98" s="3">
        <f t="shared" ca="1" si="2"/>
        <v>45882</v>
      </c>
      <c r="W98" s="3">
        <f>DATE(M98,N98,O98)</f>
        <v>19360</v>
      </c>
      <c r="X98" s="5">
        <f t="shared" ca="1" si="3"/>
        <v>72.613959419420169</v>
      </c>
    </row>
    <row r="99" spans="1:24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1797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6">
        <v>3845630030824</v>
      </c>
      <c r="R99">
        <v>80.900000000000006</v>
      </c>
      <c r="S99">
        <v>11.5</v>
      </c>
      <c r="T99">
        <v>48.8</v>
      </c>
      <c r="U99">
        <v>83132799</v>
      </c>
      <c r="V99" s="3">
        <f t="shared" ca="1" si="2"/>
        <v>45882</v>
      </c>
      <c r="W99" s="3">
        <f>DATE(M99,N99,O99)</f>
        <v>18629</v>
      </c>
      <c r="X99" s="5">
        <f t="shared" ca="1" si="3"/>
        <v>74.613966562020877</v>
      </c>
    </row>
    <row r="100" spans="1:24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1796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6">
        <v>246489245495</v>
      </c>
      <c r="R100">
        <v>79</v>
      </c>
      <c r="S100">
        <v>14.9</v>
      </c>
      <c r="T100">
        <v>46.1</v>
      </c>
      <c r="U100">
        <v>10669709</v>
      </c>
      <c r="V100" s="3">
        <f t="shared" ca="1" si="2"/>
        <v>45882</v>
      </c>
      <c r="W100" s="3">
        <f>DATE(M100,N100,O100)</f>
        <v>24657</v>
      </c>
      <c r="X100" s="5">
        <f t="shared" ca="1" si="3"/>
        <v>58.110208816705338</v>
      </c>
    </row>
    <row r="101" spans="1:24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1797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6">
        <v>19910000000000</v>
      </c>
      <c r="R101">
        <v>77</v>
      </c>
      <c r="S101">
        <v>9.4</v>
      </c>
      <c r="T101">
        <v>59.2</v>
      </c>
      <c r="U101">
        <v>1397715000</v>
      </c>
      <c r="V101" s="3">
        <f t="shared" ca="1" si="2"/>
        <v>45882</v>
      </c>
      <c r="W101" s="3">
        <f>DATE(M101,N101,O101)</f>
        <v>18629</v>
      </c>
      <c r="X101" s="5">
        <f t="shared" ca="1" si="3"/>
        <v>74.613966562020877</v>
      </c>
    </row>
    <row r="102" spans="1:24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1797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6">
        <v>530832908738</v>
      </c>
      <c r="R102">
        <v>82.5</v>
      </c>
      <c r="S102">
        <v>27.9</v>
      </c>
      <c r="T102">
        <v>49.1</v>
      </c>
      <c r="U102">
        <v>10285453</v>
      </c>
      <c r="V102" s="3">
        <f t="shared" ca="1" si="2"/>
        <v>45882</v>
      </c>
      <c r="W102" s="3">
        <f>DATE(M102,N102,O102)</f>
        <v>17444</v>
      </c>
      <c r="X102" s="5">
        <f t="shared" ca="1" si="3"/>
        <v>77.858326113325248</v>
      </c>
    </row>
    <row r="103" spans="1:24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1797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6">
        <v>21427700000000</v>
      </c>
      <c r="R103">
        <v>78.5</v>
      </c>
      <c r="S103">
        <v>9.6</v>
      </c>
      <c r="T103">
        <v>36.6</v>
      </c>
      <c r="U103">
        <v>328239523</v>
      </c>
      <c r="V103" s="3">
        <f t="shared" ca="1" si="2"/>
        <v>45882</v>
      </c>
      <c r="W103" s="3">
        <f>DATE(M103,N103,O103)</f>
        <v>20206</v>
      </c>
      <c r="X103" s="5">
        <f t="shared" ca="1" si="3"/>
        <v>70.296379130837153</v>
      </c>
    </row>
    <row r="104" spans="1:24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1797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6">
        <v>703082435360</v>
      </c>
      <c r="R104">
        <v>83.6</v>
      </c>
      <c r="S104">
        <v>10.1</v>
      </c>
      <c r="T104">
        <v>28.8</v>
      </c>
      <c r="U104">
        <v>8574832</v>
      </c>
      <c r="V104" s="3">
        <f t="shared" ca="1" si="2"/>
        <v>45882</v>
      </c>
      <c r="W104" s="3">
        <f>DATE(M104,N104,O104)</f>
        <v>24915</v>
      </c>
      <c r="X104" s="5">
        <f t="shared" ca="1" si="3"/>
        <v>57.403162615057823</v>
      </c>
    </row>
    <row r="105" spans="1:24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1797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6">
        <v>19910000000000</v>
      </c>
      <c r="R105">
        <v>77</v>
      </c>
      <c r="S105">
        <v>9.4</v>
      </c>
      <c r="T105">
        <v>59.2</v>
      </c>
      <c r="U105">
        <v>1397715000</v>
      </c>
      <c r="V105" s="3">
        <f t="shared" ca="1" si="2"/>
        <v>45882</v>
      </c>
      <c r="W105" s="3">
        <f>DATE(M105,N105,O105)</f>
        <v>20473</v>
      </c>
      <c r="X105" s="5">
        <f t="shared" ca="1" si="3"/>
        <v>69.564690237797251</v>
      </c>
    </row>
    <row r="106" spans="1:24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1797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6">
        <v>703082435360</v>
      </c>
      <c r="R106">
        <v>83.6</v>
      </c>
      <c r="S106">
        <v>10.1</v>
      </c>
      <c r="T106">
        <v>28.8</v>
      </c>
      <c r="U106">
        <v>8574832</v>
      </c>
      <c r="V106" s="3">
        <f t="shared" ca="1" si="2"/>
        <v>45882</v>
      </c>
      <c r="W106" s="3">
        <f>DATE(M106,N106,O106)</f>
        <v>14483</v>
      </c>
      <c r="X106" s="5">
        <f t="shared" ca="1" si="3"/>
        <v>85.965100544418917</v>
      </c>
    </row>
    <row r="107" spans="1:24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1797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6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 s="3">
        <f t="shared" ca="1" si="2"/>
        <v>45882</v>
      </c>
      <c r="W107" s="3">
        <f>DATE(M107,N107,O107)</f>
        <v>20363</v>
      </c>
      <c r="X107" s="5">
        <f t="shared" ca="1" si="3"/>
        <v>69.86654070103728</v>
      </c>
    </row>
    <row r="108" spans="1:24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1797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6">
        <v>21427700000000</v>
      </c>
      <c r="R108">
        <v>78.5</v>
      </c>
      <c r="S108">
        <v>9.6</v>
      </c>
      <c r="T108">
        <v>36.6</v>
      </c>
      <c r="U108">
        <v>328239523</v>
      </c>
      <c r="V108" s="3">
        <f t="shared" ca="1" si="2"/>
        <v>45882</v>
      </c>
      <c r="W108" s="3">
        <f>DATE(M108,N108,O108)</f>
        <v>28559</v>
      </c>
      <c r="X108" s="5">
        <f t="shared" ca="1" si="3"/>
        <v>47.427789185489388</v>
      </c>
    </row>
    <row r="109" spans="1:24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1797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6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 s="3">
        <f t="shared" ca="1" si="2"/>
        <v>45882</v>
      </c>
      <c r="W109" s="3">
        <f>DATE(M109,N109,O109)</f>
        <v>20090</v>
      </c>
      <c r="X109" s="5">
        <f t="shared" ca="1" si="3"/>
        <v>70.613966760498201</v>
      </c>
    </row>
    <row r="110" spans="1:24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1797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6">
        <v>19910000000000</v>
      </c>
      <c r="R110">
        <v>77</v>
      </c>
      <c r="S110">
        <v>9.4</v>
      </c>
      <c r="T110">
        <v>59.2</v>
      </c>
      <c r="U110">
        <v>1397715000</v>
      </c>
      <c r="V110" s="3">
        <f t="shared" ca="1" si="2"/>
        <v>45882</v>
      </c>
      <c r="W110" s="3">
        <f>DATE(M110,N110,O110)</f>
        <v>24473</v>
      </c>
      <c r="X110" s="5">
        <f t="shared" ca="1" si="3"/>
        <v>58.613967517401392</v>
      </c>
    </row>
    <row r="111" spans="1:24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1797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6">
        <v>543649976166</v>
      </c>
      <c r="R111">
        <v>76.900000000000006</v>
      </c>
      <c r="S111">
        <v>14.9</v>
      </c>
      <c r="T111">
        <v>29.5</v>
      </c>
      <c r="U111">
        <v>69625582</v>
      </c>
      <c r="V111" s="3">
        <f t="shared" ca="1" si="2"/>
        <v>45882</v>
      </c>
      <c r="W111" s="3">
        <f>DATE(M111,N111,O111)</f>
        <v>14354</v>
      </c>
      <c r="X111" s="5">
        <f t="shared" ca="1" si="3"/>
        <v>86.318280517355319</v>
      </c>
    </row>
    <row r="112" spans="1:24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1797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6">
        <v>21427700000000</v>
      </c>
      <c r="R112">
        <v>78.5</v>
      </c>
      <c r="S112">
        <v>9.6</v>
      </c>
      <c r="T112">
        <v>36.6</v>
      </c>
      <c r="U112">
        <v>328239523</v>
      </c>
      <c r="V112" s="3">
        <f t="shared" ca="1" si="2"/>
        <v>45882</v>
      </c>
      <c r="W112" s="3">
        <f>DATE(M112,N112,O112)</f>
        <v>15293</v>
      </c>
      <c r="X112" s="5">
        <f t="shared" ca="1" si="3"/>
        <v>83.748792114926232</v>
      </c>
    </row>
    <row r="113" spans="1:24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1797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6">
        <v>543649976166</v>
      </c>
      <c r="R113">
        <v>76.900000000000006</v>
      </c>
      <c r="S113">
        <v>14.9</v>
      </c>
      <c r="T113">
        <v>29.5</v>
      </c>
      <c r="U113">
        <v>69625582</v>
      </c>
      <c r="V113" s="3">
        <f t="shared" ca="1" si="2"/>
        <v>45882</v>
      </c>
      <c r="W113" s="3">
        <f>DATE(M113,N113,O113)</f>
        <v>16194</v>
      </c>
      <c r="X113" s="5">
        <f t="shared" ca="1" si="3"/>
        <v>81.279957263530434</v>
      </c>
    </row>
    <row r="114" spans="1:24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1796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6">
        <v>2827113184696</v>
      </c>
      <c r="R114">
        <v>81.3</v>
      </c>
      <c r="S114">
        <v>25.5</v>
      </c>
      <c r="T114">
        <v>30.6</v>
      </c>
      <c r="U114">
        <v>66834405</v>
      </c>
      <c r="V114" s="3">
        <f t="shared" ca="1" si="2"/>
        <v>45882</v>
      </c>
      <c r="W114" s="3">
        <f>DATE(M114,N114,O114)</f>
        <v>19905</v>
      </c>
      <c r="X114" s="5">
        <f t="shared" ca="1" si="3"/>
        <v>71.121149897330596</v>
      </c>
    </row>
    <row r="115" spans="1:24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1797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6">
        <v>19910000000000</v>
      </c>
      <c r="R115">
        <v>77</v>
      </c>
      <c r="S115">
        <v>9.4</v>
      </c>
      <c r="T115">
        <v>59.2</v>
      </c>
      <c r="U115">
        <v>1397715000</v>
      </c>
      <c r="V115" s="3">
        <f t="shared" ca="1" si="2"/>
        <v>45882</v>
      </c>
      <c r="W115" s="3">
        <f>DATE(M115,N115,O115)</f>
        <v>22788</v>
      </c>
      <c r="X115" s="5">
        <f t="shared" ca="1" si="3"/>
        <v>63.227926078028744</v>
      </c>
    </row>
    <row r="116" spans="1:24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1797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6">
        <v>19910000000000</v>
      </c>
      <c r="R116">
        <v>77</v>
      </c>
      <c r="S116">
        <v>9.4</v>
      </c>
      <c r="T116">
        <v>59.2</v>
      </c>
      <c r="U116">
        <v>1397715000</v>
      </c>
      <c r="V116" s="3">
        <f t="shared" ca="1" si="2"/>
        <v>45882</v>
      </c>
      <c r="W116" s="3">
        <f>DATE(M116,N116,O116)</f>
        <v>23437</v>
      </c>
      <c r="X116" s="5">
        <f t="shared" ca="1" si="3"/>
        <v>61.449704142011832</v>
      </c>
    </row>
    <row r="117" spans="1:24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1797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6">
        <v>372062527489</v>
      </c>
      <c r="R117">
        <v>83.1</v>
      </c>
      <c r="S117">
        <v>13.1</v>
      </c>
      <c r="T117">
        <v>21</v>
      </c>
      <c r="U117">
        <v>5703569</v>
      </c>
      <c r="V117" s="3">
        <f t="shared" ca="1" si="2"/>
        <v>45882</v>
      </c>
      <c r="W117" s="3">
        <f>DATE(M117,N117,O117)</f>
        <v>10040</v>
      </c>
      <c r="X117" s="5">
        <f t="shared" ca="1" si="3"/>
        <v>98.129369469026557</v>
      </c>
    </row>
    <row r="118" spans="1:24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1797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6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 s="3">
        <f t="shared" ca="1" si="2"/>
        <v>45882</v>
      </c>
      <c r="W118" s="3">
        <f>DATE(M118,N118,O118)</f>
        <v>24637</v>
      </c>
      <c r="X118" s="5">
        <f t="shared" ca="1" si="3"/>
        <v>58.164965197215778</v>
      </c>
    </row>
    <row r="119" spans="1:24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1797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6">
        <v>448120428859</v>
      </c>
      <c r="R119">
        <v>54.3</v>
      </c>
      <c r="S119">
        <v>1.5</v>
      </c>
      <c r="T119">
        <v>34.799999999999997</v>
      </c>
      <c r="U119">
        <v>200963599</v>
      </c>
      <c r="V119" s="3">
        <f t="shared" ca="1" si="2"/>
        <v>45882</v>
      </c>
      <c r="W119" s="3">
        <f>DATE(M119,N119,O119)</f>
        <v>20920</v>
      </c>
      <c r="X119" s="5">
        <f t="shared" ca="1" si="3"/>
        <v>68.342909292913262</v>
      </c>
    </row>
    <row r="120" spans="1:24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1797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6">
        <v>2827113184696</v>
      </c>
      <c r="R120">
        <v>81.3</v>
      </c>
      <c r="S120">
        <v>25.5</v>
      </c>
      <c r="T120">
        <v>30.6</v>
      </c>
      <c r="U120">
        <v>66834405</v>
      </c>
      <c r="V120" s="3">
        <f t="shared" ca="1" si="2"/>
        <v>45882</v>
      </c>
      <c r="W120" s="3">
        <f>DATE(M120,N120,O120)</f>
        <v>20364</v>
      </c>
      <c r="X120" s="5">
        <f t="shared" ca="1" si="3"/>
        <v>69.863802876643661</v>
      </c>
    </row>
    <row r="121" spans="1:24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1797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6">
        <v>19910000000000</v>
      </c>
      <c r="R121">
        <v>77</v>
      </c>
      <c r="S121">
        <v>9.4</v>
      </c>
      <c r="T121">
        <v>59.2</v>
      </c>
      <c r="U121">
        <v>1397715000</v>
      </c>
      <c r="V121" s="3">
        <f t="shared" ca="1" si="2"/>
        <v>45882</v>
      </c>
      <c r="W121" s="3">
        <f>DATE(M121,N121,O121)</f>
        <v>23986</v>
      </c>
      <c r="X121" s="5">
        <f t="shared" ca="1" si="3"/>
        <v>59.94865350089767</v>
      </c>
    </row>
    <row r="122" spans="1:24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1797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6">
        <v>2827113184696</v>
      </c>
      <c r="R122">
        <v>81.3</v>
      </c>
      <c r="S122">
        <v>25.5</v>
      </c>
      <c r="T122">
        <v>30.6</v>
      </c>
      <c r="U122">
        <v>66834405</v>
      </c>
      <c r="V122" s="3">
        <f t="shared" ca="1" si="2"/>
        <v>45882</v>
      </c>
      <c r="W122" s="3">
        <f>DATE(M122,N122,O122)</f>
        <v>16469</v>
      </c>
      <c r="X122" s="5">
        <f t="shared" ca="1" si="3"/>
        <v>80.529085685313504</v>
      </c>
    </row>
    <row r="123" spans="1:24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1796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6">
        <v>21427700000000</v>
      </c>
      <c r="R123">
        <v>78.5</v>
      </c>
      <c r="S123">
        <v>9.6</v>
      </c>
      <c r="T123">
        <v>36.6</v>
      </c>
      <c r="U123">
        <v>328239523</v>
      </c>
      <c r="V123" s="3">
        <f t="shared" ca="1" si="2"/>
        <v>45882</v>
      </c>
      <c r="W123" s="3">
        <f>DATE(M123,N123,O123)</f>
        <v>17228</v>
      </c>
      <c r="X123" s="5">
        <f t="shared" ca="1" si="3"/>
        <v>78.44969675966037</v>
      </c>
    </row>
    <row r="124" spans="1:24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1797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6">
        <v>21427700000000</v>
      </c>
      <c r="R124">
        <v>78.5</v>
      </c>
      <c r="S124">
        <v>9.6</v>
      </c>
      <c r="T124">
        <v>36.6</v>
      </c>
      <c r="U124">
        <v>328239523</v>
      </c>
      <c r="V124" s="3">
        <f t="shared" ca="1" si="2"/>
        <v>45882</v>
      </c>
      <c r="W124" s="3">
        <f>DATE(M124,N124,O124)</f>
        <v>27814</v>
      </c>
      <c r="X124" s="5">
        <f t="shared" ca="1" si="3"/>
        <v>49.466133712971583</v>
      </c>
    </row>
    <row r="125" spans="1:24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1797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6">
        <v>21427700000000</v>
      </c>
      <c r="R125">
        <v>78.5</v>
      </c>
      <c r="S125">
        <v>9.6</v>
      </c>
      <c r="T125">
        <v>36.6</v>
      </c>
      <c r="U125">
        <v>328239523</v>
      </c>
      <c r="V125" s="3">
        <f t="shared" ca="1" si="2"/>
        <v>45882</v>
      </c>
      <c r="W125" s="3">
        <f>DATE(M125,N125,O125)</f>
        <v>15627</v>
      </c>
      <c r="X125" s="5">
        <f t="shared" ca="1" si="3"/>
        <v>82.833675564681727</v>
      </c>
    </row>
    <row r="126" spans="1:24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1797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6">
        <v>21427700000000</v>
      </c>
      <c r="R126">
        <v>78.5</v>
      </c>
      <c r="S126">
        <v>9.6</v>
      </c>
      <c r="T126">
        <v>36.6</v>
      </c>
      <c r="U126">
        <v>328239523</v>
      </c>
      <c r="V126" s="3">
        <f t="shared" ca="1" si="2"/>
        <v>45882</v>
      </c>
      <c r="W126" s="3">
        <f>DATE(M126,N126,O126)</f>
        <v>15551</v>
      </c>
      <c r="X126" s="5">
        <f t="shared" ca="1" si="3"/>
        <v>83.041752224503767</v>
      </c>
    </row>
    <row r="127" spans="1:24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1797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6">
        <v>19910000000000</v>
      </c>
      <c r="R127">
        <v>77</v>
      </c>
      <c r="S127">
        <v>9.4</v>
      </c>
      <c r="T127">
        <v>59.2</v>
      </c>
      <c r="U127">
        <v>1397715000</v>
      </c>
      <c r="V127" s="3">
        <f t="shared" ca="1" si="2"/>
        <v>45882</v>
      </c>
      <c r="W127" s="3">
        <f>DATE(M127,N127,O127)</f>
        <v>23008</v>
      </c>
      <c r="X127" s="5">
        <f t="shared" ca="1" si="3"/>
        <v>62.625598904859686</v>
      </c>
    </row>
    <row r="128" spans="1:24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1797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6">
        <v>1392680589329</v>
      </c>
      <c r="R128">
        <v>82.7</v>
      </c>
      <c r="S128">
        <v>23</v>
      </c>
      <c r="T128">
        <v>47.4</v>
      </c>
      <c r="U128">
        <v>25766605</v>
      </c>
      <c r="V128" s="3">
        <f t="shared" ca="1" si="2"/>
        <v>45882</v>
      </c>
      <c r="W128" s="3">
        <f>DATE(M128,N128,O128)</f>
        <v>12116</v>
      </c>
      <c r="X128" s="5">
        <f t="shared" ca="1" si="3"/>
        <v>92.446950070654736</v>
      </c>
    </row>
    <row r="129" spans="1:24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1797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6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 s="3">
        <f t="shared" ca="1" si="2"/>
        <v>45882</v>
      </c>
      <c r="W129" s="3">
        <f>DATE(M129,N129,O129)</f>
        <v>21624</v>
      </c>
      <c r="X129" s="5">
        <f t="shared" ca="1" si="3"/>
        <v>66.414105916966335</v>
      </c>
    </row>
    <row r="130" spans="1:24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1797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6">
        <v>21427700000000</v>
      </c>
      <c r="R130">
        <v>78.5</v>
      </c>
      <c r="S130">
        <v>9.6</v>
      </c>
      <c r="T130">
        <v>36.6</v>
      </c>
      <c r="U130">
        <v>328239523</v>
      </c>
      <c r="V130" s="3">
        <f t="shared" ca="1" si="2"/>
        <v>45882</v>
      </c>
      <c r="W130" s="3">
        <f>DATE(M130,N130,O130)</f>
        <v>17377</v>
      </c>
      <c r="X130" s="5">
        <f t="shared" ca="1" si="3"/>
        <v>78.041760526771796</v>
      </c>
    </row>
    <row r="131" spans="1:24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1797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6">
        <v>2827113184696</v>
      </c>
      <c r="R131">
        <v>81.3</v>
      </c>
      <c r="S131">
        <v>25.5</v>
      </c>
      <c r="T131">
        <v>30.6</v>
      </c>
      <c r="U131">
        <v>66834405</v>
      </c>
      <c r="V131" s="3">
        <f t="shared" ref="V131:V194" ca="1" si="4">TODAY()</f>
        <v>45882</v>
      </c>
      <c r="W131" s="3">
        <f>DATE(M131,N131,O131)</f>
        <v>23488</v>
      </c>
      <c r="X131" s="5">
        <f t="shared" ref="X131:X194" ca="1" si="5">YEARFRAC(W131,V131, 1)</f>
        <v>61.310076834761105</v>
      </c>
    </row>
    <row r="132" spans="1:24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1797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6">
        <v>543649976166</v>
      </c>
      <c r="R132">
        <v>76.900000000000006</v>
      </c>
      <c r="S132">
        <v>14.9</v>
      </c>
      <c r="T132">
        <v>29.5</v>
      </c>
      <c r="U132">
        <v>69625582</v>
      </c>
      <c r="V132" s="3">
        <f t="shared" ca="1" si="4"/>
        <v>45882</v>
      </c>
      <c r="W132" s="3">
        <f>DATE(M132,N132,O132)</f>
        <v>23935</v>
      </c>
      <c r="X132" s="5">
        <f t="shared" ca="1" si="5"/>
        <v>60.088285457809697</v>
      </c>
    </row>
    <row r="133" spans="1:24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1797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6">
        <v>19910000000000</v>
      </c>
      <c r="R133">
        <v>77</v>
      </c>
      <c r="S133">
        <v>9.4</v>
      </c>
      <c r="T133">
        <v>59.2</v>
      </c>
      <c r="U133">
        <v>1397715000</v>
      </c>
      <c r="V133" s="3">
        <f t="shared" ca="1" si="4"/>
        <v>45882</v>
      </c>
      <c r="W133" s="3">
        <f>DATE(M133,N133,O133)</f>
        <v>26696</v>
      </c>
      <c r="X133" s="5">
        <f t="shared" ca="1" si="5"/>
        <v>52.529083583014767</v>
      </c>
    </row>
    <row r="134" spans="1:24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1797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6">
        <v>19910000000000</v>
      </c>
      <c r="R134">
        <v>77</v>
      </c>
      <c r="S134">
        <v>9.4</v>
      </c>
      <c r="T134">
        <v>59.2</v>
      </c>
      <c r="U134">
        <v>1397715000</v>
      </c>
      <c r="V134" s="3">
        <f t="shared" ca="1" si="4"/>
        <v>45882</v>
      </c>
      <c r="W134" s="3">
        <f>DATE(M134,N134,O134)</f>
        <v>19640</v>
      </c>
      <c r="X134" s="5">
        <f t="shared" ca="1" si="5"/>
        <v>71.847354011176535</v>
      </c>
    </row>
    <row r="135" spans="1:24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1797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6">
        <v>21427700000000</v>
      </c>
      <c r="R135">
        <v>78.5</v>
      </c>
      <c r="S135">
        <v>9.6</v>
      </c>
      <c r="T135">
        <v>36.6</v>
      </c>
      <c r="U135">
        <v>328239523</v>
      </c>
      <c r="V135" s="3">
        <f t="shared" ca="1" si="4"/>
        <v>45882</v>
      </c>
      <c r="W135" s="3">
        <f>DATE(M135,N135,O135)</f>
        <v>18462</v>
      </c>
      <c r="X135" s="5">
        <f t="shared" ca="1" si="5"/>
        <v>75.071868583162214</v>
      </c>
    </row>
    <row r="136" spans="1:24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1796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6">
        <v>21427700000000</v>
      </c>
      <c r="R136">
        <v>78.5</v>
      </c>
      <c r="S136">
        <v>9.6</v>
      </c>
      <c r="T136">
        <v>36.6</v>
      </c>
      <c r="U136">
        <v>328239523</v>
      </c>
      <c r="V136" s="3">
        <f t="shared" ca="1" si="4"/>
        <v>45882</v>
      </c>
      <c r="W136" s="3">
        <f>DATE(M136,N136,O136)</f>
        <v>23321</v>
      </c>
      <c r="X136" s="5">
        <f t="shared" ca="1" si="5"/>
        <v>61.76798053105037</v>
      </c>
    </row>
    <row r="137" spans="1:24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1797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6">
        <v>21427700000000</v>
      </c>
      <c r="R137">
        <v>78.5</v>
      </c>
      <c r="S137">
        <v>9.6</v>
      </c>
      <c r="T137">
        <v>36.6</v>
      </c>
      <c r="U137">
        <v>328239523</v>
      </c>
      <c r="V137" s="3">
        <f t="shared" ca="1" si="4"/>
        <v>45882</v>
      </c>
      <c r="W137" s="3">
        <f>DATE(M137,N137,O137)</f>
        <v>14741</v>
      </c>
      <c r="X137" s="5">
        <f t="shared" ca="1" si="5"/>
        <v>85.258054246784667</v>
      </c>
    </row>
    <row r="138" spans="1:24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1797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6">
        <v>421142267938</v>
      </c>
      <c r="R138">
        <v>77.8</v>
      </c>
      <c r="S138">
        <v>0.1</v>
      </c>
      <c r="T138">
        <v>15.9</v>
      </c>
      <c r="U138">
        <v>9770529</v>
      </c>
      <c r="V138" s="3">
        <f t="shared" ca="1" si="4"/>
        <v>45882</v>
      </c>
      <c r="W138" s="3">
        <f>DATE(M138,N138,O138)</f>
        <v>30965</v>
      </c>
      <c r="X138" s="5">
        <f t="shared" ca="1" si="5"/>
        <v>40.839189101101624</v>
      </c>
    </row>
    <row r="139" spans="1:24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1797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6">
        <v>3845630030824</v>
      </c>
      <c r="R139">
        <v>80.900000000000006</v>
      </c>
      <c r="S139">
        <v>11.5</v>
      </c>
      <c r="T139">
        <v>48.8</v>
      </c>
      <c r="U139">
        <v>83132799</v>
      </c>
      <c r="V139" s="3">
        <f t="shared" ca="1" si="4"/>
        <v>45882</v>
      </c>
      <c r="W139" s="3">
        <f>DATE(M139,N139,O139)</f>
        <v>18310</v>
      </c>
      <c r="X139" s="5">
        <f t="shared" ca="1" si="5"/>
        <v>75.488021902806295</v>
      </c>
    </row>
    <row r="140" spans="1:24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1797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6">
        <v>3845630030824</v>
      </c>
      <c r="R140">
        <v>80.900000000000006</v>
      </c>
      <c r="S140">
        <v>11.5</v>
      </c>
      <c r="T140">
        <v>48.8</v>
      </c>
      <c r="U140">
        <v>83132799</v>
      </c>
      <c r="V140" s="3">
        <f t="shared" ca="1" si="4"/>
        <v>45882</v>
      </c>
      <c r="W140" s="3">
        <f>DATE(M140,N140,O140)</f>
        <v>18310</v>
      </c>
      <c r="X140" s="5">
        <f t="shared" ca="1" si="5"/>
        <v>75.488021902806295</v>
      </c>
    </row>
    <row r="141" spans="1:24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1797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6">
        <v>19910000000000</v>
      </c>
      <c r="R141">
        <v>77</v>
      </c>
      <c r="S141">
        <v>9.4</v>
      </c>
      <c r="T141">
        <v>59.2</v>
      </c>
      <c r="U141">
        <v>1397715000</v>
      </c>
      <c r="V141" s="3">
        <f t="shared" ca="1" si="4"/>
        <v>45882</v>
      </c>
      <c r="W141" s="3">
        <f>DATE(M141,N141,O141)</f>
        <v>23377</v>
      </c>
      <c r="X141" s="5">
        <f t="shared" ca="1" si="5"/>
        <v>61.613971562306808</v>
      </c>
    </row>
    <row r="142" spans="1:24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1797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6">
        <v>21427700000000</v>
      </c>
      <c r="R142">
        <v>78.5</v>
      </c>
      <c r="S142">
        <v>9.6</v>
      </c>
      <c r="T142">
        <v>36.6</v>
      </c>
      <c r="U142">
        <v>328239523</v>
      </c>
      <c r="V142" s="3">
        <f t="shared" ca="1" si="4"/>
        <v>45882</v>
      </c>
      <c r="W142" s="3">
        <f>DATE(M142,N142,O142)</f>
        <v>26501</v>
      </c>
      <c r="X142" s="5">
        <f t="shared" ca="1" si="5"/>
        <v>53.060940985601299</v>
      </c>
    </row>
    <row r="143" spans="1:24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1797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6">
        <v>21427700000000</v>
      </c>
      <c r="R143">
        <v>78.5</v>
      </c>
      <c r="S143">
        <v>9.6</v>
      </c>
      <c r="T143">
        <v>36.6</v>
      </c>
      <c r="U143">
        <v>328239523</v>
      </c>
      <c r="V143" s="3">
        <f t="shared" ca="1" si="4"/>
        <v>45882</v>
      </c>
      <c r="W143" s="3">
        <f>DATE(M143,N143,O143)</f>
        <v>17806</v>
      </c>
      <c r="X143" s="5">
        <f t="shared" ca="1" si="5"/>
        <v>76.866549666549659</v>
      </c>
    </row>
    <row r="144" spans="1:24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1797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6">
        <v>395098666122</v>
      </c>
      <c r="R144">
        <v>82.8</v>
      </c>
      <c r="S144">
        <v>23.1</v>
      </c>
      <c r="T144">
        <v>25.3</v>
      </c>
      <c r="U144">
        <v>9053300</v>
      </c>
      <c r="V144" s="3">
        <f t="shared" ca="1" si="4"/>
        <v>45882</v>
      </c>
      <c r="W144" s="3">
        <f>DATE(M144,N144,O144)</f>
        <v>19610</v>
      </c>
      <c r="X144" s="5">
        <f t="shared" ca="1" si="5"/>
        <v>71.929490304916925</v>
      </c>
    </row>
    <row r="145" spans="1:24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1797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6">
        <v>1392680589329</v>
      </c>
      <c r="R145">
        <v>82.7</v>
      </c>
      <c r="S145">
        <v>23</v>
      </c>
      <c r="T145">
        <v>47.4</v>
      </c>
      <c r="U145">
        <v>25766605</v>
      </c>
      <c r="V145" s="3">
        <f t="shared" ca="1" si="4"/>
        <v>45882</v>
      </c>
      <c r="W145" s="3">
        <f>DATE(M145,N145,O145)</f>
        <v>22017</v>
      </c>
      <c r="X145" s="5">
        <f t="shared" ca="1" si="5"/>
        <v>65.337453851578374</v>
      </c>
    </row>
    <row r="146" spans="1:24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1797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6">
        <v>703082435360</v>
      </c>
      <c r="R146">
        <v>83.6</v>
      </c>
      <c r="S146">
        <v>10.1</v>
      </c>
      <c r="T146">
        <v>28.8</v>
      </c>
      <c r="U146">
        <v>8574832</v>
      </c>
      <c r="V146" s="3">
        <f t="shared" ca="1" si="4"/>
        <v>45882</v>
      </c>
      <c r="W146" s="3">
        <f>DATE(M146,N146,O146)</f>
        <v>23865</v>
      </c>
      <c r="X146" s="5">
        <f t="shared" ca="1" si="5"/>
        <v>60.279937163375223</v>
      </c>
    </row>
    <row r="147" spans="1:24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1797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6">
        <v>2001244392042</v>
      </c>
      <c r="R147">
        <v>82.9</v>
      </c>
      <c r="S147">
        <v>24.3</v>
      </c>
      <c r="T147">
        <v>59.1</v>
      </c>
      <c r="U147">
        <v>60297396</v>
      </c>
      <c r="V147" s="3">
        <f t="shared" ca="1" si="4"/>
        <v>45882</v>
      </c>
      <c r="W147" s="3">
        <f>DATE(M147,N147,O147)</f>
        <v>12611</v>
      </c>
      <c r="X147" s="5">
        <f t="shared" ca="1" si="5"/>
        <v>91.091033538672136</v>
      </c>
    </row>
    <row r="148" spans="1:24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1797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6">
        <v>351431649241</v>
      </c>
      <c r="R148">
        <v>63.9</v>
      </c>
      <c r="S148">
        <v>27.5</v>
      </c>
      <c r="T148">
        <v>29.2</v>
      </c>
      <c r="U148">
        <v>58558270</v>
      </c>
      <c r="V148" s="3">
        <f t="shared" ca="1" si="4"/>
        <v>45882</v>
      </c>
      <c r="W148" s="3">
        <f>DATE(M148,N148,O148)</f>
        <v>18415</v>
      </c>
      <c r="X148" s="5">
        <f t="shared" ca="1" si="5"/>
        <v>75.200547570157426</v>
      </c>
    </row>
    <row r="149" spans="1:24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1797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6">
        <v>19910000000000</v>
      </c>
      <c r="R149">
        <v>77</v>
      </c>
      <c r="S149">
        <v>9.4</v>
      </c>
      <c r="T149">
        <v>59.2</v>
      </c>
      <c r="U149">
        <v>1397715000</v>
      </c>
      <c r="V149" s="3">
        <f t="shared" ca="1" si="4"/>
        <v>45882</v>
      </c>
      <c r="W149" s="3">
        <f>DATE(M149,N149,O149)</f>
        <v>26299</v>
      </c>
      <c r="X149" s="5">
        <f t="shared" ca="1" si="5"/>
        <v>53.613972824984792</v>
      </c>
    </row>
    <row r="150" spans="1:24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1797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6">
        <v>21427700000000</v>
      </c>
      <c r="R150">
        <v>78.5</v>
      </c>
      <c r="S150">
        <v>9.6</v>
      </c>
      <c r="T150">
        <v>36.6</v>
      </c>
      <c r="U150">
        <v>328239523</v>
      </c>
      <c r="V150" s="3">
        <f t="shared" ca="1" si="4"/>
        <v>45882</v>
      </c>
      <c r="W150" s="3">
        <f>DATE(M150,N150,O150)</f>
        <v>14607</v>
      </c>
      <c r="X150" s="5">
        <f t="shared" ca="1" si="5"/>
        <v>85.625609717720366</v>
      </c>
    </row>
    <row r="151" spans="1:24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1796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6">
        <v>21427700000000</v>
      </c>
      <c r="R151">
        <v>78.5</v>
      </c>
      <c r="S151">
        <v>9.6</v>
      </c>
      <c r="T151">
        <v>36.6</v>
      </c>
      <c r="U151">
        <v>328239523</v>
      </c>
      <c r="V151" s="3">
        <f t="shared" ca="1" si="4"/>
        <v>45882</v>
      </c>
      <c r="W151" s="3">
        <f>DATE(M151,N151,O151)</f>
        <v>13683</v>
      </c>
      <c r="X151" s="5">
        <f t="shared" ca="1" si="5"/>
        <v>88.156735472359799</v>
      </c>
    </row>
    <row r="152" spans="1:24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1797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6">
        <v>1258286717125</v>
      </c>
      <c r="R152">
        <v>75</v>
      </c>
      <c r="S152">
        <v>13.1</v>
      </c>
      <c r="T152">
        <v>55.1</v>
      </c>
      <c r="U152">
        <v>126014024</v>
      </c>
      <c r="V152" s="3">
        <f t="shared" ca="1" si="4"/>
        <v>45882</v>
      </c>
      <c r="W152" s="3">
        <f>DATE(M152,N152,O152)</f>
        <v>20381</v>
      </c>
      <c r="X152" s="5">
        <f t="shared" ca="1" si="5"/>
        <v>69.817259861951953</v>
      </c>
    </row>
    <row r="153" spans="1:24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1797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6">
        <v>21427700000000</v>
      </c>
      <c r="R153">
        <v>78.5</v>
      </c>
      <c r="S153">
        <v>9.6</v>
      </c>
      <c r="T153">
        <v>36.6</v>
      </c>
      <c r="U153">
        <v>328239523</v>
      </c>
      <c r="V153" s="3">
        <f t="shared" ca="1" si="4"/>
        <v>45882</v>
      </c>
      <c r="W153" s="3">
        <f>DATE(M153,N153,O153)</f>
        <v>10810</v>
      </c>
      <c r="X153" s="5">
        <f t="shared" ca="1" si="5"/>
        <v>96.022580372011618</v>
      </c>
    </row>
    <row r="154" spans="1:24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1797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6">
        <v>21427700000000</v>
      </c>
      <c r="R154">
        <v>78.5</v>
      </c>
      <c r="S154">
        <v>9.6</v>
      </c>
      <c r="T154">
        <v>36.6</v>
      </c>
      <c r="U154">
        <v>328239523</v>
      </c>
      <c r="V154" s="3">
        <f t="shared" ca="1" si="4"/>
        <v>45882</v>
      </c>
      <c r="W154" s="3">
        <f>DATE(M154,N154,O154)</f>
        <v>15132</v>
      </c>
      <c r="X154" s="5">
        <f t="shared" ca="1" si="5"/>
        <v>84.189589641177605</v>
      </c>
    </row>
    <row r="155" spans="1:24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1797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6">
        <v>1839758040766</v>
      </c>
      <c r="R155">
        <v>75.7</v>
      </c>
      <c r="S155">
        <v>14.2</v>
      </c>
      <c r="T155">
        <v>65.099999999999994</v>
      </c>
      <c r="U155">
        <v>212559417</v>
      </c>
      <c r="V155" s="3">
        <f t="shared" ca="1" si="4"/>
        <v>45882</v>
      </c>
      <c r="W155" s="3">
        <f>DATE(M155,N155,O155)</f>
        <v>18264</v>
      </c>
      <c r="X155" s="5">
        <f t="shared" ca="1" si="5"/>
        <v>75.613963039014379</v>
      </c>
    </row>
    <row r="156" spans="1:24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1797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6">
        <v>1699876578871</v>
      </c>
      <c r="R156">
        <v>72.7</v>
      </c>
      <c r="S156">
        <v>11.4</v>
      </c>
      <c r="T156">
        <v>46.2</v>
      </c>
      <c r="U156">
        <v>144373535</v>
      </c>
      <c r="V156" s="3">
        <f t="shared" ca="1" si="4"/>
        <v>45882</v>
      </c>
      <c r="W156" s="3">
        <f>DATE(M156,N156,O156)</f>
        <v>24178</v>
      </c>
      <c r="X156" s="5">
        <f t="shared" ca="1" si="5"/>
        <v>59.422313483915126</v>
      </c>
    </row>
    <row r="157" spans="1:24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1797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6">
        <v>19910000000000</v>
      </c>
      <c r="R157">
        <v>77</v>
      </c>
      <c r="S157">
        <v>9.4</v>
      </c>
      <c r="T157">
        <v>59.2</v>
      </c>
      <c r="U157">
        <v>1397715000</v>
      </c>
      <c r="V157" s="3">
        <f t="shared" ca="1" si="4"/>
        <v>45882</v>
      </c>
      <c r="W157" s="3">
        <f>DATE(M157,N157,O157)</f>
        <v>30682</v>
      </c>
      <c r="X157" s="5">
        <f t="shared" ca="1" si="5"/>
        <v>41.613975620885213</v>
      </c>
    </row>
    <row r="158" spans="1:24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1797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6">
        <v>421142267938</v>
      </c>
      <c r="R158">
        <v>77.8</v>
      </c>
      <c r="S158">
        <v>0.1</v>
      </c>
      <c r="T158">
        <v>15.9</v>
      </c>
      <c r="U158">
        <v>9770529</v>
      </c>
      <c r="V158" s="3">
        <f t="shared" ca="1" si="4"/>
        <v>45882</v>
      </c>
      <c r="W158" s="3">
        <f>DATE(M158,N158,O158)</f>
        <v>28378</v>
      </c>
      <c r="X158" s="5">
        <f t="shared" ca="1" si="5"/>
        <v>47.924009610549255</v>
      </c>
    </row>
    <row r="159" spans="1:24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1797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6">
        <v>21427700000000</v>
      </c>
      <c r="R159">
        <v>78.5</v>
      </c>
      <c r="S159">
        <v>9.6</v>
      </c>
      <c r="T159">
        <v>36.6</v>
      </c>
      <c r="U159">
        <v>328239523</v>
      </c>
      <c r="V159" s="3">
        <f t="shared" ca="1" si="4"/>
        <v>45882</v>
      </c>
      <c r="W159" s="3">
        <f>DATE(M159,N159,O159)</f>
        <v>19327</v>
      </c>
      <c r="X159" s="5">
        <f t="shared" ca="1" si="5"/>
        <v>72.702282733360462</v>
      </c>
    </row>
    <row r="160" spans="1:24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1797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6">
        <v>1392680589329</v>
      </c>
      <c r="R160">
        <v>82.7</v>
      </c>
      <c r="S160">
        <v>23</v>
      </c>
      <c r="T160">
        <v>47.4</v>
      </c>
      <c r="U160">
        <v>25766605</v>
      </c>
      <c r="V160" s="3">
        <f t="shared" ca="1" si="4"/>
        <v>45882</v>
      </c>
      <c r="W160" s="3">
        <f>DATE(M160,N160,O160)</f>
        <v>29176</v>
      </c>
      <c r="X160" s="5">
        <f t="shared" ca="1" si="5"/>
        <v>45.737869167588983</v>
      </c>
    </row>
    <row r="161" spans="1:24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1797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6">
        <v>21427700000000</v>
      </c>
      <c r="R161">
        <v>78.5</v>
      </c>
      <c r="S161">
        <v>9.6</v>
      </c>
      <c r="T161">
        <v>36.6</v>
      </c>
      <c r="U161">
        <v>328239523</v>
      </c>
      <c r="V161" s="3">
        <f t="shared" ca="1" si="4"/>
        <v>45882</v>
      </c>
      <c r="W161" s="3">
        <f>DATE(M161,N161,O161)</f>
        <v>22877</v>
      </c>
      <c r="X161" s="5">
        <f t="shared" ca="1" si="5"/>
        <v>62.984257357973988</v>
      </c>
    </row>
    <row r="162" spans="1:24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1797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6">
        <v>21427700000000</v>
      </c>
      <c r="R162">
        <v>78.5</v>
      </c>
      <c r="S162">
        <v>9.6</v>
      </c>
      <c r="T162">
        <v>36.6</v>
      </c>
      <c r="U162">
        <v>328239523</v>
      </c>
      <c r="V162" s="3">
        <f t="shared" ca="1" si="4"/>
        <v>45882</v>
      </c>
      <c r="W162" s="3">
        <f>DATE(M162,N162,O162)</f>
        <v>14875</v>
      </c>
      <c r="X162" s="5">
        <f t="shared" ca="1" si="5"/>
        <v>84.891188080988158</v>
      </c>
    </row>
    <row r="163" spans="1:24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1797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6">
        <v>21427700000000</v>
      </c>
      <c r="R163">
        <v>78.5</v>
      </c>
      <c r="S163">
        <v>9.6</v>
      </c>
      <c r="T163">
        <v>36.6</v>
      </c>
      <c r="U163">
        <v>328239523</v>
      </c>
      <c r="V163" s="3">
        <f t="shared" ca="1" si="4"/>
        <v>45882</v>
      </c>
      <c r="W163" s="3">
        <f>DATE(M163,N163,O163)</f>
        <v>21614</v>
      </c>
      <c r="X163" s="5">
        <f t="shared" ca="1" si="5"/>
        <v>66.441484145145481</v>
      </c>
    </row>
    <row r="164" spans="1:24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1797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6">
        <v>1699876578871</v>
      </c>
      <c r="R164">
        <v>72.7</v>
      </c>
      <c r="S164">
        <v>11.4</v>
      </c>
      <c r="T164">
        <v>46.2</v>
      </c>
      <c r="U164">
        <v>144373535</v>
      </c>
      <c r="V164" s="3">
        <f t="shared" ca="1" si="4"/>
        <v>45882</v>
      </c>
      <c r="W164" s="3">
        <f>DATE(M164,N164,O164)</f>
        <v>17819</v>
      </c>
      <c r="X164" s="5">
        <f t="shared" ca="1" si="5"/>
        <v>76.830958230958231</v>
      </c>
    </row>
    <row r="165" spans="1:24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1797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6">
        <v>372062527489</v>
      </c>
      <c r="R165">
        <v>83.1</v>
      </c>
      <c r="S165">
        <v>13.1</v>
      </c>
      <c r="T165">
        <v>21</v>
      </c>
      <c r="U165">
        <v>5703569</v>
      </c>
      <c r="V165" s="3">
        <f t="shared" ca="1" si="4"/>
        <v>45882</v>
      </c>
      <c r="W165" s="3">
        <f>DATE(M165,N165,O165)</f>
        <v>30029</v>
      </c>
      <c r="X165" s="5">
        <f t="shared" ca="1" si="5"/>
        <v>43.403148528405204</v>
      </c>
    </row>
    <row r="166" spans="1:24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1797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6">
        <v>3845630030824</v>
      </c>
      <c r="R166">
        <v>80.900000000000006</v>
      </c>
      <c r="S166">
        <v>11.5</v>
      </c>
      <c r="T166">
        <v>48.8</v>
      </c>
      <c r="U166">
        <v>83132799</v>
      </c>
      <c r="V166" s="3">
        <f t="shared" ca="1" si="4"/>
        <v>45882</v>
      </c>
      <c r="W166" s="3">
        <f>DATE(M166,N166,O166)</f>
        <v>23669</v>
      </c>
      <c r="X166" s="5">
        <f t="shared" ca="1" si="5"/>
        <v>60.814536783537932</v>
      </c>
    </row>
    <row r="167" spans="1:24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1796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6">
        <v>21427700000000</v>
      </c>
      <c r="R167">
        <v>78.5</v>
      </c>
      <c r="S167">
        <v>9.6</v>
      </c>
      <c r="T167">
        <v>36.6</v>
      </c>
      <c r="U167">
        <v>328239523</v>
      </c>
      <c r="V167" s="3">
        <f t="shared" ca="1" si="4"/>
        <v>45882</v>
      </c>
      <c r="W167" s="3">
        <f>DATE(M167,N167,O167)</f>
        <v>17937</v>
      </c>
      <c r="X167" s="5">
        <f t="shared" ca="1" si="5"/>
        <v>76.509920352723654</v>
      </c>
    </row>
    <row r="168" spans="1:24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1797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6">
        <v>1392680589329</v>
      </c>
      <c r="R168">
        <v>82.7</v>
      </c>
      <c r="S168">
        <v>23</v>
      </c>
      <c r="T168">
        <v>47.4</v>
      </c>
      <c r="U168">
        <v>25766605</v>
      </c>
      <c r="V168" s="3">
        <f t="shared" ca="1" si="4"/>
        <v>45882</v>
      </c>
      <c r="W168" s="3">
        <f>DATE(M168,N168,O168)</f>
        <v>29206</v>
      </c>
      <c r="X168" s="5">
        <f t="shared" ca="1" si="5"/>
        <v>45.655734840100195</v>
      </c>
    </row>
    <row r="169" spans="1:24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1797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6">
        <v>364701517788</v>
      </c>
      <c r="R169">
        <v>76</v>
      </c>
      <c r="S169">
        <v>12</v>
      </c>
      <c r="T169">
        <v>38.700000000000003</v>
      </c>
      <c r="U169">
        <v>32447385</v>
      </c>
      <c r="V169" s="3">
        <f t="shared" ca="1" si="4"/>
        <v>45882</v>
      </c>
      <c r="W169" s="3">
        <f>DATE(M169,N169,O169)</f>
        <v>15200</v>
      </c>
      <c r="X169" s="5">
        <f t="shared" ca="1" si="5"/>
        <v>84.00341428847517</v>
      </c>
    </row>
    <row r="170" spans="1:24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1796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6">
        <v>19910000000000</v>
      </c>
      <c r="R170">
        <v>77</v>
      </c>
      <c r="S170">
        <v>9.4</v>
      </c>
      <c r="T170">
        <v>59.2</v>
      </c>
      <c r="U170">
        <v>1397715000</v>
      </c>
      <c r="V170" s="3">
        <f t="shared" ca="1" si="4"/>
        <v>45882</v>
      </c>
      <c r="W170" s="3">
        <f>DATE(M170,N170,O170)</f>
        <v>23377</v>
      </c>
      <c r="X170" s="5">
        <f t="shared" ca="1" si="5"/>
        <v>61.613971562306808</v>
      </c>
    </row>
    <row r="171" spans="1:24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1797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6">
        <v>21427700000000</v>
      </c>
      <c r="R171">
        <v>78.5</v>
      </c>
      <c r="S171">
        <v>9.6</v>
      </c>
      <c r="T171">
        <v>36.6</v>
      </c>
      <c r="U171">
        <v>328239523</v>
      </c>
      <c r="V171" s="3">
        <f t="shared" ca="1" si="4"/>
        <v>45882</v>
      </c>
      <c r="W171" s="3">
        <f>DATE(M171,N171,O171)</f>
        <v>13947</v>
      </c>
      <c r="X171" s="5">
        <f t="shared" ca="1" si="5"/>
        <v>87.433264887063658</v>
      </c>
    </row>
    <row r="172" spans="1:24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1797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6">
        <v>19910000000000</v>
      </c>
      <c r="R172">
        <v>77</v>
      </c>
      <c r="S172">
        <v>9.4</v>
      </c>
      <c r="T172">
        <v>59.2</v>
      </c>
      <c r="U172">
        <v>1397715000</v>
      </c>
      <c r="V172" s="3">
        <f t="shared" ca="1" si="4"/>
        <v>45882</v>
      </c>
      <c r="W172" s="3">
        <f>DATE(M172,N172,O172)</f>
        <v>17685</v>
      </c>
      <c r="X172" s="5">
        <f t="shared" ca="1" si="5"/>
        <v>77.197823797823787</v>
      </c>
    </row>
    <row r="173" spans="1:24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1797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6">
        <v>421142267938</v>
      </c>
      <c r="R173">
        <v>77.8</v>
      </c>
      <c r="S173">
        <v>0.1</v>
      </c>
      <c r="T173">
        <v>15.9</v>
      </c>
      <c r="U173">
        <v>9770529</v>
      </c>
      <c r="V173" s="3">
        <f t="shared" ca="1" si="4"/>
        <v>45882</v>
      </c>
      <c r="W173" s="3">
        <f>DATE(M173,N173,O173)</f>
        <v>17908</v>
      </c>
      <c r="X173" s="5">
        <f t="shared" ca="1" si="5"/>
        <v>76.589318731332668</v>
      </c>
    </row>
    <row r="174" spans="1:24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1797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6">
        <v>703082435360</v>
      </c>
      <c r="R174">
        <v>83.6</v>
      </c>
      <c r="S174">
        <v>10.1</v>
      </c>
      <c r="T174">
        <v>28.8</v>
      </c>
      <c r="U174">
        <v>8574832</v>
      </c>
      <c r="V174" s="3">
        <f t="shared" ca="1" si="4"/>
        <v>45882</v>
      </c>
      <c r="W174" s="3">
        <f>DATE(M174,N174,O174)</f>
        <v>15735</v>
      </c>
      <c r="X174" s="5">
        <f t="shared" ca="1" si="5"/>
        <v>82.53730703259005</v>
      </c>
    </row>
    <row r="175" spans="1:24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1797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6">
        <v>2715518274227</v>
      </c>
      <c r="R175">
        <v>82.5</v>
      </c>
      <c r="S175">
        <v>24.2</v>
      </c>
      <c r="T175">
        <v>60.7</v>
      </c>
      <c r="U175">
        <v>67059887</v>
      </c>
      <c r="V175" s="3">
        <f t="shared" ca="1" si="4"/>
        <v>45882</v>
      </c>
      <c r="W175" s="3">
        <f>DATE(M175,N175,O175)</f>
        <v>26155</v>
      </c>
      <c r="X175" s="5">
        <f t="shared" ca="1" si="5"/>
        <v>54.008910348947182</v>
      </c>
    </row>
    <row r="176" spans="1:24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1797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6">
        <v>2715518274227</v>
      </c>
      <c r="R176">
        <v>82.5</v>
      </c>
      <c r="S176">
        <v>24.2</v>
      </c>
      <c r="T176">
        <v>60.7</v>
      </c>
      <c r="U176">
        <v>67059887</v>
      </c>
      <c r="V176" s="3">
        <f t="shared" ca="1" si="4"/>
        <v>45882</v>
      </c>
      <c r="W176" s="3">
        <f>DATE(M176,N176,O176)</f>
        <v>25630</v>
      </c>
      <c r="X176" s="5">
        <f t="shared" ca="1" si="5"/>
        <v>55.446954140999317</v>
      </c>
    </row>
    <row r="177" spans="1:24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1796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6">
        <v>2715518274227</v>
      </c>
      <c r="R177">
        <v>82.5</v>
      </c>
      <c r="S177">
        <v>24.2</v>
      </c>
      <c r="T177">
        <v>60.7</v>
      </c>
      <c r="U177">
        <v>67059887</v>
      </c>
      <c r="V177" s="3">
        <f t="shared" ca="1" si="4"/>
        <v>45882</v>
      </c>
      <c r="W177" s="3">
        <f>DATE(M177,N177,O177)</f>
        <v>24869</v>
      </c>
      <c r="X177" s="5">
        <f t="shared" ca="1" si="5"/>
        <v>57.529100778852964</v>
      </c>
    </row>
    <row r="178" spans="1:24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1797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6">
        <v>530832908738</v>
      </c>
      <c r="R178">
        <v>82.5</v>
      </c>
      <c r="S178">
        <v>27.9</v>
      </c>
      <c r="T178">
        <v>49.1</v>
      </c>
      <c r="U178">
        <v>10285453</v>
      </c>
      <c r="V178" s="3">
        <f t="shared" ca="1" si="4"/>
        <v>45882</v>
      </c>
      <c r="W178" s="3">
        <f>DATE(M178,N178,O178)</f>
        <v>17302</v>
      </c>
      <c r="X178" s="5">
        <f t="shared" ca="1" si="5"/>
        <v>78.247097556749267</v>
      </c>
    </row>
    <row r="179" spans="1:24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1797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6">
        <v>1699876578871</v>
      </c>
      <c r="R179">
        <v>72.7</v>
      </c>
      <c r="S179">
        <v>11.4</v>
      </c>
      <c r="T179">
        <v>46.2</v>
      </c>
      <c r="U179">
        <v>144373535</v>
      </c>
      <c r="V179" s="3">
        <f t="shared" ca="1" si="4"/>
        <v>45882</v>
      </c>
      <c r="W179" s="3">
        <f>DATE(M179,N179,O179)</f>
        <v>21999</v>
      </c>
      <c r="X179" s="5">
        <f t="shared" ca="1" si="5"/>
        <v>65.386734143609743</v>
      </c>
    </row>
    <row r="180" spans="1:24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1797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6">
        <v>2029000000000</v>
      </c>
      <c r="R180">
        <v>82.6</v>
      </c>
      <c r="S180">
        <v>15.6</v>
      </c>
      <c r="T180">
        <v>33.200000000000003</v>
      </c>
      <c r="U180">
        <v>51709098</v>
      </c>
      <c r="V180" s="3">
        <f t="shared" ca="1" si="4"/>
        <v>45882</v>
      </c>
      <c r="W180" s="3">
        <f>DATE(M180,N180,O180)</f>
        <v>23285</v>
      </c>
      <c r="X180" s="5">
        <f t="shared" ca="1" si="5"/>
        <v>61.866542088566341</v>
      </c>
    </row>
    <row r="181" spans="1:24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1797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6">
        <v>19910000000000</v>
      </c>
      <c r="R181">
        <v>77</v>
      </c>
      <c r="S181">
        <v>9.4</v>
      </c>
      <c r="T181">
        <v>59.2</v>
      </c>
      <c r="U181">
        <v>1397715000</v>
      </c>
      <c r="V181" s="3">
        <f t="shared" ca="1" si="4"/>
        <v>45882</v>
      </c>
      <c r="W181" s="3">
        <f>DATE(M181,N181,O181)</f>
        <v>25553</v>
      </c>
      <c r="X181" s="5">
        <f t="shared" ca="1" si="5"/>
        <v>55.658437004659206</v>
      </c>
    </row>
    <row r="182" spans="1:24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1797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6">
        <v>3845630030824</v>
      </c>
      <c r="R182">
        <v>80.900000000000006</v>
      </c>
      <c r="S182">
        <v>11.5</v>
      </c>
      <c r="T182">
        <v>48.8</v>
      </c>
      <c r="U182">
        <v>83132799</v>
      </c>
      <c r="V182" s="3">
        <f t="shared" ca="1" si="4"/>
        <v>45882</v>
      </c>
      <c r="W182" s="3">
        <f>DATE(M182,N182,O182)</f>
        <v>17029</v>
      </c>
      <c r="X182" s="5">
        <f t="shared" ca="1" si="5"/>
        <v>78.995208761122512</v>
      </c>
    </row>
    <row r="183" spans="1:24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1797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6">
        <v>19910000000000</v>
      </c>
      <c r="R183">
        <v>77</v>
      </c>
      <c r="S183">
        <v>9.4</v>
      </c>
      <c r="T183">
        <v>59.2</v>
      </c>
      <c r="U183">
        <v>1397715000</v>
      </c>
      <c r="V183" s="3">
        <f t="shared" ca="1" si="4"/>
        <v>45882</v>
      </c>
      <c r="W183" s="3">
        <f>DATE(M183,N183,O183)</f>
        <v>21429</v>
      </c>
      <c r="X183" s="5">
        <f t="shared" ca="1" si="5"/>
        <v>66.948665297741272</v>
      </c>
    </row>
    <row r="184" spans="1:24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1797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6">
        <v>21427700000000</v>
      </c>
      <c r="R184">
        <v>78.5</v>
      </c>
      <c r="S184">
        <v>9.6</v>
      </c>
      <c r="T184">
        <v>36.6</v>
      </c>
      <c r="U184">
        <v>328239523</v>
      </c>
      <c r="V184" s="3">
        <f t="shared" ca="1" si="4"/>
        <v>45882</v>
      </c>
      <c r="W184" s="3">
        <f>DATE(M184,N184,O184)</f>
        <v>19200</v>
      </c>
      <c r="X184" s="5">
        <f t="shared" ca="1" si="5"/>
        <v>73.04998335121536</v>
      </c>
    </row>
    <row r="185" spans="1:24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1797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6">
        <v>19910000000000</v>
      </c>
      <c r="R185">
        <v>77</v>
      </c>
      <c r="S185">
        <v>9.4</v>
      </c>
      <c r="T185">
        <v>59.2</v>
      </c>
      <c r="U185">
        <v>1397715000</v>
      </c>
      <c r="V185" s="3">
        <f t="shared" ca="1" si="4"/>
        <v>45882</v>
      </c>
      <c r="W185" s="3">
        <f>DATE(M185,N185,O185)</f>
        <v>19238</v>
      </c>
      <c r="X185" s="5">
        <f t="shared" ca="1" si="5"/>
        <v>72.945946945872947</v>
      </c>
    </row>
    <row r="186" spans="1:24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1797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6">
        <v>19910000000000</v>
      </c>
      <c r="R186">
        <v>77</v>
      </c>
      <c r="S186">
        <v>9.4</v>
      </c>
      <c r="T186">
        <v>59.2</v>
      </c>
      <c r="U186">
        <v>1397715000</v>
      </c>
      <c r="V186" s="3">
        <f t="shared" ca="1" si="4"/>
        <v>45882</v>
      </c>
      <c r="W186" s="3">
        <f>DATE(M186,N186,O186)</f>
        <v>20515</v>
      </c>
      <c r="X186" s="5">
        <f t="shared" ca="1" si="5"/>
        <v>69.449702753441798</v>
      </c>
    </row>
    <row r="187" spans="1:24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1796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6">
        <v>21427700000000</v>
      </c>
      <c r="R187">
        <v>78.5</v>
      </c>
      <c r="S187">
        <v>9.6</v>
      </c>
      <c r="T187">
        <v>36.6</v>
      </c>
      <c r="U187">
        <v>328239523</v>
      </c>
      <c r="V187" s="3">
        <f t="shared" ca="1" si="4"/>
        <v>45882</v>
      </c>
      <c r="W187" s="3">
        <f>DATE(M187,N187,O187)</f>
        <v>23586</v>
      </c>
      <c r="X187" s="5">
        <f t="shared" ca="1" si="5"/>
        <v>61.04177338161265</v>
      </c>
    </row>
    <row r="188" spans="1:24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1796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6">
        <v>21427700000000</v>
      </c>
      <c r="R188">
        <v>78.5</v>
      </c>
      <c r="S188">
        <v>9.6</v>
      </c>
      <c r="T188">
        <v>36.6</v>
      </c>
      <c r="U188">
        <v>328239523</v>
      </c>
      <c r="V188" s="3">
        <f t="shared" ca="1" si="4"/>
        <v>45882</v>
      </c>
      <c r="W188" s="3">
        <f>DATE(M188,N188,O188)</f>
        <v>22129</v>
      </c>
      <c r="X188" s="5">
        <f t="shared" ca="1" si="5"/>
        <v>65.030820923383246</v>
      </c>
    </row>
    <row r="189" spans="1:24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1796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6">
        <v>21427700000000</v>
      </c>
      <c r="R189">
        <v>78.5</v>
      </c>
      <c r="S189">
        <v>9.6</v>
      </c>
      <c r="T189">
        <v>36.6</v>
      </c>
      <c r="U189">
        <v>328239523</v>
      </c>
      <c r="V189" s="3">
        <f t="shared" ca="1" si="4"/>
        <v>45882</v>
      </c>
      <c r="W189" s="3">
        <f>DATE(M189,N189,O189)</f>
        <v>21576</v>
      </c>
      <c r="X189" s="5">
        <f t="shared" ca="1" si="5"/>
        <v>66.545521412226222</v>
      </c>
    </row>
    <row r="190" spans="1:24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1796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6">
        <v>21427700000000</v>
      </c>
      <c r="R190">
        <v>78.5</v>
      </c>
      <c r="S190">
        <v>9.6</v>
      </c>
      <c r="T190">
        <v>36.6</v>
      </c>
      <c r="U190">
        <v>328239523</v>
      </c>
      <c r="V190" s="3">
        <f t="shared" ca="1" si="4"/>
        <v>45882</v>
      </c>
      <c r="W190" s="3">
        <f>DATE(M190,N190,O190)</f>
        <v>20804</v>
      </c>
      <c r="X190" s="5">
        <f t="shared" ca="1" si="5"/>
        <v>68.658479349186479</v>
      </c>
    </row>
    <row r="191" spans="1:24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1797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6">
        <v>2715518274227</v>
      </c>
      <c r="R191">
        <v>82.5</v>
      </c>
      <c r="S191">
        <v>24.2</v>
      </c>
      <c r="T191">
        <v>60.7</v>
      </c>
      <c r="U191">
        <v>67059887</v>
      </c>
      <c r="V191" s="3">
        <f t="shared" ca="1" si="4"/>
        <v>45882</v>
      </c>
      <c r="W191" s="3">
        <f>DATE(M191,N191,O191)</f>
        <v>19085</v>
      </c>
      <c r="X191" s="5">
        <f t="shared" ca="1" si="5"/>
        <v>73.364830367383178</v>
      </c>
    </row>
    <row r="192" spans="1:24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1797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6">
        <v>1736425629520</v>
      </c>
      <c r="R192">
        <v>81.900000000000006</v>
      </c>
      <c r="S192">
        <v>12.8</v>
      </c>
      <c r="T192">
        <v>24.5</v>
      </c>
      <c r="U192">
        <v>36991981</v>
      </c>
      <c r="V192" s="3">
        <f t="shared" ca="1" si="4"/>
        <v>45882</v>
      </c>
      <c r="W192" s="3">
        <f>DATE(M192,N192,O192)</f>
        <v>10502</v>
      </c>
      <c r="X192" s="5">
        <f t="shared" ca="1" si="5"/>
        <v>96.863807794384684</v>
      </c>
    </row>
    <row r="193" spans="1:24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1797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6">
        <v>703082435360</v>
      </c>
      <c r="R193">
        <v>83.6</v>
      </c>
      <c r="S193">
        <v>10.1</v>
      </c>
      <c r="T193">
        <v>28.8</v>
      </c>
      <c r="U193">
        <v>8574832</v>
      </c>
      <c r="V193" s="3">
        <f t="shared" ca="1" si="4"/>
        <v>45882</v>
      </c>
      <c r="W193" s="3">
        <f>DATE(M193,N193,O193)</f>
        <v>24007</v>
      </c>
      <c r="X193" s="5">
        <f t="shared" ca="1" si="5"/>
        <v>59.891157989228006</v>
      </c>
    </row>
    <row r="194" spans="1:24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1797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6">
        <v>19910000000000</v>
      </c>
      <c r="R194">
        <v>77</v>
      </c>
      <c r="S194">
        <v>9.4</v>
      </c>
      <c r="T194">
        <v>59.2</v>
      </c>
      <c r="U194">
        <v>1397715000</v>
      </c>
      <c r="V194" s="3">
        <f t="shared" ca="1" si="4"/>
        <v>45882</v>
      </c>
      <c r="W194" s="3">
        <f>DATE(M194,N194,O194)</f>
        <v>28904</v>
      </c>
      <c r="X194" s="5">
        <f t="shared" ca="1" si="5"/>
        <v>46.482553736820641</v>
      </c>
    </row>
    <row r="195" spans="1:24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1797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6">
        <v>21427700000000</v>
      </c>
      <c r="R195">
        <v>78.5</v>
      </c>
      <c r="S195">
        <v>9.6</v>
      </c>
      <c r="T195">
        <v>36.6</v>
      </c>
      <c r="U195">
        <v>328239523</v>
      </c>
      <c r="V195" s="3">
        <f t="shared" ref="V195:V258" ca="1" si="6">TODAY()</f>
        <v>45882</v>
      </c>
      <c r="W195" s="3">
        <f>DATE(M195,N195,O195)</f>
        <v>29827</v>
      </c>
      <c r="X195" s="5">
        <f t="shared" ref="X195:X258" ca="1" si="7">YEARFRAC(W195,V195, 1)</f>
        <v>43.956862983694329</v>
      </c>
    </row>
    <row r="196" spans="1:24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1797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6">
        <v>2827113184696</v>
      </c>
      <c r="R196">
        <v>81.3</v>
      </c>
      <c r="S196">
        <v>25.5</v>
      </c>
      <c r="T196">
        <v>30.6</v>
      </c>
      <c r="U196">
        <v>66834405</v>
      </c>
      <c r="V196" s="3">
        <f t="shared" ca="1" si="6"/>
        <v>45882</v>
      </c>
      <c r="W196" s="3">
        <f>DATE(M196,N196,O196)</f>
        <v>17289</v>
      </c>
      <c r="X196" s="5">
        <f t="shared" ca="1" si="7"/>
        <v>78.282689308612021</v>
      </c>
    </row>
    <row r="197" spans="1:24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1797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6">
        <v>1699876578871</v>
      </c>
      <c r="R197">
        <v>72.7</v>
      </c>
      <c r="S197">
        <v>11.4</v>
      </c>
      <c r="T197">
        <v>46.2</v>
      </c>
      <c r="U197">
        <v>144373535</v>
      </c>
      <c r="V197" s="3">
        <f t="shared" ca="1" si="6"/>
        <v>45882</v>
      </c>
      <c r="W197" s="3">
        <f>DATE(M197,N197,O197)</f>
        <v>24404</v>
      </c>
      <c r="X197" s="5">
        <f t="shared" ca="1" si="7"/>
        <v>58.803559206023273</v>
      </c>
    </row>
    <row r="198" spans="1:24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1796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6">
        <v>530832908738</v>
      </c>
      <c r="R198">
        <v>82.5</v>
      </c>
      <c r="S198">
        <v>27.9</v>
      </c>
      <c r="T198">
        <v>49.1</v>
      </c>
      <c r="U198">
        <v>10285453</v>
      </c>
      <c r="V198" s="3">
        <f t="shared" ca="1" si="6"/>
        <v>45882</v>
      </c>
      <c r="W198" s="3">
        <f>DATE(M198,N198,O198)</f>
        <v>15955</v>
      </c>
      <c r="X198" s="5">
        <f t="shared" ca="1" si="7"/>
        <v>81.934984826494258</v>
      </c>
    </row>
    <row r="199" spans="1:24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1797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6">
        <v>246489245495</v>
      </c>
      <c r="R199">
        <v>79</v>
      </c>
      <c r="S199">
        <v>14.9</v>
      </c>
      <c r="T199">
        <v>46.1</v>
      </c>
      <c r="U199">
        <v>10669709</v>
      </c>
      <c r="V199" s="3">
        <f t="shared" ca="1" si="6"/>
        <v>45882</v>
      </c>
      <c r="W199" s="3">
        <f>DATE(M199,N199,O199)</f>
        <v>27584</v>
      </c>
      <c r="X199" s="5">
        <f t="shared" ca="1" si="7"/>
        <v>50.096521365686066</v>
      </c>
    </row>
    <row r="200" spans="1:24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1797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6">
        <v>21427700000000</v>
      </c>
      <c r="R200">
        <v>78.5</v>
      </c>
      <c r="S200">
        <v>9.6</v>
      </c>
      <c r="T200">
        <v>36.6</v>
      </c>
      <c r="U200">
        <v>328239523</v>
      </c>
      <c r="V200" s="3">
        <f t="shared" ca="1" si="6"/>
        <v>45882</v>
      </c>
      <c r="W200" s="3">
        <f>DATE(M200,N200,O200)</f>
        <v>15042</v>
      </c>
      <c r="X200" s="5">
        <f t="shared" ca="1" si="7"/>
        <v>84.435998196224958</v>
      </c>
    </row>
    <row r="201" spans="1:24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1797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6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 s="3">
        <f t="shared" ca="1" si="6"/>
        <v>45882</v>
      </c>
      <c r="W201" s="3">
        <f>DATE(M201,N201,O201)</f>
        <v>16642</v>
      </c>
      <c r="X201" s="5">
        <f t="shared" ca="1" si="7"/>
        <v>80.05543349670441</v>
      </c>
    </row>
    <row r="202" spans="1:24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1797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6">
        <v>21427700000000</v>
      </c>
      <c r="R202">
        <v>78.5</v>
      </c>
      <c r="S202">
        <v>9.6</v>
      </c>
      <c r="T202">
        <v>36.6</v>
      </c>
      <c r="U202">
        <v>328239523</v>
      </c>
      <c r="V202" s="3">
        <f t="shared" ca="1" si="6"/>
        <v>45882</v>
      </c>
      <c r="W202" s="3">
        <f>DATE(M202,N202,O202)</f>
        <v>13725</v>
      </c>
      <c r="X202" s="5">
        <f t="shared" ca="1" si="7"/>
        <v>88.041744854954317</v>
      </c>
    </row>
    <row r="203" spans="1:24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1797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6">
        <v>21427700000000</v>
      </c>
      <c r="R203">
        <v>78.5</v>
      </c>
      <c r="S203">
        <v>9.6</v>
      </c>
      <c r="T203">
        <v>36.6</v>
      </c>
      <c r="U203">
        <v>328239523</v>
      </c>
      <c r="V203" s="3">
        <f t="shared" ca="1" si="6"/>
        <v>45882</v>
      </c>
      <c r="W203" s="3">
        <f>DATE(M203,N203,O203)</f>
        <v>21916</v>
      </c>
      <c r="X203" s="5">
        <f t="shared" ca="1" si="7"/>
        <v>65.61397104575434</v>
      </c>
    </row>
    <row r="204" spans="1:24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1797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6">
        <v>21427700000000</v>
      </c>
      <c r="R204">
        <v>78.5</v>
      </c>
      <c r="S204">
        <v>9.6</v>
      </c>
      <c r="T204">
        <v>36.6</v>
      </c>
      <c r="U204">
        <v>328239523</v>
      </c>
      <c r="V204" s="3">
        <f t="shared" ca="1" si="6"/>
        <v>45882</v>
      </c>
      <c r="W204" s="3">
        <f>DATE(M204,N204,O204)</f>
        <v>18716</v>
      </c>
      <c r="X204" s="5">
        <f t="shared" ca="1" si="7"/>
        <v>74.375775717310361</v>
      </c>
    </row>
    <row r="205" spans="1:24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1797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6">
        <v>703082435360</v>
      </c>
      <c r="R205">
        <v>83.6</v>
      </c>
      <c r="S205">
        <v>10.1</v>
      </c>
      <c r="T205">
        <v>28.8</v>
      </c>
      <c r="U205">
        <v>8574832</v>
      </c>
      <c r="V205" s="3">
        <f t="shared" ca="1" si="6"/>
        <v>45882</v>
      </c>
      <c r="W205" s="3">
        <f>DATE(M205,N205,O205)</f>
        <v>20827</v>
      </c>
      <c r="X205" s="5">
        <f t="shared" ca="1" si="7"/>
        <v>68.597531941909381</v>
      </c>
    </row>
    <row r="206" spans="1:24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1797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6">
        <v>3845630030824</v>
      </c>
      <c r="R206">
        <v>80.900000000000006</v>
      </c>
      <c r="S206">
        <v>11.5</v>
      </c>
      <c r="T206">
        <v>48.8</v>
      </c>
      <c r="U206">
        <v>83132799</v>
      </c>
      <c r="V206" s="3">
        <f t="shared" ca="1" si="6"/>
        <v>45882</v>
      </c>
      <c r="W206" s="3">
        <f>DATE(M206,N206,O206)</f>
        <v>24660</v>
      </c>
      <c r="X206" s="5">
        <f t="shared" ca="1" si="7"/>
        <v>58.101995359628773</v>
      </c>
    </row>
    <row r="207" spans="1:24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1797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6">
        <v>1736425629520</v>
      </c>
      <c r="R207">
        <v>81.900000000000006</v>
      </c>
      <c r="S207">
        <v>12.8</v>
      </c>
      <c r="T207">
        <v>24.5</v>
      </c>
      <c r="U207">
        <v>36991981</v>
      </c>
      <c r="V207" s="3">
        <f t="shared" ca="1" si="6"/>
        <v>45882</v>
      </c>
      <c r="W207" s="3">
        <f>DATE(M207,N207,O207)</f>
        <v>18332</v>
      </c>
      <c r="X207" s="5">
        <f t="shared" ca="1" si="7"/>
        <v>75.427789185489388</v>
      </c>
    </row>
    <row r="208" spans="1:24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1797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6">
        <v>19910000000000</v>
      </c>
      <c r="R208">
        <v>77</v>
      </c>
      <c r="S208">
        <v>9.4</v>
      </c>
      <c r="T208">
        <v>59.2</v>
      </c>
      <c r="U208">
        <v>1397715000</v>
      </c>
      <c r="V208" s="3">
        <f t="shared" ca="1" si="6"/>
        <v>45882</v>
      </c>
      <c r="W208" s="3">
        <f>DATE(M208,N208,O208)</f>
        <v>24162</v>
      </c>
      <c r="X208" s="5">
        <f t="shared" ca="1" si="7"/>
        <v>59.466119096509239</v>
      </c>
    </row>
    <row r="209" spans="1:24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1797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6">
        <v>2827113184696</v>
      </c>
      <c r="R209">
        <v>81.3</v>
      </c>
      <c r="S209">
        <v>25.5</v>
      </c>
      <c r="T209">
        <v>30.6</v>
      </c>
      <c r="U209">
        <v>66834405</v>
      </c>
      <c r="V209" s="3">
        <f t="shared" ca="1" si="6"/>
        <v>45882</v>
      </c>
      <c r="W209" s="3">
        <f>DATE(M209,N209,O209)</f>
        <v>20090</v>
      </c>
      <c r="X209" s="5">
        <f t="shared" ca="1" si="7"/>
        <v>70.613966760498201</v>
      </c>
    </row>
    <row r="210" spans="1:24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1797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6">
        <v>2827113184696</v>
      </c>
      <c r="R210">
        <v>81.3</v>
      </c>
      <c r="S210">
        <v>25.5</v>
      </c>
      <c r="T210">
        <v>30.6</v>
      </c>
      <c r="U210">
        <v>66834405</v>
      </c>
      <c r="V210" s="3">
        <f t="shared" ca="1" si="6"/>
        <v>45882</v>
      </c>
      <c r="W210" s="3">
        <f>DATE(M210,N210,O210)</f>
        <v>21916</v>
      </c>
      <c r="X210" s="5">
        <f t="shared" ca="1" si="7"/>
        <v>65.61397104575434</v>
      </c>
    </row>
    <row r="211" spans="1:24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1796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6">
        <v>2827113184696</v>
      </c>
      <c r="R211">
        <v>81.3</v>
      </c>
      <c r="S211">
        <v>25.5</v>
      </c>
      <c r="T211">
        <v>30.6</v>
      </c>
      <c r="U211">
        <v>66834405</v>
      </c>
      <c r="V211" s="3">
        <f t="shared" ca="1" si="6"/>
        <v>45882</v>
      </c>
      <c r="W211" s="3">
        <f>DATE(M211,N211,O211)</f>
        <v>19151</v>
      </c>
      <c r="X211" s="5">
        <f t="shared" ca="1" si="7"/>
        <v>73.184135558104259</v>
      </c>
    </row>
    <row r="212" spans="1:24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1796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6">
        <v>1699876578871</v>
      </c>
      <c r="R212">
        <v>72.7</v>
      </c>
      <c r="S212">
        <v>11.4</v>
      </c>
      <c r="T212">
        <v>46.2</v>
      </c>
      <c r="U212">
        <v>144373535</v>
      </c>
      <c r="V212" s="3">
        <f t="shared" ca="1" si="6"/>
        <v>45882</v>
      </c>
      <c r="W212" s="3">
        <f>DATE(M212,N212,O212)</f>
        <v>27683</v>
      </c>
      <c r="X212" s="5">
        <f t="shared" ca="1" si="7"/>
        <v>49.825477775391882</v>
      </c>
    </row>
    <row r="213" spans="1:24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1797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6">
        <v>21427700000000</v>
      </c>
      <c r="R213">
        <v>78.5</v>
      </c>
      <c r="S213">
        <v>9.6</v>
      </c>
      <c r="T213">
        <v>36.6</v>
      </c>
      <c r="U213">
        <v>328239523</v>
      </c>
      <c r="V213" s="3">
        <f t="shared" ca="1" si="6"/>
        <v>45882</v>
      </c>
      <c r="W213" s="3">
        <f>DATE(M213,N213,O213)</f>
        <v>18808</v>
      </c>
      <c r="X213" s="5">
        <f t="shared" ca="1" si="7"/>
        <v>74.123895743593494</v>
      </c>
    </row>
    <row r="214" spans="1:24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1797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6">
        <v>19910000000000</v>
      </c>
      <c r="R214">
        <v>77</v>
      </c>
      <c r="S214">
        <v>9.4</v>
      </c>
      <c r="T214">
        <v>59.2</v>
      </c>
      <c r="U214">
        <v>1397715000</v>
      </c>
      <c r="V214" s="3">
        <f t="shared" ca="1" si="6"/>
        <v>45882</v>
      </c>
      <c r="W214" s="3">
        <f>DATE(M214,N214,O214)</f>
        <v>27098</v>
      </c>
      <c r="X214" s="5">
        <f t="shared" ca="1" si="7"/>
        <v>51.427789185489388</v>
      </c>
    </row>
    <row r="215" spans="1:24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1797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6">
        <v>21427700000000</v>
      </c>
      <c r="R215">
        <v>78.5</v>
      </c>
      <c r="S215">
        <v>9.6</v>
      </c>
      <c r="T215">
        <v>36.6</v>
      </c>
      <c r="U215">
        <v>328239523</v>
      </c>
      <c r="V215" s="3">
        <f t="shared" ca="1" si="6"/>
        <v>45882</v>
      </c>
      <c r="W215" s="3">
        <f>DATE(M215,N215,O215)</f>
        <v>30824</v>
      </c>
      <c r="X215" s="5">
        <f t="shared" ca="1" si="7"/>
        <v>41.225213480216411</v>
      </c>
    </row>
    <row r="216" spans="1:24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1797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6">
        <v>21427700000000</v>
      </c>
      <c r="R216">
        <v>78.5</v>
      </c>
      <c r="S216">
        <v>9.6</v>
      </c>
      <c r="T216">
        <v>36.6</v>
      </c>
      <c r="U216">
        <v>328239523</v>
      </c>
      <c r="V216" s="3">
        <f t="shared" ca="1" si="6"/>
        <v>45882</v>
      </c>
      <c r="W216" s="3">
        <f>DATE(M216,N216,O216)</f>
        <v>24644</v>
      </c>
      <c r="X216" s="5">
        <f t="shared" ca="1" si="7"/>
        <v>58.145800464037123</v>
      </c>
    </row>
    <row r="217" spans="1:24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1797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6">
        <v>19910000000000</v>
      </c>
      <c r="R217">
        <v>77</v>
      </c>
      <c r="S217">
        <v>9.4</v>
      </c>
      <c r="T217">
        <v>59.2</v>
      </c>
      <c r="U217">
        <v>1397715000</v>
      </c>
      <c r="V217" s="3">
        <f t="shared" ca="1" si="6"/>
        <v>45882</v>
      </c>
      <c r="W217" s="3">
        <f>DATE(M217,N217,O217)</f>
        <v>21551</v>
      </c>
      <c r="X217" s="5">
        <f t="shared" ca="1" si="7"/>
        <v>66.613966982674086</v>
      </c>
    </row>
    <row r="218" spans="1:24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1796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6">
        <v>2827113184696</v>
      </c>
      <c r="R218">
        <v>81.3</v>
      </c>
      <c r="S218">
        <v>25.5</v>
      </c>
      <c r="T218">
        <v>30.6</v>
      </c>
      <c r="U218">
        <v>66834405</v>
      </c>
      <c r="V218" s="3">
        <f t="shared" ca="1" si="6"/>
        <v>45882</v>
      </c>
      <c r="W218" s="3">
        <f>DATE(M218,N218,O218)</f>
        <v>18629</v>
      </c>
      <c r="X218" s="5">
        <f t="shared" ca="1" si="7"/>
        <v>74.613966562020877</v>
      </c>
    </row>
    <row r="219" spans="1:24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1797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6">
        <v>19910000000000</v>
      </c>
      <c r="R219">
        <v>77</v>
      </c>
      <c r="S219">
        <v>9.4</v>
      </c>
      <c r="T219">
        <v>59.2</v>
      </c>
      <c r="U219">
        <v>1397715000</v>
      </c>
      <c r="V219" s="3">
        <f t="shared" ca="1" si="6"/>
        <v>45882</v>
      </c>
      <c r="W219" s="3">
        <f>DATE(M219,N219,O219)</f>
        <v>25934</v>
      </c>
      <c r="X219" s="5">
        <f t="shared" ca="1" si="7"/>
        <v>54.613967843098216</v>
      </c>
    </row>
    <row r="220" spans="1:24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1797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6">
        <v>3845630030824</v>
      </c>
      <c r="R220">
        <v>80.900000000000006</v>
      </c>
      <c r="S220">
        <v>11.5</v>
      </c>
      <c r="T220">
        <v>48.8</v>
      </c>
      <c r="U220">
        <v>83132799</v>
      </c>
      <c r="V220" s="3">
        <f t="shared" ca="1" si="6"/>
        <v>45882</v>
      </c>
      <c r="W220" s="3">
        <f>DATE(M220,N220,O220)</f>
        <v>15808</v>
      </c>
      <c r="X220" s="5">
        <f t="shared" ca="1" si="7"/>
        <v>82.33744557329463</v>
      </c>
    </row>
    <row r="221" spans="1:24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1797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6">
        <v>21427700000000</v>
      </c>
      <c r="R221">
        <v>78.5</v>
      </c>
      <c r="S221">
        <v>9.6</v>
      </c>
      <c r="T221">
        <v>36.6</v>
      </c>
      <c r="U221">
        <v>328239523</v>
      </c>
      <c r="V221" s="3">
        <f t="shared" ca="1" si="6"/>
        <v>45882</v>
      </c>
      <c r="W221" s="3">
        <f>DATE(M221,N221,O221)</f>
        <v>18840</v>
      </c>
      <c r="X221" s="5">
        <f t="shared" ca="1" si="7"/>
        <v>74.036285317952832</v>
      </c>
    </row>
    <row r="222" spans="1:24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1797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6">
        <v>206928765544</v>
      </c>
      <c r="R222">
        <v>81.900000000000006</v>
      </c>
      <c r="S222">
        <v>29</v>
      </c>
      <c r="T222">
        <v>34.6</v>
      </c>
      <c r="U222">
        <v>4841000</v>
      </c>
      <c r="V222" s="3">
        <f t="shared" ca="1" si="6"/>
        <v>45882</v>
      </c>
      <c r="W222" s="3">
        <f>DATE(M222,N222,O222)</f>
        <v>20246</v>
      </c>
      <c r="X222" s="5">
        <f t="shared" ca="1" si="7"/>
        <v>70.186866155091963</v>
      </c>
    </row>
    <row r="223" spans="1:24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1797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6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 s="3">
        <f t="shared" ca="1" si="6"/>
        <v>45882</v>
      </c>
      <c r="W223" s="3">
        <f>DATE(M223,N223,O223)</f>
        <v>20056</v>
      </c>
      <c r="X223" s="5">
        <f t="shared" ca="1" si="7"/>
        <v>70.707734428473643</v>
      </c>
    </row>
    <row r="224" spans="1:24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1797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6">
        <v>3845630030824</v>
      </c>
      <c r="R224">
        <v>80.900000000000006</v>
      </c>
      <c r="S224">
        <v>11.5</v>
      </c>
      <c r="T224">
        <v>48.8</v>
      </c>
      <c r="U224">
        <v>83132799</v>
      </c>
      <c r="V224" s="3">
        <f t="shared" ca="1" si="6"/>
        <v>45882</v>
      </c>
      <c r="W224" s="3">
        <f>DATE(M224,N224,O224)</f>
        <v>16092</v>
      </c>
      <c r="X224" s="5">
        <f t="shared" ca="1" si="7"/>
        <v>81.559213381857035</v>
      </c>
    </row>
    <row r="225" spans="1:24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1797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6">
        <v>703082435360</v>
      </c>
      <c r="R225">
        <v>83.6</v>
      </c>
      <c r="S225">
        <v>10.1</v>
      </c>
      <c r="T225">
        <v>28.8</v>
      </c>
      <c r="U225">
        <v>8574832</v>
      </c>
      <c r="V225" s="3">
        <f t="shared" ca="1" si="6"/>
        <v>45882</v>
      </c>
      <c r="W225" s="3">
        <f>DATE(M225,N225,O225)</f>
        <v>17533</v>
      </c>
      <c r="X225" s="5">
        <f t="shared" ca="1" si="7"/>
        <v>77.613969813969803</v>
      </c>
    </row>
    <row r="226" spans="1:24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1797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6">
        <v>376795508680</v>
      </c>
      <c r="R226">
        <v>71.099999999999994</v>
      </c>
      <c r="S226">
        <v>14</v>
      </c>
      <c r="T226">
        <v>43.1</v>
      </c>
      <c r="U226">
        <v>108116615</v>
      </c>
      <c r="V226" s="3">
        <f t="shared" ca="1" si="6"/>
        <v>45882</v>
      </c>
      <c r="W226" s="3">
        <f>DATE(M226,N226,O226)</f>
        <v>18245</v>
      </c>
      <c r="X226" s="5">
        <f t="shared" ca="1" si="7"/>
        <v>75.666654814393397</v>
      </c>
    </row>
    <row r="227" spans="1:24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1797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6">
        <v>21427700000000</v>
      </c>
      <c r="R227">
        <v>78.5</v>
      </c>
      <c r="S227">
        <v>9.6</v>
      </c>
      <c r="T227">
        <v>36.6</v>
      </c>
      <c r="U227">
        <v>328239523</v>
      </c>
      <c r="V227" s="3">
        <f t="shared" ca="1" si="6"/>
        <v>45882</v>
      </c>
      <c r="W227" s="3">
        <f>DATE(M227,N227,O227)</f>
        <v>20362</v>
      </c>
      <c r="X227" s="5">
        <f t="shared" ca="1" si="7"/>
        <v>69.869278525430914</v>
      </c>
    </row>
    <row r="228" spans="1:24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1797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6">
        <v>21427700000000</v>
      </c>
      <c r="R228">
        <v>78.5</v>
      </c>
      <c r="S228">
        <v>9.6</v>
      </c>
      <c r="T228">
        <v>36.6</v>
      </c>
      <c r="U228">
        <v>328239523</v>
      </c>
      <c r="V228" s="3">
        <f t="shared" ca="1" si="6"/>
        <v>45882</v>
      </c>
      <c r="W228" s="3">
        <f>DATE(M228,N228,O228)</f>
        <v>27566</v>
      </c>
      <c r="X228" s="5">
        <f t="shared" ca="1" si="7"/>
        <v>50.145802018466824</v>
      </c>
    </row>
    <row r="229" spans="1:24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1796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6">
        <v>21427700000000</v>
      </c>
      <c r="R229">
        <v>78.5</v>
      </c>
      <c r="S229">
        <v>9.6</v>
      </c>
      <c r="T229">
        <v>36.6</v>
      </c>
      <c r="U229">
        <v>328239523</v>
      </c>
      <c r="V229" s="3">
        <f t="shared" ca="1" si="6"/>
        <v>45882</v>
      </c>
      <c r="W229" s="3">
        <f>DATE(M229,N229,O229)</f>
        <v>17885</v>
      </c>
      <c r="X229" s="5">
        <f t="shared" ca="1" si="7"/>
        <v>76.650263250263251</v>
      </c>
    </row>
    <row r="230" spans="1:24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1797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6">
        <v>19910000000000</v>
      </c>
      <c r="R230">
        <v>77</v>
      </c>
      <c r="S230">
        <v>9.4</v>
      </c>
      <c r="T230">
        <v>59.2</v>
      </c>
      <c r="U230">
        <v>1397715000</v>
      </c>
      <c r="V230" s="3">
        <f t="shared" ca="1" si="6"/>
        <v>45882</v>
      </c>
      <c r="W230" s="3">
        <f>DATE(M230,N230,O230)</f>
        <v>24838</v>
      </c>
      <c r="X230" s="5">
        <f t="shared" ca="1" si="7"/>
        <v>57.613972150106207</v>
      </c>
    </row>
    <row r="231" spans="1:24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1797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6">
        <v>21427700000000</v>
      </c>
      <c r="R231">
        <v>78.5</v>
      </c>
      <c r="S231">
        <v>9.6</v>
      </c>
      <c r="T231">
        <v>36.6</v>
      </c>
      <c r="U231">
        <v>328239523</v>
      </c>
      <c r="V231" s="3">
        <f t="shared" ca="1" si="6"/>
        <v>45882</v>
      </c>
      <c r="W231" s="3">
        <f>DATE(M231,N231,O231)</f>
        <v>17500</v>
      </c>
      <c r="X231" s="5">
        <f t="shared" ca="1" si="7"/>
        <v>77.705007797608729</v>
      </c>
    </row>
    <row r="232" spans="1:24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1797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6">
        <v>351431649241</v>
      </c>
      <c r="R232">
        <v>63.9</v>
      </c>
      <c r="S232">
        <v>27.5</v>
      </c>
      <c r="T232">
        <v>29.2</v>
      </c>
      <c r="U232">
        <v>58558270</v>
      </c>
      <c r="V232" s="3">
        <f t="shared" ca="1" si="6"/>
        <v>45882</v>
      </c>
      <c r="W232" s="3">
        <f>DATE(M232,N232,O232)</f>
        <v>16596</v>
      </c>
      <c r="X232" s="5">
        <f t="shared" ca="1" si="7"/>
        <v>80.181375697143821</v>
      </c>
    </row>
    <row r="233" spans="1:24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1796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6">
        <v>1392680589329</v>
      </c>
      <c r="R233">
        <v>82.7</v>
      </c>
      <c r="S233">
        <v>23</v>
      </c>
      <c r="T233">
        <v>47.4</v>
      </c>
      <c r="U233">
        <v>25766605</v>
      </c>
      <c r="V233" s="3">
        <f t="shared" ca="1" si="6"/>
        <v>45882</v>
      </c>
      <c r="W233" s="3">
        <f>DATE(M233,N233,O233)</f>
        <v>18404</v>
      </c>
      <c r="X233" s="5">
        <f t="shared" ca="1" si="7"/>
        <v>75.230663928815886</v>
      </c>
    </row>
    <row r="234" spans="1:24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1796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6">
        <v>19910000000000</v>
      </c>
      <c r="R234">
        <v>77</v>
      </c>
      <c r="S234">
        <v>9.4</v>
      </c>
      <c r="T234">
        <v>59.2</v>
      </c>
      <c r="U234">
        <v>1397715000</v>
      </c>
      <c r="V234" s="3">
        <f t="shared" ca="1" si="6"/>
        <v>45882</v>
      </c>
      <c r="W234" s="3">
        <f>DATE(M234,N234,O234)</f>
        <v>16803</v>
      </c>
      <c r="X234" s="5">
        <f t="shared" ca="1" si="7"/>
        <v>79.613963039014379</v>
      </c>
    </row>
    <row r="235" spans="1:24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1797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6">
        <v>21427700000000</v>
      </c>
      <c r="R235">
        <v>78.5</v>
      </c>
      <c r="S235">
        <v>9.6</v>
      </c>
      <c r="T235">
        <v>36.6</v>
      </c>
      <c r="U235">
        <v>328239523</v>
      </c>
      <c r="V235" s="3">
        <f t="shared" ca="1" si="6"/>
        <v>45882</v>
      </c>
      <c r="W235" s="3">
        <f>DATE(M235,N235,O235)</f>
        <v>17611</v>
      </c>
      <c r="X235" s="5">
        <f t="shared" ca="1" si="7"/>
        <v>77.400421200421192</v>
      </c>
    </row>
    <row r="236" spans="1:24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1797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6">
        <v>1699876578871</v>
      </c>
      <c r="R236">
        <v>72.7</v>
      </c>
      <c r="S236">
        <v>11.4</v>
      </c>
      <c r="T236">
        <v>46.2</v>
      </c>
      <c r="U236">
        <v>144373535</v>
      </c>
      <c r="V236" s="3">
        <f t="shared" ca="1" si="6"/>
        <v>45882</v>
      </c>
      <c r="W236" s="3">
        <f>DATE(M236,N236,O236)</f>
        <v>22578</v>
      </c>
      <c r="X236" s="5">
        <f t="shared" ca="1" si="7"/>
        <v>63.803546607135338</v>
      </c>
    </row>
    <row r="237" spans="1:24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1797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6">
        <v>448120428859</v>
      </c>
      <c r="R237">
        <v>54.3</v>
      </c>
      <c r="S237">
        <v>1.5</v>
      </c>
      <c r="T237">
        <v>34.799999999999997</v>
      </c>
      <c r="U237">
        <v>200963599</v>
      </c>
      <c r="V237" s="3">
        <f t="shared" ca="1" si="6"/>
        <v>45882</v>
      </c>
      <c r="W237" s="3">
        <f>DATE(M237,N237,O237)</f>
        <v>22132</v>
      </c>
      <c r="X237" s="5">
        <f t="shared" ca="1" si="7"/>
        <v>65.022607541378022</v>
      </c>
    </row>
    <row r="238" spans="1:24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1797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6">
        <v>21427700000000</v>
      </c>
      <c r="R238">
        <v>78.5</v>
      </c>
      <c r="S238">
        <v>9.6</v>
      </c>
      <c r="T238">
        <v>36.6</v>
      </c>
      <c r="U238">
        <v>328239523</v>
      </c>
      <c r="V238" s="3">
        <f t="shared" ca="1" si="6"/>
        <v>45882</v>
      </c>
      <c r="W238" s="3">
        <f>DATE(M238,N238,O238)</f>
        <v>15963</v>
      </c>
      <c r="X238" s="5">
        <f t="shared" ca="1" si="7"/>
        <v>81.913082200818053</v>
      </c>
    </row>
    <row r="239" spans="1:24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1797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6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 s="3">
        <f t="shared" ca="1" si="6"/>
        <v>45882</v>
      </c>
      <c r="W239" s="3">
        <f>DATE(M239,N239,O239)</f>
        <v>11550</v>
      </c>
      <c r="X239" s="5">
        <f t="shared" ca="1" si="7"/>
        <v>93.995216000461099</v>
      </c>
    </row>
    <row r="240" spans="1:24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1797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6">
        <v>19910000000000</v>
      </c>
      <c r="R240">
        <v>77</v>
      </c>
      <c r="S240">
        <v>9.4</v>
      </c>
      <c r="T240">
        <v>59.2</v>
      </c>
      <c r="U240">
        <v>1397715000</v>
      </c>
      <c r="V240" s="3">
        <f t="shared" ca="1" si="6"/>
        <v>45882</v>
      </c>
      <c r="W240" s="3">
        <f>DATE(M240,N240,O240)</f>
        <v>19998</v>
      </c>
      <c r="X240" s="5">
        <f t="shared" ca="1" si="7"/>
        <v>70.866529774127315</v>
      </c>
    </row>
    <row r="241" spans="1:24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1796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6">
        <v>19910000000000</v>
      </c>
      <c r="R241">
        <v>77</v>
      </c>
      <c r="S241">
        <v>9.4</v>
      </c>
      <c r="T241">
        <v>59.2</v>
      </c>
      <c r="U241">
        <v>1397715000</v>
      </c>
      <c r="V241" s="3">
        <f t="shared" ca="1" si="6"/>
        <v>45882</v>
      </c>
      <c r="W241" s="3">
        <f>DATE(M241,N241,O241)</f>
        <v>29856</v>
      </c>
      <c r="X241" s="5">
        <f t="shared" ca="1" si="7"/>
        <v>43.877464103188117</v>
      </c>
    </row>
    <row r="242" spans="1:24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1797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6">
        <v>2715518274227</v>
      </c>
      <c r="R242">
        <v>82.5</v>
      </c>
      <c r="S242">
        <v>24.2</v>
      </c>
      <c r="T242">
        <v>60.7</v>
      </c>
      <c r="U242">
        <v>67059887</v>
      </c>
      <c r="V242" s="3">
        <f t="shared" ca="1" si="6"/>
        <v>45882</v>
      </c>
      <c r="W242" s="3">
        <f>DATE(M242,N242,O242)</f>
        <v>19547</v>
      </c>
      <c r="X242" s="5">
        <f t="shared" ca="1" si="7"/>
        <v>72.101976521771746</v>
      </c>
    </row>
    <row r="243" spans="1:24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1797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6">
        <v>2715518274227</v>
      </c>
      <c r="R243">
        <v>82.5</v>
      </c>
      <c r="S243">
        <v>24.2</v>
      </c>
      <c r="T243">
        <v>60.7</v>
      </c>
      <c r="U243">
        <v>67059887</v>
      </c>
      <c r="V243" s="3">
        <f t="shared" ca="1" si="6"/>
        <v>45882</v>
      </c>
      <c r="W243" s="3">
        <f>DATE(M243,N243,O243)</f>
        <v>20905</v>
      </c>
      <c r="X243" s="5">
        <f t="shared" ca="1" si="7"/>
        <v>68.383977462106188</v>
      </c>
    </row>
    <row r="244" spans="1:24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1797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6">
        <v>21427700000000</v>
      </c>
      <c r="R244">
        <v>78.5</v>
      </c>
      <c r="S244">
        <v>9.6</v>
      </c>
      <c r="T244">
        <v>36.6</v>
      </c>
      <c r="U244">
        <v>328239523</v>
      </c>
      <c r="V244" s="3">
        <f t="shared" ca="1" si="6"/>
        <v>45882</v>
      </c>
      <c r="W244" s="3">
        <f>DATE(M244,N244,O244)</f>
        <v>20996</v>
      </c>
      <c r="X244" s="5">
        <f t="shared" ca="1" si="7"/>
        <v>68.13483056900246</v>
      </c>
    </row>
    <row r="245" spans="1:24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1796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6">
        <v>2715518274227</v>
      </c>
      <c r="R245">
        <v>82.5</v>
      </c>
      <c r="S245">
        <v>24.2</v>
      </c>
      <c r="T245">
        <v>60.7</v>
      </c>
      <c r="U245">
        <v>67059887</v>
      </c>
      <c r="V245" s="3">
        <f t="shared" ca="1" si="6"/>
        <v>45882</v>
      </c>
      <c r="W245" s="3">
        <f>DATE(M245,N245,O245)</f>
        <v>23836</v>
      </c>
      <c r="X245" s="5">
        <f t="shared" ca="1" si="7"/>
        <v>60.359335727109517</v>
      </c>
    </row>
    <row r="246" spans="1:24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1797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6">
        <v>703082435360</v>
      </c>
      <c r="R246">
        <v>83.6</v>
      </c>
      <c r="S246">
        <v>10.1</v>
      </c>
      <c r="T246">
        <v>28.8</v>
      </c>
      <c r="U246">
        <v>8574832</v>
      </c>
      <c r="V246" s="3">
        <f t="shared" ca="1" si="6"/>
        <v>45882</v>
      </c>
      <c r="W246" s="3">
        <f>DATE(M246,N246,O246)</f>
        <v>25277</v>
      </c>
      <c r="X246" s="5">
        <f t="shared" ca="1" si="7"/>
        <v>56.41409289591239</v>
      </c>
    </row>
    <row r="247" spans="1:24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1797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6">
        <v>21427700000000</v>
      </c>
      <c r="R247">
        <v>78.5</v>
      </c>
      <c r="S247">
        <v>9.6</v>
      </c>
      <c r="T247">
        <v>36.6</v>
      </c>
      <c r="U247">
        <v>328239523</v>
      </c>
      <c r="V247" s="3">
        <f t="shared" ca="1" si="6"/>
        <v>45882</v>
      </c>
      <c r="W247" s="3">
        <f>DATE(M247,N247,O247)</f>
        <v>30478</v>
      </c>
      <c r="X247" s="5">
        <f t="shared" ca="1" si="7"/>
        <v>42.173182223354132</v>
      </c>
    </row>
    <row r="248" spans="1:24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1797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6">
        <v>1699876578871</v>
      </c>
      <c r="R248">
        <v>72.7</v>
      </c>
      <c r="S248">
        <v>11.4</v>
      </c>
      <c r="T248">
        <v>46.2</v>
      </c>
      <c r="U248">
        <v>144373535</v>
      </c>
      <c r="V248" s="3">
        <f t="shared" ca="1" si="6"/>
        <v>45882</v>
      </c>
      <c r="W248" s="3">
        <f>DATE(M248,N248,O248)</f>
        <v>20550</v>
      </c>
      <c r="X248" s="5">
        <f t="shared" ca="1" si="7"/>
        <v>69.353879849812259</v>
      </c>
    </row>
    <row r="249" spans="1:24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1797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6">
        <v>21427700000000</v>
      </c>
      <c r="R249">
        <v>78.5</v>
      </c>
      <c r="S249">
        <v>9.6</v>
      </c>
      <c r="T249">
        <v>36.6</v>
      </c>
      <c r="U249">
        <v>328239523</v>
      </c>
      <c r="V249" s="3">
        <f t="shared" ca="1" si="6"/>
        <v>45882</v>
      </c>
      <c r="W249" s="3">
        <f>DATE(M249,N249,O249)</f>
        <v>10725</v>
      </c>
      <c r="X249" s="5">
        <f t="shared" ca="1" si="7"/>
        <v>96.255299331056477</v>
      </c>
    </row>
    <row r="250" spans="1:24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1797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6">
        <v>21427700000000</v>
      </c>
      <c r="R250">
        <v>78.5</v>
      </c>
      <c r="S250">
        <v>9.6</v>
      </c>
      <c r="T250">
        <v>36.6</v>
      </c>
      <c r="U250">
        <v>328239523</v>
      </c>
      <c r="V250" s="3">
        <f t="shared" ca="1" si="6"/>
        <v>45882</v>
      </c>
      <c r="W250" s="3">
        <f>DATE(M250,N250,O250)</f>
        <v>13650</v>
      </c>
      <c r="X250" s="5">
        <f t="shared" ca="1" si="7"/>
        <v>88.24708524317839</v>
      </c>
    </row>
    <row r="251" spans="1:24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1797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6">
        <v>21427700000000</v>
      </c>
      <c r="R251">
        <v>78.5</v>
      </c>
      <c r="S251">
        <v>9.6</v>
      </c>
      <c r="T251">
        <v>36.6</v>
      </c>
      <c r="U251">
        <v>328239523</v>
      </c>
      <c r="V251" s="3">
        <f t="shared" ca="1" si="6"/>
        <v>45882</v>
      </c>
      <c r="W251" s="3">
        <f>DATE(M251,N251,O251)</f>
        <v>22981</v>
      </c>
      <c r="X251" s="5">
        <f t="shared" ca="1" si="7"/>
        <v>62.699520876112253</v>
      </c>
    </row>
    <row r="252" spans="1:24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1797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6">
        <v>246489245495</v>
      </c>
      <c r="R252">
        <v>79</v>
      </c>
      <c r="S252">
        <v>14.9</v>
      </c>
      <c r="T252">
        <v>46.1</v>
      </c>
      <c r="U252">
        <v>10669709</v>
      </c>
      <c r="V252" s="3">
        <f t="shared" ca="1" si="6"/>
        <v>45882</v>
      </c>
      <c r="W252" s="3">
        <f>DATE(M252,N252,O252)</f>
        <v>23512</v>
      </c>
      <c r="X252" s="5">
        <f t="shared" ca="1" si="7"/>
        <v>61.244369866643119</v>
      </c>
    </row>
    <row r="253" spans="1:24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1797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6">
        <v>21427700000000</v>
      </c>
      <c r="R253">
        <v>78.5</v>
      </c>
      <c r="S253">
        <v>9.6</v>
      </c>
      <c r="T253">
        <v>36.6</v>
      </c>
      <c r="U253">
        <v>328239523</v>
      </c>
      <c r="V253" s="3">
        <f t="shared" ca="1" si="6"/>
        <v>45882</v>
      </c>
      <c r="W253" s="3">
        <f>DATE(M253,N253,O253)</f>
        <v>25834</v>
      </c>
      <c r="X253" s="5">
        <f t="shared" ca="1" si="7"/>
        <v>54.888432580424364</v>
      </c>
    </row>
    <row r="254" spans="1:24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1797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6">
        <v>19910000000000</v>
      </c>
      <c r="R254">
        <v>77</v>
      </c>
      <c r="S254">
        <v>9.4</v>
      </c>
      <c r="T254">
        <v>59.2</v>
      </c>
      <c r="U254">
        <v>1397715000</v>
      </c>
      <c r="V254" s="3">
        <f t="shared" ca="1" si="6"/>
        <v>45882</v>
      </c>
      <c r="W254" s="3">
        <f>DATE(M254,N254,O254)</f>
        <v>25903</v>
      </c>
      <c r="X254" s="5">
        <f t="shared" ca="1" si="7"/>
        <v>54.699520876112253</v>
      </c>
    </row>
    <row r="255" spans="1:24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1796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6">
        <v>21427700000000</v>
      </c>
      <c r="R255">
        <v>78.5</v>
      </c>
      <c r="S255">
        <v>9.6</v>
      </c>
      <c r="T255">
        <v>36.6</v>
      </c>
      <c r="U255">
        <v>328239523</v>
      </c>
      <c r="V255" s="3">
        <f t="shared" ca="1" si="6"/>
        <v>45882</v>
      </c>
      <c r="W255" s="3">
        <f>DATE(M255,N255,O255)</f>
        <v>18763</v>
      </c>
      <c r="X255" s="5">
        <f t="shared" ca="1" si="7"/>
        <v>74.247097904650659</v>
      </c>
    </row>
    <row r="256" spans="1:24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1797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6">
        <v>2029000000000</v>
      </c>
      <c r="R256">
        <v>82.6</v>
      </c>
      <c r="S256">
        <v>15.6</v>
      </c>
      <c r="T256">
        <v>33.200000000000003</v>
      </c>
      <c r="U256">
        <v>51709098</v>
      </c>
      <c r="V256" s="3">
        <f t="shared" ca="1" si="6"/>
        <v>45882</v>
      </c>
      <c r="W256" s="3">
        <f>DATE(M256,N256,O256)</f>
        <v>25012</v>
      </c>
      <c r="X256" s="5">
        <f t="shared" ca="1" si="7"/>
        <v>57.137597356620248</v>
      </c>
    </row>
    <row r="257" spans="1:24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1797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6">
        <v>21427700000000</v>
      </c>
      <c r="R257">
        <v>78.5</v>
      </c>
      <c r="S257">
        <v>9.6</v>
      </c>
      <c r="T257">
        <v>36.6</v>
      </c>
      <c r="U257">
        <v>328239523</v>
      </c>
      <c r="V257" s="3">
        <f t="shared" ca="1" si="6"/>
        <v>45882</v>
      </c>
      <c r="W257" s="3">
        <f>DATE(M257,N257,O257)</f>
        <v>25098</v>
      </c>
      <c r="X257" s="5">
        <f t="shared" ca="1" si="7"/>
        <v>56.90214774604673</v>
      </c>
    </row>
    <row r="258" spans="1:24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1797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6">
        <v>21427700000000</v>
      </c>
      <c r="R258">
        <v>78.5</v>
      </c>
      <c r="S258">
        <v>9.6</v>
      </c>
      <c r="T258">
        <v>36.6</v>
      </c>
      <c r="U258">
        <v>328239523</v>
      </c>
      <c r="V258" s="3">
        <f t="shared" ca="1" si="6"/>
        <v>45882</v>
      </c>
      <c r="W258" s="3">
        <f>DATE(M258,N258,O258)</f>
        <v>18716</v>
      </c>
      <c r="X258" s="5">
        <f t="shared" ca="1" si="7"/>
        <v>74.375775717310361</v>
      </c>
    </row>
    <row r="259" spans="1:24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1797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6">
        <v>1699876578871</v>
      </c>
      <c r="R259">
        <v>72.7</v>
      </c>
      <c r="S259">
        <v>11.4</v>
      </c>
      <c r="T259">
        <v>46.2</v>
      </c>
      <c r="U259">
        <v>144373535</v>
      </c>
      <c r="V259" s="3">
        <f t="shared" ref="V259:V322" ca="1" si="8">TODAY()</f>
        <v>45882</v>
      </c>
      <c r="W259" s="3">
        <f>DATE(M259,N259,O259)</f>
        <v>24137</v>
      </c>
      <c r="X259" s="5">
        <f t="shared" ref="X259:X322" ca="1" si="9">YEARFRAC(W259,V259, 1)</f>
        <v>59.534565366187543</v>
      </c>
    </row>
    <row r="260" spans="1:24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1797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6">
        <v>446314739528</v>
      </c>
      <c r="R260">
        <v>81.599999999999994</v>
      </c>
      <c r="S260">
        <v>25.4</v>
      </c>
      <c r="T260">
        <v>51.4</v>
      </c>
      <c r="U260">
        <v>8877067</v>
      </c>
      <c r="V260" s="3">
        <f t="shared" ca="1" si="8"/>
        <v>45882</v>
      </c>
      <c r="W260" s="3">
        <f>DATE(M260,N260,O260)</f>
        <v>26556</v>
      </c>
      <c r="X260" s="5">
        <f t="shared" ca="1" si="9"/>
        <v>52.910363009531537</v>
      </c>
    </row>
    <row r="261" spans="1:24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1797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6">
        <v>21427700000000</v>
      </c>
      <c r="R261">
        <v>78.5</v>
      </c>
      <c r="S261">
        <v>9.6</v>
      </c>
      <c r="T261">
        <v>36.6</v>
      </c>
      <c r="U261">
        <v>328239523</v>
      </c>
      <c r="V261" s="3">
        <f t="shared" ca="1" si="8"/>
        <v>45882</v>
      </c>
      <c r="W261" s="3">
        <f>DATE(M261,N261,O261)</f>
        <v>18227</v>
      </c>
      <c r="X261" s="5">
        <f t="shared" ca="1" si="9"/>
        <v>75.715936566633474</v>
      </c>
    </row>
    <row r="262" spans="1:24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1797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6">
        <v>19910000000000</v>
      </c>
      <c r="R262">
        <v>77</v>
      </c>
      <c r="S262">
        <v>9.4</v>
      </c>
      <c r="T262">
        <v>59.2</v>
      </c>
      <c r="U262">
        <v>1397715000</v>
      </c>
      <c r="V262" s="3">
        <f t="shared" ca="1" si="8"/>
        <v>45882</v>
      </c>
      <c r="W262" s="3">
        <f>DATE(M262,N262,O262)</f>
        <v>20637</v>
      </c>
      <c r="X262" s="5">
        <f t="shared" ca="1" si="9"/>
        <v>69.115691489361694</v>
      </c>
    </row>
    <row r="263" spans="1:24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1797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6">
        <v>19910000000000</v>
      </c>
      <c r="R263">
        <v>77</v>
      </c>
      <c r="S263">
        <v>9.4</v>
      </c>
      <c r="T263">
        <v>59.2</v>
      </c>
      <c r="U263">
        <v>1397715000</v>
      </c>
      <c r="V263" s="3">
        <f t="shared" ca="1" si="8"/>
        <v>45882</v>
      </c>
      <c r="W263" s="3">
        <f>DATE(M263,N263,O263)</f>
        <v>25571</v>
      </c>
      <c r="X263" s="5">
        <f t="shared" ca="1" si="9"/>
        <v>55.60848733744011</v>
      </c>
    </row>
    <row r="264" spans="1:24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1797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6">
        <v>19910000000000</v>
      </c>
      <c r="R264">
        <v>77</v>
      </c>
      <c r="S264">
        <v>9.4</v>
      </c>
      <c r="T264">
        <v>59.2</v>
      </c>
      <c r="U264">
        <v>1397715000</v>
      </c>
      <c r="V264" s="3">
        <f t="shared" ca="1" si="8"/>
        <v>45882</v>
      </c>
      <c r="W264" s="3">
        <f>DATE(M264,N264,O264)</f>
        <v>23590</v>
      </c>
      <c r="X264" s="5">
        <f t="shared" ca="1" si="9"/>
        <v>61.030822220259651</v>
      </c>
    </row>
    <row r="265" spans="1:24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1797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6">
        <v>2715518274227</v>
      </c>
      <c r="R265">
        <v>82.5</v>
      </c>
      <c r="S265">
        <v>24.2</v>
      </c>
      <c r="T265">
        <v>60.7</v>
      </c>
      <c r="U265">
        <v>67059887</v>
      </c>
      <c r="V265" s="3">
        <f t="shared" ca="1" si="8"/>
        <v>45882</v>
      </c>
      <c r="W265" s="3">
        <f>DATE(M265,N265,O265)</f>
        <v>24628</v>
      </c>
      <c r="X265" s="5">
        <f t="shared" ca="1" si="9"/>
        <v>58.189605568445479</v>
      </c>
    </row>
    <row r="266" spans="1:24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1796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6">
        <v>2715518274227</v>
      </c>
      <c r="R266">
        <v>82.5</v>
      </c>
      <c r="S266">
        <v>24.2</v>
      </c>
      <c r="T266">
        <v>60.7</v>
      </c>
      <c r="U266">
        <v>67059887</v>
      </c>
      <c r="V266" s="3">
        <f t="shared" ca="1" si="8"/>
        <v>45882</v>
      </c>
      <c r="W266" s="3">
        <f>DATE(M266,N266,O266)</f>
        <v>29432</v>
      </c>
      <c r="X266" s="5">
        <f t="shared" ca="1" si="9"/>
        <v>45.036305201761699</v>
      </c>
    </row>
    <row r="267" spans="1:24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1797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6">
        <v>21427700000000</v>
      </c>
      <c r="R267">
        <v>78.5</v>
      </c>
      <c r="S267">
        <v>9.6</v>
      </c>
      <c r="T267">
        <v>36.6</v>
      </c>
      <c r="U267">
        <v>328239523</v>
      </c>
      <c r="V267" s="3">
        <f t="shared" ca="1" si="8"/>
        <v>45882</v>
      </c>
      <c r="W267" s="3">
        <f>DATE(M267,N267,O267)</f>
        <v>15758</v>
      </c>
      <c r="X267" s="5">
        <f t="shared" ca="1" si="9"/>
        <v>82.474336983770939</v>
      </c>
    </row>
    <row r="268" spans="1:24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1797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6">
        <v>19910000000000</v>
      </c>
      <c r="R268">
        <v>77</v>
      </c>
      <c r="S268">
        <v>9.4</v>
      </c>
      <c r="T268">
        <v>59.2</v>
      </c>
      <c r="U268">
        <v>1397715000</v>
      </c>
      <c r="V268" s="3">
        <f t="shared" ca="1" si="8"/>
        <v>45882</v>
      </c>
      <c r="W268" s="3">
        <f>DATE(M268,N268,O268)</f>
        <v>25159</v>
      </c>
      <c r="X268" s="5">
        <f t="shared" ca="1" si="9"/>
        <v>56.735142789709698</v>
      </c>
    </row>
    <row r="269" spans="1:24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1797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6">
        <v>19910000000000</v>
      </c>
      <c r="R269">
        <v>77</v>
      </c>
      <c r="S269">
        <v>9.4</v>
      </c>
      <c r="T269">
        <v>59.2</v>
      </c>
      <c r="U269">
        <v>1397715000</v>
      </c>
      <c r="V269" s="3">
        <f t="shared" ca="1" si="8"/>
        <v>45882</v>
      </c>
      <c r="W269" s="3">
        <f>DATE(M269,N269,O269)</f>
        <v>18872</v>
      </c>
      <c r="X269" s="5">
        <f t="shared" ca="1" si="9"/>
        <v>73.948674892312184</v>
      </c>
    </row>
    <row r="270" spans="1:24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1797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6">
        <v>21427700000000</v>
      </c>
      <c r="R270">
        <v>78.5</v>
      </c>
      <c r="S270">
        <v>9.6</v>
      </c>
      <c r="T270">
        <v>36.6</v>
      </c>
      <c r="U270">
        <v>328239523</v>
      </c>
      <c r="V270" s="3">
        <f t="shared" ca="1" si="8"/>
        <v>45882</v>
      </c>
      <c r="W270" s="3">
        <f>DATE(M270,N270,O270)</f>
        <v>19987</v>
      </c>
      <c r="X270" s="5">
        <f t="shared" ca="1" si="9"/>
        <v>70.896646132785762</v>
      </c>
    </row>
    <row r="271" spans="1:24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1797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6">
        <v>21427700000000</v>
      </c>
      <c r="R271">
        <v>78.5</v>
      </c>
      <c r="S271">
        <v>9.6</v>
      </c>
      <c r="T271">
        <v>36.6</v>
      </c>
      <c r="U271">
        <v>328239523</v>
      </c>
      <c r="V271" s="3">
        <f t="shared" ca="1" si="8"/>
        <v>45882</v>
      </c>
      <c r="W271" s="3">
        <f>DATE(M271,N271,O271)</f>
        <v>20092</v>
      </c>
      <c r="X271" s="5">
        <f t="shared" ca="1" si="9"/>
        <v>70.608491111710947</v>
      </c>
    </row>
    <row r="272" spans="1:24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1797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6">
        <v>403336363636</v>
      </c>
      <c r="R272">
        <v>82.8</v>
      </c>
      <c r="S272">
        <v>23.9</v>
      </c>
      <c r="T272">
        <v>36.200000000000003</v>
      </c>
      <c r="U272">
        <v>5347896</v>
      </c>
      <c r="V272" s="3">
        <f t="shared" ca="1" si="8"/>
        <v>45882</v>
      </c>
      <c r="W272" s="3">
        <f>DATE(M272,N272,O272)</f>
        <v>22455</v>
      </c>
      <c r="X272" s="5">
        <f t="shared" ca="1" si="9"/>
        <v>64.140305800092662</v>
      </c>
    </row>
    <row r="273" spans="1:24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1797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6">
        <v>19910000000000</v>
      </c>
      <c r="R273">
        <v>77</v>
      </c>
      <c r="S273">
        <v>9.4</v>
      </c>
      <c r="T273">
        <v>59.2</v>
      </c>
      <c r="U273">
        <v>1397715000</v>
      </c>
      <c r="V273" s="3">
        <f t="shared" ca="1" si="8"/>
        <v>45882</v>
      </c>
      <c r="W273" s="3">
        <f>DATE(M273,N273,O273)</f>
        <v>25043</v>
      </c>
      <c r="X273" s="5">
        <f t="shared" ca="1" si="9"/>
        <v>57.052725985367005</v>
      </c>
    </row>
    <row r="274" spans="1:24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1797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6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 s="3">
        <f t="shared" ca="1" si="8"/>
        <v>45882</v>
      </c>
      <c r="W274" s="3">
        <f>DATE(M274,N274,O274)</f>
        <v>12316</v>
      </c>
      <c r="X274" s="5">
        <f t="shared" ca="1" si="9"/>
        <v>91.899375883184177</v>
      </c>
    </row>
    <row r="275" spans="1:24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1797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6">
        <v>2827113184696</v>
      </c>
      <c r="R275">
        <v>81.3</v>
      </c>
      <c r="S275">
        <v>25.5</v>
      </c>
      <c r="T275">
        <v>30.6</v>
      </c>
      <c r="U275">
        <v>66834405</v>
      </c>
      <c r="V275" s="3">
        <f t="shared" ca="1" si="8"/>
        <v>45882</v>
      </c>
      <c r="W275" s="3">
        <f>DATE(M275,N275,O275)</f>
        <v>20427</v>
      </c>
      <c r="X275" s="5">
        <f t="shared" ca="1" si="9"/>
        <v>69.691319939844988</v>
      </c>
    </row>
    <row r="276" spans="1:24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1797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6">
        <v>21427700000000</v>
      </c>
      <c r="R276">
        <v>78.5</v>
      </c>
      <c r="S276">
        <v>9.6</v>
      </c>
      <c r="T276">
        <v>36.6</v>
      </c>
      <c r="U276">
        <v>328239523</v>
      </c>
      <c r="V276" s="3">
        <f t="shared" ca="1" si="8"/>
        <v>45882</v>
      </c>
      <c r="W276" s="3">
        <f>DATE(M276,N276,O276)</f>
        <v>29819</v>
      </c>
      <c r="X276" s="5">
        <f t="shared" ca="1" si="9"/>
        <v>43.978766123144311</v>
      </c>
    </row>
    <row r="277" spans="1:24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1797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6">
        <v>372062527489</v>
      </c>
      <c r="R277">
        <v>83.1</v>
      </c>
      <c r="S277">
        <v>13.1</v>
      </c>
      <c r="T277">
        <v>21</v>
      </c>
      <c r="U277">
        <v>5703569</v>
      </c>
      <c r="V277" s="3">
        <f t="shared" ca="1" si="8"/>
        <v>45882</v>
      </c>
      <c r="W277" s="3">
        <f>DATE(M277,N277,O277)</f>
        <v>21551</v>
      </c>
      <c r="X277" s="5">
        <f t="shared" ca="1" si="9"/>
        <v>66.613966982674086</v>
      </c>
    </row>
    <row r="278" spans="1:24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1797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6">
        <v>2827113184696</v>
      </c>
      <c r="R278">
        <v>81.3</v>
      </c>
      <c r="S278">
        <v>25.5</v>
      </c>
      <c r="T278">
        <v>30.6</v>
      </c>
      <c r="U278">
        <v>66834405</v>
      </c>
      <c r="V278" s="3">
        <f t="shared" ca="1" si="8"/>
        <v>45882</v>
      </c>
      <c r="W278" s="3">
        <f>DATE(M278,N278,O278)</f>
        <v>20886</v>
      </c>
      <c r="X278" s="5">
        <f t="shared" ca="1" si="9"/>
        <v>68.435997143083881</v>
      </c>
    </row>
    <row r="279" spans="1:24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1797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6">
        <v>21427700000000</v>
      </c>
      <c r="R279">
        <v>78.5</v>
      </c>
      <c r="S279">
        <v>9.6</v>
      </c>
      <c r="T279">
        <v>36.6</v>
      </c>
      <c r="U279">
        <v>328239523</v>
      </c>
      <c r="V279" s="3">
        <f t="shared" ca="1" si="8"/>
        <v>45882</v>
      </c>
      <c r="W279" s="3">
        <f>DATE(M279,N279,O279)</f>
        <v>13967</v>
      </c>
      <c r="X279" s="5">
        <f t="shared" ca="1" si="9"/>
        <v>87.37850787132102</v>
      </c>
    </row>
    <row r="280" spans="1:24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1796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6">
        <v>19910000000000</v>
      </c>
      <c r="R280">
        <v>77</v>
      </c>
      <c r="S280">
        <v>9.4</v>
      </c>
      <c r="T280">
        <v>59.2</v>
      </c>
      <c r="U280">
        <v>1397715000</v>
      </c>
      <c r="V280" s="3">
        <f t="shared" ca="1" si="8"/>
        <v>45882</v>
      </c>
      <c r="W280" s="3">
        <f>DATE(M280,N280,O280)</f>
        <v>22282</v>
      </c>
      <c r="X280" s="5">
        <f t="shared" ca="1" si="9"/>
        <v>64.613958973926955</v>
      </c>
    </row>
    <row r="281" spans="1:24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1797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6">
        <v>21427700000000</v>
      </c>
      <c r="R281">
        <v>78.5</v>
      </c>
      <c r="S281">
        <v>9.6</v>
      </c>
      <c r="T281">
        <v>36.6</v>
      </c>
      <c r="U281">
        <v>328239523</v>
      </c>
      <c r="V281" s="3">
        <f t="shared" ca="1" si="8"/>
        <v>45882</v>
      </c>
      <c r="W281" s="3">
        <f>DATE(M281,N281,O281)</f>
        <v>15611</v>
      </c>
      <c r="X281" s="5">
        <f t="shared" ca="1" si="9"/>
        <v>82.87748117727584</v>
      </c>
    </row>
    <row r="282" spans="1:24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1797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6">
        <v>21427700000000</v>
      </c>
      <c r="R282">
        <v>78.5</v>
      </c>
      <c r="S282">
        <v>9.6</v>
      </c>
      <c r="T282">
        <v>36.6</v>
      </c>
      <c r="U282">
        <v>328239523</v>
      </c>
      <c r="V282" s="3">
        <f t="shared" ca="1" si="8"/>
        <v>45882</v>
      </c>
      <c r="W282" s="3">
        <f>DATE(M282,N282,O282)</f>
        <v>13914</v>
      </c>
      <c r="X282" s="5">
        <f t="shared" ca="1" si="9"/>
        <v>87.523613963039011</v>
      </c>
    </row>
    <row r="283" spans="1:24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1797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6">
        <v>19910000000000</v>
      </c>
      <c r="R283">
        <v>77</v>
      </c>
      <c r="S283">
        <v>9.4</v>
      </c>
      <c r="T283">
        <v>59.2</v>
      </c>
      <c r="U283">
        <v>1397715000</v>
      </c>
      <c r="V283" s="3">
        <f t="shared" ca="1" si="8"/>
        <v>45882</v>
      </c>
      <c r="W283" s="3">
        <f>DATE(M283,N283,O283)</f>
        <v>23377</v>
      </c>
      <c r="X283" s="5">
        <f t="shared" ca="1" si="9"/>
        <v>61.613971562306808</v>
      </c>
    </row>
    <row r="284" spans="1:24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1797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6">
        <v>21427700000000</v>
      </c>
      <c r="R284">
        <v>78.5</v>
      </c>
      <c r="S284">
        <v>9.6</v>
      </c>
      <c r="T284">
        <v>36.6</v>
      </c>
      <c r="U284">
        <v>328239523</v>
      </c>
      <c r="V284" s="3">
        <f t="shared" ca="1" si="8"/>
        <v>45882</v>
      </c>
      <c r="W284" s="3">
        <f>DATE(M284,N284,O284)</f>
        <v>19995</v>
      </c>
      <c r="X284" s="5">
        <f t="shared" ca="1" si="9"/>
        <v>70.874743326488712</v>
      </c>
    </row>
    <row r="285" spans="1:24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1797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6">
        <v>21427700000000</v>
      </c>
      <c r="R285">
        <v>78.5</v>
      </c>
      <c r="S285">
        <v>9.6</v>
      </c>
      <c r="T285">
        <v>36.6</v>
      </c>
      <c r="U285">
        <v>328239523</v>
      </c>
      <c r="V285" s="3">
        <f t="shared" ca="1" si="8"/>
        <v>45882</v>
      </c>
      <c r="W285" s="3">
        <f>DATE(M285,N285,O285)</f>
        <v>16077</v>
      </c>
      <c r="X285" s="5">
        <f t="shared" ca="1" si="9"/>
        <v>81.600280458081528</v>
      </c>
    </row>
    <row r="286" spans="1:24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1797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6">
        <v>372062527489</v>
      </c>
      <c r="R286">
        <v>83.1</v>
      </c>
      <c r="S286">
        <v>13.1</v>
      </c>
      <c r="T286">
        <v>21</v>
      </c>
      <c r="U286">
        <v>5703569</v>
      </c>
      <c r="V286" s="3">
        <f t="shared" ca="1" si="8"/>
        <v>45882</v>
      </c>
      <c r="W286" s="3">
        <f>DATE(M286,N286,O286)</f>
        <v>25750</v>
      </c>
      <c r="X286" s="5">
        <f t="shared" ca="1" si="9"/>
        <v>55.118412046543462</v>
      </c>
    </row>
    <row r="287" spans="1:24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1797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6">
        <v>21427700000000</v>
      </c>
      <c r="R287">
        <v>78.5</v>
      </c>
      <c r="S287">
        <v>9.6</v>
      </c>
      <c r="T287">
        <v>36.6</v>
      </c>
      <c r="U287">
        <v>328239523</v>
      </c>
      <c r="V287" s="3">
        <f t="shared" ca="1" si="8"/>
        <v>45882</v>
      </c>
      <c r="W287" s="3">
        <f>DATE(M287,N287,O287)</f>
        <v>15712</v>
      </c>
      <c r="X287" s="5">
        <f t="shared" ca="1" si="9"/>
        <v>82.60027708140916</v>
      </c>
    </row>
    <row r="288" spans="1:24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1797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6">
        <v>2827113184696</v>
      </c>
      <c r="R288">
        <v>81.3</v>
      </c>
      <c r="S288">
        <v>25.5</v>
      </c>
      <c r="T288">
        <v>30.6</v>
      </c>
      <c r="U288">
        <v>66834405</v>
      </c>
      <c r="V288" s="3">
        <f t="shared" ca="1" si="8"/>
        <v>45882</v>
      </c>
      <c r="W288" s="3">
        <f>DATE(M288,N288,O288)</f>
        <v>19217</v>
      </c>
      <c r="X288" s="5">
        <f t="shared" ca="1" si="9"/>
        <v>73.003440748825327</v>
      </c>
    </row>
    <row r="289" spans="1:24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1797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6">
        <v>19910000000000</v>
      </c>
      <c r="R289">
        <v>77</v>
      </c>
      <c r="S289">
        <v>9.4</v>
      </c>
      <c r="T289">
        <v>59.2</v>
      </c>
      <c r="U289">
        <v>1397715000</v>
      </c>
      <c r="V289" s="3">
        <f t="shared" ca="1" si="8"/>
        <v>45882</v>
      </c>
      <c r="W289" s="3">
        <f>DATE(M289,N289,O289)</f>
        <v>23377</v>
      </c>
      <c r="X289" s="5">
        <f t="shared" ca="1" si="9"/>
        <v>61.613971562306808</v>
      </c>
    </row>
    <row r="290" spans="1:24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1797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6">
        <v>372062527489</v>
      </c>
      <c r="R290">
        <v>83.1</v>
      </c>
      <c r="S290">
        <v>13.1</v>
      </c>
      <c r="T290">
        <v>21</v>
      </c>
      <c r="U290">
        <v>5703569</v>
      </c>
      <c r="V290" s="3">
        <f t="shared" ca="1" si="8"/>
        <v>45882</v>
      </c>
      <c r="W290" s="3">
        <f>DATE(M290,N290,O290)</f>
        <v>18994</v>
      </c>
      <c r="X290" s="5">
        <f t="shared" ca="1" si="9"/>
        <v>73.61397018017685</v>
      </c>
    </row>
    <row r="291" spans="1:24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1797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6">
        <v>21427700000000</v>
      </c>
      <c r="R291">
        <v>78.5</v>
      </c>
      <c r="S291">
        <v>9.6</v>
      </c>
      <c r="T291">
        <v>36.6</v>
      </c>
      <c r="U291">
        <v>328239523</v>
      </c>
      <c r="V291" s="3">
        <f t="shared" ca="1" si="8"/>
        <v>45882</v>
      </c>
      <c r="W291" s="3">
        <f>DATE(M291,N291,O291)</f>
        <v>18718</v>
      </c>
      <c r="X291" s="5">
        <f t="shared" ca="1" si="9"/>
        <v>74.370300065707823</v>
      </c>
    </row>
    <row r="292" spans="1:24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1797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6">
        <v>303175127598</v>
      </c>
      <c r="R292">
        <v>71.8</v>
      </c>
      <c r="S292">
        <v>12.5</v>
      </c>
      <c r="T292">
        <v>44.4</v>
      </c>
      <c r="U292">
        <v>100388073</v>
      </c>
      <c r="V292" s="3">
        <f t="shared" ca="1" si="8"/>
        <v>45882</v>
      </c>
      <c r="W292" s="3">
        <f>DATE(M292,N292,O292)</f>
        <v>22300</v>
      </c>
      <c r="X292" s="5">
        <f t="shared" ca="1" si="9"/>
        <v>64.564677140811256</v>
      </c>
    </row>
    <row r="293" spans="1:24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1797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6">
        <v>21427700000000</v>
      </c>
      <c r="R293">
        <v>78.5</v>
      </c>
      <c r="S293">
        <v>9.6</v>
      </c>
      <c r="T293">
        <v>36.6</v>
      </c>
      <c r="U293">
        <v>328239523</v>
      </c>
      <c r="V293" s="3">
        <f t="shared" ca="1" si="8"/>
        <v>45882</v>
      </c>
      <c r="W293" s="3">
        <f>DATE(M293,N293,O293)</f>
        <v>15310</v>
      </c>
      <c r="X293" s="5">
        <f t="shared" ca="1" si="9"/>
        <v>83.702248276750623</v>
      </c>
    </row>
    <row r="294" spans="1:24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1797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6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 s="3">
        <f t="shared" ca="1" si="8"/>
        <v>45882</v>
      </c>
      <c r="W294" s="3">
        <f>DATE(M294,N294,O294)</f>
        <v>11475</v>
      </c>
      <c r="X294" s="5">
        <f t="shared" ca="1" si="9"/>
        <v>94.200553330067137</v>
      </c>
    </row>
    <row r="295" spans="1:24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1797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6">
        <v>1699876578871</v>
      </c>
      <c r="R295">
        <v>72.7</v>
      </c>
      <c r="S295">
        <v>11.4</v>
      </c>
      <c r="T295">
        <v>46.2</v>
      </c>
      <c r="U295">
        <v>144373535</v>
      </c>
      <c r="V295" s="3">
        <f t="shared" ca="1" si="8"/>
        <v>45882</v>
      </c>
      <c r="W295" s="3">
        <f>DATE(M295,N295,O295)</f>
        <v>23350</v>
      </c>
      <c r="X295" s="5">
        <f t="shared" ca="1" si="9"/>
        <v>61.688583720829172</v>
      </c>
    </row>
    <row r="296" spans="1:24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1797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6">
        <v>348078018464</v>
      </c>
      <c r="R296">
        <v>81</v>
      </c>
      <c r="S296">
        <v>32.4</v>
      </c>
      <c r="T296">
        <v>23.8</v>
      </c>
      <c r="U296">
        <v>5818553</v>
      </c>
      <c r="V296" s="3">
        <f t="shared" ca="1" si="8"/>
        <v>45882</v>
      </c>
      <c r="W296" s="3">
        <f>DATE(M296,N296,O296)</f>
        <v>26607</v>
      </c>
      <c r="X296" s="5">
        <f t="shared" ca="1" si="9"/>
        <v>52.770736158994119</v>
      </c>
    </row>
    <row r="297" spans="1:24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1797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6">
        <v>376795508680</v>
      </c>
      <c r="R297">
        <v>71.099999999999994</v>
      </c>
      <c r="S297">
        <v>14</v>
      </c>
      <c r="T297">
        <v>43.1</v>
      </c>
      <c r="U297">
        <v>108116615</v>
      </c>
      <c r="V297" s="3">
        <f t="shared" ca="1" si="8"/>
        <v>45882</v>
      </c>
      <c r="W297" s="3">
        <f>DATE(M297,N297,O297)</f>
        <v>21978</v>
      </c>
      <c r="X297" s="5">
        <f t="shared" ca="1" si="9"/>
        <v>65.444227817646322</v>
      </c>
    </row>
    <row r="298" spans="1:24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1796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6">
        <v>19910000000000</v>
      </c>
      <c r="R298">
        <v>77</v>
      </c>
      <c r="S298">
        <v>9.4</v>
      </c>
      <c r="T298">
        <v>59.2</v>
      </c>
      <c r="U298">
        <v>1397715000</v>
      </c>
      <c r="V298" s="3">
        <f t="shared" ca="1" si="8"/>
        <v>45882</v>
      </c>
      <c r="W298" s="3">
        <f>DATE(M298,N298,O298)</f>
        <v>24626</v>
      </c>
      <c r="X298" s="5">
        <f t="shared" ca="1" si="9"/>
        <v>58.195081206496518</v>
      </c>
    </row>
    <row r="299" spans="1:24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1797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6">
        <v>21427700000000</v>
      </c>
      <c r="R299">
        <v>78.5</v>
      </c>
      <c r="S299">
        <v>9.6</v>
      </c>
      <c r="T299">
        <v>36.6</v>
      </c>
      <c r="U299">
        <v>328239523</v>
      </c>
      <c r="V299" s="3">
        <f t="shared" ca="1" si="8"/>
        <v>45882</v>
      </c>
      <c r="W299" s="3">
        <f>DATE(M299,N299,O299)</f>
        <v>21149</v>
      </c>
      <c r="X299" s="5">
        <f t="shared" ca="1" si="9"/>
        <v>67.715935243234668</v>
      </c>
    </row>
    <row r="300" spans="1:24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1797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6">
        <v>21427700000000</v>
      </c>
      <c r="R300">
        <v>78.5</v>
      </c>
      <c r="S300">
        <v>9.6</v>
      </c>
      <c r="T300">
        <v>36.6</v>
      </c>
      <c r="U300">
        <v>328239523</v>
      </c>
      <c r="V300" s="3">
        <f t="shared" ca="1" si="8"/>
        <v>45882</v>
      </c>
      <c r="W300" s="3">
        <f>DATE(M300,N300,O300)</f>
        <v>20068</v>
      </c>
      <c r="X300" s="5">
        <f t="shared" ca="1" si="9"/>
        <v>70.674880219028068</v>
      </c>
    </row>
    <row r="301" spans="1:24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1797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6">
        <v>21427700000000</v>
      </c>
      <c r="R301">
        <v>78.5</v>
      </c>
      <c r="S301">
        <v>9.6</v>
      </c>
      <c r="T301">
        <v>36.6</v>
      </c>
      <c r="U301">
        <v>328239523</v>
      </c>
      <c r="V301" s="3">
        <f t="shared" ca="1" si="8"/>
        <v>45882</v>
      </c>
      <c r="W301" s="3">
        <f>DATE(M301,N301,O301)</f>
        <v>15870</v>
      </c>
      <c r="X301" s="5">
        <f t="shared" ca="1" si="9"/>
        <v>82.167700224303999</v>
      </c>
    </row>
    <row r="302" spans="1:24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1797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6">
        <v>21427700000000</v>
      </c>
      <c r="R302">
        <v>78.5</v>
      </c>
      <c r="S302">
        <v>9.6</v>
      </c>
      <c r="T302">
        <v>36.6</v>
      </c>
      <c r="U302">
        <v>328239523</v>
      </c>
      <c r="V302" s="3">
        <f t="shared" ca="1" si="8"/>
        <v>45882</v>
      </c>
      <c r="W302" s="3">
        <f>DATE(M302,N302,O302)</f>
        <v>16364</v>
      </c>
      <c r="X302" s="5">
        <f t="shared" ca="1" si="9"/>
        <v>80.814530399652767</v>
      </c>
    </row>
    <row r="303" spans="1:24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1797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6">
        <v>421142267938</v>
      </c>
      <c r="R303">
        <v>77.8</v>
      </c>
      <c r="S303">
        <v>0.1</v>
      </c>
      <c r="T303">
        <v>15.9</v>
      </c>
      <c r="U303">
        <v>9770529</v>
      </c>
      <c r="V303" s="3">
        <f t="shared" ca="1" si="8"/>
        <v>45882</v>
      </c>
      <c r="W303" s="3">
        <f>DATE(M303,N303,O303)</f>
        <v>29813</v>
      </c>
      <c r="X303" s="5">
        <f t="shared" ca="1" si="9"/>
        <v>43.995193477731803</v>
      </c>
    </row>
    <row r="304" spans="1:24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1797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6">
        <v>5081769542380</v>
      </c>
      <c r="R304">
        <v>84.2</v>
      </c>
      <c r="S304">
        <v>11.9</v>
      </c>
      <c r="T304">
        <v>46.7</v>
      </c>
      <c r="U304">
        <v>126226568</v>
      </c>
      <c r="V304" s="3">
        <f t="shared" ca="1" si="8"/>
        <v>45882</v>
      </c>
      <c r="W304" s="3">
        <f>DATE(M304,N304,O304)</f>
        <v>22474</v>
      </c>
      <c r="X304" s="5">
        <f t="shared" ca="1" si="9"/>
        <v>64.088286087359421</v>
      </c>
    </row>
    <row r="305" spans="1:24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1797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6">
        <v>19910000000000</v>
      </c>
      <c r="R305">
        <v>77</v>
      </c>
      <c r="S305">
        <v>9.4</v>
      </c>
      <c r="T305">
        <v>59.2</v>
      </c>
      <c r="U305">
        <v>1397715000</v>
      </c>
      <c r="V305" s="3">
        <f t="shared" ca="1" si="8"/>
        <v>45882</v>
      </c>
      <c r="W305" s="3">
        <f>DATE(M305,N305,O305)</f>
        <v>16711</v>
      </c>
      <c r="X305" s="5">
        <f t="shared" ca="1" si="9"/>
        <v>79.866520196045286</v>
      </c>
    </row>
    <row r="306" spans="1:24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1796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6">
        <v>21427700000000</v>
      </c>
      <c r="R306">
        <v>78.5</v>
      </c>
      <c r="S306">
        <v>9.6</v>
      </c>
      <c r="T306">
        <v>36.6</v>
      </c>
      <c r="U306">
        <v>328239523</v>
      </c>
      <c r="V306" s="3">
        <f t="shared" ca="1" si="8"/>
        <v>45882</v>
      </c>
      <c r="W306" s="3">
        <f>DATE(M306,N306,O306)</f>
        <v>15919</v>
      </c>
      <c r="X306" s="5">
        <f t="shared" ca="1" si="9"/>
        <v>82.033546642037209</v>
      </c>
    </row>
    <row r="307" spans="1:24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1797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6">
        <v>446314739528</v>
      </c>
      <c r="R307">
        <v>81.599999999999994</v>
      </c>
      <c r="S307">
        <v>25.4</v>
      </c>
      <c r="T307">
        <v>51.4</v>
      </c>
      <c r="U307">
        <v>8877067</v>
      </c>
      <c r="V307" s="3">
        <f t="shared" ca="1" si="8"/>
        <v>45882</v>
      </c>
      <c r="W307" s="3">
        <f>DATE(M307,N307,O307)</f>
        <v>17170</v>
      </c>
      <c r="X307" s="5">
        <f t="shared" ca="1" si="9"/>
        <v>78.608490729509612</v>
      </c>
    </row>
    <row r="308" spans="1:24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1796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6">
        <v>21427700000000</v>
      </c>
      <c r="R308">
        <v>78.5</v>
      </c>
      <c r="S308">
        <v>9.6</v>
      </c>
      <c r="T308">
        <v>36.6</v>
      </c>
      <c r="U308">
        <v>328239523</v>
      </c>
      <c r="V308" s="3">
        <f t="shared" ca="1" si="8"/>
        <v>45882</v>
      </c>
      <c r="W308" s="3">
        <f>DATE(M308,N308,O308)</f>
        <v>22601</v>
      </c>
      <c r="X308" s="5">
        <f t="shared" ca="1" si="9"/>
        <v>63.740575375931932</v>
      </c>
    </row>
    <row r="309" spans="1:24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1797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6">
        <v>19910000000000</v>
      </c>
      <c r="R309">
        <v>77</v>
      </c>
      <c r="S309">
        <v>9.4</v>
      </c>
      <c r="T309">
        <v>59.2</v>
      </c>
      <c r="U309">
        <v>1397715000</v>
      </c>
      <c r="V309" s="3">
        <f t="shared" ca="1" si="8"/>
        <v>45882</v>
      </c>
      <c r="W309" s="3">
        <f>DATE(M309,N309,O309)</f>
        <v>20803</v>
      </c>
      <c r="X309" s="5">
        <f t="shared" ca="1" si="9"/>
        <v>68.661217146433046</v>
      </c>
    </row>
    <row r="310" spans="1:24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1797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6">
        <v>703082435360</v>
      </c>
      <c r="R310">
        <v>83.6</v>
      </c>
      <c r="S310">
        <v>10.1</v>
      </c>
      <c r="T310">
        <v>28.8</v>
      </c>
      <c r="U310">
        <v>8574832</v>
      </c>
      <c r="V310" s="3">
        <f t="shared" ca="1" si="8"/>
        <v>45882</v>
      </c>
      <c r="W310" s="3">
        <f>DATE(M310,N310,O310)</f>
        <v>18566</v>
      </c>
      <c r="X310" s="5">
        <f t="shared" ca="1" si="9"/>
        <v>74.787132101300486</v>
      </c>
    </row>
    <row r="311" spans="1:24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1797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6">
        <v>372062527489</v>
      </c>
      <c r="R311">
        <v>83.1</v>
      </c>
      <c r="S311">
        <v>13.1</v>
      </c>
      <c r="T311">
        <v>21</v>
      </c>
      <c r="U311">
        <v>5703569</v>
      </c>
      <c r="V311" s="3">
        <f t="shared" ca="1" si="8"/>
        <v>45882</v>
      </c>
      <c r="W311" s="3">
        <f>DATE(M311,N311,O311)</f>
        <v>10603</v>
      </c>
      <c r="X311" s="5">
        <f t="shared" ca="1" si="9"/>
        <v>96.589319484038498</v>
      </c>
    </row>
    <row r="312" spans="1:24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1797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6">
        <v>19910000000000</v>
      </c>
      <c r="R312">
        <v>77</v>
      </c>
      <c r="S312">
        <v>9.4</v>
      </c>
      <c r="T312">
        <v>59.2</v>
      </c>
      <c r="U312">
        <v>1397715000</v>
      </c>
      <c r="V312" s="3">
        <f t="shared" ca="1" si="8"/>
        <v>45882</v>
      </c>
      <c r="W312" s="3">
        <f>DATE(M312,N312,O312)</f>
        <v>18994</v>
      </c>
      <c r="X312" s="5">
        <f t="shared" ca="1" si="9"/>
        <v>73.61397018017685</v>
      </c>
    </row>
    <row r="313" spans="1:24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1797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6">
        <v>21427700000000</v>
      </c>
      <c r="R313">
        <v>78.5</v>
      </c>
      <c r="S313">
        <v>9.6</v>
      </c>
      <c r="T313">
        <v>36.6</v>
      </c>
      <c r="U313">
        <v>328239523</v>
      </c>
      <c r="V313" s="3">
        <f t="shared" ca="1" si="8"/>
        <v>45882</v>
      </c>
      <c r="W313" s="3">
        <f>DATE(M313,N313,O313)</f>
        <v>23645</v>
      </c>
      <c r="X313" s="5">
        <f t="shared" ca="1" si="9"/>
        <v>60.880243751655925</v>
      </c>
    </row>
    <row r="314" spans="1:24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1797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6">
        <v>2827113184696</v>
      </c>
      <c r="R314">
        <v>81.3</v>
      </c>
      <c r="S314">
        <v>25.5</v>
      </c>
      <c r="T314">
        <v>30.6</v>
      </c>
      <c r="U314">
        <v>66834405</v>
      </c>
      <c r="V314" s="3">
        <f t="shared" ca="1" si="8"/>
        <v>45882</v>
      </c>
      <c r="W314" s="3">
        <f>DATE(M314,N314,O314)</f>
        <v>31194</v>
      </c>
      <c r="X314" s="5">
        <f t="shared" ca="1" si="9"/>
        <v>40.214223706176959</v>
      </c>
    </row>
    <row r="315" spans="1:24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1797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6">
        <v>2827113184696</v>
      </c>
      <c r="R315">
        <v>81.3</v>
      </c>
      <c r="S315">
        <v>25.5</v>
      </c>
      <c r="T315">
        <v>30.6</v>
      </c>
      <c r="U315">
        <v>66834405</v>
      </c>
      <c r="V315" s="3">
        <f t="shared" ca="1" si="8"/>
        <v>45882</v>
      </c>
      <c r="W315" s="3">
        <f>DATE(M315,N315,O315)</f>
        <v>30039</v>
      </c>
      <c r="X315" s="5">
        <f t="shared" ca="1" si="9"/>
        <v>43.375770020533878</v>
      </c>
    </row>
    <row r="316" spans="1:24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1797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6">
        <v>21427700000000</v>
      </c>
      <c r="R316">
        <v>78.5</v>
      </c>
      <c r="S316">
        <v>9.6</v>
      </c>
      <c r="T316">
        <v>36.6</v>
      </c>
      <c r="U316">
        <v>328239523</v>
      </c>
      <c r="V316" s="3">
        <f t="shared" ca="1" si="8"/>
        <v>45882</v>
      </c>
      <c r="W316" s="3">
        <f>DATE(M316,N316,O316)</f>
        <v>16641</v>
      </c>
      <c r="X316" s="5">
        <f t="shared" ca="1" si="9"/>
        <v>80.058171370627008</v>
      </c>
    </row>
    <row r="317" spans="1:24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1797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6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 s="3">
        <f t="shared" ca="1" si="8"/>
        <v>45882</v>
      </c>
      <c r="W317" s="3">
        <f>DATE(M317,N317,O317)</f>
        <v>15638</v>
      </c>
      <c r="X317" s="5">
        <f t="shared" ca="1" si="9"/>
        <v>82.803559206023266</v>
      </c>
    </row>
    <row r="318" spans="1:24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1797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6">
        <v>21427700000000</v>
      </c>
      <c r="R318">
        <v>78.5</v>
      </c>
      <c r="S318">
        <v>9.6</v>
      </c>
      <c r="T318">
        <v>36.6</v>
      </c>
      <c r="U318">
        <v>328239523</v>
      </c>
      <c r="V318" s="3">
        <f t="shared" ca="1" si="8"/>
        <v>45882</v>
      </c>
      <c r="W318" s="3">
        <f>DATE(M318,N318,O318)</f>
        <v>14532</v>
      </c>
      <c r="X318" s="5">
        <f t="shared" ca="1" si="9"/>
        <v>85.830946911288038</v>
      </c>
    </row>
    <row r="319" spans="1:24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1796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6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 s="3">
        <f t="shared" ca="1" si="8"/>
        <v>45882</v>
      </c>
      <c r="W319" s="3">
        <f>DATE(M319,N319,O319)</f>
        <v>24629</v>
      </c>
      <c r="X319" s="5">
        <f t="shared" ca="1" si="9"/>
        <v>58.186867749419953</v>
      </c>
    </row>
    <row r="320" spans="1:24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1797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6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 s="3">
        <f t="shared" ca="1" si="8"/>
        <v>45882</v>
      </c>
      <c r="W320" s="3">
        <f>DATE(M320,N320,O320)</f>
        <v>23626</v>
      </c>
      <c r="X320" s="5">
        <f t="shared" ca="1" si="9"/>
        <v>60.932261768082668</v>
      </c>
    </row>
    <row r="321" spans="1:24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1797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6">
        <v>21427700000000</v>
      </c>
      <c r="R321">
        <v>78.5</v>
      </c>
      <c r="S321">
        <v>9.6</v>
      </c>
      <c r="T321">
        <v>36.6</v>
      </c>
      <c r="U321">
        <v>328239523</v>
      </c>
      <c r="V321" s="3">
        <f t="shared" ca="1" si="8"/>
        <v>45882</v>
      </c>
      <c r="W321" s="3">
        <f>DATE(M321,N321,O321)</f>
        <v>19722</v>
      </c>
      <c r="X321" s="5">
        <f t="shared" ca="1" si="9"/>
        <v>71.622848141619471</v>
      </c>
    </row>
    <row r="322" spans="1:24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1797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6">
        <v>21427700000000</v>
      </c>
      <c r="R322">
        <v>78.5</v>
      </c>
      <c r="S322">
        <v>9.6</v>
      </c>
      <c r="T322">
        <v>36.6</v>
      </c>
      <c r="U322">
        <v>328239523</v>
      </c>
      <c r="V322" s="3">
        <f t="shared" ca="1" si="8"/>
        <v>45882</v>
      </c>
      <c r="W322" s="3">
        <f>DATE(M322,N322,O322)</f>
        <v>20348</v>
      </c>
      <c r="X322" s="5">
        <f t="shared" ca="1" si="9"/>
        <v>69.907608066941734</v>
      </c>
    </row>
    <row r="323" spans="1:24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1797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6">
        <v>21427700000000</v>
      </c>
      <c r="R323">
        <v>78.5</v>
      </c>
      <c r="S323">
        <v>9.6</v>
      </c>
      <c r="T323">
        <v>36.6</v>
      </c>
      <c r="U323">
        <v>328239523</v>
      </c>
      <c r="V323" s="3">
        <f t="shared" ref="V323:V386" ca="1" si="10">TODAY()</f>
        <v>45882</v>
      </c>
      <c r="W323" s="3">
        <f>DATE(M323,N323,O323)</f>
        <v>19050</v>
      </c>
      <c r="X323" s="5">
        <f t="shared" ref="X323:X386" ca="1" si="11">YEARFRAC(W323,V323, 1)</f>
        <v>73.460653372303824</v>
      </c>
    </row>
    <row r="324" spans="1:24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1796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6">
        <v>21427700000000</v>
      </c>
      <c r="R324">
        <v>78.5</v>
      </c>
      <c r="S324">
        <v>9.6</v>
      </c>
      <c r="T324">
        <v>36.6</v>
      </c>
      <c r="U324">
        <v>328239523</v>
      </c>
      <c r="V324" s="3">
        <f t="shared" ca="1" si="10"/>
        <v>45882</v>
      </c>
      <c r="W324" s="3">
        <f>DATE(M324,N324,O324)</f>
        <v>13150</v>
      </c>
      <c r="X324" s="5">
        <f t="shared" ca="1" si="11"/>
        <v>89.613968910656169</v>
      </c>
    </row>
    <row r="325" spans="1:24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1796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6">
        <v>21427700000000</v>
      </c>
      <c r="R325">
        <v>78.5</v>
      </c>
      <c r="S325">
        <v>9.6</v>
      </c>
      <c r="T325">
        <v>36.6</v>
      </c>
      <c r="U325">
        <v>328239523</v>
      </c>
      <c r="V325" s="3">
        <f t="shared" ca="1" si="10"/>
        <v>45882</v>
      </c>
      <c r="W325" s="3">
        <f>DATE(M325,N325,O325)</f>
        <v>12420</v>
      </c>
      <c r="X325" s="5">
        <f t="shared" ca="1" si="11"/>
        <v>91.613963039014379</v>
      </c>
    </row>
    <row r="326" spans="1:24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1797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6">
        <v>21427700000000</v>
      </c>
      <c r="R326">
        <v>78.5</v>
      </c>
      <c r="S326">
        <v>9.6</v>
      </c>
      <c r="T326">
        <v>36.6</v>
      </c>
      <c r="U326">
        <v>328239523</v>
      </c>
      <c r="V326" s="3">
        <f t="shared" ca="1" si="10"/>
        <v>45882</v>
      </c>
      <c r="W326" s="3">
        <f>DATE(M326,N326,O326)</f>
        <v>24731</v>
      </c>
      <c r="X326" s="5">
        <f t="shared" ca="1" si="11"/>
        <v>57.907610208816706</v>
      </c>
    </row>
    <row r="327" spans="1:24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1797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6">
        <v>19910000000000</v>
      </c>
      <c r="R327">
        <v>77</v>
      </c>
      <c r="S327">
        <v>9.4</v>
      </c>
      <c r="T327">
        <v>59.2</v>
      </c>
      <c r="U327">
        <v>1397715000</v>
      </c>
      <c r="V327" s="3">
        <f t="shared" ca="1" si="10"/>
        <v>45882</v>
      </c>
      <c r="W327" s="3">
        <f>DATE(M327,N327,O327)</f>
        <v>23642</v>
      </c>
      <c r="X327" s="5">
        <f t="shared" ca="1" si="11"/>
        <v>60.888457122670673</v>
      </c>
    </row>
    <row r="328" spans="1:24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1797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6">
        <v>21427700000000</v>
      </c>
      <c r="R328">
        <v>78.5</v>
      </c>
      <c r="S328">
        <v>9.6</v>
      </c>
      <c r="T328">
        <v>36.6</v>
      </c>
      <c r="U328">
        <v>328239523</v>
      </c>
      <c r="V328" s="3">
        <f t="shared" ca="1" si="10"/>
        <v>45882</v>
      </c>
      <c r="W328" s="3">
        <f>DATE(M328,N328,O328)</f>
        <v>15604</v>
      </c>
      <c r="X328" s="5">
        <f t="shared" ca="1" si="11"/>
        <v>82.896646132785762</v>
      </c>
    </row>
    <row r="329" spans="1:24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1796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6">
        <v>1394116310769</v>
      </c>
      <c r="R329">
        <v>83.3</v>
      </c>
      <c r="S329">
        <v>14.2</v>
      </c>
      <c r="T329">
        <v>47</v>
      </c>
      <c r="U329">
        <v>47076781</v>
      </c>
      <c r="V329" s="3">
        <f t="shared" ca="1" si="10"/>
        <v>45882</v>
      </c>
      <c r="W329" s="3">
        <f>DATE(M329,N329,O329)</f>
        <v>25028</v>
      </c>
      <c r="X329" s="5">
        <f t="shared" ca="1" si="11"/>
        <v>57.093792777908895</v>
      </c>
    </row>
    <row r="330" spans="1:24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1796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6">
        <v>21427700000000</v>
      </c>
      <c r="R330">
        <v>78.5</v>
      </c>
      <c r="S330">
        <v>9.6</v>
      </c>
      <c r="T330">
        <v>36.6</v>
      </c>
      <c r="U330">
        <v>328239523</v>
      </c>
      <c r="V330" s="3">
        <f t="shared" ca="1" si="10"/>
        <v>45882</v>
      </c>
      <c r="W330" s="3">
        <f>DATE(M330,N330,O330)</f>
        <v>19845</v>
      </c>
      <c r="X330" s="5">
        <f t="shared" ca="1" si="11"/>
        <v>71.285420944558524</v>
      </c>
    </row>
    <row r="331" spans="1:24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1796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6">
        <v>21427700000000</v>
      </c>
      <c r="R331">
        <v>78.5</v>
      </c>
      <c r="S331">
        <v>9.6</v>
      </c>
      <c r="T331">
        <v>36.6</v>
      </c>
      <c r="U331">
        <v>328239523</v>
      </c>
      <c r="V331" s="3">
        <f t="shared" ca="1" si="10"/>
        <v>45882</v>
      </c>
      <c r="W331" s="3">
        <f>DATE(M331,N331,O331)</f>
        <v>23445</v>
      </c>
      <c r="X331" s="5">
        <f t="shared" ca="1" si="11"/>
        <v>61.427801819305841</v>
      </c>
    </row>
    <row r="332" spans="1:24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1797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6">
        <v>2001244392042</v>
      </c>
      <c r="R332">
        <v>82.9</v>
      </c>
      <c r="S332">
        <v>24.3</v>
      </c>
      <c r="T332">
        <v>59.1</v>
      </c>
      <c r="U332">
        <v>60297396</v>
      </c>
      <c r="V332" s="3">
        <f t="shared" ca="1" si="10"/>
        <v>45882</v>
      </c>
      <c r="W332" s="3">
        <f>DATE(M332,N332,O332)</f>
        <v>13422</v>
      </c>
      <c r="X332" s="5">
        <f t="shared" ca="1" si="11"/>
        <v>88.86928482341132</v>
      </c>
    </row>
    <row r="333" spans="1:24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1796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6">
        <v>2827113184696</v>
      </c>
      <c r="R333">
        <v>81.3</v>
      </c>
      <c r="S333">
        <v>25.5</v>
      </c>
      <c r="T333">
        <v>30.6</v>
      </c>
      <c r="U333">
        <v>66834405</v>
      </c>
      <c r="V333" s="3">
        <f t="shared" ca="1" si="10"/>
        <v>45882</v>
      </c>
      <c r="W333" s="3">
        <f>DATE(M333,N333,O333)</f>
        <v>24741</v>
      </c>
      <c r="X333" s="5">
        <f t="shared" ca="1" si="11"/>
        <v>57.880232018561486</v>
      </c>
    </row>
    <row r="334" spans="1:24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1797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6">
        <v>21427700000000</v>
      </c>
      <c r="R334">
        <v>78.5</v>
      </c>
      <c r="S334">
        <v>9.6</v>
      </c>
      <c r="T334">
        <v>36.6</v>
      </c>
      <c r="U334">
        <v>328239523</v>
      </c>
      <c r="V334" s="3">
        <f t="shared" ca="1" si="10"/>
        <v>45882</v>
      </c>
      <c r="W334" s="3">
        <f>DATE(M334,N334,O334)</f>
        <v>30256</v>
      </c>
      <c r="X334" s="5">
        <f t="shared" ca="1" si="11"/>
        <v>42.781656399726216</v>
      </c>
    </row>
    <row r="335" spans="1:24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1796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6">
        <v>21427700000000</v>
      </c>
      <c r="R335">
        <v>78.5</v>
      </c>
      <c r="S335">
        <v>9.6</v>
      </c>
      <c r="T335">
        <v>36.6</v>
      </c>
      <c r="U335">
        <v>328239523</v>
      </c>
      <c r="V335" s="3">
        <f t="shared" ca="1" si="10"/>
        <v>45882</v>
      </c>
      <c r="W335" s="3">
        <f>DATE(M335,N335,O335)</f>
        <v>25427</v>
      </c>
      <c r="X335" s="5">
        <f t="shared" ca="1" si="11"/>
        <v>56.003410346318269</v>
      </c>
    </row>
    <row r="336" spans="1:24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1797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6">
        <v>21427700000000</v>
      </c>
      <c r="R336">
        <v>78.5</v>
      </c>
      <c r="S336">
        <v>9.6</v>
      </c>
      <c r="T336">
        <v>36.6</v>
      </c>
      <c r="U336">
        <v>328239523</v>
      </c>
      <c r="V336" s="3">
        <f t="shared" ca="1" si="10"/>
        <v>45882</v>
      </c>
      <c r="W336" s="3">
        <f>DATE(M336,N336,O336)</f>
        <v>23699</v>
      </c>
      <c r="X336" s="5">
        <f t="shared" ca="1" si="11"/>
        <v>60.732403073390444</v>
      </c>
    </row>
    <row r="337" spans="1:24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1797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6">
        <v>21427700000000</v>
      </c>
      <c r="R337">
        <v>78.5</v>
      </c>
      <c r="S337">
        <v>9.6</v>
      </c>
      <c r="T337">
        <v>36.6</v>
      </c>
      <c r="U337">
        <v>328239523</v>
      </c>
      <c r="V337" s="3">
        <f t="shared" ca="1" si="10"/>
        <v>45882</v>
      </c>
      <c r="W337" s="3">
        <f>DATE(M337,N337,O337)</f>
        <v>22596</v>
      </c>
      <c r="X337" s="5">
        <f t="shared" ca="1" si="11"/>
        <v>63.754264774019632</v>
      </c>
    </row>
    <row r="338" spans="1:24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1797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6">
        <v>21427700000000</v>
      </c>
      <c r="R338">
        <v>78.5</v>
      </c>
      <c r="S338">
        <v>9.6</v>
      </c>
      <c r="T338">
        <v>36.6</v>
      </c>
      <c r="U338">
        <v>328239523</v>
      </c>
      <c r="V338" s="3">
        <f t="shared" ca="1" si="10"/>
        <v>45882</v>
      </c>
      <c r="W338" s="3">
        <f>DATE(M338,N338,O338)</f>
        <v>10596</v>
      </c>
      <c r="X338" s="5">
        <f t="shared" ca="1" si="11"/>
        <v>96.608484574783361</v>
      </c>
    </row>
    <row r="339" spans="1:24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1797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6">
        <v>21427700000000</v>
      </c>
      <c r="R339">
        <v>78.5</v>
      </c>
      <c r="S339">
        <v>9.6</v>
      </c>
      <c r="T339">
        <v>36.6</v>
      </c>
      <c r="U339">
        <v>328239523</v>
      </c>
      <c r="V339" s="3">
        <f t="shared" ca="1" si="10"/>
        <v>45882</v>
      </c>
      <c r="W339" s="3">
        <f>DATE(M339,N339,O339)</f>
        <v>25558</v>
      </c>
      <c r="X339" s="5">
        <f t="shared" ca="1" si="11"/>
        <v>55.644747586339399</v>
      </c>
    </row>
    <row r="340" spans="1:24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1797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6">
        <v>21427700000000</v>
      </c>
      <c r="R340">
        <v>78.5</v>
      </c>
      <c r="S340">
        <v>9.6</v>
      </c>
      <c r="T340">
        <v>36.6</v>
      </c>
      <c r="U340">
        <v>328239523</v>
      </c>
      <c r="V340" s="3">
        <f t="shared" ca="1" si="10"/>
        <v>45882</v>
      </c>
      <c r="W340" s="3">
        <f>DATE(M340,N340,O340)</f>
        <v>22477</v>
      </c>
      <c r="X340" s="5">
        <f t="shared" ca="1" si="11"/>
        <v>64.080072448506797</v>
      </c>
    </row>
    <row r="341" spans="1:24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1797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6">
        <v>1699876578871</v>
      </c>
      <c r="R341">
        <v>72.7</v>
      </c>
      <c r="S341">
        <v>11.4</v>
      </c>
      <c r="T341">
        <v>46.2</v>
      </c>
      <c r="U341">
        <v>144373535</v>
      </c>
      <c r="V341" s="3">
        <f t="shared" ca="1" si="10"/>
        <v>45882</v>
      </c>
      <c r="W341" s="3">
        <f>DATE(M341,N341,O341)</f>
        <v>20924</v>
      </c>
      <c r="X341" s="5">
        <f t="shared" ca="1" si="11"/>
        <v>68.33195778112848</v>
      </c>
    </row>
    <row r="342" spans="1:24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1797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6">
        <v>19910000000000</v>
      </c>
      <c r="R342">
        <v>77</v>
      </c>
      <c r="S342">
        <v>9.4</v>
      </c>
      <c r="T342">
        <v>59.2</v>
      </c>
      <c r="U342">
        <v>1397715000</v>
      </c>
      <c r="V342" s="3">
        <f t="shared" ca="1" si="10"/>
        <v>45882</v>
      </c>
      <c r="W342" s="3">
        <f>DATE(M342,N342,O342)</f>
        <v>23725</v>
      </c>
      <c r="X342" s="5">
        <f t="shared" ca="1" si="11"/>
        <v>60.661220524595954</v>
      </c>
    </row>
    <row r="343" spans="1:24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1796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6">
        <v>21427700000000</v>
      </c>
      <c r="R343">
        <v>78.5</v>
      </c>
      <c r="S343">
        <v>9.6</v>
      </c>
      <c r="T343">
        <v>36.6</v>
      </c>
      <c r="U343">
        <v>328239523</v>
      </c>
      <c r="V343" s="3">
        <f t="shared" ca="1" si="10"/>
        <v>45882</v>
      </c>
      <c r="W343" s="3">
        <f>DATE(M343,N343,O343)</f>
        <v>22521</v>
      </c>
      <c r="X343" s="5">
        <f t="shared" ca="1" si="11"/>
        <v>63.959605745335075</v>
      </c>
    </row>
    <row r="344" spans="1:24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1797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6">
        <v>21427700000000</v>
      </c>
      <c r="R344">
        <v>78.5</v>
      </c>
      <c r="S344">
        <v>9.6</v>
      </c>
      <c r="T344">
        <v>36.6</v>
      </c>
      <c r="U344">
        <v>328239523</v>
      </c>
      <c r="V344" s="3">
        <f t="shared" ca="1" si="10"/>
        <v>45882</v>
      </c>
      <c r="W344" s="3">
        <f>DATE(M344,N344,O344)</f>
        <v>18596</v>
      </c>
      <c r="X344" s="5">
        <f t="shared" ca="1" si="11"/>
        <v>74.704996577686515</v>
      </c>
    </row>
    <row r="345" spans="1:24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1797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6">
        <v>2827113184696</v>
      </c>
      <c r="R345">
        <v>81.3</v>
      </c>
      <c r="S345">
        <v>25.5</v>
      </c>
      <c r="T345">
        <v>30.6</v>
      </c>
      <c r="U345">
        <v>66834405</v>
      </c>
      <c r="V345" s="3">
        <f t="shared" ca="1" si="10"/>
        <v>45882</v>
      </c>
      <c r="W345" s="3">
        <f>DATE(M345,N345,O345)</f>
        <v>24407</v>
      </c>
      <c r="X345" s="5">
        <f t="shared" ca="1" si="11"/>
        <v>58.795345653661876</v>
      </c>
    </row>
    <row r="346" spans="1:24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1797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6">
        <v>348078018464</v>
      </c>
      <c r="R346">
        <v>81</v>
      </c>
      <c r="S346">
        <v>32.4</v>
      </c>
      <c r="T346">
        <v>23.8</v>
      </c>
      <c r="U346">
        <v>5818553</v>
      </c>
      <c r="V346" s="3">
        <f t="shared" ca="1" si="10"/>
        <v>45882</v>
      </c>
      <c r="W346" s="3">
        <f>DATE(M346,N346,O346)</f>
        <v>17528</v>
      </c>
      <c r="X346" s="5">
        <f t="shared" ca="1" si="11"/>
        <v>77.628348639750484</v>
      </c>
    </row>
    <row r="347" spans="1:24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1796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6">
        <v>348078018464</v>
      </c>
      <c r="R347">
        <v>81</v>
      </c>
      <c r="S347">
        <v>32.4</v>
      </c>
      <c r="T347">
        <v>23.8</v>
      </c>
      <c r="U347">
        <v>5818553</v>
      </c>
      <c r="V347" s="3">
        <f t="shared" ca="1" si="10"/>
        <v>45882</v>
      </c>
      <c r="W347" s="3">
        <f>DATE(M347,N347,O347)</f>
        <v>27760</v>
      </c>
      <c r="X347" s="5">
        <f t="shared" ca="1" si="11"/>
        <v>49.61397360784099</v>
      </c>
    </row>
    <row r="348" spans="1:24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1797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6">
        <v>348078018464</v>
      </c>
      <c r="R348">
        <v>81</v>
      </c>
      <c r="S348">
        <v>32.4</v>
      </c>
      <c r="T348">
        <v>23.8</v>
      </c>
      <c r="U348">
        <v>5818553</v>
      </c>
      <c r="V348" s="3">
        <f t="shared" ca="1" si="10"/>
        <v>45882</v>
      </c>
      <c r="W348" s="3">
        <f>DATE(M348,N348,O348)</f>
        <v>28856</v>
      </c>
      <c r="X348" s="5">
        <f t="shared" ca="1" si="11"/>
        <v>46.613968660802705</v>
      </c>
    </row>
    <row r="349" spans="1:24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1796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6">
        <v>2001244392042</v>
      </c>
      <c r="R349">
        <v>82.9</v>
      </c>
      <c r="S349">
        <v>24.3</v>
      </c>
      <c r="T349">
        <v>59.1</v>
      </c>
      <c r="U349">
        <v>60297396</v>
      </c>
      <c r="V349" s="3">
        <f t="shared" ca="1" si="10"/>
        <v>45882</v>
      </c>
      <c r="W349" s="3">
        <f>DATE(M349,N349,O349)</f>
        <v>15707</v>
      </c>
      <c r="X349" s="5">
        <f t="shared" ca="1" si="11"/>
        <v>82.613966222456781</v>
      </c>
    </row>
    <row r="350" spans="1:24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1797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6">
        <v>19910000000000</v>
      </c>
      <c r="R350">
        <v>77</v>
      </c>
      <c r="S350">
        <v>9.4</v>
      </c>
      <c r="T350">
        <v>59.2</v>
      </c>
      <c r="U350">
        <v>1397715000</v>
      </c>
      <c r="V350" s="3">
        <f t="shared" ca="1" si="10"/>
        <v>45882</v>
      </c>
      <c r="W350" s="3">
        <f>DATE(M350,N350,O350)</f>
        <v>24838</v>
      </c>
      <c r="X350" s="5">
        <f t="shared" ca="1" si="11"/>
        <v>57.613972150106207</v>
      </c>
    </row>
    <row r="351" spans="1:24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1797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6">
        <v>19910000000000</v>
      </c>
      <c r="R351">
        <v>77</v>
      </c>
      <c r="S351">
        <v>9.4</v>
      </c>
      <c r="T351">
        <v>59.2</v>
      </c>
      <c r="U351">
        <v>1397715000</v>
      </c>
      <c r="V351" s="3">
        <f t="shared" ca="1" si="10"/>
        <v>45882</v>
      </c>
      <c r="W351" s="3">
        <f>DATE(M351,N351,O351)</f>
        <v>22859</v>
      </c>
      <c r="X351" s="5">
        <f t="shared" ca="1" si="11"/>
        <v>63.03353867214237</v>
      </c>
    </row>
    <row r="352" spans="1:24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1796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6">
        <v>703082435360</v>
      </c>
      <c r="R352">
        <v>83.6</v>
      </c>
      <c r="S352">
        <v>10.1</v>
      </c>
      <c r="T352">
        <v>28.8</v>
      </c>
      <c r="U352">
        <v>8574832</v>
      </c>
      <c r="V352" s="3">
        <f t="shared" ca="1" si="10"/>
        <v>45882</v>
      </c>
      <c r="W352" s="3">
        <f>DATE(M352,N352,O352)</f>
        <v>25204</v>
      </c>
      <c r="X352" s="5">
        <f t="shared" ca="1" si="11"/>
        <v>56.613958403381524</v>
      </c>
    </row>
    <row r="353" spans="1:24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1797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6">
        <v>2715518274227</v>
      </c>
      <c r="R353">
        <v>82.5</v>
      </c>
      <c r="S353">
        <v>24.2</v>
      </c>
      <c r="T353">
        <v>60.7</v>
      </c>
      <c r="U353">
        <v>67059887</v>
      </c>
      <c r="V353" s="3">
        <f t="shared" ca="1" si="10"/>
        <v>45882</v>
      </c>
      <c r="W353" s="3">
        <f>DATE(M353,N353,O353)</f>
        <v>24709</v>
      </c>
      <c r="X353" s="5">
        <f t="shared" ca="1" si="11"/>
        <v>57.967842227378192</v>
      </c>
    </row>
    <row r="354" spans="1:24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1797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6">
        <v>21427700000000</v>
      </c>
      <c r="R354">
        <v>78.5</v>
      </c>
      <c r="S354">
        <v>9.6</v>
      </c>
      <c r="T354">
        <v>36.6</v>
      </c>
      <c r="U354">
        <v>328239523</v>
      </c>
      <c r="V354" s="3">
        <f t="shared" ca="1" si="10"/>
        <v>45882</v>
      </c>
      <c r="W354" s="3">
        <f>DATE(M354,N354,O354)</f>
        <v>18714</v>
      </c>
      <c r="X354" s="5">
        <f t="shared" ca="1" si="11"/>
        <v>74.381251368912899</v>
      </c>
    </row>
    <row r="355" spans="1:24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1797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6">
        <v>21427700000000</v>
      </c>
      <c r="R355">
        <v>78.5</v>
      </c>
      <c r="S355">
        <v>9.6</v>
      </c>
      <c r="T355">
        <v>36.6</v>
      </c>
      <c r="U355">
        <v>328239523</v>
      </c>
      <c r="V355" s="3">
        <f t="shared" ca="1" si="10"/>
        <v>45882</v>
      </c>
      <c r="W355" s="3">
        <f>DATE(M355,N355,O355)</f>
        <v>14239</v>
      </c>
      <c r="X355" s="5">
        <f t="shared" ca="1" si="11"/>
        <v>86.633812457221083</v>
      </c>
    </row>
    <row r="356" spans="1:24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1797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6">
        <v>21427700000000</v>
      </c>
      <c r="R356">
        <v>78.5</v>
      </c>
      <c r="S356">
        <v>9.6</v>
      </c>
      <c r="T356">
        <v>36.6</v>
      </c>
      <c r="U356">
        <v>328239523</v>
      </c>
      <c r="V356" s="3">
        <f t="shared" ca="1" si="10"/>
        <v>45882</v>
      </c>
      <c r="W356" s="3">
        <f>DATE(M356,N356,O356)</f>
        <v>14388</v>
      </c>
      <c r="X356" s="5">
        <f t="shared" ca="1" si="11"/>
        <v>86.22519432293798</v>
      </c>
    </row>
    <row r="357" spans="1:24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1797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6">
        <v>21427700000000</v>
      </c>
      <c r="R357">
        <v>78.5</v>
      </c>
      <c r="S357">
        <v>9.6</v>
      </c>
      <c r="T357">
        <v>36.6</v>
      </c>
      <c r="U357">
        <v>328239523</v>
      </c>
      <c r="V357" s="3">
        <f t="shared" ca="1" si="10"/>
        <v>45882</v>
      </c>
      <c r="W357" s="3">
        <f>DATE(M357,N357,O357)</f>
        <v>11182</v>
      </c>
      <c r="X357" s="5">
        <f t="shared" ca="1" si="11"/>
        <v>95.00342231348391</v>
      </c>
    </row>
    <row r="358" spans="1:24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1797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6">
        <v>21427700000000</v>
      </c>
      <c r="R358">
        <v>78.5</v>
      </c>
      <c r="S358">
        <v>9.6</v>
      </c>
      <c r="T358">
        <v>36.6</v>
      </c>
      <c r="U358">
        <v>328239523</v>
      </c>
      <c r="V358" s="3">
        <f t="shared" ca="1" si="10"/>
        <v>45882</v>
      </c>
      <c r="W358" s="3">
        <f>DATE(M358,N358,O358)</f>
        <v>18913</v>
      </c>
      <c r="X358" s="5">
        <f t="shared" ca="1" si="11"/>
        <v>73.836424034460094</v>
      </c>
    </row>
    <row r="359" spans="1:24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1796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6">
        <v>348078018464</v>
      </c>
      <c r="R359">
        <v>81</v>
      </c>
      <c r="S359">
        <v>32.4</v>
      </c>
      <c r="T359">
        <v>23.8</v>
      </c>
      <c r="U359">
        <v>5818553</v>
      </c>
      <c r="V359" s="3">
        <f t="shared" ca="1" si="10"/>
        <v>45882</v>
      </c>
      <c r="W359" s="3">
        <f>DATE(M359,N359,O359)</f>
        <v>30454</v>
      </c>
      <c r="X359" s="5">
        <f t="shared" ca="1" si="11"/>
        <v>42.238889596332612</v>
      </c>
    </row>
    <row r="360" spans="1:24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1797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6">
        <v>21427700000000</v>
      </c>
      <c r="R360">
        <v>78.5</v>
      </c>
      <c r="S360">
        <v>9.6</v>
      </c>
      <c r="T360">
        <v>36.6</v>
      </c>
      <c r="U360">
        <v>328239523</v>
      </c>
      <c r="V360" s="3">
        <f t="shared" ca="1" si="10"/>
        <v>45882</v>
      </c>
      <c r="W360" s="3">
        <f>DATE(M360,N360,O360)</f>
        <v>15200</v>
      </c>
      <c r="X360" s="5">
        <f t="shared" ca="1" si="11"/>
        <v>84.00341428847517</v>
      </c>
    </row>
    <row r="361" spans="1:24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1797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6">
        <v>19910000000000</v>
      </c>
      <c r="R361">
        <v>77</v>
      </c>
      <c r="S361">
        <v>9.4</v>
      </c>
      <c r="T361">
        <v>59.2</v>
      </c>
      <c r="U361">
        <v>1397715000</v>
      </c>
      <c r="V361" s="3">
        <f t="shared" ca="1" si="10"/>
        <v>45882</v>
      </c>
      <c r="W361" s="3">
        <f>DATE(M361,N361,O361)</f>
        <v>21186</v>
      </c>
      <c r="X361" s="5">
        <f t="shared" ca="1" si="11"/>
        <v>67.613963039014379</v>
      </c>
    </row>
    <row r="362" spans="1:24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1796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6">
        <v>703082435360</v>
      </c>
      <c r="R362">
        <v>83.6</v>
      </c>
      <c r="S362">
        <v>10.1</v>
      </c>
      <c r="T362">
        <v>28.8</v>
      </c>
      <c r="U362">
        <v>8574832</v>
      </c>
      <c r="V362" s="3">
        <f t="shared" ca="1" si="10"/>
        <v>45882</v>
      </c>
      <c r="W362" s="3">
        <f>DATE(M362,N362,O362)</f>
        <v>27760</v>
      </c>
      <c r="X362" s="5">
        <f t="shared" ca="1" si="11"/>
        <v>49.61397360784099</v>
      </c>
    </row>
    <row r="363" spans="1:24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1797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6">
        <v>21427700000000</v>
      </c>
      <c r="R363">
        <v>78.5</v>
      </c>
      <c r="S363">
        <v>9.6</v>
      </c>
      <c r="T363">
        <v>36.6</v>
      </c>
      <c r="U363">
        <v>328239523</v>
      </c>
      <c r="V363" s="3">
        <f t="shared" ca="1" si="10"/>
        <v>45882</v>
      </c>
      <c r="W363" s="3">
        <f>DATE(M363,N363,O363)</f>
        <v>19836</v>
      </c>
      <c r="X363" s="5">
        <f t="shared" ca="1" si="11"/>
        <v>71.310061601642715</v>
      </c>
    </row>
    <row r="364" spans="1:24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1797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6">
        <v>21427700000000</v>
      </c>
      <c r="R364">
        <v>78.5</v>
      </c>
      <c r="S364">
        <v>9.6</v>
      </c>
      <c r="T364">
        <v>36.6</v>
      </c>
      <c r="U364">
        <v>328239523</v>
      </c>
      <c r="V364" s="3">
        <f t="shared" ca="1" si="10"/>
        <v>45882</v>
      </c>
      <c r="W364" s="3">
        <f>DATE(M364,N364,O364)</f>
        <v>19419</v>
      </c>
      <c r="X364" s="5">
        <f t="shared" ca="1" si="11"/>
        <v>72.452424708397402</v>
      </c>
    </row>
    <row r="365" spans="1:24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1796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6">
        <v>21427700000000</v>
      </c>
      <c r="R365">
        <v>78.5</v>
      </c>
      <c r="S365">
        <v>9.6</v>
      </c>
      <c r="T365">
        <v>36.6</v>
      </c>
      <c r="U365">
        <v>328239523</v>
      </c>
      <c r="V365" s="3">
        <f t="shared" ca="1" si="10"/>
        <v>45882</v>
      </c>
      <c r="W365" s="3">
        <f>DATE(M365,N365,O365)</f>
        <v>20440</v>
      </c>
      <c r="X365" s="5">
        <f t="shared" ca="1" si="11"/>
        <v>69.655728222727802</v>
      </c>
    </row>
    <row r="366" spans="1:24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1797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6">
        <v>21427700000000</v>
      </c>
      <c r="R366">
        <v>78.5</v>
      </c>
      <c r="S366">
        <v>9.6</v>
      </c>
      <c r="T366">
        <v>36.6</v>
      </c>
      <c r="U366">
        <v>328239523</v>
      </c>
      <c r="V366" s="3">
        <f t="shared" ca="1" si="10"/>
        <v>45882</v>
      </c>
      <c r="W366" s="3">
        <f>DATE(M366,N366,O366)</f>
        <v>16493</v>
      </c>
      <c r="X366" s="5">
        <f t="shared" ca="1" si="11"/>
        <v>80.463376711171193</v>
      </c>
    </row>
    <row r="367" spans="1:24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1797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6">
        <v>21427700000000</v>
      </c>
      <c r="R367">
        <v>78.5</v>
      </c>
      <c r="S367">
        <v>9.6</v>
      </c>
      <c r="T367">
        <v>36.6</v>
      </c>
      <c r="U367">
        <v>328239523</v>
      </c>
      <c r="V367" s="3">
        <f t="shared" ca="1" si="10"/>
        <v>45882</v>
      </c>
      <c r="W367" s="3">
        <f>DATE(M367,N367,O367)</f>
        <v>21831</v>
      </c>
      <c r="X367" s="5">
        <f t="shared" ca="1" si="11"/>
        <v>65.847376593658055</v>
      </c>
    </row>
    <row r="368" spans="1:24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1796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6">
        <v>3845630030824</v>
      </c>
      <c r="R368">
        <v>80.900000000000006</v>
      </c>
      <c r="S368">
        <v>11.5</v>
      </c>
      <c r="T368">
        <v>48.8</v>
      </c>
      <c r="U368">
        <v>83132799</v>
      </c>
      <c r="V368" s="3">
        <f t="shared" ca="1" si="10"/>
        <v>45882</v>
      </c>
      <c r="W368" s="3">
        <f>DATE(M368,N368,O368)</f>
        <v>27766</v>
      </c>
      <c r="X368" s="5">
        <f t="shared" ca="1" si="11"/>
        <v>49.597546952855502</v>
      </c>
    </row>
    <row r="369" spans="1:24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1797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6">
        <v>21427700000000</v>
      </c>
      <c r="R369">
        <v>78.5</v>
      </c>
      <c r="S369">
        <v>9.6</v>
      </c>
      <c r="T369">
        <v>36.6</v>
      </c>
      <c r="U369">
        <v>328239523</v>
      </c>
      <c r="V369" s="3">
        <f t="shared" ca="1" si="10"/>
        <v>45882</v>
      </c>
      <c r="W369" s="3">
        <f>DATE(M369,N369,O369)</f>
        <v>15672</v>
      </c>
      <c r="X369" s="5">
        <f t="shared" ca="1" si="11"/>
        <v>82.710472279260784</v>
      </c>
    </row>
    <row r="370" spans="1:24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1796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6">
        <v>21427700000000</v>
      </c>
      <c r="R370">
        <v>78.5</v>
      </c>
      <c r="S370">
        <v>9.6</v>
      </c>
      <c r="T370">
        <v>36.6</v>
      </c>
      <c r="U370">
        <v>328239523</v>
      </c>
      <c r="V370" s="3">
        <f t="shared" ca="1" si="10"/>
        <v>45882</v>
      </c>
      <c r="W370" s="3">
        <f>DATE(M370,N370,O370)</f>
        <v>23604</v>
      </c>
      <c r="X370" s="5">
        <f t="shared" ca="1" si="11"/>
        <v>60.992493155524159</v>
      </c>
    </row>
    <row r="371" spans="1:24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1796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6">
        <v>21427700000000</v>
      </c>
      <c r="R371">
        <v>78.5</v>
      </c>
      <c r="S371">
        <v>9.6</v>
      </c>
      <c r="T371">
        <v>36.6</v>
      </c>
      <c r="U371">
        <v>328239523</v>
      </c>
      <c r="V371" s="3">
        <f t="shared" ca="1" si="10"/>
        <v>45882</v>
      </c>
      <c r="W371" s="3">
        <f>DATE(M371,N371,O371)</f>
        <v>11016</v>
      </c>
      <c r="X371" s="5">
        <f t="shared" ca="1" si="11"/>
        <v>95.457905544147849</v>
      </c>
    </row>
    <row r="372" spans="1:24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1797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6">
        <v>2827113184696</v>
      </c>
      <c r="R372">
        <v>81.3</v>
      </c>
      <c r="S372">
        <v>25.5</v>
      </c>
      <c r="T372">
        <v>30.6</v>
      </c>
      <c r="U372">
        <v>66834405</v>
      </c>
      <c r="V372" s="3">
        <f t="shared" ca="1" si="10"/>
        <v>45882</v>
      </c>
      <c r="W372" s="3">
        <f>DATE(M372,N372,O372)</f>
        <v>14124</v>
      </c>
      <c r="X372" s="5">
        <f t="shared" ca="1" si="11"/>
        <v>86.948665297741272</v>
      </c>
    </row>
    <row r="373" spans="1:24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1797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6">
        <v>703082435360</v>
      </c>
      <c r="R373">
        <v>83.6</v>
      </c>
      <c r="S373">
        <v>10.1</v>
      </c>
      <c r="T373">
        <v>28.8</v>
      </c>
      <c r="U373">
        <v>8574832</v>
      </c>
      <c r="V373" s="3">
        <f t="shared" ca="1" si="10"/>
        <v>45882</v>
      </c>
      <c r="W373" s="3">
        <f>DATE(M373,N373,O373)</f>
        <v>26045</v>
      </c>
      <c r="X373" s="5">
        <f t="shared" ca="1" si="11"/>
        <v>54.310070187664891</v>
      </c>
    </row>
    <row r="374" spans="1:24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1797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6">
        <v>530832908738</v>
      </c>
      <c r="R374">
        <v>82.5</v>
      </c>
      <c r="S374">
        <v>27.9</v>
      </c>
      <c r="T374">
        <v>49.1</v>
      </c>
      <c r="U374">
        <v>10285453</v>
      </c>
      <c r="V374" s="3">
        <f t="shared" ca="1" si="10"/>
        <v>45882</v>
      </c>
      <c r="W374" s="3">
        <f>DATE(M374,N374,O374)</f>
        <v>18859</v>
      </c>
      <c r="X374" s="5">
        <f t="shared" ca="1" si="11"/>
        <v>73.984266627728701</v>
      </c>
    </row>
    <row r="375" spans="1:24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1797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6">
        <v>21427700000000</v>
      </c>
      <c r="R375">
        <v>78.5</v>
      </c>
      <c r="S375">
        <v>9.6</v>
      </c>
      <c r="T375">
        <v>36.6</v>
      </c>
      <c r="U375">
        <v>328239523</v>
      </c>
      <c r="V375" s="3">
        <f t="shared" ca="1" si="10"/>
        <v>45882</v>
      </c>
      <c r="W375" s="3">
        <f>DATE(M375,N375,O375)</f>
        <v>22016</v>
      </c>
      <c r="X375" s="5">
        <f t="shared" ca="1" si="11"/>
        <v>65.34019164558012</v>
      </c>
    </row>
    <row r="376" spans="1:24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1797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6">
        <v>21427700000000</v>
      </c>
      <c r="R376">
        <v>78.5</v>
      </c>
      <c r="S376">
        <v>9.6</v>
      </c>
      <c r="T376">
        <v>36.6</v>
      </c>
      <c r="U376">
        <v>328239523</v>
      </c>
      <c r="V376" s="3">
        <f t="shared" ca="1" si="10"/>
        <v>45882</v>
      </c>
      <c r="W376" s="3">
        <f>DATE(M376,N376,O376)</f>
        <v>19524</v>
      </c>
      <c r="X376" s="5">
        <f t="shared" ca="1" si="11"/>
        <v>72.164947680306042</v>
      </c>
    </row>
    <row r="377" spans="1:24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1796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6">
        <v>19910000000000</v>
      </c>
      <c r="R377">
        <v>77</v>
      </c>
      <c r="S377">
        <v>9.4</v>
      </c>
      <c r="T377">
        <v>59.2</v>
      </c>
      <c r="U377">
        <v>1397715000</v>
      </c>
      <c r="V377" s="3">
        <f t="shared" ca="1" si="10"/>
        <v>45882</v>
      </c>
      <c r="W377" s="3">
        <f>DATE(M377,N377,O377)</f>
        <v>23316</v>
      </c>
      <c r="X377" s="5">
        <f t="shared" ca="1" si="11"/>
        <v>61.781669636260922</v>
      </c>
    </row>
    <row r="378" spans="1:24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1797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6">
        <v>2715518274227</v>
      </c>
      <c r="R378">
        <v>82.5</v>
      </c>
      <c r="S378">
        <v>24.2</v>
      </c>
      <c r="T378">
        <v>60.7</v>
      </c>
      <c r="U378">
        <v>67059887</v>
      </c>
      <c r="V378" s="3">
        <f t="shared" ca="1" si="10"/>
        <v>45882</v>
      </c>
      <c r="W378" s="3">
        <f>DATE(M378,N378,O378)</f>
        <v>22934</v>
      </c>
      <c r="X378" s="5">
        <f t="shared" ca="1" si="11"/>
        <v>62.828199863107457</v>
      </c>
    </row>
    <row r="379" spans="1:24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1797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6">
        <v>323802808108</v>
      </c>
      <c r="R379">
        <v>77.099999999999994</v>
      </c>
      <c r="S379">
        <v>14.4</v>
      </c>
      <c r="T379">
        <v>71.2</v>
      </c>
      <c r="U379">
        <v>50339443</v>
      </c>
      <c r="V379" s="3">
        <f t="shared" ca="1" si="10"/>
        <v>45882</v>
      </c>
      <c r="W379" s="3">
        <f>DATE(M379,N379,O379)</f>
        <v>12081</v>
      </c>
      <c r="X379" s="5">
        <f t="shared" ca="1" si="11"/>
        <v>92.542775553462079</v>
      </c>
    </row>
    <row r="380" spans="1:24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1797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6">
        <v>21427700000000</v>
      </c>
      <c r="R380">
        <v>78.5</v>
      </c>
      <c r="S380">
        <v>9.6</v>
      </c>
      <c r="T380">
        <v>36.6</v>
      </c>
      <c r="U380">
        <v>328239523</v>
      </c>
      <c r="V380" s="3">
        <f t="shared" ca="1" si="10"/>
        <v>45882</v>
      </c>
      <c r="W380" s="3">
        <f>DATE(M380,N380,O380)</f>
        <v>12627</v>
      </c>
      <c r="X380" s="5">
        <f t="shared" ca="1" si="11"/>
        <v>91.047227926078023</v>
      </c>
    </row>
    <row r="381" spans="1:24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1797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6">
        <v>2827113184696</v>
      </c>
      <c r="R381">
        <v>81.3</v>
      </c>
      <c r="S381">
        <v>25.5</v>
      </c>
      <c r="T381">
        <v>30.6</v>
      </c>
      <c r="U381">
        <v>66834405</v>
      </c>
      <c r="V381" s="3">
        <f t="shared" ca="1" si="10"/>
        <v>45882</v>
      </c>
      <c r="W381" s="3">
        <f>DATE(M381,N381,O381)</f>
        <v>16733</v>
      </c>
      <c r="X381" s="5">
        <f t="shared" ca="1" si="11"/>
        <v>79.806286969748172</v>
      </c>
    </row>
    <row r="382" spans="1:24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1797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6">
        <v>19910000000000</v>
      </c>
      <c r="R382">
        <v>77</v>
      </c>
      <c r="S382">
        <v>9.4</v>
      </c>
      <c r="T382">
        <v>59.2</v>
      </c>
      <c r="U382">
        <v>1397715000</v>
      </c>
      <c r="V382" s="3">
        <f t="shared" ca="1" si="10"/>
        <v>45882</v>
      </c>
      <c r="W382" s="3">
        <f>DATE(M382,N382,O382)</f>
        <v>23743</v>
      </c>
      <c r="X382" s="5">
        <f t="shared" ca="1" si="11"/>
        <v>60.613958707360865</v>
      </c>
    </row>
    <row r="383" spans="1:24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1797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6">
        <v>2827113184696</v>
      </c>
      <c r="R383">
        <v>81.3</v>
      </c>
      <c r="S383">
        <v>25.5</v>
      </c>
      <c r="T383">
        <v>30.6</v>
      </c>
      <c r="U383">
        <v>66834405</v>
      </c>
      <c r="V383" s="3">
        <f t="shared" ca="1" si="10"/>
        <v>45882</v>
      </c>
      <c r="W383" s="3">
        <f>DATE(M383,N383,O383)</f>
        <v>20607</v>
      </c>
      <c r="X383" s="5">
        <f t="shared" ca="1" si="11"/>
        <v>69.19782540675844</v>
      </c>
    </row>
    <row r="384" spans="1:24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1797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6">
        <v>2715518274227</v>
      </c>
      <c r="R384">
        <v>82.5</v>
      </c>
      <c r="S384">
        <v>24.2</v>
      </c>
      <c r="T384">
        <v>60.7</v>
      </c>
      <c r="U384">
        <v>67059887</v>
      </c>
      <c r="V384" s="3">
        <f t="shared" ca="1" si="10"/>
        <v>45882</v>
      </c>
      <c r="W384" s="3">
        <f>DATE(M384,N384,O384)</f>
        <v>13881</v>
      </c>
      <c r="X384" s="5">
        <f t="shared" ca="1" si="11"/>
        <v>87.613963039014379</v>
      </c>
    </row>
    <row r="385" spans="1:24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1797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6">
        <v>19910000000000</v>
      </c>
      <c r="R385">
        <v>77</v>
      </c>
      <c r="S385">
        <v>9.4</v>
      </c>
      <c r="T385">
        <v>59.2</v>
      </c>
      <c r="U385">
        <v>1397715000</v>
      </c>
      <c r="V385" s="3">
        <f t="shared" ca="1" si="10"/>
        <v>45882</v>
      </c>
      <c r="W385" s="3">
        <f>DATE(M385,N385,O385)</f>
        <v>23447</v>
      </c>
      <c r="X385" s="5">
        <f t="shared" ca="1" si="11"/>
        <v>61.422326238629338</v>
      </c>
    </row>
    <row r="386" spans="1:24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1797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6">
        <v>395098666122</v>
      </c>
      <c r="R386">
        <v>82.8</v>
      </c>
      <c r="S386">
        <v>23.1</v>
      </c>
      <c r="T386">
        <v>25.3</v>
      </c>
      <c r="U386">
        <v>9053300</v>
      </c>
      <c r="V386" s="3">
        <f t="shared" ca="1" si="10"/>
        <v>45882</v>
      </c>
      <c r="W386" s="3">
        <f>DATE(M386,N386,O386)</f>
        <v>9694</v>
      </c>
      <c r="X386" s="5">
        <f t="shared" ca="1" si="11"/>
        <v>99.077344284736483</v>
      </c>
    </row>
    <row r="387" spans="1:24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1796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6">
        <v>1258286717125</v>
      </c>
      <c r="R387">
        <v>75</v>
      </c>
      <c r="S387">
        <v>13.1</v>
      </c>
      <c r="T387">
        <v>55.1</v>
      </c>
      <c r="U387">
        <v>126014024</v>
      </c>
      <c r="V387" s="3">
        <f t="shared" ref="V387:V450" ca="1" si="12">TODAY()</f>
        <v>45882</v>
      </c>
      <c r="W387" s="3">
        <f>DATE(M387,N387,O387)</f>
        <v>23133</v>
      </c>
      <c r="X387" s="5">
        <f t="shared" ref="X387:X450" ca="1" si="13">YEARFRAC(W387,V387, 1)</f>
        <v>62.282690886967103</v>
      </c>
    </row>
    <row r="388" spans="1:24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1797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6">
        <v>530832908738</v>
      </c>
      <c r="R388">
        <v>82.5</v>
      </c>
      <c r="S388">
        <v>27.9</v>
      </c>
      <c r="T388">
        <v>49.1</v>
      </c>
      <c r="U388">
        <v>10285453</v>
      </c>
      <c r="V388" s="3">
        <f t="shared" ca="1" si="12"/>
        <v>45882</v>
      </c>
      <c r="W388" s="3">
        <f>DATE(M388,N388,O388)</f>
        <v>13942</v>
      </c>
      <c r="X388" s="5">
        <f t="shared" ca="1" si="13"/>
        <v>87.44695414099931</v>
      </c>
    </row>
    <row r="389" spans="1:24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1797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6">
        <v>909070395161</v>
      </c>
      <c r="R389">
        <v>81.8</v>
      </c>
      <c r="S389">
        <v>23</v>
      </c>
      <c r="T389">
        <v>41.2</v>
      </c>
      <c r="U389">
        <v>17332850</v>
      </c>
      <c r="V389" s="3">
        <f t="shared" ca="1" si="12"/>
        <v>45882</v>
      </c>
      <c r="W389" s="3">
        <f>DATE(M389,N389,O389)</f>
        <v>12268</v>
      </c>
      <c r="X389" s="5">
        <f t="shared" ca="1" si="13"/>
        <v>92.030793688177113</v>
      </c>
    </row>
    <row r="390" spans="1:24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1797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6">
        <v>19910000000000</v>
      </c>
      <c r="R390">
        <v>77</v>
      </c>
      <c r="S390">
        <v>9.4</v>
      </c>
      <c r="T390">
        <v>59.2</v>
      </c>
      <c r="U390">
        <v>1397715000</v>
      </c>
      <c r="V390" s="3">
        <f t="shared" ca="1" si="12"/>
        <v>45882</v>
      </c>
      <c r="W390" s="3">
        <f>DATE(M390,N390,O390)</f>
        <v>23377</v>
      </c>
      <c r="X390" s="5">
        <f t="shared" ca="1" si="13"/>
        <v>61.613971562306808</v>
      </c>
    </row>
    <row r="391" spans="1:24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1797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6">
        <v>19910000000000</v>
      </c>
      <c r="R391">
        <v>77</v>
      </c>
      <c r="S391">
        <v>9.4</v>
      </c>
      <c r="T391">
        <v>59.2</v>
      </c>
      <c r="U391">
        <v>1397715000</v>
      </c>
      <c r="V391" s="3">
        <f t="shared" ca="1" si="12"/>
        <v>45882</v>
      </c>
      <c r="W391" s="3">
        <f>DATE(M391,N391,O391)</f>
        <v>23377</v>
      </c>
      <c r="X391" s="5">
        <f t="shared" ca="1" si="13"/>
        <v>61.613971562306808</v>
      </c>
    </row>
    <row r="392" spans="1:24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1797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6">
        <v>19910000000000</v>
      </c>
      <c r="R392">
        <v>77</v>
      </c>
      <c r="S392">
        <v>9.4</v>
      </c>
      <c r="T392">
        <v>59.2</v>
      </c>
      <c r="U392">
        <v>1397715000</v>
      </c>
      <c r="V392" s="3">
        <f t="shared" ca="1" si="12"/>
        <v>45882</v>
      </c>
      <c r="W392" s="3">
        <f>DATE(M392,N392,O392)</f>
        <v>26299</v>
      </c>
      <c r="X392" s="5">
        <f t="shared" ca="1" si="13"/>
        <v>53.613972824984792</v>
      </c>
    </row>
    <row r="393" spans="1:24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1797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6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 s="3">
        <f t="shared" ca="1" si="12"/>
        <v>45882</v>
      </c>
      <c r="W393" s="3">
        <f>DATE(M393,N393,O393)</f>
        <v>22838</v>
      </c>
      <c r="X393" s="5">
        <f t="shared" ca="1" si="13"/>
        <v>63.091033538672143</v>
      </c>
    </row>
    <row r="394" spans="1:24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1797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6">
        <v>448120428859</v>
      </c>
      <c r="R394">
        <v>54.3</v>
      </c>
      <c r="S394">
        <v>1.5</v>
      </c>
      <c r="T394">
        <v>34.799999999999997</v>
      </c>
      <c r="U394">
        <v>200963599</v>
      </c>
      <c r="V394" s="3">
        <f t="shared" ca="1" si="12"/>
        <v>45882</v>
      </c>
      <c r="W394" s="3">
        <f>DATE(M394,N394,O394)</f>
        <v>19478</v>
      </c>
      <c r="X394" s="5">
        <f t="shared" ca="1" si="13"/>
        <v>72.290889997374634</v>
      </c>
    </row>
    <row r="395" spans="1:24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1797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6">
        <v>21427700000000</v>
      </c>
      <c r="R395">
        <v>78.5</v>
      </c>
      <c r="S395">
        <v>9.6</v>
      </c>
      <c r="T395">
        <v>36.6</v>
      </c>
      <c r="U395">
        <v>328239523</v>
      </c>
      <c r="V395" s="3">
        <f t="shared" ca="1" si="12"/>
        <v>45882</v>
      </c>
      <c r="W395" s="3">
        <f>DATE(M395,N395,O395)</f>
        <v>23589</v>
      </c>
      <c r="X395" s="5">
        <f t="shared" ca="1" si="13"/>
        <v>61.033560010597903</v>
      </c>
    </row>
    <row r="396" spans="1:24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1797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6">
        <v>3845630030824</v>
      </c>
      <c r="R396">
        <v>80.900000000000006</v>
      </c>
      <c r="S396">
        <v>11.5</v>
      </c>
      <c r="T396">
        <v>48.8</v>
      </c>
      <c r="U396">
        <v>83132799</v>
      </c>
      <c r="V396" s="3">
        <f t="shared" ca="1" si="12"/>
        <v>45882</v>
      </c>
      <c r="W396" s="3">
        <f>DATE(M396,N396,O396)</f>
        <v>15977</v>
      </c>
      <c r="X396" s="5">
        <f t="shared" ca="1" si="13"/>
        <v>81.87475260588468</v>
      </c>
    </row>
    <row r="397" spans="1:24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1797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6">
        <v>3845630030824</v>
      </c>
      <c r="R397">
        <v>80.900000000000006</v>
      </c>
      <c r="S397">
        <v>11.5</v>
      </c>
      <c r="T397">
        <v>48.8</v>
      </c>
      <c r="U397">
        <v>83132799</v>
      </c>
      <c r="V397" s="3">
        <f t="shared" ca="1" si="12"/>
        <v>45882</v>
      </c>
      <c r="W397" s="3">
        <f>DATE(M397,N397,O397)</f>
        <v>18629</v>
      </c>
      <c r="X397" s="5">
        <f t="shared" ca="1" si="13"/>
        <v>74.613966562020877</v>
      </c>
    </row>
    <row r="398" spans="1:24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1797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6">
        <v>1699876578871</v>
      </c>
      <c r="R398">
        <v>72.7</v>
      </c>
      <c r="S398">
        <v>11.4</v>
      </c>
      <c r="T398">
        <v>46.2</v>
      </c>
      <c r="U398">
        <v>144373535</v>
      </c>
      <c r="V398" s="3">
        <f t="shared" ca="1" si="12"/>
        <v>45882</v>
      </c>
      <c r="W398" s="3">
        <f>DATE(M398,N398,O398)</f>
        <v>21601</v>
      </c>
      <c r="X398" s="5">
        <f t="shared" ca="1" si="13"/>
        <v>66.477075841778358</v>
      </c>
    </row>
    <row r="399" spans="1:24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1797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6">
        <v>21427700000000</v>
      </c>
      <c r="R399">
        <v>78.5</v>
      </c>
      <c r="S399">
        <v>9.6</v>
      </c>
      <c r="T399">
        <v>36.6</v>
      </c>
      <c r="U399">
        <v>328239523</v>
      </c>
      <c r="V399" s="3">
        <f t="shared" ca="1" si="12"/>
        <v>45882</v>
      </c>
      <c r="W399" s="3">
        <f>DATE(M399,N399,O399)</f>
        <v>13892</v>
      </c>
      <c r="X399" s="5">
        <f t="shared" ca="1" si="13"/>
        <v>87.583846680355919</v>
      </c>
    </row>
    <row r="400" spans="1:24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1797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6">
        <v>1736425629520</v>
      </c>
      <c r="R400">
        <v>81.900000000000006</v>
      </c>
      <c r="S400">
        <v>12.8</v>
      </c>
      <c r="T400">
        <v>24.5</v>
      </c>
      <c r="U400">
        <v>36991981</v>
      </c>
      <c r="V400" s="3">
        <f t="shared" ca="1" si="12"/>
        <v>45882</v>
      </c>
      <c r="W400" s="3">
        <f>DATE(M400,N400,O400)</f>
        <v>17947</v>
      </c>
      <c r="X400" s="5">
        <f t="shared" ca="1" si="13"/>
        <v>76.482541601479156</v>
      </c>
    </row>
    <row r="401" spans="1:24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1797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6">
        <v>21427700000000</v>
      </c>
      <c r="R401">
        <v>78.5</v>
      </c>
      <c r="S401">
        <v>9.6</v>
      </c>
      <c r="T401">
        <v>36.6</v>
      </c>
      <c r="U401">
        <v>328239523</v>
      </c>
      <c r="V401" s="3">
        <f t="shared" ca="1" si="12"/>
        <v>45882</v>
      </c>
      <c r="W401" s="3">
        <f>DATE(M401,N401,O401)</f>
        <v>21788</v>
      </c>
      <c r="X401" s="5">
        <f t="shared" ca="1" si="13"/>
        <v>65.965102974828383</v>
      </c>
    </row>
    <row r="402" spans="1:24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1797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6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 s="3">
        <f t="shared" ca="1" si="12"/>
        <v>45882</v>
      </c>
      <c r="W402" s="3">
        <f>DATE(M402,N402,O402)</f>
        <v>21186</v>
      </c>
      <c r="X402" s="5">
        <f t="shared" ca="1" si="13"/>
        <v>67.613963039014379</v>
      </c>
    </row>
    <row r="403" spans="1:24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1797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6">
        <v>543649976166</v>
      </c>
      <c r="R403">
        <v>76.900000000000006</v>
      </c>
      <c r="S403">
        <v>14.9</v>
      </c>
      <c r="T403">
        <v>29.5</v>
      </c>
      <c r="U403">
        <v>69625582</v>
      </c>
      <c r="V403" s="3">
        <f t="shared" ca="1" si="12"/>
        <v>45882</v>
      </c>
      <c r="W403" s="3">
        <f>DATE(M403,N403,O403)</f>
        <v>12725</v>
      </c>
      <c r="X403" s="5">
        <f t="shared" ca="1" si="13"/>
        <v>90.778918548939089</v>
      </c>
    </row>
    <row r="404" spans="1:24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1797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6">
        <v>395098666122</v>
      </c>
      <c r="R404">
        <v>82.8</v>
      </c>
      <c r="S404">
        <v>23.1</v>
      </c>
      <c r="T404">
        <v>25.3</v>
      </c>
      <c r="U404">
        <v>9053300</v>
      </c>
      <c r="V404" s="3">
        <f t="shared" ca="1" si="12"/>
        <v>45882</v>
      </c>
      <c r="W404" s="3">
        <f>DATE(M404,N404,O404)</f>
        <v>11253</v>
      </c>
      <c r="X404" s="5">
        <f t="shared" ca="1" si="13"/>
        <v>94.809034907597535</v>
      </c>
    </row>
    <row r="405" spans="1:24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1797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6">
        <v>21427700000000</v>
      </c>
      <c r="R405">
        <v>78.5</v>
      </c>
      <c r="S405">
        <v>9.6</v>
      </c>
      <c r="T405">
        <v>36.6</v>
      </c>
      <c r="U405">
        <v>328239523</v>
      </c>
      <c r="V405" s="3">
        <f t="shared" ca="1" si="12"/>
        <v>45882</v>
      </c>
      <c r="W405" s="3">
        <f>DATE(M405,N405,O405)</f>
        <v>16987</v>
      </c>
      <c r="X405" s="5">
        <f t="shared" ca="1" si="13"/>
        <v>79.110198494182072</v>
      </c>
    </row>
    <row r="406" spans="1:24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1797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6">
        <v>21427700000000</v>
      </c>
      <c r="R406">
        <v>78.5</v>
      </c>
      <c r="S406">
        <v>9.6</v>
      </c>
      <c r="T406">
        <v>36.6</v>
      </c>
      <c r="U406">
        <v>328239523</v>
      </c>
      <c r="V406" s="3">
        <f t="shared" ca="1" si="12"/>
        <v>45882</v>
      </c>
      <c r="W406" s="3">
        <f>DATE(M406,N406,O406)</f>
        <v>18811</v>
      </c>
      <c r="X406" s="5">
        <f t="shared" ca="1" si="13"/>
        <v>74.11568226618968</v>
      </c>
    </row>
    <row r="407" spans="1:24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1797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6">
        <v>21427700000000</v>
      </c>
      <c r="R407">
        <v>78.5</v>
      </c>
      <c r="S407">
        <v>9.6</v>
      </c>
      <c r="T407">
        <v>36.6</v>
      </c>
      <c r="U407">
        <v>328239523</v>
      </c>
      <c r="V407" s="3">
        <f t="shared" ca="1" si="12"/>
        <v>45882</v>
      </c>
      <c r="W407" s="3">
        <f>DATE(M407,N407,O407)</f>
        <v>13766</v>
      </c>
      <c r="X407" s="5">
        <f t="shared" ca="1" si="13"/>
        <v>87.92949210939183</v>
      </c>
    </row>
    <row r="408" spans="1:24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1797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6">
        <v>19910000000000</v>
      </c>
      <c r="R408">
        <v>77</v>
      </c>
      <c r="S408">
        <v>9.4</v>
      </c>
      <c r="T408">
        <v>59.2</v>
      </c>
      <c r="U408">
        <v>1397715000</v>
      </c>
      <c r="V408" s="3">
        <f t="shared" ca="1" si="12"/>
        <v>45882</v>
      </c>
      <c r="W408" s="3">
        <f>DATE(M408,N408,O408)</f>
        <v>23012</v>
      </c>
      <c r="X408" s="5">
        <f t="shared" ca="1" si="13"/>
        <v>62.613967233062446</v>
      </c>
    </row>
    <row r="409" spans="1:24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1797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6">
        <v>543649976166</v>
      </c>
      <c r="R409">
        <v>76.900000000000006</v>
      </c>
      <c r="S409">
        <v>14.9</v>
      </c>
      <c r="T409">
        <v>29.5</v>
      </c>
      <c r="U409">
        <v>69625582</v>
      </c>
      <c r="V409" s="3">
        <f t="shared" ca="1" si="12"/>
        <v>45882</v>
      </c>
      <c r="W409" s="3">
        <f>DATE(M409,N409,O409)</f>
        <v>11049</v>
      </c>
      <c r="X409" s="5">
        <f t="shared" ca="1" si="13"/>
        <v>95.367556468172481</v>
      </c>
    </row>
    <row r="410" spans="1:24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1797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6">
        <v>21427700000000</v>
      </c>
      <c r="R410">
        <v>78.5</v>
      </c>
      <c r="S410">
        <v>9.6</v>
      </c>
      <c r="T410">
        <v>36.6</v>
      </c>
      <c r="U410">
        <v>328239523</v>
      </c>
      <c r="V410" s="3">
        <f t="shared" ca="1" si="12"/>
        <v>45882</v>
      </c>
      <c r="W410" s="3">
        <f>DATE(M410,N410,O410)</f>
        <v>22394</v>
      </c>
      <c r="X410" s="5">
        <f t="shared" ca="1" si="13"/>
        <v>64.307316456762564</v>
      </c>
    </row>
    <row r="411" spans="1:24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1797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6">
        <v>21427700000000</v>
      </c>
      <c r="R411">
        <v>78.5</v>
      </c>
      <c r="S411">
        <v>9.6</v>
      </c>
      <c r="T411">
        <v>36.6</v>
      </c>
      <c r="U411">
        <v>328239523</v>
      </c>
      <c r="V411" s="3">
        <f t="shared" ca="1" si="12"/>
        <v>45882</v>
      </c>
      <c r="W411" s="3">
        <f>DATE(M411,N411,O411)</f>
        <v>22201</v>
      </c>
      <c r="X411" s="5">
        <f t="shared" ca="1" si="13"/>
        <v>64.833699755257811</v>
      </c>
    </row>
    <row r="412" spans="1:24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1797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6">
        <v>19910000000000</v>
      </c>
      <c r="R412">
        <v>77</v>
      </c>
      <c r="S412">
        <v>9.4</v>
      </c>
      <c r="T412">
        <v>59.2</v>
      </c>
      <c r="U412">
        <v>1397715000</v>
      </c>
      <c r="V412" s="3">
        <f t="shared" ca="1" si="12"/>
        <v>45882</v>
      </c>
      <c r="W412" s="3">
        <f>DATE(M412,N412,O412)</f>
        <v>20835</v>
      </c>
      <c r="X412" s="5">
        <f t="shared" ca="1" si="13"/>
        <v>68.575628918339817</v>
      </c>
    </row>
    <row r="413" spans="1:24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1797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6">
        <v>21427700000000</v>
      </c>
      <c r="R413">
        <v>78.5</v>
      </c>
      <c r="S413">
        <v>9.6</v>
      </c>
      <c r="T413">
        <v>36.6</v>
      </c>
      <c r="U413">
        <v>328239523</v>
      </c>
      <c r="V413" s="3">
        <f t="shared" ca="1" si="12"/>
        <v>45882</v>
      </c>
      <c r="W413" s="3">
        <f>DATE(M413,N413,O413)</f>
        <v>23740</v>
      </c>
      <c r="X413" s="5">
        <f t="shared" ca="1" si="13"/>
        <v>60.62015366952221</v>
      </c>
    </row>
    <row r="414" spans="1:24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1797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6">
        <v>348078018464</v>
      </c>
      <c r="R414">
        <v>81</v>
      </c>
      <c r="S414">
        <v>32.4</v>
      </c>
      <c r="T414">
        <v>23.8</v>
      </c>
      <c r="U414">
        <v>5818553</v>
      </c>
      <c r="V414" s="3">
        <f t="shared" ca="1" si="12"/>
        <v>45882</v>
      </c>
      <c r="W414" s="3">
        <f>DATE(M414,N414,O414)</f>
        <v>17465</v>
      </c>
      <c r="X414" s="5">
        <f t="shared" ca="1" si="13"/>
        <v>77.800831744931557</v>
      </c>
    </row>
    <row r="415" spans="1:24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1797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6">
        <v>21427700000000</v>
      </c>
      <c r="R415">
        <v>78.5</v>
      </c>
      <c r="S415">
        <v>9.6</v>
      </c>
      <c r="T415">
        <v>36.6</v>
      </c>
      <c r="U415">
        <v>328239523</v>
      </c>
      <c r="V415" s="3">
        <f t="shared" ca="1" si="12"/>
        <v>45882</v>
      </c>
      <c r="W415" s="3">
        <f>DATE(M415,N415,O415)</f>
        <v>19204</v>
      </c>
      <c r="X415" s="5">
        <f t="shared" ca="1" si="13"/>
        <v>73.039032150653</v>
      </c>
    </row>
    <row r="416" spans="1:24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1797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6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 s="3">
        <f t="shared" ca="1" si="12"/>
        <v>45882</v>
      </c>
      <c r="W416" s="3">
        <f>DATE(M416,N416,O416)</f>
        <v>24371</v>
      </c>
      <c r="X416" s="5">
        <f t="shared" ca="1" si="13"/>
        <v>58.893908281998634</v>
      </c>
    </row>
    <row r="417" spans="1:24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1797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6">
        <v>21427700000000</v>
      </c>
      <c r="R417">
        <v>78.5</v>
      </c>
      <c r="S417">
        <v>9.6</v>
      </c>
      <c r="T417">
        <v>36.6</v>
      </c>
      <c r="U417">
        <v>328239523</v>
      </c>
      <c r="V417" s="3">
        <f t="shared" ca="1" si="12"/>
        <v>45882</v>
      </c>
      <c r="W417" s="3">
        <f>DATE(M417,N417,O417)</f>
        <v>12677</v>
      </c>
      <c r="X417" s="5">
        <f t="shared" ca="1" si="13"/>
        <v>90.910335386721428</v>
      </c>
    </row>
    <row r="418" spans="1:24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1797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6">
        <v>1736425629520</v>
      </c>
      <c r="R418">
        <v>81.900000000000006</v>
      </c>
      <c r="S418">
        <v>12.8</v>
      </c>
      <c r="T418">
        <v>24.5</v>
      </c>
      <c r="U418">
        <v>36991981</v>
      </c>
      <c r="V418" s="3">
        <f t="shared" ca="1" si="12"/>
        <v>45882</v>
      </c>
      <c r="W418" s="3">
        <f>DATE(M418,N418,O418)</f>
        <v>10959</v>
      </c>
      <c r="X418" s="5">
        <f t="shared" ca="1" si="13"/>
        <v>95.613963039014379</v>
      </c>
    </row>
    <row r="419" spans="1:24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1797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6">
        <v>530832908738</v>
      </c>
      <c r="R419">
        <v>82.5</v>
      </c>
      <c r="S419">
        <v>27.9</v>
      </c>
      <c r="T419">
        <v>49.1</v>
      </c>
      <c r="U419">
        <v>10285453</v>
      </c>
      <c r="V419" s="3">
        <f t="shared" ca="1" si="12"/>
        <v>45882</v>
      </c>
      <c r="W419" s="3">
        <f>DATE(M419,N419,O419)</f>
        <v>18845</v>
      </c>
      <c r="X419" s="5">
        <f t="shared" ca="1" si="13"/>
        <v>74.02259618894648</v>
      </c>
    </row>
    <row r="420" spans="1:24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1797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6">
        <v>703082435360</v>
      </c>
      <c r="R420">
        <v>83.6</v>
      </c>
      <c r="S420">
        <v>10.1</v>
      </c>
      <c r="T420">
        <v>28.8</v>
      </c>
      <c r="U420">
        <v>8574832</v>
      </c>
      <c r="V420" s="3">
        <f t="shared" ca="1" si="12"/>
        <v>45882</v>
      </c>
      <c r="W420" s="3">
        <f>DATE(M420,N420,O420)</f>
        <v>16788</v>
      </c>
      <c r="X420" s="5">
        <f t="shared" ca="1" si="13"/>
        <v>79.655703904005406</v>
      </c>
    </row>
    <row r="421" spans="1:24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1797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6">
        <v>21427700000000</v>
      </c>
      <c r="R421">
        <v>78.5</v>
      </c>
      <c r="S421">
        <v>9.6</v>
      </c>
      <c r="T421">
        <v>36.6</v>
      </c>
      <c r="U421">
        <v>328239523</v>
      </c>
      <c r="V421" s="3">
        <f t="shared" ca="1" si="12"/>
        <v>45882</v>
      </c>
      <c r="W421" s="3">
        <f>DATE(M421,N421,O421)</f>
        <v>26239</v>
      </c>
      <c r="X421" s="5">
        <f t="shared" ca="1" si="13"/>
        <v>53.778933744835484</v>
      </c>
    </row>
    <row r="422" spans="1:24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1797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6">
        <v>21427700000000</v>
      </c>
      <c r="R422">
        <v>78.5</v>
      </c>
      <c r="S422">
        <v>9.6</v>
      </c>
      <c r="T422">
        <v>36.6</v>
      </c>
      <c r="U422">
        <v>328239523</v>
      </c>
      <c r="V422" s="3">
        <f t="shared" ca="1" si="12"/>
        <v>45882</v>
      </c>
      <c r="W422" s="3">
        <f>DATE(M422,N422,O422)</f>
        <v>23468</v>
      </c>
      <c r="X422" s="5">
        <f t="shared" ca="1" si="13"/>
        <v>61.3648326415261</v>
      </c>
    </row>
    <row r="423" spans="1:24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1797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6">
        <v>21427700000000</v>
      </c>
      <c r="R423">
        <v>78.5</v>
      </c>
      <c r="S423">
        <v>9.6</v>
      </c>
      <c r="T423">
        <v>36.6</v>
      </c>
      <c r="U423">
        <v>328239523</v>
      </c>
      <c r="V423" s="3">
        <f t="shared" ca="1" si="12"/>
        <v>45882</v>
      </c>
      <c r="W423" s="3">
        <f>DATE(M423,N423,O423)</f>
        <v>24331</v>
      </c>
      <c r="X423" s="5">
        <f t="shared" ca="1" si="13"/>
        <v>59.003422313483917</v>
      </c>
    </row>
    <row r="424" spans="1:24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1797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6">
        <v>21427700000000</v>
      </c>
      <c r="R424">
        <v>78.5</v>
      </c>
      <c r="S424">
        <v>9.6</v>
      </c>
      <c r="T424">
        <v>36.6</v>
      </c>
      <c r="U424">
        <v>328239523</v>
      </c>
      <c r="V424" s="3">
        <f t="shared" ca="1" si="12"/>
        <v>45882</v>
      </c>
      <c r="W424" s="3">
        <f>DATE(M424,N424,O424)</f>
        <v>15802</v>
      </c>
      <c r="X424" s="5">
        <f t="shared" ca="1" si="13"/>
        <v>82.353872542551784</v>
      </c>
    </row>
    <row r="425" spans="1:24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1797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6">
        <v>19910000000000</v>
      </c>
      <c r="R425">
        <v>77</v>
      </c>
      <c r="S425">
        <v>9.4</v>
      </c>
      <c r="T425">
        <v>59.2</v>
      </c>
      <c r="U425">
        <v>1397715000</v>
      </c>
      <c r="V425" s="3">
        <f t="shared" ca="1" si="12"/>
        <v>45882</v>
      </c>
      <c r="W425" s="3">
        <f>DATE(M425,N425,O425)</f>
        <v>25903</v>
      </c>
      <c r="X425" s="5">
        <f t="shared" ca="1" si="13"/>
        <v>54.699520876112253</v>
      </c>
    </row>
    <row r="426" spans="1:24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1797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6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 s="3">
        <f t="shared" ca="1" si="12"/>
        <v>45882</v>
      </c>
      <c r="W426" s="3">
        <f>DATE(M426,N426,O426)</f>
        <v>15405</v>
      </c>
      <c r="X426" s="5">
        <f t="shared" ca="1" si="13"/>
        <v>83.441478439425055</v>
      </c>
    </row>
    <row r="427" spans="1:24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1797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6">
        <v>21427700000000</v>
      </c>
      <c r="R427">
        <v>78.5</v>
      </c>
      <c r="S427">
        <v>9.6</v>
      </c>
      <c r="T427">
        <v>36.6</v>
      </c>
      <c r="U427">
        <v>328239523</v>
      </c>
      <c r="V427" s="3">
        <f t="shared" ca="1" si="12"/>
        <v>45882</v>
      </c>
      <c r="W427" s="3">
        <f>DATE(M427,N427,O427)</f>
        <v>13043</v>
      </c>
      <c r="X427" s="5">
        <f t="shared" ca="1" si="13"/>
        <v>89.907605752452014</v>
      </c>
    </row>
    <row r="428" spans="1:24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1797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6">
        <v>19910000000000</v>
      </c>
      <c r="R428">
        <v>77</v>
      </c>
      <c r="S428">
        <v>9.4</v>
      </c>
      <c r="T428">
        <v>59.2</v>
      </c>
      <c r="U428">
        <v>1397715000</v>
      </c>
      <c r="V428" s="3">
        <f t="shared" ca="1" si="12"/>
        <v>45882</v>
      </c>
      <c r="W428" s="3">
        <f>DATE(M428,N428,O428)</f>
        <v>24473</v>
      </c>
      <c r="X428" s="5">
        <f t="shared" ca="1" si="13"/>
        <v>58.613967517401392</v>
      </c>
    </row>
    <row r="429" spans="1:24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1796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6">
        <v>21427700000000</v>
      </c>
      <c r="R429">
        <v>78.5</v>
      </c>
      <c r="S429">
        <v>9.6</v>
      </c>
      <c r="T429">
        <v>36.6</v>
      </c>
      <c r="U429">
        <v>328239523</v>
      </c>
      <c r="V429" s="3">
        <f t="shared" ca="1" si="12"/>
        <v>45882</v>
      </c>
      <c r="W429" s="3">
        <f>DATE(M429,N429,O429)</f>
        <v>21192</v>
      </c>
      <c r="X429" s="5">
        <f t="shared" ca="1" si="13"/>
        <v>67.597535934291585</v>
      </c>
    </row>
    <row r="430" spans="1:24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1797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6">
        <v>21427700000000</v>
      </c>
      <c r="R430">
        <v>78.5</v>
      </c>
      <c r="S430">
        <v>9.6</v>
      </c>
      <c r="T430">
        <v>36.6</v>
      </c>
      <c r="U430">
        <v>328239523</v>
      </c>
      <c r="V430" s="3">
        <f t="shared" ca="1" si="12"/>
        <v>45882</v>
      </c>
      <c r="W430" s="3">
        <f>DATE(M430,N430,O430)</f>
        <v>19628</v>
      </c>
      <c r="X430" s="5">
        <f t="shared" ca="1" si="13"/>
        <v>71.880208528672696</v>
      </c>
    </row>
    <row r="431" spans="1:24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1797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6">
        <v>395098666122</v>
      </c>
      <c r="R431">
        <v>82.8</v>
      </c>
      <c r="S431">
        <v>23.1</v>
      </c>
      <c r="T431">
        <v>25.3</v>
      </c>
      <c r="U431">
        <v>9053300</v>
      </c>
      <c r="V431" s="3">
        <f t="shared" ca="1" si="12"/>
        <v>45882</v>
      </c>
      <c r="W431" s="3">
        <f>DATE(M431,N431,O431)</f>
        <v>26238</v>
      </c>
      <c r="X431" s="5">
        <f t="shared" ca="1" si="13"/>
        <v>53.7816715615511</v>
      </c>
    </row>
    <row r="432" spans="1:24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1797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6">
        <v>2029000000000</v>
      </c>
      <c r="R432">
        <v>82.6</v>
      </c>
      <c r="S432">
        <v>15.6</v>
      </c>
      <c r="T432">
        <v>33.200000000000003</v>
      </c>
      <c r="U432">
        <v>51709098</v>
      </c>
      <c r="V432" s="3">
        <f t="shared" ca="1" si="12"/>
        <v>45882</v>
      </c>
      <c r="W432" s="3">
        <f>DATE(M432,N432,O432)</f>
        <v>21116</v>
      </c>
      <c r="X432" s="5">
        <f t="shared" ca="1" si="13"/>
        <v>67.806285215459098</v>
      </c>
    </row>
    <row r="433" spans="1:24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1797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6">
        <v>19910000000000</v>
      </c>
      <c r="R433">
        <v>77</v>
      </c>
      <c r="S433">
        <v>9.4</v>
      </c>
      <c r="T433">
        <v>59.2</v>
      </c>
      <c r="U433">
        <v>1397715000</v>
      </c>
      <c r="V433" s="3">
        <f t="shared" ca="1" si="12"/>
        <v>45882</v>
      </c>
      <c r="W433" s="3">
        <f>DATE(M433,N433,O433)</f>
        <v>23377</v>
      </c>
      <c r="X433" s="5">
        <f t="shared" ca="1" si="13"/>
        <v>61.613971562306808</v>
      </c>
    </row>
    <row r="434" spans="1:24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1797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6">
        <v>21427700000000</v>
      </c>
      <c r="R434">
        <v>78.5</v>
      </c>
      <c r="S434">
        <v>9.6</v>
      </c>
      <c r="T434">
        <v>36.6</v>
      </c>
      <c r="U434">
        <v>328239523</v>
      </c>
      <c r="V434" s="3">
        <f t="shared" ca="1" si="12"/>
        <v>45882</v>
      </c>
      <c r="W434" s="3">
        <f>DATE(M434,N434,O434)</f>
        <v>18078</v>
      </c>
      <c r="X434" s="5">
        <f t="shared" ca="1" si="13"/>
        <v>76.123879960176353</v>
      </c>
    </row>
    <row r="435" spans="1:24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1797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6">
        <v>21427700000000</v>
      </c>
      <c r="R435">
        <v>78.5</v>
      </c>
      <c r="S435">
        <v>9.6</v>
      </c>
      <c r="T435">
        <v>36.6</v>
      </c>
      <c r="U435">
        <v>328239523</v>
      </c>
      <c r="V435" s="3">
        <f t="shared" ca="1" si="12"/>
        <v>45882</v>
      </c>
      <c r="W435" s="3">
        <f>DATE(M435,N435,O435)</f>
        <v>20922</v>
      </c>
      <c r="X435" s="5">
        <f t="shared" ca="1" si="13"/>
        <v>68.337433537020871</v>
      </c>
    </row>
    <row r="436" spans="1:24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1797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6">
        <v>21427700000000</v>
      </c>
      <c r="R436">
        <v>78.5</v>
      </c>
      <c r="S436">
        <v>9.6</v>
      </c>
      <c r="T436">
        <v>36.6</v>
      </c>
      <c r="U436">
        <v>328239523</v>
      </c>
      <c r="V436" s="3">
        <f t="shared" ca="1" si="12"/>
        <v>45882</v>
      </c>
      <c r="W436" s="3">
        <f>DATE(M436,N436,O436)</f>
        <v>33091</v>
      </c>
      <c r="X436" s="5">
        <f t="shared" ca="1" si="13"/>
        <v>35.019849418206711</v>
      </c>
    </row>
    <row r="437" spans="1:24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1797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6">
        <v>21427700000000</v>
      </c>
      <c r="R437">
        <v>78.5</v>
      </c>
      <c r="S437">
        <v>9.6</v>
      </c>
      <c r="T437">
        <v>36.6</v>
      </c>
      <c r="U437">
        <v>328239523</v>
      </c>
      <c r="V437" s="3">
        <f t="shared" ca="1" si="12"/>
        <v>45882</v>
      </c>
      <c r="W437" s="3">
        <f>DATE(M437,N437,O437)</f>
        <v>32395</v>
      </c>
      <c r="X437" s="5">
        <f t="shared" ca="1" si="13"/>
        <v>36.924063400576372</v>
      </c>
    </row>
    <row r="438" spans="1:24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1797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6">
        <v>21427700000000</v>
      </c>
      <c r="R438">
        <v>78.5</v>
      </c>
      <c r="S438">
        <v>9.6</v>
      </c>
      <c r="T438">
        <v>36.6</v>
      </c>
      <c r="U438">
        <v>328239523</v>
      </c>
      <c r="V438" s="3">
        <f t="shared" ca="1" si="12"/>
        <v>45882</v>
      </c>
      <c r="W438" s="3">
        <f>DATE(M438,N438,O438)</f>
        <v>10693</v>
      </c>
      <c r="X438" s="5">
        <f t="shared" ca="1" si="13"/>
        <v>96.342911174461591</v>
      </c>
    </row>
    <row r="439" spans="1:24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1797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6">
        <v>2001244392042</v>
      </c>
      <c r="R439">
        <v>82.9</v>
      </c>
      <c r="S439">
        <v>24.3</v>
      </c>
      <c r="T439">
        <v>59.1</v>
      </c>
      <c r="U439">
        <v>60297396</v>
      </c>
      <c r="V439" s="3">
        <f t="shared" ca="1" si="12"/>
        <v>45882</v>
      </c>
      <c r="W439" s="3">
        <f>DATE(M439,N439,O439)</f>
        <v>16579</v>
      </c>
      <c r="X439" s="5">
        <f t="shared" ca="1" si="13"/>
        <v>80.227919553827945</v>
      </c>
    </row>
    <row r="440" spans="1:24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1797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6">
        <v>21427700000000</v>
      </c>
      <c r="R440">
        <v>78.5</v>
      </c>
      <c r="S440">
        <v>9.6</v>
      </c>
      <c r="T440">
        <v>36.6</v>
      </c>
      <c r="U440">
        <v>328239523</v>
      </c>
      <c r="V440" s="3">
        <f t="shared" ca="1" si="12"/>
        <v>45882</v>
      </c>
      <c r="W440" s="3">
        <f>DATE(M440,N440,O440)</f>
        <v>23800</v>
      </c>
      <c r="X440" s="5">
        <f t="shared" ca="1" si="13"/>
        <v>60.457899461400359</v>
      </c>
    </row>
    <row r="441" spans="1:24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1797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6">
        <v>1736425629520</v>
      </c>
      <c r="R441">
        <v>81.900000000000006</v>
      </c>
      <c r="S441">
        <v>12.8</v>
      </c>
      <c r="T441">
        <v>24.5</v>
      </c>
      <c r="U441">
        <v>36991981</v>
      </c>
      <c r="V441" s="3">
        <f t="shared" ca="1" si="12"/>
        <v>45882</v>
      </c>
      <c r="W441" s="3">
        <f>DATE(M441,N441,O441)</f>
        <v>10307</v>
      </c>
      <c r="X441" s="5">
        <f t="shared" ca="1" si="13"/>
        <v>97.397681240396707</v>
      </c>
    </row>
    <row r="442" spans="1:24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1797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6">
        <v>19910000000000</v>
      </c>
      <c r="R442">
        <v>77</v>
      </c>
      <c r="S442">
        <v>9.4</v>
      </c>
      <c r="T442">
        <v>59.2</v>
      </c>
      <c r="U442">
        <v>1397715000</v>
      </c>
      <c r="V442" s="3">
        <f t="shared" ca="1" si="12"/>
        <v>45882</v>
      </c>
      <c r="W442" s="3">
        <f>DATE(M442,N442,O442)</f>
        <v>20149</v>
      </c>
      <c r="X442" s="5">
        <f t="shared" ca="1" si="13"/>
        <v>70.45243512127405</v>
      </c>
    </row>
    <row r="443" spans="1:24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1797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6">
        <v>3845630030824</v>
      </c>
      <c r="R443">
        <v>80.900000000000006</v>
      </c>
      <c r="S443">
        <v>11.5</v>
      </c>
      <c r="T443">
        <v>48.8</v>
      </c>
      <c r="U443">
        <v>83132799</v>
      </c>
      <c r="V443" s="3">
        <f t="shared" ca="1" si="12"/>
        <v>45882</v>
      </c>
      <c r="W443" s="3">
        <f>DATE(M443,N443,O443)</f>
        <v>15131</v>
      </c>
      <c r="X443" s="5">
        <f t="shared" ca="1" si="13"/>
        <v>84.192327514011467</v>
      </c>
    </row>
    <row r="444" spans="1:24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1797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6">
        <v>3845630030824</v>
      </c>
      <c r="R444">
        <v>80.900000000000006</v>
      </c>
      <c r="S444">
        <v>11.5</v>
      </c>
      <c r="T444">
        <v>48.8</v>
      </c>
      <c r="U444">
        <v>83132799</v>
      </c>
      <c r="V444" s="3">
        <f t="shared" ca="1" si="12"/>
        <v>45882</v>
      </c>
      <c r="W444" s="3">
        <f>DATE(M444,N444,O444)</f>
        <v>23743</v>
      </c>
      <c r="X444" s="5">
        <f t="shared" ca="1" si="13"/>
        <v>60.613958707360865</v>
      </c>
    </row>
    <row r="445" spans="1:24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1797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6">
        <v>21427700000000</v>
      </c>
      <c r="R445">
        <v>78.5</v>
      </c>
      <c r="S445">
        <v>9.6</v>
      </c>
      <c r="T445">
        <v>36.6</v>
      </c>
      <c r="U445">
        <v>328239523</v>
      </c>
      <c r="V445" s="3">
        <f t="shared" ca="1" si="12"/>
        <v>45882</v>
      </c>
      <c r="W445" s="3">
        <f>DATE(M445,N445,O445)</f>
        <v>20688</v>
      </c>
      <c r="X445" s="5">
        <f t="shared" ca="1" si="13"/>
        <v>68.976063829787236</v>
      </c>
    </row>
    <row r="446" spans="1:24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1796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6">
        <v>21427700000000</v>
      </c>
      <c r="R446">
        <v>78.5</v>
      </c>
      <c r="S446">
        <v>9.6</v>
      </c>
      <c r="T446">
        <v>36.6</v>
      </c>
      <c r="U446">
        <v>328239523</v>
      </c>
      <c r="V446" s="3">
        <f t="shared" ca="1" si="12"/>
        <v>45882</v>
      </c>
      <c r="W446" s="3">
        <f>DATE(M446,N446,O446)</f>
        <v>16449</v>
      </c>
      <c r="X446" s="5">
        <f t="shared" ca="1" si="13"/>
        <v>80.583843163765422</v>
      </c>
    </row>
    <row r="447" spans="1:24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1797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6">
        <v>21427700000000</v>
      </c>
      <c r="R447">
        <v>78.5</v>
      </c>
      <c r="S447">
        <v>9.6</v>
      </c>
      <c r="T447">
        <v>36.6</v>
      </c>
      <c r="U447">
        <v>328239523</v>
      </c>
      <c r="V447" s="3">
        <f t="shared" ca="1" si="12"/>
        <v>45882</v>
      </c>
      <c r="W447" s="3">
        <f>DATE(M447,N447,O447)</f>
        <v>16306</v>
      </c>
      <c r="X447" s="5">
        <f t="shared" ca="1" si="13"/>
        <v>80.973323094387496</v>
      </c>
    </row>
    <row r="448" spans="1:24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1797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6">
        <v>2001244392042</v>
      </c>
      <c r="R448">
        <v>82.9</v>
      </c>
      <c r="S448">
        <v>24.3</v>
      </c>
      <c r="T448">
        <v>59.1</v>
      </c>
      <c r="U448">
        <v>60297396</v>
      </c>
      <c r="V448" s="3">
        <f t="shared" ca="1" si="12"/>
        <v>45882</v>
      </c>
      <c r="W448" s="3">
        <f>DATE(M448,N448,O448)</f>
        <v>15785</v>
      </c>
      <c r="X448" s="5">
        <f t="shared" ca="1" si="13"/>
        <v>82.400415622113741</v>
      </c>
    </row>
    <row r="449" spans="1:24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1796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6">
        <v>21427700000000</v>
      </c>
      <c r="R449">
        <v>78.5</v>
      </c>
      <c r="S449">
        <v>9.6</v>
      </c>
      <c r="T449">
        <v>36.6</v>
      </c>
      <c r="U449">
        <v>328239523</v>
      </c>
      <c r="V449" s="3">
        <f t="shared" ca="1" si="12"/>
        <v>45882</v>
      </c>
      <c r="W449" s="3">
        <f>DATE(M449,N449,O449)</f>
        <v>15446</v>
      </c>
      <c r="X449" s="5">
        <f t="shared" ca="1" si="13"/>
        <v>83.329226557152637</v>
      </c>
    </row>
    <row r="450" spans="1:24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1797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6">
        <v>1392680589329</v>
      </c>
      <c r="R450">
        <v>82.7</v>
      </c>
      <c r="S450">
        <v>23</v>
      </c>
      <c r="T450">
        <v>47.4</v>
      </c>
      <c r="U450">
        <v>25766605</v>
      </c>
      <c r="V450" s="3">
        <f t="shared" ca="1" si="12"/>
        <v>45882</v>
      </c>
      <c r="W450" s="3">
        <f>DATE(M450,N450,O450)</f>
        <v>20180</v>
      </c>
      <c r="X450" s="5">
        <f t="shared" ca="1" si="13"/>
        <v>70.367562565071523</v>
      </c>
    </row>
    <row r="451" spans="1:24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1796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6">
        <v>19910000000000</v>
      </c>
      <c r="R451">
        <v>77</v>
      </c>
      <c r="S451">
        <v>9.4</v>
      </c>
      <c r="T451">
        <v>59.2</v>
      </c>
      <c r="U451">
        <v>1397715000</v>
      </c>
      <c r="V451" s="3">
        <f t="shared" ref="V451:V476" ca="1" si="14">TODAY()</f>
        <v>45882</v>
      </c>
      <c r="W451" s="3">
        <f>DATE(M451,N451,O451)</f>
        <v>24473</v>
      </c>
      <c r="X451" s="5">
        <f t="shared" ref="X451:X476" ca="1" si="15">YEARFRAC(W451,V451, 1)</f>
        <v>58.613967517401392</v>
      </c>
    </row>
    <row r="452" spans="1:24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1797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6">
        <v>2001244392042</v>
      </c>
      <c r="R452">
        <v>82.9</v>
      </c>
      <c r="S452">
        <v>24.3</v>
      </c>
      <c r="T452">
        <v>59.1</v>
      </c>
      <c r="U452">
        <v>60297396</v>
      </c>
      <c r="V452" s="3">
        <f t="shared" ca="1" si="14"/>
        <v>45882</v>
      </c>
      <c r="W452" s="3">
        <f>DATE(M452,N452,O452)</f>
        <v>16803</v>
      </c>
      <c r="X452" s="5">
        <f t="shared" ca="1" si="15"/>
        <v>79.613963039014379</v>
      </c>
    </row>
    <row r="453" spans="1:24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1797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6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 s="3">
        <f t="shared" ca="1" si="14"/>
        <v>45882</v>
      </c>
      <c r="W453" s="3">
        <f>DATE(M453,N453,O453)</f>
        <v>15085</v>
      </c>
      <c r="X453" s="5">
        <f t="shared" ca="1" si="15"/>
        <v>84.318269664368998</v>
      </c>
    </row>
    <row r="454" spans="1:24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1797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6">
        <v>21427700000000</v>
      </c>
      <c r="R454">
        <v>78.5</v>
      </c>
      <c r="S454">
        <v>9.6</v>
      </c>
      <c r="T454">
        <v>36.6</v>
      </c>
      <c r="U454">
        <v>328239523</v>
      </c>
      <c r="V454" s="3">
        <f t="shared" ca="1" si="14"/>
        <v>45882</v>
      </c>
      <c r="W454" s="3">
        <f>DATE(M454,N454,O454)</f>
        <v>29226</v>
      </c>
      <c r="X454" s="5">
        <f t="shared" ca="1" si="15"/>
        <v>45.600285680276158</v>
      </c>
    </row>
    <row r="455" spans="1:24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1797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6">
        <v>372062527489</v>
      </c>
      <c r="R455">
        <v>83.1</v>
      </c>
      <c r="S455">
        <v>13.1</v>
      </c>
      <c r="T455">
        <v>21</v>
      </c>
      <c r="U455">
        <v>5703569</v>
      </c>
      <c r="V455" s="3">
        <f t="shared" ca="1" si="14"/>
        <v>45882</v>
      </c>
      <c r="W455" s="3">
        <f>DATE(M455,N455,O455)</f>
        <v>20135</v>
      </c>
      <c r="X455" s="5">
        <f t="shared" ca="1" si="15"/>
        <v>70.490764662784869</v>
      </c>
    </row>
    <row r="456" spans="1:24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1797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6">
        <v>19910000000000</v>
      </c>
      <c r="R456">
        <v>77</v>
      </c>
      <c r="S456">
        <v>9.4</v>
      </c>
      <c r="T456">
        <v>59.2</v>
      </c>
      <c r="U456">
        <v>1397715000</v>
      </c>
      <c r="V456" s="3">
        <f t="shared" ca="1" si="14"/>
        <v>45882</v>
      </c>
      <c r="W456" s="3">
        <f>DATE(M456,N456,O456)</f>
        <v>23743</v>
      </c>
      <c r="X456" s="5">
        <f t="shared" ca="1" si="15"/>
        <v>60.613958707360865</v>
      </c>
    </row>
    <row r="457" spans="1:24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1797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6">
        <v>703082435360</v>
      </c>
      <c r="R457">
        <v>83.6</v>
      </c>
      <c r="S457">
        <v>10.1</v>
      </c>
      <c r="T457">
        <v>28.8</v>
      </c>
      <c r="U457">
        <v>8574832</v>
      </c>
      <c r="V457" s="3">
        <f t="shared" ca="1" si="14"/>
        <v>45882</v>
      </c>
      <c r="W457" s="3">
        <f>DATE(M457,N457,O457)</f>
        <v>16838</v>
      </c>
      <c r="X457" s="5">
        <f t="shared" ca="1" si="15"/>
        <v>79.518138261464756</v>
      </c>
    </row>
    <row r="458" spans="1:24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1796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6">
        <v>2001244392042</v>
      </c>
      <c r="R458">
        <v>82.9</v>
      </c>
      <c r="S458">
        <v>24.3</v>
      </c>
      <c r="T458">
        <v>59.1</v>
      </c>
      <c r="U458">
        <v>60297396</v>
      </c>
      <c r="V458" s="3">
        <f t="shared" ca="1" si="14"/>
        <v>45882</v>
      </c>
      <c r="W458" s="3">
        <f>DATE(M458,N458,O458)</f>
        <v>18028</v>
      </c>
      <c r="X458" s="5">
        <f t="shared" ca="1" si="15"/>
        <v>76.260773716398802</v>
      </c>
    </row>
    <row r="459" spans="1:24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1797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6">
        <v>3845630030824</v>
      </c>
      <c r="R459">
        <v>80.900000000000006</v>
      </c>
      <c r="S459">
        <v>11.5</v>
      </c>
      <c r="T459">
        <v>48.8</v>
      </c>
      <c r="U459">
        <v>83132799</v>
      </c>
      <c r="V459" s="3">
        <f t="shared" ca="1" si="14"/>
        <v>45882</v>
      </c>
      <c r="W459" s="3">
        <f>DATE(M459,N459,O459)</f>
        <v>19271</v>
      </c>
      <c r="X459" s="5">
        <f t="shared" ca="1" si="15"/>
        <v>72.855599541233488</v>
      </c>
    </row>
    <row r="460" spans="1:24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1797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6">
        <v>3845630030824</v>
      </c>
      <c r="R460">
        <v>80.900000000000006</v>
      </c>
      <c r="S460">
        <v>11.5</v>
      </c>
      <c r="T460">
        <v>48.8</v>
      </c>
      <c r="U460">
        <v>83132799</v>
      </c>
      <c r="V460" s="3">
        <f t="shared" ca="1" si="14"/>
        <v>45882</v>
      </c>
      <c r="W460" s="3">
        <f>DATE(M460,N460,O460)</f>
        <v>23831</v>
      </c>
      <c r="X460" s="5">
        <f t="shared" ca="1" si="15"/>
        <v>60.373025134649914</v>
      </c>
    </row>
    <row r="461" spans="1:24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1797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6">
        <v>446314739528</v>
      </c>
      <c r="R461">
        <v>81.599999999999994</v>
      </c>
      <c r="S461">
        <v>25.4</v>
      </c>
      <c r="T461">
        <v>51.4</v>
      </c>
      <c r="U461">
        <v>8877067</v>
      </c>
      <c r="V461" s="3">
        <f t="shared" ca="1" si="14"/>
        <v>45882</v>
      </c>
      <c r="W461" s="3">
        <f>DATE(M461,N461,O461)</f>
        <v>23205</v>
      </c>
      <c r="X461" s="5">
        <f t="shared" ca="1" si="15"/>
        <v>62.08556777193516</v>
      </c>
    </row>
    <row r="462" spans="1:24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1796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6">
        <v>446314739528</v>
      </c>
      <c r="R462">
        <v>81.599999999999994</v>
      </c>
      <c r="S462">
        <v>25.4</v>
      </c>
      <c r="T462">
        <v>51.4</v>
      </c>
      <c r="U462">
        <v>8877067</v>
      </c>
      <c r="V462" s="3">
        <f t="shared" ca="1" si="14"/>
        <v>45882</v>
      </c>
      <c r="W462" s="3">
        <f>DATE(M462,N462,O462)</f>
        <v>18909</v>
      </c>
      <c r="X462" s="5">
        <f t="shared" ca="1" si="15"/>
        <v>73.847375337665184</v>
      </c>
    </row>
    <row r="463" spans="1:24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1797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6">
        <v>21427700000000</v>
      </c>
      <c r="R463">
        <v>78.5</v>
      </c>
      <c r="S463">
        <v>9.6</v>
      </c>
      <c r="T463">
        <v>36.6</v>
      </c>
      <c r="U463">
        <v>328239523</v>
      </c>
      <c r="V463" s="3">
        <f t="shared" ca="1" si="14"/>
        <v>45882</v>
      </c>
      <c r="W463" s="3">
        <f>DATE(M463,N463,O463)</f>
        <v>26927</v>
      </c>
      <c r="X463" s="5">
        <f t="shared" ca="1" si="15"/>
        <v>51.89663188345903</v>
      </c>
    </row>
    <row r="464" spans="1:24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1797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6">
        <v>21427700000000</v>
      </c>
      <c r="R464">
        <v>78.5</v>
      </c>
      <c r="S464">
        <v>9.6</v>
      </c>
      <c r="T464">
        <v>36.6</v>
      </c>
      <c r="U464">
        <v>328239523</v>
      </c>
      <c r="V464" s="3">
        <f t="shared" ca="1" si="14"/>
        <v>45882</v>
      </c>
      <c r="W464" s="3">
        <f>DATE(M464,N464,O464)</f>
        <v>21557</v>
      </c>
      <c r="X464" s="5">
        <f t="shared" ca="1" si="15"/>
        <v>66.597540045766593</v>
      </c>
    </row>
    <row r="465" spans="1:24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1797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6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 s="3">
        <f t="shared" ca="1" si="14"/>
        <v>45882</v>
      </c>
      <c r="W465" s="3">
        <f>DATE(M465,N465,O465)</f>
        <v>22915</v>
      </c>
      <c r="X465" s="5">
        <f t="shared" ca="1" si="15"/>
        <v>62.880219028062967</v>
      </c>
    </row>
    <row r="466" spans="1:24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1796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6">
        <v>21427700000000</v>
      </c>
      <c r="R466">
        <v>78.5</v>
      </c>
      <c r="S466">
        <v>9.6</v>
      </c>
      <c r="T466">
        <v>36.6</v>
      </c>
      <c r="U466">
        <v>328239523</v>
      </c>
      <c r="V466" s="3">
        <f t="shared" ca="1" si="14"/>
        <v>45882</v>
      </c>
      <c r="W466" s="3">
        <f>DATE(M466,N466,O466)</f>
        <v>23138</v>
      </c>
      <c r="X466" s="5">
        <f t="shared" ca="1" si="15"/>
        <v>62.26900178175655</v>
      </c>
    </row>
    <row r="467" spans="1:24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1797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6">
        <v>21427700000000</v>
      </c>
      <c r="R467">
        <v>78.5</v>
      </c>
      <c r="S467">
        <v>9.6</v>
      </c>
      <c r="T467">
        <v>36.6</v>
      </c>
      <c r="U467">
        <v>328239523</v>
      </c>
      <c r="V467" s="3">
        <f t="shared" ca="1" si="14"/>
        <v>45882</v>
      </c>
      <c r="W467" s="3">
        <f>DATE(M467,N467,O467)</f>
        <v>21005</v>
      </c>
      <c r="X467" s="5">
        <f t="shared" ca="1" si="15"/>
        <v>68.110189667486708</v>
      </c>
    </row>
    <row r="468" spans="1:24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1797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6">
        <v>1119190780753</v>
      </c>
      <c r="R468">
        <v>71.5</v>
      </c>
      <c r="S468">
        <v>10.199999999999999</v>
      </c>
      <c r="T468">
        <v>30.1</v>
      </c>
      <c r="U468">
        <v>270203917</v>
      </c>
      <c r="V468" s="3">
        <f t="shared" ca="1" si="14"/>
        <v>45882</v>
      </c>
      <c r="W468" s="3">
        <f>DATE(M468,N468,O468)</f>
        <v>16205</v>
      </c>
      <c r="X468" s="5">
        <f t="shared" ca="1" si="15"/>
        <v>81.249841407632474</v>
      </c>
    </row>
    <row r="469" spans="1:24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1797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6">
        <v>21427700000000</v>
      </c>
      <c r="R469">
        <v>78.5</v>
      </c>
      <c r="S469">
        <v>9.6</v>
      </c>
      <c r="T469">
        <v>36.6</v>
      </c>
      <c r="U469">
        <v>328239523</v>
      </c>
      <c r="V469" s="3">
        <f t="shared" ca="1" si="14"/>
        <v>45882</v>
      </c>
      <c r="W469" s="3">
        <f>DATE(M469,N469,O469)</f>
        <v>18420</v>
      </c>
      <c r="X469" s="5">
        <f t="shared" ca="1" si="15"/>
        <v>75.186858316221759</v>
      </c>
    </row>
    <row r="470" spans="1:24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1796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6">
        <v>21427700000000</v>
      </c>
      <c r="R470">
        <v>78.5</v>
      </c>
      <c r="S470">
        <v>9.6</v>
      </c>
      <c r="T470">
        <v>36.6</v>
      </c>
      <c r="U470">
        <v>328239523</v>
      </c>
      <c r="V470" s="3">
        <f t="shared" ca="1" si="14"/>
        <v>45882</v>
      </c>
      <c r="W470" s="3">
        <f>DATE(M470,N470,O470)</f>
        <v>15708</v>
      </c>
      <c r="X470" s="5">
        <f t="shared" ca="1" si="15"/>
        <v>82.611228394247263</v>
      </c>
    </row>
    <row r="471" spans="1:24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1797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6">
        <v>21427700000000</v>
      </c>
      <c r="R471">
        <v>78.5</v>
      </c>
      <c r="S471">
        <v>9.6</v>
      </c>
      <c r="T471">
        <v>36.6</v>
      </c>
      <c r="U471">
        <v>328239523</v>
      </c>
      <c r="V471" s="3">
        <f t="shared" ca="1" si="14"/>
        <v>45882</v>
      </c>
      <c r="W471" s="3">
        <f>DATE(M471,N471,O471)</f>
        <v>13508</v>
      </c>
      <c r="X471" s="5">
        <f t="shared" ca="1" si="15"/>
        <v>88.633833237003017</v>
      </c>
    </row>
    <row r="472" spans="1:24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1797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6">
        <v>21427700000000</v>
      </c>
      <c r="R472">
        <v>78.5</v>
      </c>
      <c r="S472">
        <v>9.6</v>
      </c>
      <c r="T472">
        <v>36.6</v>
      </c>
      <c r="U472">
        <v>328239523</v>
      </c>
      <c r="V472" s="3">
        <f t="shared" ca="1" si="14"/>
        <v>45882</v>
      </c>
      <c r="W472" s="3">
        <f>DATE(M472,N472,O472)</f>
        <v>16314</v>
      </c>
      <c r="X472" s="5">
        <f t="shared" ca="1" si="15"/>
        <v>80.951420653734431</v>
      </c>
    </row>
    <row r="473" spans="1:24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1797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6">
        <v>21427700000000</v>
      </c>
      <c r="R473">
        <v>78.5</v>
      </c>
      <c r="S473">
        <v>9.6</v>
      </c>
      <c r="T473">
        <v>36.6</v>
      </c>
      <c r="U473">
        <v>328239523</v>
      </c>
      <c r="V473" s="3">
        <f t="shared" ca="1" si="14"/>
        <v>45882</v>
      </c>
      <c r="W473" s="3">
        <f>DATE(M473,N473,O473)</f>
        <v>22058</v>
      </c>
      <c r="X473" s="5">
        <f t="shared" ca="1" si="15"/>
        <v>65.225204297506949</v>
      </c>
    </row>
    <row r="474" spans="1:24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1797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6">
        <v>21427700000000</v>
      </c>
      <c r="R474">
        <v>78.5</v>
      </c>
      <c r="S474">
        <v>9.6</v>
      </c>
      <c r="T474">
        <v>36.6</v>
      </c>
      <c r="U474">
        <v>328239523</v>
      </c>
      <c r="V474" s="3">
        <f t="shared" ca="1" si="14"/>
        <v>45882</v>
      </c>
      <c r="W474" s="3">
        <f>DATE(M474,N474,O474)</f>
        <v>15115</v>
      </c>
      <c r="X474" s="5">
        <f t="shared" ca="1" si="15"/>
        <v>84.236133479353214</v>
      </c>
    </row>
    <row r="475" spans="1:24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1797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6">
        <v>3845630030824</v>
      </c>
      <c r="R475">
        <v>80.900000000000006</v>
      </c>
      <c r="S475">
        <v>11.5</v>
      </c>
      <c r="T475">
        <v>48.8</v>
      </c>
      <c r="U475">
        <v>83132799</v>
      </c>
      <c r="V475" s="3">
        <f t="shared" ca="1" si="14"/>
        <v>45882</v>
      </c>
      <c r="W475" s="3">
        <f>DATE(M475,N475,O475)</f>
        <v>16590</v>
      </c>
      <c r="X475" s="5">
        <f t="shared" ca="1" si="15"/>
        <v>80.197802940679395</v>
      </c>
    </row>
    <row r="476" spans="1:24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1797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6">
        <v>421142267938</v>
      </c>
      <c r="R476">
        <v>77.8</v>
      </c>
      <c r="S476">
        <v>0.1</v>
      </c>
      <c r="T476">
        <v>15.9</v>
      </c>
      <c r="U476">
        <v>9770529</v>
      </c>
      <c r="V476" s="3">
        <f t="shared" ca="1" si="14"/>
        <v>45882</v>
      </c>
      <c r="W476" s="3">
        <f>DATE(M476,N476,O476)</f>
        <v>20408</v>
      </c>
      <c r="X476" s="5">
        <f t="shared" ca="1" si="15"/>
        <v>69.743338603323949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Sheet1</vt:lpstr>
      <vt:lpstr>Sheet3</vt:lpstr>
      <vt:lpstr>Sheet2</vt:lpstr>
      <vt:lpstr>Work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mummy mabel</cp:lastModifiedBy>
  <dcterms:created xsi:type="dcterms:W3CDTF">2024-04-01T06:54:26Z</dcterms:created>
  <dcterms:modified xsi:type="dcterms:W3CDTF">2025-08-13T21:52:06Z</dcterms:modified>
</cp:coreProperties>
</file>