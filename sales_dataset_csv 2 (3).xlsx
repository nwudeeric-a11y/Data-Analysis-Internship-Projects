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TERNSHIP folder\Internship 2\"/>
    </mc:Choice>
  </mc:AlternateContent>
  <xr:revisionPtr revIDLastSave="0" documentId="13_ncr:1_{615ADE70-9ED5-460E-88E1-5569D0271C2D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sales_dataset_csv" sheetId="1" r:id="rId1"/>
    <sheet name="Sheet2" sheetId="3" r:id="rId2"/>
    <sheet name="Sheet8" sheetId="9" r:id="rId3"/>
    <sheet name="Sheet9" sheetId="10" r:id="rId4"/>
    <sheet name="Sheet10" sheetId="11" r:id="rId5"/>
    <sheet name="Sheet11" sheetId="12" r:id="rId6"/>
    <sheet name="sales_dataset_csv (2)" sheetId="2" r:id="rId7"/>
  </sheets>
  <calcPr calcId="181029"/>
  <pivotCaches>
    <pivotCache cacheId="0" r:id="rId8"/>
    <pivotCache cacheId="1" r:id="rId9"/>
    <pivotCache cacheId="2" r:id="rId10"/>
    <pivotCache cacheId="3" r:id="rId11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T2" i="2"/>
  <c r="V2" i="2" s="1"/>
  <c r="T3" i="2"/>
  <c r="V3" i="2" s="1"/>
  <c r="T4" i="2"/>
  <c r="V4" i="2" s="1"/>
  <c r="T5" i="2"/>
  <c r="V5" i="2" s="1"/>
  <c r="T6" i="2"/>
  <c r="V6" i="2" s="1"/>
  <c r="T7" i="2"/>
  <c r="V7" i="2" s="1"/>
  <c r="T8" i="2"/>
  <c r="V8" i="2" s="1"/>
  <c r="T9" i="2"/>
  <c r="V9" i="2" s="1"/>
  <c r="T10" i="2"/>
  <c r="V10" i="2" s="1"/>
  <c r="T11" i="2"/>
  <c r="V11" i="2" s="1"/>
  <c r="T12" i="2"/>
  <c r="V12" i="2" s="1"/>
  <c r="T13" i="2"/>
  <c r="V13" i="2" s="1"/>
  <c r="T14" i="2"/>
  <c r="V14" i="2" s="1"/>
  <c r="T15" i="2"/>
  <c r="V15" i="2" s="1"/>
  <c r="T16" i="2"/>
  <c r="V16" i="2" s="1"/>
  <c r="T17" i="2"/>
  <c r="V17" i="2" s="1"/>
  <c r="T18" i="2"/>
  <c r="V18" i="2" s="1"/>
  <c r="T19" i="2"/>
  <c r="V19" i="2" s="1"/>
  <c r="T20" i="2"/>
  <c r="V20" i="2" s="1"/>
  <c r="T21" i="2"/>
  <c r="V21" i="2" s="1"/>
  <c r="T22" i="2"/>
  <c r="V22" i="2" s="1"/>
  <c r="T23" i="2"/>
  <c r="V23" i="2" s="1"/>
  <c r="T24" i="2"/>
  <c r="V24" i="2" s="1"/>
  <c r="T25" i="2"/>
  <c r="V25" i="2" s="1"/>
  <c r="T26" i="2"/>
  <c r="V26" i="2" s="1"/>
  <c r="T27" i="2"/>
  <c r="V27" i="2" s="1"/>
  <c r="T28" i="2"/>
  <c r="V28" i="2" s="1"/>
  <c r="T29" i="2"/>
  <c r="V29" i="2" s="1"/>
  <c r="T30" i="2"/>
  <c r="V30" i="2" s="1"/>
  <c r="T31" i="2"/>
  <c r="V31" i="2" s="1"/>
  <c r="T32" i="2"/>
  <c r="V32" i="2" s="1"/>
  <c r="T33" i="2"/>
  <c r="V33" i="2" s="1"/>
  <c r="T34" i="2"/>
  <c r="V34" i="2" s="1"/>
  <c r="T35" i="2"/>
  <c r="V35" i="2" s="1"/>
  <c r="T36" i="2"/>
  <c r="V36" i="2" s="1"/>
  <c r="T37" i="2"/>
  <c r="V37" i="2" s="1"/>
  <c r="T38" i="2"/>
  <c r="V38" i="2" s="1"/>
  <c r="T39" i="2"/>
  <c r="V39" i="2" s="1"/>
  <c r="T40" i="2"/>
  <c r="V40" i="2" s="1"/>
  <c r="T41" i="2"/>
  <c r="V41" i="2" s="1"/>
  <c r="T42" i="2"/>
  <c r="V42" i="2" s="1"/>
  <c r="T43" i="2"/>
  <c r="V43" i="2" s="1"/>
  <c r="T44" i="2"/>
  <c r="V44" i="2" s="1"/>
  <c r="T45" i="2"/>
  <c r="V45" i="2" s="1"/>
  <c r="T46" i="2"/>
  <c r="V46" i="2" s="1"/>
  <c r="T47" i="2"/>
  <c r="V47" i="2" s="1"/>
  <c r="T48" i="2"/>
  <c r="V48" i="2" s="1"/>
  <c r="T49" i="2"/>
  <c r="V49" i="2" s="1"/>
  <c r="T50" i="2"/>
  <c r="V50" i="2" s="1"/>
  <c r="T51" i="2"/>
  <c r="V51" i="2" s="1"/>
  <c r="T52" i="2"/>
  <c r="V52" i="2" s="1"/>
  <c r="T53" i="2"/>
  <c r="V53" i="2" s="1"/>
  <c r="T54" i="2"/>
  <c r="V54" i="2" s="1"/>
  <c r="T55" i="2"/>
  <c r="V55" i="2" s="1"/>
  <c r="T56" i="2"/>
  <c r="V56" i="2" s="1"/>
  <c r="T57" i="2"/>
  <c r="V57" i="2" s="1"/>
  <c r="T58" i="2"/>
  <c r="V58" i="2" s="1"/>
  <c r="T59" i="2"/>
  <c r="V59" i="2" s="1"/>
  <c r="T60" i="2"/>
  <c r="V60" i="2" s="1"/>
  <c r="T61" i="2"/>
  <c r="V61" i="2" s="1"/>
  <c r="T62" i="2"/>
  <c r="V62" i="2" s="1"/>
  <c r="T63" i="2"/>
  <c r="V63" i="2" s="1"/>
  <c r="T64" i="2"/>
  <c r="V64" i="2" s="1"/>
  <c r="T65" i="2"/>
  <c r="V65" i="2" s="1"/>
  <c r="T66" i="2"/>
  <c r="V66" i="2" s="1"/>
  <c r="T67" i="2"/>
  <c r="V67" i="2" s="1"/>
  <c r="T68" i="2"/>
  <c r="V68" i="2" s="1"/>
  <c r="T69" i="2"/>
  <c r="V69" i="2" s="1"/>
  <c r="T70" i="2"/>
  <c r="V70" i="2" s="1"/>
  <c r="T71" i="2"/>
  <c r="V71" i="2" s="1"/>
  <c r="T72" i="2"/>
  <c r="V72" i="2" s="1"/>
  <c r="T73" i="2"/>
  <c r="V73" i="2" s="1"/>
  <c r="T74" i="2"/>
  <c r="V74" i="2" s="1"/>
  <c r="T75" i="2"/>
  <c r="V75" i="2" s="1"/>
  <c r="T76" i="2"/>
  <c r="V76" i="2" s="1"/>
  <c r="T77" i="2"/>
  <c r="V77" i="2" s="1"/>
  <c r="T78" i="2"/>
  <c r="V78" i="2" s="1"/>
  <c r="T79" i="2"/>
  <c r="V79" i="2" s="1"/>
  <c r="T80" i="2"/>
  <c r="V80" i="2" s="1"/>
  <c r="T81" i="2"/>
  <c r="V81" i="2" s="1"/>
  <c r="T82" i="2"/>
  <c r="V82" i="2" s="1"/>
  <c r="T83" i="2"/>
  <c r="V83" i="2" s="1"/>
  <c r="T84" i="2"/>
  <c r="V84" i="2" s="1"/>
  <c r="T85" i="2"/>
  <c r="V85" i="2" s="1"/>
  <c r="T86" i="2"/>
  <c r="V86" i="2" s="1"/>
  <c r="T87" i="2"/>
  <c r="V87" i="2" s="1"/>
  <c r="T88" i="2"/>
  <c r="V88" i="2" s="1"/>
  <c r="T89" i="2"/>
  <c r="V89" i="2" s="1"/>
  <c r="T90" i="2"/>
  <c r="V90" i="2" s="1"/>
  <c r="T91" i="2"/>
  <c r="V91" i="2" s="1"/>
  <c r="T92" i="2"/>
  <c r="V92" i="2" s="1"/>
  <c r="T93" i="2"/>
  <c r="V93" i="2" s="1"/>
  <c r="T94" i="2"/>
  <c r="V94" i="2" s="1"/>
  <c r="T95" i="2"/>
  <c r="V95" i="2" s="1"/>
  <c r="T96" i="2"/>
  <c r="V96" i="2" s="1"/>
  <c r="T97" i="2"/>
  <c r="V97" i="2" s="1"/>
  <c r="T98" i="2"/>
  <c r="V98" i="2" s="1"/>
  <c r="T99" i="2"/>
  <c r="V99" i="2" s="1"/>
  <c r="T100" i="2"/>
  <c r="V100" i="2" s="1"/>
  <c r="T101" i="2"/>
  <c r="V101" i="2" s="1"/>
  <c r="T102" i="2"/>
  <c r="V102" i="2" s="1"/>
  <c r="T103" i="2"/>
  <c r="V103" i="2" s="1"/>
  <c r="T104" i="2"/>
  <c r="V104" i="2" s="1"/>
  <c r="T105" i="2"/>
  <c r="V105" i="2" s="1"/>
  <c r="T106" i="2"/>
  <c r="V106" i="2" s="1"/>
  <c r="T107" i="2"/>
  <c r="V107" i="2" s="1"/>
  <c r="T108" i="2"/>
  <c r="V108" i="2" s="1"/>
  <c r="T109" i="2"/>
  <c r="V109" i="2" s="1"/>
  <c r="T110" i="2"/>
  <c r="V110" i="2" s="1"/>
  <c r="T111" i="2"/>
  <c r="V111" i="2" s="1"/>
  <c r="T112" i="2"/>
  <c r="V112" i="2" s="1"/>
  <c r="T113" i="2"/>
  <c r="V113" i="2" s="1"/>
  <c r="T114" i="2"/>
  <c r="V114" i="2" s="1"/>
  <c r="T115" i="2"/>
  <c r="V115" i="2" s="1"/>
  <c r="T116" i="2"/>
  <c r="V116" i="2" s="1"/>
  <c r="T117" i="2"/>
  <c r="V117" i="2" s="1"/>
  <c r="T118" i="2"/>
  <c r="V118" i="2" s="1"/>
  <c r="T119" i="2"/>
  <c r="V119" i="2" s="1"/>
  <c r="T120" i="2"/>
  <c r="V120" i="2" s="1"/>
  <c r="T121" i="2"/>
  <c r="V121" i="2" s="1"/>
  <c r="T122" i="2"/>
  <c r="V122" i="2" s="1"/>
  <c r="T123" i="2"/>
  <c r="V123" i="2" s="1"/>
  <c r="T124" i="2"/>
  <c r="V124" i="2" s="1"/>
  <c r="T125" i="2"/>
  <c r="V125" i="2" s="1"/>
  <c r="T126" i="2"/>
  <c r="V126" i="2" s="1"/>
  <c r="T127" i="2"/>
  <c r="V127" i="2" s="1"/>
  <c r="T128" i="2"/>
  <c r="V128" i="2" s="1"/>
  <c r="T129" i="2"/>
  <c r="V129" i="2" s="1"/>
  <c r="T130" i="2"/>
  <c r="V130" i="2" s="1"/>
  <c r="T131" i="2"/>
  <c r="V131" i="2" s="1"/>
  <c r="T132" i="2"/>
  <c r="V132" i="2" s="1"/>
  <c r="T133" i="2"/>
  <c r="V133" i="2" s="1"/>
  <c r="T134" i="2"/>
  <c r="V134" i="2" s="1"/>
  <c r="T135" i="2"/>
  <c r="V135" i="2" s="1"/>
  <c r="T136" i="2"/>
  <c r="V136" i="2" s="1"/>
  <c r="T137" i="2"/>
  <c r="V137" i="2" s="1"/>
  <c r="T138" i="2"/>
  <c r="V138" i="2" s="1"/>
  <c r="T139" i="2"/>
  <c r="V139" i="2" s="1"/>
  <c r="T140" i="2"/>
  <c r="V140" i="2" s="1"/>
  <c r="T141" i="2"/>
  <c r="V141" i="2" s="1"/>
  <c r="T142" i="2"/>
  <c r="V142" i="2" s="1"/>
  <c r="T143" i="2"/>
  <c r="V143" i="2" s="1"/>
  <c r="T144" i="2"/>
  <c r="V144" i="2" s="1"/>
  <c r="T145" i="2"/>
  <c r="V145" i="2" s="1"/>
  <c r="T146" i="2"/>
  <c r="V146" i="2" s="1"/>
  <c r="T147" i="2"/>
  <c r="V147" i="2" s="1"/>
  <c r="T148" i="2"/>
  <c r="V148" i="2" s="1"/>
  <c r="T149" i="2"/>
  <c r="V149" i="2" s="1"/>
  <c r="T150" i="2"/>
  <c r="V150" i="2" s="1"/>
  <c r="T151" i="2"/>
  <c r="V151" i="2" s="1"/>
  <c r="T152" i="2"/>
  <c r="V152" i="2" s="1"/>
  <c r="T153" i="2"/>
  <c r="V153" i="2" s="1"/>
  <c r="T154" i="2"/>
  <c r="V154" i="2" s="1"/>
  <c r="T155" i="2"/>
  <c r="V155" i="2" s="1"/>
  <c r="T156" i="2"/>
  <c r="V156" i="2" s="1"/>
  <c r="T157" i="2"/>
  <c r="V157" i="2" s="1"/>
  <c r="T158" i="2"/>
  <c r="V158" i="2" s="1"/>
  <c r="T159" i="2"/>
  <c r="V159" i="2" s="1"/>
  <c r="T160" i="2"/>
  <c r="V160" i="2" s="1"/>
  <c r="T161" i="2"/>
  <c r="V161" i="2" s="1"/>
  <c r="T162" i="2"/>
  <c r="V162" i="2" s="1"/>
  <c r="T163" i="2"/>
  <c r="V163" i="2" s="1"/>
  <c r="T164" i="2"/>
  <c r="V164" i="2" s="1"/>
  <c r="T165" i="2"/>
  <c r="V165" i="2" s="1"/>
  <c r="T166" i="2"/>
  <c r="V166" i="2" s="1"/>
  <c r="T167" i="2"/>
  <c r="V167" i="2" s="1"/>
  <c r="T168" i="2"/>
  <c r="V168" i="2" s="1"/>
  <c r="T169" i="2"/>
  <c r="V169" i="2" s="1"/>
  <c r="T170" i="2"/>
  <c r="V170" i="2" s="1"/>
  <c r="T171" i="2"/>
  <c r="V171" i="2" s="1"/>
  <c r="T172" i="2"/>
  <c r="V172" i="2" s="1"/>
  <c r="T173" i="2"/>
  <c r="V173" i="2" s="1"/>
  <c r="T174" i="2"/>
  <c r="V174" i="2" s="1"/>
  <c r="T175" i="2"/>
  <c r="V175" i="2" s="1"/>
  <c r="T176" i="2"/>
  <c r="V176" i="2" s="1"/>
  <c r="T177" i="2"/>
  <c r="V177" i="2" s="1"/>
  <c r="T178" i="2"/>
  <c r="V178" i="2" s="1"/>
  <c r="T179" i="2"/>
  <c r="V179" i="2" s="1"/>
  <c r="T180" i="2"/>
  <c r="V180" i="2" s="1"/>
  <c r="T181" i="2"/>
  <c r="V181" i="2" s="1"/>
  <c r="T182" i="2"/>
  <c r="V182" i="2" s="1"/>
  <c r="T183" i="2"/>
  <c r="V183" i="2" s="1"/>
  <c r="T184" i="2"/>
  <c r="V184" i="2" s="1"/>
  <c r="T185" i="2"/>
  <c r="V185" i="2" s="1"/>
  <c r="T186" i="2"/>
  <c r="V186" i="2" s="1"/>
  <c r="T187" i="2"/>
  <c r="V187" i="2" s="1"/>
  <c r="T188" i="2"/>
  <c r="V188" i="2" s="1"/>
  <c r="T189" i="2"/>
  <c r="V189" i="2" s="1"/>
  <c r="T190" i="2"/>
  <c r="V190" i="2" s="1"/>
  <c r="T191" i="2"/>
  <c r="V191" i="2" s="1"/>
  <c r="T192" i="2"/>
  <c r="V192" i="2" s="1"/>
  <c r="T193" i="2"/>
  <c r="V193" i="2" s="1"/>
  <c r="T194" i="2"/>
  <c r="V194" i="2" s="1"/>
  <c r="T195" i="2"/>
  <c r="V195" i="2" s="1"/>
  <c r="T196" i="2"/>
  <c r="V196" i="2" s="1"/>
  <c r="T197" i="2"/>
  <c r="V197" i="2" s="1"/>
  <c r="T198" i="2"/>
  <c r="V198" i="2" s="1"/>
  <c r="T199" i="2"/>
  <c r="V199" i="2" s="1"/>
  <c r="T200" i="2"/>
  <c r="V200" i="2" s="1"/>
  <c r="T201" i="2"/>
  <c r="V201" i="2" s="1"/>
  <c r="T202" i="2"/>
  <c r="V202" i="2" s="1"/>
  <c r="T203" i="2"/>
  <c r="V203" i="2" s="1"/>
  <c r="T204" i="2"/>
  <c r="V204" i="2" s="1"/>
  <c r="T205" i="2"/>
  <c r="V205" i="2" s="1"/>
  <c r="T206" i="2"/>
  <c r="V206" i="2" s="1"/>
  <c r="T207" i="2"/>
  <c r="V207" i="2" s="1"/>
  <c r="T208" i="2"/>
  <c r="V208" i="2" s="1"/>
  <c r="T209" i="2"/>
  <c r="V209" i="2" s="1"/>
  <c r="T210" i="2"/>
  <c r="V210" i="2" s="1"/>
  <c r="T211" i="2"/>
  <c r="V211" i="2" s="1"/>
  <c r="T212" i="2"/>
  <c r="V212" i="2" s="1"/>
  <c r="T213" i="2"/>
  <c r="V213" i="2" s="1"/>
  <c r="T214" i="2"/>
  <c r="V214" i="2" s="1"/>
  <c r="T215" i="2"/>
  <c r="V215" i="2" s="1"/>
  <c r="T216" i="2"/>
  <c r="V216" i="2" s="1"/>
  <c r="T217" i="2"/>
  <c r="V217" i="2" s="1"/>
  <c r="T218" i="2"/>
  <c r="V218" i="2" s="1"/>
  <c r="T219" i="2"/>
  <c r="V219" i="2" s="1"/>
  <c r="T220" i="2"/>
  <c r="V220" i="2" s="1"/>
  <c r="T221" i="2"/>
  <c r="V221" i="2" s="1"/>
  <c r="T222" i="2"/>
  <c r="V222" i="2" s="1"/>
  <c r="T223" i="2"/>
  <c r="V223" i="2" s="1"/>
  <c r="T224" i="2"/>
  <c r="V224" i="2" s="1"/>
  <c r="T225" i="2"/>
  <c r="V225" i="2" s="1"/>
  <c r="T226" i="2"/>
  <c r="V226" i="2" s="1"/>
  <c r="T227" i="2"/>
  <c r="V227" i="2" s="1"/>
  <c r="T228" i="2"/>
  <c r="V228" i="2" s="1"/>
  <c r="T229" i="2"/>
  <c r="V229" i="2" s="1"/>
  <c r="T230" i="2"/>
  <c r="V230" i="2" s="1"/>
  <c r="T231" i="2"/>
  <c r="V231" i="2" s="1"/>
  <c r="T232" i="2"/>
  <c r="V232" i="2" s="1"/>
  <c r="T233" i="2"/>
  <c r="V233" i="2" s="1"/>
  <c r="T234" i="2"/>
  <c r="V234" i="2" s="1"/>
  <c r="T235" i="2"/>
  <c r="V235" i="2" s="1"/>
  <c r="T236" i="2"/>
  <c r="V236" i="2" s="1"/>
  <c r="T237" i="2"/>
  <c r="V237" i="2" s="1"/>
  <c r="T238" i="2"/>
  <c r="V238" i="2" s="1"/>
  <c r="T239" i="2"/>
  <c r="V239" i="2" s="1"/>
  <c r="T240" i="2"/>
  <c r="V240" i="2" s="1"/>
  <c r="T241" i="2"/>
  <c r="V241" i="2" s="1"/>
  <c r="T242" i="2"/>
  <c r="V242" i="2" s="1"/>
  <c r="T243" i="2"/>
  <c r="V243" i="2" s="1"/>
  <c r="T244" i="2"/>
  <c r="V244" i="2" s="1"/>
  <c r="T245" i="2"/>
  <c r="V245" i="2" s="1"/>
  <c r="T246" i="2"/>
  <c r="V246" i="2" s="1"/>
  <c r="T247" i="2"/>
  <c r="V247" i="2" s="1"/>
  <c r="T248" i="2"/>
  <c r="V248" i="2" s="1"/>
  <c r="T249" i="2"/>
  <c r="V249" i="2" s="1"/>
  <c r="T250" i="2"/>
  <c r="V250" i="2" s="1"/>
  <c r="T251" i="2"/>
  <c r="V251" i="2" s="1"/>
  <c r="T252" i="2"/>
  <c r="V252" i="2" s="1"/>
  <c r="T253" i="2"/>
  <c r="V253" i="2" s="1"/>
  <c r="T254" i="2"/>
  <c r="V254" i="2" s="1"/>
  <c r="T255" i="2"/>
  <c r="V255" i="2" s="1"/>
  <c r="T256" i="2"/>
  <c r="V256" i="2" s="1"/>
  <c r="T257" i="2"/>
  <c r="V257" i="2" s="1"/>
  <c r="T258" i="2"/>
  <c r="V258" i="2" s="1"/>
  <c r="T259" i="2"/>
  <c r="V259" i="2" s="1"/>
  <c r="T260" i="2"/>
  <c r="V260" i="2" s="1"/>
  <c r="T261" i="2"/>
  <c r="V261" i="2" s="1"/>
  <c r="T262" i="2"/>
  <c r="V262" i="2" s="1"/>
  <c r="T263" i="2"/>
  <c r="V263" i="2" s="1"/>
  <c r="T264" i="2"/>
  <c r="V264" i="2" s="1"/>
  <c r="T265" i="2"/>
  <c r="V265" i="2" s="1"/>
  <c r="T266" i="2"/>
  <c r="V266" i="2" s="1"/>
  <c r="T267" i="2"/>
  <c r="V267" i="2" s="1"/>
  <c r="T268" i="2"/>
  <c r="V268" i="2" s="1"/>
  <c r="T269" i="2"/>
  <c r="V269" i="2" s="1"/>
  <c r="T270" i="2"/>
  <c r="V270" i="2" s="1"/>
  <c r="T271" i="2"/>
  <c r="V271" i="2" s="1"/>
  <c r="T272" i="2"/>
  <c r="V272" i="2" s="1"/>
  <c r="T273" i="2"/>
  <c r="V273" i="2" s="1"/>
  <c r="T274" i="2"/>
  <c r="V274" i="2" s="1"/>
  <c r="T275" i="2"/>
  <c r="V275" i="2" s="1"/>
  <c r="T276" i="2"/>
  <c r="V276" i="2" s="1"/>
  <c r="T277" i="2"/>
  <c r="V277" i="2" s="1"/>
  <c r="T278" i="2"/>
  <c r="V278" i="2" s="1"/>
  <c r="T279" i="2"/>
  <c r="V279" i="2" s="1"/>
  <c r="T280" i="2"/>
  <c r="V280" i="2" s="1"/>
  <c r="T281" i="2"/>
  <c r="V281" i="2" s="1"/>
  <c r="T282" i="2"/>
  <c r="V282" i="2" s="1"/>
  <c r="T283" i="2"/>
  <c r="V283" i="2" s="1"/>
  <c r="T284" i="2"/>
  <c r="V284" i="2" s="1"/>
  <c r="T285" i="2"/>
  <c r="V285" i="2" s="1"/>
  <c r="T286" i="2"/>
  <c r="V286" i="2" s="1"/>
  <c r="T287" i="2"/>
  <c r="V287" i="2" s="1"/>
  <c r="T288" i="2"/>
  <c r="V288" i="2" s="1"/>
  <c r="T289" i="2"/>
  <c r="V289" i="2" s="1"/>
  <c r="T290" i="2"/>
  <c r="V290" i="2" s="1"/>
  <c r="T291" i="2"/>
  <c r="V291" i="2" s="1"/>
  <c r="T292" i="2"/>
  <c r="V292" i="2" s="1"/>
  <c r="T293" i="2"/>
  <c r="V293" i="2" s="1"/>
  <c r="T294" i="2"/>
  <c r="V294" i="2" s="1"/>
  <c r="T295" i="2"/>
  <c r="V295" i="2" s="1"/>
  <c r="T296" i="2"/>
  <c r="V296" i="2" s="1"/>
  <c r="T297" i="2"/>
  <c r="V297" i="2" s="1"/>
  <c r="T298" i="2"/>
  <c r="V298" i="2" s="1"/>
  <c r="T299" i="2"/>
  <c r="V299" i="2" s="1"/>
  <c r="T300" i="2"/>
  <c r="V300" i="2" s="1"/>
  <c r="T301" i="2"/>
  <c r="V301" i="2" s="1"/>
  <c r="T302" i="2"/>
  <c r="V302" i="2" s="1"/>
  <c r="T303" i="2"/>
  <c r="V303" i="2" s="1"/>
  <c r="T304" i="2"/>
  <c r="V304" i="2" s="1"/>
  <c r="T305" i="2"/>
  <c r="V305" i="2" s="1"/>
  <c r="T306" i="2"/>
  <c r="V306" i="2" s="1"/>
  <c r="T307" i="2"/>
  <c r="V307" i="2" s="1"/>
  <c r="T308" i="2"/>
  <c r="V308" i="2" s="1"/>
  <c r="T309" i="2"/>
  <c r="V309" i="2" s="1"/>
  <c r="T310" i="2"/>
  <c r="V310" i="2" s="1"/>
  <c r="T311" i="2"/>
  <c r="V311" i="2" s="1"/>
  <c r="T312" i="2"/>
  <c r="V312" i="2" s="1"/>
  <c r="T313" i="2"/>
  <c r="V313" i="2" s="1"/>
  <c r="T314" i="2"/>
  <c r="V314" i="2" s="1"/>
  <c r="T315" i="2"/>
  <c r="V315" i="2" s="1"/>
  <c r="T316" i="2"/>
  <c r="V316" i="2" s="1"/>
  <c r="T317" i="2"/>
  <c r="V317" i="2" s="1"/>
  <c r="T318" i="2"/>
  <c r="V318" i="2" s="1"/>
  <c r="T319" i="2"/>
  <c r="V319" i="2" s="1"/>
  <c r="T320" i="2"/>
  <c r="V320" i="2" s="1"/>
  <c r="T321" i="2"/>
  <c r="V321" i="2" s="1"/>
  <c r="T322" i="2"/>
  <c r="V322" i="2" s="1"/>
  <c r="T323" i="2"/>
  <c r="V323" i="2" s="1"/>
  <c r="T324" i="2"/>
  <c r="V324" i="2" s="1"/>
  <c r="T325" i="2"/>
  <c r="V325" i="2" s="1"/>
  <c r="T326" i="2"/>
  <c r="V326" i="2" s="1"/>
  <c r="T327" i="2"/>
  <c r="V327" i="2" s="1"/>
  <c r="T328" i="2"/>
  <c r="V328" i="2" s="1"/>
  <c r="T329" i="2"/>
  <c r="V329" i="2" s="1"/>
  <c r="T330" i="2"/>
  <c r="V330" i="2" s="1"/>
  <c r="T331" i="2"/>
  <c r="V331" i="2" s="1"/>
  <c r="T332" i="2"/>
  <c r="V332" i="2" s="1"/>
  <c r="T333" i="2"/>
  <c r="V333" i="2" s="1"/>
  <c r="T334" i="2"/>
  <c r="V334" i="2" s="1"/>
  <c r="T335" i="2"/>
  <c r="V335" i="2" s="1"/>
  <c r="T336" i="2"/>
  <c r="V336" i="2" s="1"/>
  <c r="T337" i="2"/>
  <c r="V337" i="2" s="1"/>
  <c r="T338" i="2"/>
  <c r="V338" i="2" s="1"/>
  <c r="T339" i="2"/>
  <c r="V339" i="2" s="1"/>
  <c r="T340" i="2"/>
  <c r="V340" i="2" s="1"/>
  <c r="T341" i="2"/>
  <c r="V341" i="2" s="1"/>
  <c r="T342" i="2"/>
  <c r="V342" i="2" s="1"/>
  <c r="T343" i="2"/>
  <c r="V343" i="2" s="1"/>
  <c r="T344" i="2"/>
  <c r="V344" i="2" s="1"/>
  <c r="T345" i="2"/>
  <c r="V345" i="2" s="1"/>
  <c r="T346" i="2"/>
  <c r="V346" i="2" s="1"/>
  <c r="T347" i="2"/>
  <c r="V347" i="2" s="1"/>
  <c r="T348" i="2"/>
  <c r="V348" i="2" s="1"/>
  <c r="T349" i="2"/>
  <c r="V349" i="2" s="1"/>
  <c r="T350" i="2"/>
  <c r="V350" i="2" s="1"/>
  <c r="T351" i="2"/>
  <c r="V351" i="2" s="1"/>
  <c r="T352" i="2"/>
  <c r="V352" i="2" s="1"/>
  <c r="T353" i="2"/>
  <c r="V353" i="2" s="1"/>
  <c r="T354" i="2"/>
  <c r="V354" i="2" s="1"/>
  <c r="T355" i="2"/>
  <c r="V355" i="2" s="1"/>
  <c r="T356" i="2"/>
  <c r="V356" i="2" s="1"/>
  <c r="T357" i="2"/>
  <c r="V357" i="2" s="1"/>
  <c r="T358" i="2"/>
  <c r="V358" i="2" s="1"/>
  <c r="T359" i="2"/>
  <c r="V359" i="2" s="1"/>
  <c r="T360" i="2"/>
  <c r="V360" i="2" s="1"/>
  <c r="T361" i="2"/>
  <c r="V361" i="2" s="1"/>
  <c r="T362" i="2"/>
  <c r="V362" i="2" s="1"/>
  <c r="T363" i="2"/>
  <c r="V363" i="2" s="1"/>
  <c r="T364" i="2"/>
  <c r="V364" i="2" s="1"/>
  <c r="T365" i="2"/>
  <c r="V365" i="2" s="1"/>
  <c r="T366" i="2"/>
  <c r="V366" i="2" s="1"/>
  <c r="T367" i="2"/>
  <c r="V367" i="2" s="1"/>
  <c r="T368" i="2"/>
  <c r="V368" i="2" s="1"/>
  <c r="T369" i="2"/>
  <c r="V369" i="2" s="1"/>
  <c r="T370" i="2"/>
  <c r="V370" i="2" s="1"/>
  <c r="T371" i="2"/>
  <c r="V371" i="2" s="1"/>
  <c r="T372" i="2"/>
  <c r="V372" i="2" s="1"/>
  <c r="T373" i="2"/>
  <c r="V373" i="2" s="1"/>
  <c r="T374" i="2"/>
  <c r="V374" i="2" s="1"/>
  <c r="T375" i="2"/>
  <c r="V375" i="2" s="1"/>
  <c r="T376" i="2"/>
  <c r="V376" i="2" s="1"/>
  <c r="T377" i="2"/>
  <c r="V377" i="2" s="1"/>
  <c r="T378" i="2"/>
  <c r="V378" i="2" s="1"/>
  <c r="T379" i="2"/>
  <c r="V379" i="2" s="1"/>
  <c r="T380" i="2"/>
  <c r="V380" i="2" s="1"/>
  <c r="T381" i="2"/>
  <c r="V381" i="2" s="1"/>
  <c r="T382" i="2"/>
  <c r="V382" i="2" s="1"/>
  <c r="T383" i="2"/>
  <c r="V383" i="2" s="1"/>
  <c r="T384" i="2"/>
  <c r="V384" i="2" s="1"/>
  <c r="T385" i="2"/>
  <c r="V385" i="2" s="1"/>
  <c r="T386" i="2"/>
  <c r="V386" i="2" s="1"/>
  <c r="T387" i="2"/>
  <c r="V387" i="2" s="1"/>
  <c r="T388" i="2"/>
  <c r="V388" i="2" s="1"/>
  <c r="T389" i="2"/>
  <c r="V389" i="2" s="1"/>
  <c r="T390" i="2"/>
  <c r="V390" i="2" s="1"/>
  <c r="T391" i="2"/>
  <c r="V391" i="2" s="1"/>
  <c r="T392" i="2"/>
  <c r="V392" i="2" s="1"/>
  <c r="T393" i="2"/>
  <c r="V393" i="2" s="1"/>
  <c r="T394" i="2"/>
  <c r="V394" i="2" s="1"/>
  <c r="T395" i="2"/>
  <c r="V395" i="2" s="1"/>
  <c r="T396" i="2"/>
  <c r="V396" i="2" s="1"/>
  <c r="T397" i="2"/>
  <c r="V397" i="2" s="1"/>
  <c r="T398" i="2"/>
  <c r="V398" i="2" s="1"/>
  <c r="T399" i="2"/>
  <c r="V399" i="2" s="1"/>
  <c r="T400" i="2"/>
  <c r="V400" i="2" s="1"/>
  <c r="T401" i="2"/>
  <c r="V401" i="2" s="1"/>
  <c r="T402" i="2"/>
  <c r="V402" i="2" s="1"/>
  <c r="T403" i="2"/>
  <c r="V403" i="2" s="1"/>
  <c r="T404" i="2"/>
  <c r="V404" i="2" s="1"/>
  <c r="T405" i="2"/>
  <c r="V405" i="2" s="1"/>
  <c r="T406" i="2"/>
  <c r="V406" i="2" s="1"/>
  <c r="T407" i="2"/>
  <c r="V407" i="2" s="1"/>
  <c r="T408" i="2"/>
  <c r="V408" i="2" s="1"/>
  <c r="T409" i="2"/>
  <c r="V409" i="2" s="1"/>
  <c r="T410" i="2"/>
  <c r="V410" i="2" s="1"/>
  <c r="T411" i="2"/>
  <c r="V411" i="2" s="1"/>
  <c r="T412" i="2"/>
  <c r="V412" i="2" s="1"/>
  <c r="T413" i="2"/>
  <c r="V413" i="2" s="1"/>
  <c r="T414" i="2"/>
  <c r="V414" i="2" s="1"/>
  <c r="T415" i="2"/>
  <c r="V415" i="2" s="1"/>
  <c r="T416" i="2"/>
  <c r="V416" i="2" s="1"/>
  <c r="T417" i="2"/>
  <c r="V417" i="2" s="1"/>
  <c r="T418" i="2"/>
  <c r="V418" i="2" s="1"/>
  <c r="T419" i="2"/>
  <c r="V419" i="2" s="1"/>
  <c r="T420" i="2"/>
  <c r="V420" i="2" s="1"/>
  <c r="T421" i="2"/>
  <c r="V421" i="2" s="1"/>
  <c r="T422" i="2"/>
  <c r="V422" i="2" s="1"/>
  <c r="T423" i="2"/>
  <c r="V423" i="2" s="1"/>
  <c r="T424" i="2"/>
  <c r="V424" i="2" s="1"/>
  <c r="T425" i="2"/>
  <c r="V425" i="2" s="1"/>
  <c r="T426" i="2"/>
  <c r="V426" i="2" s="1"/>
  <c r="T427" i="2"/>
  <c r="V427" i="2" s="1"/>
  <c r="T428" i="2"/>
  <c r="V428" i="2" s="1"/>
  <c r="T429" i="2"/>
  <c r="V429" i="2" s="1"/>
  <c r="T430" i="2"/>
  <c r="V430" i="2" s="1"/>
  <c r="T431" i="2"/>
  <c r="V431" i="2" s="1"/>
  <c r="T432" i="2"/>
  <c r="V432" i="2" s="1"/>
  <c r="T433" i="2"/>
  <c r="V433" i="2" s="1"/>
  <c r="T434" i="2"/>
  <c r="V434" i="2" s="1"/>
  <c r="T435" i="2"/>
  <c r="V435" i="2" s="1"/>
  <c r="T436" i="2"/>
  <c r="V436" i="2" s="1"/>
  <c r="T437" i="2"/>
  <c r="V437" i="2" s="1"/>
  <c r="T438" i="2"/>
  <c r="V438" i="2" s="1"/>
  <c r="T439" i="2"/>
  <c r="V439" i="2" s="1"/>
  <c r="T440" i="2"/>
  <c r="V440" i="2" s="1"/>
  <c r="T441" i="2"/>
  <c r="V441" i="2" s="1"/>
  <c r="T442" i="2"/>
  <c r="V442" i="2" s="1"/>
  <c r="T443" i="2"/>
  <c r="V443" i="2" s="1"/>
  <c r="T444" i="2"/>
  <c r="V444" i="2" s="1"/>
  <c r="T445" i="2"/>
  <c r="V445" i="2" s="1"/>
  <c r="T446" i="2"/>
  <c r="V446" i="2" s="1"/>
  <c r="T447" i="2"/>
  <c r="V447" i="2" s="1"/>
  <c r="T448" i="2"/>
  <c r="V448" i="2" s="1"/>
  <c r="T449" i="2"/>
  <c r="V449" i="2" s="1"/>
  <c r="T450" i="2"/>
  <c r="V450" i="2" s="1"/>
  <c r="T451" i="2"/>
  <c r="V451" i="2" s="1"/>
  <c r="T452" i="2"/>
  <c r="V452" i="2" s="1"/>
  <c r="T453" i="2"/>
  <c r="V453" i="2" s="1"/>
  <c r="T454" i="2"/>
  <c r="V454" i="2" s="1"/>
  <c r="T455" i="2"/>
  <c r="V455" i="2" s="1"/>
  <c r="T456" i="2"/>
  <c r="V456" i="2" s="1"/>
  <c r="T457" i="2"/>
  <c r="V457" i="2" s="1"/>
  <c r="T458" i="2"/>
  <c r="V458" i="2" s="1"/>
  <c r="T459" i="2"/>
  <c r="V459" i="2" s="1"/>
  <c r="T460" i="2"/>
  <c r="V460" i="2" s="1"/>
  <c r="T461" i="2"/>
  <c r="V461" i="2" s="1"/>
  <c r="T462" i="2"/>
  <c r="V462" i="2" s="1"/>
  <c r="T463" i="2"/>
  <c r="V463" i="2" s="1"/>
  <c r="T464" i="2"/>
  <c r="V464" i="2" s="1"/>
  <c r="T465" i="2"/>
  <c r="V465" i="2" s="1"/>
  <c r="T466" i="2"/>
  <c r="V466" i="2" s="1"/>
  <c r="T467" i="2"/>
  <c r="V467" i="2" s="1"/>
  <c r="T468" i="2"/>
  <c r="V468" i="2" s="1"/>
  <c r="T469" i="2"/>
  <c r="V469" i="2" s="1"/>
  <c r="T470" i="2"/>
  <c r="V470" i="2" s="1"/>
  <c r="T471" i="2"/>
  <c r="V471" i="2" s="1"/>
  <c r="T472" i="2"/>
  <c r="V472" i="2" s="1"/>
  <c r="T473" i="2"/>
  <c r="V473" i="2" s="1"/>
  <c r="T474" i="2"/>
  <c r="V474" i="2" s="1"/>
  <c r="T475" i="2"/>
  <c r="V475" i="2" s="1"/>
  <c r="T476" i="2"/>
  <c r="V476" i="2" s="1"/>
  <c r="T477" i="2"/>
  <c r="V477" i="2" s="1"/>
  <c r="T478" i="2"/>
  <c r="V478" i="2" s="1"/>
  <c r="T479" i="2"/>
  <c r="V479" i="2" s="1"/>
  <c r="T480" i="2"/>
  <c r="V480" i="2" s="1"/>
  <c r="T481" i="2"/>
  <c r="V481" i="2" s="1"/>
  <c r="T482" i="2"/>
  <c r="V482" i="2" s="1"/>
  <c r="T483" i="2"/>
  <c r="V483" i="2" s="1"/>
  <c r="T484" i="2"/>
  <c r="V484" i="2" s="1"/>
  <c r="T485" i="2"/>
  <c r="V485" i="2" s="1"/>
  <c r="T486" i="2"/>
  <c r="V486" i="2" s="1"/>
  <c r="T487" i="2"/>
  <c r="V487" i="2" s="1"/>
  <c r="T488" i="2"/>
  <c r="V488" i="2" s="1"/>
  <c r="T489" i="2"/>
  <c r="V489" i="2" s="1"/>
  <c r="T490" i="2"/>
  <c r="V490" i="2" s="1"/>
  <c r="T491" i="2"/>
  <c r="V491" i="2" s="1"/>
  <c r="T492" i="2"/>
  <c r="V492" i="2" s="1"/>
  <c r="T493" i="2"/>
  <c r="V493" i="2" s="1"/>
  <c r="T494" i="2"/>
  <c r="V494" i="2" s="1"/>
  <c r="T495" i="2"/>
  <c r="V495" i="2" s="1"/>
  <c r="T496" i="2"/>
  <c r="V496" i="2" s="1"/>
  <c r="T497" i="2"/>
  <c r="V497" i="2" s="1"/>
  <c r="T498" i="2"/>
  <c r="V498" i="2" s="1"/>
  <c r="T499" i="2"/>
  <c r="V499" i="2" s="1"/>
  <c r="T500" i="2"/>
  <c r="V500" i="2" s="1"/>
  <c r="T501" i="2"/>
  <c r="V501" i="2" s="1"/>
  <c r="T502" i="2"/>
  <c r="V502" i="2" s="1"/>
  <c r="T503" i="2"/>
  <c r="V503" i="2" s="1"/>
  <c r="T504" i="2"/>
  <c r="V504" i="2" s="1"/>
  <c r="T505" i="2"/>
  <c r="V505" i="2" s="1"/>
  <c r="T506" i="2"/>
  <c r="V506" i="2" s="1"/>
  <c r="T507" i="2"/>
  <c r="V507" i="2" s="1"/>
  <c r="T508" i="2"/>
  <c r="V508" i="2" s="1"/>
  <c r="T509" i="2"/>
  <c r="V509" i="2" s="1"/>
  <c r="T510" i="2"/>
  <c r="V510" i="2" s="1"/>
  <c r="T511" i="2"/>
  <c r="V511" i="2" s="1"/>
  <c r="T512" i="2"/>
  <c r="V512" i="2" s="1"/>
  <c r="T513" i="2"/>
  <c r="V513" i="2" s="1"/>
  <c r="T514" i="2"/>
  <c r="V514" i="2" s="1"/>
  <c r="T515" i="2"/>
  <c r="V515" i="2" s="1"/>
  <c r="T516" i="2"/>
  <c r="V516" i="2" s="1"/>
  <c r="T517" i="2"/>
  <c r="V517" i="2" s="1"/>
  <c r="T518" i="2"/>
  <c r="V518" i="2" s="1"/>
  <c r="T519" i="2"/>
  <c r="V519" i="2" s="1"/>
  <c r="T520" i="2"/>
  <c r="V520" i="2" s="1"/>
  <c r="T521" i="2"/>
  <c r="V521" i="2" s="1"/>
  <c r="T522" i="2"/>
  <c r="V522" i="2" s="1"/>
  <c r="T523" i="2"/>
  <c r="V523" i="2" s="1"/>
  <c r="T524" i="2"/>
  <c r="V524" i="2" s="1"/>
  <c r="T525" i="2"/>
  <c r="V525" i="2" s="1"/>
  <c r="T526" i="2"/>
  <c r="V526" i="2" s="1"/>
  <c r="T527" i="2"/>
  <c r="V527" i="2" s="1"/>
  <c r="T528" i="2"/>
  <c r="V528" i="2" s="1"/>
  <c r="T529" i="2"/>
  <c r="V529" i="2" s="1"/>
  <c r="T530" i="2"/>
  <c r="V530" i="2" s="1"/>
  <c r="T531" i="2"/>
  <c r="V531" i="2" s="1"/>
  <c r="T532" i="2"/>
  <c r="V532" i="2" s="1"/>
  <c r="T533" i="2"/>
  <c r="V533" i="2" s="1"/>
  <c r="T534" i="2"/>
  <c r="V534" i="2" s="1"/>
  <c r="T535" i="2"/>
  <c r="V535" i="2" s="1"/>
  <c r="T536" i="2"/>
  <c r="V536" i="2" s="1"/>
  <c r="T537" i="2"/>
  <c r="V537" i="2" s="1"/>
  <c r="T538" i="2"/>
  <c r="V538" i="2" s="1"/>
  <c r="T539" i="2"/>
  <c r="V539" i="2" s="1"/>
  <c r="T540" i="2"/>
  <c r="V540" i="2" s="1"/>
  <c r="T541" i="2"/>
  <c r="V541" i="2" s="1"/>
  <c r="T542" i="2"/>
  <c r="V542" i="2" s="1"/>
  <c r="T543" i="2"/>
  <c r="V543" i="2" s="1"/>
  <c r="T544" i="2"/>
  <c r="V544" i="2" s="1"/>
  <c r="T545" i="2"/>
  <c r="V545" i="2" s="1"/>
  <c r="T546" i="2"/>
  <c r="V546" i="2" s="1"/>
  <c r="T547" i="2"/>
  <c r="V547" i="2" s="1"/>
  <c r="T548" i="2"/>
  <c r="V548" i="2" s="1"/>
  <c r="T549" i="2"/>
  <c r="V549" i="2" s="1"/>
  <c r="T550" i="2"/>
  <c r="V550" i="2" s="1"/>
  <c r="T551" i="2"/>
  <c r="V551" i="2" s="1"/>
  <c r="T552" i="2"/>
  <c r="V552" i="2" s="1"/>
  <c r="T553" i="2"/>
  <c r="V553" i="2" s="1"/>
  <c r="T554" i="2"/>
  <c r="V554" i="2" s="1"/>
  <c r="T555" i="2"/>
  <c r="V555" i="2" s="1"/>
  <c r="T556" i="2"/>
  <c r="V556" i="2" s="1"/>
  <c r="T557" i="2"/>
  <c r="V557" i="2" s="1"/>
  <c r="T558" i="2"/>
  <c r="V558" i="2" s="1"/>
  <c r="T559" i="2"/>
  <c r="V559" i="2" s="1"/>
  <c r="T560" i="2"/>
  <c r="V560" i="2" s="1"/>
  <c r="T561" i="2"/>
  <c r="V561" i="2" s="1"/>
  <c r="T562" i="2"/>
  <c r="V562" i="2" s="1"/>
  <c r="T563" i="2"/>
  <c r="V563" i="2" s="1"/>
  <c r="T564" i="2"/>
  <c r="V564" i="2" s="1"/>
  <c r="T565" i="2"/>
  <c r="V565" i="2" s="1"/>
  <c r="T566" i="2"/>
  <c r="V566" i="2" s="1"/>
  <c r="T567" i="2"/>
  <c r="V567" i="2" s="1"/>
  <c r="T568" i="2"/>
  <c r="V568" i="2" s="1"/>
  <c r="T569" i="2"/>
  <c r="V569" i="2" s="1"/>
  <c r="T570" i="2"/>
  <c r="V570" i="2" s="1"/>
  <c r="T571" i="2"/>
  <c r="V571" i="2" s="1"/>
  <c r="T572" i="2"/>
  <c r="V572" i="2" s="1"/>
  <c r="T573" i="2"/>
  <c r="V573" i="2" s="1"/>
  <c r="T574" i="2"/>
  <c r="V574" i="2" s="1"/>
  <c r="T575" i="2"/>
  <c r="V575" i="2" s="1"/>
  <c r="T576" i="2"/>
  <c r="V576" i="2" s="1"/>
  <c r="T577" i="2"/>
  <c r="V577" i="2" s="1"/>
  <c r="T578" i="2"/>
  <c r="V578" i="2" s="1"/>
  <c r="T579" i="2"/>
  <c r="V579" i="2" s="1"/>
  <c r="T580" i="2"/>
  <c r="V580" i="2" s="1"/>
  <c r="T581" i="2"/>
  <c r="V581" i="2" s="1"/>
  <c r="T582" i="2"/>
  <c r="V582" i="2" s="1"/>
  <c r="T583" i="2"/>
  <c r="V583" i="2" s="1"/>
  <c r="T584" i="2"/>
  <c r="V584" i="2" s="1"/>
  <c r="T585" i="2"/>
  <c r="V585" i="2" s="1"/>
  <c r="T586" i="2"/>
  <c r="V586" i="2" s="1"/>
  <c r="T587" i="2"/>
  <c r="V587" i="2" s="1"/>
  <c r="T588" i="2"/>
  <c r="V588" i="2" s="1"/>
  <c r="T589" i="2"/>
  <c r="V589" i="2" s="1"/>
  <c r="T590" i="2"/>
  <c r="V590" i="2" s="1"/>
  <c r="T591" i="2"/>
  <c r="V591" i="2" s="1"/>
  <c r="T592" i="2"/>
  <c r="V592" i="2" s="1"/>
  <c r="T593" i="2"/>
  <c r="V593" i="2" s="1"/>
  <c r="T594" i="2"/>
  <c r="V594" i="2" s="1"/>
  <c r="T595" i="2"/>
  <c r="V595" i="2" s="1"/>
  <c r="T596" i="2"/>
  <c r="V596" i="2" s="1"/>
  <c r="T597" i="2"/>
  <c r="V597" i="2" s="1"/>
  <c r="T598" i="2"/>
  <c r="V598" i="2" s="1"/>
  <c r="T599" i="2"/>
  <c r="V599" i="2" s="1"/>
  <c r="T600" i="2"/>
  <c r="V600" i="2" s="1"/>
  <c r="T601" i="2"/>
  <c r="V601" i="2" s="1"/>
  <c r="T602" i="2"/>
  <c r="V602" i="2" s="1"/>
  <c r="T603" i="2"/>
  <c r="V603" i="2" s="1"/>
  <c r="T604" i="2"/>
  <c r="V604" i="2" s="1"/>
  <c r="T605" i="2"/>
  <c r="V605" i="2" s="1"/>
  <c r="T606" i="2"/>
  <c r="V606" i="2" s="1"/>
  <c r="T607" i="2"/>
  <c r="V607" i="2" s="1"/>
  <c r="T608" i="2"/>
  <c r="V608" i="2" s="1"/>
  <c r="T609" i="2"/>
  <c r="V609" i="2" s="1"/>
  <c r="T610" i="2"/>
  <c r="V610" i="2" s="1"/>
  <c r="T611" i="2"/>
  <c r="V611" i="2" s="1"/>
  <c r="T612" i="2"/>
  <c r="V612" i="2" s="1"/>
  <c r="T613" i="2"/>
  <c r="V613" i="2" s="1"/>
  <c r="T614" i="2"/>
  <c r="V614" i="2" s="1"/>
  <c r="T615" i="2"/>
  <c r="V615" i="2" s="1"/>
  <c r="T616" i="2"/>
  <c r="V616" i="2" s="1"/>
  <c r="T617" i="2"/>
  <c r="V617" i="2" s="1"/>
  <c r="T618" i="2"/>
  <c r="V618" i="2" s="1"/>
  <c r="T619" i="2"/>
  <c r="V619" i="2" s="1"/>
  <c r="T620" i="2"/>
  <c r="V620" i="2" s="1"/>
  <c r="T621" i="2"/>
  <c r="V621" i="2" s="1"/>
  <c r="T622" i="2"/>
  <c r="V622" i="2" s="1"/>
  <c r="T623" i="2"/>
  <c r="V623" i="2" s="1"/>
  <c r="T624" i="2"/>
  <c r="V624" i="2" s="1"/>
  <c r="T625" i="2"/>
  <c r="V625" i="2" s="1"/>
  <c r="T626" i="2"/>
  <c r="V626" i="2" s="1"/>
  <c r="T627" i="2"/>
  <c r="V627" i="2" s="1"/>
  <c r="T628" i="2"/>
  <c r="V628" i="2" s="1"/>
  <c r="T629" i="2"/>
  <c r="V629" i="2" s="1"/>
  <c r="T630" i="2"/>
  <c r="V630" i="2" s="1"/>
  <c r="T631" i="2"/>
  <c r="V631" i="2" s="1"/>
  <c r="T632" i="2"/>
  <c r="V632" i="2" s="1"/>
  <c r="T633" i="2"/>
  <c r="V633" i="2" s="1"/>
  <c r="T634" i="2"/>
  <c r="V634" i="2" s="1"/>
  <c r="T635" i="2"/>
  <c r="V635" i="2" s="1"/>
  <c r="T636" i="2"/>
  <c r="V636" i="2" s="1"/>
  <c r="T637" i="2"/>
  <c r="V637" i="2" s="1"/>
  <c r="T638" i="2"/>
  <c r="V638" i="2" s="1"/>
  <c r="T639" i="2"/>
  <c r="V639" i="2" s="1"/>
  <c r="T640" i="2"/>
  <c r="V640" i="2" s="1"/>
  <c r="T641" i="2"/>
  <c r="V641" i="2" s="1"/>
  <c r="T642" i="2"/>
  <c r="V642" i="2" s="1"/>
  <c r="T643" i="2"/>
  <c r="V643" i="2" s="1"/>
  <c r="T644" i="2"/>
  <c r="V644" i="2" s="1"/>
  <c r="T645" i="2"/>
  <c r="V645" i="2" s="1"/>
  <c r="T646" i="2"/>
  <c r="V646" i="2" s="1"/>
  <c r="T647" i="2"/>
  <c r="V647" i="2" s="1"/>
  <c r="T648" i="2"/>
  <c r="V648" i="2" s="1"/>
  <c r="T649" i="2"/>
  <c r="V649" i="2" s="1"/>
  <c r="T650" i="2"/>
  <c r="V650" i="2" s="1"/>
  <c r="T651" i="2"/>
  <c r="V651" i="2" s="1"/>
  <c r="T652" i="2"/>
  <c r="V652" i="2" s="1"/>
  <c r="T653" i="2"/>
  <c r="V653" i="2" s="1"/>
  <c r="T654" i="2"/>
  <c r="V654" i="2" s="1"/>
  <c r="T655" i="2"/>
  <c r="V655" i="2" s="1"/>
  <c r="T656" i="2"/>
  <c r="V656" i="2" s="1"/>
  <c r="T657" i="2"/>
  <c r="V657" i="2" s="1"/>
  <c r="T658" i="2"/>
  <c r="V658" i="2" s="1"/>
  <c r="T659" i="2"/>
  <c r="V659" i="2" s="1"/>
  <c r="T660" i="2"/>
  <c r="V660" i="2" s="1"/>
  <c r="T661" i="2"/>
  <c r="V661" i="2" s="1"/>
  <c r="T662" i="2"/>
  <c r="V662" i="2" s="1"/>
  <c r="T663" i="2"/>
  <c r="V663" i="2" s="1"/>
  <c r="T664" i="2"/>
  <c r="V664" i="2" s="1"/>
  <c r="T665" i="2"/>
  <c r="V665" i="2" s="1"/>
  <c r="T666" i="2"/>
  <c r="V666" i="2" s="1"/>
  <c r="T667" i="2"/>
  <c r="V667" i="2" s="1"/>
  <c r="T668" i="2"/>
  <c r="V668" i="2" s="1"/>
  <c r="T669" i="2"/>
  <c r="V669" i="2" s="1"/>
  <c r="T670" i="2"/>
  <c r="V670" i="2" s="1"/>
  <c r="T671" i="2"/>
  <c r="V671" i="2" s="1"/>
  <c r="T672" i="2"/>
  <c r="V672" i="2" s="1"/>
  <c r="T673" i="2"/>
  <c r="V673" i="2" s="1"/>
  <c r="T674" i="2"/>
  <c r="V674" i="2" s="1"/>
  <c r="T675" i="2"/>
  <c r="V675" i="2" s="1"/>
  <c r="T676" i="2"/>
  <c r="V676" i="2" s="1"/>
  <c r="T677" i="2"/>
  <c r="V677" i="2" s="1"/>
  <c r="T678" i="2"/>
  <c r="V678" i="2" s="1"/>
  <c r="T679" i="2"/>
  <c r="V679" i="2" s="1"/>
  <c r="T680" i="2"/>
  <c r="V680" i="2" s="1"/>
  <c r="T681" i="2"/>
  <c r="V681" i="2" s="1"/>
  <c r="T682" i="2"/>
  <c r="V682" i="2" s="1"/>
  <c r="T683" i="2"/>
  <c r="V683" i="2" s="1"/>
  <c r="T684" i="2"/>
  <c r="V684" i="2" s="1"/>
  <c r="T685" i="2"/>
  <c r="V685" i="2" s="1"/>
  <c r="T686" i="2"/>
  <c r="V686" i="2" s="1"/>
  <c r="T687" i="2"/>
  <c r="V687" i="2" s="1"/>
  <c r="T688" i="2"/>
  <c r="V688" i="2" s="1"/>
  <c r="T689" i="2"/>
  <c r="V689" i="2" s="1"/>
  <c r="T690" i="2"/>
  <c r="V690" i="2" s="1"/>
  <c r="T691" i="2"/>
  <c r="V691" i="2" s="1"/>
  <c r="T692" i="2"/>
  <c r="V692" i="2" s="1"/>
  <c r="T693" i="2"/>
  <c r="V693" i="2" s="1"/>
  <c r="T694" i="2"/>
  <c r="V694" i="2" s="1"/>
  <c r="T695" i="2"/>
  <c r="V695" i="2" s="1"/>
  <c r="T696" i="2"/>
  <c r="V696" i="2" s="1"/>
  <c r="T697" i="2"/>
  <c r="V697" i="2" s="1"/>
  <c r="T698" i="2"/>
  <c r="V698" i="2" s="1"/>
  <c r="T699" i="2"/>
  <c r="V699" i="2" s="1"/>
  <c r="T700" i="2"/>
  <c r="V700" i="2" s="1"/>
  <c r="T701" i="2"/>
  <c r="V701" i="2" s="1"/>
  <c r="T702" i="2"/>
  <c r="V702" i="2" s="1"/>
  <c r="T703" i="2"/>
  <c r="V703" i="2" s="1"/>
  <c r="T704" i="2"/>
  <c r="V704" i="2" s="1"/>
  <c r="T705" i="2"/>
  <c r="V705" i="2" s="1"/>
  <c r="T706" i="2"/>
  <c r="V706" i="2" s="1"/>
  <c r="T707" i="2"/>
  <c r="V707" i="2" s="1"/>
  <c r="T708" i="2"/>
  <c r="V708" i="2" s="1"/>
  <c r="T709" i="2"/>
  <c r="V709" i="2" s="1"/>
  <c r="T710" i="2"/>
  <c r="V710" i="2" s="1"/>
  <c r="T711" i="2"/>
  <c r="V711" i="2" s="1"/>
  <c r="T712" i="2"/>
  <c r="V712" i="2" s="1"/>
  <c r="T713" i="2"/>
  <c r="V713" i="2" s="1"/>
  <c r="T714" i="2"/>
  <c r="V714" i="2" s="1"/>
  <c r="T715" i="2"/>
  <c r="V715" i="2" s="1"/>
  <c r="T716" i="2"/>
  <c r="V716" i="2" s="1"/>
  <c r="T717" i="2"/>
  <c r="V717" i="2" s="1"/>
  <c r="T718" i="2"/>
  <c r="V718" i="2" s="1"/>
  <c r="T719" i="2"/>
  <c r="V719" i="2" s="1"/>
  <c r="T720" i="2"/>
  <c r="V720" i="2" s="1"/>
  <c r="T721" i="2"/>
  <c r="V721" i="2" s="1"/>
  <c r="T722" i="2"/>
  <c r="V722" i="2" s="1"/>
  <c r="T723" i="2"/>
  <c r="V723" i="2" s="1"/>
  <c r="T724" i="2"/>
  <c r="V724" i="2" s="1"/>
  <c r="T725" i="2"/>
  <c r="V725" i="2" s="1"/>
  <c r="T726" i="2"/>
  <c r="V726" i="2" s="1"/>
  <c r="T727" i="2"/>
  <c r="V727" i="2" s="1"/>
  <c r="T728" i="2"/>
  <c r="V728" i="2" s="1"/>
  <c r="T729" i="2"/>
  <c r="V729" i="2" s="1"/>
  <c r="T730" i="2"/>
  <c r="V730" i="2" s="1"/>
  <c r="T731" i="2"/>
  <c r="V731" i="2" s="1"/>
  <c r="T732" i="2"/>
  <c r="V732" i="2" s="1"/>
  <c r="T733" i="2"/>
  <c r="V733" i="2" s="1"/>
  <c r="T734" i="2"/>
  <c r="V734" i="2" s="1"/>
  <c r="T735" i="2"/>
  <c r="V735" i="2" s="1"/>
  <c r="T736" i="2"/>
  <c r="V736" i="2" s="1"/>
  <c r="T737" i="2"/>
  <c r="V737" i="2" s="1"/>
  <c r="T738" i="2"/>
  <c r="V738" i="2" s="1"/>
  <c r="T739" i="2"/>
  <c r="V739" i="2" s="1"/>
  <c r="T740" i="2"/>
  <c r="V740" i="2" s="1"/>
  <c r="T741" i="2"/>
  <c r="V741" i="2" s="1"/>
  <c r="T742" i="2"/>
  <c r="V742" i="2" s="1"/>
  <c r="T743" i="2"/>
  <c r="V743" i="2" s="1"/>
  <c r="T744" i="2"/>
  <c r="V744" i="2" s="1"/>
  <c r="T745" i="2"/>
  <c r="V745" i="2" s="1"/>
  <c r="T746" i="2"/>
  <c r="V746" i="2" s="1"/>
  <c r="T747" i="2"/>
  <c r="V747" i="2" s="1"/>
  <c r="T748" i="2"/>
  <c r="V748" i="2" s="1"/>
  <c r="T749" i="2"/>
  <c r="V749" i="2" s="1"/>
  <c r="T750" i="2"/>
  <c r="V750" i="2" s="1"/>
  <c r="T751" i="2"/>
  <c r="V751" i="2" s="1"/>
  <c r="T752" i="2"/>
  <c r="V752" i="2" s="1"/>
  <c r="T753" i="2"/>
  <c r="V753" i="2" s="1"/>
  <c r="T754" i="2"/>
  <c r="V754" i="2" s="1"/>
  <c r="T755" i="2"/>
  <c r="V755" i="2" s="1"/>
  <c r="T756" i="2"/>
  <c r="V756" i="2" s="1"/>
  <c r="T757" i="2"/>
  <c r="V757" i="2" s="1"/>
  <c r="T758" i="2"/>
  <c r="V758" i="2" s="1"/>
  <c r="T759" i="2"/>
  <c r="V759" i="2" s="1"/>
  <c r="T760" i="2"/>
  <c r="V760" i="2" s="1"/>
  <c r="T761" i="2"/>
  <c r="V761" i="2" s="1"/>
  <c r="T762" i="2"/>
  <c r="V762" i="2" s="1"/>
  <c r="T763" i="2"/>
  <c r="V763" i="2" s="1"/>
  <c r="T764" i="2"/>
  <c r="V764" i="2" s="1"/>
  <c r="T765" i="2"/>
  <c r="V765" i="2" s="1"/>
  <c r="T766" i="2"/>
  <c r="V766" i="2" s="1"/>
  <c r="T767" i="2"/>
  <c r="V767" i="2" s="1"/>
  <c r="T768" i="2"/>
  <c r="V768" i="2" s="1"/>
  <c r="T769" i="2"/>
  <c r="V769" i="2" s="1"/>
  <c r="T770" i="2"/>
  <c r="V770" i="2" s="1"/>
  <c r="T771" i="2"/>
  <c r="V771" i="2" s="1"/>
  <c r="T772" i="2"/>
  <c r="V772" i="2" s="1"/>
  <c r="T773" i="2"/>
  <c r="V773" i="2" s="1"/>
  <c r="T774" i="2"/>
  <c r="V774" i="2" s="1"/>
  <c r="T775" i="2"/>
  <c r="V775" i="2" s="1"/>
  <c r="T776" i="2"/>
  <c r="V776" i="2" s="1"/>
  <c r="T777" i="2"/>
  <c r="V777" i="2" s="1"/>
  <c r="T778" i="2"/>
  <c r="V778" i="2" s="1"/>
  <c r="T779" i="2"/>
  <c r="V779" i="2" s="1"/>
  <c r="T780" i="2"/>
  <c r="V780" i="2" s="1"/>
  <c r="T781" i="2"/>
  <c r="V781" i="2" s="1"/>
  <c r="T782" i="2"/>
  <c r="V782" i="2" s="1"/>
  <c r="T783" i="2"/>
  <c r="V783" i="2" s="1"/>
  <c r="T784" i="2"/>
  <c r="V784" i="2" s="1"/>
  <c r="T785" i="2"/>
  <c r="V785" i="2" s="1"/>
  <c r="T786" i="2"/>
  <c r="V786" i="2" s="1"/>
  <c r="T787" i="2"/>
  <c r="V787" i="2" s="1"/>
  <c r="T788" i="2"/>
  <c r="V788" i="2" s="1"/>
  <c r="T789" i="2"/>
  <c r="V789" i="2" s="1"/>
  <c r="T790" i="2"/>
  <c r="V790" i="2" s="1"/>
  <c r="T791" i="2"/>
  <c r="V791" i="2" s="1"/>
  <c r="T792" i="2"/>
  <c r="V792" i="2" s="1"/>
  <c r="T793" i="2"/>
  <c r="V793" i="2" s="1"/>
  <c r="T794" i="2"/>
  <c r="V794" i="2" s="1"/>
  <c r="T795" i="2"/>
  <c r="V795" i="2" s="1"/>
  <c r="T796" i="2"/>
  <c r="V796" i="2" s="1"/>
  <c r="T797" i="2"/>
  <c r="V797" i="2" s="1"/>
  <c r="T798" i="2"/>
  <c r="V798" i="2" s="1"/>
  <c r="T799" i="2"/>
  <c r="V799" i="2" s="1"/>
  <c r="T800" i="2"/>
  <c r="V800" i="2" s="1"/>
  <c r="T801" i="2"/>
  <c r="V801" i="2" s="1"/>
  <c r="T802" i="2"/>
  <c r="V802" i="2" s="1"/>
  <c r="T803" i="2"/>
  <c r="V803" i="2" s="1"/>
  <c r="T804" i="2"/>
  <c r="V804" i="2" s="1"/>
  <c r="T805" i="2"/>
  <c r="V805" i="2" s="1"/>
  <c r="T806" i="2"/>
  <c r="V806" i="2" s="1"/>
  <c r="T807" i="2"/>
  <c r="V807" i="2" s="1"/>
  <c r="T808" i="2"/>
  <c r="V808" i="2" s="1"/>
  <c r="T809" i="2"/>
  <c r="V809" i="2" s="1"/>
  <c r="T810" i="2"/>
  <c r="V810" i="2" s="1"/>
  <c r="T811" i="2"/>
  <c r="V811" i="2" s="1"/>
  <c r="T812" i="2"/>
  <c r="V812" i="2" s="1"/>
  <c r="T813" i="2"/>
  <c r="V813" i="2" s="1"/>
  <c r="T814" i="2"/>
  <c r="V814" i="2" s="1"/>
  <c r="T815" i="2"/>
  <c r="V815" i="2" s="1"/>
  <c r="T816" i="2"/>
  <c r="V816" i="2" s="1"/>
  <c r="T817" i="2"/>
  <c r="V817" i="2" s="1"/>
  <c r="T818" i="2"/>
  <c r="V818" i="2" s="1"/>
  <c r="T819" i="2"/>
  <c r="V819" i="2" s="1"/>
  <c r="T820" i="2"/>
  <c r="V820" i="2" s="1"/>
  <c r="T821" i="2"/>
  <c r="V821" i="2" s="1"/>
  <c r="T822" i="2"/>
  <c r="V822" i="2" s="1"/>
  <c r="T823" i="2"/>
  <c r="V823" i="2" s="1"/>
  <c r="T824" i="2"/>
  <c r="V824" i="2" s="1"/>
  <c r="T825" i="2"/>
  <c r="V825" i="2" s="1"/>
  <c r="T826" i="2"/>
  <c r="V826" i="2" s="1"/>
  <c r="T827" i="2"/>
  <c r="V827" i="2" s="1"/>
  <c r="T828" i="2"/>
  <c r="V828" i="2" s="1"/>
  <c r="T829" i="2"/>
  <c r="V829" i="2" s="1"/>
  <c r="T830" i="2"/>
  <c r="V830" i="2" s="1"/>
  <c r="T831" i="2"/>
  <c r="V831" i="2" s="1"/>
  <c r="T832" i="2"/>
  <c r="V832" i="2" s="1"/>
  <c r="T833" i="2"/>
  <c r="V833" i="2" s="1"/>
  <c r="T834" i="2"/>
  <c r="V834" i="2" s="1"/>
  <c r="T835" i="2"/>
  <c r="V835" i="2" s="1"/>
  <c r="T836" i="2"/>
  <c r="V836" i="2" s="1"/>
  <c r="T837" i="2"/>
  <c r="V837" i="2" s="1"/>
  <c r="T838" i="2"/>
  <c r="V838" i="2" s="1"/>
  <c r="T839" i="2"/>
  <c r="V839" i="2" s="1"/>
  <c r="T840" i="2"/>
  <c r="V840" i="2" s="1"/>
  <c r="T841" i="2"/>
  <c r="V841" i="2" s="1"/>
  <c r="T842" i="2"/>
  <c r="V842" i="2" s="1"/>
  <c r="T843" i="2"/>
  <c r="V843" i="2" s="1"/>
  <c r="T844" i="2"/>
  <c r="V844" i="2" s="1"/>
  <c r="T845" i="2"/>
  <c r="V845" i="2" s="1"/>
  <c r="T846" i="2"/>
  <c r="V846" i="2" s="1"/>
  <c r="T847" i="2"/>
  <c r="V847" i="2" s="1"/>
  <c r="T848" i="2"/>
  <c r="V848" i="2" s="1"/>
  <c r="T849" i="2"/>
  <c r="V849" i="2" s="1"/>
  <c r="T850" i="2"/>
  <c r="V850" i="2" s="1"/>
  <c r="T851" i="2"/>
  <c r="V851" i="2" s="1"/>
  <c r="T852" i="2"/>
  <c r="V852" i="2" s="1"/>
  <c r="T853" i="2"/>
  <c r="V853" i="2" s="1"/>
  <c r="T854" i="2"/>
  <c r="V854" i="2" s="1"/>
  <c r="T855" i="2"/>
  <c r="V855" i="2" s="1"/>
  <c r="T856" i="2"/>
  <c r="V856" i="2" s="1"/>
  <c r="T857" i="2"/>
  <c r="V857" i="2" s="1"/>
  <c r="T858" i="2"/>
  <c r="V858" i="2" s="1"/>
  <c r="T859" i="2"/>
  <c r="V859" i="2" s="1"/>
  <c r="T860" i="2"/>
  <c r="V860" i="2" s="1"/>
  <c r="T861" i="2"/>
  <c r="V861" i="2" s="1"/>
  <c r="T862" i="2"/>
  <c r="V862" i="2" s="1"/>
  <c r="T863" i="2"/>
  <c r="V863" i="2" s="1"/>
  <c r="T864" i="2"/>
  <c r="V864" i="2" s="1"/>
  <c r="T865" i="2"/>
  <c r="V865" i="2" s="1"/>
  <c r="T866" i="2"/>
  <c r="V866" i="2" s="1"/>
  <c r="T867" i="2"/>
  <c r="V867" i="2" s="1"/>
  <c r="T868" i="2"/>
  <c r="V868" i="2" s="1"/>
  <c r="T869" i="2"/>
  <c r="V869" i="2" s="1"/>
  <c r="T870" i="2"/>
  <c r="V870" i="2" s="1"/>
  <c r="T871" i="2"/>
  <c r="V871" i="2" s="1"/>
  <c r="T872" i="2"/>
  <c r="V872" i="2" s="1"/>
  <c r="T873" i="2"/>
  <c r="V873" i="2" s="1"/>
  <c r="T874" i="2"/>
  <c r="V874" i="2" s="1"/>
  <c r="T875" i="2"/>
  <c r="V875" i="2" s="1"/>
  <c r="T876" i="2"/>
  <c r="V876" i="2" s="1"/>
  <c r="T877" i="2"/>
  <c r="V877" i="2" s="1"/>
  <c r="T878" i="2"/>
  <c r="V878" i="2" s="1"/>
  <c r="T879" i="2"/>
  <c r="V879" i="2" s="1"/>
  <c r="T880" i="2"/>
  <c r="V880" i="2" s="1"/>
  <c r="T881" i="2"/>
  <c r="V881" i="2" s="1"/>
  <c r="T882" i="2"/>
  <c r="V882" i="2" s="1"/>
  <c r="T883" i="2"/>
  <c r="V883" i="2" s="1"/>
  <c r="T884" i="2"/>
  <c r="V884" i="2" s="1"/>
  <c r="T885" i="2"/>
  <c r="V885" i="2" s="1"/>
  <c r="T886" i="2"/>
  <c r="V886" i="2" s="1"/>
  <c r="T887" i="2"/>
  <c r="V887" i="2" s="1"/>
  <c r="T888" i="2"/>
  <c r="V888" i="2" s="1"/>
  <c r="T889" i="2"/>
  <c r="V889" i="2" s="1"/>
  <c r="T890" i="2"/>
  <c r="V890" i="2" s="1"/>
  <c r="T891" i="2"/>
  <c r="V891" i="2" s="1"/>
  <c r="T892" i="2"/>
  <c r="V892" i="2" s="1"/>
  <c r="T893" i="2"/>
  <c r="V893" i="2" s="1"/>
  <c r="T894" i="2"/>
  <c r="V894" i="2" s="1"/>
  <c r="T895" i="2"/>
  <c r="V895" i="2" s="1"/>
  <c r="T896" i="2"/>
  <c r="V896" i="2" s="1"/>
  <c r="T897" i="2"/>
  <c r="V897" i="2" s="1"/>
  <c r="T898" i="2"/>
  <c r="V898" i="2" s="1"/>
  <c r="T899" i="2"/>
  <c r="V899" i="2" s="1"/>
  <c r="T900" i="2"/>
  <c r="V900" i="2" s="1"/>
  <c r="T901" i="2"/>
  <c r="V901" i="2" s="1"/>
  <c r="T902" i="2"/>
  <c r="V902" i="2" s="1"/>
  <c r="T903" i="2"/>
  <c r="V903" i="2" s="1"/>
  <c r="T904" i="2"/>
  <c r="V904" i="2" s="1"/>
  <c r="T905" i="2"/>
  <c r="V905" i="2" s="1"/>
  <c r="T906" i="2"/>
  <c r="V906" i="2" s="1"/>
  <c r="T907" i="2"/>
  <c r="V907" i="2" s="1"/>
  <c r="T908" i="2"/>
  <c r="V908" i="2" s="1"/>
  <c r="T909" i="2"/>
  <c r="V909" i="2" s="1"/>
  <c r="T910" i="2"/>
  <c r="V910" i="2" s="1"/>
  <c r="T911" i="2"/>
  <c r="V911" i="2" s="1"/>
  <c r="T912" i="2"/>
  <c r="V912" i="2" s="1"/>
  <c r="T913" i="2"/>
  <c r="V913" i="2" s="1"/>
  <c r="T914" i="2"/>
  <c r="V914" i="2" s="1"/>
  <c r="T915" i="2"/>
  <c r="V915" i="2" s="1"/>
  <c r="T916" i="2"/>
  <c r="V916" i="2" s="1"/>
  <c r="T917" i="2"/>
  <c r="V917" i="2" s="1"/>
  <c r="T918" i="2"/>
  <c r="V918" i="2" s="1"/>
  <c r="T919" i="2"/>
  <c r="V919" i="2" s="1"/>
  <c r="T920" i="2"/>
  <c r="V920" i="2" s="1"/>
  <c r="T921" i="2"/>
  <c r="V921" i="2" s="1"/>
  <c r="T922" i="2"/>
  <c r="V922" i="2" s="1"/>
  <c r="T923" i="2"/>
  <c r="V923" i="2" s="1"/>
  <c r="T924" i="2"/>
  <c r="V924" i="2" s="1"/>
  <c r="T925" i="2"/>
  <c r="V925" i="2" s="1"/>
  <c r="T926" i="2"/>
  <c r="V926" i="2" s="1"/>
  <c r="T927" i="2"/>
  <c r="V927" i="2" s="1"/>
  <c r="T928" i="2"/>
  <c r="V928" i="2" s="1"/>
  <c r="T929" i="2"/>
  <c r="V929" i="2" s="1"/>
  <c r="T930" i="2"/>
  <c r="V930" i="2" s="1"/>
  <c r="T931" i="2"/>
  <c r="V931" i="2" s="1"/>
  <c r="T932" i="2"/>
  <c r="V932" i="2" s="1"/>
  <c r="T933" i="2"/>
  <c r="V933" i="2" s="1"/>
  <c r="T934" i="2"/>
  <c r="V934" i="2" s="1"/>
  <c r="T935" i="2"/>
  <c r="V935" i="2" s="1"/>
  <c r="T936" i="2"/>
  <c r="V936" i="2" s="1"/>
  <c r="T937" i="2"/>
  <c r="V937" i="2" s="1"/>
  <c r="T938" i="2"/>
  <c r="V938" i="2" s="1"/>
  <c r="T939" i="2"/>
  <c r="V939" i="2" s="1"/>
  <c r="T940" i="2"/>
  <c r="V940" i="2" s="1"/>
  <c r="T941" i="2"/>
  <c r="V941" i="2" s="1"/>
  <c r="T942" i="2"/>
  <c r="V942" i="2" s="1"/>
  <c r="T943" i="2"/>
  <c r="V943" i="2" s="1"/>
  <c r="T944" i="2"/>
  <c r="V944" i="2" s="1"/>
  <c r="T945" i="2"/>
  <c r="V945" i="2" s="1"/>
  <c r="T946" i="2"/>
  <c r="V946" i="2" s="1"/>
  <c r="T947" i="2"/>
  <c r="V947" i="2" s="1"/>
  <c r="T948" i="2"/>
  <c r="V948" i="2" s="1"/>
  <c r="T949" i="2"/>
  <c r="V949" i="2" s="1"/>
  <c r="T950" i="2"/>
  <c r="V950" i="2" s="1"/>
  <c r="T951" i="2"/>
  <c r="V951" i="2" s="1"/>
  <c r="T952" i="2"/>
  <c r="V952" i="2" s="1"/>
  <c r="T953" i="2"/>
  <c r="V953" i="2" s="1"/>
  <c r="T954" i="2"/>
  <c r="V954" i="2" s="1"/>
  <c r="T955" i="2"/>
  <c r="V955" i="2" s="1"/>
  <c r="T956" i="2"/>
  <c r="V956" i="2" s="1"/>
  <c r="T957" i="2"/>
  <c r="V957" i="2" s="1"/>
  <c r="T958" i="2"/>
  <c r="V958" i="2" s="1"/>
  <c r="T959" i="2"/>
  <c r="V959" i="2" s="1"/>
  <c r="T960" i="2"/>
  <c r="V960" i="2" s="1"/>
  <c r="T961" i="2"/>
  <c r="V961" i="2" s="1"/>
  <c r="T962" i="2"/>
  <c r="V962" i="2" s="1"/>
  <c r="T963" i="2"/>
  <c r="V963" i="2" s="1"/>
  <c r="T964" i="2"/>
  <c r="V964" i="2" s="1"/>
  <c r="T965" i="2"/>
  <c r="V965" i="2" s="1"/>
  <c r="T966" i="2"/>
  <c r="V966" i="2" s="1"/>
  <c r="T967" i="2"/>
  <c r="V967" i="2" s="1"/>
  <c r="T968" i="2"/>
  <c r="V968" i="2" s="1"/>
  <c r="T969" i="2"/>
  <c r="V969" i="2" s="1"/>
  <c r="T970" i="2"/>
  <c r="V970" i="2" s="1"/>
  <c r="T971" i="2"/>
  <c r="V971" i="2" s="1"/>
  <c r="T972" i="2"/>
  <c r="V972" i="2" s="1"/>
  <c r="T973" i="2"/>
  <c r="V973" i="2" s="1"/>
  <c r="T974" i="2"/>
  <c r="V974" i="2" s="1"/>
  <c r="T975" i="2"/>
  <c r="V975" i="2" s="1"/>
  <c r="T976" i="2"/>
  <c r="V976" i="2" s="1"/>
  <c r="T977" i="2"/>
  <c r="V977" i="2" s="1"/>
  <c r="T978" i="2"/>
  <c r="V978" i="2" s="1"/>
  <c r="T979" i="2"/>
  <c r="V979" i="2" s="1"/>
  <c r="T980" i="2"/>
  <c r="V980" i="2" s="1"/>
  <c r="T981" i="2"/>
  <c r="V981" i="2" s="1"/>
  <c r="T982" i="2"/>
  <c r="V982" i="2" s="1"/>
  <c r="T983" i="2"/>
  <c r="V983" i="2" s="1"/>
  <c r="T984" i="2"/>
  <c r="V984" i="2" s="1"/>
  <c r="T985" i="2"/>
  <c r="V985" i="2" s="1"/>
  <c r="T986" i="2"/>
  <c r="V986" i="2" s="1"/>
  <c r="T987" i="2"/>
  <c r="V987" i="2" s="1"/>
  <c r="T988" i="2"/>
  <c r="V988" i="2" s="1"/>
  <c r="T989" i="2"/>
  <c r="V989" i="2" s="1"/>
  <c r="T990" i="2"/>
  <c r="V990" i="2" s="1"/>
  <c r="T991" i="2"/>
  <c r="V991" i="2" s="1"/>
  <c r="T992" i="2"/>
  <c r="V992" i="2" s="1"/>
  <c r="T993" i="2"/>
  <c r="V993" i="2" s="1"/>
  <c r="T994" i="2"/>
  <c r="V994" i="2" s="1"/>
  <c r="T995" i="2"/>
  <c r="V995" i="2" s="1"/>
  <c r="T996" i="2"/>
  <c r="V996" i="2" s="1"/>
  <c r="T997" i="2"/>
  <c r="V997" i="2" s="1"/>
  <c r="T998" i="2"/>
  <c r="V998" i="2" s="1"/>
  <c r="T999" i="2"/>
  <c r="V999" i="2" s="1"/>
  <c r="T1000" i="2"/>
  <c r="V1000" i="2" s="1"/>
  <c r="T1001" i="2"/>
  <c r="V1001" i="2" s="1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</calcChain>
</file>

<file path=xl/sharedStrings.xml><?xml version="1.0" encoding="utf-8"?>
<sst xmlns="http://schemas.openxmlformats.org/spreadsheetml/2006/main" count="16318" uniqueCount="2111">
  <si>
    <t>Order_ID</t>
  </si>
  <si>
    <t>Order_Date</t>
  </si>
  <si>
    <t>Customer_Name</t>
  </si>
  <si>
    <t>Region</t>
  </si>
  <si>
    <t>City</t>
  </si>
  <si>
    <t>Customer_Segment</t>
  </si>
  <si>
    <t>Product_Category</t>
  </si>
  <si>
    <t>Product_Name</t>
  </si>
  <si>
    <t>Quantity</t>
  </si>
  <si>
    <t>Unit_Price</t>
  </si>
  <si>
    <t>Discount</t>
  </si>
  <si>
    <t>Sales_Amount</t>
  </si>
  <si>
    <t>Cost_Amount</t>
  </si>
  <si>
    <t>Profit</t>
  </si>
  <si>
    <t>Payment_Method</t>
  </si>
  <si>
    <t>Customer_Rating</t>
  </si>
  <si>
    <t xml:space="preserve">                                          </t>
  </si>
  <si>
    <t>SAL-1001</t>
  </si>
  <si>
    <t>Toni Watson</t>
  </si>
  <si>
    <t>West</t>
  </si>
  <si>
    <t>Port Harcourt</t>
  </si>
  <si>
    <t>Home Office</t>
  </si>
  <si>
    <t>Electronics</t>
  </si>
  <si>
    <t>Tablet</t>
  </si>
  <si>
    <t>Transfer</t>
  </si>
  <si>
    <t>CN</t>
  </si>
  <si>
    <t>Customer Name</t>
  </si>
  <si>
    <t>SAL-1002</t>
  </si>
  <si>
    <t>Richard Green</t>
  </si>
  <si>
    <t>North</t>
  </si>
  <si>
    <t>Ibadan</t>
  </si>
  <si>
    <t>Consumer</t>
  </si>
  <si>
    <t>Phone</t>
  </si>
  <si>
    <t>Mobile Payment</t>
  </si>
  <si>
    <t>R</t>
  </si>
  <si>
    <t>SAL-1003</t>
  </si>
  <si>
    <t>Richard Baker</t>
  </si>
  <si>
    <t>South</t>
  </si>
  <si>
    <t>Lagos</t>
  </si>
  <si>
    <t>Corporate</t>
  </si>
  <si>
    <t>C</t>
  </si>
  <si>
    <t>SAL-1004</t>
  </si>
  <si>
    <t>Marcus Goodman</t>
  </si>
  <si>
    <t>Clothing</t>
  </si>
  <si>
    <t>Sneakers</t>
  </si>
  <si>
    <t>CS</t>
  </si>
  <si>
    <t>Customer Segment</t>
  </si>
  <si>
    <t>SAL-1005</t>
  </si>
  <si>
    <t>Ronald Nelson</t>
  </si>
  <si>
    <t>East</t>
  </si>
  <si>
    <t>Jacket</t>
  </si>
  <si>
    <t>Card</t>
  </si>
  <si>
    <t>PC</t>
  </si>
  <si>
    <t>Product Category</t>
  </si>
  <si>
    <t>SAL-1006</t>
  </si>
  <si>
    <t>Jennifer Levy</t>
  </si>
  <si>
    <t>PN</t>
  </si>
  <si>
    <t>Product Name</t>
  </si>
  <si>
    <t>SAL-1007</t>
  </si>
  <si>
    <t>Rebekah Jones</t>
  </si>
  <si>
    <t>Furniture</t>
  </si>
  <si>
    <t>Cabinet</t>
  </si>
  <si>
    <t>Cash</t>
  </si>
  <si>
    <t>Qt</t>
  </si>
  <si>
    <t>SAL-1008</t>
  </si>
  <si>
    <t>Thomas Perez</t>
  </si>
  <si>
    <t>Central</t>
  </si>
  <si>
    <t>UP</t>
  </si>
  <si>
    <t>Unit Price</t>
  </si>
  <si>
    <t>SAL-1009</t>
  </si>
  <si>
    <t>Lisa Johnson</t>
  </si>
  <si>
    <t>Disc</t>
  </si>
  <si>
    <t>SAL-1010</t>
  </si>
  <si>
    <t>Eric Myers</t>
  </si>
  <si>
    <t>Laptop</t>
  </si>
  <si>
    <t>SA</t>
  </si>
  <si>
    <t>Sales Amount</t>
  </si>
  <si>
    <t>SAL-1011</t>
  </si>
  <si>
    <t>Kyle Ellis</t>
  </si>
  <si>
    <t>Office Supplies</t>
  </si>
  <si>
    <t>Pen</t>
  </si>
  <si>
    <t>CA</t>
  </si>
  <si>
    <t>Cost Amount</t>
  </si>
  <si>
    <t>SAL-1012</t>
  </si>
  <si>
    <t>Scott Nguyen</t>
  </si>
  <si>
    <t>Kano</t>
  </si>
  <si>
    <t>PF</t>
  </si>
  <si>
    <t>SAL-1013</t>
  </si>
  <si>
    <t>Daniel Rogers</t>
  </si>
  <si>
    <t>Notebook</t>
  </si>
  <si>
    <t>PM</t>
  </si>
  <si>
    <t>Payment Method</t>
  </si>
  <si>
    <t>SAL-1014</t>
  </si>
  <si>
    <t>Jessica Garcia</t>
  </si>
  <si>
    <t>CR</t>
  </si>
  <si>
    <t>Customer Rating</t>
  </si>
  <si>
    <t>SAL-1015</t>
  </si>
  <si>
    <t>Jane Nguyen</t>
  </si>
  <si>
    <t>Abuja</t>
  </si>
  <si>
    <t>SAL-1016</t>
  </si>
  <si>
    <t>Jeremy Matthews</t>
  </si>
  <si>
    <t>SAL-1017</t>
  </si>
  <si>
    <t>Wendy Scott</t>
  </si>
  <si>
    <t>Paper</t>
  </si>
  <si>
    <t>SAL-1018</t>
  </si>
  <si>
    <t>Mike Lloyd</t>
  </si>
  <si>
    <t>SAL-1019</t>
  </si>
  <si>
    <t>Joseph Ramirez</t>
  </si>
  <si>
    <t>SAL-1020</t>
  </si>
  <si>
    <t>Joseph Hutchinson</t>
  </si>
  <si>
    <t>Desk</t>
  </si>
  <si>
    <t>SAL-1021</t>
  </si>
  <si>
    <t>James Villanueva</t>
  </si>
  <si>
    <t>SAL-1022</t>
  </si>
  <si>
    <t>David Lopez</t>
  </si>
  <si>
    <t>SAL-1023</t>
  </si>
  <si>
    <t>Kaitlyn Williams</t>
  </si>
  <si>
    <t>SAL-1024</t>
  </si>
  <si>
    <t>Lori Simon</t>
  </si>
  <si>
    <t>Chair</t>
  </si>
  <si>
    <t>SAL-1025</t>
  </si>
  <si>
    <t>Kendra Boyd</t>
  </si>
  <si>
    <t>SAL-1026</t>
  </si>
  <si>
    <t>Tammy Henry</t>
  </si>
  <si>
    <t>Printer</t>
  </si>
  <si>
    <t>SAL-1027</t>
  </si>
  <si>
    <t>Jose Weeks</t>
  </si>
  <si>
    <t>SAL-1028</t>
  </si>
  <si>
    <t>Sara Lara</t>
  </si>
  <si>
    <t>SAL-1029</t>
  </si>
  <si>
    <t>Matthew Small</t>
  </si>
  <si>
    <t>SAL-1030</t>
  </si>
  <si>
    <t>Wanda Goodman</t>
  </si>
  <si>
    <t>SAL-1031</t>
  </si>
  <si>
    <t>Teresa Herrera</t>
  </si>
  <si>
    <t>SAL-1032</t>
  </si>
  <si>
    <t>Jessica Townsend</t>
  </si>
  <si>
    <t>SAL-1033</t>
  </si>
  <si>
    <t>Melissa Eaton</t>
  </si>
  <si>
    <t>SAL-1034</t>
  </si>
  <si>
    <t>Kathy Harris</t>
  </si>
  <si>
    <t>SAL-1035</t>
  </si>
  <si>
    <t>Kelsey Craig</t>
  </si>
  <si>
    <t>SAL-1036</t>
  </si>
  <si>
    <t>Nicole Young</t>
  </si>
  <si>
    <t>SAL-1037</t>
  </si>
  <si>
    <t>Maria Johns</t>
  </si>
  <si>
    <t>SAL-1038</t>
  </si>
  <si>
    <t>Shannon Williams</t>
  </si>
  <si>
    <t>SAL-1039</t>
  </si>
  <si>
    <t>Colton Harris</t>
  </si>
  <si>
    <t>SAL-1040</t>
  </si>
  <si>
    <t>Jennifer Nolan</t>
  </si>
  <si>
    <t>SAL-1041</t>
  </si>
  <si>
    <t>Megan Sullivan</t>
  </si>
  <si>
    <t>SAL-1042</t>
  </si>
  <si>
    <t>Patricia Peters</t>
  </si>
  <si>
    <t>SAL-1043</t>
  </si>
  <si>
    <t>Dustin Henderson</t>
  </si>
  <si>
    <t>SAL-1044</t>
  </si>
  <si>
    <t>George Kent</t>
  </si>
  <si>
    <t>SAL-1045</t>
  </si>
  <si>
    <t>Margaret Franklin</t>
  </si>
  <si>
    <t>SAL-1046</t>
  </si>
  <si>
    <t>Renee Marshall</t>
  </si>
  <si>
    <t>SAL-1047</t>
  </si>
  <si>
    <t>Tracy Garza</t>
  </si>
  <si>
    <t>SAL-1048</t>
  </si>
  <si>
    <t>Logan Nelson</t>
  </si>
  <si>
    <t>SAL-1049</t>
  </si>
  <si>
    <t>Robin Foster</t>
  </si>
  <si>
    <t>SAL-1050</t>
  </si>
  <si>
    <t>Vincent Daniels</t>
  </si>
  <si>
    <t>T-Shirt</t>
  </si>
  <si>
    <t>SAL-1051</t>
  </si>
  <si>
    <t>Michael Gonzalez</t>
  </si>
  <si>
    <t>SAL-1052</t>
  </si>
  <si>
    <t>Jennifer Kim</t>
  </si>
  <si>
    <t>SAL-1053</t>
  </si>
  <si>
    <t>Janet Cuevas</t>
  </si>
  <si>
    <t>SAL-1054</t>
  </si>
  <si>
    <t>Deanna Freeman</t>
  </si>
  <si>
    <t>SAL-1055</t>
  </si>
  <si>
    <t>Jimmy Thomas</t>
  </si>
  <si>
    <t>SAL-1056</t>
  </si>
  <si>
    <t>Nicholas Massey</t>
  </si>
  <si>
    <t>SAL-1057</t>
  </si>
  <si>
    <t>Stephanie Webster</t>
  </si>
  <si>
    <t>SAL-1058</t>
  </si>
  <si>
    <t>Whitney Holt</t>
  </si>
  <si>
    <t>SAL-1059</t>
  </si>
  <si>
    <t>Kenneth Werner</t>
  </si>
  <si>
    <t>SAL-1060</t>
  </si>
  <si>
    <t>James Lam</t>
  </si>
  <si>
    <t>SAL-1061</t>
  </si>
  <si>
    <t>Karl Newman</t>
  </si>
  <si>
    <t>SAL-1062</t>
  </si>
  <si>
    <t>Ricardo Wallace</t>
  </si>
  <si>
    <t>SAL-1063</t>
  </si>
  <si>
    <t>Francisco Eaton</t>
  </si>
  <si>
    <t>SAL-1064</t>
  </si>
  <si>
    <t>Troy Brock</t>
  </si>
  <si>
    <t>SAL-1065</t>
  </si>
  <si>
    <t>Megan Mckee</t>
  </si>
  <si>
    <t>SAL-1066</t>
  </si>
  <si>
    <t>Wendy Robinson</t>
  </si>
  <si>
    <t>SAL-1067</t>
  </si>
  <si>
    <t>Marc Munoz</t>
  </si>
  <si>
    <t>SAL-1068</t>
  </si>
  <si>
    <t>Steven Brown</t>
  </si>
  <si>
    <t>SAL-1069</t>
  </si>
  <si>
    <t>Jessica Miller</t>
  </si>
  <si>
    <t>SAL-1070</t>
  </si>
  <si>
    <t>Nicole Jimenez</t>
  </si>
  <si>
    <t>SAL-1071</t>
  </si>
  <si>
    <t>Victor Barnett</t>
  </si>
  <si>
    <t>SAL-1072</t>
  </si>
  <si>
    <t>Scott Robinson</t>
  </si>
  <si>
    <t>SAL-1073</t>
  </si>
  <si>
    <t>Megan Rivera</t>
  </si>
  <si>
    <t>SAL-1074</t>
  </si>
  <si>
    <t>Angela Byrd</t>
  </si>
  <si>
    <t>SAL-1075</t>
  </si>
  <si>
    <t>Christina Vaughn</t>
  </si>
  <si>
    <t>SAL-1076</t>
  </si>
  <si>
    <t>Lawrence Medina</t>
  </si>
  <si>
    <t>SAL-1077</t>
  </si>
  <si>
    <t>Joseph Johnston</t>
  </si>
  <si>
    <t>SAL-1078</t>
  </si>
  <si>
    <t>Tammy Baker</t>
  </si>
  <si>
    <t>SAL-1079</t>
  </si>
  <si>
    <t>Sarah Rojas</t>
  </si>
  <si>
    <t>SAL-1080</t>
  </si>
  <si>
    <t>Alicia Combs</t>
  </si>
  <si>
    <t>SAL-1081</t>
  </si>
  <si>
    <t>Andre Choi</t>
  </si>
  <si>
    <t>SAL-1082</t>
  </si>
  <si>
    <t>Paul Reed</t>
  </si>
  <si>
    <t>SAL-1083</t>
  </si>
  <si>
    <t>Justin Chen</t>
  </si>
  <si>
    <t>SAL-1084</t>
  </si>
  <si>
    <t>Michelle Williams</t>
  </si>
  <si>
    <t>SAL-1085</t>
  </si>
  <si>
    <t>Ricardo Miller</t>
  </si>
  <si>
    <t>SAL-1086</t>
  </si>
  <si>
    <t>David Chavez</t>
  </si>
  <si>
    <t>SAL-1087</t>
  </si>
  <si>
    <t>Stephanie Graham</t>
  </si>
  <si>
    <t>SAL-1088</t>
  </si>
  <si>
    <t>John Stevens</t>
  </si>
  <si>
    <t>SAL-1089</t>
  </si>
  <si>
    <t>Larry Perez</t>
  </si>
  <si>
    <t>SAL-1090</t>
  </si>
  <si>
    <t>James Benson</t>
  </si>
  <si>
    <t>SAL-1091</t>
  </si>
  <si>
    <t>William Watson</t>
  </si>
  <si>
    <t>SAL-1092</t>
  </si>
  <si>
    <t>Michael Stephens</t>
  </si>
  <si>
    <t>SAL-1093</t>
  </si>
  <si>
    <t>Andrea Sims</t>
  </si>
  <si>
    <t>SAL-1094</t>
  </si>
  <si>
    <t>Pamela Benson</t>
  </si>
  <si>
    <t>SAL-1095</t>
  </si>
  <si>
    <t>Mario Moore</t>
  </si>
  <si>
    <t>SAL-1096</t>
  </si>
  <si>
    <t>Kenneth Lopez</t>
  </si>
  <si>
    <t>SAL-1097</t>
  </si>
  <si>
    <t>Kim Levine</t>
  </si>
  <si>
    <t>SAL-1098</t>
  </si>
  <si>
    <t>Tammy Wallace</t>
  </si>
  <si>
    <t>SAL-1099</t>
  </si>
  <si>
    <t>Jamie Herrera</t>
  </si>
  <si>
    <t>SAL-1100</t>
  </si>
  <si>
    <t>Robyn Gilbert</t>
  </si>
  <si>
    <t>SAL-1101</t>
  </si>
  <si>
    <t>Tina Ibarra</t>
  </si>
  <si>
    <t>SAL-1102</t>
  </si>
  <si>
    <t>Debbie Walker</t>
  </si>
  <si>
    <t>SAL-1103</t>
  </si>
  <si>
    <t>Joseph Jordan</t>
  </si>
  <si>
    <t>SAL-1104</t>
  </si>
  <si>
    <t>Steven Villegas</t>
  </si>
  <si>
    <t>SAL-1105</t>
  </si>
  <si>
    <t>Stephanie Spears</t>
  </si>
  <si>
    <t>SAL-1106</t>
  </si>
  <si>
    <t>Kristen Olsen</t>
  </si>
  <si>
    <t>SAL-1107</t>
  </si>
  <si>
    <t>David Norris</t>
  </si>
  <si>
    <t>SAL-1108</t>
  </si>
  <si>
    <t>Lynn Heath</t>
  </si>
  <si>
    <t>SAL-1109</t>
  </si>
  <si>
    <t>Melanie Carlson</t>
  </si>
  <si>
    <t>SAL-1110</t>
  </si>
  <si>
    <t>Kathleen Mason</t>
  </si>
  <si>
    <t>SAL-1111</t>
  </si>
  <si>
    <t>Anthony Gray</t>
  </si>
  <si>
    <t>SAL-1112</t>
  </si>
  <si>
    <t>Jonathan Davis</t>
  </si>
  <si>
    <t>SAL-1113</t>
  </si>
  <si>
    <t>Jay Allen</t>
  </si>
  <si>
    <t>SAL-1114</t>
  </si>
  <si>
    <t>Alyssa Bush</t>
  </si>
  <si>
    <t>SAL-1115</t>
  </si>
  <si>
    <t>Yolanda Fernandez</t>
  </si>
  <si>
    <t>SAL-1116</t>
  </si>
  <si>
    <t>Cynthia Cochran</t>
  </si>
  <si>
    <t>SAL-1117</t>
  </si>
  <si>
    <t>Ashley Munoz</t>
  </si>
  <si>
    <t>SAL-1118</t>
  </si>
  <si>
    <t>Edward White</t>
  </si>
  <si>
    <t>SAL-1119</t>
  </si>
  <si>
    <t>Marc Ali</t>
  </si>
  <si>
    <t>SAL-1120</t>
  </si>
  <si>
    <t>Richard Rodriguez</t>
  </si>
  <si>
    <t>SAL-1121</t>
  </si>
  <si>
    <t>Tony Vasquez</t>
  </si>
  <si>
    <t>SAL-1122</t>
  </si>
  <si>
    <t>Dennis Watts</t>
  </si>
  <si>
    <t>SAL-1123</t>
  </si>
  <si>
    <t>Chase Contreras</t>
  </si>
  <si>
    <t>SAL-1124</t>
  </si>
  <si>
    <t>Jeffrey Nunez</t>
  </si>
  <si>
    <t>SAL-1125</t>
  </si>
  <si>
    <t>Luis Martinez</t>
  </si>
  <si>
    <t>SAL-1126</t>
  </si>
  <si>
    <t>Jeffrey Watson</t>
  </si>
  <si>
    <t>SAL-1127</t>
  </si>
  <si>
    <t>Adam Warren</t>
  </si>
  <si>
    <t>SAL-1128</t>
  </si>
  <si>
    <t>Elizabeth Kennedy</t>
  </si>
  <si>
    <t>SAL-1129</t>
  </si>
  <si>
    <t>Heather Williams</t>
  </si>
  <si>
    <t>SAL-1130</t>
  </si>
  <si>
    <t>Renee Flynn</t>
  </si>
  <si>
    <t>SAL-1131</t>
  </si>
  <si>
    <t>Sierra Santiago</t>
  </si>
  <si>
    <t>SAL-1132</t>
  </si>
  <si>
    <t>John Smith</t>
  </si>
  <si>
    <t>SAL-1133</t>
  </si>
  <si>
    <t>Randy Young</t>
  </si>
  <si>
    <t>SAL-1134</t>
  </si>
  <si>
    <t>Brenda Bruce</t>
  </si>
  <si>
    <t>SAL-1135</t>
  </si>
  <si>
    <t>Seth Williams</t>
  </si>
  <si>
    <t>SAL-1136</t>
  </si>
  <si>
    <t>Peggy Foster</t>
  </si>
  <si>
    <t>SAL-1137</t>
  </si>
  <si>
    <t>Roger Morales</t>
  </si>
  <si>
    <t>SAL-1138</t>
  </si>
  <si>
    <t>Brittany Tucker</t>
  </si>
  <si>
    <t>SAL-1139</t>
  </si>
  <si>
    <t>Ricky Reynolds</t>
  </si>
  <si>
    <t>SAL-1140</t>
  </si>
  <si>
    <t>Frank Martinez</t>
  </si>
  <si>
    <t>SAL-1141</t>
  </si>
  <si>
    <t>Anna Mccann</t>
  </si>
  <si>
    <t>SAL-1142</t>
  </si>
  <si>
    <t>Christopher Gutierrez</t>
  </si>
  <si>
    <t>SAL-1143</t>
  </si>
  <si>
    <t>Jennifer Rodgers MD</t>
  </si>
  <si>
    <t>SAL-1144</t>
  </si>
  <si>
    <t>Ethan Mclean</t>
  </si>
  <si>
    <t>SAL-1145</t>
  </si>
  <si>
    <t>Alexander Gray</t>
  </si>
  <si>
    <t>SAL-1146</t>
  </si>
  <si>
    <t>Dr. Julia Wilson</t>
  </si>
  <si>
    <t>SAL-1147</t>
  </si>
  <si>
    <t>Logan Goodwin</t>
  </si>
  <si>
    <t>SAL-1148</t>
  </si>
  <si>
    <t>William Wilkerson</t>
  </si>
  <si>
    <t>SAL-1149</t>
  </si>
  <si>
    <t>Robert Jacobs</t>
  </si>
  <si>
    <t>SAL-1150</t>
  </si>
  <si>
    <t>Andrea Williams</t>
  </si>
  <si>
    <t>SAL-1151</t>
  </si>
  <si>
    <t>Tyler Woodward</t>
  </si>
  <si>
    <t>SAL-1152</t>
  </si>
  <si>
    <t>Michael Torres</t>
  </si>
  <si>
    <t>SAL-1153</t>
  </si>
  <si>
    <t>Paige Rivera</t>
  </si>
  <si>
    <t>SAL-1154</t>
  </si>
  <si>
    <t>Jordan Johnson</t>
  </si>
  <si>
    <t>SAL-1155</t>
  </si>
  <si>
    <t>Dr. Rebekah Medina DVM</t>
  </si>
  <si>
    <t>SAL-1156</t>
  </si>
  <si>
    <t>Dennis Simmons</t>
  </si>
  <si>
    <t>SAL-1157</t>
  </si>
  <si>
    <t>Adam Yang</t>
  </si>
  <si>
    <t>SAL-1158</t>
  </si>
  <si>
    <t>Jacqueline Hodges</t>
  </si>
  <si>
    <t>SAL-1159</t>
  </si>
  <si>
    <t>Jacqueline Spencer</t>
  </si>
  <si>
    <t>SAL-1160</t>
  </si>
  <si>
    <t>Kenneth Brown</t>
  </si>
  <si>
    <t>SAL-1161</t>
  </si>
  <si>
    <t>William Martinez</t>
  </si>
  <si>
    <t>SAL-1162</t>
  </si>
  <si>
    <t>Kelly Rivas</t>
  </si>
  <si>
    <t>SAL-1163</t>
  </si>
  <si>
    <t>Sarah Richards</t>
  </si>
  <si>
    <t>SAL-1164</t>
  </si>
  <si>
    <t>Annette Young</t>
  </si>
  <si>
    <t>SAL-1165</t>
  </si>
  <si>
    <t>Douglas Bates</t>
  </si>
  <si>
    <t>SAL-1166</t>
  </si>
  <si>
    <t>John Riley</t>
  </si>
  <si>
    <t>SAL-1167</t>
  </si>
  <si>
    <t>Jennifer Brown</t>
  </si>
  <si>
    <t>SAL-1168</t>
  </si>
  <si>
    <t>Tammy Oneal</t>
  </si>
  <si>
    <t>SAL-1169</t>
  </si>
  <si>
    <t>Rebecca Lopez</t>
  </si>
  <si>
    <t>SAL-1170</t>
  </si>
  <si>
    <t>Kent Hernandez</t>
  </si>
  <si>
    <t>SAL-1171</t>
  </si>
  <si>
    <t>Jessica Gallagher</t>
  </si>
  <si>
    <t>SAL-1172</t>
  </si>
  <si>
    <t>Joseph Garrett</t>
  </si>
  <si>
    <t>SAL-1173</t>
  </si>
  <si>
    <t>Peter Cole</t>
  </si>
  <si>
    <t>SAL-1174</t>
  </si>
  <si>
    <t>David Perkins</t>
  </si>
  <si>
    <t>SAL-1175</t>
  </si>
  <si>
    <t>Michele Pitts</t>
  </si>
  <si>
    <t>SAL-1176</t>
  </si>
  <si>
    <t>Gabriel Morrison</t>
  </si>
  <si>
    <t>SAL-1177</t>
  </si>
  <si>
    <t>Jenny Perez</t>
  </si>
  <si>
    <t>SAL-1178</t>
  </si>
  <si>
    <t>Jacob Black</t>
  </si>
  <si>
    <t>SAL-1179</t>
  </si>
  <si>
    <t>Sandy Gilbert</t>
  </si>
  <si>
    <t>SAL-1180</t>
  </si>
  <si>
    <t>Anne Garcia</t>
  </si>
  <si>
    <t>SAL-1181</t>
  </si>
  <si>
    <t>Dr. Sydney Mueller DDS</t>
  </si>
  <si>
    <t>SAL-1182</t>
  </si>
  <si>
    <t>Mary Houston</t>
  </si>
  <si>
    <t>SAL-1183</t>
  </si>
  <si>
    <t>Amanda Oconnor</t>
  </si>
  <si>
    <t>SAL-1184</t>
  </si>
  <si>
    <t>Oscar Johnson</t>
  </si>
  <si>
    <t>SAL-1185</t>
  </si>
  <si>
    <t>Larry Hernandez</t>
  </si>
  <si>
    <t>SAL-1186</t>
  </si>
  <si>
    <t>Jeffrey Sheppard</t>
  </si>
  <si>
    <t>SAL-1187</t>
  </si>
  <si>
    <t>Brian Kim</t>
  </si>
  <si>
    <t>SAL-1188</t>
  </si>
  <si>
    <t>Michael Solomon</t>
  </si>
  <si>
    <t>SAL-1189</t>
  </si>
  <si>
    <t>Stephanie Duncan</t>
  </si>
  <si>
    <t>SAL-1190</t>
  </si>
  <si>
    <t>Audrey Wright</t>
  </si>
  <si>
    <t>SAL-1191</t>
  </si>
  <si>
    <t>Patrick Francis</t>
  </si>
  <si>
    <t>SAL-1192</t>
  </si>
  <si>
    <t>Kimberly Knight</t>
  </si>
  <si>
    <t>SAL-1193</t>
  </si>
  <si>
    <t>Nicholas Leach</t>
  </si>
  <si>
    <t>SAL-1194</t>
  </si>
  <si>
    <t>Nicholas Rodriguez</t>
  </si>
  <si>
    <t>SAL-1195</t>
  </si>
  <si>
    <t>Michael Brown</t>
  </si>
  <si>
    <t>SAL-1196</t>
  </si>
  <si>
    <t>Elizabeth Osborne</t>
  </si>
  <si>
    <t>SAL-1197</t>
  </si>
  <si>
    <t>Terry Martinez</t>
  </si>
  <si>
    <t>SAL-1198</t>
  </si>
  <si>
    <t>Jeremy Bennett</t>
  </si>
  <si>
    <t>SAL-1199</t>
  </si>
  <si>
    <t>Kara Blanchard</t>
  </si>
  <si>
    <t>SAL-1200</t>
  </si>
  <si>
    <t>Joseph Simpson</t>
  </si>
  <si>
    <t>SAL-1201</t>
  </si>
  <si>
    <t>Wendy Smith</t>
  </si>
  <si>
    <t>SAL-1202</t>
  </si>
  <si>
    <t>Melanie Swanson</t>
  </si>
  <si>
    <t>SAL-1203</t>
  </si>
  <si>
    <t>Laura Gutierrez</t>
  </si>
  <si>
    <t>SAL-1204</t>
  </si>
  <si>
    <t>April Hoffman</t>
  </si>
  <si>
    <t>SAL-1205</t>
  </si>
  <si>
    <t>Jason Parker</t>
  </si>
  <si>
    <t>SAL-1206</t>
  </si>
  <si>
    <t>Dillon Evans</t>
  </si>
  <si>
    <t>SAL-1207</t>
  </si>
  <si>
    <t>Vicki Lee</t>
  </si>
  <si>
    <t>SAL-1208</t>
  </si>
  <si>
    <t>Bradley Velez</t>
  </si>
  <si>
    <t>SAL-1209</t>
  </si>
  <si>
    <t>Jacqueline Watkins</t>
  </si>
  <si>
    <t>SAL-1210</t>
  </si>
  <si>
    <t>John Park</t>
  </si>
  <si>
    <t>SAL-1211</t>
  </si>
  <si>
    <t>Alexandra Wagner</t>
  </si>
  <si>
    <t>SAL-1212</t>
  </si>
  <si>
    <t>Deborah Conley</t>
  </si>
  <si>
    <t>SAL-1213</t>
  </si>
  <si>
    <t>Carl Hayes</t>
  </si>
  <si>
    <t>SAL-1214</t>
  </si>
  <si>
    <t>Scott James</t>
  </si>
  <si>
    <t>SAL-1215</t>
  </si>
  <si>
    <t>Elaine Jimenez</t>
  </si>
  <si>
    <t>SAL-1216</t>
  </si>
  <si>
    <t>Tracey Williams</t>
  </si>
  <si>
    <t>SAL-1217</t>
  </si>
  <si>
    <t>Julia Garrison</t>
  </si>
  <si>
    <t>SAL-1218</t>
  </si>
  <si>
    <t>Michelle Phillips</t>
  </si>
  <si>
    <t>SAL-1219</t>
  </si>
  <si>
    <t>Kelly Koch</t>
  </si>
  <si>
    <t>SAL-1220</t>
  </si>
  <si>
    <t>Dan French</t>
  </si>
  <si>
    <t>SAL-1221</t>
  </si>
  <si>
    <t>Michael Mason</t>
  </si>
  <si>
    <t>SAL-1222</t>
  </si>
  <si>
    <t>Angel Sanchez</t>
  </si>
  <si>
    <t>SAL-1223</t>
  </si>
  <si>
    <t>Teresa Nelson</t>
  </si>
  <si>
    <t>SAL-1224</t>
  </si>
  <si>
    <t>John Lozano</t>
  </si>
  <si>
    <t>SAL-1225</t>
  </si>
  <si>
    <t>Michael Smith</t>
  </si>
  <si>
    <t>SAL-1226</t>
  </si>
  <si>
    <t>Jessica Shaffer</t>
  </si>
  <si>
    <t>SAL-1227</t>
  </si>
  <si>
    <t>Julia Curtis</t>
  </si>
  <si>
    <t>SAL-1228</t>
  </si>
  <si>
    <t>Rhonda Lester</t>
  </si>
  <si>
    <t>SAL-1229</t>
  </si>
  <si>
    <t>Cheryl Perez</t>
  </si>
  <si>
    <t>SAL-1230</t>
  </si>
  <si>
    <t>Robert Nichols</t>
  </si>
  <si>
    <t>SAL-1231</t>
  </si>
  <si>
    <t>Marvin Torres</t>
  </si>
  <si>
    <t>SAL-1232</t>
  </si>
  <si>
    <t>Edgar English</t>
  </si>
  <si>
    <t>SAL-1233</t>
  </si>
  <si>
    <t>Brianna Hart</t>
  </si>
  <si>
    <t>SAL-1234</t>
  </si>
  <si>
    <t>Jessica Robinson</t>
  </si>
  <si>
    <t>SAL-1235</t>
  </si>
  <si>
    <t>Charles Craig</t>
  </si>
  <si>
    <t>SAL-1236</t>
  </si>
  <si>
    <t>Rickey Todd</t>
  </si>
  <si>
    <t>SAL-1237</t>
  </si>
  <si>
    <t>Jody Suarez</t>
  </si>
  <si>
    <t>SAL-1238</t>
  </si>
  <si>
    <t>Tony Russell</t>
  </si>
  <si>
    <t>SAL-1239</t>
  </si>
  <si>
    <t>Cynthia Chavez</t>
  </si>
  <si>
    <t>SAL-1240</t>
  </si>
  <si>
    <t>Mariah Dudley</t>
  </si>
  <si>
    <t>SAL-1241</t>
  </si>
  <si>
    <t>Terry Williams</t>
  </si>
  <si>
    <t>SAL-1242</t>
  </si>
  <si>
    <t>Holly Vance</t>
  </si>
  <si>
    <t>SAL-1243</t>
  </si>
  <si>
    <t>Shari Rivera</t>
  </si>
  <si>
    <t>SAL-1244</t>
  </si>
  <si>
    <t>Lauren Smith</t>
  </si>
  <si>
    <t>SAL-1245</t>
  </si>
  <si>
    <t>Chad Lee</t>
  </si>
  <si>
    <t>SAL-1246</t>
  </si>
  <si>
    <t>Edward Whitaker</t>
  </si>
  <si>
    <t>SAL-1247</t>
  </si>
  <si>
    <t>Rebecca Bryant</t>
  </si>
  <si>
    <t>SAL-1248</t>
  </si>
  <si>
    <t>Sherri Butler</t>
  </si>
  <si>
    <t>SAL-1249</t>
  </si>
  <si>
    <t>William Evans</t>
  </si>
  <si>
    <t>SAL-1250</t>
  </si>
  <si>
    <t>Lisa Warner</t>
  </si>
  <si>
    <t>SAL-1251</t>
  </si>
  <si>
    <t>Ana Avila</t>
  </si>
  <si>
    <t>SAL-1252</t>
  </si>
  <si>
    <t>Cesar Acosta</t>
  </si>
  <si>
    <t>SAL-1253</t>
  </si>
  <si>
    <t>Tonya Ross</t>
  </si>
  <si>
    <t>SAL-1254</t>
  </si>
  <si>
    <t>Kelly Cross</t>
  </si>
  <si>
    <t>SAL-1255</t>
  </si>
  <si>
    <t>Michael Jennings</t>
  </si>
  <si>
    <t>SAL-1256</t>
  </si>
  <si>
    <t>Frank Payne</t>
  </si>
  <si>
    <t>SAL-1257</t>
  </si>
  <si>
    <t>Sarah Morales</t>
  </si>
  <si>
    <t>SAL-1258</t>
  </si>
  <si>
    <t>Meghan Lucas</t>
  </si>
  <si>
    <t>SAL-1259</t>
  </si>
  <si>
    <t>Aaron Williams</t>
  </si>
  <si>
    <t>SAL-1260</t>
  </si>
  <si>
    <t>Linda Watson</t>
  </si>
  <si>
    <t>SAL-1261</t>
  </si>
  <si>
    <t>Jeffrey Torres</t>
  </si>
  <si>
    <t>SAL-1262</t>
  </si>
  <si>
    <t>Dr. Andrew Mcmillan</t>
  </si>
  <si>
    <t>SAL-1263</t>
  </si>
  <si>
    <t>Anna Hayden</t>
  </si>
  <si>
    <t>SAL-1264</t>
  </si>
  <si>
    <t>Katie Lyons</t>
  </si>
  <si>
    <t>SAL-1265</t>
  </si>
  <si>
    <t>William Thomas</t>
  </si>
  <si>
    <t>SAL-1266</t>
  </si>
  <si>
    <t>Tara Price</t>
  </si>
  <si>
    <t>SAL-1267</t>
  </si>
  <si>
    <t>David Berry</t>
  </si>
  <si>
    <t>SAL-1268</t>
  </si>
  <si>
    <t>Melissa Smith</t>
  </si>
  <si>
    <t>SAL-1269</t>
  </si>
  <si>
    <t>Yolanda Allen</t>
  </si>
  <si>
    <t>SAL-1270</t>
  </si>
  <si>
    <t>Michael Harrington</t>
  </si>
  <si>
    <t>SAL-1271</t>
  </si>
  <si>
    <t>Nicole Nelson</t>
  </si>
  <si>
    <t>SAL-1272</t>
  </si>
  <si>
    <t>Kelly Ross</t>
  </si>
  <si>
    <t>SAL-1273</t>
  </si>
  <si>
    <t>Robert Gutierrez</t>
  </si>
  <si>
    <t>SAL-1274</t>
  </si>
  <si>
    <t>Danielle Brown</t>
  </si>
  <si>
    <t>SAL-1275</t>
  </si>
  <si>
    <t>Aaron Pierce</t>
  </si>
  <si>
    <t>SAL-1276</t>
  </si>
  <si>
    <t>Cynthia King</t>
  </si>
  <si>
    <t>SAL-1277</t>
  </si>
  <si>
    <t>Renee White</t>
  </si>
  <si>
    <t>SAL-1278</t>
  </si>
  <si>
    <t>Mrs. Stephanie King</t>
  </si>
  <si>
    <t>SAL-1279</t>
  </si>
  <si>
    <t>Stephen Thompson</t>
  </si>
  <si>
    <t>SAL-1280</t>
  </si>
  <si>
    <t>Brent Turner</t>
  </si>
  <si>
    <t>SAL-1281</t>
  </si>
  <si>
    <t>Ryan Jones</t>
  </si>
  <si>
    <t>SAL-1282</t>
  </si>
  <si>
    <t>Nancy Dickerson</t>
  </si>
  <si>
    <t>SAL-1283</t>
  </si>
  <si>
    <t>Charles Wilson</t>
  </si>
  <si>
    <t>SAL-1284</t>
  </si>
  <si>
    <t>Beth Evans</t>
  </si>
  <si>
    <t>SAL-1285</t>
  </si>
  <si>
    <t>Brent Carey</t>
  </si>
  <si>
    <t>SAL-1286</t>
  </si>
  <si>
    <t>Courtney Thomas</t>
  </si>
  <si>
    <t>SAL-1287</t>
  </si>
  <si>
    <t>Shelley Powers</t>
  </si>
  <si>
    <t>SAL-1288</t>
  </si>
  <si>
    <t>Mitchell Ortega</t>
  </si>
  <si>
    <t>SAL-1289</t>
  </si>
  <si>
    <t>Nicole Lawson</t>
  </si>
  <si>
    <t>SAL-1290</t>
  </si>
  <si>
    <t>Karen Flowers</t>
  </si>
  <si>
    <t>SAL-1291</t>
  </si>
  <si>
    <t>Bruce Hall</t>
  </si>
  <si>
    <t>SAL-1292</t>
  </si>
  <si>
    <t>Brittany Park</t>
  </si>
  <si>
    <t>SAL-1293</t>
  </si>
  <si>
    <t>Tina White</t>
  </si>
  <si>
    <t>SAL-1294</t>
  </si>
  <si>
    <t>William Pineda</t>
  </si>
  <si>
    <t>SAL-1295</t>
  </si>
  <si>
    <t>Carolyn Sanchez</t>
  </si>
  <si>
    <t>SAL-1296</t>
  </si>
  <si>
    <t>Amanda Faulkner</t>
  </si>
  <si>
    <t>SAL-1297</t>
  </si>
  <si>
    <t>Ann Hale</t>
  </si>
  <si>
    <t>SAL-1298</t>
  </si>
  <si>
    <t>Richard Parker</t>
  </si>
  <si>
    <t>SAL-1299</t>
  </si>
  <si>
    <t>Kevin Yates</t>
  </si>
  <si>
    <t>SAL-1300</t>
  </si>
  <si>
    <t>Molly Vasquez</t>
  </si>
  <si>
    <t>SAL-1301</t>
  </si>
  <si>
    <t>Michael Clark</t>
  </si>
  <si>
    <t>SAL-1302</t>
  </si>
  <si>
    <t>Ashley Garner</t>
  </si>
  <si>
    <t>SAL-1303</t>
  </si>
  <si>
    <t>Daniel Bennett</t>
  </si>
  <si>
    <t>SAL-1304</t>
  </si>
  <si>
    <t>Matthew Tanner</t>
  </si>
  <si>
    <t>SAL-1305</t>
  </si>
  <si>
    <t>Cynthia Kline</t>
  </si>
  <si>
    <t>SAL-1306</t>
  </si>
  <si>
    <t>Kevin Olsen</t>
  </si>
  <si>
    <t>SAL-1307</t>
  </si>
  <si>
    <t>Jennifer Thomas</t>
  </si>
  <si>
    <t>SAL-1308</t>
  </si>
  <si>
    <t>Christopher Roberts</t>
  </si>
  <si>
    <t>SAL-1309</t>
  </si>
  <si>
    <t>Dr. David Perry</t>
  </si>
  <si>
    <t>SAL-1310</t>
  </si>
  <si>
    <t>Joseph Hill</t>
  </si>
  <si>
    <t>SAL-1311</t>
  </si>
  <si>
    <t>Diana Vazquez</t>
  </si>
  <si>
    <t>SAL-1312</t>
  </si>
  <si>
    <t>William Brown</t>
  </si>
  <si>
    <t>SAL-1313</t>
  </si>
  <si>
    <t>Raymond White</t>
  </si>
  <si>
    <t>SAL-1314</t>
  </si>
  <si>
    <t>Patrick Hill</t>
  </si>
  <si>
    <t>SAL-1315</t>
  </si>
  <si>
    <t>Heather Kramer</t>
  </si>
  <si>
    <t>SAL-1316</t>
  </si>
  <si>
    <t>Andrew Stevens</t>
  </si>
  <si>
    <t>SAL-1317</t>
  </si>
  <si>
    <t>Jennifer Smith</t>
  </si>
  <si>
    <t>SAL-1318</t>
  </si>
  <si>
    <t>William Jackson</t>
  </si>
  <si>
    <t>SAL-1319</t>
  </si>
  <si>
    <t>Tracy Ferguson</t>
  </si>
  <si>
    <t>SAL-1320</t>
  </si>
  <si>
    <t>Aaron Hartman</t>
  </si>
  <si>
    <t>SAL-1321</t>
  </si>
  <si>
    <t>Diana Martinez</t>
  </si>
  <si>
    <t>SAL-1322</t>
  </si>
  <si>
    <t>Louis Taylor</t>
  </si>
  <si>
    <t>SAL-1323</t>
  </si>
  <si>
    <t>Shannon Maxwell</t>
  </si>
  <si>
    <t>SAL-1324</t>
  </si>
  <si>
    <t>Hannah Davidson</t>
  </si>
  <si>
    <t>SAL-1325</t>
  </si>
  <si>
    <t>Kyle Clark</t>
  </si>
  <si>
    <t>SAL-1326</t>
  </si>
  <si>
    <t>Mrs. Maria Rivera MD</t>
  </si>
  <si>
    <t>SAL-1327</t>
  </si>
  <si>
    <t>George Wood</t>
  </si>
  <si>
    <t>SAL-1328</t>
  </si>
  <si>
    <t>Casey Doyle</t>
  </si>
  <si>
    <t>SAL-1329</t>
  </si>
  <si>
    <t>Kelly Rivera</t>
  </si>
  <si>
    <t>SAL-1330</t>
  </si>
  <si>
    <t>Chad Ferguson</t>
  </si>
  <si>
    <t>SAL-1331</t>
  </si>
  <si>
    <t>Jamie Beasley</t>
  </si>
  <si>
    <t>SAL-1332</t>
  </si>
  <si>
    <t>George Jenkins</t>
  </si>
  <si>
    <t>SAL-1333</t>
  </si>
  <si>
    <t>Natalie Lee</t>
  </si>
  <si>
    <t>SAL-1334</t>
  </si>
  <si>
    <t>Justin Shaffer</t>
  </si>
  <si>
    <t>SAL-1335</t>
  </si>
  <si>
    <t>Anna Barker</t>
  </si>
  <si>
    <t>SAL-1336</t>
  </si>
  <si>
    <t>Taylor Bishop</t>
  </si>
  <si>
    <t>SAL-1337</t>
  </si>
  <si>
    <t>Caleb Herman</t>
  </si>
  <si>
    <t>SAL-1338</t>
  </si>
  <si>
    <t>Sarah Deleon</t>
  </si>
  <si>
    <t>SAL-1339</t>
  </si>
  <si>
    <t>Amber Luna</t>
  </si>
  <si>
    <t>SAL-1340</t>
  </si>
  <si>
    <t>Sheryl Young</t>
  </si>
  <si>
    <t>SAL-1341</t>
  </si>
  <si>
    <t>Lisa Stevenson</t>
  </si>
  <si>
    <t>SAL-1342</t>
  </si>
  <si>
    <t>Natalie Williams</t>
  </si>
  <si>
    <t>SAL-1343</t>
  </si>
  <si>
    <t>Richard Mason</t>
  </si>
  <si>
    <t>SAL-1344</t>
  </si>
  <si>
    <t>Bethany Ritter</t>
  </si>
  <si>
    <t>SAL-1345</t>
  </si>
  <si>
    <t>Stacey Mitchell</t>
  </si>
  <si>
    <t>SAL-1346</t>
  </si>
  <si>
    <t>Antonio Moreno</t>
  </si>
  <si>
    <t>SAL-1347</t>
  </si>
  <si>
    <t>Stephen Richards</t>
  </si>
  <si>
    <t>SAL-1348</t>
  </si>
  <si>
    <t>Jennifer Sherman</t>
  </si>
  <si>
    <t>SAL-1349</t>
  </si>
  <si>
    <t>April Ramos</t>
  </si>
  <si>
    <t>SAL-1350</t>
  </si>
  <si>
    <t>Barry Morris</t>
  </si>
  <si>
    <t>SAL-1351</t>
  </si>
  <si>
    <t>Christopher Sullivan</t>
  </si>
  <si>
    <t>SAL-1352</t>
  </si>
  <si>
    <t>Timothy Perry</t>
  </si>
  <si>
    <t>SAL-1353</t>
  </si>
  <si>
    <t>Collin Mendez</t>
  </si>
  <si>
    <t>SAL-1354</t>
  </si>
  <si>
    <t>Kevin Gentry</t>
  </si>
  <si>
    <t>SAL-1355</t>
  </si>
  <si>
    <t>Lucas Greene</t>
  </si>
  <si>
    <t>SAL-1356</t>
  </si>
  <si>
    <t>Cameron Garcia II</t>
  </si>
  <si>
    <t>SAL-1357</t>
  </si>
  <si>
    <t>Mr. Nicholas Hughes MD</t>
  </si>
  <si>
    <t>SAL-1358</t>
  </si>
  <si>
    <t>Amber Morgan</t>
  </si>
  <si>
    <t>SAL-1359</t>
  </si>
  <si>
    <t>Mary Lloyd</t>
  </si>
  <si>
    <t>SAL-1360</t>
  </si>
  <si>
    <t>John Fisher DVM</t>
  </si>
  <si>
    <t>SAL-1361</t>
  </si>
  <si>
    <t>Michael Walsh</t>
  </si>
  <si>
    <t>SAL-1362</t>
  </si>
  <si>
    <t>Patricia Rodgers</t>
  </si>
  <si>
    <t>SAL-1363</t>
  </si>
  <si>
    <t>Robert Hernandez</t>
  </si>
  <si>
    <t>SAL-1364</t>
  </si>
  <si>
    <t>Mary Woods MD</t>
  </si>
  <si>
    <t>SAL-1365</t>
  </si>
  <si>
    <t>Jesus Weber</t>
  </si>
  <si>
    <t>SAL-1366</t>
  </si>
  <si>
    <t>Rachel Walls</t>
  </si>
  <si>
    <t>SAL-1367</t>
  </si>
  <si>
    <t>Mr. Christopher Mccann</t>
  </si>
  <si>
    <t>SAL-1368</t>
  </si>
  <si>
    <t>Glenn Austin</t>
  </si>
  <si>
    <t>SAL-1369</t>
  </si>
  <si>
    <t>Nancy Espinoza</t>
  </si>
  <si>
    <t>SAL-1370</t>
  </si>
  <si>
    <t>Allen Strong</t>
  </si>
  <si>
    <t>SAL-1371</t>
  </si>
  <si>
    <t>Yvonne Park</t>
  </si>
  <si>
    <t>SAL-1372</t>
  </si>
  <si>
    <t>Teresa Salazar</t>
  </si>
  <si>
    <t>SAL-1373</t>
  </si>
  <si>
    <t>Marcus Wood</t>
  </si>
  <si>
    <t>SAL-1374</t>
  </si>
  <si>
    <t>Robert Bradshaw</t>
  </si>
  <si>
    <t>SAL-1375</t>
  </si>
  <si>
    <t>Karen Garcia</t>
  </si>
  <si>
    <t>SAL-1376</t>
  </si>
  <si>
    <t>Katherine Young</t>
  </si>
  <si>
    <t>SAL-1377</t>
  </si>
  <si>
    <t>Michael Garrett</t>
  </si>
  <si>
    <t>SAL-1378</t>
  </si>
  <si>
    <t>Kathy Vasquez</t>
  </si>
  <si>
    <t>SAL-1379</t>
  </si>
  <si>
    <t>Mark Edwards</t>
  </si>
  <si>
    <t>SAL-1380</t>
  </si>
  <si>
    <t>Gabriela Dean</t>
  </si>
  <si>
    <t>SAL-1381</t>
  </si>
  <si>
    <t>David Rodriguez</t>
  </si>
  <si>
    <t>SAL-1382</t>
  </si>
  <si>
    <t>Christine Wilson</t>
  </si>
  <si>
    <t>SAL-1383</t>
  </si>
  <si>
    <t>Miguel Sexton</t>
  </si>
  <si>
    <t>SAL-1384</t>
  </si>
  <si>
    <t>Michael Trevino</t>
  </si>
  <si>
    <t>SAL-1385</t>
  </si>
  <si>
    <t>Gary Mccormick</t>
  </si>
  <si>
    <t>SAL-1386</t>
  </si>
  <si>
    <t>Taylor Rodriguez</t>
  </si>
  <si>
    <t>SAL-1387</t>
  </si>
  <si>
    <t>Jason Houston</t>
  </si>
  <si>
    <t>SAL-1388</t>
  </si>
  <si>
    <t>Andrea Barnes</t>
  </si>
  <si>
    <t>SAL-1389</t>
  </si>
  <si>
    <t>Jennifer Hall</t>
  </si>
  <si>
    <t>SAL-1390</t>
  </si>
  <si>
    <t>Julie Ferrell</t>
  </si>
  <si>
    <t>SAL-1391</t>
  </si>
  <si>
    <t>Andrew Wilson</t>
  </si>
  <si>
    <t>SAL-1392</t>
  </si>
  <si>
    <t>Robert Leonard</t>
  </si>
  <si>
    <t>SAL-1393</t>
  </si>
  <si>
    <t>Stephanie Yang</t>
  </si>
  <si>
    <t>SAL-1394</t>
  </si>
  <si>
    <t>Frank Reed</t>
  </si>
  <si>
    <t>SAL-1395</t>
  </si>
  <si>
    <t>Pamela Hanna</t>
  </si>
  <si>
    <t>SAL-1396</t>
  </si>
  <si>
    <t>Kent Allen</t>
  </si>
  <si>
    <t>SAL-1397</t>
  </si>
  <si>
    <t>John Wilson</t>
  </si>
  <si>
    <t>SAL-1398</t>
  </si>
  <si>
    <t>Scott Gibson</t>
  </si>
  <si>
    <t>SAL-1399</t>
  </si>
  <si>
    <t>Martha Parker</t>
  </si>
  <si>
    <t>SAL-1400</t>
  </si>
  <si>
    <t>Amanda Combs</t>
  </si>
  <si>
    <t>SAL-1401</t>
  </si>
  <si>
    <t>Amy Wilson</t>
  </si>
  <si>
    <t>SAL-1402</t>
  </si>
  <si>
    <t>Catherine Brown</t>
  </si>
  <si>
    <t>SAL-1403</t>
  </si>
  <si>
    <t>Kristen Garcia</t>
  </si>
  <si>
    <t>SAL-1404</t>
  </si>
  <si>
    <t>Angela Harrison</t>
  </si>
  <si>
    <t>SAL-1405</t>
  </si>
  <si>
    <t>Mark Spears</t>
  </si>
  <si>
    <t>SAL-1406</t>
  </si>
  <si>
    <t>Dr. Yvonne Wright</t>
  </si>
  <si>
    <t>SAL-1407</t>
  </si>
  <si>
    <t>Mario Wood</t>
  </si>
  <si>
    <t>SAL-1408</t>
  </si>
  <si>
    <t>Michael White</t>
  </si>
  <si>
    <t>SAL-1409</t>
  </si>
  <si>
    <t>Angela Shannon</t>
  </si>
  <si>
    <t>SAL-1410</t>
  </si>
  <si>
    <t>Rachel Garrison</t>
  </si>
  <si>
    <t>SAL-1411</t>
  </si>
  <si>
    <t>Sheila Richardson</t>
  </si>
  <si>
    <t>SAL-1412</t>
  </si>
  <si>
    <t>Steven Castillo</t>
  </si>
  <si>
    <t>SAL-1413</t>
  </si>
  <si>
    <t>Amber Obrien</t>
  </si>
  <si>
    <t>SAL-1414</t>
  </si>
  <si>
    <t>Kimberly Klein</t>
  </si>
  <si>
    <t>SAL-1415</t>
  </si>
  <si>
    <t>Robert Beck</t>
  </si>
  <si>
    <t>SAL-1416</t>
  </si>
  <si>
    <t>Julie Mcfarland</t>
  </si>
  <si>
    <t>SAL-1417</t>
  </si>
  <si>
    <t>Teresa Garcia</t>
  </si>
  <si>
    <t>SAL-1418</t>
  </si>
  <si>
    <t>Mrs. Tiffany Woods</t>
  </si>
  <si>
    <t>SAL-1419</t>
  </si>
  <si>
    <t>Sonya Anderson</t>
  </si>
  <si>
    <t>SAL-1420</t>
  </si>
  <si>
    <t>Ann Riggs</t>
  </si>
  <si>
    <t>SAL-1421</t>
  </si>
  <si>
    <t>Mark Hall</t>
  </si>
  <si>
    <t>SAL-1422</t>
  </si>
  <si>
    <t>Kelly Dixon</t>
  </si>
  <si>
    <t>SAL-1423</t>
  </si>
  <si>
    <t>Ann Phillips</t>
  </si>
  <si>
    <t>SAL-1424</t>
  </si>
  <si>
    <t>Jennifer Ramirez</t>
  </si>
  <si>
    <t>SAL-1425</t>
  </si>
  <si>
    <t>Daniel Walker</t>
  </si>
  <si>
    <t>SAL-1426</t>
  </si>
  <si>
    <t>Angel Parker</t>
  </si>
  <si>
    <t>SAL-1427</t>
  </si>
  <si>
    <t>Margaret Robbins</t>
  </si>
  <si>
    <t>SAL-1428</t>
  </si>
  <si>
    <t>Eric Molina</t>
  </si>
  <si>
    <t>SAL-1429</t>
  </si>
  <si>
    <t>John Robbins</t>
  </si>
  <si>
    <t>SAL-1430</t>
  </si>
  <si>
    <t>Grace Thomas</t>
  </si>
  <si>
    <t>SAL-1431</t>
  </si>
  <si>
    <t>Alexander Wilson</t>
  </si>
  <si>
    <t>SAL-1432</t>
  </si>
  <si>
    <t>James Mitchell</t>
  </si>
  <si>
    <t>SAL-1433</t>
  </si>
  <si>
    <t>SAL-1434</t>
  </si>
  <si>
    <t>Diane Knight</t>
  </si>
  <si>
    <t>SAL-1435</t>
  </si>
  <si>
    <t>Andrew Harris</t>
  </si>
  <si>
    <t>SAL-1436</t>
  </si>
  <si>
    <t>Joshua Mcbride</t>
  </si>
  <si>
    <t>SAL-1437</t>
  </si>
  <si>
    <t>Martin Sandoval</t>
  </si>
  <si>
    <t>SAL-1438</t>
  </si>
  <si>
    <t>Jared Brown</t>
  </si>
  <si>
    <t>SAL-1439</t>
  </si>
  <si>
    <t>SAL-1440</t>
  </si>
  <si>
    <t>Julia Moore</t>
  </si>
  <si>
    <t>SAL-1441</t>
  </si>
  <si>
    <t>Aaron Washington</t>
  </si>
  <si>
    <t>SAL-1442</t>
  </si>
  <si>
    <t>Mr. Wayne Ortiz</t>
  </si>
  <si>
    <t>SAL-1443</t>
  </si>
  <si>
    <t>Jill Morris</t>
  </si>
  <si>
    <t>SAL-1444</t>
  </si>
  <si>
    <t>Keith Clark</t>
  </si>
  <si>
    <t>SAL-1445</t>
  </si>
  <si>
    <t>Danielle Moran</t>
  </si>
  <si>
    <t>SAL-1446</t>
  </si>
  <si>
    <t>Patricia Rivera</t>
  </si>
  <si>
    <t>SAL-1447</t>
  </si>
  <si>
    <t>Christopher Phelps</t>
  </si>
  <si>
    <t>SAL-1448</t>
  </si>
  <si>
    <t>Michelle Moore</t>
  </si>
  <si>
    <t>SAL-1449</t>
  </si>
  <si>
    <t>Richard Yang</t>
  </si>
  <si>
    <t>SAL-1450</t>
  </si>
  <si>
    <t>Elizabeth Cardenas</t>
  </si>
  <si>
    <t>SAL-1451</t>
  </si>
  <si>
    <t>Travis Fischer</t>
  </si>
  <si>
    <t>SAL-1452</t>
  </si>
  <si>
    <t>Brandon Flores</t>
  </si>
  <si>
    <t>SAL-1453</t>
  </si>
  <si>
    <t>Kenneth Hernandez</t>
  </si>
  <si>
    <t>SAL-1454</t>
  </si>
  <si>
    <t>Amy King</t>
  </si>
  <si>
    <t>SAL-1455</t>
  </si>
  <si>
    <t>Valerie Rose</t>
  </si>
  <si>
    <t>SAL-1456</t>
  </si>
  <si>
    <t>Gregory Mccullough</t>
  </si>
  <si>
    <t>SAL-1457</t>
  </si>
  <si>
    <t>James Vazquez</t>
  </si>
  <si>
    <t>SAL-1458</t>
  </si>
  <si>
    <t>Anthony Bird</t>
  </si>
  <si>
    <t>SAL-1459</t>
  </si>
  <si>
    <t>George Jones</t>
  </si>
  <si>
    <t>SAL-1460</t>
  </si>
  <si>
    <t>Jessica Silva</t>
  </si>
  <si>
    <t>SAL-1461</t>
  </si>
  <si>
    <t>Christopher Gonzalez</t>
  </si>
  <si>
    <t>SAL-1462</t>
  </si>
  <si>
    <t>Beth Jones</t>
  </si>
  <si>
    <t>SAL-1463</t>
  </si>
  <si>
    <t>Lisa Walker</t>
  </si>
  <si>
    <t>SAL-1464</t>
  </si>
  <si>
    <t>Tina Nelson</t>
  </si>
  <si>
    <t>SAL-1465</t>
  </si>
  <si>
    <t>Kristen Newman</t>
  </si>
  <si>
    <t>SAL-1466</t>
  </si>
  <si>
    <t>Rebecca Stewart</t>
  </si>
  <si>
    <t>SAL-1467</t>
  </si>
  <si>
    <t>Andrew Gill</t>
  </si>
  <si>
    <t>SAL-1468</t>
  </si>
  <si>
    <t>Kelsey Page</t>
  </si>
  <si>
    <t>SAL-1469</t>
  </si>
  <si>
    <t>Jessica Liu</t>
  </si>
  <si>
    <t>SAL-1470</t>
  </si>
  <si>
    <t>Antonio Kim</t>
  </si>
  <si>
    <t>SAL-1471</t>
  </si>
  <si>
    <t>Dawn Torres</t>
  </si>
  <si>
    <t>SAL-1472</t>
  </si>
  <si>
    <t>Brandon Peterson</t>
  </si>
  <si>
    <t>SAL-1473</t>
  </si>
  <si>
    <t>James French</t>
  </si>
  <si>
    <t>SAL-1474</t>
  </si>
  <si>
    <t>Roy Dudley</t>
  </si>
  <si>
    <t>SAL-1475</t>
  </si>
  <si>
    <t>Courtney Ryan</t>
  </si>
  <si>
    <t>SAL-1476</t>
  </si>
  <si>
    <t>Sandra Collins</t>
  </si>
  <si>
    <t>SAL-1477</t>
  </si>
  <si>
    <t>Christy Steele</t>
  </si>
  <si>
    <t>SAL-1478</t>
  </si>
  <si>
    <t>Jason Cox</t>
  </si>
  <si>
    <t>SAL-1479</t>
  </si>
  <si>
    <t>Terry Cohen</t>
  </si>
  <si>
    <t>SAL-1480</t>
  </si>
  <si>
    <t>Cynthia Graham</t>
  </si>
  <si>
    <t>SAL-1481</t>
  </si>
  <si>
    <t>Robert Shea</t>
  </si>
  <si>
    <t>SAL-1482</t>
  </si>
  <si>
    <t>Alyssa Williams</t>
  </si>
  <si>
    <t>SAL-1483</t>
  </si>
  <si>
    <t>Kristina Watson</t>
  </si>
  <si>
    <t>SAL-1484</t>
  </si>
  <si>
    <t>Jennifer Williams</t>
  </si>
  <si>
    <t>SAL-1485</t>
  </si>
  <si>
    <t>Karen Bennett</t>
  </si>
  <si>
    <t>SAL-1486</t>
  </si>
  <si>
    <t>Terrance Schaefer</t>
  </si>
  <si>
    <t>SAL-1487</t>
  </si>
  <si>
    <t>Andrew Davidson</t>
  </si>
  <si>
    <t>SAL-1488</t>
  </si>
  <si>
    <t>Sean Walker</t>
  </si>
  <si>
    <t>SAL-1489</t>
  </si>
  <si>
    <t>Kevin Harris</t>
  </si>
  <si>
    <t>SAL-1490</t>
  </si>
  <si>
    <t>Mark Rice</t>
  </si>
  <si>
    <t>SAL-1491</t>
  </si>
  <si>
    <t>Ronald Schwartz</t>
  </si>
  <si>
    <t>SAL-1492</t>
  </si>
  <si>
    <t>Ashley Alexander</t>
  </si>
  <si>
    <t>SAL-1493</t>
  </si>
  <si>
    <t>Mario Brown</t>
  </si>
  <si>
    <t>SAL-1494</t>
  </si>
  <si>
    <t>Michael King</t>
  </si>
  <si>
    <t>SAL-1495</t>
  </si>
  <si>
    <t>Jennifer Chan</t>
  </si>
  <si>
    <t>SAL-1496</t>
  </si>
  <si>
    <t>Jennifer Bailey</t>
  </si>
  <si>
    <t>SAL-1497</t>
  </si>
  <si>
    <t>Rebecca Rivera</t>
  </si>
  <si>
    <t>SAL-1498</t>
  </si>
  <si>
    <t>Steven Marshall</t>
  </si>
  <si>
    <t>SAL-1499</t>
  </si>
  <si>
    <t>Stephen Hicks</t>
  </si>
  <si>
    <t>SAL-1500</t>
  </si>
  <si>
    <t>Phyllis Johnson</t>
  </si>
  <si>
    <t>SAL-1501</t>
  </si>
  <si>
    <t>Eric Santos</t>
  </si>
  <si>
    <t>SAL-1502</t>
  </si>
  <si>
    <t>Oscar Atkinson</t>
  </si>
  <si>
    <t>SAL-1503</t>
  </si>
  <si>
    <t>James Williamson</t>
  </si>
  <si>
    <t>SAL-1504</t>
  </si>
  <si>
    <t>Katie Smith</t>
  </si>
  <si>
    <t>SAL-1505</t>
  </si>
  <si>
    <t>Jacqueline Lee</t>
  </si>
  <si>
    <t>SAL-1506</t>
  </si>
  <si>
    <t>Jesse Carr</t>
  </si>
  <si>
    <t>SAL-1507</t>
  </si>
  <si>
    <t>Rachel Mcclain</t>
  </si>
  <si>
    <t>SAL-1508</t>
  </si>
  <si>
    <t>Derek Leach</t>
  </si>
  <si>
    <t>SAL-1509</t>
  </si>
  <si>
    <t>Kenneth Coleman</t>
  </si>
  <si>
    <t>SAL-1510</t>
  </si>
  <si>
    <t>James Bass</t>
  </si>
  <si>
    <t>SAL-1511</t>
  </si>
  <si>
    <t>Keith Norton</t>
  </si>
  <si>
    <t>SAL-1512</t>
  </si>
  <si>
    <t>Julie Owen</t>
  </si>
  <si>
    <t>SAL-1513</t>
  </si>
  <si>
    <t>Christina Parker</t>
  </si>
  <si>
    <t>SAL-1514</t>
  </si>
  <si>
    <t>Joseph Gonzalez</t>
  </si>
  <si>
    <t>SAL-1515</t>
  </si>
  <si>
    <t>Theresa Nguyen</t>
  </si>
  <si>
    <t>SAL-1516</t>
  </si>
  <si>
    <t>Robert Williams</t>
  </si>
  <si>
    <t>SAL-1517</t>
  </si>
  <si>
    <t>Susan Johnson</t>
  </si>
  <si>
    <t>SAL-1518</t>
  </si>
  <si>
    <t>Rachel Meyers</t>
  </si>
  <si>
    <t>SAL-1519</t>
  </si>
  <si>
    <t>Ashley Arnold</t>
  </si>
  <si>
    <t>SAL-1520</t>
  </si>
  <si>
    <t>Katherine Miller</t>
  </si>
  <si>
    <t>SAL-1521</t>
  </si>
  <si>
    <t>Tammy Gay</t>
  </si>
  <si>
    <t>SAL-1522</t>
  </si>
  <si>
    <t>Gregory Hoover</t>
  </si>
  <si>
    <t>SAL-1523</t>
  </si>
  <si>
    <t>James Morales</t>
  </si>
  <si>
    <t>SAL-1524</t>
  </si>
  <si>
    <t>Kendra Williamson</t>
  </si>
  <si>
    <t>SAL-1525</t>
  </si>
  <si>
    <t>Joshua Brown</t>
  </si>
  <si>
    <t>SAL-1526</t>
  </si>
  <si>
    <t>Renee Carey</t>
  </si>
  <si>
    <t>SAL-1527</t>
  </si>
  <si>
    <t>Meghan Dennis</t>
  </si>
  <si>
    <t>SAL-1528</t>
  </si>
  <si>
    <t>Denise Moore</t>
  </si>
  <si>
    <t>SAL-1529</t>
  </si>
  <si>
    <t>John Torres</t>
  </si>
  <si>
    <t>SAL-1530</t>
  </si>
  <si>
    <t>Melinda Cunningham</t>
  </si>
  <si>
    <t>SAL-1531</t>
  </si>
  <si>
    <t>Kristie Alvarado</t>
  </si>
  <si>
    <t>SAL-1532</t>
  </si>
  <si>
    <t>Ashley Nielsen</t>
  </si>
  <si>
    <t>SAL-1533</t>
  </si>
  <si>
    <t>Lindsey Hart</t>
  </si>
  <si>
    <t>SAL-1534</t>
  </si>
  <si>
    <t>Jesus Mercer</t>
  </si>
  <si>
    <t>SAL-1535</t>
  </si>
  <si>
    <t>Kevin Lopez</t>
  </si>
  <si>
    <t>SAL-1536</t>
  </si>
  <si>
    <t>Lori Brown</t>
  </si>
  <si>
    <t>SAL-1537</t>
  </si>
  <si>
    <t>Robert Hopkins</t>
  </si>
  <si>
    <t>SAL-1538</t>
  </si>
  <si>
    <t>Darrell Rich</t>
  </si>
  <si>
    <t>SAL-1539</t>
  </si>
  <si>
    <t>Heidi Bowers</t>
  </si>
  <si>
    <t>SAL-1540</t>
  </si>
  <si>
    <t>Steven Benson</t>
  </si>
  <si>
    <t>SAL-1541</t>
  </si>
  <si>
    <t>Crystal Boyer</t>
  </si>
  <si>
    <t>SAL-1542</t>
  </si>
  <si>
    <t>Omar Murphy</t>
  </si>
  <si>
    <t>SAL-1543</t>
  </si>
  <si>
    <t>Reginald Gardner</t>
  </si>
  <si>
    <t>SAL-1544</t>
  </si>
  <si>
    <t>Joshua Smith</t>
  </si>
  <si>
    <t>SAL-1545</t>
  </si>
  <si>
    <t>Jessica Martin</t>
  </si>
  <si>
    <t>SAL-1546</t>
  </si>
  <si>
    <t>Chad Lopez</t>
  </si>
  <si>
    <t>SAL-1547</t>
  </si>
  <si>
    <t>Natalie Scott</t>
  </si>
  <si>
    <t>SAL-1548</t>
  </si>
  <si>
    <t>Eddie Thomas</t>
  </si>
  <si>
    <t>SAL-1549</t>
  </si>
  <si>
    <t>Kevin Parker</t>
  </si>
  <si>
    <t>SAL-1550</t>
  </si>
  <si>
    <t>Sylvia Griffin</t>
  </si>
  <si>
    <t>SAL-1551</t>
  </si>
  <si>
    <t>Douglas Potter</t>
  </si>
  <si>
    <t>SAL-1552</t>
  </si>
  <si>
    <t>Jeffrey Thompson</t>
  </si>
  <si>
    <t>SAL-1553</t>
  </si>
  <si>
    <t>Sara Watson</t>
  </si>
  <si>
    <t>SAL-1554</t>
  </si>
  <si>
    <t>Maria Page</t>
  </si>
  <si>
    <t>SAL-1555</t>
  </si>
  <si>
    <t>Charles Herrera</t>
  </si>
  <si>
    <t>SAL-1556</t>
  </si>
  <si>
    <t>Jennifer Bullock</t>
  </si>
  <si>
    <t>SAL-1557</t>
  </si>
  <si>
    <t>Teresa Stephens</t>
  </si>
  <si>
    <t>SAL-1558</t>
  </si>
  <si>
    <t>Billy Burns</t>
  </si>
  <si>
    <t>SAL-1559</t>
  </si>
  <si>
    <t>Jamie Li</t>
  </si>
  <si>
    <t>SAL-1560</t>
  </si>
  <si>
    <t>Kimberly Diaz</t>
  </si>
  <si>
    <t>SAL-1561</t>
  </si>
  <si>
    <t>Joseph Kane</t>
  </si>
  <si>
    <t>SAL-1562</t>
  </si>
  <si>
    <t>Phyllis Wilson</t>
  </si>
  <si>
    <t>SAL-1563</t>
  </si>
  <si>
    <t>Felicia Allen</t>
  </si>
  <si>
    <t>SAL-1564</t>
  </si>
  <si>
    <t>Paula Young</t>
  </si>
  <si>
    <t>SAL-1565</t>
  </si>
  <si>
    <t>Ashley George</t>
  </si>
  <si>
    <t>SAL-1566</t>
  </si>
  <si>
    <t>Christopher Vargas</t>
  </si>
  <si>
    <t>SAL-1567</t>
  </si>
  <si>
    <t>David Smith</t>
  </si>
  <si>
    <t>SAL-1568</t>
  </si>
  <si>
    <t>Adam Olson</t>
  </si>
  <si>
    <t>SAL-1569</t>
  </si>
  <si>
    <t>Sean Martin</t>
  </si>
  <si>
    <t>SAL-1570</t>
  </si>
  <si>
    <t>John Castaneda</t>
  </si>
  <si>
    <t>SAL-1571</t>
  </si>
  <si>
    <t>Dr. Rebecca Whitaker</t>
  </si>
  <si>
    <t>SAL-1572</t>
  </si>
  <si>
    <t>Amy Campos</t>
  </si>
  <si>
    <t>SAL-1573</t>
  </si>
  <si>
    <t>Heather Brooks</t>
  </si>
  <si>
    <t>SAL-1574</t>
  </si>
  <si>
    <t>Alicia Smith</t>
  </si>
  <si>
    <t>SAL-1575</t>
  </si>
  <si>
    <t>Tyler Torres</t>
  </si>
  <si>
    <t>SAL-1576</t>
  </si>
  <si>
    <t>Danny Boyer</t>
  </si>
  <si>
    <t>SAL-1577</t>
  </si>
  <si>
    <t>Craig Short</t>
  </si>
  <si>
    <t>SAL-1578</t>
  </si>
  <si>
    <t>Matthew Glover</t>
  </si>
  <si>
    <t>SAL-1579</t>
  </si>
  <si>
    <t>Gary Snyder</t>
  </si>
  <si>
    <t>SAL-1580</t>
  </si>
  <si>
    <t>SAL-1581</t>
  </si>
  <si>
    <t>Kevin Bush</t>
  </si>
  <si>
    <t>SAL-1582</t>
  </si>
  <si>
    <t>Cassandra Copeland</t>
  </si>
  <si>
    <t>SAL-1583</t>
  </si>
  <si>
    <t>Jillian Hurst</t>
  </si>
  <si>
    <t>SAL-1584</t>
  </si>
  <si>
    <t>Maria Gillespie</t>
  </si>
  <si>
    <t>SAL-1585</t>
  </si>
  <si>
    <t>Garrett Ponce</t>
  </si>
  <si>
    <t>SAL-1586</t>
  </si>
  <si>
    <t>Kaylee Young</t>
  </si>
  <si>
    <t>SAL-1587</t>
  </si>
  <si>
    <t>Wayne Cox</t>
  </si>
  <si>
    <t>SAL-1588</t>
  </si>
  <si>
    <t>Robert Young</t>
  </si>
  <si>
    <t>SAL-1589</t>
  </si>
  <si>
    <t>Trevor Miller</t>
  </si>
  <si>
    <t>SAL-1590</t>
  </si>
  <si>
    <t>Brooke Holloway</t>
  </si>
  <si>
    <t>SAL-1591</t>
  </si>
  <si>
    <t>Megan Sanchez</t>
  </si>
  <si>
    <t>SAL-1592</t>
  </si>
  <si>
    <t>Scott Mata</t>
  </si>
  <si>
    <t>SAL-1593</t>
  </si>
  <si>
    <t>Brittney Sanchez</t>
  </si>
  <si>
    <t>SAL-1594</t>
  </si>
  <si>
    <t>Michael Nielsen</t>
  </si>
  <si>
    <t>SAL-1595</t>
  </si>
  <si>
    <t>Angela Turner</t>
  </si>
  <si>
    <t>SAL-1596</t>
  </si>
  <si>
    <t>Jon Edwards</t>
  </si>
  <si>
    <t>SAL-1597</t>
  </si>
  <si>
    <t>Matthew Sanchez</t>
  </si>
  <si>
    <t>SAL-1598</t>
  </si>
  <si>
    <t>Mr. Joel Lewis</t>
  </si>
  <si>
    <t>SAL-1599</t>
  </si>
  <si>
    <t>David Reynolds DVM</t>
  </si>
  <si>
    <t>SAL-1600</t>
  </si>
  <si>
    <t>Billy Mitchell</t>
  </si>
  <si>
    <t>SAL-1601</t>
  </si>
  <si>
    <t>Amanda Nelson</t>
  </si>
  <si>
    <t>SAL-1602</t>
  </si>
  <si>
    <t>Ruben Miller</t>
  </si>
  <si>
    <t>SAL-1603</t>
  </si>
  <si>
    <t>Kristin Petersen</t>
  </si>
  <si>
    <t>SAL-1604</t>
  </si>
  <si>
    <t>Jessica Nicholson</t>
  </si>
  <si>
    <t>SAL-1605</t>
  </si>
  <si>
    <t>Timothy Hernandez</t>
  </si>
  <si>
    <t>SAL-1606</t>
  </si>
  <si>
    <t>Alicia Walker</t>
  </si>
  <si>
    <t>SAL-1607</t>
  </si>
  <si>
    <t>Caitlin Liu</t>
  </si>
  <si>
    <t>SAL-1608</t>
  </si>
  <si>
    <t>Tracy Jones</t>
  </si>
  <si>
    <t>SAL-1609</t>
  </si>
  <si>
    <t>Rachael Ramirez</t>
  </si>
  <si>
    <t>SAL-1610</t>
  </si>
  <si>
    <t>Carl Ochoa</t>
  </si>
  <si>
    <t>SAL-1611</t>
  </si>
  <si>
    <t>Alyssa Weiss</t>
  </si>
  <si>
    <t>SAL-1612</t>
  </si>
  <si>
    <t>Nichole Mckenzie</t>
  </si>
  <si>
    <t>SAL-1613</t>
  </si>
  <si>
    <t>Michelle Pham</t>
  </si>
  <si>
    <t>SAL-1614</t>
  </si>
  <si>
    <t>Patrick Torres</t>
  </si>
  <si>
    <t>SAL-1615</t>
  </si>
  <si>
    <t>Marie Collins</t>
  </si>
  <si>
    <t>SAL-1616</t>
  </si>
  <si>
    <t>Nicholas Zamora</t>
  </si>
  <si>
    <t>SAL-1617</t>
  </si>
  <si>
    <t>Nicole Flores</t>
  </si>
  <si>
    <t>SAL-1618</t>
  </si>
  <si>
    <t>Rebecca Bennett</t>
  </si>
  <si>
    <t>SAL-1619</t>
  </si>
  <si>
    <t>Daniel Kim</t>
  </si>
  <si>
    <t>SAL-1620</t>
  </si>
  <si>
    <t>Margaret Thompson</t>
  </si>
  <si>
    <t>SAL-1621</t>
  </si>
  <si>
    <t>Janet Meyer</t>
  </si>
  <si>
    <t>SAL-1622</t>
  </si>
  <si>
    <t>Barry Diaz</t>
  </si>
  <si>
    <t>SAL-1623</t>
  </si>
  <si>
    <t>Derrick Garcia</t>
  </si>
  <si>
    <t>SAL-1624</t>
  </si>
  <si>
    <t>Stephanie Hansen</t>
  </si>
  <si>
    <t>SAL-1625</t>
  </si>
  <si>
    <t>Justin Cox</t>
  </si>
  <si>
    <t>SAL-1626</t>
  </si>
  <si>
    <t>Betty Zamora</t>
  </si>
  <si>
    <t>SAL-1627</t>
  </si>
  <si>
    <t>SAL-1628</t>
  </si>
  <si>
    <t>Sean Henry</t>
  </si>
  <si>
    <t>SAL-1629</t>
  </si>
  <si>
    <t>Cory Wilson</t>
  </si>
  <si>
    <t>SAL-1630</t>
  </si>
  <si>
    <t>Mrs. Sarah King</t>
  </si>
  <si>
    <t>SAL-1631</t>
  </si>
  <si>
    <t>Randy Andrews</t>
  </si>
  <si>
    <t>SAL-1632</t>
  </si>
  <si>
    <t>Steve Douglas MD</t>
  </si>
  <si>
    <t>SAL-1633</t>
  </si>
  <si>
    <t>Andrea Jimenez</t>
  </si>
  <si>
    <t>SAL-1634</t>
  </si>
  <si>
    <t>Jonathan Rogers</t>
  </si>
  <si>
    <t>SAL-1635</t>
  </si>
  <si>
    <t>Sean Logan</t>
  </si>
  <si>
    <t>SAL-1636</t>
  </si>
  <si>
    <t>Don Barton</t>
  </si>
  <si>
    <t>SAL-1637</t>
  </si>
  <si>
    <t>Jesse Gill</t>
  </si>
  <si>
    <t>SAL-1638</t>
  </si>
  <si>
    <t>Andrew Smith</t>
  </si>
  <si>
    <t>SAL-1639</t>
  </si>
  <si>
    <t>Olivia Garcia</t>
  </si>
  <si>
    <t>SAL-1640</t>
  </si>
  <si>
    <t>Gloria Ward</t>
  </si>
  <si>
    <t>SAL-1641</t>
  </si>
  <si>
    <t>Nathan Hernandez</t>
  </si>
  <si>
    <t>SAL-1642</t>
  </si>
  <si>
    <t>Travis Ballard</t>
  </si>
  <si>
    <t>SAL-1643</t>
  </si>
  <si>
    <t>Amy Chavez</t>
  </si>
  <si>
    <t>SAL-1644</t>
  </si>
  <si>
    <t>Rhonda Gomez</t>
  </si>
  <si>
    <t>SAL-1645</t>
  </si>
  <si>
    <t>Marissa Jones</t>
  </si>
  <si>
    <t>SAL-1646</t>
  </si>
  <si>
    <t>Todd Patrick</t>
  </si>
  <si>
    <t>SAL-1647</t>
  </si>
  <si>
    <t>SAL-1648</t>
  </si>
  <si>
    <t>Evan Clark</t>
  </si>
  <si>
    <t>SAL-1649</t>
  </si>
  <si>
    <t>Shawn Hall</t>
  </si>
  <si>
    <t>SAL-1650</t>
  </si>
  <si>
    <t>Mrs. Nicole Villarreal</t>
  </si>
  <si>
    <t>SAL-1651</t>
  </si>
  <si>
    <t>Yvonne Patrick</t>
  </si>
  <si>
    <t>SAL-1652</t>
  </si>
  <si>
    <t>Jon Padilla</t>
  </si>
  <si>
    <t>SAL-1653</t>
  </si>
  <si>
    <t>Matthew Powers</t>
  </si>
  <si>
    <t>SAL-1654</t>
  </si>
  <si>
    <t>Alexis Hernandez</t>
  </si>
  <si>
    <t>SAL-1655</t>
  </si>
  <si>
    <t>Samantha Richardson</t>
  </si>
  <si>
    <t>SAL-1656</t>
  </si>
  <si>
    <t>Phillip Thomas</t>
  </si>
  <si>
    <t>SAL-1657</t>
  </si>
  <si>
    <t>Robin Brown</t>
  </si>
  <si>
    <t>SAL-1658</t>
  </si>
  <si>
    <t>James Dean</t>
  </si>
  <si>
    <t>SAL-1659</t>
  </si>
  <si>
    <t>Monica Lynch</t>
  </si>
  <si>
    <t>SAL-1660</t>
  </si>
  <si>
    <t>Ian Drake</t>
  </si>
  <si>
    <t>SAL-1661</t>
  </si>
  <si>
    <t>Amber Hampton</t>
  </si>
  <si>
    <t>SAL-1662</t>
  </si>
  <si>
    <t>Theresa Walker</t>
  </si>
  <si>
    <t>SAL-1663</t>
  </si>
  <si>
    <t>Megan Walsh</t>
  </si>
  <si>
    <t>SAL-1664</t>
  </si>
  <si>
    <t>Tara Hall</t>
  </si>
  <si>
    <t>SAL-1665</t>
  </si>
  <si>
    <t>Kristin Davis</t>
  </si>
  <si>
    <t>SAL-1666</t>
  </si>
  <si>
    <t>Christopher Chavez</t>
  </si>
  <si>
    <t>SAL-1667</t>
  </si>
  <si>
    <t>Matthew Gross</t>
  </si>
  <si>
    <t>SAL-1668</t>
  </si>
  <si>
    <t>Zachary Vincent</t>
  </si>
  <si>
    <t>SAL-1669</t>
  </si>
  <si>
    <t>Dr. Christopher Castillo</t>
  </si>
  <si>
    <t>SAL-1670</t>
  </si>
  <si>
    <t>Jeffrey Oneill</t>
  </si>
  <si>
    <t>SAL-1671</t>
  </si>
  <si>
    <t>Maria Martin</t>
  </si>
  <si>
    <t>SAL-1672</t>
  </si>
  <si>
    <t>Sara Morales</t>
  </si>
  <si>
    <t>SAL-1673</t>
  </si>
  <si>
    <t>Wanda Mclaughlin</t>
  </si>
  <si>
    <t>SAL-1674</t>
  </si>
  <si>
    <t>Nicholas Burns</t>
  </si>
  <si>
    <t>SAL-1675</t>
  </si>
  <si>
    <t>Christopher Burton</t>
  </si>
  <si>
    <t>SAL-1676</t>
  </si>
  <si>
    <t>Tamara Martinez</t>
  </si>
  <si>
    <t>SAL-1677</t>
  </si>
  <si>
    <t>Patricia Mclaughlin</t>
  </si>
  <si>
    <t>SAL-1678</t>
  </si>
  <si>
    <t>Timothy Mccoy</t>
  </si>
  <si>
    <t>SAL-1679</t>
  </si>
  <si>
    <t>Gwendolyn Mueller</t>
  </si>
  <si>
    <t>SAL-1680</t>
  </si>
  <si>
    <t>SAL-1681</t>
  </si>
  <si>
    <t>Bradley Brown</t>
  </si>
  <si>
    <t>SAL-1682</t>
  </si>
  <si>
    <t>Mary Barber</t>
  </si>
  <si>
    <t>SAL-1683</t>
  </si>
  <si>
    <t>Jeremy Floyd</t>
  </si>
  <si>
    <t>SAL-1684</t>
  </si>
  <si>
    <t>Erin Myers</t>
  </si>
  <si>
    <t>SAL-1685</t>
  </si>
  <si>
    <t>Ashley Edwards</t>
  </si>
  <si>
    <t>SAL-1686</t>
  </si>
  <si>
    <t>Debra Clark</t>
  </si>
  <si>
    <t>SAL-1687</t>
  </si>
  <si>
    <t>Evelyn Adams</t>
  </si>
  <si>
    <t>SAL-1688</t>
  </si>
  <si>
    <t>Bobby Perez</t>
  </si>
  <si>
    <t>SAL-1689</t>
  </si>
  <si>
    <t>Stephanie Madden</t>
  </si>
  <si>
    <t>SAL-1690</t>
  </si>
  <si>
    <t>Emily Miller</t>
  </si>
  <si>
    <t>SAL-1691</t>
  </si>
  <si>
    <t>Mrs. Monica Wilson MD</t>
  </si>
  <si>
    <t>SAL-1692</t>
  </si>
  <si>
    <t>Mr. Ryan Jimenez</t>
  </si>
  <si>
    <t>SAL-1693</t>
  </si>
  <si>
    <t>Robert Hawkins</t>
  </si>
  <si>
    <t>SAL-1694</t>
  </si>
  <si>
    <t>Natalie Wyatt</t>
  </si>
  <si>
    <t>SAL-1695</t>
  </si>
  <si>
    <t>Alex Fletcher</t>
  </si>
  <si>
    <t>SAL-1696</t>
  </si>
  <si>
    <t>Katie Yang</t>
  </si>
  <si>
    <t>SAL-1697</t>
  </si>
  <si>
    <t>Terry Love</t>
  </si>
  <si>
    <t>SAL-1698</t>
  </si>
  <si>
    <t>Henry Thomas</t>
  </si>
  <si>
    <t>SAL-1699</t>
  </si>
  <si>
    <t>Julie Collins</t>
  </si>
  <si>
    <t>SAL-1700</t>
  </si>
  <si>
    <t>Catherine Williams</t>
  </si>
  <si>
    <t>SAL-1701</t>
  </si>
  <si>
    <t>Ryan Duffy</t>
  </si>
  <si>
    <t>SAL-1702</t>
  </si>
  <si>
    <t>Kelly Washington</t>
  </si>
  <si>
    <t>SAL-1703</t>
  </si>
  <si>
    <t>Penny Vance</t>
  </si>
  <si>
    <t>SAL-1704</t>
  </si>
  <si>
    <t>Susan Wright</t>
  </si>
  <si>
    <t>SAL-1705</t>
  </si>
  <si>
    <t>Jacqueline Cannon</t>
  </si>
  <si>
    <t>SAL-1706</t>
  </si>
  <si>
    <t>Ashley Welch</t>
  </si>
  <si>
    <t>SAL-1707</t>
  </si>
  <si>
    <t>April Martin</t>
  </si>
  <si>
    <t>SAL-1708</t>
  </si>
  <si>
    <t>Amy Brown</t>
  </si>
  <si>
    <t>SAL-1709</t>
  </si>
  <si>
    <t>Sean Nguyen</t>
  </si>
  <si>
    <t>SAL-1710</t>
  </si>
  <si>
    <t>John Miller</t>
  </si>
  <si>
    <t>SAL-1711</t>
  </si>
  <si>
    <t>Misty Lewis</t>
  </si>
  <si>
    <t>SAL-1712</t>
  </si>
  <si>
    <t>Brandi Evans</t>
  </si>
  <si>
    <t>SAL-1713</t>
  </si>
  <si>
    <t>Joseph Garcia</t>
  </si>
  <si>
    <t>SAL-1714</t>
  </si>
  <si>
    <t>Christopher Mitchell</t>
  </si>
  <si>
    <t>SAL-1715</t>
  </si>
  <si>
    <t>Anita Jennings</t>
  </si>
  <si>
    <t>SAL-1716</t>
  </si>
  <si>
    <t>Michael Hardy</t>
  </si>
  <si>
    <t>SAL-1717</t>
  </si>
  <si>
    <t>Darren Brown</t>
  </si>
  <si>
    <t>SAL-1718</t>
  </si>
  <si>
    <t>Kevin Ramirez</t>
  </si>
  <si>
    <t>SAL-1719</t>
  </si>
  <si>
    <t>Jennifer Copeland</t>
  </si>
  <si>
    <t>SAL-1720</t>
  </si>
  <si>
    <t>Robin Aguilar</t>
  </si>
  <si>
    <t>SAL-1721</t>
  </si>
  <si>
    <t>Melanie Frey</t>
  </si>
  <si>
    <t>SAL-1722</t>
  </si>
  <si>
    <t>Mary Jensen DVM</t>
  </si>
  <si>
    <t>SAL-1723</t>
  </si>
  <si>
    <t>Marcus Valencia MD</t>
  </si>
  <si>
    <t>SAL-1724</t>
  </si>
  <si>
    <t>Wanda White</t>
  </si>
  <si>
    <t>SAL-1725</t>
  </si>
  <si>
    <t>Fernando Rollins</t>
  </si>
  <si>
    <t>SAL-1726</t>
  </si>
  <si>
    <t>Catherine Chapman</t>
  </si>
  <si>
    <t>SAL-1727</t>
  </si>
  <si>
    <t>Nicole Weaver</t>
  </si>
  <si>
    <t>SAL-1728</t>
  </si>
  <si>
    <t>Sandra Jensen</t>
  </si>
  <si>
    <t>SAL-1729</t>
  </si>
  <si>
    <t>Julie Allen</t>
  </si>
  <si>
    <t>SAL-1730</t>
  </si>
  <si>
    <t>Marcia Torres</t>
  </si>
  <si>
    <t>SAL-1731</t>
  </si>
  <si>
    <t>Frederick Johnson</t>
  </si>
  <si>
    <t>SAL-1732</t>
  </si>
  <si>
    <t>John Robles</t>
  </si>
  <si>
    <t>SAL-1733</t>
  </si>
  <si>
    <t>Barbara Parrish</t>
  </si>
  <si>
    <t>SAL-1734</t>
  </si>
  <si>
    <t>Jimmy Morrison</t>
  </si>
  <si>
    <t>SAL-1735</t>
  </si>
  <si>
    <t>Stephanie Mitchell</t>
  </si>
  <si>
    <t>SAL-1736</t>
  </si>
  <si>
    <t>Thomas Barnett</t>
  </si>
  <si>
    <t>SAL-1737</t>
  </si>
  <si>
    <t>Tamara Watson</t>
  </si>
  <si>
    <t>SAL-1738</t>
  </si>
  <si>
    <t>Amanda Mays</t>
  </si>
  <si>
    <t>SAL-1739</t>
  </si>
  <si>
    <t>Kimberly Wall</t>
  </si>
  <si>
    <t>SAL-1740</t>
  </si>
  <si>
    <t>Zachary Hanna</t>
  </si>
  <si>
    <t>SAL-1741</t>
  </si>
  <si>
    <t>Nicholas Decker</t>
  </si>
  <si>
    <t>SAL-1742</t>
  </si>
  <si>
    <t>Timothy Lopez</t>
  </si>
  <si>
    <t>SAL-1743</t>
  </si>
  <si>
    <t>SAL-1744</t>
  </si>
  <si>
    <t>Lawrence Jefferson</t>
  </si>
  <si>
    <t>SAL-1745</t>
  </si>
  <si>
    <t>Laura Hatfield</t>
  </si>
  <si>
    <t>SAL-1746</t>
  </si>
  <si>
    <t>Sandra Clark</t>
  </si>
  <si>
    <t>SAL-1747</t>
  </si>
  <si>
    <t>Kelly Quinn</t>
  </si>
  <si>
    <t>SAL-1748</t>
  </si>
  <si>
    <t>Deanna Marshall</t>
  </si>
  <si>
    <t>SAL-1749</t>
  </si>
  <si>
    <t>Courtney Guerrero</t>
  </si>
  <si>
    <t>SAL-1750</t>
  </si>
  <si>
    <t>Allen Meyer</t>
  </si>
  <si>
    <t>SAL-1751</t>
  </si>
  <si>
    <t>Mitchell Mcmillan</t>
  </si>
  <si>
    <t>SAL-1752</t>
  </si>
  <si>
    <t>Kyle Crosby</t>
  </si>
  <si>
    <t>SAL-1753</t>
  </si>
  <si>
    <t>Christina Brown</t>
  </si>
  <si>
    <t>SAL-1754</t>
  </si>
  <si>
    <t>Amanda Kane</t>
  </si>
  <si>
    <t>SAL-1755</t>
  </si>
  <si>
    <t>Julian Klein</t>
  </si>
  <si>
    <t>SAL-1756</t>
  </si>
  <si>
    <t>Andrew Klein</t>
  </si>
  <si>
    <t>SAL-1757</t>
  </si>
  <si>
    <t>David Mendoza</t>
  </si>
  <si>
    <t>SAL-1758</t>
  </si>
  <si>
    <t>Elizabeth Roberts</t>
  </si>
  <si>
    <t>SAL-1759</t>
  </si>
  <si>
    <t>Michael Hughes</t>
  </si>
  <si>
    <t>SAL-1760</t>
  </si>
  <si>
    <t>Donna Reyes</t>
  </si>
  <si>
    <t>SAL-1761</t>
  </si>
  <si>
    <t>Nicole Bennett</t>
  </si>
  <si>
    <t>SAL-1762</t>
  </si>
  <si>
    <t>Mr. Gary Allen DVM</t>
  </si>
  <si>
    <t>SAL-1763</t>
  </si>
  <si>
    <t>Erin Rodriguez</t>
  </si>
  <si>
    <t>SAL-1764</t>
  </si>
  <si>
    <t>Tonya Shelton</t>
  </si>
  <si>
    <t>SAL-1765</t>
  </si>
  <si>
    <t>Kevin Todd</t>
  </si>
  <si>
    <t>SAL-1766</t>
  </si>
  <si>
    <t>Lisa Espinoza</t>
  </si>
  <si>
    <t>SAL-1767</t>
  </si>
  <si>
    <t>Mark Tucker</t>
  </si>
  <si>
    <t>SAL-1768</t>
  </si>
  <si>
    <t>Brandon Nelson</t>
  </si>
  <si>
    <t>SAL-1769</t>
  </si>
  <si>
    <t>Brendan Davis</t>
  </si>
  <si>
    <t>SAL-1770</t>
  </si>
  <si>
    <t>Sheryl Lee</t>
  </si>
  <si>
    <t>SAL-1771</t>
  </si>
  <si>
    <t>Linda Bowman</t>
  </si>
  <si>
    <t>SAL-1772</t>
  </si>
  <si>
    <t>John Conner</t>
  </si>
  <si>
    <t>SAL-1773</t>
  </si>
  <si>
    <t>John Garcia</t>
  </si>
  <si>
    <t>SAL-1774</t>
  </si>
  <si>
    <t>Kelly Chang</t>
  </si>
  <si>
    <t>SAL-1775</t>
  </si>
  <si>
    <t>Linda Harvey</t>
  </si>
  <si>
    <t>SAL-1776</t>
  </si>
  <si>
    <t>Joseph Bolton</t>
  </si>
  <si>
    <t>SAL-1777</t>
  </si>
  <si>
    <t>Jasmine Wells</t>
  </si>
  <si>
    <t>SAL-1778</t>
  </si>
  <si>
    <t>Jeffrey Hull</t>
  </si>
  <si>
    <t>SAL-1779</t>
  </si>
  <si>
    <t>Thomas Stephenson</t>
  </si>
  <si>
    <t>SAL-1780</t>
  </si>
  <si>
    <t>Jennifer Davis</t>
  </si>
  <si>
    <t>SAL-1781</t>
  </si>
  <si>
    <t>Brian Daniels</t>
  </si>
  <si>
    <t>SAL-1782</t>
  </si>
  <si>
    <t>Jaime Villa</t>
  </si>
  <si>
    <t>SAL-1783</t>
  </si>
  <si>
    <t>Cory Sanchez</t>
  </si>
  <si>
    <t>SAL-1784</t>
  </si>
  <si>
    <t>Adam Scott</t>
  </si>
  <si>
    <t>SAL-1785</t>
  </si>
  <si>
    <t>Michael Watson</t>
  </si>
  <si>
    <t>SAL-1786</t>
  </si>
  <si>
    <t>Maria Parker</t>
  </si>
  <si>
    <t>SAL-1787</t>
  </si>
  <si>
    <t>Nicholas Brown</t>
  </si>
  <si>
    <t>SAL-1788</t>
  </si>
  <si>
    <t>Kevin White</t>
  </si>
  <si>
    <t>SAL-1789</t>
  </si>
  <si>
    <t>Anna Lucas</t>
  </si>
  <si>
    <t>SAL-1790</t>
  </si>
  <si>
    <t>Angela Bailey</t>
  </si>
  <si>
    <t>SAL-1791</t>
  </si>
  <si>
    <t>Paula Roth</t>
  </si>
  <si>
    <t>SAL-1792</t>
  </si>
  <si>
    <t>Jeff Brown</t>
  </si>
  <si>
    <t>SAL-1793</t>
  </si>
  <si>
    <t>Christopher Richardson</t>
  </si>
  <si>
    <t>SAL-1794</t>
  </si>
  <si>
    <t>Daniel Bryant</t>
  </si>
  <si>
    <t>SAL-1795</t>
  </si>
  <si>
    <t>Monica Burns</t>
  </si>
  <si>
    <t>SAL-1796</t>
  </si>
  <si>
    <t>Mallory Armstrong</t>
  </si>
  <si>
    <t>SAL-1797</t>
  </si>
  <si>
    <t>Kaitlyn Dougherty</t>
  </si>
  <si>
    <t>SAL-1798</t>
  </si>
  <si>
    <t>Jack Kelly II</t>
  </si>
  <si>
    <t>SAL-1799</t>
  </si>
  <si>
    <t>Samantha Weber</t>
  </si>
  <si>
    <t>SAL-1800</t>
  </si>
  <si>
    <t>Pamela Miller</t>
  </si>
  <si>
    <t>SAL-1801</t>
  </si>
  <si>
    <t>Craig Clay</t>
  </si>
  <si>
    <t>SAL-1802</t>
  </si>
  <si>
    <t>Lauren Wilson</t>
  </si>
  <si>
    <t>SAL-1803</t>
  </si>
  <si>
    <t>Kathy Cantrell</t>
  </si>
  <si>
    <t>SAL-1804</t>
  </si>
  <si>
    <t>Gregory Gordon</t>
  </si>
  <si>
    <t>SAL-1805</t>
  </si>
  <si>
    <t>Molly Allen</t>
  </si>
  <si>
    <t>SAL-1806</t>
  </si>
  <si>
    <t>Dylan Lopez</t>
  </si>
  <si>
    <t>SAL-1807</t>
  </si>
  <si>
    <t>Terri Smith</t>
  </si>
  <si>
    <t>SAL-1808</t>
  </si>
  <si>
    <t>Jessica Lopez</t>
  </si>
  <si>
    <t>SAL-1809</t>
  </si>
  <si>
    <t>Dana Mata</t>
  </si>
  <si>
    <t>SAL-1810</t>
  </si>
  <si>
    <t>Howard Sherman</t>
  </si>
  <si>
    <t>SAL-1811</t>
  </si>
  <si>
    <t>Ariel Chavez</t>
  </si>
  <si>
    <t>SAL-1812</t>
  </si>
  <si>
    <t>Daniel Miller</t>
  </si>
  <si>
    <t>SAL-1813</t>
  </si>
  <si>
    <t>Eric West</t>
  </si>
  <si>
    <t>SAL-1814</t>
  </si>
  <si>
    <t>Jamie Parker</t>
  </si>
  <si>
    <t>SAL-1815</t>
  </si>
  <si>
    <t>Jeremy Kirk</t>
  </si>
  <si>
    <t>SAL-1816</t>
  </si>
  <si>
    <t>Patricia Johnson</t>
  </si>
  <si>
    <t>SAL-1817</t>
  </si>
  <si>
    <t>Chad Russell</t>
  </si>
  <si>
    <t>SAL-1818</t>
  </si>
  <si>
    <t>Jeffery Chen</t>
  </si>
  <si>
    <t>SAL-1819</t>
  </si>
  <si>
    <t>Jorge Herman</t>
  </si>
  <si>
    <t>SAL-1820</t>
  </si>
  <si>
    <t>Charles Davis</t>
  </si>
  <si>
    <t>SAL-1821</t>
  </si>
  <si>
    <t>Molly Benson</t>
  </si>
  <si>
    <t>SAL-1822</t>
  </si>
  <si>
    <t>Peter Perez</t>
  </si>
  <si>
    <t>SAL-1823</t>
  </si>
  <si>
    <t>Stephanie Stewart</t>
  </si>
  <si>
    <t>SAL-1824</t>
  </si>
  <si>
    <t>Kevin Anderson</t>
  </si>
  <si>
    <t>SAL-1825</t>
  </si>
  <si>
    <t>Taylor Sanchez</t>
  </si>
  <si>
    <t>SAL-1826</t>
  </si>
  <si>
    <t>Shane Russell</t>
  </si>
  <si>
    <t>SAL-1827</t>
  </si>
  <si>
    <t>Dana Thompson</t>
  </si>
  <si>
    <t>SAL-1828</t>
  </si>
  <si>
    <t>Lisa Lyons</t>
  </si>
  <si>
    <t>SAL-1829</t>
  </si>
  <si>
    <t>Victoria Wilson</t>
  </si>
  <si>
    <t>SAL-1830</t>
  </si>
  <si>
    <t>Richard Perez</t>
  </si>
  <si>
    <t>SAL-1831</t>
  </si>
  <si>
    <t>Michele Douglas</t>
  </si>
  <si>
    <t>SAL-1832</t>
  </si>
  <si>
    <t>Virginia Holmes</t>
  </si>
  <si>
    <t>SAL-1833</t>
  </si>
  <si>
    <t>April Shaw</t>
  </si>
  <si>
    <t>SAL-1834</t>
  </si>
  <si>
    <t>Mitchell Carson</t>
  </si>
  <si>
    <t>SAL-1835</t>
  </si>
  <si>
    <t>Michael Morrison</t>
  </si>
  <si>
    <t>SAL-1836</t>
  </si>
  <si>
    <t>SAL-1837</t>
  </si>
  <si>
    <t>Jonathan Pineda</t>
  </si>
  <si>
    <t>SAL-1838</t>
  </si>
  <si>
    <t>Tina Powers</t>
  </si>
  <si>
    <t>SAL-1839</t>
  </si>
  <si>
    <t>Joshua Gonzalez</t>
  </si>
  <si>
    <t>SAL-1840</t>
  </si>
  <si>
    <t>Emily Greene DDS</t>
  </si>
  <si>
    <t>SAL-1841</t>
  </si>
  <si>
    <t>Kyle Giles DVM</t>
  </si>
  <si>
    <t>SAL-1842</t>
  </si>
  <si>
    <t>Elizabeth Alvarado</t>
  </si>
  <si>
    <t>SAL-1843</t>
  </si>
  <si>
    <t>Mr. Christopher Johnson</t>
  </si>
  <si>
    <t>SAL-1844</t>
  </si>
  <si>
    <t>Katherine Fisher</t>
  </si>
  <si>
    <t>SAL-1845</t>
  </si>
  <si>
    <t>Makayla Riddle</t>
  </si>
  <si>
    <t>SAL-1846</t>
  </si>
  <si>
    <t>Sheila Huffman</t>
  </si>
  <si>
    <t>SAL-1847</t>
  </si>
  <si>
    <t>Christopher Johnson</t>
  </si>
  <si>
    <t>SAL-1848</t>
  </si>
  <si>
    <t>Matthew Nicholson</t>
  </si>
  <si>
    <t>SAL-1849</t>
  </si>
  <si>
    <t>Sabrina Green</t>
  </si>
  <si>
    <t>SAL-1850</t>
  </si>
  <si>
    <t>Patricia Brown</t>
  </si>
  <si>
    <t>SAL-1851</t>
  </si>
  <si>
    <t>Terry Ramos MD</t>
  </si>
  <si>
    <t>SAL-1852</t>
  </si>
  <si>
    <t>Kyle Murphy</t>
  </si>
  <si>
    <t>SAL-1853</t>
  </si>
  <si>
    <t>Ryan Johnson</t>
  </si>
  <si>
    <t>SAL-1854</t>
  </si>
  <si>
    <t>William Bean</t>
  </si>
  <si>
    <t>SAL-1855</t>
  </si>
  <si>
    <t>Christopher Rogers</t>
  </si>
  <si>
    <t>SAL-1856</t>
  </si>
  <si>
    <t>John Montoya</t>
  </si>
  <si>
    <t>SAL-1857</t>
  </si>
  <si>
    <t>Nathan Gutierrez</t>
  </si>
  <si>
    <t>SAL-1858</t>
  </si>
  <si>
    <t>Mike Ball</t>
  </si>
  <si>
    <t>SAL-1859</t>
  </si>
  <si>
    <t>Jessica Delgado</t>
  </si>
  <si>
    <t>SAL-1860</t>
  </si>
  <si>
    <t>Richard Carrillo</t>
  </si>
  <si>
    <t>SAL-1861</t>
  </si>
  <si>
    <t>Susan Lawson</t>
  </si>
  <si>
    <t>SAL-1862</t>
  </si>
  <si>
    <t>Todd Brown</t>
  </si>
  <si>
    <t>SAL-1863</t>
  </si>
  <si>
    <t>Stephanie Coffey</t>
  </si>
  <si>
    <t>SAL-1864</t>
  </si>
  <si>
    <t>Juan Bell</t>
  </si>
  <si>
    <t>SAL-1865</t>
  </si>
  <si>
    <t>Jennifer Duran</t>
  </si>
  <si>
    <t>SAL-1866</t>
  </si>
  <si>
    <t>Candice Martin</t>
  </si>
  <si>
    <t>SAL-1867</t>
  </si>
  <si>
    <t>Eddie Aguirre Jr.</t>
  </si>
  <si>
    <t>SAL-1868</t>
  </si>
  <si>
    <t>Mark Richmond</t>
  </si>
  <si>
    <t>SAL-1869</t>
  </si>
  <si>
    <t>Sharon Gutierrez</t>
  </si>
  <si>
    <t>SAL-1870</t>
  </si>
  <si>
    <t>Javier Garcia</t>
  </si>
  <si>
    <t>SAL-1871</t>
  </si>
  <si>
    <t>Amanda Poole</t>
  </si>
  <si>
    <t>SAL-1872</t>
  </si>
  <si>
    <t>Ashley Hatfield</t>
  </si>
  <si>
    <t>SAL-1873</t>
  </si>
  <si>
    <t>Lisa Phillips</t>
  </si>
  <si>
    <t>SAL-1874</t>
  </si>
  <si>
    <t>Lindsay Duran</t>
  </si>
  <si>
    <t>SAL-1875</t>
  </si>
  <si>
    <t>John Jennings</t>
  </si>
  <si>
    <t>SAL-1876</t>
  </si>
  <si>
    <t>Walter Randall</t>
  </si>
  <si>
    <t>SAL-1877</t>
  </si>
  <si>
    <t>Connor Yang</t>
  </si>
  <si>
    <t>SAL-1878</t>
  </si>
  <si>
    <t>Kendra Davidson</t>
  </si>
  <si>
    <t>SAL-1879</t>
  </si>
  <si>
    <t>Kayla Ramirez</t>
  </si>
  <si>
    <t>SAL-1880</t>
  </si>
  <si>
    <t>Elizabeth Jacobson</t>
  </si>
  <si>
    <t>SAL-1881</t>
  </si>
  <si>
    <t>Tiffany Summers</t>
  </si>
  <si>
    <t>SAL-1882</t>
  </si>
  <si>
    <t>Christina Davis</t>
  </si>
  <si>
    <t>SAL-1883</t>
  </si>
  <si>
    <t>Courtney Snyder</t>
  </si>
  <si>
    <t>SAL-1884</t>
  </si>
  <si>
    <t>Barbara Fisher</t>
  </si>
  <si>
    <t>SAL-1885</t>
  </si>
  <si>
    <t>Rebecca Perez</t>
  </si>
  <si>
    <t>SAL-1886</t>
  </si>
  <si>
    <t>Richard Rivers</t>
  </si>
  <si>
    <t>SAL-1887</t>
  </si>
  <si>
    <t>Damon Avila</t>
  </si>
  <si>
    <t>SAL-1888</t>
  </si>
  <si>
    <t>Paul Macias</t>
  </si>
  <si>
    <t>SAL-1889</t>
  </si>
  <si>
    <t>Paul Rivera</t>
  </si>
  <si>
    <t>SAL-1890</t>
  </si>
  <si>
    <t>Chad Hughes</t>
  </si>
  <si>
    <t>SAL-1891</t>
  </si>
  <si>
    <t>Jeffrey Price</t>
  </si>
  <si>
    <t>SAL-1892</t>
  </si>
  <si>
    <t>Donna Lewis</t>
  </si>
  <si>
    <t>SAL-1893</t>
  </si>
  <si>
    <t>Cassandra Vasquez</t>
  </si>
  <si>
    <t>SAL-1894</t>
  </si>
  <si>
    <t>Kelly Nelson</t>
  </si>
  <si>
    <t>SAL-1895</t>
  </si>
  <si>
    <t>Stephanie Jones</t>
  </si>
  <si>
    <t>SAL-1896</t>
  </si>
  <si>
    <t>Misty Garcia</t>
  </si>
  <si>
    <t>SAL-1897</t>
  </si>
  <si>
    <t>Andrew Peters</t>
  </si>
  <si>
    <t>SAL-1898</t>
  </si>
  <si>
    <t>Mr. Ryan Shields Jr.</t>
  </si>
  <si>
    <t>SAL-1899</t>
  </si>
  <si>
    <t>Whitney Morton</t>
  </si>
  <si>
    <t>SAL-1900</t>
  </si>
  <si>
    <t>Alexis Campbell</t>
  </si>
  <si>
    <t>SAL-1901</t>
  </si>
  <si>
    <t>Kelly Sanchez</t>
  </si>
  <si>
    <t>SAL-1902</t>
  </si>
  <si>
    <t>Dawn Taylor</t>
  </si>
  <si>
    <t>SAL-1903</t>
  </si>
  <si>
    <t>Lindsey Vaughn</t>
  </si>
  <si>
    <t>SAL-1904</t>
  </si>
  <si>
    <t>Austin Salazar</t>
  </si>
  <si>
    <t>SAL-1905</t>
  </si>
  <si>
    <t>Anita Vance</t>
  </si>
  <si>
    <t>SAL-1906</t>
  </si>
  <si>
    <t>Joseph Brown</t>
  </si>
  <si>
    <t>SAL-1907</t>
  </si>
  <si>
    <t>Kelly Walton</t>
  </si>
  <si>
    <t>SAL-1908</t>
  </si>
  <si>
    <t>Mr. Steven Crawford</t>
  </si>
  <si>
    <t>SAL-1909</t>
  </si>
  <si>
    <t>Kimberly Chavez</t>
  </si>
  <si>
    <t>SAL-1910</t>
  </si>
  <si>
    <t>Brian Hoffman</t>
  </si>
  <si>
    <t>SAL-1911</t>
  </si>
  <si>
    <t>Clayton Berger</t>
  </si>
  <si>
    <t>SAL-1912</t>
  </si>
  <si>
    <t>Christopher Adams</t>
  </si>
  <si>
    <t>SAL-1913</t>
  </si>
  <si>
    <t>Jo Davis</t>
  </si>
  <si>
    <t>SAL-1914</t>
  </si>
  <si>
    <t>Stephanie Greene</t>
  </si>
  <si>
    <t>SAL-1915</t>
  </si>
  <si>
    <t>Erin Brooks</t>
  </si>
  <si>
    <t>SAL-1916</t>
  </si>
  <si>
    <t>Chad Webster</t>
  </si>
  <si>
    <t>SAL-1917</t>
  </si>
  <si>
    <t>Nancy Everett</t>
  </si>
  <si>
    <t>SAL-1918</t>
  </si>
  <si>
    <t>Gary Martinez</t>
  </si>
  <si>
    <t>SAL-1919</t>
  </si>
  <si>
    <t>Mary Williams</t>
  </si>
  <si>
    <t>SAL-1920</t>
  </si>
  <si>
    <t>Miss Michelle Garcia</t>
  </si>
  <si>
    <t>SAL-1921</t>
  </si>
  <si>
    <t>Kyle Bauer</t>
  </si>
  <si>
    <t>SAL-1922</t>
  </si>
  <si>
    <t>Todd Klein</t>
  </si>
  <si>
    <t>SAL-1923</t>
  </si>
  <si>
    <t>Angelica Jones</t>
  </si>
  <si>
    <t>SAL-1924</t>
  </si>
  <si>
    <t>Emily Bond</t>
  </si>
  <si>
    <t>SAL-1925</t>
  </si>
  <si>
    <t>Samuel Chang</t>
  </si>
  <si>
    <t>SAL-1926</t>
  </si>
  <si>
    <t>Kristen Savage</t>
  </si>
  <si>
    <t>SAL-1927</t>
  </si>
  <si>
    <t>James Hall</t>
  </si>
  <si>
    <t>SAL-1928</t>
  </si>
  <si>
    <t>Jeremy Curry</t>
  </si>
  <si>
    <t>SAL-1929</t>
  </si>
  <si>
    <t>Zachary Roberts</t>
  </si>
  <si>
    <t>SAL-1930</t>
  </si>
  <si>
    <t>Dustin Davis</t>
  </si>
  <si>
    <t>SAL-1931</t>
  </si>
  <si>
    <t>Luke Stewart</t>
  </si>
  <si>
    <t>SAL-1932</t>
  </si>
  <si>
    <t>Rodney Jones</t>
  </si>
  <si>
    <t>SAL-1933</t>
  </si>
  <si>
    <t>Mindy Robbins</t>
  </si>
  <si>
    <t>SAL-1934</t>
  </si>
  <si>
    <t>Austin Kim</t>
  </si>
  <si>
    <t>SAL-1935</t>
  </si>
  <si>
    <t>Michael Marks</t>
  </si>
  <si>
    <t>SAL-1936</t>
  </si>
  <si>
    <t>Dennis Bishop</t>
  </si>
  <si>
    <t>SAL-1937</t>
  </si>
  <si>
    <t>Sarah Reid</t>
  </si>
  <si>
    <t>SAL-1938</t>
  </si>
  <si>
    <t>Mary Washington</t>
  </si>
  <si>
    <t>SAL-1939</t>
  </si>
  <si>
    <t>Terry Miller</t>
  </si>
  <si>
    <t>SAL-1940</t>
  </si>
  <si>
    <t>Cassandra Spencer</t>
  </si>
  <si>
    <t>SAL-1941</t>
  </si>
  <si>
    <t>Stephanie Copeland</t>
  </si>
  <si>
    <t>SAL-1942</t>
  </si>
  <si>
    <t>Gabriela Lynch</t>
  </si>
  <si>
    <t>SAL-1943</t>
  </si>
  <si>
    <t>Dana Higgins</t>
  </si>
  <si>
    <t>SAL-1944</t>
  </si>
  <si>
    <t>Dr. Peter Carson</t>
  </si>
  <si>
    <t>SAL-1945</t>
  </si>
  <si>
    <t>Tina Ewing</t>
  </si>
  <si>
    <t>SAL-1946</t>
  </si>
  <si>
    <t>Jessica Cooper</t>
  </si>
  <si>
    <t>SAL-1947</t>
  </si>
  <si>
    <t>Audrey Taylor</t>
  </si>
  <si>
    <t>SAL-1948</t>
  </si>
  <si>
    <t>Danielle Cabrera</t>
  </si>
  <si>
    <t>SAL-1949</t>
  </si>
  <si>
    <t>Mr. Jeffery Townsend</t>
  </si>
  <si>
    <t>SAL-1950</t>
  </si>
  <si>
    <t>Eric Carpenter</t>
  </si>
  <si>
    <t>SAL-1951</t>
  </si>
  <si>
    <t>Jeffrey White</t>
  </si>
  <si>
    <t>SAL-1952</t>
  </si>
  <si>
    <t>Kelly Miles</t>
  </si>
  <si>
    <t>SAL-1953</t>
  </si>
  <si>
    <t>Nicholas Rogers</t>
  </si>
  <si>
    <t>SAL-1954</t>
  </si>
  <si>
    <t>John Whitaker</t>
  </si>
  <si>
    <t>SAL-1955</t>
  </si>
  <si>
    <t>Kimberly Smith</t>
  </si>
  <si>
    <t>SAL-1956</t>
  </si>
  <si>
    <t>Justin Mcknight</t>
  </si>
  <si>
    <t>SAL-1957</t>
  </si>
  <si>
    <t>Sean Gutierrez</t>
  </si>
  <si>
    <t>SAL-1958</t>
  </si>
  <si>
    <t>Benjamin Wilson</t>
  </si>
  <si>
    <t>SAL-1959</t>
  </si>
  <si>
    <t>Angela Sherman</t>
  </si>
  <si>
    <t>SAL-1960</t>
  </si>
  <si>
    <t>Edwin Brown</t>
  </si>
  <si>
    <t>SAL-1961</t>
  </si>
  <si>
    <t>Evan Calhoun</t>
  </si>
  <si>
    <t>SAL-1962</t>
  </si>
  <si>
    <t>Mrs. Andrea Gibson</t>
  </si>
  <si>
    <t>SAL-1963</t>
  </si>
  <si>
    <t>Reginald Wright</t>
  </si>
  <si>
    <t>SAL-1964</t>
  </si>
  <si>
    <t>Samantha Munoz</t>
  </si>
  <si>
    <t>SAL-1965</t>
  </si>
  <si>
    <t>Tracy Miller</t>
  </si>
  <si>
    <t>SAL-1966</t>
  </si>
  <si>
    <t>Matthew Peterson</t>
  </si>
  <si>
    <t>SAL-1967</t>
  </si>
  <si>
    <t>Jermaine White MD</t>
  </si>
  <si>
    <t>SAL-1968</t>
  </si>
  <si>
    <t>Sharon Ali</t>
  </si>
  <si>
    <t>SAL-1969</t>
  </si>
  <si>
    <t>Christopher Atkinson</t>
  </si>
  <si>
    <t>SAL-1970</t>
  </si>
  <si>
    <t>Charles Smith</t>
  </si>
  <si>
    <t>SAL-1971</t>
  </si>
  <si>
    <t>Ray Mitchell</t>
  </si>
  <si>
    <t>SAL-1972</t>
  </si>
  <si>
    <t>Ashley Costa</t>
  </si>
  <si>
    <t>SAL-1973</t>
  </si>
  <si>
    <t>Matthew Shields</t>
  </si>
  <si>
    <t>SAL-1974</t>
  </si>
  <si>
    <t>David Carter</t>
  </si>
  <si>
    <t>SAL-1975</t>
  </si>
  <si>
    <t>Bradley West</t>
  </si>
  <si>
    <t>SAL-1976</t>
  </si>
  <si>
    <t>Yolanda Hill</t>
  </si>
  <si>
    <t>SAL-1977</t>
  </si>
  <si>
    <t>Melissa Walker</t>
  </si>
  <si>
    <t>SAL-1978</t>
  </si>
  <si>
    <t>Sue Foster</t>
  </si>
  <si>
    <t>SAL-1979</t>
  </si>
  <si>
    <t>John Kramer</t>
  </si>
  <si>
    <t>SAL-1980</t>
  </si>
  <si>
    <t>Amber Jefferson</t>
  </si>
  <si>
    <t>SAL-1981</t>
  </si>
  <si>
    <t>Katherine Smith</t>
  </si>
  <si>
    <t>SAL-1982</t>
  </si>
  <si>
    <t>George Stephenson</t>
  </si>
  <si>
    <t>SAL-1983</t>
  </si>
  <si>
    <t>Anthony Thompson</t>
  </si>
  <si>
    <t>SAL-1984</t>
  </si>
  <si>
    <t>Zachary Whitney</t>
  </si>
  <si>
    <t>SAL-1985</t>
  </si>
  <si>
    <t>David Lambert</t>
  </si>
  <si>
    <t>SAL-1986</t>
  </si>
  <si>
    <t>Duane Pena</t>
  </si>
  <si>
    <t>SAL-1987</t>
  </si>
  <si>
    <t>Tyler West</t>
  </si>
  <si>
    <t>SAL-1988</t>
  </si>
  <si>
    <t>Alicia Bailey</t>
  </si>
  <si>
    <t>SAL-1989</t>
  </si>
  <si>
    <t>Lisa Owens</t>
  </si>
  <si>
    <t>SAL-1990</t>
  </si>
  <si>
    <t>Hannah Cooper</t>
  </si>
  <si>
    <t>SAL-1991</t>
  </si>
  <si>
    <t>Terry Drake</t>
  </si>
  <si>
    <t>SAL-1992</t>
  </si>
  <si>
    <t>William Mcdonald</t>
  </si>
  <si>
    <t>SAL-1993</t>
  </si>
  <si>
    <t>Tammy Nichols</t>
  </si>
  <si>
    <t>SAL-1994</t>
  </si>
  <si>
    <t>Thomas Ramirez</t>
  </si>
  <si>
    <t>SAL-1995</t>
  </si>
  <si>
    <t>SAL-1996</t>
  </si>
  <si>
    <t>Tanya Smith</t>
  </si>
  <si>
    <t>SAL-1997</t>
  </si>
  <si>
    <t>David Maldonado</t>
  </si>
  <si>
    <t>SAL-1998</t>
  </si>
  <si>
    <t>Hannah Dawson</t>
  </si>
  <si>
    <t>SAL-1999</t>
  </si>
  <si>
    <t>Charles Castillo</t>
  </si>
  <si>
    <t>SAL-2000</t>
  </si>
  <si>
    <t>Christine Leonard</t>
  </si>
  <si>
    <t>Monthly Sale</t>
  </si>
  <si>
    <t>MS</t>
  </si>
  <si>
    <t xml:space="preserve">Quarterly Sale </t>
  </si>
  <si>
    <t>QTLY</t>
  </si>
  <si>
    <t>Quarterly Sale Trent</t>
  </si>
  <si>
    <t>Sales Trend</t>
  </si>
  <si>
    <t>Yearly Sale</t>
  </si>
  <si>
    <t>YS</t>
  </si>
  <si>
    <t>Yearly  Sale Trend</t>
  </si>
  <si>
    <t>Monthly Sale Trend</t>
  </si>
  <si>
    <t>Row Labels</t>
  </si>
  <si>
    <t>Sum of Profit</t>
  </si>
  <si>
    <t>Grand Total</t>
  </si>
  <si>
    <t>Sum of Unit_Price</t>
  </si>
  <si>
    <t>Sum of Discount</t>
  </si>
  <si>
    <t>Sum of Sales_Amount</t>
  </si>
  <si>
    <t>Sum of Cost_Amount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</si>
  <si>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</si>
  <si>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</si>
  <si>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</si>
  <si>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</si>
  <si>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</si>
  <si>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</si>
  <si>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</si>
  <si>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</si>
  <si>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</si>
  <si>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</si>
  <si>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</si>
  <si>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</si>
  <si>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</si>
  <si>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</si>
  <si>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</si>
  <si>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</si>
  <si>
    <t>BY CITY</t>
  </si>
  <si>
    <t>SUM OF PROFIT BY CITY</t>
  </si>
  <si>
    <t>SUM OF COST AMOUNT BY QUARTERLY SALE</t>
  </si>
  <si>
    <t>Sum of Sales_Amount By City</t>
  </si>
  <si>
    <t>Sum of Yearly Sale</t>
  </si>
  <si>
    <t>KPIR</t>
  </si>
  <si>
    <t>Key Performance Indicators Revenue</t>
  </si>
  <si>
    <t>KPIP</t>
  </si>
  <si>
    <t>Key Performance Indicators Profit</t>
  </si>
  <si>
    <t>KPIGR</t>
  </si>
  <si>
    <t>Key Performance Indicators Growth Rate</t>
  </si>
  <si>
    <t>KPI</t>
  </si>
  <si>
    <t>Key Performance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</si>
</sst>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2.xlsx]Sheet8!PivotTable19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Sheet8!$A$4:$A$16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Sheet8!$B$4:$B$16</c:f>
              <c:numCache>
                <c:formatCode>General</c:formatCode>
                <c:ptCount val="12"/>
                <c:pt idx="0">
                  <c:v>342969.82</c:v>
                </c:pt>
                <c:pt idx="1">
                  <c:v>254754.49</c:v>
                </c:pt>
                <c:pt idx="2">
                  <c:v>371316.2</c:v>
                </c:pt>
                <c:pt idx="3">
                  <c:v>269202.7300000001</c:v>
                </c:pt>
                <c:pt idx="4">
                  <c:v>246722.61</c:v>
                </c:pt>
                <c:pt idx="5">
                  <c:v>271545.53000000003</c:v>
                </c:pt>
                <c:pt idx="6">
                  <c:v>306339.27000000008</c:v>
                </c:pt>
                <c:pt idx="7">
                  <c:v>341138.55</c:v>
                </c:pt>
                <c:pt idx="8">
                  <c:v>303314.47000000003</c:v>
                </c:pt>
                <c:pt idx="9">
                  <c:v>305829.44000000018</c:v>
                </c:pt>
                <c:pt idx="10">
                  <c:v>308143.10999999987</c:v>
                </c:pt>
                <c:pt idx="11">
                  <c:v>345227.6700000001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1-4D40-84C2-791C71450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621983"/>
        <c:axId val="1734622399"/>
      </c:lineChart>
      <c:catAx>
        <c:axId val="173462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22399"/>
        <c:crosses val="autoZero"/>
        <c:auto val="1"/>
        <c:lblAlgn val="ctr"/>
        <c:lblOffset val="100"/>
        <c:noMultiLvlLbl val="0"/>
      </c:catAx>
      <c:valAx>
        <c:axId val="173462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2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2.xlsx]Sheet8!PivotTable21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Sheet8!$A$22:$A$46</c:f>
              <c:multiLvlStrCache>
                <c:ptCount val="12"/>
                <c:lvl>
                  <c:pt idx="0">
                    <c:v>Q1</c:v>
                  </c:pt>
                  <c:pt idx="1">
                    <c:v>Q1</c:v>
                  </c:pt>
                  <c:pt idx="2">
                    <c:v>Q1</c:v>
                  </c:pt>
                  <c:pt idx="3">
                    <c:v>Q2</c:v>
                  </c:pt>
                  <c:pt idx="4">
                    <c:v>Q2</c:v>
                  </c:pt>
                  <c:pt idx="5">
                    <c:v>Q2</c:v>
                  </c:pt>
                  <c:pt idx="6">
                    <c:v>Q3</c:v>
                  </c:pt>
                  <c:pt idx="7">
                    <c:v>Q3</c:v>
                  </c:pt>
                  <c:pt idx="8">
                    <c:v>Q3</c:v>
                  </c:pt>
                  <c:pt idx="9">
                    <c:v>Q4</c:v>
                  </c:pt>
                  <c:pt idx="10">
                    <c:v>Q4</c:v>
                  </c:pt>
                  <c:pt idx="11">
                    <c:v>Q4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Sheet8!$B$22:$B$46</c:f>
              <c:numCache>
                <c:formatCode>General</c:formatCode>
                <c:ptCount val="12"/>
                <c:pt idx="0">
                  <c:v>342969.82</c:v>
                </c:pt>
                <c:pt idx="1">
                  <c:v>254754.49</c:v>
                </c:pt>
                <c:pt idx="2">
                  <c:v>371316.2</c:v>
                </c:pt>
                <c:pt idx="3">
                  <c:v>269202.7300000001</c:v>
                </c:pt>
                <c:pt idx="4">
                  <c:v>246722.61</c:v>
                </c:pt>
                <c:pt idx="5">
                  <c:v>271545.53000000003</c:v>
                </c:pt>
                <c:pt idx="6">
                  <c:v>306339.27000000008</c:v>
                </c:pt>
                <c:pt idx="7">
                  <c:v>341138.55</c:v>
                </c:pt>
                <c:pt idx="8">
                  <c:v>303314.47000000003</c:v>
                </c:pt>
                <c:pt idx="9">
                  <c:v>305829.44000000018</c:v>
                </c:pt>
                <c:pt idx="10">
                  <c:v>308143.10999999987</c:v>
                </c:pt>
                <c:pt idx="11">
                  <c:v>345227.6700000001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B-41DF-90D4-16422E9F6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580799"/>
        <c:axId val="1734564991"/>
      </c:lineChart>
      <c:catAx>
        <c:axId val="17345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64991"/>
        <c:crosses val="autoZero"/>
        <c:auto val="1"/>
        <c:lblAlgn val="ctr"/>
        <c:lblOffset val="100"/>
        <c:noMultiLvlLbl val="0"/>
      </c:catAx>
      <c:valAx>
        <c:axId val="17345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2.xlsx]Sheet8!PivotTable23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Sheet8!$B$51</c:f>
              <c:strCache>
                <c:ptCount val="1"/>
                <c:pt idx="0">
                  <c:v>Sum of Sales_Amount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Sheet8!$A$52:$A$76</c:f>
              <c:multiLvlStrCache>
                <c:ptCount val="12"/>
                <c:lvl>
                  <c:pt idx="0">
                    <c:v>Q1</c:v>
                  </c:pt>
                  <c:pt idx="1">
                    <c:v>Q1</c:v>
                  </c:pt>
                  <c:pt idx="2">
                    <c:v>Q1</c:v>
                  </c:pt>
                  <c:pt idx="3">
                    <c:v>Q2</c:v>
                  </c:pt>
                  <c:pt idx="4">
                    <c:v>Q2</c:v>
                  </c:pt>
                  <c:pt idx="5">
                    <c:v>Q2</c:v>
                  </c:pt>
                  <c:pt idx="6">
                    <c:v>Q3</c:v>
                  </c:pt>
                  <c:pt idx="7">
                    <c:v>Q3</c:v>
                  </c:pt>
                  <c:pt idx="8">
                    <c:v>Q3</c:v>
                  </c:pt>
                  <c:pt idx="9">
                    <c:v>Q4</c:v>
                  </c:pt>
                  <c:pt idx="10">
                    <c:v>Q4</c:v>
                  </c:pt>
                  <c:pt idx="11">
                    <c:v>Q4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Sheet8!$B$52:$B$76</c:f>
              <c:numCache>
                <c:formatCode>General</c:formatCode>
                <c:ptCount val="12"/>
                <c:pt idx="0">
                  <c:v>342969.82</c:v>
                </c:pt>
                <c:pt idx="1">
                  <c:v>254754.49</c:v>
                </c:pt>
                <c:pt idx="2">
                  <c:v>371316.2</c:v>
                </c:pt>
                <c:pt idx="3">
                  <c:v>269202.7300000001</c:v>
                </c:pt>
                <c:pt idx="4">
                  <c:v>246722.61</c:v>
                </c:pt>
                <c:pt idx="5">
                  <c:v>271545.53000000003</c:v>
                </c:pt>
                <c:pt idx="6">
                  <c:v>306339.27000000008</c:v>
                </c:pt>
                <c:pt idx="7">
                  <c:v>341138.55</c:v>
                </c:pt>
                <c:pt idx="8">
                  <c:v>303314.47000000003</c:v>
                </c:pt>
                <c:pt idx="9">
                  <c:v>305829.44000000018</c:v>
                </c:pt>
                <c:pt idx="10">
                  <c:v>308143.10999999987</c:v>
                </c:pt>
                <c:pt idx="11">
                  <c:v>345227.6700000001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4-4AC5-8565-8E504960064F}"/>
            </c:ext>
          </c:extLst>
        </c:ser>
        <c:ser>
          <c:idx val="1"/>
          <c:order val="1"/>
          <c:tx>
            <c:strRef>
              <c:f>Sheet8!$C$51</c:f>
              <c:strCache>
                <c:ptCount val="1"/>
                <c:pt idx="0">
                  <c:v>Sum of Yearly Sale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Sheet8!$A$52:$A$76</c:f>
              <c:multiLvlStrCache>
                <c:ptCount val="12"/>
                <c:lvl>
                  <c:pt idx="0">
                    <c:v>Q1</c:v>
                  </c:pt>
                  <c:pt idx="1">
                    <c:v>Q1</c:v>
                  </c:pt>
                  <c:pt idx="2">
                    <c:v>Q1</c:v>
                  </c:pt>
                  <c:pt idx="3">
                    <c:v>Q2</c:v>
                  </c:pt>
                  <c:pt idx="4">
                    <c:v>Q2</c:v>
                  </c:pt>
                  <c:pt idx="5">
                    <c:v>Q2</c:v>
                  </c:pt>
                  <c:pt idx="6">
                    <c:v>Q3</c:v>
                  </c:pt>
                  <c:pt idx="7">
                    <c:v>Q3</c:v>
                  </c:pt>
                  <c:pt idx="8">
                    <c:v>Q3</c:v>
                  </c:pt>
                  <c:pt idx="9">
                    <c:v>Q4</c:v>
                  </c:pt>
                  <c:pt idx="10">
                    <c:v>Q4</c:v>
                  </c:pt>
                  <c:pt idx="11">
                    <c:v>Q4</c:v>
                  </c:pt>
                </c:lvl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</c:lvl>
              </c:multiLvlStrCache>
            </c:multiLvlStrRef>
          </c:cat>
          <c:val>
            <c:numRef>
              <c:f>Sheet8!$C$52:$C$76</c:f>
              <c:numCache>
                <c:formatCode>General</c:formatCode>
                <c:ptCount val="12"/>
                <c:pt idx="0">
                  <c:v>170016</c:v>
                </c:pt>
                <c:pt idx="1">
                  <c:v>149776</c:v>
                </c:pt>
                <c:pt idx="2">
                  <c:v>184184</c:v>
                </c:pt>
                <c:pt idx="3">
                  <c:v>159896</c:v>
                </c:pt>
                <c:pt idx="4">
                  <c:v>153824</c:v>
                </c:pt>
                <c:pt idx="5">
                  <c:v>155848</c:v>
                </c:pt>
                <c:pt idx="6">
                  <c:v>182160</c:v>
                </c:pt>
                <c:pt idx="7">
                  <c:v>184184</c:v>
                </c:pt>
                <c:pt idx="8">
                  <c:v>172040</c:v>
                </c:pt>
                <c:pt idx="9">
                  <c:v>153824</c:v>
                </c:pt>
                <c:pt idx="10">
                  <c:v>172040</c:v>
                </c:pt>
                <c:pt idx="11">
                  <c:v>186208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4-4AC5-8565-8E5049600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562911"/>
        <c:axId val="1734574559"/>
      </c:lineChart>
      <c:catAx>
        <c:axId val="173456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74559"/>
        <c:crosses val="autoZero"/>
        <c:auto val="1"/>
        <c:lblAlgn val="ctr"/>
        <c:lblOffset val="100"/>
        <c:noMultiLvlLbl val="0"/>
      </c:catAx>
      <c:valAx>
        <c:axId val="173457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6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2.xlsx]Sheet9!PivotTable24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Sheet9!$A$4:$A$17</c:f>
              <c:strCache>
                <c:ptCount val="13"/>
                <c:pt idx="0">
                  <c:v>Cabinet</c:v>
                </c:pt>
                <c:pt idx="1">
                  <c:v>Chair</c:v>
                </c:pt>
                <c:pt idx="2">
                  <c:v>Desk</c:v>
                </c:pt>
                <c:pt idx="3">
                  <c:v>Jacket</c:v>
                </c:pt>
                <c:pt idx="4">
                  <c:v>Laptop</c:v>
                </c:pt>
                <c:pt idx="5">
                  <c:v>Notebook</c:v>
                </c:pt>
                <c:pt idx="6">
                  <c:v>Paper</c:v>
                </c:pt>
                <c:pt idx="7">
                  <c:v>Pen</c:v>
                </c:pt>
                <c:pt idx="8">
                  <c:v>Phone</c:v>
                </c:pt>
                <c:pt idx="9">
                  <c:v>Printer</c:v>
                </c:pt>
                <c:pt idx="10">
                  <c:v>Sneakers</c:v>
                </c:pt>
                <c:pt idx="11">
                  <c:v>Tablet</c:v>
                </c:pt>
                <c:pt idx="12">
                  <c:v>T-Shirt</c:v>
                </c:pt>
              </c:strCache>
            </c:strRef>
          </c:cat>
          <c:val>
            <c:numRef>
              <c:f>Sheet9!$B$4:$B$17</c:f>
              <c:numCache>
                <c:formatCode>General</c:formatCode>
                <c:ptCount val="13"/>
                <c:pt idx="0">
                  <c:v>322861.2900000001</c:v>
                </c:pt>
                <c:pt idx="1">
                  <c:v>246384.17000000004</c:v>
                </c:pt>
                <c:pt idx="2">
                  <c:v>313105.76</c:v>
                </c:pt>
                <c:pt idx="3">
                  <c:v>264660.40999999997</c:v>
                </c:pt>
                <c:pt idx="4">
                  <c:v>292527.57999999996</c:v>
                </c:pt>
                <c:pt idx="5">
                  <c:v>306398.40999999997</c:v>
                </c:pt>
                <c:pt idx="6">
                  <c:v>327080.71000000002</c:v>
                </c:pt>
                <c:pt idx="7">
                  <c:v>331697.68000000005</c:v>
                </c:pt>
                <c:pt idx="8">
                  <c:v>208947.25999999995</c:v>
                </c:pt>
                <c:pt idx="9">
                  <c:v>197674.59000000003</c:v>
                </c:pt>
                <c:pt idx="10">
                  <c:v>312706.77999999997</c:v>
                </c:pt>
                <c:pt idx="11">
                  <c:v>254832.09000000003</c:v>
                </c:pt>
                <c:pt idx="12">
                  <c:v>287627.15999999997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8-444C-8772-44DA8012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589951"/>
        <c:axId val="1734591615"/>
      </c:barChart>
      <c:catAx>
        <c:axId val="173458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91615"/>
        <c:crosses val="autoZero"/>
        <c:auto val="1"/>
        <c:lblAlgn val="ctr"/>
        <c:lblOffset val="100"/>
        <c:noMultiLvlLbl val="0"/>
      </c:catAx>
      <c:valAx>
        <c:axId val="173459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2.xlsx]Sheet9!PivotTable27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Sheet9!$A$24:$A$50</c:f>
              <c:multiLvlStrCache>
                <c:ptCount val="13"/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Clothing</c:v>
                  </c:pt>
                  <c:pt idx="4">
                    <c:v>Electronics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Electronics</c:v>
                  </c:pt>
                  <c:pt idx="9">
                    <c:v>Electronics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</c:lvl>
                <c:lvl>
                  <c:pt idx="0">
                    <c:v>Cabinet</c:v>
                  </c:pt>
                  <c:pt idx="1">
                    <c:v>Chair</c:v>
                  </c:pt>
                  <c:pt idx="2">
                    <c:v>Desk</c:v>
                  </c:pt>
                  <c:pt idx="3">
                    <c:v>Jacket</c:v>
                  </c:pt>
                  <c:pt idx="4">
                    <c:v>Laptop</c:v>
                  </c:pt>
                  <c:pt idx="5">
                    <c:v>Notebook</c:v>
                  </c:pt>
                  <c:pt idx="6">
                    <c:v>Paper</c:v>
                  </c:pt>
                  <c:pt idx="7">
                    <c:v>Pen</c:v>
                  </c:pt>
                  <c:pt idx="8">
                    <c:v>Phone</c:v>
                  </c:pt>
                  <c:pt idx="9">
                    <c:v>Printer</c:v>
                  </c:pt>
                  <c:pt idx="10">
                    <c:v>Sneakers</c:v>
                  </c:pt>
                  <c:pt idx="11">
                    <c:v>Tablet</c:v>
                  </c:pt>
                  <c:pt idx="12">
                    <c:v>T-Shirt</c:v>
                  </c:pt>
                </c:lvl>
              </c:multiLvlStrCache>
            </c:multiLvlStrRef>
          </c:cat>
          <c:val>
            <c:numRef>
              <c:f>Sheet9!$B$24:$B$50</c:f>
              <c:numCache>
                <c:formatCode>General</c:formatCode>
                <c:ptCount val="13"/>
                <c:pt idx="0">
                  <c:v>322861.2900000001</c:v>
                </c:pt>
                <c:pt idx="1">
                  <c:v>246384.17000000004</c:v>
                </c:pt>
                <c:pt idx="2">
                  <c:v>313105.76</c:v>
                </c:pt>
                <c:pt idx="3">
                  <c:v>264660.40999999997</c:v>
                </c:pt>
                <c:pt idx="4">
                  <c:v>292527.57999999996</c:v>
                </c:pt>
                <c:pt idx="5">
                  <c:v>306398.40999999997</c:v>
                </c:pt>
                <c:pt idx="6">
                  <c:v>327080.71000000002</c:v>
                </c:pt>
                <c:pt idx="7">
                  <c:v>331697.68000000005</c:v>
                </c:pt>
                <c:pt idx="8">
                  <c:v>208947.25999999995</c:v>
                </c:pt>
                <c:pt idx="9">
                  <c:v>197674.59000000003</c:v>
                </c:pt>
                <c:pt idx="10">
                  <c:v>312706.77999999997</c:v>
                </c:pt>
                <c:pt idx="11">
                  <c:v>254832.09000000003</c:v>
                </c:pt>
                <c:pt idx="12">
                  <c:v>287627.15999999997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C-4B20-9EDB-9D012173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584959"/>
        <c:axId val="1734593695"/>
      </c:barChart>
      <c:catAx>
        <c:axId val="173458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93695"/>
        <c:crosses val="autoZero"/>
        <c:auto val="1"/>
        <c:lblAlgn val="ctr"/>
        <c:lblOffset val="100"/>
        <c:noMultiLvlLbl val="0"/>
      </c:catAx>
      <c:valAx>
        <c:axId val="173459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5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2.xlsx]Sheet10!PivotTable25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Sheet10!$A$4:$A$30</c:f>
              <c:multiLvlStrCache>
                <c:ptCount val="13"/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Clothing</c:v>
                  </c:pt>
                  <c:pt idx="4">
                    <c:v>Electronics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Electronics</c:v>
                  </c:pt>
                  <c:pt idx="9">
                    <c:v>Electronics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</c:lvl>
                <c:lvl>
                  <c:pt idx="0">
                    <c:v>Cabinet</c:v>
                  </c:pt>
                  <c:pt idx="1">
                    <c:v>Chair</c:v>
                  </c:pt>
                  <c:pt idx="2">
                    <c:v>Desk</c:v>
                  </c:pt>
                  <c:pt idx="3">
                    <c:v>Jacket</c:v>
                  </c:pt>
                  <c:pt idx="4">
                    <c:v>Laptop</c:v>
                  </c:pt>
                  <c:pt idx="5">
                    <c:v>Notebook</c:v>
                  </c:pt>
                  <c:pt idx="6">
                    <c:v>Paper</c:v>
                  </c:pt>
                  <c:pt idx="7">
                    <c:v>Pen</c:v>
                  </c:pt>
                  <c:pt idx="8">
                    <c:v>Phone</c:v>
                  </c:pt>
                  <c:pt idx="9">
                    <c:v>Printer</c:v>
                  </c:pt>
                  <c:pt idx="10">
                    <c:v>Sneakers</c:v>
                  </c:pt>
                  <c:pt idx="11">
                    <c:v>Tablet</c:v>
                  </c:pt>
                  <c:pt idx="12">
                    <c:v>T-Shirt</c:v>
                  </c:pt>
                </c:lvl>
              </c:multiLvlStrCache>
            </c:multiLvlStrRef>
          </c:cat>
          <c:val>
            <c:numRef>
              <c:f>Sheet10!$B$4:$B$30</c:f>
              <c:numCache>
                <c:formatCode>General</c:formatCode>
                <c:ptCount val="13"/>
                <c:pt idx="0">
                  <c:v>322861.2900000001</c:v>
                </c:pt>
                <c:pt idx="1">
                  <c:v>246384.17000000004</c:v>
                </c:pt>
                <c:pt idx="2">
                  <c:v>313105.76</c:v>
                </c:pt>
                <c:pt idx="3">
                  <c:v>264660.40999999997</c:v>
                </c:pt>
                <c:pt idx="4">
                  <c:v>292527.57999999996</c:v>
                </c:pt>
                <c:pt idx="5">
                  <c:v>306398.40999999997</c:v>
                </c:pt>
                <c:pt idx="6">
                  <c:v>327080.71000000002</c:v>
                </c:pt>
                <c:pt idx="7">
                  <c:v>331697.68000000005</c:v>
                </c:pt>
                <c:pt idx="8">
                  <c:v>208947.25999999995</c:v>
                </c:pt>
                <c:pt idx="9">
                  <c:v>197674.59000000003</c:v>
                </c:pt>
                <c:pt idx="10">
                  <c:v>312706.77999999997</c:v>
                </c:pt>
                <c:pt idx="11">
                  <c:v>254832.09000000003</c:v>
                </c:pt>
                <c:pt idx="12">
                  <c:v>287627.15999999997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A-4215-89DA-AD7DE5557738}"/>
            </c:ext>
          </c:extLst>
        </c:ser>
        <c:ser>
          <c:idx val="1"/>
          <c:order val="1"/>
          <c:tx>
            <c:strRef>
              <c:f>Sheet10!$C$3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Sheet10!$A$4:$A$30</c:f>
              <c:multiLvlStrCache>
                <c:ptCount val="13"/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Clothing</c:v>
                  </c:pt>
                  <c:pt idx="4">
                    <c:v>Electronics</c:v>
                  </c:pt>
                  <c:pt idx="5">
                    <c:v>Office Supplies</c:v>
                  </c:pt>
                  <c:pt idx="6">
                    <c:v>Office Supplies</c:v>
                  </c:pt>
                  <c:pt idx="7">
                    <c:v>Office Supplies</c:v>
                  </c:pt>
                  <c:pt idx="8">
                    <c:v>Electronics</c:v>
                  </c:pt>
                  <c:pt idx="9">
                    <c:v>Electronics</c:v>
                  </c:pt>
                  <c:pt idx="10">
                    <c:v>Clothing</c:v>
                  </c:pt>
                  <c:pt idx="11">
                    <c:v>Electronics</c:v>
                  </c:pt>
                  <c:pt idx="12">
                    <c:v>Clothing</c:v>
                  </c:pt>
                </c:lvl>
                <c:lvl>
                  <c:pt idx="0">
                    <c:v>Cabinet</c:v>
                  </c:pt>
                  <c:pt idx="1">
                    <c:v>Chair</c:v>
                  </c:pt>
                  <c:pt idx="2">
                    <c:v>Desk</c:v>
                  </c:pt>
                  <c:pt idx="3">
                    <c:v>Jacket</c:v>
                  </c:pt>
                  <c:pt idx="4">
                    <c:v>Laptop</c:v>
                  </c:pt>
                  <c:pt idx="5">
                    <c:v>Notebook</c:v>
                  </c:pt>
                  <c:pt idx="6">
                    <c:v>Paper</c:v>
                  </c:pt>
                  <c:pt idx="7">
                    <c:v>Pen</c:v>
                  </c:pt>
                  <c:pt idx="8">
                    <c:v>Phone</c:v>
                  </c:pt>
                  <c:pt idx="9">
                    <c:v>Printer</c:v>
                  </c:pt>
                  <c:pt idx="10">
                    <c:v>Sneakers</c:v>
                  </c:pt>
                  <c:pt idx="11">
                    <c:v>Tablet</c:v>
                  </c:pt>
                  <c:pt idx="12">
                    <c:v>T-Shirt</c:v>
                  </c:pt>
                </c:lvl>
              </c:multiLvlStrCache>
            </c:multiLvlStrRef>
          </c:cat>
          <c:val>
            <c:numRef>
              <c:f>Sheet10!$C$4:$C$30</c:f>
              <c:numCache>
                <c:formatCode>General</c:formatCode>
                <c:ptCount val="13"/>
                <c:pt idx="0">
                  <c:v>115137.10999999999</c:v>
                </c:pt>
                <c:pt idx="1">
                  <c:v>81713.35000000002</c:v>
                </c:pt>
                <c:pt idx="2">
                  <c:v>97926.09</c:v>
                </c:pt>
                <c:pt idx="3">
                  <c:v>78197.26999999996</c:v>
                </c:pt>
                <c:pt idx="4">
                  <c:v>88030.979999999981</c:v>
                </c:pt>
                <c:pt idx="5">
                  <c:v>100534.74000000002</c:v>
                </c:pt>
                <c:pt idx="6">
                  <c:v>106656.02</c:v>
                </c:pt>
                <c:pt idx="7">
                  <c:v>105676.23000000003</c:v>
                </c:pt>
                <c:pt idx="8">
                  <c:v>68522.630000000019</c:v>
                </c:pt>
                <c:pt idx="9">
                  <c:v>65330.590000000004</c:v>
                </c:pt>
                <c:pt idx="10">
                  <c:v>110273.38999999998</c:v>
                </c:pt>
                <c:pt idx="11">
                  <c:v>82991.829999999987</c:v>
                </c:pt>
                <c:pt idx="12">
                  <c:v>94839.200000000026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4A-4215-89DA-AD7DE5557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2566479"/>
        <c:axId val="1532572719"/>
      </c:barChart>
      <c:catAx>
        <c:axId val="15325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72719"/>
        <c:crosses val="autoZero"/>
        <c:auto val="1"/>
        <c:lblAlgn val="ctr"/>
        <c:lblOffset val="100"/>
        <c:noMultiLvlLbl val="0"/>
      </c:catAx>
      <c:valAx>
        <c:axId val="15325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56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[sales_dataset_csv 2.xlsx]Sheet11!PivotTable28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7A-45A7-8856-A1AED9C7D7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7A-45A7-8856-A1AED9C7D7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7A-45A7-8856-A1AED9C7D7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7A-45A7-8856-A1AED9C7D7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7A-45A7-8856-A1AED9C7D7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7A-45A7-8856-A1AED9C7D7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7A-45A7-8856-A1AED9C7D7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47A-45A7-8856-A1AED9C7D7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47A-45A7-8856-A1AED9C7D7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47A-45A7-8856-A1AED9C7D7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47A-45A7-8856-A1AED9C7D7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47A-45A7-8856-A1AED9C7D70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47A-45A7-8856-A1AED9C7D70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47A-45A7-8856-A1AED9C7D70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47A-45A7-8856-A1AED9C7D70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47A-45A7-8856-A1AED9C7D70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47A-45A7-8856-A1AED9C7D70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47A-45A7-8856-A1AED9C7D70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47A-45A7-8856-A1AED9C7D70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47A-45A7-8856-A1AED9C7D70B}"/>
              </c:ext>
            </c:extLst>
          </c:dPt>
          <c:cat>
            <c:multiLvlStrRef>
              <c:f>Sheet11!$A$4:$A$28</c:f>
              <c:multiLvlStrCache>
                <c:ptCount val="20"/>
                <c:lvl>
                  <c:pt idx="0">
                    <c:v>Central</c:v>
                  </c:pt>
                  <c:pt idx="1">
                    <c:v>East</c:v>
                  </c:pt>
                  <c:pt idx="2">
                    <c:v>North</c:v>
                  </c:pt>
                  <c:pt idx="3">
                    <c:v>South</c:v>
                  </c:pt>
                  <c:pt idx="4">
                    <c:v>West</c:v>
                  </c:pt>
                  <c:pt idx="5">
                    <c:v>Central</c:v>
                  </c:pt>
                  <c:pt idx="6">
                    <c:v>East</c:v>
                  </c:pt>
                  <c:pt idx="7">
                    <c:v>North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Central</c:v>
                  </c:pt>
                  <c:pt idx="11">
                    <c:v>East</c:v>
                  </c:pt>
                  <c:pt idx="12">
                    <c:v>North</c:v>
                  </c:pt>
                  <c:pt idx="13">
                    <c:v>South</c:v>
                  </c:pt>
                  <c:pt idx="14">
                    <c:v>West</c:v>
                  </c:pt>
                  <c:pt idx="15">
                    <c:v>Central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</c:lvl>
                <c:lvl>
                  <c:pt idx="0">
                    <c:v>Clothing</c:v>
                  </c:pt>
                  <c:pt idx="5">
                    <c:v>Electronics</c:v>
                  </c:pt>
                  <c:pt idx="10">
                    <c:v>Furniture</c:v>
                  </c:pt>
                  <c:pt idx="15">
                    <c:v>Office Supplies</c:v>
                  </c:pt>
                </c:lvl>
              </c:multiLvlStrCache>
            </c:multiLvlStrRef>
          </c:cat>
          <c:val>
            <c:numRef>
              <c:f>Sheet11!$B$4:$B$28</c:f>
              <c:numCache>
                <c:formatCode>General</c:formatCode>
                <c:ptCount val="20"/>
                <c:pt idx="0">
                  <c:v>219384.5</c:v>
                </c:pt>
                <c:pt idx="1">
                  <c:v>173826.87000000005</c:v>
                </c:pt>
                <c:pt idx="2">
                  <c:v>140757.82999999999</c:v>
                </c:pt>
                <c:pt idx="3">
                  <c:v>172924</c:v>
                </c:pt>
                <c:pt idx="4">
                  <c:v>158101.15</c:v>
                </c:pt>
                <c:pt idx="5">
                  <c:v>194498.10999999993</c:v>
                </c:pt>
                <c:pt idx="6">
                  <c:v>204693.62</c:v>
                </c:pt>
                <c:pt idx="7">
                  <c:v>220970.11000000002</c:v>
                </c:pt>
                <c:pt idx="8">
                  <c:v>164952.16</c:v>
                </c:pt>
                <c:pt idx="9">
                  <c:v>168867.51999999996</c:v>
                </c:pt>
                <c:pt idx="10">
                  <c:v>196357.91999999998</c:v>
                </c:pt>
                <c:pt idx="11">
                  <c:v>195050.32000000004</c:v>
                </c:pt>
                <c:pt idx="12">
                  <c:v>147362.78</c:v>
                </c:pt>
                <c:pt idx="13">
                  <c:v>144430.55000000005</c:v>
                </c:pt>
                <c:pt idx="14">
                  <c:v>199149.65</c:v>
                </c:pt>
                <c:pt idx="15">
                  <c:v>216453.04000000004</c:v>
                </c:pt>
                <c:pt idx="16">
                  <c:v>155139.11000000002</c:v>
                </c:pt>
                <c:pt idx="17">
                  <c:v>159631.48000000004</c:v>
                </c:pt>
                <c:pt idx="18">
                  <c:v>259778.51</c:v>
                </c:pt>
                <c:pt idx="19">
                  <c:v>174174.66000000003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5-4ACF-A505-23DCE26FD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12700</xdr:rowOff>
    </xdr:from>
    <xdr:to>
      <xdr:col>2</xdr:col>
      <xdr:colOff>152400</xdr:colOff>
      <xdr:row>1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7F8F58-EEB0-48A1-95B6-EC5F8E312BD7}"/>
            </a:ext>
          </a:extLst>
        </xdr:cNvPr>
        <xdr:cNvSpPr txBox="1"/>
      </xdr:nvSpPr>
      <xdr:spPr>
        <a:xfrm>
          <a:off x="44450" y="12700"/>
          <a:ext cx="17970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 OF PROFIT BY REGION</a:t>
          </a:r>
        </a:p>
      </xdr:txBody>
    </xdr:sp>
    <xdr:clientData/>
  </xdr:twoCellAnchor>
  <xdr:twoCellAnchor>
    <xdr:from>
      <xdr:col>0</xdr:col>
      <xdr:colOff>127000</xdr:colOff>
      <xdr:row>32</xdr:row>
      <xdr:rowOff>107950</xdr:rowOff>
    </xdr:from>
    <xdr:to>
      <xdr:col>3</xdr:col>
      <xdr:colOff>1739900</xdr:colOff>
      <xdr:row>34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6801E4-1C4F-4DDD-84EA-BF56B374A5D4}"/>
            </a:ext>
          </a:extLst>
        </xdr:cNvPr>
        <xdr:cNvSpPr txBox="1"/>
      </xdr:nvSpPr>
      <xdr:spPr>
        <a:xfrm>
          <a:off x="127000" y="6000750"/>
          <a:ext cx="47244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</a:t>
          </a:r>
          <a:r>
            <a:rPr lang="en-US" sz="1100" baseline="0"/>
            <a:t> OF UNIT PRICE, DISCOUNT, AND SALES AMOUNT BY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0</xdr:row>
      <xdr:rowOff>101600</xdr:rowOff>
    </xdr:from>
    <xdr:to>
      <xdr:col>2</xdr:col>
      <xdr:colOff>279400</xdr:colOff>
      <xdr:row>1</xdr:row>
      <xdr:rowOff>158750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8BFF0B-3D68-4A23-8D1F-D5052B6F0316}"/>
            </a:ext>
          </a:extLst>
        </xdr:cNvPr>
        <xdr:cNvSpPr txBox="1"/>
      </xdr:nvSpPr>
      <xdr:spPr>
        <a:xfrm>
          <a:off x="254000" y="101600"/>
          <a:ext cx="2235200" cy="24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MONTHLY SALES TREND</a:t>
          </a:r>
        </a:p>
      </xdr:txBody>
    </xdr:sp>
    <xdr:clientData/>
  </xdr:twoCellAnchor>
  <xdr:twoCellAnchor>
    <xdr:from>
      <xdr:col>0</xdr:col>
      <xdr:colOff>0</xdr:colOff>
      <xdr:row>18</xdr:row>
      <xdr:rowOff>80146</xdr:rowOff>
    </xdr:from>
    <xdr:to>
      <xdr:col>2</xdr:col>
      <xdr:colOff>511699</xdr:colOff>
      <xdr:row>20</xdr:row>
      <xdr:rowOff>30825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610EE5-8925-4176-98A3-12DB150FCDA6}"/>
            </a:ext>
          </a:extLst>
        </xdr:cNvPr>
        <xdr:cNvSpPr txBox="1"/>
      </xdr:nvSpPr>
      <xdr:spPr>
        <a:xfrm>
          <a:off x="0" y="3409272"/>
          <a:ext cx="2718786" cy="3205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MONTHLY/QUARTERLY</a:t>
          </a:r>
          <a:r>
            <a:rPr lang="en-US" sz="1100" baseline="0"/>
            <a:t> SALES TRENDS</a:t>
          </a:r>
          <a:endParaRPr lang="en-US" sz="1100"/>
        </a:p>
      </xdr:txBody>
    </xdr:sp>
    <xdr:clientData/>
  </xdr:twoCellAnchor>
  <xdr:oneCellAnchor>
    <xdr:from>
      <xdr:col>0</xdr:col>
      <xdr:colOff>75045</xdr:colOff>
      <xdr:row>47</xdr:row>
      <xdr:rowOff>109681</xdr:rowOff>
    </xdr:from>
    <xdr:ext cx="322695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FCF21F-BB01-401C-B870-16FD6B671A68}"/>
            </a:ext>
          </a:extLst>
        </xdr:cNvPr>
        <xdr:cNvSpPr txBox="1"/>
      </xdr:nvSpPr>
      <xdr:spPr>
        <a:xfrm>
          <a:off x="75045" y="8791863"/>
          <a:ext cx="32269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MONTHLY, QUARTERLY AND YEARLY SALES TRENDS</a:t>
          </a:r>
        </a:p>
      </xdr:txBody>
    </xdr:sp>
    <xdr:clientData/>
  </xdr:oneCellAnchor>
  <xdr:twoCellAnchor>
    <xdr:from>
      <xdr:col>2</xdr:col>
      <xdr:colOff>210703</xdr:colOff>
      <xdr:row>3</xdr:row>
      <xdr:rowOff>88900</xdr:rowOff>
    </xdr:from>
    <xdr:to>
      <xdr:col>8</xdr:col>
      <xdr:colOff>597476</xdr:colOff>
      <xdr:row>18</xdr:row>
      <xdr:rowOff>61191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303DDE-5B41-42E2-AF74-01EDF3D98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222249</xdr:colOff>
      <xdr:row>20</xdr:row>
      <xdr:rowOff>181264</xdr:rowOff>
    </xdr:from>
    <xdr:to>
      <xdr:col>8</xdr:col>
      <xdr:colOff>609022</xdr:colOff>
      <xdr:row>35</xdr:row>
      <xdr:rowOff>153554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5B7036-A522-405C-A318-2D721A7AA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80819</xdr:colOff>
      <xdr:row>50</xdr:row>
      <xdr:rowOff>117763</xdr:rowOff>
    </xdr:from>
    <xdr:to>
      <xdr:col>9</xdr:col>
      <xdr:colOff>606136</xdr:colOff>
      <xdr:row>65</xdr:row>
      <xdr:rowOff>90054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0C8D4E-815C-4B59-A90B-4B368FD63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44450</xdr:rowOff>
    </xdr:from>
    <xdr:to>
      <xdr:col>2</xdr:col>
      <xdr:colOff>368300</xdr:colOff>
      <xdr:row>2</xdr:row>
      <xdr:rowOff>44450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E59F508-9263-42B5-B840-F76E32200A90}"/>
            </a:ext>
          </a:extLst>
        </xdr:cNvPr>
        <xdr:cNvSpPr txBox="1"/>
      </xdr:nvSpPr>
      <xdr:spPr>
        <a:xfrm>
          <a:off x="44450" y="44450"/>
          <a:ext cx="25336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TOP 10 PERFOMING ITEMS HIGHLIGHTED</a:t>
          </a:r>
        </a:p>
      </xdr:txBody>
    </xdr:sp>
    <xdr:clientData/>
  </xdr:twoCellAnchor>
  <xdr:twoCellAnchor>
    <xdr:from>
      <xdr:col>0</xdr:col>
      <xdr:colOff>177800</xdr:colOff>
      <xdr:row>20</xdr:row>
      <xdr:rowOff>88900</xdr:rowOff>
    </xdr:from>
    <xdr:to>
      <xdr:col>1</xdr:col>
      <xdr:colOff>1339850</xdr:colOff>
      <xdr:row>21</xdr:row>
      <xdr:rowOff>177800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667FBB-5A78-4D88-A20F-8B2FBF466018}"/>
            </a:ext>
          </a:extLst>
        </xdr:cNvPr>
        <xdr:cNvSpPr txBox="1"/>
      </xdr:nvSpPr>
      <xdr:spPr>
        <a:xfrm>
          <a:off x="177800" y="3771900"/>
          <a:ext cx="23495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LOW 10 PERFORMING ITEMS</a:t>
          </a:r>
        </a:p>
      </xdr:txBody>
    </xdr:sp>
    <xdr:clientData/>
  </xdr:twoCellAnchor>
  <xdr:twoCellAnchor>
    <xdr:from>
      <xdr:col>2</xdr:col>
      <xdr:colOff>628650</xdr:colOff>
      <xdr:row>2</xdr:row>
      <xdr:rowOff>120650</xdr:rowOff>
    </xdr:from>
    <xdr:to>
      <xdr:col>6</xdr:col>
      <xdr:colOff>635000</xdr:colOff>
      <xdr:row>17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59F8146-22C8-4F3D-A106-86F01F64E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23</xdr:row>
      <xdr:rowOff>152400</xdr:rowOff>
    </xdr:from>
    <xdr:to>
      <xdr:col>6</xdr:col>
      <xdr:colOff>628650</xdr:colOff>
      <xdr:row>38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EA5064-5B11-4621-A6E2-272063FFC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50801</xdr:colOff>
      <xdr:row>0</xdr:row>
      <xdr:rowOff>44450</xdr:rowOff>
    </xdr:from>
    <xdr:to>
      <xdr:col>3</xdr:col>
      <xdr:colOff>142552</xdr:colOff>
      <xdr:row>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6AB798-FD3A-465E-9C44-924F4FF6A36E}"/>
            </a:ext>
          </a:extLst>
        </xdr:cNvPr>
        <xdr:cNvSpPr txBox="1"/>
      </xdr:nvSpPr>
      <xdr:spPr>
        <a:xfrm>
          <a:off x="50801" y="44450"/>
          <a:ext cx="4115578" cy="350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PRODUCT CATEGORY, NAME,</a:t>
          </a:r>
          <a:r>
            <a:rPr lang="en-US" sz="1100" baseline="0"/>
            <a:t> SUM OF SALES AMOUNT AND PROFIT</a:t>
          </a:r>
          <a:endParaRPr lang="en-US" sz="1100"/>
        </a:p>
      </xdr:txBody>
    </xdr:sp>
    <xdr:clientData/>
  </xdr:twoCellAnchor>
  <xdr:twoCellAnchor>
    <xdr:from>
      <xdr:col>2</xdr:col>
      <xdr:colOff>1212980</xdr:colOff>
      <xdr:row>4</xdr:row>
      <xdr:rowOff>8553</xdr:rowOff>
    </xdr:from>
    <xdr:to>
      <xdr:col>10</xdr:col>
      <xdr:colOff>110153</xdr:colOff>
      <xdr:row>18</xdr:row>
      <xdr:rowOff>174949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E1585-A3B1-4744-ABF8-801B4D12B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88900</xdr:rowOff>
    </xdr:from>
    <xdr:to>
      <xdr:col>1</xdr:col>
      <xdr:colOff>1428750</xdr:colOff>
      <xdr:row>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9675A8-4930-4978-B34C-D061AD037408}"/>
            </a:ext>
          </a:extLst>
        </xdr:cNvPr>
        <xdr:cNvSpPr txBox="1"/>
      </xdr:nvSpPr>
      <xdr:spPr>
        <a:xfrm>
          <a:off x="0" y="88900"/>
          <a:ext cx="3302000" cy="31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Region-Wise and Category-Wise Sales Comparison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203200</xdr:colOff>
      <xdr:row>2</xdr:row>
      <xdr:rowOff>31750</xdr:rowOff>
    </xdr:from>
    <xdr:to>
      <xdr:col>9</xdr:col>
      <xdr:colOff>520700</xdr:colOff>
      <xdr:row>19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2BAB31-7097-48A5-8E35-BD2EA86ED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0.192466319444" createdVersion="7" refreshedVersion="7" minRefreshableVersion="3" recordCount="1000" xr:uid="{00000000-000A-0000-FFFF-FFFF04000000}">
  <cacheSource type="worksheet">
    <worksheetSource name="Table1"/>
  </cacheSource>
  <cacheFields count="2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Customer_Name" numFmtId="0">
      <sharedItems/>
    </cacheField>
    <cacheField name="Region" numFmtId="0">
      <sharedItems count="5">
        <s v="West"/>
        <s v="North"/>
        <s v="South"/>
        <s v="East"/>
        <s v="Central"/>
      </sharedItems>
    </cacheField>
    <cacheField name="City" numFmtId="0">
      <sharedItems/>
    </cacheField>
    <cacheField name="Customer_Segment" numFmtId="0">
      <sharedItems/>
    </cacheField>
    <cacheField name="Product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minValue="12.49" maxValue="1199.6600000000001"/>
    </cacheField>
    <cacheField name="Discount" numFmtId="0">
      <sharedItems containsSemiMixedTypes="0" containsString="0" containsNumber="1" minValue="0" maxValue="0.15"/>
    </cacheField>
    <cacheField name="Sales_Amount" numFmtId="0">
      <sharedItems containsSemiMixedTypes="0" containsString="0" containsNumber="1" minValue="27.78" maxValue="13608.86"/>
    </cacheField>
    <cacheField name="Cost_Amount" numFmtId="0">
      <sharedItems containsSemiMixedTypes="0" containsString="0" containsNumber="1" minValue="17.27" maxValue="10086.07"/>
    </cacheField>
    <cacheField name="Profit" numFmtId="0">
      <sharedItems containsSemiMixedTypes="0" containsString="0" containsNumber="1" minValue="6" maxValue="5671.23"/>
    </cacheField>
    <cacheField name="Payment_Method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Monthly Sale" numFmtId="0">
      <sharedItems/>
    </cacheField>
    <cacheField name="Quarterly Sale " numFmtId="0">
      <sharedItems/>
    </cacheField>
    <cacheField name="Yearly Sale" numFmtId="0">
      <sharedItems containsSemiMixedTypes="0" containsString="0" containsNumber="1" containsInteger="1" minValue="2024" maxValue="202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0.195053935182" createdVersion="7" refreshedVersion="7" minRefreshableVersion="3" recordCount="1000" xr:uid="{00000000-000A-0000-FFFF-FFFF09000000}">
  <cacheSource type="worksheet">
    <worksheetSource name="Table1"/>
  </cacheSource>
  <cacheFields count="2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01-01T00:00:00"/>
    </cacheField>
    <cacheField name="Customer_Name" numFmtId="0">
      <sharedItems/>
    </cacheField>
    <cacheField name="Region" numFmtId="0">
      <sharedItems/>
    </cacheField>
    <cacheField name="City" numFmtId="0">
      <sharedItems count="5">
        <s v="Port Harcourt"/>
        <s v="Ibadan"/>
        <s v="Lagos"/>
        <s v="Kano"/>
        <s v="Abuja"/>
      </sharedItems>
    </cacheField>
    <cacheField name="Customer_Segment" numFmtId="0">
      <sharedItems/>
    </cacheField>
    <cacheField name="Product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minValue="12.49" maxValue="1199.6600000000001"/>
    </cacheField>
    <cacheField name="Discount" numFmtId="0">
      <sharedItems containsSemiMixedTypes="0" containsString="0" containsNumber="1" minValue="0" maxValue="0.15"/>
    </cacheField>
    <cacheField name="Sales_Amount" numFmtId="0">
      <sharedItems containsSemiMixedTypes="0" containsString="0" containsNumber="1" minValue="27.78" maxValue="13608.86"/>
    </cacheField>
    <cacheField name="Cost_Amount" numFmtId="0">
      <sharedItems containsSemiMixedTypes="0" containsString="0" containsNumber="1" minValue="17.27" maxValue="10086.07"/>
    </cacheField>
    <cacheField name="Profit" numFmtId="0">
      <sharedItems containsSemiMixedTypes="0" containsString="0" containsNumber="1" minValue="6" maxValue="5671.23"/>
    </cacheField>
    <cacheField name="Payment_Method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Monthly Sale" numFmtId="0">
      <sharedItems/>
    </cacheField>
    <cacheField name="Quarterly Sale " numFmtId="0">
      <sharedItems/>
    </cacheField>
    <cacheField name="Yearly Sale" numFmtId="0">
      <sharedItems containsSemiMixedTypes="0" containsString="0" containsNumber="1" containsInteger="1" minValue="2024" maxValue="202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0.197493055559" createdVersion="7" refreshedVersion="7" minRefreshableVersion="3" recordCount="1000" xr:uid="{00000000-000A-0000-FFFF-FFFF30000000}">
  <cacheSource type="worksheet">
    <worksheetSource name="Table1"/>
  </cacheSource>
  <cacheFields count="20">
    <cacheField name="Order_ID" numFmtId="0">
      <sharedItems count="1000">
        <s v="SAL-1001"/>
        <s v="SAL-1002"/>
        <s v="SAL-1003"/>
        <s v="SAL-1004"/>
        <s v="SAL-1005"/>
        <s v="SAL-1006"/>
        <s v="SAL-1007"/>
        <s v="SAL-1008"/>
        <s v="SAL-1009"/>
        <s v="SAL-1010"/>
        <s v="SAL-1011"/>
        <s v="SAL-1012"/>
        <s v="SAL-1013"/>
        <s v="SAL-1014"/>
        <s v="SAL-1015"/>
        <s v="SAL-1016"/>
        <s v="SAL-1017"/>
        <s v="SAL-1018"/>
        <s v="SAL-1019"/>
        <s v="SAL-1020"/>
        <s v="SAL-1021"/>
        <s v="SAL-1022"/>
        <s v="SAL-1023"/>
        <s v="SAL-1024"/>
        <s v="SAL-1025"/>
        <s v="SAL-1026"/>
        <s v="SAL-1027"/>
        <s v="SAL-1028"/>
        <s v="SAL-1029"/>
        <s v="SAL-1030"/>
        <s v="SAL-1031"/>
        <s v="SAL-1032"/>
        <s v="SAL-1033"/>
        <s v="SAL-1034"/>
        <s v="SAL-1035"/>
        <s v="SAL-1036"/>
        <s v="SAL-1037"/>
        <s v="SAL-1038"/>
        <s v="SAL-1039"/>
        <s v="SAL-1040"/>
        <s v="SAL-1041"/>
        <s v="SAL-1042"/>
        <s v="SAL-1043"/>
        <s v="SAL-1044"/>
        <s v="SAL-1045"/>
        <s v="SAL-1046"/>
        <s v="SAL-1047"/>
        <s v="SAL-1048"/>
        <s v="SAL-1049"/>
        <s v="SAL-1050"/>
        <s v="SAL-1051"/>
        <s v="SAL-1052"/>
        <s v="SAL-1053"/>
        <s v="SAL-1054"/>
        <s v="SAL-1055"/>
        <s v="SAL-1056"/>
        <s v="SAL-1057"/>
        <s v="SAL-1058"/>
        <s v="SAL-1059"/>
        <s v="SAL-1060"/>
        <s v="SAL-1061"/>
        <s v="SAL-1062"/>
        <s v="SAL-1063"/>
        <s v="SAL-1064"/>
        <s v="SAL-1065"/>
        <s v="SAL-1066"/>
        <s v="SAL-1067"/>
        <s v="SAL-1068"/>
        <s v="SAL-1069"/>
        <s v="SAL-1070"/>
        <s v="SAL-1071"/>
        <s v="SAL-1072"/>
        <s v="SAL-1073"/>
        <s v="SAL-1074"/>
        <s v="SAL-1075"/>
        <s v="SAL-1076"/>
        <s v="SAL-1077"/>
        <s v="SAL-1078"/>
        <s v="SAL-1079"/>
        <s v="SAL-1080"/>
        <s v="SAL-1081"/>
        <s v="SAL-1082"/>
        <s v="SAL-1083"/>
        <s v="SAL-1084"/>
        <s v="SAL-1085"/>
        <s v="SAL-1086"/>
        <s v="SAL-1087"/>
        <s v="SAL-1088"/>
        <s v="SAL-1089"/>
        <s v="SAL-1090"/>
        <s v="SAL-1091"/>
        <s v="SAL-1092"/>
        <s v="SAL-1093"/>
        <s v="SAL-1094"/>
        <s v="SAL-1095"/>
        <s v="SAL-1096"/>
        <s v="SAL-1097"/>
        <s v="SAL-1098"/>
        <s v="SAL-1099"/>
        <s v="SAL-1100"/>
        <s v="SAL-1101"/>
        <s v="SAL-1102"/>
        <s v="SAL-1103"/>
        <s v="SAL-1104"/>
        <s v="SAL-1105"/>
        <s v="SAL-1106"/>
        <s v="SAL-1107"/>
        <s v="SAL-1108"/>
        <s v="SAL-1109"/>
        <s v="SAL-1110"/>
        <s v="SAL-1111"/>
        <s v="SAL-1112"/>
        <s v="SAL-1113"/>
        <s v="SAL-1114"/>
        <s v="SAL-1115"/>
        <s v="SAL-1116"/>
        <s v="SAL-1117"/>
        <s v="SAL-1118"/>
        <s v="SAL-1119"/>
        <s v="SAL-1120"/>
        <s v="SAL-1121"/>
        <s v="SAL-1122"/>
        <s v="SAL-1123"/>
        <s v="SAL-1124"/>
        <s v="SAL-1125"/>
        <s v="SAL-1126"/>
        <s v="SAL-1127"/>
        <s v="SAL-1128"/>
        <s v="SAL-1129"/>
        <s v="SAL-1130"/>
        <s v="SAL-1131"/>
        <s v="SAL-1132"/>
        <s v="SAL-1133"/>
        <s v="SAL-1134"/>
        <s v="SAL-1135"/>
        <s v="SAL-1136"/>
        <s v="SAL-1137"/>
        <s v="SAL-1138"/>
        <s v="SAL-1139"/>
        <s v="SAL-1140"/>
        <s v="SAL-1141"/>
        <s v="SAL-1142"/>
        <s v="SAL-1143"/>
        <s v="SAL-1144"/>
        <s v="SAL-1145"/>
        <s v="SAL-1146"/>
        <s v="SAL-1147"/>
        <s v="SAL-1148"/>
        <s v="SAL-1149"/>
        <s v="SAL-1150"/>
        <s v="SAL-1151"/>
        <s v="SAL-1152"/>
        <s v="SAL-1153"/>
        <s v="SAL-1154"/>
        <s v="SAL-1155"/>
        <s v="SAL-1156"/>
        <s v="SAL-1157"/>
        <s v="SAL-1158"/>
        <s v="SAL-1159"/>
        <s v="SAL-1160"/>
        <s v="SAL-1161"/>
        <s v="SAL-1162"/>
        <s v="SAL-1163"/>
        <s v="SAL-1164"/>
        <s v="SAL-1165"/>
        <s v="SAL-1166"/>
        <s v="SAL-1167"/>
        <s v="SAL-1168"/>
        <s v="SAL-1169"/>
        <s v="SAL-1170"/>
        <s v="SAL-1171"/>
        <s v="SAL-1172"/>
        <s v="SAL-1173"/>
        <s v="SAL-1174"/>
        <s v="SAL-1175"/>
        <s v="SAL-1176"/>
        <s v="SAL-1177"/>
        <s v="SAL-1178"/>
        <s v="SAL-1179"/>
        <s v="SAL-1180"/>
        <s v="SAL-1181"/>
        <s v="SAL-1182"/>
        <s v="SAL-1183"/>
        <s v="SAL-1184"/>
        <s v="SAL-1185"/>
        <s v="SAL-1186"/>
        <s v="SAL-1187"/>
        <s v="SAL-1188"/>
        <s v="SAL-1189"/>
        <s v="SAL-1190"/>
        <s v="SAL-1191"/>
        <s v="SAL-1192"/>
        <s v="SAL-1193"/>
        <s v="SAL-1194"/>
        <s v="SAL-1195"/>
        <s v="SAL-1196"/>
        <s v="SAL-1197"/>
        <s v="SAL-1198"/>
        <s v="SAL-1199"/>
        <s v="SAL-1200"/>
        <s v="SAL-1201"/>
        <s v="SAL-1202"/>
        <s v="SAL-1203"/>
        <s v="SAL-1204"/>
        <s v="SAL-1205"/>
        <s v="SAL-1206"/>
        <s v="SAL-1207"/>
        <s v="SAL-1208"/>
        <s v="SAL-1209"/>
        <s v="SAL-1210"/>
        <s v="SAL-1211"/>
        <s v="SAL-1212"/>
        <s v="SAL-1213"/>
        <s v="SAL-1214"/>
        <s v="SAL-1215"/>
        <s v="SAL-1216"/>
        <s v="SAL-1217"/>
        <s v="SAL-1218"/>
        <s v="SAL-1219"/>
        <s v="SAL-1220"/>
        <s v="SAL-1221"/>
        <s v="SAL-1222"/>
        <s v="SAL-1223"/>
        <s v="SAL-1224"/>
        <s v="SAL-1225"/>
        <s v="SAL-1226"/>
        <s v="SAL-1227"/>
        <s v="SAL-1228"/>
        <s v="SAL-1229"/>
        <s v="SAL-1230"/>
        <s v="SAL-1231"/>
        <s v="SAL-1232"/>
        <s v="SAL-1233"/>
        <s v="SAL-1234"/>
        <s v="SAL-1235"/>
        <s v="SAL-1236"/>
        <s v="SAL-1237"/>
        <s v="SAL-1238"/>
        <s v="SAL-1239"/>
        <s v="SAL-1240"/>
        <s v="SAL-1241"/>
        <s v="SAL-1242"/>
        <s v="SAL-1243"/>
        <s v="SAL-1244"/>
        <s v="SAL-1245"/>
        <s v="SAL-1246"/>
        <s v="SAL-1247"/>
        <s v="SAL-1248"/>
        <s v="SAL-1249"/>
        <s v="SAL-1250"/>
        <s v="SAL-1251"/>
        <s v="SAL-1252"/>
        <s v="SAL-1253"/>
        <s v="SAL-1254"/>
        <s v="SAL-1255"/>
        <s v="SAL-1256"/>
        <s v="SAL-1257"/>
        <s v="SAL-1258"/>
        <s v="SAL-1259"/>
        <s v="SAL-1260"/>
        <s v="SAL-1261"/>
        <s v="SAL-1262"/>
        <s v="SAL-1263"/>
        <s v="SAL-1264"/>
        <s v="SAL-1265"/>
        <s v="SAL-1266"/>
        <s v="SAL-1267"/>
        <s v="SAL-1268"/>
        <s v="SAL-1269"/>
        <s v="SAL-1270"/>
        <s v="SAL-1271"/>
        <s v="SAL-1272"/>
        <s v="SAL-1273"/>
        <s v="SAL-1274"/>
        <s v="SAL-1275"/>
        <s v="SAL-1276"/>
        <s v="SAL-1277"/>
        <s v="SAL-1278"/>
        <s v="SAL-1279"/>
        <s v="SAL-1280"/>
        <s v="SAL-1281"/>
        <s v="SAL-1282"/>
        <s v="SAL-1283"/>
        <s v="SAL-1284"/>
        <s v="SAL-1285"/>
        <s v="SAL-1286"/>
        <s v="SAL-1287"/>
        <s v="SAL-1288"/>
        <s v="SAL-1289"/>
        <s v="SAL-1290"/>
        <s v="SAL-1291"/>
        <s v="SAL-1292"/>
        <s v="SAL-1293"/>
        <s v="SAL-1294"/>
        <s v="SAL-1295"/>
        <s v="SAL-1296"/>
        <s v="SAL-1297"/>
        <s v="SAL-1298"/>
        <s v="SAL-1299"/>
        <s v="SAL-1300"/>
        <s v="SAL-1301"/>
        <s v="SAL-1302"/>
        <s v="SAL-1303"/>
        <s v="SAL-1304"/>
        <s v="SAL-1305"/>
        <s v="SAL-1306"/>
        <s v="SAL-1307"/>
        <s v="SAL-1308"/>
        <s v="SAL-1309"/>
        <s v="SAL-1310"/>
        <s v="SAL-1311"/>
        <s v="SAL-1312"/>
        <s v="SAL-1313"/>
        <s v="SAL-1314"/>
        <s v="SAL-1315"/>
        <s v="SAL-1316"/>
        <s v="SAL-1317"/>
        <s v="SAL-1318"/>
        <s v="SAL-1319"/>
        <s v="SAL-1320"/>
        <s v="SAL-1321"/>
        <s v="SAL-1322"/>
        <s v="SAL-1323"/>
        <s v="SAL-1324"/>
        <s v="SAL-1325"/>
        <s v="SAL-1326"/>
        <s v="SAL-1327"/>
        <s v="SAL-1328"/>
        <s v="SAL-1329"/>
        <s v="SAL-1330"/>
        <s v="SAL-1331"/>
        <s v="SAL-1332"/>
        <s v="SAL-1333"/>
        <s v="SAL-1334"/>
        <s v="SAL-1335"/>
        <s v="SAL-1336"/>
        <s v="SAL-1337"/>
        <s v="SAL-1338"/>
        <s v="SAL-1339"/>
        <s v="SAL-1340"/>
        <s v="SAL-1341"/>
        <s v="SAL-1342"/>
        <s v="SAL-1343"/>
        <s v="SAL-1344"/>
        <s v="SAL-1345"/>
        <s v="SAL-1346"/>
        <s v="SAL-1347"/>
        <s v="SAL-1348"/>
        <s v="SAL-1349"/>
        <s v="SAL-1350"/>
        <s v="SAL-1351"/>
        <s v="SAL-1352"/>
        <s v="SAL-1353"/>
        <s v="SAL-1354"/>
        <s v="SAL-1355"/>
        <s v="SAL-1356"/>
        <s v="SAL-1357"/>
        <s v="SAL-1358"/>
        <s v="SAL-1359"/>
        <s v="SAL-1360"/>
        <s v="SAL-1361"/>
        <s v="SAL-1362"/>
        <s v="SAL-1363"/>
        <s v="SAL-1364"/>
        <s v="SAL-1365"/>
        <s v="SAL-1366"/>
        <s v="SAL-1367"/>
        <s v="SAL-1368"/>
        <s v="SAL-1369"/>
        <s v="SAL-1370"/>
        <s v="SAL-1371"/>
        <s v="SAL-1372"/>
        <s v="SAL-1373"/>
        <s v="SAL-1374"/>
        <s v="SAL-1375"/>
        <s v="SAL-1376"/>
        <s v="SAL-1377"/>
        <s v="SAL-1378"/>
        <s v="SAL-1379"/>
        <s v="SAL-1380"/>
        <s v="SAL-1381"/>
        <s v="SAL-1382"/>
        <s v="SAL-1383"/>
        <s v="SAL-1384"/>
        <s v="SAL-1385"/>
        <s v="SAL-1386"/>
        <s v="SAL-1387"/>
        <s v="SAL-1388"/>
        <s v="SAL-1389"/>
        <s v="SAL-1390"/>
        <s v="SAL-1391"/>
        <s v="SAL-1392"/>
        <s v="SAL-1393"/>
        <s v="SAL-1394"/>
        <s v="SAL-1395"/>
        <s v="SAL-1396"/>
        <s v="SAL-1397"/>
        <s v="SAL-1398"/>
        <s v="SAL-1399"/>
        <s v="SAL-1400"/>
        <s v="SAL-1401"/>
        <s v="SAL-1402"/>
        <s v="SAL-1403"/>
        <s v="SAL-1404"/>
        <s v="SAL-1405"/>
        <s v="SAL-1406"/>
        <s v="SAL-1407"/>
        <s v="SAL-1408"/>
        <s v="SAL-1409"/>
        <s v="SAL-1410"/>
        <s v="SAL-1411"/>
        <s v="SAL-1412"/>
        <s v="SAL-1413"/>
        <s v="SAL-1414"/>
        <s v="SAL-1415"/>
        <s v="SAL-1416"/>
        <s v="SAL-1417"/>
        <s v="SAL-1418"/>
        <s v="SAL-1419"/>
        <s v="SAL-1420"/>
        <s v="SAL-1421"/>
        <s v="SAL-1422"/>
        <s v="SAL-1423"/>
        <s v="SAL-1424"/>
        <s v="SAL-1425"/>
        <s v="SAL-1426"/>
        <s v="SAL-1427"/>
        <s v="SAL-1428"/>
        <s v="SAL-1429"/>
        <s v="SAL-1430"/>
        <s v="SAL-1431"/>
        <s v="SAL-1432"/>
        <s v="SAL-1433"/>
        <s v="SAL-1434"/>
        <s v="SAL-1435"/>
        <s v="SAL-1436"/>
        <s v="SAL-1437"/>
        <s v="SAL-1438"/>
        <s v="SAL-1439"/>
        <s v="SAL-1440"/>
        <s v="SAL-1441"/>
        <s v="SAL-1442"/>
        <s v="SAL-1443"/>
        <s v="SAL-1444"/>
        <s v="SAL-1445"/>
        <s v="SAL-1446"/>
        <s v="SAL-1447"/>
        <s v="SAL-1448"/>
        <s v="SAL-1449"/>
        <s v="SAL-1450"/>
        <s v="SAL-1451"/>
        <s v="SAL-1452"/>
        <s v="SAL-1453"/>
        <s v="SAL-1454"/>
        <s v="SAL-1455"/>
        <s v="SAL-1456"/>
        <s v="SAL-1457"/>
        <s v="SAL-1458"/>
        <s v="SAL-1459"/>
        <s v="SAL-1460"/>
        <s v="SAL-1461"/>
        <s v="SAL-1462"/>
        <s v="SAL-1463"/>
        <s v="SAL-1464"/>
        <s v="SAL-1465"/>
        <s v="SAL-1466"/>
        <s v="SAL-1467"/>
        <s v="SAL-1468"/>
        <s v="SAL-1469"/>
        <s v="SAL-1470"/>
        <s v="SAL-1471"/>
        <s v="SAL-1472"/>
        <s v="SAL-1473"/>
        <s v="SAL-1474"/>
        <s v="SAL-1475"/>
        <s v="SAL-1476"/>
        <s v="SAL-1477"/>
        <s v="SAL-1478"/>
        <s v="SAL-1479"/>
        <s v="SAL-1480"/>
        <s v="SAL-1481"/>
        <s v="SAL-1482"/>
        <s v="SAL-1483"/>
        <s v="SAL-1484"/>
        <s v="SAL-1485"/>
        <s v="SAL-1486"/>
        <s v="SAL-1487"/>
        <s v="SAL-1488"/>
        <s v="SAL-1489"/>
        <s v="SAL-1490"/>
        <s v="SAL-1491"/>
        <s v="SAL-1492"/>
        <s v="SAL-1493"/>
        <s v="SAL-1494"/>
        <s v="SAL-1495"/>
        <s v="SAL-1496"/>
        <s v="SAL-1497"/>
        <s v="SAL-1498"/>
        <s v="SAL-1499"/>
        <s v="SAL-1500"/>
        <s v="SAL-1501"/>
        <s v="SAL-1502"/>
        <s v="SAL-1503"/>
        <s v="SAL-1504"/>
        <s v="SAL-1505"/>
        <s v="SAL-1506"/>
        <s v="SAL-1507"/>
        <s v="SAL-1508"/>
        <s v="SAL-1509"/>
        <s v="SAL-1510"/>
        <s v="SAL-1511"/>
        <s v="SAL-1512"/>
        <s v="SAL-1513"/>
        <s v="SAL-1514"/>
        <s v="SAL-1515"/>
        <s v="SAL-1516"/>
        <s v="SAL-1517"/>
        <s v="SAL-1518"/>
        <s v="SAL-1519"/>
        <s v="SAL-1520"/>
        <s v="SAL-1521"/>
        <s v="SAL-1522"/>
        <s v="SAL-1523"/>
        <s v="SAL-1524"/>
        <s v="SAL-1525"/>
        <s v="SAL-1526"/>
        <s v="SAL-1527"/>
        <s v="SAL-1528"/>
        <s v="SAL-1529"/>
        <s v="SAL-1530"/>
        <s v="SAL-1531"/>
        <s v="SAL-1532"/>
        <s v="SAL-1533"/>
        <s v="SAL-1534"/>
        <s v="SAL-1535"/>
        <s v="SAL-1536"/>
        <s v="SAL-1537"/>
        <s v="SAL-1538"/>
        <s v="SAL-1539"/>
        <s v="SAL-1540"/>
        <s v="SAL-1541"/>
        <s v="SAL-1542"/>
        <s v="SAL-1543"/>
        <s v="SAL-1544"/>
        <s v="SAL-1545"/>
        <s v="SAL-1546"/>
        <s v="SAL-1547"/>
        <s v="SAL-1548"/>
        <s v="SAL-1549"/>
        <s v="SAL-1550"/>
        <s v="SAL-1551"/>
        <s v="SAL-1552"/>
        <s v="SAL-1553"/>
        <s v="SAL-1554"/>
        <s v="SAL-1555"/>
        <s v="SAL-1556"/>
        <s v="SAL-1557"/>
        <s v="SAL-1558"/>
        <s v="SAL-1559"/>
        <s v="SAL-1560"/>
        <s v="SAL-1561"/>
        <s v="SAL-1562"/>
        <s v="SAL-1563"/>
        <s v="SAL-1564"/>
        <s v="SAL-1565"/>
        <s v="SAL-1566"/>
        <s v="SAL-1567"/>
        <s v="SAL-1568"/>
        <s v="SAL-1569"/>
        <s v="SAL-1570"/>
        <s v="SAL-1571"/>
        <s v="SAL-1572"/>
        <s v="SAL-1573"/>
        <s v="SAL-1574"/>
        <s v="SAL-1575"/>
        <s v="SAL-1576"/>
        <s v="SAL-1577"/>
        <s v="SAL-1578"/>
        <s v="SAL-1579"/>
        <s v="SAL-1580"/>
        <s v="SAL-1581"/>
        <s v="SAL-1582"/>
        <s v="SAL-1583"/>
        <s v="SAL-1584"/>
        <s v="SAL-1585"/>
        <s v="SAL-1586"/>
        <s v="SAL-1587"/>
        <s v="SAL-1588"/>
        <s v="SAL-1589"/>
        <s v="SAL-1590"/>
        <s v="SAL-1591"/>
        <s v="SAL-1592"/>
        <s v="SAL-1593"/>
        <s v="SAL-1594"/>
        <s v="SAL-1595"/>
        <s v="SAL-1596"/>
        <s v="SAL-1597"/>
        <s v="SAL-1598"/>
        <s v="SAL-1599"/>
        <s v="SAL-1600"/>
        <s v="SAL-1601"/>
        <s v="SAL-1602"/>
        <s v="SAL-1603"/>
        <s v="SAL-1604"/>
        <s v="SAL-1605"/>
        <s v="SAL-1606"/>
        <s v="SAL-1607"/>
        <s v="SAL-1608"/>
        <s v="SAL-1609"/>
        <s v="SAL-1610"/>
        <s v="SAL-1611"/>
        <s v="SAL-1612"/>
        <s v="SAL-1613"/>
        <s v="SAL-1614"/>
        <s v="SAL-1615"/>
        <s v="SAL-1616"/>
        <s v="SAL-1617"/>
        <s v="SAL-1618"/>
        <s v="SAL-1619"/>
        <s v="SAL-1620"/>
        <s v="SAL-1621"/>
        <s v="SAL-1622"/>
        <s v="SAL-1623"/>
        <s v="SAL-1624"/>
        <s v="SAL-1625"/>
        <s v="SAL-1626"/>
        <s v="SAL-1627"/>
        <s v="SAL-1628"/>
        <s v="SAL-1629"/>
        <s v="SAL-1630"/>
        <s v="SAL-1631"/>
        <s v="SAL-1632"/>
        <s v="SAL-1633"/>
        <s v="SAL-1634"/>
        <s v="SAL-1635"/>
        <s v="SAL-1636"/>
        <s v="SAL-1637"/>
        <s v="SAL-1638"/>
        <s v="SAL-1639"/>
        <s v="SAL-1640"/>
        <s v="SAL-1641"/>
        <s v="SAL-1642"/>
        <s v="SAL-1643"/>
        <s v="SAL-1644"/>
        <s v="SAL-1645"/>
        <s v="SAL-1646"/>
        <s v="SAL-1647"/>
        <s v="SAL-1648"/>
        <s v="SAL-1649"/>
        <s v="SAL-1650"/>
        <s v="SAL-1651"/>
        <s v="SAL-1652"/>
        <s v="SAL-1653"/>
        <s v="SAL-1654"/>
        <s v="SAL-1655"/>
        <s v="SAL-1656"/>
        <s v="SAL-1657"/>
        <s v="SAL-1658"/>
        <s v="SAL-1659"/>
        <s v="SAL-1660"/>
        <s v="SAL-1661"/>
        <s v="SAL-1662"/>
        <s v="SAL-1663"/>
        <s v="SAL-1664"/>
        <s v="SAL-1665"/>
        <s v="SAL-1666"/>
        <s v="SAL-1667"/>
        <s v="SAL-1668"/>
        <s v="SAL-1669"/>
        <s v="SAL-1670"/>
        <s v="SAL-1671"/>
        <s v="SAL-1672"/>
        <s v="SAL-1673"/>
        <s v="SAL-1674"/>
        <s v="SAL-1675"/>
        <s v="SAL-1676"/>
        <s v="SAL-1677"/>
        <s v="SAL-1678"/>
        <s v="SAL-1679"/>
        <s v="SAL-1680"/>
        <s v="SAL-1681"/>
        <s v="SAL-1682"/>
        <s v="SAL-1683"/>
        <s v="SAL-1684"/>
        <s v="SAL-1685"/>
        <s v="SAL-1686"/>
        <s v="SAL-1687"/>
        <s v="SAL-1688"/>
        <s v="SAL-1689"/>
        <s v="SAL-1690"/>
        <s v="SAL-1691"/>
        <s v="SAL-1692"/>
        <s v="SAL-1693"/>
        <s v="SAL-1694"/>
        <s v="SAL-1695"/>
        <s v="SAL-1696"/>
        <s v="SAL-1697"/>
        <s v="SAL-1698"/>
        <s v="SAL-1699"/>
        <s v="SAL-1700"/>
        <s v="SAL-1701"/>
        <s v="SAL-1702"/>
        <s v="SAL-1703"/>
        <s v="SAL-1704"/>
        <s v="SAL-1705"/>
        <s v="SAL-1706"/>
        <s v="SAL-1707"/>
        <s v="SAL-1708"/>
        <s v="SAL-1709"/>
        <s v="SAL-1710"/>
        <s v="SAL-1711"/>
        <s v="SAL-1712"/>
        <s v="SAL-1713"/>
        <s v="SAL-1714"/>
        <s v="SAL-1715"/>
        <s v="SAL-1716"/>
        <s v="SAL-1717"/>
        <s v="SAL-1718"/>
        <s v="SAL-1719"/>
        <s v="SAL-1720"/>
        <s v="SAL-1721"/>
        <s v="SAL-1722"/>
        <s v="SAL-1723"/>
        <s v="SAL-1724"/>
        <s v="SAL-1725"/>
        <s v="SAL-1726"/>
        <s v="SAL-1727"/>
        <s v="SAL-1728"/>
        <s v="SAL-1729"/>
        <s v="SAL-1730"/>
        <s v="SAL-1731"/>
        <s v="SAL-1732"/>
        <s v="SAL-1733"/>
        <s v="SAL-1734"/>
        <s v="SAL-1735"/>
        <s v="SAL-1736"/>
        <s v="SAL-1737"/>
        <s v="SAL-1738"/>
        <s v="SAL-1739"/>
        <s v="SAL-1740"/>
        <s v="SAL-1741"/>
        <s v="SAL-1742"/>
        <s v="SAL-1743"/>
        <s v="SAL-1744"/>
        <s v="SAL-1745"/>
        <s v="SAL-1746"/>
        <s v="SAL-1747"/>
        <s v="SAL-1748"/>
        <s v="SAL-1749"/>
        <s v="SAL-1750"/>
        <s v="SAL-1751"/>
        <s v="SAL-1752"/>
        <s v="SAL-1753"/>
        <s v="SAL-1754"/>
        <s v="SAL-1755"/>
        <s v="SAL-1756"/>
        <s v="SAL-1757"/>
        <s v="SAL-1758"/>
        <s v="SAL-1759"/>
        <s v="SAL-1760"/>
        <s v="SAL-1761"/>
        <s v="SAL-1762"/>
        <s v="SAL-1763"/>
        <s v="SAL-1764"/>
        <s v="SAL-1765"/>
        <s v="SAL-1766"/>
        <s v="SAL-1767"/>
        <s v="SAL-1768"/>
        <s v="SAL-1769"/>
        <s v="SAL-1770"/>
        <s v="SAL-1771"/>
        <s v="SAL-1772"/>
        <s v="SAL-1773"/>
        <s v="SAL-1774"/>
        <s v="SAL-1775"/>
        <s v="SAL-1776"/>
        <s v="SAL-1777"/>
        <s v="SAL-1778"/>
        <s v="SAL-1779"/>
        <s v="SAL-1780"/>
        <s v="SAL-1781"/>
        <s v="SAL-1782"/>
        <s v="SAL-1783"/>
        <s v="SAL-1784"/>
        <s v="SAL-1785"/>
        <s v="SAL-1786"/>
        <s v="SAL-1787"/>
        <s v="SAL-1788"/>
        <s v="SAL-1789"/>
        <s v="SAL-1790"/>
        <s v="SAL-1791"/>
        <s v="SAL-1792"/>
        <s v="SAL-1793"/>
        <s v="SAL-1794"/>
        <s v="SAL-1795"/>
        <s v="SAL-1796"/>
        <s v="SAL-1797"/>
        <s v="SAL-1798"/>
        <s v="SAL-1799"/>
        <s v="SAL-1800"/>
        <s v="SAL-1801"/>
        <s v="SAL-1802"/>
        <s v="SAL-1803"/>
        <s v="SAL-1804"/>
        <s v="SAL-1805"/>
        <s v="SAL-1806"/>
        <s v="SAL-1807"/>
        <s v="SAL-1808"/>
        <s v="SAL-1809"/>
        <s v="SAL-1810"/>
        <s v="SAL-1811"/>
        <s v="SAL-1812"/>
        <s v="SAL-1813"/>
        <s v="SAL-1814"/>
        <s v="SAL-1815"/>
        <s v="SAL-1816"/>
        <s v="SAL-1817"/>
        <s v="SAL-1818"/>
        <s v="SAL-1819"/>
        <s v="SAL-1820"/>
        <s v="SAL-1821"/>
        <s v="SAL-1822"/>
        <s v="SAL-1823"/>
        <s v="SAL-1824"/>
        <s v="SAL-1825"/>
        <s v="SAL-1826"/>
        <s v="SAL-1827"/>
        <s v="SAL-1828"/>
        <s v="SAL-1829"/>
        <s v="SAL-1830"/>
        <s v="SAL-1831"/>
        <s v="SAL-1832"/>
        <s v="SAL-1833"/>
        <s v="SAL-1834"/>
        <s v="SAL-1835"/>
        <s v="SAL-1836"/>
        <s v="SAL-1837"/>
        <s v="SAL-1838"/>
        <s v="SAL-1839"/>
        <s v="SAL-1840"/>
        <s v="SAL-1841"/>
        <s v="SAL-1842"/>
        <s v="SAL-1843"/>
        <s v="SAL-1844"/>
        <s v="SAL-1845"/>
        <s v="SAL-1846"/>
        <s v="SAL-1847"/>
        <s v="SAL-1848"/>
        <s v="SAL-1849"/>
        <s v="SAL-1850"/>
        <s v="SAL-1851"/>
        <s v="SAL-1852"/>
        <s v="SAL-1853"/>
        <s v="SAL-1854"/>
        <s v="SAL-1855"/>
        <s v="SAL-1856"/>
        <s v="SAL-1857"/>
        <s v="SAL-1858"/>
        <s v="SAL-1859"/>
        <s v="SAL-1860"/>
        <s v="SAL-1861"/>
        <s v="SAL-1862"/>
        <s v="SAL-1863"/>
        <s v="SAL-1864"/>
        <s v="SAL-1865"/>
        <s v="SAL-1866"/>
        <s v="SAL-1867"/>
        <s v="SAL-1868"/>
        <s v="SAL-1869"/>
        <s v="SAL-1870"/>
        <s v="SAL-1871"/>
        <s v="SAL-1872"/>
        <s v="SAL-1873"/>
        <s v="SAL-1874"/>
        <s v="SAL-1875"/>
        <s v="SAL-1876"/>
        <s v="SAL-1877"/>
        <s v="SAL-1878"/>
        <s v="SAL-1879"/>
        <s v="SAL-1880"/>
        <s v="SAL-1881"/>
        <s v="SAL-1882"/>
        <s v="SAL-1883"/>
        <s v="SAL-1884"/>
        <s v="SAL-1885"/>
        <s v="SAL-1886"/>
        <s v="SAL-1887"/>
        <s v="SAL-1888"/>
        <s v="SAL-1889"/>
        <s v="SAL-1890"/>
        <s v="SAL-1891"/>
        <s v="SAL-1892"/>
        <s v="SAL-1893"/>
        <s v="SAL-1894"/>
        <s v="SAL-1895"/>
        <s v="SAL-1896"/>
        <s v="SAL-1897"/>
        <s v="SAL-1898"/>
        <s v="SAL-1899"/>
        <s v="SAL-1900"/>
        <s v="SAL-1901"/>
        <s v="SAL-1902"/>
        <s v="SAL-1903"/>
        <s v="SAL-1904"/>
        <s v="SAL-1905"/>
        <s v="SAL-1906"/>
        <s v="SAL-1907"/>
        <s v="SAL-1908"/>
        <s v="SAL-1909"/>
        <s v="SAL-1910"/>
        <s v="SAL-1911"/>
        <s v="SAL-1912"/>
        <s v="SAL-1913"/>
        <s v="SAL-1914"/>
        <s v="SAL-1915"/>
        <s v="SAL-1916"/>
        <s v="SAL-1917"/>
        <s v="SAL-1918"/>
        <s v="SAL-1919"/>
        <s v="SAL-1920"/>
        <s v="SAL-1921"/>
        <s v="SAL-1922"/>
        <s v="SAL-1923"/>
        <s v="SAL-1924"/>
        <s v="SAL-1925"/>
        <s v="SAL-1926"/>
        <s v="SAL-1927"/>
        <s v="SAL-1928"/>
        <s v="SAL-1929"/>
        <s v="SAL-1930"/>
        <s v="SAL-1931"/>
        <s v="SAL-1932"/>
        <s v="SAL-1933"/>
        <s v="SAL-1934"/>
        <s v="SAL-1935"/>
        <s v="SAL-1936"/>
        <s v="SAL-1937"/>
        <s v="SAL-1938"/>
        <s v="SAL-1939"/>
        <s v="SAL-1940"/>
        <s v="SAL-1941"/>
        <s v="SAL-1942"/>
        <s v="SAL-1943"/>
        <s v="SAL-1944"/>
        <s v="SAL-1945"/>
        <s v="SAL-1946"/>
        <s v="SAL-1947"/>
        <s v="SAL-1948"/>
        <s v="SAL-1949"/>
        <s v="SAL-1950"/>
        <s v="SAL-1951"/>
        <s v="SAL-1952"/>
        <s v="SAL-1953"/>
        <s v="SAL-1954"/>
        <s v="SAL-1955"/>
        <s v="SAL-1956"/>
        <s v="SAL-1957"/>
        <s v="SAL-1958"/>
        <s v="SAL-1959"/>
        <s v="SAL-1960"/>
        <s v="SAL-1961"/>
        <s v="SAL-1962"/>
        <s v="SAL-1963"/>
        <s v="SAL-1964"/>
        <s v="SAL-1965"/>
        <s v="SAL-1966"/>
        <s v="SAL-1967"/>
        <s v="SAL-1968"/>
        <s v="SAL-1969"/>
        <s v="SAL-1970"/>
        <s v="SAL-1971"/>
        <s v="SAL-1972"/>
        <s v="SAL-1973"/>
        <s v="SAL-1974"/>
        <s v="SAL-1975"/>
        <s v="SAL-1976"/>
        <s v="SAL-1977"/>
        <s v="SAL-1978"/>
        <s v="SAL-1979"/>
        <s v="SAL-1980"/>
        <s v="SAL-1981"/>
        <s v="SAL-1982"/>
        <s v="SAL-1983"/>
        <s v="SAL-1984"/>
        <s v="SAL-1985"/>
        <s v="SAL-1986"/>
        <s v="SAL-1987"/>
        <s v="SAL-1988"/>
        <s v="SAL-1989"/>
        <s v="SAL-1990"/>
        <s v="SAL-1991"/>
        <s v="SAL-1992"/>
        <s v="SAL-1993"/>
        <s v="SAL-1994"/>
        <s v="SAL-1995"/>
        <s v="SAL-1996"/>
        <s v="SAL-1997"/>
        <s v="SAL-1998"/>
        <s v="SAL-1999"/>
        <s v="SAL-2000"/>
      </sharedItems>
    </cacheField>
    <cacheField name="Order_Date" numFmtId="14">
      <sharedItems containsSemiMixedTypes="0" containsNonDate="0" containsDate="1" containsString="0" minDate="2024-01-01T00:00:00" maxDate="2025-01-01T00:00:00"/>
    </cacheField>
    <cacheField name="Customer_Name" numFmtId="0">
      <sharedItems/>
    </cacheField>
    <cacheField name="Region" numFmtId="0">
      <sharedItems count="5">
        <s v="West"/>
        <s v="North"/>
        <s v="South"/>
        <s v="East"/>
        <s v="Central"/>
      </sharedItems>
    </cacheField>
    <cacheField name="City" numFmtId="0">
      <sharedItems count="5">
        <s v="Port Harcourt"/>
        <s v="Ibadan"/>
        <s v="Lagos"/>
        <s v="Kano"/>
        <s v="Abuja"/>
      </sharedItems>
    </cacheField>
    <cacheField name="Customer_Segment" numFmtId="0">
      <sharedItems/>
    </cacheField>
    <cacheField name="Product_Category" numFmtId="0">
      <sharedItems count="4">
        <s v="Electronics"/>
        <s v="Clothing"/>
        <s v="Furniture"/>
        <s v="Office Supplies"/>
      </sharedItems>
    </cacheField>
    <cacheField name="Product_Name" numFmtId="0">
      <sharedItems count="13">
        <s v="Tablet"/>
        <s v="Phone"/>
        <s v="Sneakers"/>
        <s v="Jacket"/>
        <s v="Cabinet"/>
        <s v="Laptop"/>
        <s v="Pen"/>
        <s v="Notebook"/>
        <s v="Paper"/>
        <s v="Desk"/>
        <s v="Chair"/>
        <s v="Printer"/>
        <s v="T-Shirt"/>
      </sharedItems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minValue="12.49" maxValue="1199.6600000000001"/>
    </cacheField>
    <cacheField name="Discount" numFmtId="0">
      <sharedItems containsSemiMixedTypes="0" containsString="0" containsNumber="1" minValue="0" maxValue="0.15"/>
    </cacheField>
    <cacheField name="Sales_Amount" numFmtId="0">
      <sharedItems containsSemiMixedTypes="0" containsString="0" containsNumber="1" minValue="27.78" maxValue="13608.86" count="1000">
        <n v="1665.11"/>
        <n v="1110.48"/>
        <n v="6522"/>
        <n v="7250.62"/>
        <n v="4030.94"/>
        <n v="956.02"/>
        <n v="1799.3"/>
        <n v="2934.64"/>
        <n v="1727.14"/>
        <n v="3892.68"/>
        <n v="355.03"/>
        <n v="1982.92"/>
        <n v="10531.53"/>
        <n v="7116.74"/>
        <n v="3863.48"/>
        <n v="2444.44"/>
        <n v="1443.5"/>
        <n v="7303.36"/>
        <n v="5590.94"/>
        <n v="8210.2999999999993"/>
        <n v="1963.39"/>
        <n v="4043.18"/>
        <n v="226.82"/>
        <n v="6104.24"/>
        <n v="5639.28"/>
        <n v="2266.88"/>
        <n v="915.48"/>
        <n v="138.69"/>
        <n v="4435.17"/>
        <n v="2990.71"/>
        <n v="1439.27"/>
        <n v="298.58999999999997"/>
        <n v="3483.65"/>
        <n v="1296.32"/>
        <n v="3966.74"/>
        <n v="415.27"/>
        <n v="4353.97"/>
        <n v="2019.69"/>
        <n v="654.44000000000005"/>
        <n v="1876.57"/>
        <n v="2644.71"/>
        <n v="1779.88"/>
        <n v="1978.96"/>
        <n v="4324.95"/>
        <n v="2346.5500000000002"/>
        <n v="2798.84"/>
        <n v="700.53"/>
        <n v="5022.9799999999996"/>
        <n v="1034.1300000000001"/>
        <n v="10005.48"/>
        <n v="2707.68"/>
        <n v="1700.52"/>
        <n v="6922.17"/>
        <n v="1849.01"/>
        <n v="434.04"/>
        <n v="7368.84"/>
        <n v="10044.24"/>
        <n v="168.11"/>
        <n v="865.11"/>
        <n v="2000.15"/>
        <n v="7954.07"/>
        <n v="11045.13"/>
        <n v="1349"/>
        <n v="1440.09"/>
        <n v="1501.16"/>
        <n v="503.39"/>
        <n v="4384.62"/>
        <n v="809.75"/>
        <n v="6569.59"/>
        <n v="2381.7199999999998"/>
        <n v="171.37"/>
        <n v="3707.94"/>
        <n v="11760.33"/>
        <n v="3534.24"/>
        <n v="536.14"/>
        <n v="370.53"/>
        <n v="3076.33"/>
        <n v="3484.13"/>
        <n v="8035.19"/>
        <n v="2152.0500000000002"/>
        <n v="1711.42"/>
        <n v="3691.32"/>
        <n v="5838.02"/>
        <n v="5830.3"/>
        <n v="5111.83"/>
        <n v="6195.31"/>
        <n v="174.93"/>
        <n v="707.92"/>
        <n v="1724.74"/>
        <n v="2009.57"/>
        <n v="2026.21"/>
        <n v="450.47"/>
        <n v="1049.73"/>
        <n v="759.8"/>
        <n v="912.72"/>
        <n v="9118.6"/>
        <n v="5112.5"/>
        <n v="3798.48"/>
        <n v="6235.41"/>
        <n v="2813.06"/>
        <n v="3162.82"/>
        <n v="1449.37"/>
        <n v="63.9"/>
        <n v="2341.94"/>
        <n v="3805.66"/>
        <n v="616.54"/>
        <n v="1207.4000000000001"/>
        <n v="6610.44"/>
        <n v="5215.87"/>
        <n v="1838.16"/>
        <n v="11742.23"/>
        <n v="779.53"/>
        <n v="8976.99"/>
        <n v="6062.65"/>
        <n v="6877.22"/>
        <n v="1510.96"/>
        <n v="10401.48"/>
        <n v="3096.78"/>
        <n v="3982.48"/>
        <n v="5040.38"/>
        <n v="2641.84"/>
        <n v="2681.5"/>
        <n v="365.72"/>
        <n v="71.06"/>
        <n v="669.79"/>
        <n v="6582.44"/>
        <n v="9084.5"/>
        <n v="912.14"/>
        <n v="2378.5100000000002"/>
        <n v="4716.8500000000004"/>
        <n v="884.02"/>
        <n v="3839.94"/>
        <n v="1740.7"/>
        <n v="547.22"/>
        <n v="4082.45"/>
        <n v="520.63"/>
        <n v="10624.14"/>
        <n v="8134.5"/>
        <n v="5005.7299999999996"/>
        <n v="4883.55"/>
        <n v="4838.68"/>
        <n v="6082.01"/>
        <n v="10680.3"/>
        <n v="167.33"/>
        <n v="2082.33"/>
        <n v="6153.71"/>
        <n v="5605.57"/>
        <n v="2317.46"/>
        <n v="7121.04"/>
        <n v="5604.13"/>
        <n v="1003.96"/>
        <n v="8898.9599999999991"/>
        <n v="12252.57"/>
        <n v="3917.82"/>
        <n v="9939.9"/>
        <n v="7385.6"/>
        <n v="2701.27"/>
        <n v="2412.35"/>
        <n v="2009.69"/>
        <n v="2410.2399999999998"/>
        <n v="3274.5"/>
        <n v="1490.27"/>
        <n v="1237.46"/>
        <n v="8449.81"/>
        <n v="1971.14"/>
        <n v="5775.19"/>
        <n v="4652.6400000000003"/>
        <n v="2152.92"/>
        <n v="5582.82"/>
        <n v="7403.97"/>
        <n v="1776.4"/>
        <n v="1326.39"/>
        <n v="3221.07"/>
        <n v="1754.31"/>
        <n v="3652.64"/>
        <n v="4001.19"/>
        <n v="541.99"/>
        <n v="1196.55"/>
        <n v="2574"/>
        <n v="1770.39"/>
        <n v="330.49"/>
        <n v="3339.56"/>
        <n v="353.76"/>
        <n v="3606.57"/>
        <n v="3006.54"/>
        <n v="755.89"/>
        <n v="7753.12"/>
        <n v="3462.64"/>
        <n v="3783.84"/>
        <n v="1938.94"/>
        <n v="6083.28"/>
        <n v="7140.13"/>
        <n v="9573.52"/>
        <n v="139.97999999999999"/>
        <n v="2554.9"/>
        <n v="9329.56"/>
        <n v="1655.18"/>
        <n v="442.67"/>
        <n v="2548.5300000000002"/>
        <n v="2080.9"/>
        <n v="551.04999999999995"/>
        <n v="3807.88"/>
        <n v="9503.35"/>
        <n v="7431.21"/>
        <n v="3036.5"/>
        <n v="4103.8999999999996"/>
        <n v="3069.24"/>
        <n v="610.42999999999995"/>
        <n v="478.97"/>
        <n v="1801.33"/>
        <n v="137.28"/>
        <n v="995.88"/>
        <n v="4294.34"/>
        <n v="4608.83"/>
        <n v="5274.9"/>
        <n v="330.55"/>
        <n v="4794.3999999999996"/>
        <n v="9078.33"/>
        <n v="6581.75"/>
        <n v="1778.69"/>
        <n v="1774.6"/>
        <n v="43.62"/>
        <n v="1622.58"/>
        <n v="555.52"/>
        <n v="6654.6"/>
        <n v="9158.07"/>
        <n v="4537.32"/>
        <n v="581.64"/>
        <n v="10948.05"/>
        <n v="6987.91"/>
        <n v="3459.25"/>
        <n v="4848.38"/>
        <n v="837.38"/>
        <n v="1663.58"/>
        <n v="55.54"/>
        <n v="540.47"/>
        <n v="4917.6499999999996"/>
        <n v="6772.02"/>
        <n v="3574.75"/>
        <n v="1097.57"/>
        <n v="156.88999999999999"/>
        <n v="404.99"/>
        <n v="1126.32"/>
        <n v="2496.2600000000002"/>
        <n v="9558.9699999999993"/>
        <n v="399.74"/>
        <n v="426.07"/>
        <n v="1156.56"/>
        <n v="714.04"/>
        <n v="408.85"/>
        <n v="4446.78"/>
        <n v="263.41000000000003"/>
        <n v="2510.46"/>
        <n v="2048.27"/>
        <n v="5019.75"/>
        <n v="27.78"/>
        <n v="7109.64"/>
        <n v="8062.08"/>
        <n v="185.47"/>
        <n v="6539.76"/>
        <n v="3965.59"/>
        <n v="5175.8999999999996"/>
        <n v="3001.78"/>
        <n v="5823.65"/>
        <n v="8998.11"/>
        <n v="767.29"/>
        <n v="241.46"/>
        <n v="294.32"/>
        <n v="2096.48"/>
        <n v="206.79"/>
        <n v="6164.45"/>
        <n v="9272.64"/>
        <n v="3937.03"/>
        <n v="759.13"/>
        <n v="2049.0300000000002"/>
        <n v="6814.01"/>
        <n v="341.86"/>
        <n v="9032.75"/>
        <n v="124.36"/>
        <n v="2053.46"/>
        <n v="4404"/>
        <n v="9717.25"/>
        <n v="1501.98"/>
        <n v="6653.57"/>
        <n v="3687.5"/>
        <n v="5502.74"/>
        <n v="2093.9699999999998"/>
        <n v="6415.86"/>
        <n v="2959.8"/>
        <n v="3470.73"/>
        <n v="5320.6"/>
        <n v="539.46"/>
        <n v="9543.77"/>
        <n v="5264.78"/>
        <n v="1086.1300000000001"/>
        <n v="3072.97"/>
        <n v="1557.58"/>
        <n v="6055.2"/>
        <n v="257.85000000000002"/>
        <n v="1548.92"/>
        <n v="190.84"/>
        <n v="7516.49"/>
        <n v="7026.71"/>
        <n v="3168.29"/>
        <n v="2271.6799999999998"/>
        <n v="5682.99"/>
        <n v="2083.11"/>
        <n v="651.76"/>
        <n v="982.36"/>
        <n v="6302.19"/>
        <n v="5741.85"/>
        <n v="2338.6799999999998"/>
        <n v="3913.26"/>
        <n v="113.82"/>
        <n v="799.6"/>
        <n v="6448.32"/>
        <n v="3570.69"/>
        <n v="2381.94"/>
        <n v="5820.51"/>
        <n v="1534.8"/>
        <n v="123.09"/>
        <n v="11325.96"/>
        <n v="1164.32"/>
        <n v="6181.14"/>
        <n v="712.1"/>
        <n v="7035.69"/>
        <n v="10725.48"/>
        <n v="2540.0500000000002"/>
        <n v="2078.59"/>
        <n v="3618.22"/>
        <n v="278.76"/>
        <n v="2618.67"/>
        <n v="9329.9"/>
        <n v="543.86"/>
        <n v="4430.16"/>
        <n v="7962.06"/>
        <n v="3565.92"/>
        <n v="8564.2900000000009"/>
        <n v="1067.04"/>
        <n v="1305.93"/>
        <n v="2878.19"/>
        <n v="2254.8000000000002"/>
        <n v="7852.74"/>
        <n v="10246.59"/>
        <n v="4528.2700000000004"/>
        <n v="1189.21"/>
        <n v="7882.22"/>
        <n v="916.55"/>
        <n v="1097.1600000000001"/>
        <n v="2529.31"/>
        <n v="4677.79"/>
        <n v="3563.52"/>
        <n v="7669.67"/>
        <n v="6525.28"/>
        <n v="2122.2399999999998"/>
        <n v="402.11"/>
        <n v="2178.25"/>
        <n v="5646.08"/>
        <n v="638.51"/>
        <n v="3714.44"/>
        <n v="7904.53"/>
        <n v="4294.62"/>
        <n v="9504.86"/>
        <n v="7254.92"/>
        <n v="2964.83"/>
        <n v="1944.72"/>
        <n v="3896.75"/>
        <n v="6106.54"/>
        <n v="607.67999999999995"/>
        <n v="1533.06"/>
        <n v="2353.75"/>
        <n v="4139.91"/>
        <n v="2087.9"/>
        <n v="8720.01"/>
        <n v="414.7"/>
        <n v="6975.99"/>
        <n v="238.08"/>
        <n v="335.9"/>
        <n v="2135.6999999999998"/>
        <n v="12396.7"/>
        <n v="3344.87"/>
        <n v="5236.33"/>
        <n v="2485.4899999999998"/>
        <n v="469.94"/>
        <n v="2165.0300000000002"/>
        <n v="459"/>
        <n v="11961.51"/>
        <n v="5043.47"/>
        <n v="1681.47"/>
        <n v="487.86"/>
        <n v="495.54"/>
        <n v="2410.4499999999998"/>
        <n v="1739.22"/>
        <n v="140.22"/>
        <n v="333.46"/>
        <n v="8907.65"/>
        <n v="806.28"/>
        <n v="9291.51"/>
        <n v="679.02"/>
        <n v="44.11"/>
        <n v="2392.66"/>
        <n v="3051.58"/>
        <n v="7997.47"/>
        <n v="6830.74"/>
        <n v="5469.85"/>
        <n v="719.62"/>
        <n v="5762.07"/>
        <n v="12505.1"/>
        <n v="2166.2199999999998"/>
        <n v="4602.1000000000004"/>
        <n v="6258.11"/>
        <n v="2128.91"/>
        <n v="1989.86"/>
        <n v="10640.42"/>
        <n v="5044.5600000000004"/>
        <n v="1980.72"/>
        <n v="1540.46"/>
        <n v="3749.86"/>
        <n v="1227.1300000000001"/>
        <n v="1107.19"/>
        <n v="185.35"/>
        <n v="525.65"/>
        <n v="713.42"/>
        <n v="904.84"/>
        <n v="11314.96"/>
        <n v="8093.69"/>
        <n v="1257.51"/>
        <n v="268.83"/>
        <n v="9269.64"/>
        <n v="1058.8599999999999"/>
        <n v="6365.44"/>
        <n v="2353.21"/>
        <n v="737.26"/>
        <n v="8167.28"/>
        <n v="592.02"/>
        <n v="1677.2"/>
        <n v="5311.98"/>
        <n v="3329.28"/>
        <n v="3208.68"/>
        <n v="169.75"/>
        <n v="616.16999999999996"/>
        <n v="649.64"/>
        <n v="1842.88"/>
        <n v="6958.09"/>
        <n v="8809.7199999999993"/>
        <n v="4710.09"/>
        <n v="4618.76"/>
        <n v="8402.84"/>
        <n v="549.84"/>
        <n v="3747.39"/>
        <n v="1033.52"/>
        <n v="7847.3"/>
        <n v="6686.76"/>
        <n v="5141"/>
        <n v="152.24"/>
        <n v="9935.64"/>
        <n v="5150.2299999999996"/>
        <n v="3985.82"/>
        <n v="2132.94"/>
        <n v="6980.09"/>
        <n v="147.25"/>
        <n v="354.12"/>
        <n v="3035.95"/>
        <n v="6769.92"/>
        <n v="643.91"/>
        <n v="808.68"/>
        <n v="3294.09"/>
        <n v="3198.27"/>
        <n v="2542.1999999999998"/>
        <n v="9049.7999999999993"/>
        <n v="3723.15"/>
        <n v="1092.3900000000001"/>
        <n v="8445.9500000000007"/>
        <n v="131.04"/>
        <n v="9076.3700000000008"/>
        <n v="1201.5999999999999"/>
        <n v="4180.5600000000004"/>
        <n v="3409.7"/>
        <n v="2476.37"/>
        <n v="7975.98"/>
        <n v="1128.1400000000001"/>
        <n v="3576.64"/>
        <n v="7856.11"/>
        <n v="2349.46"/>
        <n v="1933.47"/>
        <n v="978.71"/>
        <n v="2147.4"/>
        <n v="4547.25"/>
        <n v="5214.24"/>
        <n v="2979.54"/>
        <n v="502.88"/>
        <n v="4672.67"/>
        <n v="156.09"/>
        <n v="880.48"/>
        <n v="145.25"/>
        <n v="8447.76"/>
        <n v="1892.65"/>
        <n v="6210.8"/>
        <n v="10746.35"/>
        <n v="1691.55"/>
        <n v="7450.58"/>
        <n v="759.25"/>
        <n v="9153.0499999999993"/>
        <n v="1933.75"/>
        <n v="815.24"/>
        <n v="8743.2000000000007"/>
        <n v="6483.69"/>
        <n v="2230.15"/>
        <n v="766.75"/>
        <n v="2160.6"/>
        <n v="3519.56"/>
        <n v="1499.38"/>
        <n v="7002.5"/>
        <n v="416.03"/>
        <n v="3904.95"/>
        <n v="8871.39"/>
        <n v="2797.79"/>
        <n v="5875.68"/>
        <n v="1390.46"/>
        <n v="483.21"/>
        <n v="7512.32"/>
        <n v="566.6"/>
        <n v="3502.13"/>
        <n v="184"/>
        <n v="514.73"/>
        <n v="5690.99"/>
        <n v="6452.64"/>
        <n v="1532.46"/>
        <n v="2286.6999999999998"/>
        <n v="2661.12"/>
        <n v="1177.01"/>
        <n v="2782.56"/>
        <n v="6060.48"/>
        <n v="11131.99"/>
        <n v="4251.2700000000004"/>
        <n v="7865.06"/>
        <n v="3316.24"/>
        <n v="11290.07"/>
        <n v="11392.48"/>
        <n v="1278.5999999999999"/>
        <n v="5069.8500000000004"/>
        <n v="9095.2800000000007"/>
        <n v="2457.9499999999998"/>
        <n v="3254.48"/>
        <n v="8775.01"/>
        <n v="934.2"/>
        <n v="2499.64"/>
        <n v="570.28"/>
        <n v="1733.06"/>
        <n v="2731.82"/>
        <n v="13608.86"/>
        <n v="43.37"/>
        <n v="5110.12"/>
        <n v="786.63"/>
        <n v="6314.76"/>
        <n v="6461.82"/>
        <n v="12745.81"/>
        <n v="5521.57"/>
        <n v="4194.5200000000004"/>
        <n v="7936.06"/>
        <n v="2230.1999999999998"/>
        <n v="1088.71"/>
        <n v="181.85"/>
        <n v="6427.78"/>
        <n v="1575.56"/>
        <n v="960.33"/>
        <n v="5882.44"/>
        <n v="7452"/>
        <n v="3781.85"/>
        <n v="3323.92"/>
        <n v="1930.45"/>
        <n v="3500.55"/>
        <n v="7219.9"/>
        <n v="2109.75"/>
        <n v="7657.3"/>
        <n v="552.66999999999996"/>
        <n v="6943.5"/>
        <n v="2486.3000000000002"/>
        <n v="3654.7"/>
        <n v="7707.48"/>
        <n v="9469.39"/>
        <n v="674.02"/>
        <n v="2721.33"/>
        <n v="11015.29"/>
        <n v="7002.27"/>
        <n v="11095.92"/>
        <n v="958.92"/>
        <n v="6418.04"/>
        <n v="3602.66"/>
        <n v="1100.8800000000001"/>
        <n v="3868.66"/>
        <n v="4531.25"/>
        <n v="4633.76"/>
        <n v="5919.3"/>
        <n v="1139.29"/>
        <n v="4610.1000000000004"/>
        <n v="2501.66"/>
        <n v="6890.73"/>
        <n v="1206.6300000000001"/>
        <n v="8566.25"/>
        <n v="10683.32"/>
        <n v="2822.38"/>
        <n v="6454.24"/>
        <n v="7994.28"/>
        <n v="3511.83"/>
        <n v="390.41"/>
        <n v="10285.33"/>
        <n v="3217.92"/>
        <n v="2346.17"/>
        <n v="5253.4"/>
        <n v="427.1"/>
        <n v="2422.54"/>
        <n v="7544.39"/>
        <n v="2101.06"/>
        <n v="604.77"/>
        <n v="1312.86"/>
        <n v="1296.99"/>
        <n v="3818.66"/>
        <n v="7278.52"/>
        <n v="6870.9"/>
        <n v="7860.55"/>
        <n v="1939.01"/>
        <n v="9311.27"/>
        <n v="2602.66"/>
        <n v="3897.86"/>
        <n v="9758.52"/>
        <n v="5400.08"/>
        <n v="9736.9699999999993"/>
        <n v="891.26"/>
        <n v="6124.08"/>
        <n v="2837.89"/>
        <n v="3108.36"/>
        <n v="3279.42"/>
        <n v="11922.93"/>
        <n v="3190.25"/>
        <n v="3139.45"/>
        <n v="3003.76"/>
        <n v="3778.92"/>
        <n v="1224.45"/>
        <n v="1477.16"/>
        <n v="5996.97"/>
        <n v="6453.36"/>
        <n v="4139.43"/>
        <n v="5874.61"/>
        <n v="241.32"/>
        <n v="8807.83"/>
        <n v="2450.89"/>
        <n v="6223.28"/>
        <n v="4083.02"/>
        <n v="3307.19"/>
        <n v="1207.32"/>
        <n v="858.65"/>
        <n v="372.56"/>
        <n v="8350.74"/>
        <n v="320.41000000000003"/>
        <n v="3272.36"/>
        <n v="829.98"/>
        <n v="8293.8799999999992"/>
        <n v="379.71"/>
        <n v="7257.9"/>
        <n v="1770.65"/>
        <n v="1613.61"/>
        <n v="11345.98"/>
        <n v="4845.0600000000004"/>
        <n v="8126.88"/>
        <n v="1915.97"/>
        <n v="4013.82"/>
        <n v="235.66"/>
        <n v="3874.07"/>
        <n v="2716.23"/>
        <n v="292.58999999999997"/>
        <n v="5691.1"/>
        <n v="900.14"/>
        <n v="98.76"/>
        <n v="1130.08"/>
        <n v="450.45"/>
        <n v="2002.96"/>
        <n v="6404.62"/>
        <n v="4054.92"/>
        <n v="516.41"/>
        <n v="9507"/>
        <n v="8696.3799999999992"/>
        <n v="1859.38"/>
        <n v="3202.32"/>
        <n v="2435.5700000000002"/>
        <n v="6083.04"/>
        <n v="8595.68"/>
        <n v="4264.5600000000004"/>
        <n v="6306.55"/>
        <n v="709.72"/>
        <n v="1955.47"/>
        <n v="8999.6200000000008"/>
        <n v="653.51"/>
        <n v="640.34"/>
        <n v="2356.94"/>
        <n v="832.88"/>
        <n v="3240.86"/>
        <n v="3626.11"/>
        <n v="842.72"/>
        <n v="4972.2299999999996"/>
        <n v="41.22"/>
        <n v="1480.16"/>
        <n v="638.42999999999995"/>
        <n v="3111.31"/>
        <n v="2162.34"/>
        <n v="4579.4399999999996"/>
        <n v="770.1"/>
        <n v="1946.58"/>
        <n v="5747.04"/>
        <n v="3625.79"/>
        <n v="3777.68"/>
        <n v="1418.96"/>
        <n v="10643.13"/>
        <n v="1395.36"/>
        <n v="1237.1199999999999"/>
        <n v="1698.19"/>
        <n v="1854.2"/>
        <n v="604.17999999999995"/>
        <n v="2742.8"/>
        <n v="4243.2299999999996"/>
        <n v="511.33"/>
        <n v="2298.4"/>
        <n v="826.41"/>
        <n v="649.79999999999995"/>
        <n v="7319.74"/>
        <n v="428.5"/>
        <n v="3443.64"/>
        <n v="2657.78"/>
        <n v="9681.02"/>
        <n v="3068.42"/>
        <n v="3682.26"/>
        <n v="2466.81"/>
        <n v="10165.15"/>
        <n v="2168.9"/>
        <n v="2687.7"/>
        <n v="341.71"/>
        <n v="1845.52"/>
        <n v="808.2"/>
        <n v="9828.65"/>
        <n v="276.32"/>
        <n v="551.28"/>
        <n v="969.06"/>
        <n v="2262.0500000000002"/>
        <n v="3452.7"/>
        <n v="506.99"/>
        <n v="1262.1500000000001"/>
        <n v="1844.47"/>
        <n v="920.84"/>
        <n v="1669.28"/>
        <n v="1255.3599999999999"/>
        <n v="29.87"/>
        <n v="2688.59"/>
        <n v="5941.51"/>
        <n v="2784.45"/>
        <n v="2907.8"/>
        <n v="4615.83"/>
        <n v="1707.39"/>
        <n v="535.70000000000005"/>
        <n v="3837.82"/>
        <n v="9561.18"/>
        <n v="787.35"/>
        <n v="1520.05"/>
        <n v="9757.64"/>
        <n v="1294.8900000000001"/>
        <n v="6082.24"/>
        <n v="437.2"/>
        <n v="1610.48"/>
        <n v="2653.22"/>
        <n v="631.23"/>
        <n v="2463.29"/>
        <n v="4601.24"/>
        <n v="10996.67"/>
        <n v="1544.18"/>
        <n v="1301.96"/>
        <n v="4550.3999999999996"/>
        <n v="1712.17"/>
        <n v="950.56"/>
        <n v="4402.53"/>
        <n v="722.93"/>
        <n v="493.88"/>
        <n v="7901.78"/>
        <n v="3037.91"/>
        <n v="7038.84"/>
        <n v="1725.5"/>
        <n v="6251.26"/>
        <n v="197.68"/>
        <n v="1925.58"/>
        <n v="2138.42"/>
        <n v="107.92"/>
        <n v="8973.07"/>
        <n v="1804.89"/>
        <n v="7230.07"/>
        <n v="363.78"/>
        <n v="2514.11"/>
        <n v="2132.44"/>
        <n v="237.55"/>
        <n v="1887.38"/>
        <n v="802.77"/>
        <n v="614.29999999999995"/>
        <n v="241.31"/>
        <n v="3452.2"/>
        <n v="5444.45"/>
        <n v="1252.94"/>
        <n v="3111.82"/>
        <n v="9541.39"/>
        <n v="1394.32"/>
        <n v="6070.31"/>
        <n v="870.23"/>
        <n v="818.02"/>
        <n v="2356.84"/>
        <n v="5691.42"/>
        <n v="4176.29"/>
        <n v="1997.05"/>
        <n v="530.92999999999995"/>
        <n v="1419.81"/>
        <n v="10012.76"/>
        <n v="803.13"/>
        <n v="2487.1999999999998"/>
        <n v="5277.52"/>
        <n v="2532.3200000000002"/>
        <n v="8200.0499999999993"/>
        <n v="10389.6"/>
        <n v="4297.07"/>
        <n v="2946.44"/>
        <n v="3046.96"/>
        <n v="2868.75"/>
        <n v="11181.67"/>
        <n v="3797.21"/>
        <n v="506.67"/>
        <n v="2245.6799999999998"/>
        <n v="1460.6"/>
        <n v="348.39"/>
        <n v="395.06"/>
        <n v="1113.74"/>
        <n v="3104.61"/>
        <n v="793.23"/>
        <n v="4779.28"/>
        <n v="1103.82"/>
        <n v="1875.34"/>
        <n v="317.19"/>
        <n v="10989.85"/>
        <n v="1236.79"/>
        <n v="4287.82"/>
        <n v="3259.26"/>
        <n v="12154.43"/>
        <n v="954.43"/>
        <n v="1521.33"/>
        <n v="1084.4000000000001"/>
        <n v="2966.31"/>
        <n v="5698.1"/>
        <n v="1707.33"/>
        <n v="1122.27"/>
        <n v="8223.73"/>
        <n v="1213.6600000000001"/>
        <n v="2277.2800000000002"/>
        <n v="3983.95"/>
        <n v="439.6"/>
        <n v="9130.56"/>
        <n v="1166.02"/>
        <n v="3130.96"/>
        <n v="5602.85"/>
        <n v="68.16"/>
        <n v="648.05999999999995"/>
        <n v="11444.44"/>
        <n v="1309.2"/>
        <n v="1249.3"/>
        <n v="3618.45"/>
        <n v="9707.5"/>
        <n v="1011.81"/>
        <n v="3155.4"/>
        <n v="1099.99"/>
        <n v="748.41"/>
        <n v="1596.83"/>
        <n v="10699.8"/>
        <n v="1919.74"/>
        <n v="2265.7800000000002"/>
        <n v="9956.1299999999992"/>
        <n v="2422.8000000000002"/>
        <n v="2318.16"/>
        <n v="3606.96"/>
        <n v="5126.67"/>
        <n v="4500.91"/>
        <n v="3723.8"/>
        <n v="31.85"/>
        <n v="2632.32"/>
        <n v="393.52"/>
        <n v="1992.02"/>
        <n v="2160.25"/>
        <n v="1265.8900000000001"/>
        <n v="1791.17"/>
        <n v="854.42"/>
        <n v="3963.74"/>
        <n v="7083.21"/>
        <n v="3801.03"/>
        <n v="9061.0400000000009"/>
        <n v="6748.98"/>
        <n v="7273.6"/>
        <n v="11128.4"/>
        <n v="767.4"/>
        <n v="4128.62"/>
        <n v="1119.3699999999999"/>
        <n v="8555.61"/>
        <n v="9208.99"/>
        <n v="4278.2299999999996"/>
        <n v="4049.91"/>
        <n v="1579.62"/>
        <n v="5569.57"/>
        <n v="1588.33"/>
        <n v="3859.03"/>
        <n v="3738.01"/>
        <n v="4646"/>
        <n v="6251.25"/>
        <n v="4361.3599999999997"/>
        <n v="6508.26"/>
        <n v="4315.75"/>
        <n v="2441.16"/>
        <n v="8055.45"/>
        <n v="587.83000000000004"/>
        <n v="6067.03"/>
        <n v="5764.95"/>
        <n v="1017.73"/>
        <n v="2297.36"/>
        <n v="1795.35"/>
        <n v="288.06"/>
        <n v="528.54999999999995"/>
        <n v="8619.59"/>
        <n v="166.38"/>
        <n v="1748.39"/>
        <n v="263.86"/>
        <n v="7504.5"/>
        <n v="7732.37"/>
        <n v="1749.88"/>
        <n v="1269.8499999999999"/>
        <n v="7879.6"/>
        <n v="4438.1000000000004"/>
        <n v="4150.55"/>
        <n v="383.23"/>
        <n v="8771.08"/>
        <n v="8344.42"/>
        <n v="4957.4799999999996"/>
        <n v="766.41"/>
        <n v="181.71"/>
        <n v="5360.89"/>
        <n v="900.63"/>
        <n v="705.03"/>
        <n v="570.09"/>
        <n v="544.69000000000005"/>
        <n v="2635.53"/>
        <n v="627.20000000000005"/>
        <n v="3230.43"/>
        <n v="1413.12"/>
        <n v="564.4"/>
        <n v="1898.84"/>
        <n v="5415.99"/>
        <n v="7553.43"/>
        <n v="2237.65"/>
        <n v="4100.6000000000004"/>
        <n v="731.84"/>
        <n v="1286.96"/>
        <n v="517.28"/>
        <n v="1402.24"/>
        <n v="643.05999999999995"/>
        <n v="357.74"/>
        <n v="1786.62"/>
        <n v="1005.37"/>
        <n v="2839.78"/>
        <n v="2286.29"/>
        <n v="4788.13"/>
        <n v="3306.82"/>
        <n v="9331.2199999999993"/>
        <n v="987.69"/>
        <n v="1606.94"/>
        <n v="6268.68"/>
        <n v="1963.76"/>
        <n v="1021.81"/>
        <n v="4157.7"/>
        <n v="165.34"/>
        <n v="3458.47"/>
        <n v="9276.64"/>
        <n v="5795.08"/>
        <n v="9889.7800000000007"/>
        <n v="2873.65"/>
        <n v="8125.11"/>
        <n v="1191.44"/>
        <n v="1153.2"/>
        <n v="12450.02"/>
        <n v="2081.44"/>
        <n v="3593.79"/>
        <n v="1333.29"/>
        <n v="5368.6"/>
        <n v="1004.23"/>
        <n v="1905.39"/>
        <n v="687.48"/>
        <n v="926.74"/>
        <n v="618.54"/>
        <n v="5086.9799999999996"/>
        <n v="5990.39"/>
        <n v="2096.9299999999998"/>
        <n v="474.66"/>
        <n v="3876"/>
      </sharedItems>
    </cacheField>
    <cacheField name="Cost_Amount" numFmtId="0">
      <sharedItems containsSemiMixedTypes="0" containsString="0" containsNumber="1" minValue="17.27" maxValue="10086.07"/>
    </cacheField>
    <cacheField name="Profit" numFmtId="0">
      <sharedItems containsSemiMixedTypes="0" containsString="0" containsNumber="1" minValue="6" maxValue="5671.23" count="999">
        <n v="769.79"/>
        <n v="282.52"/>
        <n v="3049.25"/>
        <n v="2753.7"/>
        <n v="1280.98"/>
        <n v="292.57"/>
        <n v="891.57"/>
        <n v="460.05"/>
        <n v="380.64"/>
        <n v="1833.39"/>
        <n v="126.06"/>
        <n v="465.35"/>
        <n v="2944.97"/>
        <n v="2801.63"/>
        <n v="1806.18"/>
        <n v="1056.0999999999999"/>
        <n v="324.60000000000002"/>
        <n v="2093.0500000000002"/>
        <n v="921.45"/>
        <n v="1686.65"/>
        <n v="943.96"/>
        <n v="1645.29"/>
        <n v="79.42"/>
        <n v="1775.16"/>
        <n v="1099.3499999999999"/>
        <n v="919.66"/>
        <n v="261.37"/>
        <n v="32.369999999999997"/>
        <n v="804.95"/>
        <n v="763.86"/>
        <n v="607.78"/>
        <n v="72.88"/>
        <n v="1481.66"/>
        <n v="584.38"/>
        <n v="1065.24"/>
        <n v="88.9"/>
        <n v="977.85"/>
        <n v="454.94"/>
        <n v="255.42"/>
        <n v="373.37"/>
        <n v="1060.1199999999999"/>
        <n v="804.98"/>
        <n v="704.98"/>
        <n v="1497.18"/>
        <n v="855.09"/>
        <n v="637.89"/>
        <n v="135.72"/>
        <n v="1760.85"/>
        <n v="372.03"/>
        <n v="4273.53"/>
        <n v="744.55"/>
        <n v="633.14"/>
        <n v="2201.87"/>
        <n v="682.81"/>
        <n v="142.46"/>
        <n v="1715.18"/>
        <n v="3834.44"/>
        <n v="43.72"/>
        <n v="364.49"/>
        <n v="675.36"/>
        <n v="3886.11"/>
        <n v="1832.73"/>
        <n v="391.24"/>
        <n v="348.52"/>
        <n v="658.68"/>
        <n v="86.75"/>
        <n v="2150.9299999999998"/>
        <n v="302.64999999999998"/>
        <n v="1333.07"/>
        <n v="1124.73"/>
        <n v="38.299999999999997"/>
        <n v="805.36"/>
        <n v="4463.0200000000004"/>
        <n v="1400.1"/>
        <n v="151.22999999999999"/>
        <n v="128.84"/>
        <n v="1053.03"/>
        <n v="626.97"/>
        <n v="3570.84"/>
        <n v="534.45000000000005"/>
        <n v="519.28"/>
        <n v="1753.93"/>
        <n v="2377.4"/>
        <n v="926.53"/>
        <n v="1862.8"/>
        <n v="2291.2399999999998"/>
        <n v="27.23"/>
        <n v="241.44"/>
        <n v="716.31"/>
        <n v="446.52"/>
        <n v="627.70000000000005"/>
        <n v="218.81"/>
        <n v="327.37"/>
        <n v="213.34"/>
        <n v="152.94999999999999"/>
        <n v="2490.79"/>
        <n v="2193.59"/>
        <n v="1238.4000000000001"/>
        <n v="2661.17"/>
        <n v="1033.8399999999999"/>
        <n v="837.45"/>
        <n v="543.19000000000005"/>
        <n v="17.97"/>
        <n v="972.57"/>
        <n v="923.16"/>
        <n v="125.42"/>
        <n v="235.72"/>
        <n v="2752.12"/>
        <n v="1037.5899999999999"/>
        <n v="792.37"/>
        <n v="3310.53"/>
        <n v="208.13"/>
        <n v="2813.13"/>
        <n v="2832.79"/>
        <n v="1828.64"/>
        <n v="286.89999999999998"/>
        <n v="3970.73"/>
        <n v="1264.49"/>
        <n v="1277.25"/>
        <n v="842.44"/>
        <n v="1044.07"/>
        <n v="502.56"/>
        <n v="175.28"/>
        <n v="30.24"/>
        <n v="150.63"/>
        <n v="1442.35"/>
        <n v="3597.13"/>
        <n v="345.66"/>
        <n v="702.63"/>
        <n v="1420"/>
        <n v="224.57"/>
        <n v="1152.49"/>
        <n v="472.15"/>
        <n v="174.32"/>
        <n v="705.98"/>
        <n v="208.44"/>
        <n v="4881.26"/>
        <n v="3254.16"/>
        <n v="1646.78"/>
        <n v="2324.4299999999998"/>
        <n v="1351.17"/>
        <n v="1944.42"/>
        <n v="4421.8999999999996"/>
        <n v="33.35"/>
        <n v="443.7"/>
        <n v="2626.13"/>
        <n v="1977.16"/>
        <n v="1075.6300000000001"/>
        <n v="2178.71"/>
        <n v="1056.73"/>
        <n v="176.54"/>
        <n v="4440.34"/>
        <n v="2921.18"/>
        <n v="1535.13"/>
        <n v="4634.0200000000004"/>
        <n v="2586.67"/>
        <n v="1013.96"/>
        <n v="641.55999999999995"/>
        <n v="871.2"/>
        <n v="634.88"/>
        <n v="1528.43"/>
        <n v="425.64"/>
        <n v="259.68"/>
        <n v="3435.32"/>
        <n v="403.32"/>
        <n v="2037.17"/>
        <n v="886.26"/>
        <n v="522.05999999999995"/>
        <n v="2279.65"/>
        <n v="3326.79"/>
        <n v="268.32"/>
        <n v="385.66"/>
        <n v="1496.07"/>
        <n v="298.97000000000003"/>
        <n v="1583.02"/>
        <n v="621.41"/>
        <n v="149.29"/>
        <n v="568.73"/>
        <n v="1155.18"/>
        <n v="612.08000000000004"/>
        <n v="143.01"/>
        <n v="512.54"/>
        <n v="124.52"/>
        <n v="1570"/>
        <n v="1085.6600000000001"/>
        <n v="221.64"/>
        <n v="3152.97"/>
        <n v="848.99"/>
        <n v="940.89"/>
        <n v="939.14"/>
        <n v="2689.84"/>
        <n v="2436.7199999999998"/>
        <n v="1447.44"/>
        <n v="27.6"/>
        <n v="1036.94"/>
        <n v="1954.86"/>
        <n v="264.89999999999998"/>
        <n v="103.51"/>
        <n v="556.33000000000004"/>
        <n v="695.45"/>
        <n v="119.99"/>
        <n v="1076.3900000000001"/>
        <n v="1452.28"/>
        <n v="2461.9"/>
        <n v="901.81"/>
        <n v="1745.22"/>
        <n v="1438.36"/>
        <n v="278.72000000000003"/>
        <n v="217.41"/>
        <n v="530.57000000000005"/>
        <n v="44.48"/>
        <n v="471.47"/>
        <n v="729.59"/>
        <n v="1664.87"/>
        <n v="2568.48"/>
        <n v="159.55000000000001"/>
        <n v="787.9"/>
        <n v="3655.73"/>
        <n v="3199.89"/>
        <n v="873.89"/>
        <n v="884.64"/>
        <n v="13.59"/>
        <n v="287.63"/>
        <n v="271.73"/>
        <n v="1779.2"/>
        <n v="2444.48"/>
        <n v="2081.42"/>
        <n v="89.75"/>
        <n v="4623.41"/>
        <n v="2007.44"/>
        <n v="882.95"/>
        <n v="1373.07"/>
        <n v="178.16"/>
        <n v="411.4"/>
        <n v="16.739999999999998"/>
        <n v="135.61000000000001"/>
        <n v="786.91"/>
        <n v="3367.71"/>
        <n v="553.25"/>
        <n v="228.08"/>
        <n v="31.25"/>
        <n v="124.43"/>
        <n v="373.69"/>
        <n v="591.16999999999996"/>
        <n v="1779.67"/>
        <n v="77"/>
        <n v="199.83"/>
        <n v="423.31"/>
        <n v="345.79"/>
        <n v="175.08"/>
        <n v="1571.08"/>
        <n v="72.08"/>
        <n v="1151.31"/>
        <n v="779.16"/>
        <n v="1193.08"/>
        <n v="6"/>
        <n v="1155.6500000000001"/>
        <n v="2454.16"/>
        <n v="72.28"/>
        <n v="1092.46"/>
        <n v="838.95"/>
        <n v="827.12"/>
        <n v="1379.18"/>
        <n v="2493.8000000000002"/>
        <n v="2112.5100000000002"/>
        <n v="329.64"/>
        <n v="67.430000000000007"/>
        <n v="112.6"/>
        <n v="653.54"/>
        <n v="36.36"/>
        <n v="2263.3000000000002"/>
        <n v="2556.59"/>
        <n v="737.32"/>
        <n v="322.22000000000003"/>
        <n v="459.92"/>
        <n v="2684.45"/>
        <n v="117.06"/>
        <n v="2162.25"/>
        <n v="25.57"/>
        <n v="662.11"/>
        <n v="989.84"/>
        <n v="3941.88"/>
        <n v="546.13"/>
        <n v="2064.46"/>
        <n v="1317.51"/>
        <n v="1711.57"/>
        <n v="737.04"/>
        <n v="2715.04"/>
        <n v="1063.1400000000001"/>
        <n v="1420.75"/>
        <n v="2544.15"/>
        <n v="104.6"/>
        <n v="2283.33"/>
        <n v="935.31"/>
        <n v="503.06"/>
        <n v="1122.42"/>
        <n v="361.27"/>
        <n v="2043.74"/>
        <n v="101.12"/>
        <n v="276.01"/>
        <n v="70.05"/>
        <n v="2772.64"/>
        <n v="1759.69"/>
        <n v="1342.12"/>
        <n v="787.37"/>
        <n v="968.69"/>
        <n v="983.32"/>
        <n v="270.86"/>
        <n v="375.59"/>
        <n v="1390.75"/>
        <n v="2519.59"/>
        <n v="678.84"/>
        <n v="958.44"/>
        <n v="28.65"/>
        <n v="288.64999999999998"/>
        <n v="1267.9000000000001"/>
        <n v="1769.2"/>
        <n v="1148.92"/>
        <n v="1179.3800000000001"/>
        <n v="725.46"/>
        <n v="28.86"/>
        <n v="1751.54"/>
        <n v="503.12"/>
        <n v="2239.96"/>
        <n v="262.31"/>
        <n v="3015.36"/>
        <n v="4088.43"/>
        <n v="1092.06"/>
        <n v="390.22"/>
        <n v="1631"/>
        <n v="45.45"/>
        <n v="1239.6199999999999"/>
        <n v="3064.1"/>
        <n v="124.34"/>
        <n v="846.31"/>
        <n v="1763.11"/>
        <n v="1514.16"/>
        <n v="1427.96"/>
        <n v="479.34"/>
        <n v="500.72"/>
        <n v="821.85"/>
        <n v="524.27"/>
        <n v="3733.98"/>
        <n v="4346.3999999999996"/>
        <n v="1605.7"/>
        <n v="474.48"/>
        <n v="3302.33"/>
        <n v="362"/>
        <n v="483.42"/>
        <n v="1042.32"/>
        <n v="1705.23"/>
        <n v="851.27"/>
        <n v="1495.63"/>
        <n v="1096.6400000000001"/>
        <n v="496.38"/>
        <n v="177.76"/>
        <n v="998.76"/>
        <n v="1864.42"/>
        <n v="221.42"/>
        <n v="1183.1099999999999"/>
        <n v="2329.98"/>
        <n v="2002.91"/>
        <n v="4628.24"/>
        <n v="2847.91"/>
        <n v="1150.21"/>
        <n v="654.71"/>
        <n v="1025.01"/>
        <n v="2721.68"/>
        <n v="217.56"/>
        <n v="727.83"/>
        <n v="500.37"/>
        <n v="1733.26"/>
        <n v="573.82000000000005"/>
        <n v="3828.86"/>
        <n v="192.38"/>
        <n v="3472.36"/>
        <n v="83.86"/>
        <n v="75.36"/>
        <n v="517.16"/>
        <n v="2568.4899999999998"/>
        <n v="890.21"/>
        <n v="1983.62"/>
        <n v="1099.68"/>
        <n v="171.01"/>
        <n v="626.96"/>
        <n v="139.41999999999999"/>
        <n v="5313.2"/>
        <n v="1049.29"/>
        <n v="770.27"/>
        <n v="239.54"/>
        <n v="115.51"/>
        <n v="692.11"/>
        <n v="349.73"/>
        <n v="34.49"/>
        <n v="107.4"/>
        <n v="2519.0300000000002"/>
        <n v="264.95999999999998"/>
        <n v="1684.11"/>
        <n v="284.88"/>
        <n v="20.190000000000001"/>
        <n v="611.54999999999995"/>
        <n v="1156.53"/>
        <n v="2625.67"/>
        <n v="1401.32"/>
        <n v="2638.36"/>
        <n v="236.03"/>
        <n v="2815.13"/>
        <n v="3732.11"/>
        <n v="993.71"/>
        <n v="1356.3"/>
        <n v="994.13"/>
        <n v="962.8"/>
        <n v="347.53"/>
        <n v="3467.59"/>
        <n v="2072.2800000000002"/>
        <n v="847.63"/>
        <n v="726.19"/>
        <n v="1265.82"/>
        <n v="197.36"/>
        <n v="404.97"/>
        <n v="82.29"/>
        <n v="195.86"/>
        <n v="301.52"/>
        <n v="342.74"/>
        <n v="2485.83"/>
        <n v="2218.16"/>
        <n v="610.12"/>
        <n v="80.680000000000007"/>
        <n v="1751.62"/>
        <n v="183.66"/>
        <n v="1369.33"/>
        <n v="853.48"/>
        <n v="263.87"/>
        <n v="2274.4499999999998"/>
        <n v="154.04"/>
        <n v="314.20999999999998"/>
        <n v="1941.35"/>
        <n v="860.58"/>
        <n v="641.49"/>
        <n v="31.87"/>
        <n v="172.57"/>
        <n v="109.8"/>
        <n v="763.53"/>
        <n v="1427.32"/>
        <n v="1951.37"/>
        <n v="1790.83"/>
        <n v="1730.01"/>
        <n v="2213.6799999999998"/>
        <n v="158.15"/>
        <n v="1257.78"/>
        <n v="476.03"/>
        <n v="2395.7399999999998"/>
        <n v="3046.47"/>
        <n v="2070.9899999999998"/>
        <n v="69.75"/>
        <n v="1749.66"/>
        <n v="1985.09"/>
        <n v="801.44"/>
        <n v="575.98"/>
        <n v="1194.82"/>
        <n v="57.47"/>
        <n v="77.27"/>
        <n v="1386.25"/>
        <n v="2574.34"/>
        <n v="220.17"/>
        <n v="196.97"/>
        <n v="777.64"/>
        <n v="510.22"/>
        <n v="1106.3499999999999"/>
        <n v="4503.16"/>
        <n v="1428.55"/>
        <n v="270.58"/>
        <n v="1711.2"/>
        <n v="41.88"/>
        <n v="3157.46"/>
        <n v="568.95000000000005"/>
        <n v="687.81"/>
        <n v="662.32"/>
        <n v="1027.45"/>
        <n v="2567.98"/>
        <n v="326.98"/>
        <n v="1268.21"/>
        <n v="2818.3"/>
        <n v="427.51"/>
        <n v="827.82"/>
        <n v="170.32"/>
        <n v="1041.83"/>
        <n v="2054.2199999999998"/>
        <n v="2421.98"/>
        <n v="507.97"/>
        <n v="115.38"/>
        <n v="1882.57"/>
        <n v="34.25"/>
        <n v="342.22"/>
        <n v="54.35"/>
        <n v="2517.61"/>
        <n v="565.24"/>
        <n v="2373.96"/>
        <n v="2813.54"/>
        <n v="487.94"/>
        <n v="2344.5500000000002"/>
        <n v="357.25"/>
        <n v="3092.05"/>
        <n v="523.1"/>
        <n v="306.25"/>
        <n v="2085.15"/>
        <n v="1035.45"/>
        <n v="1035.72"/>
        <n v="282.35000000000002"/>
        <n v="977.51"/>
        <n v="1711.5"/>
        <n v="424.19"/>
        <n v="1132.92"/>
        <n v="111.53"/>
        <n v="1945.42"/>
        <n v="3268.76"/>
        <n v="945.14"/>
        <n v="2350.94"/>
        <n v="347.86"/>
        <n v="241.09"/>
        <n v="3338.73"/>
        <n v="144.51"/>
        <n v="803.25"/>
        <n v="46.08"/>
        <n v="121.05"/>
        <n v="2713.97"/>
        <n v="1023.95"/>
        <n v="238.82"/>
        <n v="1141.7"/>
        <n v="1316.84"/>
        <n v="214.39"/>
        <n v="430.29"/>
        <n v="2526.98"/>
        <n v="2245.73"/>
        <n v="1408.47"/>
        <n v="2037.49"/>
        <n v="715.39"/>
        <n v="5629.07"/>
        <n v="2114.7399999999998"/>
        <n v="475.55"/>
        <n v="852.08"/>
        <n v="3239.26"/>
        <n v="1185.1199999999999"/>
        <n v="710.66"/>
        <n v="1413.68"/>
        <n v="263.85000000000002"/>
        <n v="401.83"/>
        <n v="111.74"/>
        <n v="670.2"/>
        <n v="887.84"/>
        <n v="3522.79"/>
        <n v="21.47"/>
        <n v="795.9"/>
        <n v="157.62"/>
        <n v="2581.44"/>
        <n v="2283.4499999999998"/>
        <n v="5671.23"/>
        <n v="1305.96"/>
        <n v="1099.92"/>
        <n v="3819.19"/>
        <n v="537.36"/>
        <n v="334.26"/>
        <n v="67.28"/>
        <n v="3131.23"/>
        <n v="745.86"/>
        <n v="336.51"/>
        <n v="2178.85"/>
        <n v="1665.96"/>
        <n v="1723.06"/>
        <n v="1253.5899999999999"/>
        <n v="956.52"/>
        <n v="575.20000000000005"/>
        <n v="1717.8"/>
        <n v="1002.33"/>
        <n v="2529.8000000000002"/>
        <n v="244.19"/>
        <n v="2312.29"/>
        <n v="763.08"/>
        <n v="1056.1400000000001"/>
        <n v="2618.1"/>
        <n v="2591.0300000000002"/>
        <n v="182.94"/>
        <n v="457.3"/>
        <n v="1930.65"/>
        <n v="1345.63"/>
        <n v="5502.53"/>
        <n v="322.64"/>
        <n v="3028.23"/>
        <n v="1170.01"/>
        <n v="454.54"/>
        <n v="1148.1199999999999"/>
        <n v="681.24"/>
        <n v="1157.44"/>
        <n v="1281.05"/>
        <n v="214.97"/>
        <n v="952.39"/>
        <n v="692.81"/>
        <n v="1538.3"/>
        <n v="478.06"/>
        <n v="2740.4"/>
        <n v="1628.84"/>
        <n v="715.35"/>
        <n v="2193.0300000000002"/>
        <n v="2976.43"/>
        <n v="985.34"/>
        <n v="161.97999999999999"/>
        <n v="1951.15"/>
        <n v="1110.76"/>
        <n v="559.72"/>
        <n v="2328.79"/>
        <n v="86.4"/>
        <n v="939.03"/>
        <n v="3149.28"/>
        <n v="395.47"/>
        <n v="155.24"/>
        <n v="436.36"/>
        <n v="392.65"/>
        <n v="1687.96"/>
        <n v="1831.39"/>
        <n v="2604.5300000000002"/>
        <n v="1610.57"/>
        <n v="538.91"/>
        <n v="4102.8100000000004"/>
        <n v="668.19"/>
        <n v="1791.68"/>
        <n v="3657.46"/>
        <n v="1155.02"/>
        <n v="3539.65"/>
        <n v="384.01"/>
        <n v="1339.32"/>
        <n v="544.95000000000005"/>
        <n v="985.38"/>
        <n v="906.97"/>
        <n v="4670.87"/>
        <n v="1504.68"/>
        <n v="1130.3699999999999"/>
        <n v="1472.08"/>
        <n v="1757.24"/>
        <n v="484.97"/>
        <n v="266.2"/>
        <n v="2394.9299999999998"/>
        <n v="2154.56"/>
        <n v="1386.51"/>
        <n v="1012.37"/>
        <n v="58.15"/>
        <n v="4154.6000000000004"/>
        <n v="440.41"/>
        <n v="2402.4299999999998"/>
        <n v="2008.75"/>
        <n v="1275.48"/>
        <n v="534.21"/>
        <n v="147.26"/>
        <n v="90.05"/>
        <n v="3443.24"/>
        <n v="158.44999999999999"/>
        <n v="1101.8399999999999"/>
        <n v="302.02999999999997"/>
        <n v="2055.25"/>
        <n v="160.94999999999999"/>
        <n v="3444.24"/>
        <n v="398.28"/>
        <n v="602"/>
        <n v="3528.01"/>
        <n v="2132.25"/>
        <n v="3203.88"/>
        <n v="659.21"/>
        <n v="1300.45"/>
        <n v="43.76"/>
        <n v="1795.71"/>
        <n v="511.87"/>
        <n v="94.49"/>
        <n v="944.16"/>
        <n v="429.82"/>
        <n v="39.01"/>
        <n v="251.94"/>
        <n v="117.85"/>
        <n v="902.89"/>
        <n v="1621.25"/>
        <n v="1671.91"/>
        <n v="250.37"/>
        <n v="1524.44"/>
        <n v="1942.46"/>
        <n v="903.18"/>
        <n v="1547.56"/>
        <n v="893.65"/>
        <n v="2164.46"/>
        <n v="4081.78"/>
        <n v="1862.42"/>
        <n v="2253.29"/>
        <n v="137"/>
        <n v="515.16999999999996"/>
        <n v="3075.44"/>
        <n v="111.67"/>
        <n v="192.59"/>
        <n v="873.06"/>
        <n v="181.17"/>
        <n v="1188.83"/>
        <n v="1218.1400000000001"/>
        <n v="152.33000000000001"/>
        <n v="2408.0700000000002"/>
        <n v="14.49"/>
        <n v="516.04"/>
        <n v="301.45999999999998"/>
        <n v="997.31"/>
        <n v="545.46"/>
        <n v="735.95"/>
        <n v="179"/>
        <n v="762.04"/>
        <n v="1797.1"/>
        <n v="1703.99"/>
        <n v="1449.71"/>
        <n v="569.35"/>
        <n v="2838.65"/>
        <n v="544.80999999999995"/>
        <n v="481.77"/>
        <n v="426.14"/>
        <n v="648.01"/>
        <n v="128.68"/>
        <n v="567.64"/>
        <n v="1557.51"/>
        <n v="210.18"/>
        <n v="544.07000000000005"/>
        <n v="317.64999999999998"/>
        <n v="238.71"/>
        <n v="2474.94"/>
        <n v="91.77"/>
        <n v="1571.2"/>
        <n v="1280.76"/>
        <n v="1800.91"/>
        <n v="1229.03"/>
        <n v="1539.42"/>
        <n v="487.41"/>
        <n v="2507.7800000000002"/>
        <n v="821.45"/>
        <n v="928.13"/>
        <n v="54.3"/>
        <n v="693.7"/>
        <n v="326.68"/>
        <n v="3224.21"/>
        <n v="99.63"/>
        <n v="259.33999999999997"/>
        <n v="465"/>
        <n v="1072.1500000000001"/>
        <n v="1281.51"/>
        <n v="142.38999999999999"/>
        <n v="318.05"/>
        <n v="788.83"/>
        <n v="215.74"/>
        <n v="503.6"/>
        <n v="577.14"/>
        <n v="8.77"/>
        <n v="1042.4100000000001"/>
        <n v="1872.48"/>
        <n v="489.34"/>
        <n v="543.27"/>
        <n v="2192.08"/>
        <n v="706.54"/>
        <n v="215.36"/>
        <n v="1863.8"/>
        <n v="1818.18"/>
        <n v="136.47999999999999"/>
        <n v="582.27"/>
        <n v="4448.47"/>
        <n v="489.62"/>
        <n v="1203.72"/>
        <n v="204.55"/>
        <n v="270.35000000000002"/>
        <n v="613.20000000000005"/>
        <n v="284.11"/>
        <n v="898.72"/>
        <n v="2297.41"/>
        <n v="2821.59"/>
        <n v="340.73"/>
        <n v="344.2"/>
        <n v="1277.6600000000001"/>
        <n v="571.34"/>
        <n v="275.73"/>
        <n v="2113.59"/>
        <n v="211.11"/>
        <n v="218.58"/>
        <n v="3862.06"/>
        <n v="583.08000000000004"/>
        <n v="837.91"/>
        <n v="1865.29"/>
        <n v="42.56"/>
        <n v="570.89"/>
        <n v="1068.99"/>
        <n v="17"/>
        <n v="3400.3"/>
        <n v="695.44"/>
        <n v="3145.17"/>
        <n v="104.08"/>
        <n v="835.34"/>
        <n v="324.45999999999998"/>
        <n v="57.1"/>
        <n v="624.44000000000005"/>
        <n v="347.15"/>
        <n v="264.33"/>
        <n v="112.46"/>
        <n v="1003.71"/>
        <n v="2513.2800000000002"/>
        <n v="488.62"/>
        <n v="1043.8"/>
        <n v="1462.22"/>
        <n v="616.97"/>
        <n v="1480.84"/>
        <n v="330.9"/>
        <n v="145.94"/>
        <n v="461.73"/>
        <n v="2653.34"/>
        <n v="2008.51"/>
        <n v="893.47"/>
        <n v="157.58000000000001"/>
        <n v="661.4"/>
        <n v="4142.79"/>
        <n v="330.56"/>
        <n v="504.42"/>
        <n v="1347.97"/>
        <n v="605.26"/>
        <n v="1777.1"/>
        <n v="1677.56"/>
        <n v="1401.34"/>
        <n v="925.37"/>
        <n v="758.18"/>
        <n v="1325.87"/>
        <n v="4841.51"/>
        <n v="1232.78"/>
        <n v="251.89"/>
        <n v="831.92"/>
        <n v="684.82"/>
        <n v="94.16"/>
        <n v="88.22"/>
        <n v="255.5"/>
        <n v="1456.46"/>
        <n v="260.11"/>
        <n v="1770.96"/>
        <n v="521.15"/>
        <n v="924.14"/>
        <n v="73.489999999999995"/>
        <n v="3163.84"/>
        <n v="409.9"/>
        <n v="1421.54"/>
        <n v="1236.48"/>
        <n v="4180.37"/>
        <n v="309.86"/>
        <n v="450.6"/>
        <n v="179.94"/>
        <n v="1063.97"/>
        <n v="2397.1799999999998"/>
        <n v="573.13"/>
        <n v="214.13"/>
        <n v="4062.83"/>
        <n v="589.83000000000004"/>
        <n v="562.27"/>
        <n v="1226.06"/>
        <n v="151.54"/>
        <n v="2565.4499999999998"/>
        <n v="506.92"/>
        <n v="1139.0999999999999"/>
        <n v="1093.3699999999999"/>
        <n v="24.15"/>
        <n v="238.58"/>
        <n v="5154.8100000000004"/>
        <n v="421.55"/>
        <n v="278.77"/>
        <n v="653.41"/>
        <n v="4256.1899999999996"/>
        <n v="295.02"/>
        <n v="1272.74"/>
        <n v="428.81"/>
        <n v="209.32"/>
        <n v="344.98"/>
        <n v="2788.56"/>
        <n v="385.5"/>
        <n v="558.70000000000005"/>
        <n v="4097.41"/>
        <n v="1007.49"/>
        <n v="951.69"/>
        <n v="1290.01"/>
        <n v="1305.46"/>
        <n v="1406.84"/>
        <n v="620.9"/>
        <n v="14.58"/>
        <n v="709.54"/>
        <n v="76.23"/>
        <n v="580.15"/>
        <n v="432.65"/>
        <n v="344.77"/>
        <n v="629.37"/>
        <n v="261.54000000000002"/>
        <n v="1159.79"/>
        <n v="3129.75"/>
        <n v="1609.31"/>
        <n v="4199.79"/>
        <n v="2789.27"/>
        <n v="3287.74"/>
        <n v="1757.04"/>
        <n v="286.16000000000003"/>
        <n v="1356.38"/>
        <n v="524.25"/>
        <n v="2089.83"/>
        <n v="4426.76"/>
        <n v="1897.79"/>
        <n v="1074.68"/>
        <n v="334.63"/>
        <n v="2132.6"/>
        <n v="616.54999999999995"/>
        <n v="1710.83"/>
        <n v="1095.83"/>
        <n v="1446.95"/>
        <n v="1804.61"/>
        <n v="1782.72"/>
        <n v="1064.8599999999999"/>
        <n v="2015.97"/>
        <n v="906.73"/>
        <n v="3518.85"/>
        <n v="93.61"/>
        <n v="2805.43"/>
        <n v="1253.3800000000001"/>
        <n v="494.44"/>
        <n v="834.37"/>
        <n v="741.02"/>
        <n v="120.89"/>
        <n v="160.29"/>
        <n v="3552.01"/>
        <n v="26.55"/>
        <n v="802.45"/>
        <n v="73.78"/>
        <n v="1918.49"/>
        <n v="1246.8699999999999"/>
        <n v="799.53"/>
        <n v="612.83000000000004"/>
        <n v="2082.61"/>
        <n v="1502.77"/>
        <n v="1868.6"/>
        <n v="120.13"/>
        <n v="1478.93"/>
        <n v="1935.18"/>
        <n v="2439.16"/>
        <n v="372.46"/>
        <n v="55.23"/>
        <n v="1180.8499999999999"/>
        <n v="335.38"/>
        <n v="312.75"/>
        <n v="196.74"/>
        <n v="197.06"/>
        <n v="1028.3399999999999"/>
        <n v="281.3"/>
        <n v="672.77"/>
        <n v="392.82"/>
        <n v="153.62"/>
        <n v="899.79"/>
        <n v="1803.78"/>
        <n v="3594.71"/>
        <n v="1087.06"/>
        <n v="888.43"/>
        <n v="320.33"/>
        <n v="540.89"/>
        <n v="189.79"/>
        <n v="609.54999999999995"/>
        <n v="239.3"/>
        <n v="157.9"/>
        <n v="677.23"/>
        <n v="474.68"/>
        <n v="501.52"/>
        <n v="573.55999999999995"/>
        <n v="1970.58"/>
        <n v="1590.09"/>
        <n v="4218.1899999999996"/>
        <n v="417.79"/>
        <n v="483.48"/>
        <n v="2538.48"/>
        <n v="909"/>
        <n v="259.27"/>
        <n v="983.87"/>
        <n v="48.44"/>
        <n v="578.72"/>
        <n v="2121.38"/>
        <n v="1387.6"/>
        <n v="4557.12"/>
        <n v="1233.73"/>
        <n v="1869.98"/>
        <n v="594.97"/>
        <n v="285.37"/>
        <n v="4937.53"/>
        <n v="344.73"/>
        <n v="564.29"/>
        <n v="504.01"/>
        <n v="1289.48"/>
        <n v="152.41999999999999"/>
        <n v="947.14"/>
        <n v="207.79"/>
        <n v="201.8"/>
        <n v="305.91000000000003"/>
        <n v="784.55"/>
        <n v="2245.89"/>
        <n v="686.81"/>
        <n v="83"/>
        <n v="1227.18"/>
      </sharedItems>
    </cacheField>
    <cacheField name="Payment_Method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Monthly Sale" numFmtId="0">
      <sharedItems count="12">
        <s v="January"/>
        <s v="March"/>
        <s v="September"/>
        <s v="August"/>
        <s v="February"/>
        <s v="June"/>
        <s v="December"/>
        <s v="July"/>
        <s v="October"/>
        <s v="May"/>
        <s v="April"/>
        <s v="November"/>
      </sharedItems>
    </cacheField>
    <cacheField name="Quarterly Sale " numFmtId="0">
      <sharedItems count="4">
        <s v="Q1"/>
        <s v="Q3"/>
        <s v="Q2"/>
        <s v="Q4"/>
      </sharedItems>
    </cacheField>
    <cacheField name="Yearly Sale" numFmtId="0">
      <sharedItems containsSemiMixedTypes="0" containsString="0" containsNumber="1" containsInteger="1" minValue="2024" maxValue="202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5299041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70.202689583333" createdVersion="7" refreshedVersion="7" minRefreshableVersion="3" recordCount="1000" xr:uid="{00000000-000A-0000-FFFF-FFFF15000000}">
  <cacheSource type="worksheet">
    <worksheetSource name="Table1"/>
  </cacheSource>
  <cacheFields count="20">
    <cacheField name="Order_ID" numFmtId="0">
      <sharedItems count="1000">
        <s v="SAL-1001"/>
        <s v="SAL-1002"/>
        <s v="SAL-1003"/>
        <s v="SAL-1004"/>
        <s v="SAL-1005"/>
        <s v="SAL-1006"/>
        <s v="SAL-1007"/>
        <s v="SAL-1008"/>
        <s v="SAL-1009"/>
        <s v="SAL-1010"/>
        <s v="SAL-1011"/>
        <s v="SAL-1012"/>
        <s v="SAL-1013"/>
        <s v="SAL-1014"/>
        <s v="SAL-1015"/>
        <s v="SAL-1016"/>
        <s v="SAL-1017"/>
        <s v="SAL-1018"/>
        <s v="SAL-1019"/>
        <s v="SAL-1020"/>
        <s v="SAL-1021"/>
        <s v="SAL-1022"/>
        <s v="SAL-1023"/>
        <s v="SAL-1024"/>
        <s v="SAL-1025"/>
        <s v="SAL-1026"/>
        <s v="SAL-1027"/>
        <s v="SAL-1028"/>
        <s v="SAL-1029"/>
        <s v="SAL-1030"/>
        <s v="SAL-1031"/>
        <s v="SAL-1032"/>
        <s v="SAL-1033"/>
        <s v="SAL-1034"/>
        <s v="SAL-1035"/>
        <s v="SAL-1036"/>
        <s v="SAL-1037"/>
        <s v="SAL-1038"/>
        <s v="SAL-1039"/>
        <s v="SAL-1040"/>
        <s v="SAL-1041"/>
        <s v="SAL-1042"/>
        <s v="SAL-1043"/>
        <s v="SAL-1044"/>
        <s v="SAL-1045"/>
        <s v="SAL-1046"/>
        <s v="SAL-1047"/>
        <s v="SAL-1048"/>
        <s v="SAL-1049"/>
        <s v="SAL-1050"/>
        <s v="SAL-1051"/>
        <s v="SAL-1052"/>
        <s v="SAL-1053"/>
        <s v="SAL-1054"/>
        <s v="SAL-1055"/>
        <s v="SAL-1056"/>
        <s v="SAL-1057"/>
        <s v="SAL-1058"/>
        <s v="SAL-1059"/>
        <s v="SAL-1060"/>
        <s v="SAL-1061"/>
        <s v="SAL-1062"/>
        <s v="SAL-1063"/>
        <s v="SAL-1064"/>
        <s v="SAL-1065"/>
        <s v="SAL-1066"/>
        <s v="SAL-1067"/>
        <s v="SAL-1068"/>
        <s v="SAL-1069"/>
        <s v="SAL-1070"/>
        <s v="SAL-1071"/>
        <s v="SAL-1072"/>
        <s v="SAL-1073"/>
        <s v="SAL-1074"/>
        <s v="SAL-1075"/>
        <s v="SAL-1076"/>
        <s v="SAL-1077"/>
        <s v="SAL-1078"/>
        <s v="SAL-1079"/>
        <s v="SAL-1080"/>
        <s v="SAL-1081"/>
        <s v="SAL-1082"/>
        <s v="SAL-1083"/>
        <s v="SAL-1084"/>
        <s v="SAL-1085"/>
        <s v="SAL-1086"/>
        <s v="SAL-1087"/>
        <s v="SAL-1088"/>
        <s v="SAL-1089"/>
        <s v="SAL-1090"/>
        <s v="SAL-1091"/>
        <s v="SAL-1092"/>
        <s v="SAL-1093"/>
        <s v="SAL-1094"/>
        <s v="SAL-1095"/>
        <s v="SAL-1096"/>
        <s v="SAL-1097"/>
        <s v="SAL-1098"/>
        <s v="SAL-1099"/>
        <s v="SAL-1100"/>
        <s v="SAL-1101"/>
        <s v="SAL-1102"/>
        <s v="SAL-1103"/>
        <s v="SAL-1104"/>
        <s v="SAL-1105"/>
        <s v="SAL-1106"/>
        <s v="SAL-1107"/>
        <s v="SAL-1108"/>
        <s v="SAL-1109"/>
        <s v="SAL-1110"/>
        <s v="SAL-1111"/>
        <s v="SAL-1112"/>
        <s v="SAL-1113"/>
        <s v="SAL-1114"/>
        <s v="SAL-1115"/>
        <s v="SAL-1116"/>
        <s v="SAL-1117"/>
        <s v="SAL-1118"/>
        <s v="SAL-1119"/>
        <s v="SAL-1120"/>
        <s v="SAL-1121"/>
        <s v="SAL-1122"/>
        <s v="SAL-1123"/>
        <s v="SAL-1124"/>
        <s v="SAL-1125"/>
        <s v="SAL-1126"/>
        <s v="SAL-1127"/>
        <s v="SAL-1128"/>
        <s v="SAL-1129"/>
        <s v="SAL-1130"/>
        <s v="SAL-1131"/>
        <s v="SAL-1132"/>
        <s v="SAL-1133"/>
        <s v="SAL-1134"/>
        <s v="SAL-1135"/>
        <s v="SAL-1136"/>
        <s v="SAL-1137"/>
        <s v="SAL-1138"/>
        <s v="SAL-1139"/>
        <s v="SAL-1140"/>
        <s v="SAL-1141"/>
        <s v="SAL-1142"/>
        <s v="SAL-1143"/>
        <s v="SAL-1144"/>
        <s v="SAL-1145"/>
        <s v="SAL-1146"/>
        <s v="SAL-1147"/>
        <s v="SAL-1148"/>
        <s v="SAL-1149"/>
        <s v="SAL-1150"/>
        <s v="SAL-1151"/>
        <s v="SAL-1152"/>
        <s v="SAL-1153"/>
        <s v="SAL-1154"/>
        <s v="SAL-1155"/>
        <s v="SAL-1156"/>
        <s v="SAL-1157"/>
        <s v="SAL-1158"/>
        <s v="SAL-1159"/>
        <s v="SAL-1160"/>
        <s v="SAL-1161"/>
        <s v="SAL-1162"/>
        <s v="SAL-1163"/>
        <s v="SAL-1164"/>
        <s v="SAL-1165"/>
        <s v="SAL-1166"/>
        <s v="SAL-1167"/>
        <s v="SAL-1168"/>
        <s v="SAL-1169"/>
        <s v="SAL-1170"/>
        <s v="SAL-1171"/>
        <s v="SAL-1172"/>
        <s v="SAL-1173"/>
        <s v="SAL-1174"/>
        <s v="SAL-1175"/>
        <s v="SAL-1176"/>
        <s v="SAL-1177"/>
        <s v="SAL-1178"/>
        <s v="SAL-1179"/>
        <s v="SAL-1180"/>
        <s v="SAL-1181"/>
        <s v="SAL-1182"/>
        <s v="SAL-1183"/>
        <s v="SAL-1184"/>
        <s v="SAL-1185"/>
        <s v="SAL-1186"/>
        <s v="SAL-1187"/>
        <s v="SAL-1188"/>
        <s v="SAL-1189"/>
        <s v="SAL-1190"/>
        <s v="SAL-1191"/>
        <s v="SAL-1192"/>
        <s v="SAL-1193"/>
        <s v="SAL-1194"/>
        <s v="SAL-1195"/>
        <s v="SAL-1196"/>
        <s v="SAL-1197"/>
        <s v="SAL-1198"/>
        <s v="SAL-1199"/>
        <s v="SAL-1200"/>
        <s v="SAL-1201"/>
        <s v="SAL-1202"/>
        <s v="SAL-1203"/>
        <s v="SAL-1204"/>
        <s v="SAL-1205"/>
        <s v="SAL-1206"/>
        <s v="SAL-1207"/>
        <s v="SAL-1208"/>
        <s v="SAL-1209"/>
        <s v="SAL-1210"/>
        <s v="SAL-1211"/>
        <s v="SAL-1212"/>
        <s v="SAL-1213"/>
        <s v="SAL-1214"/>
        <s v="SAL-1215"/>
        <s v="SAL-1216"/>
        <s v="SAL-1217"/>
        <s v="SAL-1218"/>
        <s v="SAL-1219"/>
        <s v="SAL-1220"/>
        <s v="SAL-1221"/>
        <s v="SAL-1222"/>
        <s v="SAL-1223"/>
        <s v="SAL-1224"/>
        <s v="SAL-1225"/>
        <s v="SAL-1226"/>
        <s v="SAL-1227"/>
        <s v="SAL-1228"/>
        <s v="SAL-1229"/>
        <s v="SAL-1230"/>
        <s v="SAL-1231"/>
        <s v="SAL-1232"/>
        <s v="SAL-1233"/>
        <s v="SAL-1234"/>
        <s v="SAL-1235"/>
        <s v="SAL-1236"/>
        <s v="SAL-1237"/>
        <s v="SAL-1238"/>
        <s v="SAL-1239"/>
        <s v="SAL-1240"/>
        <s v="SAL-1241"/>
        <s v="SAL-1242"/>
        <s v="SAL-1243"/>
        <s v="SAL-1244"/>
        <s v="SAL-1245"/>
        <s v="SAL-1246"/>
        <s v="SAL-1247"/>
        <s v="SAL-1248"/>
        <s v="SAL-1249"/>
        <s v="SAL-1250"/>
        <s v="SAL-1251"/>
        <s v="SAL-1252"/>
        <s v="SAL-1253"/>
        <s v="SAL-1254"/>
        <s v="SAL-1255"/>
        <s v="SAL-1256"/>
        <s v="SAL-1257"/>
        <s v="SAL-1258"/>
        <s v="SAL-1259"/>
        <s v="SAL-1260"/>
        <s v="SAL-1261"/>
        <s v="SAL-1262"/>
        <s v="SAL-1263"/>
        <s v="SAL-1264"/>
        <s v="SAL-1265"/>
        <s v="SAL-1266"/>
        <s v="SAL-1267"/>
        <s v="SAL-1268"/>
        <s v="SAL-1269"/>
        <s v="SAL-1270"/>
        <s v="SAL-1271"/>
        <s v="SAL-1272"/>
        <s v="SAL-1273"/>
        <s v="SAL-1274"/>
        <s v="SAL-1275"/>
        <s v="SAL-1276"/>
        <s v="SAL-1277"/>
        <s v="SAL-1278"/>
        <s v="SAL-1279"/>
        <s v="SAL-1280"/>
        <s v="SAL-1281"/>
        <s v="SAL-1282"/>
        <s v="SAL-1283"/>
        <s v="SAL-1284"/>
        <s v="SAL-1285"/>
        <s v="SAL-1286"/>
        <s v="SAL-1287"/>
        <s v="SAL-1288"/>
        <s v="SAL-1289"/>
        <s v="SAL-1290"/>
        <s v="SAL-1291"/>
        <s v="SAL-1292"/>
        <s v="SAL-1293"/>
        <s v="SAL-1294"/>
        <s v="SAL-1295"/>
        <s v="SAL-1296"/>
        <s v="SAL-1297"/>
        <s v="SAL-1298"/>
        <s v="SAL-1299"/>
        <s v="SAL-1300"/>
        <s v="SAL-1301"/>
        <s v="SAL-1302"/>
        <s v="SAL-1303"/>
        <s v="SAL-1304"/>
        <s v="SAL-1305"/>
        <s v="SAL-1306"/>
        <s v="SAL-1307"/>
        <s v="SAL-1308"/>
        <s v="SAL-1309"/>
        <s v="SAL-1310"/>
        <s v="SAL-1311"/>
        <s v="SAL-1312"/>
        <s v="SAL-1313"/>
        <s v="SAL-1314"/>
        <s v="SAL-1315"/>
        <s v="SAL-1316"/>
        <s v="SAL-1317"/>
        <s v="SAL-1318"/>
        <s v="SAL-1319"/>
        <s v="SAL-1320"/>
        <s v="SAL-1321"/>
        <s v="SAL-1322"/>
        <s v="SAL-1323"/>
        <s v="SAL-1324"/>
        <s v="SAL-1325"/>
        <s v="SAL-1326"/>
        <s v="SAL-1327"/>
        <s v="SAL-1328"/>
        <s v="SAL-1329"/>
        <s v="SAL-1330"/>
        <s v="SAL-1331"/>
        <s v="SAL-1332"/>
        <s v="SAL-1333"/>
        <s v="SAL-1334"/>
        <s v="SAL-1335"/>
        <s v="SAL-1336"/>
        <s v="SAL-1337"/>
        <s v="SAL-1338"/>
        <s v="SAL-1339"/>
        <s v="SAL-1340"/>
        <s v="SAL-1341"/>
        <s v="SAL-1342"/>
        <s v="SAL-1343"/>
        <s v="SAL-1344"/>
        <s v="SAL-1345"/>
        <s v="SAL-1346"/>
        <s v="SAL-1347"/>
        <s v="SAL-1348"/>
        <s v="SAL-1349"/>
        <s v="SAL-1350"/>
        <s v="SAL-1351"/>
        <s v="SAL-1352"/>
        <s v="SAL-1353"/>
        <s v="SAL-1354"/>
        <s v="SAL-1355"/>
        <s v="SAL-1356"/>
        <s v="SAL-1357"/>
        <s v="SAL-1358"/>
        <s v="SAL-1359"/>
        <s v="SAL-1360"/>
        <s v="SAL-1361"/>
        <s v="SAL-1362"/>
        <s v="SAL-1363"/>
        <s v="SAL-1364"/>
        <s v="SAL-1365"/>
        <s v="SAL-1366"/>
        <s v="SAL-1367"/>
        <s v="SAL-1368"/>
        <s v="SAL-1369"/>
        <s v="SAL-1370"/>
        <s v="SAL-1371"/>
        <s v="SAL-1372"/>
        <s v="SAL-1373"/>
        <s v="SAL-1374"/>
        <s v="SAL-1375"/>
        <s v="SAL-1376"/>
        <s v="SAL-1377"/>
        <s v="SAL-1378"/>
        <s v="SAL-1379"/>
        <s v="SAL-1380"/>
        <s v="SAL-1381"/>
        <s v="SAL-1382"/>
        <s v="SAL-1383"/>
        <s v="SAL-1384"/>
        <s v="SAL-1385"/>
        <s v="SAL-1386"/>
        <s v="SAL-1387"/>
        <s v="SAL-1388"/>
        <s v="SAL-1389"/>
        <s v="SAL-1390"/>
        <s v="SAL-1391"/>
        <s v="SAL-1392"/>
        <s v="SAL-1393"/>
        <s v="SAL-1394"/>
        <s v="SAL-1395"/>
        <s v="SAL-1396"/>
        <s v="SAL-1397"/>
        <s v="SAL-1398"/>
        <s v="SAL-1399"/>
        <s v="SAL-1400"/>
        <s v="SAL-1401"/>
        <s v="SAL-1402"/>
        <s v="SAL-1403"/>
        <s v="SAL-1404"/>
        <s v="SAL-1405"/>
        <s v="SAL-1406"/>
        <s v="SAL-1407"/>
        <s v="SAL-1408"/>
        <s v="SAL-1409"/>
        <s v="SAL-1410"/>
        <s v="SAL-1411"/>
        <s v="SAL-1412"/>
        <s v="SAL-1413"/>
        <s v="SAL-1414"/>
        <s v="SAL-1415"/>
        <s v="SAL-1416"/>
        <s v="SAL-1417"/>
        <s v="SAL-1418"/>
        <s v="SAL-1419"/>
        <s v="SAL-1420"/>
        <s v="SAL-1421"/>
        <s v="SAL-1422"/>
        <s v="SAL-1423"/>
        <s v="SAL-1424"/>
        <s v="SAL-1425"/>
        <s v="SAL-1426"/>
        <s v="SAL-1427"/>
        <s v="SAL-1428"/>
        <s v="SAL-1429"/>
        <s v="SAL-1430"/>
        <s v="SAL-1431"/>
        <s v="SAL-1432"/>
        <s v="SAL-1433"/>
        <s v="SAL-1434"/>
        <s v="SAL-1435"/>
        <s v="SAL-1436"/>
        <s v="SAL-1437"/>
        <s v="SAL-1438"/>
        <s v="SAL-1439"/>
        <s v="SAL-1440"/>
        <s v="SAL-1441"/>
        <s v="SAL-1442"/>
        <s v="SAL-1443"/>
        <s v="SAL-1444"/>
        <s v="SAL-1445"/>
        <s v="SAL-1446"/>
        <s v="SAL-1447"/>
        <s v="SAL-1448"/>
        <s v="SAL-1449"/>
        <s v="SAL-1450"/>
        <s v="SAL-1451"/>
        <s v="SAL-1452"/>
        <s v="SAL-1453"/>
        <s v="SAL-1454"/>
        <s v="SAL-1455"/>
        <s v="SAL-1456"/>
        <s v="SAL-1457"/>
        <s v="SAL-1458"/>
        <s v="SAL-1459"/>
        <s v="SAL-1460"/>
        <s v="SAL-1461"/>
        <s v="SAL-1462"/>
        <s v="SAL-1463"/>
        <s v="SAL-1464"/>
        <s v="SAL-1465"/>
        <s v="SAL-1466"/>
        <s v="SAL-1467"/>
        <s v="SAL-1468"/>
        <s v="SAL-1469"/>
        <s v="SAL-1470"/>
        <s v="SAL-1471"/>
        <s v="SAL-1472"/>
        <s v="SAL-1473"/>
        <s v="SAL-1474"/>
        <s v="SAL-1475"/>
        <s v="SAL-1476"/>
        <s v="SAL-1477"/>
        <s v="SAL-1478"/>
        <s v="SAL-1479"/>
        <s v="SAL-1480"/>
        <s v="SAL-1481"/>
        <s v="SAL-1482"/>
        <s v="SAL-1483"/>
        <s v="SAL-1484"/>
        <s v="SAL-1485"/>
        <s v="SAL-1486"/>
        <s v="SAL-1487"/>
        <s v="SAL-1488"/>
        <s v="SAL-1489"/>
        <s v="SAL-1490"/>
        <s v="SAL-1491"/>
        <s v="SAL-1492"/>
        <s v="SAL-1493"/>
        <s v="SAL-1494"/>
        <s v="SAL-1495"/>
        <s v="SAL-1496"/>
        <s v="SAL-1497"/>
        <s v="SAL-1498"/>
        <s v="SAL-1499"/>
        <s v="SAL-1500"/>
        <s v="SAL-1501"/>
        <s v="SAL-1502"/>
        <s v="SAL-1503"/>
        <s v="SAL-1504"/>
        <s v="SAL-1505"/>
        <s v="SAL-1506"/>
        <s v="SAL-1507"/>
        <s v="SAL-1508"/>
        <s v="SAL-1509"/>
        <s v="SAL-1510"/>
        <s v="SAL-1511"/>
        <s v="SAL-1512"/>
        <s v="SAL-1513"/>
        <s v="SAL-1514"/>
        <s v="SAL-1515"/>
        <s v="SAL-1516"/>
        <s v="SAL-1517"/>
        <s v="SAL-1518"/>
        <s v="SAL-1519"/>
        <s v="SAL-1520"/>
        <s v="SAL-1521"/>
        <s v="SAL-1522"/>
        <s v="SAL-1523"/>
        <s v="SAL-1524"/>
        <s v="SAL-1525"/>
        <s v="SAL-1526"/>
        <s v="SAL-1527"/>
        <s v="SAL-1528"/>
        <s v="SAL-1529"/>
        <s v="SAL-1530"/>
        <s v="SAL-1531"/>
        <s v="SAL-1532"/>
        <s v="SAL-1533"/>
        <s v="SAL-1534"/>
        <s v="SAL-1535"/>
        <s v="SAL-1536"/>
        <s v="SAL-1537"/>
        <s v="SAL-1538"/>
        <s v="SAL-1539"/>
        <s v="SAL-1540"/>
        <s v="SAL-1541"/>
        <s v="SAL-1542"/>
        <s v="SAL-1543"/>
        <s v="SAL-1544"/>
        <s v="SAL-1545"/>
        <s v="SAL-1546"/>
        <s v="SAL-1547"/>
        <s v="SAL-1548"/>
        <s v="SAL-1549"/>
        <s v="SAL-1550"/>
        <s v="SAL-1551"/>
        <s v="SAL-1552"/>
        <s v="SAL-1553"/>
        <s v="SAL-1554"/>
        <s v="SAL-1555"/>
        <s v="SAL-1556"/>
        <s v="SAL-1557"/>
        <s v="SAL-1558"/>
        <s v="SAL-1559"/>
        <s v="SAL-1560"/>
        <s v="SAL-1561"/>
        <s v="SAL-1562"/>
        <s v="SAL-1563"/>
        <s v="SAL-1564"/>
        <s v="SAL-1565"/>
        <s v="SAL-1566"/>
        <s v="SAL-1567"/>
        <s v="SAL-1568"/>
        <s v="SAL-1569"/>
        <s v="SAL-1570"/>
        <s v="SAL-1571"/>
        <s v="SAL-1572"/>
        <s v="SAL-1573"/>
        <s v="SAL-1574"/>
        <s v="SAL-1575"/>
        <s v="SAL-1576"/>
        <s v="SAL-1577"/>
        <s v="SAL-1578"/>
        <s v="SAL-1579"/>
        <s v="SAL-1580"/>
        <s v="SAL-1581"/>
        <s v="SAL-1582"/>
        <s v="SAL-1583"/>
        <s v="SAL-1584"/>
        <s v="SAL-1585"/>
        <s v="SAL-1586"/>
        <s v="SAL-1587"/>
        <s v="SAL-1588"/>
        <s v="SAL-1589"/>
        <s v="SAL-1590"/>
        <s v="SAL-1591"/>
        <s v="SAL-1592"/>
        <s v="SAL-1593"/>
        <s v="SAL-1594"/>
        <s v="SAL-1595"/>
        <s v="SAL-1596"/>
        <s v="SAL-1597"/>
        <s v="SAL-1598"/>
        <s v="SAL-1599"/>
        <s v="SAL-1600"/>
        <s v="SAL-1601"/>
        <s v="SAL-1602"/>
        <s v="SAL-1603"/>
        <s v="SAL-1604"/>
        <s v="SAL-1605"/>
        <s v="SAL-1606"/>
        <s v="SAL-1607"/>
        <s v="SAL-1608"/>
        <s v="SAL-1609"/>
        <s v="SAL-1610"/>
        <s v="SAL-1611"/>
        <s v="SAL-1612"/>
        <s v="SAL-1613"/>
        <s v="SAL-1614"/>
        <s v="SAL-1615"/>
        <s v="SAL-1616"/>
        <s v="SAL-1617"/>
        <s v="SAL-1618"/>
        <s v="SAL-1619"/>
        <s v="SAL-1620"/>
        <s v="SAL-1621"/>
        <s v="SAL-1622"/>
        <s v="SAL-1623"/>
        <s v="SAL-1624"/>
        <s v="SAL-1625"/>
        <s v="SAL-1626"/>
        <s v="SAL-1627"/>
        <s v="SAL-1628"/>
        <s v="SAL-1629"/>
        <s v="SAL-1630"/>
        <s v="SAL-1631"/>
        <s v="SAL-1632"/>
        <s v="SAL-1633"/>
        <s v="SAL-1634"/>
        <s v="SAL-1635"/>
        <s v="SAL-1636"/>
        <s v="SAL-1637"/>
        <s v="SAL-1638"/>
        <s v="SAL-1639"/>
        <s v="SAL-1640"/>
        <s v="SAL-1641"/>
        <s v="SAL-1642"/>
        <s v="SAL-1643"/>
        <s v="SAL-1644"/>
        <s v="SAL-1645"/>
        <s v="SAL-1646"/>
        <s v="SAL-1647"/>
        <s v="SAL-1648"/>
        <s v="SAL-1649"/>
        <s v="SAL-1650"/>
        <s v="SAL-1651"/>
        <s v="SAL-1652"/>
        <s v="SAL-1653"/>
        <s v="SAL-1654"/>
        <s v="SAL-1655"/>
        <s v="SAL-1656"/>
        <s v="SAL-1657"/>
        <s v="SAL-1658"/>
        <s v="SAL-1659"/>
        <s v="SAL-1660"/>
        <s v="SAL-1661"/>
        <s v="SAL-1662"/>
        <s v="SAL-1663"/>
        <s v="SAL-1664"/>
        <s v="SAL-1665"/>
        <s v="SAL-1666"/>
        <s v="SAL-1667"/>
        <s v="SAL-1668"/>
        <s v="SAL-1669"/>
        <s v="SAL-1670"/>
        <s v="SAL-1671"/>
        <s v="SAL-1672"/>
        <s v="SAL-1673"/>
        <s v="SAL-1674"/>
        <s v="SAL-1675"/>
        <s v="SAL-1676"/>
        <s v="SAL-1677"/>
        <s v="SAL-1678"/>
        <s v="SAL-1679"/>
        <s v="SAL-1680"/>
        <s v="SAL-1681"/>
        <s v="SAL-1682"/>
        <s v="SAL-1683"/>
        <s v="SAL-1684"/>
        <s v="SAL-1685"/>
        <s v="SAL-1686"/>
        <s v="SAL-1687"/>
        <s v="SAL-1688"/>
        <s v="SAL-1689"/>
        <s v="SAL-1690"/>
        <s v="SAL-1691"/>
        <s v="SAL-1692"/>
        <s v="SAL-1693"/>
        <s v="SAL-1694"/>
        <s v="SAL-1695"/>
        <s v="SAL-1696"/>
        <s v="SAL-1697"/>
        <s v="SAL-1698"/>
        <s v="SAL-1699"/>
        <s v="SAL-1700"/>
        <s v="SAL-1701"/>
        <s v="SAL-1702"/>
        <s v="SAL-1703"/>
        <s v="SAL-1704"/>
        <s v="SAL-1705"/>
        <s v="SAL-1706"/>
        <s v="SAL-1707"/>
        <s v="SAL-1708"/>
        <s v="SAL-1709"/>
        <s v="SAL-1710"/>
        <s v="SAL-1711"/>
        <s v="SAL-1712"/>
        <s v="SAL-1713"/>
        <s v="SAL-1714"/>
        <s v="SAL-1715"/>
        <s v="SAL-1716"/>
        <s v="SAL-1717"/>
        <s v="SAL-1718"/>
        <s v="SAL-1719"/>
        <s v="SAL-1720"/>
        <s v="SAL-1721"/>
        <s v="SAL-1722"/>
        <s v="SAL-1723"/>
        <s v="SAL-1724"/>
        <s v="SAL-1725"/>
        <s v="SAL-1726"/>
        <s v="SAL-1727"/>
        <s v="SAL-1728"/>
        <s v="SAL-1729"/>
        <s v="SAL-1730"/>
        <s v="SAL-1731"/>
        <s v="SAL-1732"/>
        <s v="SAL-1733"/>
        <s v="SAL-1734"/>
        <s v="SAL-1735"/>
        <s v="SAL-1736"/>
        <s v="SAL-1737"/>
        <s v="SAL-1738"/>
        <s v="SAL-1739"/>
        <s v="SAL-1740"/>
        <s v="SAL-1741"/>
        <s v="SAL-1742"/>
        <s v="SAL-1743"/>
        <s v="SAL-1744"/>
        <s v="SAL-1745"/>
        <s v="SAL-1746"/>
        <s v="SAL-1747"/>
        <s v="SAL-1748"/>
        <s v="SAL-1749"/>
        <s v="SAL-1750"/>
        <s v="SAL-1751"/>
        <s v="SAL-1752"/>
        <s v="SAL-1753"/>
        <s v="SAL-1754"/>
        <s v="SAL-1755"/>
        <s v="SAL-1756"/>
        <s v="SAL-1757"/>
        <s v="SAL-1758"/>
        <s v="SAL-1759"/>
        <s v="SAL-1760"/>
        <s v="SAL-1761"/>
        <s v="SAL-1762"/>
        <s v="SAL-1763"/>
        <s v="SAL-1764"/>
        <s v="SAL-1765"/>
        <s v="SAL-1766"/>
        <s v="SAL-1767"/>
        <s v="SAL-1768"/>
        <s v="SAL-1769"/>
        <s v="SAL-1770"/>
        <s v="SAL-1771"/>
        <s v="SAL-1772"/>
        <s v="SAL-1773"/>
        <s v="SAL-1774"/>
        <s v="SAL-1775"/>
        <s v="SAL-1776"/>
        <s v="SAL-1777"/>
        <s v="SAL-1778"/>
        <s v="SAL-1779"/>
        <s v="SAL-1780"/>
        <s v="SAL-1781"/>
        <s v="SAL-1782"/>
        <s v="SAL-1783"/>
        <s v="SAL-1784"/>
        <s v="SAL-1785"/>
        <s v="SAL-1786"/>
        <s v="SAL-1787"/>
        <s v="SAL-1788"/>
        <s v="SAL-1789"/>
        <s v="SAL-1790"/>
        <s v="SAL-1791"/>
        <s v="SAL-1792"/>
        <s v="SAL-1793"/>
        <s v="SAL-1794"/>
        <s v="SAL-1795"/>
        <s v="SAL-1796"/>
        <s v="SAL-1797"/>
        <s v="SAL-1798"/>
        <s v="SAL-1799"/>
        <s v="SAL-1800"/>
        <s v="SAL-1801"/>
        <s v="SAL-1802"/>
        <s v="SAL-1803"/>
        <s v="SAL-1804"/>
        <s v="SAL-1805"/>
        <s v="SAL-1806"/>
        <s v="SAL-1807"/>
        <s v="SAL-1808"/>
        <s v="SAL-1809"/>
        <s v="SAL-1810"/>
        <s v="SAL-1811"/>
        <s v="SAL-1812"/>
        <s v="SAL-1813"/>
        <s v="SAL-1814"/>
        <s v="SAL-1815"/>
        <s v="SAL-1816"/>
        <s v="SAL-1817"/>
        <s v="SAL-1818"/>
        <s v="SAL-1819"/>
        <s v="SAL-1820"/>
        <s v="SAL-1821"/>
        <s v="SAL-1822"/>
        <s v="SAL-1823"/>
        <s v="SAL-1824"/>
        <s v="SAL-1825"/>
        <s v="SAL-1826"/>
        <s v="SAL-1827"/>
        <s v="SAL-1828"/>
        <s v="SAL-1829"/>
        <s v="SAL-1830"/>
        <s v="SAL-1831"/>
        <s v="SAL-1832"/>
        <s v="SAL-1833"/>
        <s v="SAL-1834"/>
        <s v="SAL-1835"/>
        <s v="SAL-1836"/>
        <s v="SAL-1837"/>
        <s v="SAL-1838"/>
        <s v="SAL-1839"/>
        <s v="SAL-1840"/>
        <s v="SAL-1841"/>
        <s v="SAL-1842"/>
        <s v="SAL-1843"/>
        <s v="SAL-1844"/>
        <s v="SAL-1845"/>
        <s v="SAL-1846"/>
        <s v="SAL-1847"/>
        <s v="SAL-1848"/>
        <s v="SAL-1849"/>
        <s v="SAL-1850"/>
        <s v="SAL-1851"/>
        <s v="SAL-1852"/>
        <s v="SAL-1853"/>
        <s v="SAL-1854"/>
        <s v="SAL-1855"/>
        <s v="SAL-1856"/>
        <s v="SAL-1857"/>
        <s v="SAL-1858"/>
        <s v="SAL-1859"/>
        <s v="SAL-1860"/>
        <s v="SAL-1861"/>
        <s v="SAL-1862"/>
        <s v="SAL-1863"/>
        <s v="SAL-1864"/>
        <s v="SAL-1865"/>
        <s v="SAL-1866"/>
        <s v="SAL-1867"/>
        <s v="SAL-1868"/>
        <s v="SAL-1869"/>
        <s v="SAL-1870"/>
        <s v="SAL-1871"/>
        <s v="SAL-1872"/>
        <s v="SAL-1873"/>
        <s v="SAL-1874"/>
        <s v="SAL-1875"/>
        <s v="SAL-1876"/>
        <s v="SAL-1877"/>
        <s v="SAL-1878"/>
        <s v="SAL-1879"/>
        <s v="SAL-1880"/>
        <s v="SAL-1881"/>
        <s v="SAL-1882"/>
        <s v="SAL-1883"/>
        <s v="SAL-1884"/>
        <s v="SAL-1885"/>
        <s v="SAL-1886"/>
        <s v="SAL-1887"/>
        <s v="SAL-1888"/>
        <s v="SAL-1889"/>
        <s v="SAL-1890"/>
        <s v="SAL-1891"/>
        <s v="SAL-1892"/>
        <s v="SAL-1893"/>
        <s v="SAL-1894"/>
        <s v="SAL-1895"/>
        <s v="SAL-1896"/>
        <s v="SAL-1897"/>
        <s v="SAL-1898"/>
        <s v="SAL-1899"/>
        <s v="SAL-1900"/>
        <s v="SAL-1901"/>
        <s v="SAL-1902"/>
        <s v="SAL-1903"/>
        <s v="SAL-1904"/>
        <s v="SAL-1905"/>
        <s v="SAL-1906"/>
        <s v="SAL-1907"/>
        <s v="SAL-1908"/>
        <s v="SAL-1909"/>
        <s v="SAL-1910"/>
        <s v="SAL-1911"/>
        <s v="SAL-1912"/>
        <s v="SAL-1913"/>
        <s v="SAL-1914"/>
        <s v="SAL-1915"/>
        <s v="SAL-1916"/>
        <s v="SAL-1917"/>
        <s v="SAL-1918"/>
        <s v="SAL-1919"/>
        <s v="SAL-1920"/>
        <s v="SAL-1921"/>
        <s v="SAL-1922"/>
        <s v="SAL-1923"/>
        <s v="SAL-1924"/>
        <s v="SAL-1925"/>
        <s v="SAL-1926"/>
        <s v="SAL-1927"/>
        <s v="SAL-1928"/>
        <s v="SAL-1929"/>
        <s v="SAL-1930"/>
        <s v="SAL-1931"/>
        <s v="SAL-1932"/>
        <s v="SAL-1933"/>
        <s v="SAL-1934"/>
        <s v="SAL-1935"/>
        <s v="SAL-1936"/>
        <s v="SAL-1937"/>
        <s v="SAL-1938"/>
        <s v="SAL-1939"/>
        <s v="SAL-1940"/>
        <s v="SAL-1941"/>
        <s v="SAL-1942"/>
        <s v="SAL-1943"/>
        <s v="SAL-1944"/>
        <s v="SAL-1945"/>
        <s v="SAL-1946"/>
        <s v="SAL-1947"/>
        <s v="SAL-1948"/>
        <s v="SAL-1949"/>
        <s v="SAL-1950"/>
        <s v="SAL-1951"/>
        <s v="SAL-1952"/>
        <s v="SAL-1953"/>
        <s v="SAL-1954"/>
        <s v="SAL-1955"/>
        <s v="SAL-1956"/>
        <s v="SAL-1957"/>
        <s v="SAL-1958"/>
        <s v="SAL-1959"/>
        <s v="SAL-1960"/>
        <s v="SAL-1961"/>
        <s v="SAL-1962"/>
        <s v="SAL-1963"/>
        <s v="SAL-1964"/>
        <s v="SAL-1965"/>
        <s v="SAL-1966"/>
        <s v="SAL-1967"/>
        <s v="SAL-1968"/>
        <s v="SAL-1969"/>
        <s v="SAL-1970"/>
        <s v="SAL-1971"/>
        <s v="SAL-1972"/>
        <s v="SAL-1973"/>
        <s v="SAL-1974"/>
        <s v="SAL-1975"/>
        <s v="SAL-1976"/>
        <s v="SAL-1977"/>
        <s v="SAL-1978"/>
        <s v="SAL-1979"/>
        <s v="SAL-1980"/>
        <s v="SAL-1981"/>
        <s v="SAL-1982"/>
        <s v="SAL-1983"/>
        <s v="SAL-1984"/>
        <s v="SAL-1985"/>
        <s v="SAL-1986"/>
        <s v="SAL-1987"/>
        <s v="SAL-1988"/>
        <s v="SAL-1989"/>
        <s v="SAL-1990"/>
        <s v="SAL-1991"/>
        <s v="SAL-1992"/>
        <s v="SAL-1993"/>
        <s v="SAL-1994"/>
        <s v="SAL-1995"/>
        <s v="SAL-1996"/>
        <s v="SAL-1997"/>
        <s v="SAL-1998"/>
        <s v="SAL-1999"/>
        <s v="SAL-2000"/>
      </sharedItems>
    </cacheField>
    <cacheField name="Order_Date" numFmtId="14">
      <sharedItems containsSemiMixedTypes="0" containsNonDate="0" containsDate="1" containsString="0" minDate="2024-01-01T00:00:00" maxDate="2025-01-01T00:00:00"/>
    </cacheField>
    <cacheField name="Customer_Name" numFmtId="0">
      <sharedItems/>
    </cacheField>
    <cacheField name="Region" numFmtId="0">
      <sharedItems/>
    </cacheField>
    <cacheField name="City" numFmtId="0">
      <sharedItems/>
    </cacheField>
    <cacheField name="Customer_Segment" numFmtId="0">
      <sharedItems/>
    </cacheField>
    <cacheField name="Product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12"/>
    </cacheField>
    <cacheField name="Unit_Price" numFmtId="0">
      <sharedItems containsSemiMixedTypes="0" containsString="0" containsNumber="1" minValue="12.49" maxValue="1199.6600000000001"/>
    </cacheField>
    <cacheField name="Discount" numFmtId="0">
      <sharedItems containsSemiMixedTypes="0" containsString="0" containsNumber="1" minValue="0" maxValue="0.15"/>
    </cacheField>
    <cacheField name="Sales_Amount" numFmtId="0">
      <sharedItems containsSemiMixedTypes="0" containsString="0" containsNumber="1" minValue="27.78" maxValue="13608.86"/>
    </cacheField>
    <cacheField name="Cost_Amount" numFmtId="0">
      <sharedItems containsSemiMixedTypes="0" containsString="0" containsNumber="1" minValue="17.27" maxValue="10086.07"/>
    </cacheField>
    <cacheField name="Profit" numFmtId="0">
      <sharedItems containsSemiMixedTypes="0" containsString="0" containsNumber="1" minValue="6" maxValue="5671.23"/>
    </cacheField>
    <cacheField name="Payment_Method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Monthly Sale" numFmtId="0">
      <sharedItems/>
    </cacheField>
    <cacheField name="Quarterly Sale " numFmtId="0">
      <sharedItems count="4">
        <s v="Q1"/>
        <s v="Q3"/>
        <s v="Q2"/>
        <s v="Q4"/>
      </sharedItems>
    </cacheField>
    <cacheField name="Yearly Sale" numFmtId="0">
      <sharedItems containsSemiMixedTypes="0" containsString="0" containsNumber="1" containsInteger="1" minValue="2024" maxValue="2024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SAL-1001"/>
    <d v="2024-01-20T00:00:00"/>
    <s v="Toni Watson"/>
    <x v="0"/>
    <s v="Port Harcourt"/>
    <s v="Home Office"/>
    <s v="Electronics"/>
    <s v="Tablet"/>
    <n v="2"/>
    <n v="925.06"/>
    <n v="0.1"/>
    <n v="1665.11"/>
    <n v="895.32"/>
    <n v="769.79"/>
    <s v="Transfer"/>
    <n v="3"/>
    <s v="January"/>
    <s v="Q1"/>
    <n v="2024"/>
    <m/>
  </r>
  <r>
    <s v="SAL-1002"/>
    <d v="2024-03-24T00:00:00"/>
    <s v="Richard Green"/>
    <x v="1"/>
    <s v="Ibadan"/>
    <s v="Consumer"/>
    <s v="Electronics"/>
    <s v="Phone"/>
    <n v="3"/>
    <n v="411.29"/>
    <n v="0.1"/>
    <n v="1110.48"/>
    <n v="827.96"/>
    <n v="282.52"/>
    <s v="Mobile Payment"/>
    <n v="1"/>
    <s v="March"/>
    <s v="Q1"/>
    <n v="2024"/>
    <m/>
  </r>
  <r>
    <s v="SAL-1003"/>
    <d v="2024-03-13T00:00:00"/>
    <s v="Richard Baker"/>
    <x v="2"/>
    <s v="Lagos"/>
    <s v="Corporate"/>
    <s v="Electronics"/>
    <s v="Tablet"/>
    <n v="12"/>
    <n v="543.5"/>
    <n v="0"/>
    <n v="6522"/>
    <n v="3472.75"/>
    <n v="3049.25"/>
    <s v="Mobile Payment"/>
    <n v="5"/>
    <s v="March"/>
    <s v="Q1"/>
    <n v="2024"/>
    <m/>
  </r>
  <r>
    <s v="SAL-1004"/>
    <d v="2024-09-04T00:00:00"/>
    <s v="Marcus Goodman"/>
    <x v="2"/>
    <s v="Port Harcourt"/>
    <s v="Home Office"/>
    <s v="Clothing"/>
    <s v="Sneakers"/>
    <n v="8"/>
    <n v="1007.03"/>
    <n v="0.1"/>
    <n v="7250.62"/>
    <n v="4496.92"/>
    <n v="2753.7"/>
    <s v="Transfer"/>
    <n v="1"/>
    <s v="September"/>
    <s v="Q3"/>
    <n v="2024"/>
    <m/>
  </r>
  <r>
    <s v="SAL-1005"/>
    <d v="2024-08-02T00:00:00"/>
    <s v="Ronald Nelson"/>
    <x v="3"/>
    <s v="Port Harcourt"/>
    <s v="Consumer"/>
    <s v="Clothing"/>
    <s v="Jacket"/>
    <n v="9"/>
    <n v="526.91999999999996"/>
    <n v="0.15"/>
    <n v="4030.94"/>
    <n v="2749.96"/>
    <n v="1280.98"/>
    <s v="Card"/>
    <n v="1"/>
    <s v="August"/>
    <s v="Q3"/>
    <n v="2024"/>
    <m/>
  </r>
  <r>
    <s v="SAL-1006"/>
    <d v="2024-02-07T00:00:00"/>
    <s v="Jennifer Levy"/>
    <x v="0"/>
    <s v="Ibadan"/>
    <s v="Home Office"/>
    <s v="Clothing"/>
    <s v="Jacket"/>
    <n v="5"/>
    <n v="212.45"/>
    <n v="0.1"/>
    <n v="956.02"/>
    <n v="663.45"/>
    <n v="292.57"/>
    <s v="Transfer"/>
    <n v="1"/>
    <s v="February"/>
    <s v="Q1"/>
    <n v="2024"/>
    <m/>
  </r>
  <r>
    <s v="SAL-1007"/>
    <d v="2024-06-29T00:00:00"/>
    <s v="Rebekah Jones"/>
    <x v="2"/>
    <s v="Ibadan"/>
    <s v="Home Office"/>
    <s v="Furniture"/>
    <s v="Cabinet"/>
    <n v="2"/>
    <n v="999.61"/>
    <n v="0.1"/>
    <n v="1799.3"/>
    <n v="907.73"/>
    <n v="891.57"/>
    <s v="Cash"/>
    <n v="3"/>
    <s v="June"/>
    <s v="Q2"/>
    <n v="2024"/>
    <m/>
  </r>
  <r>
    <s v="SAL-1008"/>
    <d v="2024-03-19T00:00:00"/>
    <s v="Thomas Perez"/>
    <x v="4"/>
    <s v="Ibadan"/>
    <s v="Corporate"/>
    <s v="Clothing"/>
    <s v="Jacket"/>
    <n v="12"/>
    <n v="287.70999999999998"/>
    <n v="0.15"/>
    <n v="2934.64"/>
    <n v="2474.59"/>
    <n v="460.05"/>
    <s v="Mobile Payment"/>
    <n v="1"/>
    <s v="March"/>
    <s v="Q1"/>
    <n v="2024"/>
    <m/>
  </r>
  <r>
    <s v="SAL-1009"/>
    <d v="2024-12-16T00:00:00"/>
    <s v="Lisa Johnson"/>
    <x v="3"/>
    <s v="Ibadan"/>
    <s v="Home Office"/>
    <s v="Electronics"/>
    <s v="Phone"/>
    <n v="8"/>
    <n v="239.88"/>
    <n v="0.1"/>
    <n v="1727.14"/>
    <n v="1346.5"/>
    <n v="380.64"/>
    <s v="Mobile Payment"/>
    <n v="1"/>
    <s v="December"/>
    <s v="Q4"/>
    <n v="2024"/>
    <m/>
  </r>
  <r>
    <s v="SAL-1010"/>
    <d v="2024-01-05T00:00:00"/>
    <s v="Eric Myers"/>
    <x v="4"/>
    <s v="Ibadan"/>
    <s v="Consumer"/>
    <s v="Electronics"/>
    <s v="Laptop"/>
    <n v="9"/>
    <n v="432.52"/>
    <n v="0"/>
    <n v="3892.68"/>
    <n v="2059.29"/>
    <n v="1833.39"/>
    <s v="Mobile Payment"/>
    <n v="1"/>
    <s v="January"/>
    <s v="Q1"/>
    <n v="2024"/>
    <m/>
  </r>
  <r>
    <s v="SAL-1011"/>
    <d v="2024-01-13T00:00:00"/>
    <s v="Kyle Ellis"/>
    <x v="2"/>
    <s v="Ibadan"/>
    <s v="Consumer"/>
    <s v="Office Supplies"/>
    <s v="Pen"/>
    <n v="8"/>
    <n v="49.31"/>
    <n v="0.1"/>
    <n v="355.03"/>
    <n v="228.97"/>
    <n v="126.06"/>
    <s v="Card"/>
    <n v="3"/>
    <s v="January"/>
    <s v="Q1"/>
    <n v="2024"/>
    <m/>
  </r>
  <r>
    <s v="SAL-1012"/>
    <d v="2024-07-17T00:00:00"/>
    <s v="Scott Nguyen"/>
    <x v="4"/>
    <s v="Kano"/>
    <s v="Consumer"/>
    <s v="Furniture"/>
    <s v="Cabinet"/>
    <n v="2"/>
    <n v="991.46"/>
    <n v="0"/>
    <n v="1982.92"/>
    <n v="1517.57"/>
    <n v="465.35"/>
    <s v="Transfer"/>
    <n v="4"/>
    <s v="July"/>
    <s v="Q3"/>
    <n v="2024"/>
    <m/>
  </r>
  <r>
    <s v="SAL-1013"/>
    <d v="2024-10-28T00:00:00"/>
    <s v="Daniel Rogers"/>
    <x v="0"/>
    <s v="Ibadan"/>
    <s v="Consumer"/>
    <s v="Office Supplies"/>
    <s v="Notebook"/>
    <n v="9"/>
    <n v="1170.17"/>
    <n v="0"/>
    <n v="10531.53"/>
    <n v="7586.56"/>
    <n v="2944.97"/>
    <s v="Card"/>
    <n v="4"/>
    <s v="October"/>
    <s v="Q4"/>
    <n v="2024"/>
    <m/>
  </r>
  <r>
    <s v="SAL-1014"/>
    <d v="2024-01-15T00:00:00"/>
    <s v="Jessica Garcia"/>
    <x v="2"/>
    <s v="Port Harcourt"/>
    <s v="Corporate"/>
    <s v="Electronics"/>
    <s v="Tablet"/>
    <n v="8"/>
    <n v="1046.58"/>
    <n v="0.15"/>
    <n v="7116.74"/>
    <n v="4315.1099999999997"/>
    <n v="2801.63"/>
    <s v="Card"/>
    <n v="3"/>
    <s v="January"/>
    <s v="Q1"/>
    <n v="2024"/>
    <m/>
  </r>
  <r>
    <s v="SAL-1015"/>
    <d v="2024-09-16T00:00:00"/>
    <s v="Jane Nguyen"/>
    <x v="2"/>
    <s v="Abuja"/>
    <s v="Corporate"/>
    <s v="Electronics"/>
    <s v="Tablet"/>
    <n v="4"/>
    <n v="1073.19"/>
    <n v="0.1"/>
    <n v="3863.48"/>
    <n v="2057.3000000000002"/>
    <n v="1806.18"/>
    <s v="Transfer"/>
    <n v="4"/>
    <s v="September"/>
    <s v="Q3"/>
    <n v="2024"/>
    <m/>
  </r>
  <r>
    <s v="SAL-1016"/>
    <d v="2024-10-16T00:00:00"/>
    <s v="Jeremy Matthews"/>
    <x v="2"/>
    <s v="Lagos"/>
    <s v="Home Office"/>
    <s v="Electronics"/>
    <s v="Laptop"/>
    <n v="4"/>
    <n v="611.11"/>
    <n v="0"/>
    <n v="2444.44"/>
    <n v="1388.34"/>
    <n v="1056.0999999999999"/>
    <s v="Transfer"/>
    <n v="1"/>
    <s v="October"/>
    <s v="Q4"/>
    <n v="2024"/>
    <m/>
  </r>
  <r>
    <s v="SAL-1017"/>
    <d v="2024-09-04T00:00:00"/>
    <s v="Wendy Scott"/>
    <x v="0"/>
    <s v="Ibadan"/>
    <s v="Consumer"/>
    <s v="Office Supplies"/>
    <s v="Paper"/>
    <n v="9"/>
    <n v="168.83"/>
    <n v="0.05"/>
    <n v="1443.5"/>
    <n v="1118.9000000000001"/>
    <n v="324.60000000000002"/>
    <s v="Transfer"/>
    <n v="5"/>
    <s v="September"/>
    <s v="Q3"/>
    <n v="2024"/>
    <m/>
  </r>
  <r>
    <s v="SAL-1018"/>
    <d v="2024-01-04T00:00:00"/>
    <s v="Mike Lloyd"/>
    <x v="4"/>
    <s v="Port Harcourt"/>
    <s v="Corporate"/>
    <s v="Clothing"/>
    <s v="Sneakers"/>
    <n v="7"/>
    <n v="1098.25"/>
    <n v="0.05"/>
    <n v="7303.36"/>
    <n v="5210.3100000000004"/>
    <n v="2093.0500000000002"/>
    <s v="Transfer"/>
    <n v="5"/>
    <s v="January"/>
    <s v="Q1"/>
    <n v="2024"/>
    <m/>
  </r>
  <r>
    <s v="SAL-1019"/>
    <d v="2024-08-03T00:00:00"/>
    <s v="Joseph Ramirez"/>
    <x v="3"/>
    <s v="Kano"/>
    <s v="Consumer"/>
    <s v="Electronics"/>
    <s v="Laptop"/>
    <n v="6"/>
    <n v="1035.3599999999999"/>
    <n v="0.1"/>
    <n v="5590.94"/>
    <n v="4669.49"/>
    <n v="921.45"/>
    <s v="Mobile Payment"/>
    <n v="3"/>
    <s v="August"/>
    <s v="Q3"/>
    <n v="2024"/>
    <m/>
  </r>
  <r>
    <s v="SAL-1020"/>
    <d v="2024-07-11T00:00:00"/>
    <s v="Joseph Hutchinson"/>
    <x v="4"/>
    <s v="Kano"/>
    <s v="Consumer"/>
    <s v="Furniture"/>
    <s v="Desk"/>
    <n v="7"/>
    <n v="1172.9000000000001"/>
    <n v="0"/>
    <n v="8210.2999999999993"/>
    <n v="6523.65"/>
    <n v="1686.65"/>
    <s v="Mobile Payment"/>
    <n v="3"/>
    <s v="July"/>
    <s v="Q3"/>
    <n v="2024"/>
    <m/>
  </r>
  <r>
    <s v="SAL-1021"/>
    <d v="2024-07-13T00:00:00"/>
    <s v="James Villanueva"/>
    <x v="1"/>
    <s v="Port Harcourt"/>
    <s v="Corporate"/>
    <s v="Electronics"/>
    <s v="Tablet"/>
    <n v="2"/>
    <n v="1090.77"/>
    <n v="0.1"/>
    <n v="1963.39"/>
    <n v="1019.43"/>
    <n v="943.96"/>
    <s v="Transfer"/>
    <n v="1"/>
    <s v="July"/>
    <s v="Q3"/>
    <n v="2024"/>
    <m/>
  </r>
  <r>
    <s v="SAL-1022"/>
    <d v="2024-08-12T00:00:00"/>
    <s v="David Lopez"/>
    <x v="4"/>
    <s v="Port Harcourt"/>
    <s v="Corporate"/>
    <s v="Clothing"/>
    <s v="Jacket"/>
    <n v="12"/>
    <n v="396.39"/>
    <n v="0.15"/>
    <n v="4043.18"/>
    <n v="2397.89"/>
    <n v="1645.29"/>
    <s v="Card"/>
    <n v="4"/>
    <s v="August"/>
    <s v="Q3"/>
    <n v="2024"/>
    <m/>
  </r>
  <r>
    <s v="SAL-1023"/>
    <d v="2024-09-11T00:00:00"/>
    <s v="Kaitlyn Williams"/>
    <x v="2"/>
    <s v="Ibadan"/>
    <s v="Home Office"/>
    <s v="Office Supplies"/>
    <s v="Pen"/>
    <n v="1"/>
    <n v="226.82"/>
    <n v="0"/>
    <n v="226.82"/>
    <n v="147.4"/>
    <n v="79.42"/>
    <s v="Cash"/>
    <n v="4"/>
    <s v="September"/>
    <s v="Q3"/>
    <n v="2024"/>
    <m/>
  </r>
  <r>
    <s v="SAL-1024"/>
    <d v="2024-01-17T00:00:00"/>
    <s v="Lori Simon"/>
    <x v="0"/>
    <s v="Port Harcourt"/>
    <s v="Home Office"/>
    <s v="Furniture"/>
    <s v="Chair"/>
    <n v="6"/>
    <n v="1070.92"/>
    <n v="0.05"/>
    <n v="6104.24"/>
    <n v="4329.08"/>
    <n v="1775.16"/>
    <s v="Transfer"/>
    <n v="5"/>
    <s v="January"/>
    <s v="Q1"/>
    <n v="2024"/>
    <m/>
  </r>
  <r>
    <s v="SAL-1025"/>
    <d v="2024-05-25T00:00:00"/>
    <s v="Kendra Boyd"/>
    <x v="2"/>
    <s v="Ibadan"/>
    <s v="Corporate"/>
    <s v="Electronics"/>
    <s v="Tablet"/>
    <n v="12"/>
    <n v="469.94"/>
    <n v="0"/>
    <n v="5639.28"/>
    <n v="4539.93"/>
    <n v="1099.3499999999999"/>
    <s v="Mobile Payment"/>
    <n v="1"/>
    <s v="May"/>
    <s v="Q2"/>
    <n v="2024"/>
    <m/>
  </r>
  <r>
    <s v="SAL-1026"/>
    <d v="2024-03-25T00:00:00"/>
    <s v="Tammy Henry"/>
    <x v="4"/>
    <s v="Abuja"/>
    <s v="Corporate"/>
    <s v="Electronics"/>
    <s v="Printer"/>
    <n v="11"/>
    <n v="206.08"/>
    <n v="0"/>
    <n v="2266.88"/>
    <n v="1347.22"/>
    <n v="919.66"/>
    <s v="Mobile Payment"/>
    <n v="4"/>
    <s v="March"/>
    <s v="Q1"/>
    <n v="2024"/>
    <m/>
  </r>
  <r>
    <s v="SAL-1027"/>
    <d v="2024-10-12T00:00:00"/>
    <s v="Jose Weeks"/>
    <x v="3"/>
    <s v="Abuja"/>
    <s v="Home Office"/>
    <s v="Furniture"/>
    <s v="Chair"/>
    <n v="9"/>
    <n v="119.67"/>
    <n v="0.15"/>
    <n v="915.48"/>
    <n v="654.11"/>
    <n v="261.37"/>
    <s v="Cash"/>
    <n v="4"/>
    <s v="October"/>
    <s v="Q4"/>
    <n v="2024"/>
    <m/>
  </r>
  <r>
    <s v="SAL-1028"/>
    <d v="2024-08-11T00:00:00"/>
    <s v="Sara Lara"/>
    <x v="4"/>
    <s v="Kano"/>
    <s v="Consumer"/>
    <s v="Clothing"/>
    <s v="Sneakers"/>
    <n v="2"/>
    <n v="81.58"/>
    <n v="0.15"/>
    <n v="138.69"/>
    <n v="106.32"/>
    <n v="32.369999999999997"/>
    <s v="Mobile Payment"/>
    <n v="2"/>
    <s v="August"/>
    <s v="Q3"/>
    <n v="2024"/>
    <m/>
  </r>
  <r>
    <s v="SAL-1029"/>
    <d v="2024-02-07T00:00:00"/>
    <s v="Matthew Small"/>
    <x v="0"/>
    <s v="Lagos"/>
    <s v="Consumer"/>
    <s v="Furniture"/>
    <s v="Desk"/>
    <n v="4"/>
    <n v="1167.1500000000001"/>
    <n v="0.05"/>
    <n v="4435.17"/>
    <n v="3630.22"/>
    <n v="804.95"/>
    <s v="Mobile Payment"/>
    <n v="3"/>
    <s v="February"/>
    <s v="Q1"/>
    <n v="2024"/>
    <m/>
  </r>
  <r>
    <s v="SAL-1030"/>
    <d v="2024-04-05T00:00:00"/>
    <s v="Wanda Goodman"/>
    <x v="3"/>
    <s v="Lagos"/>
    <s v="Corporate"/>
    <s v="Electronics"/>
    <s v="Laptop"/>
    <n v="4"/>
    <n v="879.62"/>
    <n v="0.15"/>
    <n v="2990.71"/>
    <n v="2226.85"/>
    <n v="763.86"/>
    <s v="Transfer"/>
    <n v="2"/>
    <s v="April"/>
    <s v="Q2"/>
    <n v="2024"/>
    <m/>
  </r>
  <r>
    <s v="SAL-1031"/>
    <d v="2024-12-05T00:00:00"/>
    <s v="Teresa Herrera"/>
    <x v="0"/>
    <s v="Ibadan"/>
    <s v="Home Office"/>
    <s v="Electronics"/>
    <s v="Tablet"/>
    <n v="3"/>
    <n v="564.41999999999996"/>
    <n v="0.15"/>
    <n v="1439.27"/>
    <n v="831.49"/>
    <n v="607.78"/>
    <s v="Card"/>
    <n v="4"/>
    <s v="December"/>
    <s v="Q4"/>
    <n v="2024"/>
    <m/>
  </r>
  <r>
    <s v="SAL-1032"/>
    <d v="2024-02-24T00:00:00"/>
    <s v="Jessica Townsend"/>
    <x v="2"/>
    <s v="Lagos"/>
    <s v="Corporate"/>
    <s v="Electronics"/>
    <s v="Printer"/>
    <n v="1"/>
    <n v="351.28"/>
    <n v="0.15"/>
    <n v="298.58999999999997"/>
    <n v="225.71"/>
    <n v="72.88"/>
    <s v="Transfer"/>
    <n v="5"/>
    <s v="February"/>
    <s v="Q1"/>
    <n v="2024"/>
    <m/>
  </r>
  <r>
    <s v="SAL-1033"/>
    <d v="2024-01-25T00:00:00"/>
    <s v="Melissa Eaton"/>
    <x v="1"/>
    <s v="Port Harcourt"/>
    <s v="Consumer"/>
    <s v="Electronics"/>
    <s v="Printer"/>
    <n v="9"/>
    <n v="430.08"/>
    <n v="0.1"/>
    <n v="3483.65"/>
    <n v="2001.99"/>
    <n v="1481.66"/>
    <s v="Transfer"/>
    <n v="1"/>
    <s v="January"/>
    <s v="Q1"/>
    <n v="2024"/>
    <m/>
  </r>
  <r>
    <s v="SAL-1034"/>
    <d v="2024-01-03T00:00:00"/>
    <s v="Kathy Harris"/>
    <x v="2"/>
    <s v="Lagos"/>
    <s v="Corporate"/>
    <s v="Furniture"/>
    <s v="Chair"/>
    <n v="3"/>
    <n v="508.36"/>
    <n v="0.15"/>
    <n v="1296.32"/>
    <n v="711.94"/>
    <n v="584.38"/>
    <s v="Cash"/>
    <n v="1"/>
    <s v="January"/>
    <s v="Q1"/>
    <n v="2024"/>
    <m/>
  </r>
  <r>
    <s v="SAL-1035"/>
    <d v="2024-01-31T00:00:00"/>
    <s v="Kelsey Craig"/>
    <x v="1"/>
    <s v="Abuja"/>
    <s v="Consumer"/>
    <s v="Furniture"/>
    <s v="Desk"/>
    <n v="8"/>
    <n v="521.94000000000005"/>
    <n v="0.05"/>
    <n v="3966.74"/>
    <n v="2901.5"/>
    <n v="1065.24"/>
    <s v="Mobile Payment"/>
    <n v="1"/>
    <s v="January"/>
    <s v="Q1"/>
    <n v="2024"/>
    <m/>
  </r>
  <r>
    <s v="SAL-1036"/>
    <d v="2024-04-30T00:00:00"/>
    <s v="Nicole Young"/>
    <x v="0"/>
    <s v="Kano"/>
    <s v="Home Office"/>
    <s v="Furniture"/>
    <s v="Cabinet"/>
    <n v="1"/>
    <n v="437.13"/>
    <n v="0.05"/>
    <n v="415.27"/>
    <n v="326.37"/>
    <n v="88.9"/>
    <s v="Card"/>
    <n v="1"/>
    <s v="April"/>
    <s v="Q2"/>
    <n v="2024"/>
    <m/>
  </r>
  <r>
    <s v="SAL-1037"/>
    <d v="2024-02-01T00:00:00"/>
    <s v="Maria Johns"/>
    <x v="1"/>
    <s v="Port Harcourt"/>
    <s v="Consumer"/>
    <s v="Electronics"/>
    <s v="Tablet"/>
    <n v="6"/>
    <n v="806.29"/>
    <n v="0.1"/>
    <n v="4353.97"/>
    <n v="3376.12"/>
    <n v="977.85"/>
    <s v="Cash"/>
    <n v="2"/>
    <s v="February"/>
    <s v="Q1"/>
    <n v="2024"/>
    <m/>
  </r>
  <r>
    <s v="SAL-1038"/>
    <d v="2024-11-05T00:00:00"/>
    <s v="Shannon Williams"/>
    <x v="4"/>
    <s v="Kano"/>
    <s v="Corporate"/>
    <s v="Office Supplies"/>
    <s v="Notebook"/>
    <n v="3"/>
    <n v="673.23"/>
    <n v="0"/>
    <n v="2019.69"/>
    <n v="1564.75"/>
    <n v="454.94"/>
    <s v="Transfer"/>
    <n v="3"/>
    <s v="November"/>
    <s v="Q4"/>
    <n v="2024"/>
    <m/>
  </r>
  <r>
    <s v="SAL-1039"/>
    <d v="2024-01-02T00:00:00"/>
    <s v="Colton Harris"/>
    <x v="3"/>
    <s v="Port Harcourt"/>
    <s v="Consumer"/>
    <s v="Furniture"/>
    <s v="Chair"/>
    <n v="1"/>
    <n v="727.16"/>
    <n v="0.1"/>
    <n v="654.44000000000005"/>
    <n v="399.02"/>
    <n v="255.42"/>
    <s v="Transfer"/>
    <n v="1"/>
    <s v="January"/>
    <s v="Q1"/>
    <n v="2024"/>
    <m/>
  </r>
  <r>
    <s v="SAL-1040"/>
    <d v="2024-11-01T00:00:00"/>
    <s v="Jennifer Nolan"/>
    <x v="4"/>
    <s v="Abuja"/>
    <s v="Corporate"/>
    <s v="Clothing"/>
    <s v="Jacket"/>
    <n v="3"/>
    <n v="735.91"/>
    <n v="0.15"/>
    <n v="1876.57"/>
    <n v="1503.2"/>
    <n v="373.37"/>
    <s v="Cash"/>
    <n v="2"/>
    <s v="November"/>
    <s v="Q4"/>
    <n v="2024"/>
    <m/>
  </r>
  <r>
    <s v="SAL-1041"/>
    <d v="2024-10-10T00:00:00"/>
    <s v="Megan Sullivan"/>
    <x v="4"/>
    <s v="Abuja"/>
    <s v="Corporate"/>
    <s v="Furniture"/>
    <s v="Cabinet"/>
    <n v="6"/>
    <n v="518.57000000000005"/>
    <n v="0.15"/>
    <n v="2644.71"/>
    <n v="1584.59"/>
    <n v="1060.1199999999999"/>
    <s v="Cash"/>
    <n v="3"/>
    <s v="October"/>
    <s v="Q4"/>
    <n v="2024"/>
    <m/>
  </r>
  <r>
    <s v="SAL-1042"/>
    <d v="2024-12-31T00:00:00"/>
    <s v="Patricia Peters"/>
    <x v="4"/>
    <s v="Lagos"/>
    <s v="Corporate"/>
    <s v="Electronics"/>
    <s v="Phone"/>
    <n v="4"/>
    <n v="444.97"/>
    <n v="0"/>
    <n v="1779.88"/>
    <n v="974.9"/>
    <n v="804.98"/>
    <s v="Cash"/>
    <n v="1"/>
    <s v="December"/>
    <s v="Q4"/>
    <n v="2024"/>
    <m/>
  </r>
  <r>
    <s v="SAL-1043"/>
    <d v="2024-11-13T00:00:00"/>
    <s v="Dustin Henderson"/>
    <x v="3"/>
    <s v="Port Harcourt"/>
    <s v="Home Office"/>
    <s v="Office Supplies"/>
    <s v="Notebook"/>
    <n v="5"/>
    <n v="439.77"/>
    <n v="0.1"/>
    <n v="1978.96"/>
    <n v="1273.98"/>
    <n v="704.98"/>
    <s v="Cash"/>
    <n v="5"/>
    <s v="November"/>
    <s v="Q4"/>
    <n v="2024"/>
    <m/>
  </r>
  <r>
    <s v="SAL-1044"/>
    <d v="2024-04-30T00:00:00"/>
    <s v="George Kent"/>
    <x v="1"/>
    <s v="Lagos"/>
    <s v="Consumer"/>
    <s v="Electronics"/>
    <s v="Tablet"/>
    <n v="5"/>
    <n v="961.1"/>
    <n v="0.1"/>
    <n v="4324.95"/>
    <n v="2827.77"/>
    <n v="1497.18"/>
    <s v="Cash"/>
    <n v="4"/>
    <s v="April"/>
    <s v="Q2"/>
    <n v="2024"/>
    <m/>
  </r>
  <r>
    <s v="SAL-1045"/>
    <d v="2024-07-31T00:00:00"/>
    <s v="Margaret Franklin"/>
    <x v="2"/>
    <s v="Abuja"/>
    <s v="Consumer"/>
    <s v="Clothing"/>
    <s v="Sneakers"/>
    <n v="11"/>
    <n v="224.55"/>
    <n v="0.05"/>
    <n v="2346.5500000000002"/>
    <n v="1491.46"/>
    <n v="855.09"/>
    <s v="Mobile Payment"/>
    <n v="2"/>
    <s v="July"/>
    <s v="Q3"/>
    <n v="2024"/>
    <m/>
  </r>
  <r>
    <s v="SAL-1046"/>
    <d v="2024-07-18T00:00:00"/>
    <s v="Renee Marshall"/>
    <x v="3"/>
    <s v="Lagos"/>
    <s v="Consumer"/>
    <s v="Electronics"/>
    <s v="Phone"/>
    <n v="9"/>
    <n v="327.35000000000002"/>
    <n v="0.05"/>
    <n v="2798.84"/>
    <n v="2160.9499999999998"/>
    <n v="637.89"/>
    <s v="Cash"/>
    <n v="5"/>
    <s v="July"/>
    <s v="Q3"/>
    <n v="2024"/>
    <m/>
  </r>
  <r>
    <s v="SAL-1047"/>
    <d v="2024-06-08T00:00:00"/>
    <s v="Tracy Garza"/>
    <x v="4"/>
    <s v="Port Harcourt"/>
    <s v="Home Office"/>
    <s v="Clothing"/>
    <s v="Sneakers"/>
    <n v="10"/>
    <n v="73.739999999999995"/>
    <n v="0.05"/>
    <n v="700.53"/>
    <n v="564.80999999999995"/>
    <n v="135.72"/>
    <s v="Transfer"/>
    <n v="1"/>
    <s v="June"/>
    <s v="Q2"/>
    <n v="2024"/>
    <m/>
  </r>
  <r>
    <s v="SAL-1048"/>
    <d v="2024-09-11T00:00:00"/>
    <s v="Logan Nelson"/>
    <x v="1"/>
    <s v="Ibadan"/>
    <s v="Consumer"/>
    <s v="Furniture"/>
    <s v="Chair"/>
    <n v="5"/>
    <n v="1057.47"/>
    <n v="0.05"/>
    <n v="5022.9799999999996"/>
    <n v="3262.13"/>
    <n v="1760.85"/>
    <s v="Card"/>
    <n v="2"/>
    <s v="September"/>
    <s v="Q3"/>
    <n v="2024"/>
    <m/>
  </r>
  <r>
    <s v="SAL-1049"/>
    <d v="2024-08-10T00:00:00"/>
    <s v="Robin Foster"/>
    <x v="4"/>
    <s v="Kano"/>
    <s v="Consumer"/>
    <s v="Electronics"/>
    <s v="Phone"/>
    <n v="2"/>
    <n v="544.28"/>
    <n v="0.05"/>
    <n v="1034.1300000000001"/>
    <n v="662.1"/>
    <n v="372.03"/>
    <s v="Card"/>
    <n v="1"/>
    <s v="August"/>
    <s v="Q3"/>
    <n v="2024"/>
    <m/>
  </r>
  <r>
    <s v="SAL-1050"/>
    <d v="2024-01-19T00:00:00"/>
    <s v="Vincent Daniels"/>
    <x v="2"/>
    <s v="Port Harcourt"/>
    <s v="Consumer"/>
    <s v="Clothing"/>
    <s v="T-Shirt"/>
    <n v="9"/>
    <n v="1111.72"/>
    <n v="0"/>
    <n v="10005.48"/>
    <n v="5731.95"/>
    <n v="4273.53"/>
    <s v="Cash"/>
    <n v="4"/>
    <s v="January"/>
    <s v="Q1"/>
    <n v="2024"/>
    <m/>
  </r>
  <r>
    <s v="SAL-1051"/>
    <d v="2024-07-26T00:00:00"/>
    <s v="Michael Gonzalez"/>
    <x v="0"/>
    <s v="Lagos"/>
    <s v="Consumer"/>
    <s v="Clothing"/>
    <s v="Jacket"/>
    <n v="7"/>
    <n v="407.17"/>
    <n v="0.05"/>
    <n v="2707.68"/>
    <n v="1963.13"/>
    <n v="744.55"/>
    <s v="Cash"/>
    <n v="2"/>
    <s v="July"/>
    <s v="Q3"/>
    <n v="2024"/>
    <m/>
  </r>
  <r>
    <s v="SAL-1052"/>
    <d v="2024-08-03T00:00:00"/>
    <s v="Jennifer Kim"/>
    <x v="3"/>
    <s v="Kano"/>
    <s v="Corporate"/>
    <s v="Furniture"/>
    <s v="Cabinet"/>
    <n v="11"/>
    <n v="171.77"/>
    <n v="0.1"/>
    <n v="1700.52"/>
    <n v="1067.3800000000001"/>
    <n v="633.14"/>
    <s v="Card"/>
    <n v="5"/>
    <s v="August"/>
    <s v="Q3"/>
    <n v="2024"/>
    <m/>
  </r>
  <r>
    <s v="SAL-1053"/>
    <d v="2024-11-01T00:00:00"/>
    <s v="Janet Cuevas"/>
    <x v="4"/>
    <s v="Lagos"/>
    <s v="Corporate"/>
    <s v="Electronics"/>
    <s v="Laptop"/>
    <n v="10"/>
    <n v="728.65"/>
    <n v="0.05"/>
    <n v="6922.17"/>
    <n v="4720.3"/>
    <n v="2201.87"/>
    <s v="Card"/>
    <n v="5"/>
    <s v="November"/>
    <s v="Q4"/>
    <n v="2024"/>
    <m/>
  </r>
  <r>
    <s v="SAL-1054"/>
    <d v="2024-05-25T00:00:00"/>
    <s v="Deanna Freeman"/>
    <x v="4"/>
    <s v="Port Harcourt"/>
    <s v="Home Office"/>
    <s v="Clothing"/>
    <s v="T-Shirt"/>
    <n v="6"/>
    <n v="362.55"/>
    <n v="0.15"/>
    <n v="1849.01"/>
    <n v="1166.2"/>
    <n v="682.81"/>
    <s v="Transfer"/>
    <n v="2"/>
    <s v="May"/>
    <s v="Q2"/>
    <n v="2024"/>
    <m/>
  </r>
  <r>
    <s v="SAL-1055"/>
    <d v="2024-07-09T00:00:00"/>
    <s v="Jimmy Thomas"/>
    <x v="0"/>
    <s v="Abuja"/>
    <s v="Consumer"/>
    <s v="Furniture"/>
    <s v="Desk"/>
    <n v="6"/>
    <n v="72.34"/>
    <n v="0"/>
    <n v="434.04"/>
    <n v="291.58"/>
    <n v="142.46"/>
    <s v="Cash"/>
    <n v="2"/>
    <s v="July"/>
    <s v="Q3"/>
    <n v="2024"/>
    <m/>
  </r>
  <r>
    <s v="SAL-1056"/>
    <d v="2024-09-06T00:00:00"/>
    <s v="Nicholas Massey"/>
    <x v="4"/>
    <s v="Abuja"/>
    <s v="Home Office"/>
    <s v="Clothing"/>
    <s v="T-Shirt"/>
    <n v="9"/>
    <n v="818.76"/>
    <n v="0"/>
    <n v="7368.84"/>
    <n v="5653.66"/>
    <n v="1715.18"/>
    <s v="Mobile Payment"/>
    <n v="3"/>
    <s v="September"/>
    <s v="Q3"/>
    <n v="2024"/>
    <m/>
  </r>
  <r>
    <s v="SAL-1057"/>
    <d v="2024-09-03T00:00:00"/>
    <s v="Stephanie Webster"/>
    <x v="2"/>
    <s v="Abuja"/>
    <s v="Consumer"/>
    <s v="Office Supplies"/>
    <s v="Paper"/>
    <n v="11"/>
    <n v="1014.57"/>
    <n v="0.1"/>
    <n v="10044.24"/>
    <n v="6209.8"/>
    <n v="3834.44"/>
    <s v="Cash"/>
    <n v="5"/>
    <s v="September"/>
    <s v="Q3"/>
    <n v="2024"/>
    <m/>
  </r>
  <r>
    <s v="SAL-1058"/>
    <d v="2024-07-23T00:00:00"/>
    <s v="Whitney Holt"/>
    <x v="2"/>
    <s v="Port Harcourt"/>
    <s v="Consumer"/>
    <s v="Furniture"/>
    <s v="Chair"/>
    <n v="1"/>
    <n v="176.96"/>
    <n v="0.05"/>
    <n v="168.11"/>
    <n v="124.39"/>
    <n v="43.72"/>
    <s v="Card"/>
    <n v="4"/>
    <s v="July"/>
    <s v="Q3"/>
    <n v="2024"/>
    <m/>
  </r>
  <r>
    <s v="SAL-1059"/>
    <d v="2024-08-06T00:00:00"/>
    <s v="Kenneth Werner"/>
    <x v="0"/>
    <s v="Ibadan"/>
    <s v="Corporate"/>
    <s v="Electronics"/>
    <s v="Printer"/>
    <n v="3"/>
    <n v="339.26"/>
    <n v="0.15"/>
    <n v="865.11"/>
    <n v="500.62"/>
    <n v="364.49"/>
    <s v="Cash"/>
    <n v="4"/>
    <s v="August"/>
    <s v="Q3"/>
    <n v="2024"/>
    <m/>
  </r>
  <r>
    <s v="SAL-1060"/>
    <d v="2024-02-27T00:00:00"/>
    <s v="James Lam"/>
    <x v="1"/>
    <s v="Kano"/>
    <s v="Corporate"/>
    <s v="Clothing"/>
    <s v="Jacket"/>
    <n v="2"/>
    <n v="1176.56"/>
    <n v="0.15"/>
    <n v="2000.15"/>
    <n v="1324.79"/>
    <n v="675.36"/>
    <s v="Transfer"/>
    <n v="2"/>
    <s v="February"/>
    <s v="Q1"/>
    <n v="2024"/>
    <m/>
  </r>
  <r>
    <s v="SAL-1061"/>
    <d v="2024-03-05T00:00:00"/>
    <s v="Karl Newman"/>
    <x v="0"/>
    <s v="Abuja"/>
    <s v="Home Office"/>
    <s v="Clothing"/>
    <s v="Jacket"/>
    <n v="10"/>
    <n v="837.27"/>
    <n v="0.05"/>
    <n v="7954.07"/>
    <n v="4067.96"/>
    <n v="3886.11"/>
    <s v="Mobile Payment"/>
    <n v="4"/>
    <s v="March"/>
    <s v="Q1"/>
    <n v="2024"/>
    <m/>
  </r>
  <r>
    <s v="SAL-1062"/>
    <d v="2024-07-01T00:00:00"/>
    <s v="Ricardo Wallace"/>
    <x v="4"/>
    <s v="Kano"/>
    <s v="Home Office"/>
    <s v="Electronics"/>
    <s v="Tablet"/>
    <n v="11"/>
    <n v="1115.67"/>
    <n v="0.1"/>
    <n v="11045.13"/>
    <n v="9212.4"/>
    <n v="1832.73"/>
    <s v="Cash"/>
    <n v="3"/>
    <s v="July"/>
    <s v="Q3"/>
    <n v="2024"/>
    <m/>
  </r>
  <r>
    <s v="SAL-1063"/>
    <d v="2024-09-20T00:00:00"/>
    <s v="Francisco Eaton"/>
    <x v="0"/>
    <s v="Ibadan"/>
    <s v="Home Office"/>
    <s v="Furniture"/>
    <s v="Desk"/>
    <n v="2"/>
    <n v="674.5"/>
    <n v="0"/>
    <n v="1349"/>
    <n v="957.76"/>
    <n v="391.24"/>
    <s v="Mobile Payment"/>
    <n v="1"/>
    <s v="September"/>
    <s v="Q3"/>
    <n v="2024"/>
    <m/>
  </r>
  <r>
    <s v="SAL-1064"/>
    <d v="2024-02-29T00:00:00"/>
    <s v="Troy Brock"/>
    <x v="0"/>
    <s v="Lagos"/>
    <s v="Corporate"/>
    <s v="Furniture"/>
    <s v="Desk"/>
    <n v="6"/>
    <n v="282.37"/>
    <n v="0.15"/>
    <n v="1440.09"/>
    <n v="1091.57"/>
    <n v="348.52"/>
    <s v="Mobile Payment"/>
    <n v="1"/>
    <s v="February"/>
    <s v="Q1"/>
    <n v="2024"/>
    <m/>
  </r>
  <r>
    <s v="SAL-1065"/>
    <d v="2024-02-12T00:00:00"/>
    <s v="Megan Mckee"/>
    <x v="1"/>
    <s v="Ibadan"/>
    <s v="Home Office"/>
    <s v="Furniture"/>
    <s v="Chair"/>
    <n v="2"/>
    <n v="833.98"/>
    <n v="0.1"/>
    <n v="1501.16"/>
    <n v="842.48"/>
    <n v="658.68"/>
    <s v="Mobile Payment"/>
    <n v="4"/>
    <s v="February"/>
    <s v="Q1"/>
    <n v="2024"/>
    <m/>
  </r>
  <r>
    <s v="SAL-1066"/>
    <d v="2024-09-16T00:00:00"/>
    <s v="Wendy Robinson"/>
    <x v="0"/>
    <s v="Ibadan"/>
    <s v="Home Office"/>
    <s v="Clothing"/>
    <s v="Jacket"/>
    <n v="1"/>
    <n v="503.39"/>
    <n v="0"/>
    <n v="503.39"/>
    <n v="416.64"/>
    <n v="86.75"/>
    <s v="Transfer"/>
    <n v="3"/>
    <s v="September"/>
    <s v="Q3"/>
    <n v="2024"/>
    <m/>
  </r>
  <r>
    <s v="SAL-1067"/>
    <d v="2024-07-19T00:00:00"/>
    <s v="Marc Munoz"/>
    <x v="4"/>
    <s v="Kano"/>
    <s v="Consumer"/>
    <s v="Office Supplies"/>
    <s v="Notebook"/>
    <n v="6"/>
    <n v="730.77"/>
    <n v="0"/>
    <n v="4384.62"/>
    <n v="2233.69"/>
    <n v="2150.9299999999998"/>
    <s v="Card"/>
    <n v="3"/>
    <s v="July"/>
    <s v="Q3"/>
    <n v="2024"/>
    <m/>
  </r>
  <r>
    <s v="SAL-1068"/>
    <d v="2024-09-30T00:00:00"/>
    <s v="Steven Brown"/>
    <x v="1"/>
    <s v="Port Harcourt"/>
    <s v="Corporate"/>
    <s v="Office Supplies"/>
    <s v="Paper"/>
    <n v="5"/>
    <n v="190.53"/>
    <n v="0.15"/>
    <n v="809.75"/>
    <n v="507.1"/>
    <n v="302.64999999999998"/>
    <s v="Card"/>
    <n v="2"/>
    <s v="September"/>
    <s v="Q3"/>
    <n v="2024"/>
    <m/>
  </r>
  <r>
    <s v="SAL-1069"/>
    <d v="2024-03-24T00:00:00"/>
    <s v="Jessica Miller"/>
    <x v="2"/>
    <s v="Ibadan"/>
    <s v="Corporate"/>
    <s v="Office Supplies"/>
    <s v="Notebook"/>
    <n v="12"/>
    <n v="576.28"/>
    <n v="0.05"/>
    <n v="6569.59"/>
    <n v="5236.5200000000004"/>
    <n v="1333.07"/>
    <s v="Transfer"/>
    <n v="4"/>
    <s v="March"/>
    <s v="Q1"/>
    <n v="2024"/>
    <m/>
  </r>
  <r>
    <s v="SAL-1070"/>
    <d v="2024-07-20T00:00:00"/>
    <s v="Nicole Jimenez"/>
    <x v="0"/>
    <s v="Lagos"/>
    <s v="Home Office"/>
    <s v="Clothing"/>
    <s v="Sneakers"/>
    <n v="5"/>
    <n v="529.27"/>
    <n v="0.1"/>
    <n v="2381.7199999999998"/>
    <n v="1256.99"/>
    <n v="1124.73"/>
    <s v="Transfer"/>
    <n v="4"/>
    <s v="July"/>
    <s v="Q3"/>
    <n v="2024"/>
    <m/>
  </r>
  <r>
    <s v="SAL-1071"/>
    <d v="2024-08-15T00:00:00"/>
    <s v="Victor Barnett"/>
    <x v="4"/>
    <s v="Kano"/>
    <s v="Home Office"/>
    <s v="Furniture"/>
    <s v="Desk"/>
    <n v="1"/>
    <n v="201.61"/>
    <n v="0.15"/>
    <n v="171.37"/>
    <n v="133.07"/>
    <n v="38.299999999999997"/>
    <s v="Card"/>
    <n v="3"/>
    <s v="August"/>
    <s v="Q3"/>
    <n v="2024"/>
    <m/>
  </r>
  <r>
    <s v="SAL-1072"/>
    <d v="2024-02-12T00:00:00"/>
    <s v="Scott Robinson"/>
    <x v="4"/>
    <s v="Ibadan"/>
    <s v="Home Office"/>
    <s v="Furniture"/>
    <s v="Cabinet"/>
    <n v="4"/>
    <n v="1090.57"/>
    <n v="0.15"/>
    <n v="3707.94"/>
    <n v="2902.58"/>
    <n v="805.36"/>
    <s v="Cash"/>
    <n v="3"/>
    <s v="February"/>
    <s v="Q1"/>
    <n v="2024"/>
    <m/>
  </r>
  <r>
    <s v="SAL-1073"/>
    <d v="2024-10-28T00:00:00"/>
    <s v="Megan Rivera"/>
    <x v="2"/>
    <s v="Abuja"/>
    <s v="Corporate"/>
    <s v="Clothing"/>
    <s v="Jacket"/>
    <n v="11"/>
    <n v="1125.3900000000001"/>
    <n v="0.05"/>
    <n v="11760.33"/>
    <n v="7297.31"/>
    <n v="4463.0200000000004"/>
    <s v="Mobile Payment"/>
    <n v="2"/>
    <s v="October"/>
    <s v="Q4"/>
    <n v="2024"/>
    <m/>
  </r>
  <r>
    <s v="SAL-1074"/>
    <d v="2024-10-28T00:00:00"/>
    <s v="Angela Byrd"/>
    <x v="4"/>
    <s v="Lagos"/>
    <s v="Corporate"/>
    <s v="Furniture"/>
    <s v="Chair"/>
    <n v="5"/>
    <n v="744.05"/>
    <n v="0.05"/>
    <n v="3534.24"/>
    <n v="2134.14"/>
    <n v="1400.1"/>
    <s v="Card"/>
    <n v="5"/>
    <s v="October"/>
    <s v="Q4"/>
    <n v="2024"/>
    <m/>
  </r>
  <r>
    <s v="SAL-1075"/>
    <d v="2024-03-23T00:00:00"/>
    <s v="Christina Vaughn"/>
    <x v="3"/>
    <s v="Lagos"/>
    <s v="Consumer"/>
    <s v="Clothing"/>
    <s v="T-Shirt"/>
    <n v="3"/>
    <n v="198.57"/>
    <n v="0.1"/>
    <n v="536.14"/>
    <n v="384.91"/>
    <n v="151.22999999999999"/>
    <s v="Card"/>
    <n v="1"/>
    <s v="March"/>
    <s v="Q1"/>
    <n v="2024"/>
    <m/>
  </r>
  <r>
    <s v="SAL-1076"/>
    <d v="2024-02-18T00:00:00"/>
    <s v="Lawrence Medina"/>
    <x v="4"/>
    <s v="Port Harcourt"/>
    <s v="Consumer"/>
    <s v="Office Supplies"/>
    <s v="Notebook"/>
    <n v="2"/>
    <n v="217.96"/>
    <n v="0.15"/>
    <n v="370.53"/>
    <n v="241.69"/>
    <n v="128.84"/>
    <s v="Card"/>
    <n v="1"/>
    <s v="February"/>
    <s v="Q1"/>
    <n v="2024"/>
    <m/>
  </r>
  <r>
    <s v="SAL-1077"/>
    <d v="2024-03-06T00:00:00"/>
    <s v="Joseph Johnston"/>
    <x v="4"/>
    <s v="Kano"/>
    <s v="Home Office"/>
    <s v="Clothing"/>
    <s v="T-Shirt"/>
    <n v="4"/>
    <n v="809.56"/>
    <n v="0.05"/>
    <n v="3076.33"/>
    <n v="2023.3"/>
    <n v="1053.03"/>
    <s v="Mobile Payment"/>
    <n v="1"/>
    <s v="March"/>
    <s v="Q1"/>
    <n v="2024"/>
    <m/>
  </r>
  <r>
    <s v="SAL-1078"/>
    <d v="2024-03-14T00:00:00"/>
    <s v="Tammy Baker"/>
    <x v="2"/>
    <s v="Abuja"/>
    <s v="Corporate"/>
    <s v="Clothing"/>
    <s v="Sneakers"/>
    <n v="7"/>
    <n v="523.92999999999995"/>
    <n v="0.05"/>
    <n v="3484.13"/>
    <n v="2857.16"/>
    <n v="626.97"/>
    <s v="Mobile Payment"/>
    <n v="5"/>
    <s v="March"/>
    <s v="Q1"/>
    <n v="2024"/>
    <m/>
  </r>
  <r>
    <s v="SAL-1079"/>
    <d v="2024-03-27T00:00:00"/>
    <s v="Sarah Rojas"/>
    <x v="2"/>
    <s v="Ibadan"/>
    <s v="Home Office"/>
    <s v="Furniture"/>
    <s v="Cabinet"/>
    <n v="10"/>
    <n v="845.81"/>
    <n v="0.05"/>
    <n v="8035.19"/>
    <n v="4464.3500000000004"/>
    <n v="3570.84"/>
    <s v="Cash"/>
    <n v="1"/>
    <s v="March"/>
    <s v="Q1"/>
    <n v="2024"/>
    <m/>
  </r>
  <r>
    <s v="SAL-1080"/>
    <d v="2024-11-17T00:00:00"/>
    <s v="Alicia Combs"/>
    <x v="0"/>
    <s v="Abuja"/>
    <s v="Home Office"/>
    <s v="Office Supplies"/>
    <s v="Paper"/>
    <n v="3"/>
    <n v="843.94"/>
    <n v="0.15"/>
    <n v="2152.0500000000002"/>
    <n v="1617.6"/>
    <n v="534.45000000000005"/>
    <s v="Card"/>
    <n v="5"/>
    <s v="November"/>
    <s v="Q4"/>
    <n v="2024"/>
    <m/>
  </r>
  <r>
    <s v="SAL-1081"/>
    <d v="2024-05-16T00:00:00"/>
    <s v="Andre Choi"/>
    <x v="2"/>
    <s v="Abuja"/>
    <s v="Home Office"/>
    <s v="Clothing"/>
    <s v="Jacket"/>
    <n v="2"/>
    <n v="950.79"/>
    <n v="0.1"/>
    <n v="1711.42"/>
    <n v="1192.1400000000001"/>
    <n v="519.28"/>
    <s v="Card"/>
    <n v="2"/>
    <s v="May"/>
    <s v="Q2"/>
    <n v="2024"/>
    <m/>
  </r>
  <r>
    <s v="SAL-1082"/>
    <d v="2024-08-26T00:00:00"/>
    <s v="Paul Reed"/>
    <x v="3"/>
    <s v="Port Harcourt"/>
    <s v="Consumer"/>
    <s v="Electronics"/>
    <s v="Laptop"/>
    <n v="7"/>
    <n v="620.39"/>
    <n v="0.15"/>
    <n v="3691.32"/>
    <n v="1937.39"/>
    <n v="1753.93"/>
    <s v="Mobile Payment"/>
    <n v="5"/>
    <s v="August"/>
    <s v="Q3"/>
    <n v="2024"/>
    <m/>
  </r>
  <r>
    <s v="SAL-1083"/>
    <d v="2024-03-06T00:00:00"/>
    <s v="Justin Chen"/>
    <x v="0"/>
    <s v="Ibadan"/>
    <s v="Corporate"/>
    <s v="Office Supplies"/>
    <s v="Notebook"/>
    <n v="8"/>
    <n v="768.16"/>
    <n v="0.05"/>
    <n v="5838.02"/>
    <n v="3460.62"/>
    <n v="2377.4"/>
    <s v="Cash"/>
    <n v="4"/>
    <s v="March"/>
    <s v="Q1"/>
    <n v="2024"/>
    <m/>
  </r>
  <r>
    <s v="SAL-1084"/>
    <d v="2024-12-25T00:00:00"/>
    <s v="Michelle Williams"/>
    <x v="3"/>
    <s v="Kano"/>
    <s v="Home Office"/>
    <s v="Clothing"/>
    <s v="Sneakers"/>
    <n v="6"/>
    <n v="1022.86"/>
    <n v="0.05"/>
    <n v="5830.3"/>
    <n v="4903.7700000000004"/>
    <n v="926.53"/>
    <s v="Cash"/>
    <n v="1"/>
    <s v="December"/>
    <s v="Q4"/>
    <n v="2024"/>
    <m/>
  </r>
  <r>
    <s v="SAL-1085"/>
    <d v="2024-04-01T00:00:00"/>
    <s v="Ricardo Miller"/>
    <x v="2"/>
    <s v="Abuja"/>
    <s v="Home Office"/>
    <s v="Electronics"/>
    <s v="Tablet"/>
    <n v="6"/>
    <n v="1002.32"/>
    <n v="0.15"/>
    <n v="5111.83"/>
    <n v="3249.03"/>
    <n v="1862.8"/>
    <s v="Transfer"/>
    <n v="2"/>
    <s v="April"/>
    <s v="Q2"/>
    <n v="2024"/>
    <m/>
  </r>
  <r>
    <s v="SAL-1086"/>
    <d v="2024-03-23T00:00:00"/>
    <s v="David Chavez"/>
    <x v="3"/>
    <s v="Port Harcourt"/>
    <s v="Corporate"/>
    <s v="Clothing"/>
    <s v="T-Shirt"/>
    <n v="11"/>
    <n v="662.6"/>
    <n v="0.15"/>
    <n v="6195.31"/>
    <n v="3904.07"/>
    <n v="2291.2399999999998"/>
    <s v="Mobile Payment"/>
    <n v="5"/>
    <s v="March"/>
    <s v="Q1"/>
    <n v="2024"/>
    <m/>
  </r>
  <r>
    <s v="SAL-1087"/>
    <d v="2024-04-25T00:00:00"/>
    <s v="Stephanie Graham"/>
    <x v="4"/>
    <s v="Abuja"/>
    <s v="Consumer"/>
    <s v="Clothing"/>
    <s v="Jacket"/>
    <n v="11"/>
    <n v="16.739999999999998"/>
    <n v="0.05"/>
    <n v="174.93"/>
    <n v="147.69999999999999"/>
    <n v="27.23"/>
    <s v="Transfer"/>
    <n v="4"/>
    <s v="April"/>
    <s v="Q2"/>
    <n v="2024"/>
    <m/>
  </r>
  <r>
    <s v="SAL-1088"/>
    <d v="2024-12-08T00:00:00"/>
    <s v="John Stevens"/>
    <x v="1"/>
    <s v="Abuja"/>
    <s v="Consumer"/>
    <s v="Office Supplies"/>
    <s v="Paper"/>
    <n v="1"/>
    <n v="786.58"/>
    <n v="0.1"/>
    <n v="707.92"/>
    <n v="466.48"/>
    <n v="241.44"/>
    <s v="Transfer"/>
    <n v="2"/>
    <s v="December"/>
    <s v="Q4"/>
    <n v="2024"/>
    <m/>
  </r>
  <r>
    <s v="SAL-1089"/>
    <d v="2024-03-05T00:00:00"/>
    <s v="Larry Perez"/>
    <x v="2"/>
    <s v="Kano"/>
    <s v="Corporate"/>
    <s v="Office Supplies"/>
    <s v="Notebook"/>
    <n v="8"/>
    <n v="226.94"/>
    <n v="0.05"/>
    <n v="1724.74"/>
    <n v="1008.43"/>
    <n v="716.31"/>
    <s v="Mobile Payment"/>
    <n v="1"/>
    <s v="March"/>
    <s v="Q1"/>
    <n v="2024"/>
    <m/>
  </r>
  <r>
    <s v="SAL-1090"/>
    <d v="2024-02-08T00:00:00"/>
    <s v="James Benson"/>
    <x v="2"/>
    <s v="Ibadan"/>
    <s v="Home Office"/>
    <s v="Clothing"/>
    <s v="Jacket"/>
    <n v="7"/>
    <n v="318.98"/>
    <n v="0.1"/>
    <n v="2009.57"/>
    <n v="1563.05"/>
    <n v="446.52"/>
    <s v="Transfer"/>
    <n v="1"/>
    <s v="February"/>
    <s v="Q1"/>
    <n v="2024"/>
    <m/>
  </r>
  <r>
    <s v="SAL-1091"/>
    <d v="2024-09-03T00:00:00"/>
    <s v="William Watson"/>
    <x v="4"/>
    <s v="Lagos"/>
    <s v="Consumer"/>
    <s v="Office Supplies"/>
    <s v="Notebook"/>
    <n v="7"/>
    <n v="340.54"/>
    <n v="0.15"/>
    <n v="2026.21"/>
    <n v="1398.51"/>
    <n v="627.70000000000005"/>
    <s v="Card"/>
    <n v="2"/>
    <s v="September"/>
    <s v="Q3"/>
    <n v="2024"/>
    <m/>
  </r>
  <r>
    <s v="SAL-1092"/>
    <d v="2024-11-14T00:00:00"/>
    <s v="Michael Stephens"/>
    <x v="4"/>
    <s v="Kano"/>
    <s v="Consumer"/>
    <s v="Clothing"/>
    <s v="Sneakers"/>
    <n v="4"/>
    <n v="132.49"/>
    <n v="0.15"/>
    <n v="450.47"/>
    <n v="231.66"/>
    <n v="218.81"/>
    <s v="Card"/>
    <n v="2"/>
    <s v="November"/>
    <s v="Q4"/>
    <n v="2024"/>
    <m/>
  </r>
  <r>
    <s v="SAL-1093"/>
    <d v="2024-09-11T00:00:00"/>
    <s v="Andrea Sims"/>
    <x v="3"/>
    <s v="Abuja"/>
    <s v="Corporate"/>
    <s v="Electronics"/>
    <s v="Laptop"/>
    <n v="2"/>
    <n v="617.49"/>
    <n v="0.15"/>
    <n v="1049.73"/>
    <n v="722.36"/>
    <n v="327.37"/>
    <s v="Mobile Payment"/>
    <n v="2"/>
    <s v="September"/>
    <s v="Q3"/>
    <n v="2024"/>
    <m/>
  </r>
  <r>
    <s v="SAL-1094"/>
    <d v="2024-06-02T00:00:00"/>
    <s v="Pamela Benson"/>
    <x v="3"/>
    <s v="Ibadan"/>
    <s v="Corporate"/>
    <s v="Furniture"/>
    <s v="Desk"/>
    <n v="1"/>
    <n v="799.79"/>
    <n v="0.05"/>
    <n v="759.8"/>
    <n v="546.46"/>
    <n v="213.34"/>
    <s v="Card"/>
    <n v="5"/>
    <s v="June"/>
    <s v="Q2"/>
    <n v="2024"/>
    <m/>
  </r>
  <r>
    <s v="SAL-1095"/>
    <d v="2024-11-20T00:00:00"/>
    <s v="Mario Moore"/>
    <x v="2"/>
    <s v="Kano"/>
    <s v="Consumer"/>
    <s v="Clothing"/>
    <s v="Sneakers"/>
    <n v="3"/>
    <n v="304.24"/>
    <n v="0"/>
    <n v="912.72"/>
    <n v="759.77"/>
    <n v="152.94999999999999"/>
    <s v="Mobile Payment"/>
    <n v="1"/>
    <s v="November"/>
    <s v="Q4"/>
    <n v="2024"/>
    <m/>
  </r>
  <r>
    <s v="SAL-1096"/>
    <d v="2024-07-19T00:00:00"/>
    <s v="Kenneth Lopez"/>
    <x v="3"/>
    <s v="Lagos"/>
    <s v="Consumer"/>
    <s v="Electronics"/>
    <s v="Tablet"/>
    <n v="10"/>
    <n v="911.86"/>
    <n v="0"/>
    <n v="9118.6"/>
    <n v="6627.81"/>
    <n v="2490.79"/>
    <s v="Card"/>
    <n v="3"/>
    <s v="July"/>
    <s v="Q3"/>
    <n v="2024"/>
    <m/>
  </r>
  <r>
    <s v="SAL-1097"/>
    <d v="2024-06-18T00:00:00"/>
    <s v="Kim Levine"/>
    <x v="3"/>
    <s v="Ibadan"/>
    <s v="Home Office"/>
    <s v="Clothing"/>
    <s v="T-Shirt"/>
    <n v="8"/>
    <n v="710.07"/>
    <n v="0.1"/>
    <n v="5112.5"/>
    <n v="2918.91"/>
    <n v="2193.59"/>
    <s v="Transfer"/>
    <n v="4"/>
    <s v="June"/>
    <s v="Q2"/>
    <n v="2024"/>
    <m/>
  </r>
  <r>
    <s v="SAL-1098"/>
    <d v="2024-02-03T00:00:00"/>
    <s v="Tammy Wallace"/>
    <x v="2"/>
    <s v="Abuja"/>
    <s v="Home Office"/>
    <s v="Office Supplies"/>
    <s v="Paper"/>
    <n v="10"/>
    <n v="446.88"/>
    <n v="0.15"/>
    <n v="3798.48"/>
    <n v="2560.08"/>
    <n v="1238.4000000000001"/>
    <s v="Mobile Payment"/>
    <n v="1"/>
    <s v="February"/>
    <s v="Q1"/>
    <n v="2024"/>
    <m/>
  </r>
  <r>
    <s v="SAL-1099"/>
    <d v="2024-01-13T00:00:00"/>
    <s v="Jamie Herrera"/>
    <x v="2"/>
    <s v="Abuja"/>
    <s v="Consumer"/>
    <s v="Office Supplies"/>
    <s v="Pen"/>
    <n v="11"/>
    <n v="596.69000000000005"/>
    <n v="0.05"/>
    <n v="6235.41"/>
    <n v="3574.24"/>
    <n v="2661.17"/>
    <s v="Card"/>
    <n v="3"/>
    <s v="January"/>
    <s v="Q1"/>
    <n v="2024"/>
    <m/>
  </r>
  <r>
    <s v="SAL-1100"/>
    <d v="2024-04-07T00:00:00"/>
    <s v="Robyn Gilbert"/>
    <x v="1"/>
    <s v="Lagos"/>
    <s v="Home Office"/>
    <s v="Furniture"/>
    <s v="Chair"/>
    <n v="3"/>
    <n v="1103.1600000000001"/>
    <n v="0.15"/>
    <n v="2813.06"/>
    <n v="1779.22"/>
    <n v="1033.8399999999999"/>
    <s v="Card"/>
    <n v="2"/>
    <s v="April"/>
    <s v="Q2"/>
    <n v="2024"/>
    <m/>
  </r>
  <r>
    <s v="SAL-1101"/>
    <d v="2024-07-22T00:00:00"/>
    <s v="Tina Ibarra"/>
    <x v="4"/>
    <s v="Lagos"/>
    <s v="Home Office"/>
    <s v="Furniture"/>
    <s v="Desk"/>
    <n v="8"/>
    <n v="416.16"/>
    <n v="0.05"/>
    <n v="3162.82"/>
    <n v="2325.37"/>
    <n v="837.45"/>
    <s v="Transfer"/>
    <n v="4"/>
    <s v="July"/>
    <s v="Q3"/>
    <n v="2024"/>
    <m/>
  </r>
  <r>
    <s v="SAL-1102"/>
    <d v="2024-10-25T00:00:00"/>
    <s v="Debbie Walker"/>
    <x v="4"/>
    <s v="Lagos"/>
    <s v="Consumer"/>
    <s v="Furniture"/>
    <s v="Cabinet"/>
    <n v="7"/>
    <n v="217.95"/>
    <n v="0.05"/>
    <n v="1449.37"/>
    <n v="906.18"/>
    <n v="543.19000000000005"/>
    <s v="Mobile Payment"/>
    <n v="3"/>
    <s v="October"/>
    <s v="Q4"/>
    <n v="2024"/>
    <m/>
  </r>
  <r>
    <s v="SAL-1103"/>
    <d v="2024-12-21T00:00:00"/>
    <s v="Joseph Jordan"/>
    <x v="1"/>
    <s v="Ibadan"/>
    <s v="Consumer"/>
    <s v="Clothing"/>
    <s v="Jacket"/>
    <n v="2"/>
    <n v="31.95"/>
    <n v="0"/>
    <n v="63.9"/>
    <n v="45.93"/>
    <n v="17.97"/>
    <s v="Card"/>
    <n v="1"/>
    <s v="December"/>
    <s v="Q4"/>
    <n v="2024"/>
    <m/>
  </r>
  <r>
    <s v="SAL-1104"/>
    <d v="2024-05-06T00:00:00"/>
    <s v="Steven Villegas"/>
    <x v="0"/>
    <s v="Lagos"/>
    <s v="Consumer"/>
    <s v="Furniture"/>
    <s v="Chair"/>
    <n v="11"/>
    <n v="236.56"/>
    <n v="0.1"/>
    <n v="2341.94"/>
    <n v="1369.37"/>
    <n v="972.57"/>
    <s v="Cash"/>
    <n v="5"/>
    <s v="May"/>
    <s v="Q2"/>
    <n v="2024"/>
    <m/>
  </r>
  <r>
    <s v="SAL-1105"/>
    <d v="2024-09-11T00:00:00"/>
    <s v="Stephanie Spears"/>
    <x v="0"/>
    <s v="Port Harcourt"/>
    <s v="Home Office"/>
    <s v="Furniture"/>
    <s v="Chair"/>
    <n v="6"/>
    <n v="667.66"/>
    <n v="0.05"/>
    <n v="3805.66"/>
    <n v="2882.5"/>
    <n v="923.16"/>
    <s v="Card"/>
    <n v="1"/>
    <s v="September"/>
    <s v="Q3"/>
    <n v="2024"/>
    <m/>
  </r>
  <r>
    <s v="SAL-1106"/>
    <d v="2024-12-04T00:00:00"/>
    <s v="Kristen Olsen"/>
    <x v="1"/>
    <s v="Abuja"/>
    <s v="Corporate"/>
    <s v="Clothing"/>
    <s v="T-Shirt"/>
    <n v="8"/>
    <n v="85.63"/>
    <n v="0.1"/>
    <n v="616.54"/>
    <n v="491.12"/>
    <n v="125.42"/>
    <s v="Card"/>
    <n v="5"/>
    <s v="December"/>
    <s v="Q4"/>
    <n v="2024"/>
    <m/>
  </r>
  <r>
    <s v="SAL-1107"/>
    <d v="2024-05-16T00:00:00"/>
    <s v="David Norris"/>
    <x v="4"/>
    <s v="Kano"/>
    <s v="Consumer"/>
    <s v="Furniture"/>
    <s v="Desk"/>
    <n v="4"/>
    <n v="301.85000000000002"/>
    <n v="0"/>
    <n v="1207.4000000000001"/>
    <n v="971.68"/>
    <n v="235.72"/>
    <s v="Card"/>
    <n v="2"/>
    <s v="May"/>
    <s v="Q2"/>
    <n v="2024"/>
    <m/>
  </r>
  <r>
    <s v="SAL-1108"/>
    <d v="2024-06-08T00:00:00"/>
    <s v="Lynn Heath"/>
    <x v="1"/>
    <s v="Lagos"/>
    <s v="Home Office"/>
    <s v="Electronics"/>
    <s v="Tablet"/>
    <n v="6"/>
    <n v="1101.74"/>
    <n v="0"/>
    <n v="6610.44"/>
    <n v="3858.32"/>
    <n v="2752.12"/>
    <s v="Transfer"/>
    <n v="1"/>
    <s v="June"/>
    <s v="Q2"/>
    <n v="2024"/>
    <m/>
  </r>
  <r>
    <s v="SAL-1109"/>
    <d v="2024-04-17T00:00:00"/>
    <s v="Melanie Carlson"/>
    <x v="4"/>
    <s v="Ibadan"/>
    <s v="Corporate"/>
    <s v="Clothing"/>
    <s v="T-Shirt"/>
    <n v="6"/>
    <n v="1022.72"/>
    <n v="0.15"/>
    <n v="5215.87"/>
    <n v="4178.28"/>
    <n v="1037.5899999999999"/>
    <s v="Cash"/>
    <n v="1"/>
    <s v="April"/>
    <s v="Q2"/>
    <n v="2024"/>
    <m/>
  </r>
  <r>
    <s v="SAL-1110"/>
    <d v="2024-12-24T00:00:00"/>
    <s v="Kathleen Mason"/>
    <x v="4"/>
    <s v="Lagos"/>
    <s v="Home Office"/>
    <s v="Electronics"/>
    <s v="Laptop"/>
    <n v="2"/>
    <n v="1081.27"/>
    <n v="0.15"/>
    <n v="1838.16"/>
    <n v="1045.79"/>
    <n v="792.37"/>
    <s v="Card"/>
    <n v="3"/>
    <s v="December"/>
    <s v="Q4"/>
    <n v="2024"/>
    <m/>
  </r>
  <r>
    <s v="SAL-1111"/>
    <d v="2024-10-23T00:00:00"/>
    <s v="Anthony Gray"/>
    <x v="3"/>
    <s v="Kano"/>
    <s v="Consumer"/>
    <s v="Furniture"/>
    <s v="Desk"/>
    <n v="12"/>
    <n v="1030.02"/>
    <n v="0.05"/>
    <n v="11742.23"/>
    <n v="8431.7000000000007"/>
    <n v="3310.53"/>
    <s v="Mobile Payment"/>
    <n v="1"/>
    <s v="October"/>
    <s v="Q4"/>
    <n v="2024"/>
    <m/>
  </r>
  <r>
    <s v="SAL-1112"/>
    <d v="2024-12-07T00:00:00"/>
    <s v="Jonathan Davis"/>
    <x v="0"/>
    <s v="Kano"/>
    <s v="Consumer"/>
    <s v="Electronics"/>
    <s v="Tablet"/>
    <n v="9"/>
    <n v="101.9"/>
    <n v="0.15"/>
    <n v="779.53"/>
    <n v="571.4"/>
    <n v="208.13"/>
    <s v="Card"/>
    <n v="4"/>
    <s v="December"/>
    <s v="Q4"/>
    <n v="2024"/>
    <m/>
  </r>
  <r>
    <s v="SAL-1113"/>
    <d v="2024-10-14T00:00:00"/>
    <s v="Jay Allen"/>
    <x v="3"/>
    <s v="Ibadan"/>
    <s v="Home Office"/>
    <s v="Furniture"/>
    <s v="Cabinet"/>
    <n v="9"/>
    <n v="1108.27"/>
    <n v="0.1"/>
    <n v="8976.99"/>
    <n v="6163.86"/>
    <n v="2813.13"/>
    <s v="Transfer"/>
    <n v="2"/>
    <s v="October"/>
    <s v="Q4"/>
    <n v="2024"/>
    <m/>
  </r>
  <r>
    <s v="SAL-1114"/>
    <d v="2024-05-07T00:00:00"/>
    <s v="Alyssa Bush"/>
    <x v="0"/>
    <s v="Ibadan"/>
    <s v="Consumer"/>
    <s v="Furniture"/>
    <s v="Desk"/>
    <n v="11"/>
    <n v="551.15"/>
    <n v="0"/>
    <n v="6062.65"/>
    <n v="3229.86"/>
    <n v="2832.79"/>
    <s v="Mobile Payment"/>
    <n v="3"/>
    <s v="May"/>
    <s v="Q2"/>
    <n v="2024"/>
    <m/>
  </r>
  <r>
    <s v="SAL-1115"/>
    <d v="2024-10-08T00:00:00"/>
    <s v="Yolanda Fernandez"/>
    <x v="4"/>
    <s v="Port Harcourt"/>
    <s v="Home Office"/>
    <s v="Office Supplies"/>
    <s v="Paper"/>
    <n v="9"/>
    <n v="849.04"/>
    <n v="0.1"/>
    <n v="6877.22"/>
    <n v="5048.58"/>
    <n v="1828.64"/>
    <s v="Cash"/>
    <n v="5"/>
    <s v="October"/>
    <s v="Q4"/>
    <n v="2024"/>
    <m/>
  </r>
  <r>
    <s v="SAL-1116"/>
    <d v="2024-03-12T00:00:00"/>
    <s v="Cynthia Cochran"/>
    <x v="0"/>
    <s v="Lagos"/>
    <s v="Corporate"/>
    <s v="Electronics"/>
    <s v="Printer"/>
    <n v="11"/>
    <n v="161.6"/>
    <n v="0.15"/>
    <n v="1510.96"/>
    <n v="1224.06"/>
    <n v="286.89999999999998"/>
    <s v="Card"/>
    <n v="2"/>
    <s v="March"/>
    <s v="Q1"/>
    <n v="2024"/>
    <m/>
  </r>
  <r>
    <s v="SAL-1117"/>
    <d v="2024-06-10T00:00:00"/>
    <s v="Ashley Munoz"/>
    <x v="0"/>
    <s v="Kano"/>
    <s v="Consumer"/>
    <s v="Electronics"/>
    <s v="Laptop"/>
    <n v="10"/>
    <n v="1155.72"/>
    <n v="0.1"/>
    <n v="10401.48"/>
    <n v="6430.75"/>
    <n v="3970.73"/>
    <s v="Card"/>
    <n v="5"/>
    <s v="June"/>
    <s v="Q2"/>
    <n v="2024"/>
    <m/>
  </r>
  <r>
    <s v="SAL-1118"/>
    <d v="2024-04-24T00:00:00"/>
    <s v="Edward White"/>
    <x v="3"/>
    <s v="Ibadan"/>
    <s v="Home Office"/>
    <s v="Electronics"/>
    <s v="Printer"/>
    <n v="6"/>
    <n v="516.13"/>
    <n v="0"/>
    <n v="3096.78"/>
    <n v="1832.29"/>
    <n v="1264.49"/>
    <s v="Card"/>
    <n v="4"/>
    <s v="April"/>
    <s v="Q2"/>
    <n v="2024"/>
    <m/>
  </r>
  <r>
    <s v="SAL-1119"/>
    <d v="2024-12-16T00:00:00"/>
    <s v="Marc Ali"/>
    <x v="3"/>
    <s v="Abuja"/>
    <s v="Corporate"/>
    <s v="Electronics"/>
    <s v="Phone"/>
    <n v="4"/>
    <n v="1048.02"/>
    <n v="0.05"/>
    <n v="3982.48"/>
    <n v="2705.23"/>
    <n v="1277.25"/>
    <s v="Card"/>
    <n v="3"/>
    <s v="December"/>
    <s v="Q4"/>
    <n v="2024"/>
    <m/>
  </r>
  <r>
    <s v="SAL-1120"/>
    <d v="2024-08-17T00:00:00"/>
    <s v="Richard Rodriguez"/>
    <x v="2"/>
    <s v="Lagos"/>
    <s v="Corporate"/>
    <s v="Electronics"/>
    <s v="Printer"/>
    <n v="6"/>
    <n v="988.31"/>
    <n v="0.15"/>
    <n v="5040.38"/>
    <n v="4197.9399999999996"/>
    <n v="842.44"/>
    <s v="Cash"/>
    <n v="2"/>
    <s v="August"/>
    <s v="Q3"/>
    <n v="2024"/>
    <m/>
  </r>
  <r>
    <s v="SAL-1121"/>
    <d v="2024-01-29T00:00:00"/>
    <s v="Tony Vasquez"/>
    <x v="2"/>
    <s v="Ibadan"/>
    <s v="Consumer"/>
    <s v="Clothing"/>
    <s v="Sneakers"/>
    <n v="3"/>
    <n v="978.46"/>
    <n v="0.1"/>
    <n v="2641.84"/>
    <n v="1597.77"/>
    <n v="1044.07"/>
    <s v="Cash"/>
    <n v="1"/>
    <s v="January"/>
    <s v="Q1"/>
    <n v="2024"/>
    <m/>
  </r>
  <r>
    <s v="SAL-1122"/>
    <d v="2024-12-07T00:00:00"/>
    <s v="Dennis Watts"/>
    <x v="4"/>
    <s v="Lagos"/>
    <s v="Consumer"/>
    <s v="Office Supplies"/>
    <s v="Pen"/>
    <n v="3"/>
    <n v="1051.57"/>
    <n v="0.15"/>
    <n v="2681.5"/>
    <n v="2178.94"/>
    <n v="502.56"/>
    <s v="Mobile Payment"/>
    <n v="2"/>
    <s v="December"/>
    <s v="Q4"/>
    <n v="2024"/>
    <m/>
  </r>
  <r>
    <s v="SAL-1123"/>
    <d v="2024-02-16T00:00:00"/>
    <s v="Chase Contreras"/>
    <x v="2"/>
    <s v="Ibadan"/>
    <s v="Corporate"/>
    <s v="Electronics"/>
    <s v="Phone"/>
    <n v="2"/>
    <n v="182.86"/>
    <n v="0"/>
    <n v="365.72"/>
    <n v="190.44"/>
    <n v="175.28"/>
    <s v="Transfer"/>
    <n v="2"/>
    <s v="February"/>
    <s v="Q1"/>
    <n v="2024"/>
    <m/>
  </r>
  <r>
    <s v="SAL-1124"/>
    <d v="2024-11-21T00:00:00"/>
    <s v="Jeffrey Nunez"/>
    <x v="0"/>
    <s v="Port Harcourt"/>
    <s v="Home Office"/>
    <s v="Clothing"/>
    <s v="Sneakers"/>
    <n v="2"/>
    <n v="39.479999999999997"/>
    <n v="0.1"/>
    <n v="71.06"/>
    <n v="40.82"/>
    <n v="30.24"/>
    <s v="Transfer"/>
    <n v="5"/>
    <s v="November"/>
    <s v="Q4"/>
    <n v="2024"/>
    <m/>
  </r>
  <r>
    <s v="SAL-1125"/>
    <d v="2024-09-12T00:00:00"/>
    <s v="Luis Martinez"/>
    <x v="1"/>
    <s v="Ibadan"/>
    <s v="Consumer"/>
    <s v="Electronics"/>
    <s v="Phone"/>
    <n v="3"/>
    <n v="248.07"/>
    <n v="0.1"/>
    <n v="669.79"/>
    <n v="519.16"/>
    <n v="150.63"/>
    <s v="Transfer"/>
    <n v="5"/>
    <s v="September"/>
    <s v="Q3"/>
    <n v="2024"/>
    <m/>
  </r>
  <r>
    <s v="SAL-1126"/>
    <d v="2024-04-25T00:00:00"/>
    <s v="Jeffrey Watson"/>
    <x v="4"/>
    <s v="Ibadan"/>
    <s v="Home Office"/>
    <s v="Clothing"/>
    <s v="Jacket"/>
    <n v="8"/>
    <n v="866.11"/>
    <n v="0.05"/>
    <n v="6582.44"/>
    <n v="5140.09"/>
    <n v="1442.35"/>
    <s v="Transfer"/>
    <n v="1"/>
    <s v="April"/>
    <s v="Q2"/>
    <n v="2024"/>
    <m/>
  </r>
  <r>
    <s v="SAL-1127"/>
    <d v="2024-12-04T00:00:00"/>
    <s v="Adam Warren"/>
    <x v="0"/>
    <s v="Lagos"/>
    <s v="Home Office"/>
    <s v="Furniture"/>
    <s v="Chair"/>
    <n v="11"/>
    <n v="869.33"/>
    <n v="0.05"/>
    <n v="9084.5"/>
    <n v="5487.37"/>
    <n v="3597.13"/>
    <s v="Mobile Payment"/>
    <n v="4"/>
    <s v="December"/>
    <s v="Q4"/>
    <n v="2024"/>
    <m/>
  </r>
  <r>
    <s v="SAL-1128"/>
    <d v="2024-11-30T00:00:00"/>
    <s v="Elizabeth Kennedy"/>
    <x v="2"/>
    <s v="Abuja"/>
    <s v="Consumer"/>
    <s v="Furniture"/>
    <s v="Desk"/>
    <n v="7"/>
    <n v="153.30000000000001"/>
    <n v="0.15"/>
    <n v="912.14"/>
    <n v="566.48"/>
    <n v="345.66"/>
    <s v="Card"/>
    <n v="5"/>
    <s v="November"/>
    <s v="Q4"/>
    <n v="2024"/>
    <m/>
  </r>
  <r>
    <s v="SAL-1129"/>
    <d v="2024-01-03T00:00:00"/>
    <s v="Heather Williams"/>
    <x v="3"/>
    <s v="Port Harcourt"/>
    <s v="Corporate"/>
    <s v="Furniture"/>
    <s v="Desk"/>
    <n v="5"/>
    <n v="500.74"/>
    <n v="0.05"/>
    <n v="2378.5100000000002"/>
    <n v="1675.88"/>
    <n v="702.63"/>
    <s v="Mobile Payment"/>
    <n v="1"/>
    <s v="January"/>
    <s v="Q1"/>
    <n v="2024"/>
    <m/>
  </r>
  <r>
    <s v="SAL-1130"/>
    <d v="2024-08-27T00:00:00"/>
    <s v="Renee Flynn"/>
    <x v="0"/>
    <s v="Ibadan"/>
    <s v="Consumer"/>
    <s v="Electronics"/>
    <s v="Tablet"/>
    <n v="11"/>
    <n v="476.45"/>
    <n v="0.1"/>
    <n v="4716.8500000000004"/>
    <n v="3296.85"/>
    <n v="1420"/>
    <s v="Card"/>
    <n v="1"/>
    <s v="August"/>
    <s v="Q3"/>
    <n v="2024"/>
    <m/>
  </r>
  <r>
    <s v="SAL-1131"/>
    <d v="2024-01-03T00:00:00"/>
    <s v="Sierra Santiago"/>
    <x v="0"/>
    <s v="Abuja"/>
    <s v="Home Office"/>
    <s v="Clothing"/>
    <s v="Jacket"/>
    <n v="2"/>
    <n v="442.01"/>
    <n v="0"/>
    <n v="884.02"/>
    <n v="659.45"/>
    <n v="224.57"/>
    <s v="Cash"/>
    <n v="2"/>
    <s v="January"/>
    <s v="Q1"/>
    <n v="2024"/>
    <m/>
  </r>
  <r>
    <s v="SAL-1132"/>
    <d v="2024-06-06T00:00:00"/>
    <s v="John Smith"/>
    <x v="4"/>
    <s v="Abuja"/>
    <s v="Home Office"/>
    <s v="Office Supplies"/>
    <s v="Paper"/>
    <n v="6"/>
    <n v="711.1"/>
    <n v="0.1"/>
    <n v="3839.94"/>
    <n v="2687.45"/>
    <n v="1152.49"/>
    <s v="Mobile Payment"/>
    <n v="5"/>
    <s v="June"/>
    <s v="Q2"/>
    <n v="2024"/>
    <m/>
  </r>
  <r>
    <s v="SAL-1133"/>
    <d v="2024-10-03T00:00:00"/>
    <s v="Randy Young"/>
    <x v="1"/>
    <s v="Kano"/>
    <s v="Home Office"/>
    <s v="Electronics"/>
    <s v="Tablet"/>
    <n v="5"/>
    <n v="348.14"/>
    <n v="0"/>
    <n v="1740.7"/>
    <n v="1268.55"/>
    <n v="472.15"/>
    <s v="Cash"/>
    <n v="3"/>
    <s v="October"/>
    <s v="Q4"/>
    <n v="2024"/>
    <m/>
  </r>
  <r>
    <s v="SAL-1134"/>
    <d v="2024-03-06T00:00:00"/>
    <s v="Brenda Bruce"/>
    <x v="3"/>
    <s v="Kano"/>
    <s v="Corporate"/>
    <s v="Electronics"/>
    <s v="Phone"/>
    <n v="1"/>
    <n v="643.79"/>
    <n v="0.15"/>
    <n v="547.22"/>
    <n v="372.9"/>
    <n v="174.32"/>
    <s v="Mobile Payment"/>
    <n v="3"/>
    <s v="March"/>
    <s v="Q1"/>
    <n v="2024"/>
    <m/>
  </r>
  <r>
    <s v="SAL-1135"/>
    <d v="2024-08-22T00:00:00"/>
    <s v="Seth Williams"/>
    <x v="0"/>
    <s v="Abuja"/>
    <s v="Consumer"/>
    <s v="Furniture"/>
    <s v="Cabinet"/>
    <n v="4"/>
    <n v="1074.33"/>
    <n v="0.05"/>
    <n v="4082.45"/>
    <n v="3376.47"/>
    <n v="705.98"/>
    <s v="Card"/>
    <n v="3"/>
    <s v="August"/>
    <s v="Q3"/>
    <n v="2024"/>
    <m/>
  </r>
  <r>
    <s v="SAL-1136"/>
    <d v="2024-01-17T00:00:00"/>
    <s v="Peggy Foster"/>
    <x v="2"/>
    <s v="Ibadan"/>
    <s v="Consumer"/>
    <s v="Clothing"/>
    <s v="Jacket"/>
    <n v="8"/>
    <n v="72.31"/>
    <n v="0.1"/>
    <n v="520.63"/>
    <n v="312.19"/>
    <n v="208.44"/>
    <s v="Transfer"/>
    <n v="3"/>
    <s v="January"/>
    <s v="Q1"/>
    <n v="2024"/>
    <m/>
  </r>
  <r>
    <s v="SAL-1137"/>
    <d v="2024-12-10T00:00:00"/>
    <s v="Roger Morales"/>
    <x v="4"/>
    <s v="Abuja"/>
    <s v="Corporate"/>
    <s v="Office Supplies"/>
    <s v="Pen"/>
    <n v="9"/>
    <n v="1180.46"/>
    <n v="0"/>
    <n v="10624.14"/>
    <n v="5742.88"/>
    <n v="4881.26"/>
    <s v="Transfer"/>
    <n v="2"/>
    <s v="December"/>
    <s v="Q4"/>
    <n v="2024"/>
    <m/>
  </r>
  <r>
    <s v="SAL-1138"/>
    <d v="2024-10-03T00:00:00"/>
    <s v="Brittany Tucker"/>
    <x v="4"/>
    <s v="Port Harcourt"/>
    <s v="Consumer"/>
    <s v="Office Supplies"/>
    <s v="Paper"/>
    <n v="12"/>
    <n v="797.5"/>
    <n v="0.15"/>
    <n v="8134.5"/>
    <n v="4880.34"/>
    <n v="3254.16"/>
    <s v="Transfer"/>
    <n v="4"/>
    <s v="October"/>
    <s v="Q4"/>
    <n v="2024"/>
    <m/>
  </r>
  <r>
    <s v="SAL-1139"/>
    <d v="2024-01-29T00:00:00"/>
    <s v="Ricky Reynolds"/>
    <x v="4"/>
    <s v="Port Harcourt"/>
    <s v="Home Office"/>
    <s v="Office Supplies"/>
    <s v="Paper"/>
    <n v="7"/>
    <n v="841.3"/>
    <n v="0.15"/>
    <n v="5005.7299999999996"/>
    <n v="3358.95"/>
    <n v="1646.78"/>
    <s v="Cash"/>
    <n v="4"/>
    <s v="January"/>
    <s v="Q1"/>
    <n v="2024"/>
    <m/>
  </r>
  <r>
    <s v="SAL-1140"/>
    <d v="2024-05-26T00:00:00"/>
    <s v="Frank Martinez"/>
    <x v="1"/>
    <s v="Lagos"/>
    <s v="Consumer"/>
    <s v="Furniture"/>
    <s v="Cabinet"/>
    <n v="5"/>
    <n v="1149.07"/>
    <n v="0.15"/>
    <n v="4883.55"/>
    <n v="2559.12"/>
    <n v="2324.4299999999998"/>
    <s v="Mobile Payment"/>
    <n v="3"/>
    <s v="May"/>
    <s v="Q2"/>
    <n v="2024"/>
    <m/>
  </r>
  <r>
    <s v="SAL-1141"/>
    <d v="2024-12-06T00:00:00"/>
    <s v="Anna Mccann"/>
    <x v="2"/>
    <s v="Kano"/>
    <s v="Consumer"/>
    <s v="Furniture"/>
    <s v="Cabinet"/>
    <n v="11"/>
    <n v="439.88"/>
    <n v="0"/>
    <n v="4838.68"/>
    <n v="3487.51"/>
    <n v="1351.17"/>
    <s v="Mobile Payment"/>
    <n v="1"/>
    <s v="December"/>
    <s v="Q4"/>
    <n v="2024"/>
    <m/>
  </r>
  <r>
    <s v="SAL-1142"/>
    <d v="2024-05-02T00:00:00"/>
    <s v="Christopher Gutierrez"/>
    <x v="1"/>
    <s v="Abuja"/>
    <s v="Home Office"/>
    <s v="Clothing"/>
    <s v="T-Shirt"/>
    <n v="12"/>
    <n v="533.51"/>
    <n v="0.05"/>
    <n v="6082.01"/>
    <n v="4137.59"/>
    <n v="1944.42"/>
    <s v="Card"/>
    <n v="2"/>
    <s v="May"/>
    <s v="Q2"/>
    <n v="2024"/>
    <m/>
  </r>
  <r>
    <s v="SAL-1143"/>
    <d v="2024-01-19T00:00:00"/>
    <s v="Jennifer Rodgers MD"/>
    <x v="4"/>
    <s v="Abuja"/>
    <s v="Corporate"/>
    <s v="Electronics"/>
    <s v="Laptop"/>
    <n v="9"/>
    <n v="1186.7"/>
    <n v="0"/>
    <n v="10680.3"/>
    <n v="6258.4"/>
    <n v="4421.8999999999996"/>
    <s v="Mobile Payment"/>
    <n v="3"/>
    <s v="January"/>
    <s v="Q1"/>
    <n v="2024"/>
    <m/>
  </r>
  <r>
    <s v="SAL-1144"/>
    <d v="2024-03-04T00:00:00"/>
    <s v="Ethan Mclean"/>
    <x v="3"/>
    <s v="Port Harcourt"/>
    <s v="Consumer"/>
    <s v="Furniture"/>
    <s v="Chair"/>
    <n v="1"/>
    <n v="176.14"/>
    <n v="0.05"/>
    <n v="167.33"/>
    <n v="133.97999999999999"/>
    <n v="33.35"/>
    <s v="Cash"/>
    <n v="1"/>
    <s v="March"/>
    <s v="Q1"/>
    <n v="2024"/>
    <m/>
  </r>
  <r>
    <s v="SAL-1145"/>
    <d v="2024-07-28T00:00:00"/>
    <s v="Alexander Gray"/>
    <x v="0"/>
    <s v="Lagos"/>
    <s v="Consumer"/>
    <s v="Electronics"/>
    <s v="Tablet"/>
    <n v="3"/>
    <n v="816.6"/>
    <n v="0.15"/>
    <n v="2082.33"/>
    <n v="1638.63"/>
    <n v="443.7"/>
    <s v="Card"/>
    <n v="1"/>
    <s v="July"/>
    <s v="Q3"/>
    <n v="2024"/>
    <m/>
  </r>
  <r>
    <s v="SAL-1146"/>
    <d v="2024-02-12T00:00:00"/>
    <s v="Dr. Julia Wilson"/>
    <x v="3"/>
    <s v="Port Harcourt"/>
    <s v="Consumer"/>
    <s v="Furniture"/>
    <s v="Desk"/>
    <n v="7"/>
    <n v="925.37"/>
    <n v="0.05"/>
    <n v="6153.71"/>
    <n v="3527.58"/>
    <n v="2626.13"/>
    <s v="Mobile Payment"/>
    <n v="4"/>
    <s v="February"/>
    <s v="Q1"/>
    <n v="2024"/>
    <m/>
  </r>
  <r>
    <s v="SAL-1147"/>
    <d v="2024-04-30T00:00:00"/>
    <s v="Logan Goodwin"/>
    <x v="1"/>
    <s v="Port Harcourt"/>
    <s v="Corporate"/>
    <s v="Clothing"/>
    <s v="Sneakers"/>
    <n v="5"/>
    <n v="1180.1199999999999"/>
    <n v="0.05"/>
    <n v="5605.57"/>
    <n v="3628.41"/>
    <n v="1977.16"/>
    <s v="Transfer"/>
    <n v="5"/>
    <s v="April"/>
    <s v="Q2"/>
    <n v="2024"/>
    <m/>
  </r>
  <r>
    <s v="SAL-1148"/>
    <d v="2024-02-01T00:00:00"/>
    <s v="William Wilkerson"/>
    <x v="0"/>
    <s v="Lagos"/>
    <s v="Corporate"/>
    <s v="Furniture"/>
    <s v="Chair"/>
    <n v="6"/>
    <n v="429.16"/>
    <n v="0.1"/>
    <n v="2317.46"/>
    <n v="1241.83"/>
    <n v="1075.6300000000001"/>
    <s v="Transfer"/>
    <n v="5"/>
    <s v="February"/>
    <s v="Q1"/>
    <n v="2024"/>
    <m/>
  </r>
  <r>
    <s v="SAL-1149"/>
    <d v="2024-01-16T00:00:00"/>
    <s v="Robert Jacobs"/>
    <x v="2"/>
    <s v="Ibadan"/>
    <s v="Corporate"/>
    <s v="Office Supplies"/>
    <s v="Pen"/>
    <n v="12"/>
    <n v="593.41999999999996"/>
    <n v="0"/>
    <n v="7121.04"/>
    <n v="4942.33"/>
    <n v="2178.71"/>
    <s v="Mobile Payment"/>
    <n v="4"/>
    <s v="January"/>
    <s v="Q1"/>
    <n v="2024"/>
    <m/>
  </r>
  <r>
    <s v="SAL-1150"/>
    <d v="2024-10-22T00:00:00"/>
    <s v="Andrea Williams"/>
    <x v="0"/>
    <s v="Kano"/>
    <s v="Home Office"/>
    <s v="Office Supplies"/>
    <s v="Pen"/>
    <n v="6"/>
    <n v="1098.8499999999999"/>
    <n v="0.15"/>
    <n v="5604.13"/>
    <n v="4547.3999999999996"/>
    <n v="1056.73"/>
    <s v="Mobile Payment"/>
    <n v="1"/>
    <s v="October"/>
    <s v="Q4"/>
    <n v="2024"/>
    <m/>
  </r>
  <r>
    <s v="SAL-1151"/>
    <d v="2024-12-28T00:00:00"/>
    <s v="Tyler Woodward"/>
    <x v="4"/>
    <s v="Kano"/>
    <s v="Home Office"/>
    <s v="Office Supplies"/>
    <s v="Pen"/>
    <n v="4"/>
    <n v="250.99"/>
    <n v="0"/>
    <n v="1003.96"/>
    <n v="827.42"/>
    <n v="176.54"/>
    <s v="Mobile Payment"/>
    <n v="1"/>
    <s v="December"/>
    <s v="Q4"/>
    <n v="2024"/>
    <m/>
  </r>
  <r>
    <s v="SAL-1152"/>
    <d v="2024-01-24T00:00:00"/>
    <s v="Michael Torres"/>
    <x v="3"/>
    <s v="Lagos"/>
    <s v="Corporate"/>
    <s v="Clothing"/>
    <s v="T-Shirt"/>
    <n v="8"/>
    <n v="1112.3699999999999"/>
    <n v="0"/>
    <n v="8898.9599999999991"/>
    <n v="4458.62"/>
    <n v="4440.34"/>
    <s v="Card"/>
    <n v="3"/>
    <s v="January"/>
    <s v="Q1"/>
    <n v="2024"/>
    <m/>
  </r>
  <r>
    <s v="SAL-1153"/>
    <d v="2024-03-18T00:00:00"/>
    <s v="Paige Rivera"/>
    <x v="4"/>
    <s v="Lagos"/>
    <s v="Corporate"/>
    <s v="Furniture"/>
    <s v="Chair"/>
    <n v="11"/>
    <n v="1113.8699999999999"/>
    <n v="0"/>
    <n v="12252.57"/>
    <n v="9331.39"/>
    <n v="2921.18"/>
    <s v="Transfer"/>
    <n v="5"/>
    <s v="March"/>
    <s v="Q1"/>
    <n v="2024"/>
    <m/>
  </r>
  <r>
    <s v="SAL-1154"/>
    <d v="2024-04-18T00:00:00"/>
    <s v="Jordan Johnson"/>
    <x v="4"/>
    <s v="Lagos"/>
    <s v="Corporate"/>
    <s v="Furniture"/>
    <s v="Cabinet"/>
    <n v="10"/>
    <n v="460.92"/>
    <n v="0.15"/>
    <n v="3917.82"/>
    <n v="2382.69"/>
    <n v="1535.13"/>
    <s v="Transfer"/>
    <n v="2"/>
    <s v="April"/>
    <s v="Q2"/>
    <n v="2024"/>
    <m/>
  </r>
  <r>
    <s v="SAL-1155"/>
    <d v="2024-04-24T00:00:00"/>
    <s v="Dr. Rebekah Medina DVM"/>
    <x v="4"/>
    <s v="Ibadan"/>
    <s v="Consumer"/>
    <s v="Clothing"/>
    <s v="Sneakers"/>
    <n v="10"/>
    <n v="993.99"/>
    <n v="0"/>
    <n v="9939.9"/>
    <n v="5305.88"/>
    <n v="4634.0200000000004"/>
    <s v="Card"/>
    <n v="2"/>
    <s v="April"/>
    <s v="Q2"/>
    <n v="2024"/>
    <m/>
  </r>
  <r>
    <s v="SAL-1156"/>
    <d v="2024-05-28T00:00:00"/>
    <s v="Dennis Simmons"/>
    <x v="1"/>
    <s v="Lagos"/>
    <s v="Home Office"/>
    <s v="Clothing"/>
    <s v="Jacket"/>
    <n v="11"/>
    <n v="746.02"/>
    <n v="0.1"/>
    <n v="7385.6"/>
    <n v="4798.93"/>
    <n v="2586.67"/>
    <s v="Card"/>
    <n v="2"/>
    <s v="May"/>
    <s v="Q2"/>
    <n v="2024"/>
    <m/>
  </r>
  <r>
    <s v="SAL-1157"/>
    <d v="2024-06-22T00:00:00"/>
    <s v="Adam Yang"/>
    <x v="0"/>
    <s v="Port Harcourt"/>
    <s v="Corporate"/>
    <s v="Office Supplies"/>
    <s v="Paper"/>
    <n v="9"/>
    <n v="333.49"/>
    <n v="0.1"/>
    <n v="2701.27"/>
    <n v="1687.31"/>
    <n v="1013.96"/>
    <s v="Transfer"/>
    <n v="5"/>
    <s v="June"/>
    <s v="Q2"/>
    <n v="2024"/>
    <m/>
  </r>
  <r>
    <s v="SAL-1158"/>
    <d v="2024-05-09T00:00:00"/>
    <s v="Jacqueline Hodges"/>
    <x v="0"/>
    <s v="Abuja"/>
    <s v="Corporate"/>
    <s v="Electronics"/>
    <s v="Laptop"/>
    <n v="7"/>
    <n v="362.76"/>
    <n v="0.05"/>
    <n v="2412.35"/>
    <n v="1770.79"/>
    <n v="641.55999999999995"/>
    <s v="Transfer"/>
    <n v="4"/>
    <s v="May"/>
    <s v="Q2"/>
    <n v="2024"/>
    <m/>
  </r>
  <r>
    <s v="SAL-1159"/>
    <d v="2024-07-30T00:00:00"/>
    <s v="Jacqueline Spencer"/>
    <x v="0"/>
    <s v="Port Harcourt"/>
    <s v="Corporate"/>
    <s v="Furniture"/>
    <s v="Desk"/>
    <n v="3"/>
    <n v="744.33"/>
    <n v="0.1"/>
    <n v="2009.69"/>
    <n v="1138.49"/>
    <n v="871.2"/>
    <s v="Transfer"/>
    <n v="3"/>
    <s v="July"/>
    <s v="Q3"/>
    <n v="2024"/>
    <m/>
  </r>
  <r>
    <s v="SAL-1160"/>
    <d v="2024-03-30T00:00:00"/>
    <s v="Kenneth Brown"/>
    <x v="0"/>
    <s v="Lagos"/>
    <s v="Consumer"/>
    <s v="Office Supplies"/>
    <s v="Paper"/>
    <n v="9"/>
    <n v="297.56"/>
    <n v="0.1"/>
    <n v="2410.2399999999998"/>
    <n v="1775.36"/>
    <n v="634.88"/>
    <s v="Cash"/>
    <n v="1"/>
    <s v="March"/>
    <s v="Q1"/>
    <n v="2024"/>
    <m/>
  </r>
  <r>
    <s v="SAL-1161"/>
    <d v="2024-04-28T00:00:00"/>
    <s v="William Martinez"/>
    <x v="4"/>
    <s v="Port Harcourt"/>
    <s v="Consumer"/>
    <s v="Furniture"/>
    <s v="Desk"/>
    <n v="4"/>
    <n v="861.71"/>
    <n v="0.05"/>
    <n v="3274.5"/>
    <n v="1746.07"/>
    <n v="1528.43"/>
    <s v="Cash"/>
    <n v="5"/>
    <s v="April"/>
    <s v="Q2"/>
    <n v="2024"/>
    <m/>
  </r>
  <r>
    <s v="SAL-1162"/>
    <d v="2024-09-11T00:00:00"/>
    <s v="Kelly Rivas"/>
    <x v="2"/>
    <s v="Lagos"/>
    <s v="Consumer"/>
    <s v="Furniture"/>
    <s v="Desk"/>
    <n v="11"/>
    <n v="142.61000000000001"/>
    <n v="0.05"/>
    <n v="1490.27"/>
    <n v="1064.6300000000001"/>
    <n v="425.64"/>
    <s v="Mobile Payment"/>
    <n v="3"/>
    <s v="September"/>
    <s v="Q3"/>
    <n v="2024"/>
    <m/>
  </r>
  <r>
    <s v="SAL-1163"/>
    <d v="2024-07-06T00:00:00"/>
    <s v="Sarah Richards"/>
    <x v="3"/>
    <s v="Port Harcourt"/>
    <s v="Consumer"/>
    <s v="Furniture"/>
    <s v="Cabinet"/>
    <n v="12"/>
    <n v="121.32"/>
    <n v="0.15"/>
    <n v="1237.46"/>
    <n v="977.78"/>
    <n v="259.68"/>
    <s v="Cash"/>
    <n v="1"/>
    <s v="July"/>
    <s v="Q3"/>
    <n v="2024"/>
    <m/>
  </r>
  <r>
    <s v="SAL-1164"/>
    <d v="2024-09-01T00:00:00"/>
    <s v="Annette Young"/>
    <x v="4"/>
    <s v="Port Harcourt"/>
    <s v="Corporate"/>
    <s v="Office Supplies"/>
    <s v="Paper"/>
    <n v="9"/>
    <n v="1104.55"/>
    <n v="0.15"/>
    <n v="8449.81"/>
    <n v="5014.49"/>
    <n v="3435.32"/>
    <s v="Mobile Payment"/>
    <n v="1"/>
    <s v="September"/>
    <s v="Q3"/>
    <n v="2024"/>
    <m/>
  </r>
  <r>
    <s v="SAL-1165"/>
    <d v="2024-01-16T00:00:00"/>
    <s v="Douglas Bates"/>
    <x v="0"/>
    <s v="Lagos"/>
    <s v="Consumer"/>
    <s v="Office Supplies"/>
    <s v="Pen"/>
    <n v="4"/>
    <n v="547.54"/>
    <n v="0.1"/>
    <n v="1971.14"/>
    <n v="1567.82"/>
    <n v="403.32"/>
    <s v="Mobile Payment"/>
    <n v="1"/>
    <s v="January"/>
    <s v="Q1"/>
    <n v="2024"/>
    <m/>
  </r>
  <r>
    <s v="SAL-1166"/>
    <d v="2024-07-20T00:00:00"/>
    <s v="John Riley"/>
    <x v="4"/>
    <s v="Kano"/>
    <s v="Home Office"/>
    <s v="Clothing"/>
    <s v="Jacket"/>
    <n v="11"/>
    <n v="552.65"/>
    <n v="0.05"/>
    <n v="5775.19"/>
    <n v="3738.02"/>
    <n v="2037.17"/>
    <s v="Mobile Payment"/>
    <n v="5"/>
    <s v="July"/>
    <s v="Q3"/>
    <n v="2024"/>
    <m/>
  </r>
  <r>
    <s v="SAL-1167"/>
    <d v="2024-06-14T00:00:00"/>
    <s v="Jennifer Brown"/>
    <x v="4"/>
    <s v="Kano"/>
    <s v="Home Office"/>
    <s v="Office Supplies"/>
    <s v="Pen"/>
    <n v="6"/>
    <n v="861.6"/>
    <n v="0.1"/>
    <n v="4652.6400000000003"/>
    <n v="3766.38"/>
    <n v="886.26"/>
    <s v="Transfer"/>
    <n v="4"/>
    <s v="June"/>
    <s v="Q2"/>
    <n v="2024"/>
    <m/>
  </r>
  <r>
    <s v="SAL-1168"/>
    <d v="2024-04-04T00:00:00"/>
    <s v="Tammy Oneal"/>
    <x v="3"/>
    <s v="Lagos"/>
    <s v="Home Office"/>
    <s v="Furniture"/>
    <s v="Cabinet"/>
    <n v="3"/>
    <n v="717.64"/>
    <n v="0"/>
    <n v="2152.92"/>
    <n v="1630.86"/>
    <n v="522.05999999999995"/>
    <s v="Mobile Payment"/>
    <n v="3"/>
    <s v="April"/>
    <s v="Q2"/>
    <n v="2024"/>
    <m/>
  </r>
  <r>
    <s v="SAL-1169"/>
    <d v="2024-03-22T00:00:00"/>
    <s v="Rebecca Lopez"/>
    <x v="4"/>
    <s v="Kano"/>
    <s v="Corporate"/>
    <s v="Electronics"/>
    <s v="Tablet"/>
    <n v="6"/>
    <n v="930.47"/>
    <n v="0"/>
    <n v="5582.82"/>
    <n v="3303.17"/>
    <n v="2279.65"/>
    <s v="Cash"/>
    <n v="4"/>
    <s v="March"/>
    <s v="Q1"/>
    <n v="2024"/>
    <m/>
  </r>
  <r>
    <s v="SAL-1170"/>
    <d v="2024-07-28T00:00:00"/>
    <s v="Kent Hernandez"/>
    <x v="1"/>
    <s v="Lagos"/>
    <s v="Home Office"/>
    <s v="Office Supplies"/>
    <s v="Notebook"/>
    <n v="9"/>
    <n v="914.07"/>
    <n v="0.1"/>
    <n v="7403.97"/>
    <n v="4077.18"/>
    <n v="3326.79"/>
    <s v="Mobile Payment"/>
    <n v="1"/>
    <s v="July"/>
    <s v="Q3"/>
    <n v="2024"/>
    <m/>
  </r>
  <r>
    <s v="SAL-1171"/>
    <d v="2024-08-31T00:00:00"/>
    <s v="Jessica Gallagher"/>
    <x v="1"/>
    <s v="Kano"/>
    <s v="Consumer"/>
    <s v="Office Supplies"/>
    <s v="Notebook"/>
    <n v="11"/>
    <n v="169.99"/>
    <n v="0.05"/>
    <n v="1776.4"/>
    <n v="1508.08"/>
    <n v="268.32"/>
    <s v="Cash"/>
    <n v="4"/>
    <s v="August"/>
    <s v="Q3"/>
    <n v="2024"/>
    <m/>
  </r>
  <r>
    <s v="SAL-1172"/>
    <d v="2024-11-26T00:00:00"/>
    <s v="Joseph Garrett"/>
    <x v="3"/>
    <s v="Abuja"/>
    <s v="Corporate"/>
    <s v="Office Supplies"/>
    <s v="Pen"/>
    <n v="11"/>
    <n v="141.86000000000001"/>
    <n v="0.15"/>
    <n v="1326.39"/>
    <n v="940.73"/>
    <n v="385.66"/>
    <s v="Cash"/>
    <n v="3"/>
    <s v="November"/>
    <s v="Q4"/>
    <n v="2024"/>
    <m/>
  </r>
  <r>
    <s v="SAL-1173"/>
    <d v="2024-09-14T00:00:00"/>
    <s v="Peter Cole"/>
    <x v="3"/>
    <s v="Kano"/>
    <s v="Home Office"/>
    <s v="Clothing"/>
    <s v="Sneakers"/>
    <n v="12"/>
    <n v="282.55"/>
    <n v="0.05"/>
    <n v="3221.07"/>
    <n v="1725"/>
    <n v="1496.07"/>
    <s v="Transfer"/>
    <n v="2"/>
    <s v="September"/>
    <s v="Q3"/>
    <n v="2024"/>
    <m/>
  </r>
  <r>
    <s v="SAL-1174"/>
    <d v="2024-03-14T00:00:00"/>
    <s v="David Perkins"/>
    <x v="1"/>
    <s v="Port Harcourt"/>
    <s v="Corporate"/>
    <s v="Office Supplies"/>
    <s v="Notebook"/>
    <n v="3"/>
    <n v="584.77"/>
    <n v="0"/>
    <n v="1754.31"/>
    <n v="1455.34"/>
    <n v="298.97000000000003"/>
    <s v="Cash"/>
    <n v="4"/>
    <s v="March"/>
    <s v="Q1"/>
    <n v="2024"/>
    <m/>
  </r>
  <r>
    <s v="SAL-1175"/>
    <d v="2024-10-17T00:00:00"/>
    <s v="Michele Pitts"/>
    <x v="3"/>
    <s v="Kano"/>
    <s v="Corporate"/>
    <s v="Electronics"/>
    <s v="Phone"/>
    <n v="8"/>
    <n v="456.58"/>
    <n v="0"/>
    <n v="3652.64"/>
    <n v="2069.62"/>
    <n v="1583.02"/>
    <s v="Cash"/>
    <n v="5"/>
    <s v="October"/>
    <s v="Q4"/>
    <n v="2024"/>
    <m/>
  </r>
  <r>
    <s v="SAL-1176"/>
    <d v="2024-08-06T00:00:00"/>
    <s v="Gabriel Morrison"/>
    <x v="3"/>
    <s v="Ibadan"/>
    <s v="Corporate"/>
    <s v="Furniture"/>
    <s v="Chair"/>
    <n v="8"/>
    <n v="588.41"/>
    <n v="0.15"/>
    <n v="4001.19"/>
    <n v="3379.78"/>
    <n v="621.41"/>
    <s v="Cash"/>
    <n v="4"/>
    <s v="August"/>
    <s v="Q3"/>
    <n v="2024"/>
    <m/>
  </r>
  <r>
    <s v="SAL-1177"/>
    <d v="2024-08-27T00:00:00"/>
    <s v="Jenny Perez"/>
    <x v="4"/>
    <s v="Ibadan"/>
    <s v="Corporate"/>
    <s v="Clothing"/>
    <s v="Sneakers"/>
    <n v="4"/>
    <n v="159.41"/>
    <n v="0.15"/>
    <n v="541.99"/>
    <n v="392.7"/>
    <n v="149.29"/>
    <s v="Cash"/>
    <n v="4"/>
    <s v="August"/>
    <s v="Q3"/>
    <n v="2024"/>
    <m/>
  </r>
  <r>
    <s v="SAL-1178"/>
    <d v="2024-10-30T00:00:00"/>
    <s v="Jacob Black"/>
    <x v="3"/>
    <s v="Lagos"/>
    <s v="Consumer"/>
    <s v="Office Supplies"/>
    <s v="Pen"/>
    <n v="10"/>
    <n v="140.77000000000001"/>
    <n v="0.15"/>
    <n v="1196.55"/>
    <n v="627.82000000000005"/>
    <n v="568.73"/>
    <s v="Cash"/>
    <n v="1"/>
    <s v="October"/>
    <s v="Q4"/>
    <n v="2024"/>
    <m/>
  </r>
  <r>
    <s v="SAL-1179"/>
    <d v="2024-09-15T00:00:00"/>
    <s v="Sandy Gilbert"/>
    <x v="1"/>
    <s v="Abuja"/>
    <s v="Home Office"/>
    <s v="Office Supplies"/>
    <s v="Notebook"/>
    <n v="4"/>
    <n v="643.5"/>
    <n v="0"/>
    <n v="2574"/>
    <n v="1418.82"/>
    <n v="1155.18"/>
    <s v="Mobile Payment"/>
    <n v="1"/>
    <s v="September"/>
    <s v="Q3"/>
    <n v="2024"/>
    <m/>
  </r>
  <r>
    <s v="SAL-1180"/>
    <d v="2024-03-29T00:00:00"/>
    <s v="Anne Garcia"/>
    <x v="1"/>
    <s v="Lagos"/>
    <s v="Consumer"/>
    <s v="Clothing"/>
    <s v="Sneakers"/>
    <n v="2"/>
    <n v="983.55"/>
    <n v="0.1"/>
    <n v="1770.39"/>
    <n v="1158.31"/>
    <n v="612.08000000000004"/>
    <s v="Cash"/>
    <n v="3"/>
    <s v="March"/>
    <s v="Q1"/>
    <n v="2024"/>
    <m/>
  </r>
  <r>
    <s v="SAL-1181"/>
    <d v="2024-02-06T00:00:00"/>
    <s v="Dr. Sydney Mueller DDS"/>
    <x v="3"/>
    <s v="Ibadan"/>
    <s v="Consumer"/>
    <s v="Furniture"/>
    <s v="Cabinet"/>
    <n v="1"/>
    <n v="330.49"/>
    <n v="0"/>
    <n v="330.49"/>
    <n v="187.48"/>
    <n v="143.01"/>
    <s v="Cash"/>
    <n v="2"/>
    <s v="February"/>
    <s v="Q1"/>
    <n v="2024"/>
    <m/>
  </r>
  <r>
    <s v="SAL-1182"/>
    <d v="2024-04-11T00:00:00"/>
    <s v="Mary Houston"/>
    <x v="1"/>
    <s v="Kano"/>
    <s v="Consumer"/>
    <s v="Office Supplies"/>
    <s v="Paper"/>
    <n v="7"/>
    <n v="561.27"/>
    <n v="0.15"/>
    <n v="3339.56"/>
    <n v="2827.02"/>
    <n v="512.54"/>
    <s v="Card"/>
    <n v="5"/>
    <s v="April"/>
    <s v="Q2"/>
    <n v="2024"/>
    <m/>
  </r>
  <r>
    <s v="SAL-1183"/>
    <d v="2024-12-20T00:00:00"/>
    <s v="Amanda Oconnor"/>
    <x v="0"/>
    <s v="Abuja"/>
    <s v="Corporate"/>
    <s v="Furniture"/>
    <s v="Chair"/>
    <n v="2"/>
    <n v="176.88"/>
    <n v="0"/>
    <n v="353.76"/>
    <n v="229.24"/>
    <n v="124.52"/>
    <s v="Transfer"/>
    <n v="3"/>
    <s v="December"/>
    <s v="Q4"/>
    <n v="2024"/>
    <m/>
  </r>
  <r>
    <s v="SAL-1184"/>
    <d v="2024-05-12T00:00:00"/>
    <s v="Oscar Johnson"/>
    <x v="0"/>
    <s v="Kano"/>
    <s v="Corporate"/>
    <s v="Clothing"/>
    <s v="Jacket"/>
    <n v="6"/>
    <n v="707.17"/>
    <n v="0.15"/>
    <n v="3606.57"/>
    <n v="2036.57"/>
    <n v="1570"/>
    <s v="Cash"/>
    <n v="4"/>
    <s v="May"/>
    <s v="Q2"/>
    <n v="2024"/>
    <m/>
  </r>
  <r>
    <s v="SAL-1185"/>
    <d v="2024-09-17T00:00:00"/>
    <s v="Larry Hernandez"/>
    <x v="2"/>
    <s v="Abuja"/>
    <s v="Consumer"/>
    <s v="Office Supplies"/>
    <s v="Paper"/>
    <n v="10"/>
    <n v="334.06"/>
    <n v="0.1"/>
    <n v="3006.54"/>
    <n v="1920.88"/>
    <n v="1085.6600000000001"/>
    <s v="Mobile Payment"/>
    <n v="1"/>
    <s v="September"/>
    <s v="Q3"/>
    <n v="2024"/>
    <m/>
  </r>
  <r>
    <s v="SAL-1186"/>
    <d v="2024-09-04T00:00:00"/>
    <s v="Jeffrey Sheppard"/>
    <x v="3"/>
    <s v="Kano"/>
    <s v="Corporate"/>
    <s v="Furniture"/>
    <s v="Cabinet"/>
    <n v="4"/>
    <n v="209.97"/>
    <n v="0.1"/>
    <n v="755.89"/>
    <n v="534.25"/>
    <n v="221.64"/>
    <s v="Transfer"/>
    <n v="2"/>
    <s v="September"/>
    <s v="Q3"/>
    <n v="2024"/>
    <m/>
  </r>
  <r>
    <s v="SAL-1187"/>
    <d v="2024-03-02T00:00:00"/>
    <s v="Brian Kim"/>
    <x v="4"/>
    <s v="Abuja"/>
    <s v="Home Office"/>
    <s v="Clothing"/>
    <s v="Sneakers"/>
    <n v="8"/>
    <n v="969.14"/>
    <n v="0"/>
    <n v="7753.12"/>
    <n v="4600.1499999999996"/>
    <n v="3152.97"/>
    <s v="Card"/>
    <n v="1"/>
    <s v="March"/>
    <s v="Q1"/>
    <n v="2024"/>
    <m/>
  </r>
  <r>
    <s v="SAL-1188"/>
    <d v="2024-12-22T00:00:00"/>
    <s v="Michael Solomon"/>
    <x v="0"/>
    <s v="Lagos"/>
    <s v="Home Office"/>
    <s v="Furniture"/>
    <s v="Desk"/>
    <n v="4"/>
    <n v="865.66"/>
    <n v="0"/>
    <n v="3462.64"/>
    <n v="2613.65"/>
    <n v="848.99"/>
    <s v="Mobile Payment"/>
    <n v="3"/>
    <s v="December"/>
    <s v="Q4"/>
    <n v="2024"/>
    <m/>
  </r>
  <r>
    <s v="SAL-1189"/>
    <d v="2024-06-30T00:00:00"/>
    <s v="Stephanie Duncan"/>
    <x v="2"/>
    <s v="Kano"/>
    <s v="Home Office"/>
    <s v="Furniture"/>
    <s v="Cabinet"/>
    <n v="12"/>
    <n v="315.32"/>
    <n v="0"/>
    <n v="3783.84"/>
    <n v="2842.95"/>
    <n v="940.89"/>
    <s v="Cash"/>
    <n v="4"/>
    <s v="June"/>
    <s v="Q2"/>
    <n v="2024"/>
    <m/>
  </r>
  <r>
    <s v="SAL-1190"/>
    <d v="2024-05-22T00:00:00"/>
    <s v="Audrey Wright"/>
    <x v="4"/>
    <s v="Abuja"/>
    <s v="Consumer"/>
    <s v="Office Supplies"/>
    <s v="Paper"/>
    <n v="5"/>
    <n v="456.22"/>
    <n v="0.15"/>
    <n v="1938.94"/>
    <n v="999.8"/>
    <n v="939.14"/>
    <s v="Transfer"/>
    <n v="1"/>
    <s v="May"/>
    <s v="Q2"/>
    <n v="2024"/>
    <m/>
  </r>
  <r>
    <s v="SAL-1191"/>
    <d v="2024-05-05T00:00:00"/>
    <s v="Patrick Francis"/>
    <x v="4"/>
    <s v="Abuja"/>
    <s v="Home Office"/>
    <s v="Electronics"/>
    <s v="Printer"/>
    <n v="8"/>
    <n v="844.9"/>
    <n v="0.1"/>
    <n v="6083.28"/>
    <n v="3393.44"/>
    <n v="2689.84"/>
    <s v="Mobile Payment"/>
    <n v="5"/>
    <s v="May"/>
    <s v="Q2"/>
    <n v="2024"/>
    <m/>
  </r>
  <r>
    <s v="SAL-1192"/>
    <d v="2024-01-15T00:00:00"/>
    <s v="Kimberly Knight"/>
    <x v="2"/>
    <s v="Ibadan"/>
    <s v="Consumer"/>
    <s v="Electronics"/>
    <s v="Laptop"/>
    <n v="11"/>
    <n v="763.65"/>
    <n v="0.15"/>
    <n v="7140.13"/>
    <n v="4703.41"/>
    <n v="2436.7199999999998"/>
    <s v="Transfer"/>
    <n v="2"/>
    <s v="January"/>
    <s v="Q1"/>
    <n v="2024"/>
    <m/>
  </r>
  <r>
    <s v="SAL-1193"/>
    <d v="2024-12-14T00:00:00"/>
    <s v="Nicholas Leach"/>
    <x v="2"/>
    <s v="Abuja"/>
    <s v="Corporate"/>
    <s v="Office Supplies"/>
    <s v="Pen"/>
    <n v="12"/>
    <n v="938.58"/>
    <n v="0.15"/>
    <n v="9573.52"/>
    <n v="8126.08"/>
    <n v="1447.44"/>
    <s v="Cash"/>
    <n v="1"/>
    <s v="December"/>
    <s v="Q4"/>
    <n v="2024"/>
    <m/>
  </r>
  <r>
    <s v="SAL-1194"/>
    <d v="2024-11-06T00:00:00"/>
    <s v="Nicholas Rodriguez"/>
    <x v="1"/>
    <s v="Lagos"/>
    <s v="Home Office"/>
    <s v="Office Supplies"/>
    <s v="Paper"/>
    <n v="2"/>
    <n v="82.34"/>
    <n v="0.15"/>
    <n v="139.97999999999999"/>
    <n v="112.38"/>
    <n v="27.6"/>
    <s v="Cash"/>
    <n v="2"/>
    <s v="November"/>
    <s v="Q4"/>
    <n v="2024"/>
    <m/>
  </r>
  <r>
    <s v="SAL-1195"/>
    <d v="2024-04-05T00:00:00"/>
    <s v="Michael Brown"/>
    <x v="4"/>
    <s v="Kano"/>
    <s v="Consumer"/>
    <s v="Clothing"/>
    <s v="Jacket"/>
    <n v="3"/>
    <n v="1001.92"/>
    <n v="0.15"/>
    <n v="2554.9"/>
    <n v="1517.96"/>
    <n v="1036.94"/>
    <s v="Transfer"/>
    <n v="5"/>
    <s v="April"/>
    <s v="Q2"/>
    <n v="2024"/>
    <m/>
  </r>
  <r>
    <s v="SAL-1196"/>
    <d v="2024-08-07T00:00:00"/>
    <s v="Elizabeth Osborne"/>
    <x v="2"/>
    <s v="Kano"/>
    <s v="Consumer"/>
    <s v="Office Supplies"/>
    <s v="Notebook"/>
    <n v="11"/>
    <n v="942.38"/>
    <n v="0.1"/>
    <n v="9329.56"/>
    <n v="7374.7"/>
    <n v="1954.86"/>
    <s v="Cash"/>
    <n v="4"/>
    <s v="August"/>
    <s v="Q3"/>
    <n v="2024"/>
    <m/>
  </r>
  <r>
    <s v="SAL-1197"/>
    <d v="2024-11-02T00:00:00"/>
    <s v="Terry Martinez"/>
    <x v="4"/>
    <s v="Port Harcourt"/>
    <s v="Corporate"/>
    <s v="Office Supplies"/>
    <s v="Notebook"/>
    <n v="10"/>
    <n v="174.23"/>
    <n v="0.05"/>
    <n v="1655.18"/>
    <n v="1390.28"/>
    <n v="264.89999999999998"/>
    <s v="Cash"/>
    <n v="5"/>
    <s v="November"/>
    <s v="Q4"/>
    <n v="2024"/>
    <m/>
  </r>
  <r>
    <s v="SAL-1198"/>
    <d v="2024-04-23T00:00:00"/>
    <s v="Jeremy Bennett"/>
    <x v="0"/>
    <s v="Port Harcourt"/>
    <s v="Consumer"/>
    <s v="Office Supplies"/>
    <s v="Paper"/>
    <n v="1"/>
    <n v="520.79"/>
    <n v="0.15"/>
    <n v="442.67"/>
    <n v="339.16"/>
    <n v="103.51"/>
    <s v="Cash"/>
    <n v="3"/>
    <s v="April"/>
    <s v="Q2"/>
    <n v="2024"/>
    <m/>
  </r>
  <r>
    <s v="SAL-1199"/>
    <d v="2024-11-22T00:00:00"/>
    <s v="Kara Blanchard"/>
    <x v="3"/>
    <s v="Abuja"/>
    <s v="Home Office"/>
    <s v="Clothing"/>
    <s v="Sneakers"/>
    <n v="3"/>
    <n v="943.9"/>
    <n v="0.1"/>
    <n v="2548.5300000000002"/>
    <n v="1992.2"/>
    <n v="556.33000000000004"/>
    <s v="Transfer"/>
    <n v="2"/>
    <s v="November"/>
    <s v="Q4"/>
    <n v="2024"/>
    <m/>
  </r>
  <r>
    <s v="SAL-1200"/>
    <d v="2024-02-18T00:00:00"/>
    <s v="Joseph Simpson"/>
    <x v="1"/>
    <s v="Kano"/>
    <s v="Home Office"/>
    <s v="Electronics"/>
    <s v="Printer"/>
    <n v="2"/>
    <n v="1095.21"/>
    <n v="0.05"/>
    <n v="2080.9"/>
    <n v="1385.45"/>
    <n v="695.45"/>
    <s v="Transfer"/>
    <n v="4"/>
    <s v="February"/>
    <s v="Q1"/>
    <n v="2024"/>
    <m/>
  </r>
  <r>
    <s v="SAL-1201"/>
    <d v="2024-09-08T00:00:00"/>
    <s v="Wendy Smith"/>
    <x v="2"/>
    <s v="Lagos"/>
    <s v="Home Office"/>
    <s v="Furniture"/>
    <s v="Desk"/>
    <n v="9"/>
    <n v="64.45"/>
    <n v="0.05"/>
    <n v="551.04999999999995"/>
    <n v="431.06"/>
    <n v="119.99"/>
    <s v="Card"/>
    <n v="2"/>
    <s v="September"/>
    <s v="Q3"/>
    <n v="2024"/>
    <m/>
  </r>
  <r>
    <s v="SAL-1202"/>
    <d v="2024-02-08T00:00:00"/>
    <s v="Melanie Swanson"/>
    <x v="4"/>
    <s v="Kano"/>
    <s v="Consumer"/>
    <s v="Furniture"/>
    <s v="Desk"/>
    <n v="10"/>
    <n v="400.83"/>
    <n v="0.05"/>
    <n v="3807.88"/>
    <n v="2731.49"/>
    <n v="1076.3900000000001"/>
    <s v="Cash"/>
    <n v="2"/>
    <s v="February"/>
    <s v="Q1"/>
    <n v="2024"/>
    <m/>
  </r>
  <r>
    <s v="SAL-1203"/>
    <d v="2024-03-17T00:00:00"/>
    <s v="Laura Gutierrez"/>
    <x v="3"/>
    <s v="Abuja"/>
    <s v="Consumer"/>
    <s v="Clothing"/>
    <s v="Jacket"/>
    <n v="12"/>
    <n v="879.94"/>
    <n v="0.1"/>
    <n v="9503.35"/>
    <n v="8051.07"/>
    <n v="1452.28"/>
    <s v="Mobile Payment"/>
    <n v="4"/>
    <s v="March"/>
    <s v="Q1"/>
    <n v="2024"/>
    <m/>
  </r>
  <r>
    <s v="SAL-1204"/>
    <d v="2024-07-08T00:00:00"/>
    <s v="April Hoffman"/>
    <x v="4"/>
    <s v="Ibadan"/>
    <s v="Consumer"/>
    <s v="Clothing"/>
    <s v="T-Shirt"/>
    <n v="9"/>
    <n v="825.69"/>
    <n v="0"/>
    <n v="7431.21"/>
    <n v="4969.3100000000004"/>
    <n v="2461.9"/>
    <s v="Cash"/>
    <n v="3"/>
    <s v="July"/>
    <s v="Q3"/>
    <n v="2024"/>
    <m/>
  </r>
  <r>
    <s v="SAL-1205"/>
    <d v="2024-03-01T00:00:00"/>
    <s v="Jason Parker"/>
    <x v="4"/>
    <s v="Abuja"/>
    <s v="Corporate"/>
    <s v="Electronics"/>
    <s v="Printer"/>
    <n v="3"/>
    <n v="1065.44"/>
    <n v="0.05"/>
    <n v="3036.5"/>
    <n v="2134.69"/>
    <n v="901.81"/>
    <s v="Transfer"/>
    <n v="3"/>
    <s v="March"/>
    <s v="Q1"/>
    <n v="2024"/>
    <m/>
  </r>
  <r>
    <s v="SAL-1206"/>
    <d v="2024-05-27T00:00:00"/>
    <s v="Dillon Evans"/>
    <x v="3"/>
    <s v="Abuja"/>
    <s v="Consumer"/>
    <s v="Electronics"/>
    <s v="Laptop"/>
    <n v="10"/>
    <n v="410.39"/>
    <n v="0"/>
    <n v="4103.8999999999996"/>
    <n v="2358.6799999999998"/>
    <n v="1745.22"/>
    <s v="Cash"/>
    <n v="5"/>
    <s v="May"/>
    <s v="Q2"/>
    <n v="2024"/>
    <m/>
  </r>
  <r>
    <s v="SAL-1207"/>
    <d v="2024-03-07T00:00:00"/>
    <s v="Vicki Lee"/>
    <x v="2"/>
    <s v="Port Harcourt"/>
    <s v="Corporate"/>
    <s v="Office Supplies"/>
    <s v="Pen"/>
    <n v="12"/>
    <n v="255.77"/>
    <n v="0"/>
    <n v="3069.24"/>
    <n v="1630.88"/>
    <n v="1438.36"/>
    <s v="Mobile Payment"/>
    <n v="1"/>
    <s v="March"/>
    <s v="Q1"/>
    <n v="2024"/>
    <m/>
  </r>
  <r>
    <s v="SAL-1208"/>
    <d v="2024-07-25T00:00:00"/>
    <s v="Bradley Velez"/>
    <x v="1"/>
    <s v="Port Harcourt"/>
    <s v="Home Office"/>
    <s v="Clothing"/>
    <s v="T-Shirt"/>
    <n v="8"/>
    <n v="80.319999999999993"/>
    <n v="0.05"/>
    <n v="610.42999999999995"/>
    <n v="331.71"/>
    <n v="278.72000000000003"/>
    <s v="Transfer"/>
    <n v="1"/>
    <s v="July"/>
    <s v="Q3"/>
    <n v="2024"/>
    <m/>
  </r>
  <r>
    <s v="SAL-1209"/>
    <d v="2024-09-23T00:00:00"/>
    <s v="Jacqueline Watkins"/>
    <x v="4"/>
    <s v="Ibadan"/>
    <s v="Consumer"/>
    <s v="Furniture"/>
    <s v="Cabinet"/>
    <n v="3"/>
    <n v="187.83"/>
    <n v="0.15"/>
    <n v="478.97"/>
    <n v="261.56"/>
    <n v="217.41"/>
    <s v="Card"/>
    <n v="2"/>
    <s v="September"/>
    <s v="Q3"/>
    <n v="2024"/>
    <m/>
  </r>
  <r>
    <s v="SAL-1210"/>
    <d v="2024-03-11T00:00:00"/>
    <s v="John Park"/>
    <x v="1"/>
    <s v="Abuja"/>
    <s v="Consumer"/>
    <s v="Office Supplies"/>
    <s v="Paper"/>
    <n v="4"/>
    <n v="500.37"/>
    <n v="0.1"/>
    <n v="1801.33"/>
    <n v="1270.76"/>
    <n v="530.57000000000005"/>
    <s v="Card"/>
    <n v="2"/>
    <s v="March"/>
    <s v="Q1"/>
    <n v="2024"/>
    <m/>
  </r>
  <r>
    <s v="SAL-1211"/>
    <d v="2024-07-28T00:00:00"/>
    <s v="Alexandra Wagner"/>
    <x v="2"/>
    <s v="Port Harcourt"/>
    <s v="Corporate"/>
    <s v="Furniture"/>
    <s v="Desk"/>
    <n v="2"/>
    <n v="72.25"/>
    <n v="0.05"/>
    <n v="137.28"/>
    <n v="92.8"/>
    <n v="44.48"/>
    <s v="Card"/>
    <n v="5"/>
    <s v="July"/>
    <s v="Q3"/>
    <n v="2024"/>
    <m/>
  </r>
  <r>
    <s v="SAL-1212"/>
    <d v="2024-07-02T00:00:00"/>
    <s v="Deborah Conley"/>
    <x v="0"/>
    <s v="Abuja"/>
    <s v="Consumer"/>
    <s v="Clothing"/>
    <s v="Jacket"/>
    <n v="12"/>
    <n v="82.99"/>
    <n v="0"/>
    <n v="995.88"/>
    <n v="524.41"/>
    <n v="471.47"/>
    <s v="Card"/>
    <n v="4"/>
    <s v="July"/>
    <s v="Q3"/>
    <n v="2024"/>
    <m/>
  </r>
  <r>
    <s v="SAL-1213"/>
    <d v="2024-07-26T00:00:00"/>
    <s v="Carl Hayes"/>
    <x v="3"/>
    <s v="Kano"/>
    <s v="Home Office"/>
    <s v="Electronics"/>
    <s v="Tablet"/>
    <n v="4"/>
    <n v="1130.0899999999999"/>
    <n v="0.05"/>
    <n v="4294.34"/>
    <n v="3564.75"/>
    <n v="729.59"/>
    <s v="Cash"/>
    <n v="1"/>
    <s v="July"/>
    <s v="Q3"/>
    <n v="2024"/>
    <m/>
  </r>
  <r>
    <s v="SAL-1214"/>
    <d v="2024-01-30T00:00:00"/>
    <s v="Scott James"/>
    <x v="2"/>
    <s v="Kano"/>
    <s v="Home Office"/>
    <s v="Furniture"/>
    <s v="Chair"/>
    <n v="5"/>
    <n v="970.28"/>
    <n v="0.05"/>
    <n v="4608.83"/>
    <n v="2943.96"/>
    <n v="1664.87"/>
    <s v="Transfer"/>
    <n v="3"/>
    <s v="January"/>
    <s v="Q1"/>
    <n v="2024"/>
    <m/>
  </r>
  <r>
    <s v="SAL-1215"/>
    <d v="2024-01-26T00:00:00"/>
    <s v="Elaine Jimenez"/>
    <x v="1"/>
    <s v="Ibadan"/>
    <s v="Home Office"/>
    <s v="Office Supplies"/>
    <s v="Paper"/>
    <n v="9"/>
    <n v="586.1"/>
    <n v="0"/>
    <n v="5274.9"/>
    <n v="2706.42"/>
    <n v="2568.48"/>
    <s v="Transfer"/>
    <n v="1"/>
    <s v="January"/>
    <s v="Q1"/>
    <n v="2024"/>
    <m/>
  </r>
  <r>
    <s v="SAL-1216"/>
    <d v="2024-04-20T00:00:00"/>
    <s v="Tracey Williams"/>
    <x v="0"/>
    <s v="Abuja"/>
    <s v="Home Office"/>
    <s v="Furniture"/>
    <s v="Cabinet"/>
    <n v="2"/>
    <n v="183.64"/>
    <n v="0.1"/>
    <n v="330.55"/>
    <n v="171"/>
    <n v="159.55000000000001"/>
    <s v="Transfer"/>
    <n v="4"/>
    <s v="April"/>
    <s v="Q2"/>
    <n v="2024"/>
    <m/>
  </r>
  <r>
    <s v="SAL-1217"/>
    <d v="2024-07-24T00:00:00"/>
    <s v="Julia Garrison"/>
    <x v="1"/>
    <s v="Port Harcourt"/>
    <s v="Home Office"/>
    <s v="Electronics"/>
    <s v="Printer"/>
    <n v="8"/>
    <n v="599.29999999999995"/>
    <n v="0"/>
    <n v="4794.3999999999996"/>
    <n v="4006.5"/>
    <n v="787.9"/>
    <s v="Card"/>
    <n v="3"/>
    <s v="July"/>
    <s v="Q3"/>
    <n v="2024"/>
    <m/>
  </r>
  <r>
    <s v="SAL-1218"/>
    <d v="2024-03-03T00:00:00"/>
    <s v="Michelle Phillips"/>
    <x v="4"/>
    <s v="Kano"/>
    <s v="Home Office"/>
    <s v="Office Supplies"/>
    <s v="Notebook"/>
    <n v="9"/>
    <n v="1186.71"/>
    <n v="0.15"/>
    <n v="9078.33"/>
    <n v="5422.6"/>
    <n v="3655.73"/>
    <s v="Mobile Payment"/>
    <n v="2"/>
    <s v="March"/>
    <s v="Q1"/>
    <n v="2024"/>
    <m/>
  </r>
  <r>
    <s v="SAL-1219"/>
    <d v="2024-08-02T00:00:00"/>
    <s v="Kelly Koch"/>
    <x v="0"/>
    <s v="Ibadan"/>
    <s v="Corporate"/>
    <s v="Furniture"/>
    <s v="Chair"/>
    <n v="7"/>
    <n v="940.25"/>
    <n v="0"/>
    <n v="6581.75"/>
    <n v="3381.86"/>
    <n v="3199.89"/>
    <s v="Transfer"/>
    <n v="4"/>
    <s v="August"/>
    <s v="Q3"/>
    <n v="2024"/>
    <m/>
  </r>
  <r>
    <s v="SAL-1220"/>
    <d v="2024-02-01T00:00:00"/>
    <s v="Dan French"/>
    <x v="3"/>
    <s v="Abuja"/>
    <s v="Consumer"/>
    <s v="Office Supplies"/>
    <s v="Pen"/>
    <n v="3"/>
    <n v="624.1"/>
    <n v="0.05"/>
    <n v="1778.69"/>
    <n v="904.8"/>
    <n v="873.89"/>
    <s v="Mobile Payment"/>
    <n v="4"/>
    <s v="February"/>
    <s v="Q1"/>
    <n v="2024"/>
    <m/>
  </r>
  <r>
    <s v="SAL-1221"/>
    <d v="2024-04-30T00:00:00"/>
    <s v="Michael Mason"/>
    <x v="2"/>
    <s v="Port Harcourt"/>
    <s v="Consumer"/>
    <s v="Office Supplies"/>
    <s v="Pen"/>
    <n v="6"/>
    <n v="328.63"/>
    <n v="0.1"/>
    <n v="1774.6"/>
    <n v="889.96"/>
    <n v="884.64"/>
    <s v="Card"/>
    <n v="5"/>
    <s v="April"/>
    <s v="Q2"/>
    <n v="2024"/>
    <m/>
  </r>
  <r>
    <s v="SAL-1222"/>
    <d v="2024-11-30T00:00:00"/>
    <s v="Angel Sanchez"/>
    <x v="3"/>
    <s v="Lagos"/>
    <s v="Consumer"/>
    <s v="Clothing"/>
    <s v="Jacket"/>
    <n v="1"/>
    <n v="48.47"/>
    <n v="0.1"/>
    <n v="43.62"/>
    <n v="30.03"/>
    <n v="13.59"/>
    <s v="Card"/>
    <n v="5"/>
    <s v="November"/>
    <s v="Q4"/>
    <n v="2024"/>
    <m/>
  </r>
  <r>
    <s v="SAL-1223"/>
    <d v="2024-05-18T00:00:00"/>
    <s v="Teresa Nelson"/>
    <x v="4"/>
    <s v="Port Harcourt"/>
    <s v="Consumer"/>
    <s v="Office Supplies"/>
    <s v="Pen"/>
    <n v="2"/>
    <n v="954.46"/>
    <n v="0.15"/>
    <n v="1622.58"/>
    <n v="1334.95"/>
    <n v="287.63"/>
    <s v="Cash"/>
    <n v="3"/>
    <s v="May"/>
    <s v="Q2"/>
    <n v="2024"/>
    <m/>
  </r>
  <r>
    <s v="SAL-1224"/>
    <d v="2024-02-05T00:00:00"/>
    <s v="John Lozano"/>
    <x v="0"/>
    <s v="Abuja"/>
    <s v="Consumer"/>
    <s v="Furniture"/>
    <s v="Chair"/>
    <n v="1"/>
    <n v="617.24"/>
    <n v="0.1"/>
    <n v="555.52"/>
    <n v="283.79000000000002"/>
    <n v="271.73"/>
    <s v="Mobile Payment"/>
    <n v="3"/>
    <s v="February"/>
    <s v="Q1"/>
    <n v="2024"/>
    <m/>
  </r>
  <r>
    <s v="SAL-1225"/>
    <d v="2024-01-08T00:00:00"/>
    <s v="Michael Smith"/>
    <x v="3"/>
    <s v="Ibadan"/>
    <s v="Corporate"/>
    <s v="Electronics"/>
    <s v="Phone"/>
    <n v="8"/>
    <n v="924.25"/>
    <n v="0.1"/>
    <n v="6654.6"/>
    <n v="4875.3999999999996"/>
    <n v="1779.2"/>
    <s v="Mobile Payment"/>
    <n v="5"/>
    <s v="January"/>
    <s v="Q1"/>
    <n v="2024"/>
    <m/>
  </r>
  <r>
    <s v="SAL-1226"/>
    <d v="2024-02-24T00:00:00"/>
    <s v="Jessica Shaffer"/>
    <x v="1"/>
    <s v="Abuja"/>
    <s v="Corporate"/>
    <s v="Electronics"/>
    <s v="Laptop"/>
    <n v="11"/>
    <n v="876.37"/>
    <n v="0.05"/>
    <n v="9158.07"/>
    <n v="6713.59"/>
    <n v="2444.48"/>
    <s v="Cash"/>
    <n v="3"/>
    <s v="February"/>
    <s v="Q1"/>
    <n v="2024"/>
    <m/>
  </r>
  <r>
    <s v="SAL-1227"/>
    <d v="2024-06-13T00:00:00"/>
    <s v="Julia Curtis"/>
    <x v="1"/>
    <s v="Ibadan"/>
    <s v="Consumer"/>
    <s v="Clothing"/>
    <s v="T-Shirt"/>
    <n v="4"/>
    <n v="1134.33"/>
    <n v="0"/>
    <n v="4537.32"/>
    <n v="2455.9"/>
    <n v="2081.42"/>
    <s v="Mobile Payment"/>
    <n v="2"/>
    <s v="June"/>
    <s v="Q2"/>
    <n v="2024"/>
    <m/>
  </r>
  <r>
    <s v="SAL-1228"/>
    <d v="2024-01-12T00:00:00"/>
    <s v="Rhonda Lester"/>
    <x v="4"/>
    <s v="Abuja"/>
    <s v="Consumer"/>
    <s v="Furniture"/>
    <s v="Cabinet"/>
    <n v="3"/>
    <n v="193.88"/>
    <n v="0"/>
    <n v="581.64"/>
    <n v="491.89"/>
    <n v="89.75"/>
    <s v="Transfer"/>
    <n v="1"/>
    <s v="January"/>
    <s v="Q1"/>
    <n v="2024"/>
    <m/>
  </r>
  <r>
    <s v="SAL-1229"/>
    <d v="2024-06-05T00:00:00"/>
    <s v="Cheryl Perez"/>
    <x v="4"/>
    <s v="Kano"/>
    <s v="Home Office"/>
    <s v="Electronics"/>
    <s v="Phone"/>
    <n v="11"/>
    <n v="1047.6600000000001"/>
    <n v="0.05"/>
    <n v="10948.05"/>
    <n v="6324.64"/>
    <n v="4623.41"/>
    <s v="Transfer"/>
    <n v="1"/>
    <s v="June"/>
    <s v="Q2"/>
    <n v="2024"/>
    <m/>
  </r>
  <r>
    <s v="SAL-1230"/>
    <d v="2024-05-23T00:00:00"/>
    <s v="Robert Nichols"/>
    <x v="0"/>
    <s v="Lagos"/>
    <s v="Corporate"/>
    <s v="Furniture"/>
    <s v="Cabinet"/>
    <n v="9"/>
    <n v="817.3"/>
    <n v="0.05"/>
    <n v="6987.91"/>
    <n v="4980.47"/>
    <n v="2007.44"/>
    <s v="Transfer"/>
    <n v="5"/>
    <s v="May"/>
    <s v="Q2"/>
    <n v="2024"/>
    <m/>
  </r>
  <r>
    <s v="SAL-1231"/>
    <d v="2024-01-11T00:00:00"/>
    <s v="Marvin Torres"/>
    <x v="1"/>
    <s v="Lagos"/>
    <s v="Home Office"/>
    <s v="Electronics"/>
    <s v="Laptop"/>
    <n v="10"/>
    <n v="406.97"/>
    <n v="0.15"/>
    <n v="3459.25"/>
    <n v="2576.3000000000002"/>
    <n v="882.95"/>
    <s v="Transfer"/>
    <n v="4"/>
    <s v="January"/>
    <s v="Q1"/>
    <n v="2024"/>
    <m/>
  </r>
  <r>
    <s v="SAL-1232"/>
    <d v="2024-01-11T00:00:00"/>
    <s v="Edgar English"/>
    <x v="1"/>
    <s v="Ibadan"/>
    <s v="Consumer"/>
    <s v="Electronics"/>
    <s v="Phone"/>
    <n v="11"/>
    <n v="463.96"/>
    <n v="0.05"/>
    <n v="4848.38"/>
    <n v="3475.31"/>
    <n v="1373.07"/>
    <s v="Transfer"/>
    <n v="3"/>
    <s v="January"/>
    <s v="Q1"/>
    <n v="2024"/>
    <m/>
  </r>
  <r>
    <s v="SAL-1233"/>
    <d v="2024-07-26T00:00:00"/>
    <s v="Brianna Hart"/>
    <x v="0"/>
    <s v="Lagos"/>
    <s v="Corporate"/>
    <s v="Electronics"/>
    <s v="Printer"/>
    <n v="1"/>
    <n v="985.15"/>
    <n v="0.15"/>
    <n v="837.38"/>
    <n v="659.22"/>
    <n v="178.16"/>
    <s v="Card"/>
    <n v="1"/>
    <s v="July"/>
    <s v="Q3"/>
    <n v="2024"/>
    <m/>
  </r>
  <r>
    <s v="SAL-1234"/>
    <d v="2024-06-15T00:00:00"/>
    <s v="Jessica Robinson"/>
    <x v="3"/>
    <s v="Kano"/>
    <s v="Consumer"/>
    <s v="Clothing"/>
    <s v="Sneakers"/>
    <n v="3"/>
    <n v="616.14"/>
    <n v="0.1"/>
    <n v="1663.58"/>
    <n v="1252.18"/>
    <n v="411.4"/>
    <s v="Mobile Payment"/>
    <n v="3"/>
    <s v="June"/>
    <s v="Q2"/>
    <n v="2024"/>
    <m/>
  </r>
  <r>
    <s v="SAL-1235"/>
    <d v="2024-01-08T00:00:00"/>
    <s v="Charles Craig"/>
    <x v="4"/>
    <s v="Lagos"/>
    <s v="Corporate"/>
    <s v="Furniture"/>
    <s v="Desk"/>
    <n v="2"/>
    <n v="29.23"/>
    <n v="0.05"/>
    <n v="55.54"/>
    <n v="38.799999999999997"/>
    <n v="16.739999999999998"/>
    <s v="Cash"/>
    <n v="4"/>
    <s v="January"/>
    <s v="Q1"/>
    <n v="2024"/>
    <m/>
  </r>
  <r>
    <s v="SAL-1236"/>
    <d v="2024-04-22T00:00:00"/>
    <s v="Rickey Todd"/>
    <x v="1"/>
    <s v="Lagos"/>
    <s v="Corporate"/>
    <s v="Furniture"/>
    <s v="Cabinet"/>
    <n v="7"/>
    <n v="77.209999999999994"/>
    <n v="0"/>
    <n v="540.47"/>
    <n v="404.86"/>
    <n v="135.61000000000001"/>
    <s v="Cash"/>
    <n v="2"/>
    <s v="April"/>
    <s v="Q2"/>
    <n v="2024"/>
    <m/>
  </r>
  <r>
    <s v="SAL-1237"/>
    <d v="2024-10-06T00:00:00"/>
    <s v="Jody Suarez"/>
    <x v="2"/>
    <s v="Port Harcourt"/>
    <s v="Corporate"/>
    <s v="Furniture"/>
    <s v="Chair"/>
    <n v="7"/>
    <n v="780.58"/>
    <n v="0.1"/>
    <n v="4917.6499999999996"/>
    <n v="4130.74"/>
    <n v="786.91"/>
    <s v="Mobile Payment"/>
    <n v="4"/>
    <s v="October"/>
    <s v="Q4"/>
    <n v="2024"/>
    <m/>
  </r>
  <r>
    <s v="SAL-1238"/>
    <d v="2024-07-17T00:00:00"/>
    <s v="Tony Russell"/>
    <x v="2"/>
    <s v="Lagos"/>
    <s v="Corporate"/>
    <s v="Clothing"/>
    <s v="Sneakers"/>
    <n v="11"/>
    <n v="724.28"/>
    <n v="0.15"/>
    <n v="6772.02"/>
    <n v="3404.31"/>
    <n v="3367.71"/>
    <s v="Mobile Payment"/>
    <n v="1"/>
    <s v="July"/>
    <s v="Q3"/>
    <n v="2024"/>
    <m/>
  </r>
  <r>
    <s v="SAL-1239"/>
    <d v="2024-12-14T00:00:00"/>
    <s v="Cynthia Chavez"/>
    <x v="2"/>
    <s v="Lagos"/>
    <s v="Home Office"/>
    <s v="Office Supplies"/>
    <s v="Paper"/>
    <n v="5"/>
    <n v="714.95"/>
    <n v="0"/>
    <n v="3574.75"/>
    <n v="3021.5"/>
    <n v="553.25"/>
    <s v="Card"/>
    <n v="1"/>
    <s v="December"/>
    <s v="Q4"/>
    <n v="2024"/>
    <m/>
  </r>
  <r>
    <s v="SAL-1240"/>
    <d v="2024-02-17T00:00:00"/>
    <s v="Mariah Dudley"/>
    <x v="0"/>
    <s v="Abuja"/>
    <s v="Corporate"/>
    <s v="Office Supplies"/>
    <s v="Pen"/>
    <n v="4"/>
    <n v="304.88"/>
    <n v="0.1"/>
    <n v="1097.57"/>
    <n v="869.49"/>
    <n v="228.08"/>
    <s v="Cash"/>
    <n v="4"/>
    <s v="February"/>
    <s v="Q1"/>
    <n v="2024"/>
    <m/>
  </r>
  <r>
    <s v="SAL-1241"/>
    <d v="2024-12-07T00:00:00"/>
    <s v="Terry Williams"/>
    <x v="2"/>
    <s v="Ibadan"/>
    <s v="Home Office"/>
    <s v="Furniture"/>
    <s v="Desk"/>
    <n v="3"/>
    <n v="55.05"/>
    <n v="0.05"/>
    <n v="156.88999999999999"/>
    <n v="125.64"/>
    <n v="31.25"/>
    <s v="Mobile Payment"/>
    <n v="5"/>
    <s v="December"/>
    <s v="Q4"/>
    <n v="2024"/>
    <m/>
  </r>
  <r>
    <s v="SAL-1242"/>
    <d v="2024-09-09T00:00:00"/>
    <s v="Holly Vance"/>
    <x v="1"/>
    <s v="Kano"/>
    <s v="Home Office"/>
    <s v="Clothing"/>
    <s v="Jacket"/>
    <n v="2"/>
    <n v="238.23"/>
    <n v="0.15"/>
    <n v="404.99"/>
    <n v="280.56"/>
    <n v="124.43"/>
    <s v="Mobile Payment"/>
    <n v="2"/>
    <s v="September"/>
    <s v="Q3"/>
    <n v="2024"/>
    <m/>
  </r>
  <r>
    <s v="SAL-1243"/>
    <d v="2024-05-30T00:00:00"/>
    <s v="Shari Rivera"/>
    <x v="0"/>
    <s v="Kano"/>
    <s v="Corporate"/>
    <s v="Office Supplies"/>
    <s v="Pen"/>
    <n v="6"/>
    <n v="187.72"/>
    <n v="0"/>
    <n v="1126.32"/>
    <n v="752.63"/>
    <n v="373.69"/>
    <s v="Mobile Payment"/>
    <n v="4"/>
    <s v="May"/>
    <s v="Q2"/>
    <n v="2024"/>
    <m/>
  </r>
  <r>
    <s v="SAL-1244"/>
    <d v="2024-05-17T00:00:00"/>
    <s v="Lauren Smith"/>
    <x v="2"/>
    <s v="Kano"/>
    <s v="Corporate"/>
    <s v="Electronics"/>
    <s v="Laptop"/>
    <n v="4"/>
    <n v="656.91"/>
    <n v="0.05"/>
    <n v="2496.2600000000002"/>
    <n v="1905.09"/>
    <n v="591.16999999999996"/>
    <s v="Transfer"/>
    <n v="2"/>
    <s v="May"/>
    <s v="Q2"/>
    <n v="2024"/>
    <m/>
  </r>
  <r>
    <s v="SAL-1245"/>
    <d v="2024-03-13T00:00:00"/>
    <s v="Chad Lee"/>
    <x v="1"/>
    <s v="Kano"/>
    <s v="Corporate"/>
    <s v="Electronics"/>
    <s v="Tablet"/>
    <n v="12"/>
    <n v="885.09"/>
    <n v="0.1"/>
    <n v="9558.9699999999993"/>
    <n v="7779.3"/>
    <n v="1779.67"/>
    <s v="Transfer"/>
    <n v="4"/>
    <s v="March"/>
    <s v="Q1"/>
    <n v="2024"/>
    <m/>
  </r>
  <r>
    <s v="SAL-1246"/>
    <d v="2024-03-05T00:00:00"/>
    <s v="Edward Whitaker"/>
    <x v="2"/>
    <s v="Lagos"/>
    <s v="Corporate"/>
    <s v="Office Supplies"/>
    <s v="Pen"/>
    <n v="2"/>
    <n v="222.08"/>
    <n v="0.1"/>
    <n v="399.74"/>
    <n v="322.74"/>
    <n v="77"/>
    <s v="Transfer"/>
    <n v="3"/>
    <s v="March"/>
    <s v="Q1"/>
    <n v="2024"/>
    <m/>
  </r>
  <r>
    <s v="SAL-1247"/>
    <d v="2024-04-13T00:00:00"/>
    <s v="Rebecca Bryant"/>
    <x v="4"/>
    <s v="Abuja"/>
    <s v="Corporate"/>
    <s v="Furniture"/>
    <s v="Desk"/>
    <n v="1"/>
    <n v="473.41"/>
    <n v="0.1"/>
    <n v="426.07"/>
    <n v="226.24"/>
    <n v="199.83"/>
    <s v="Transfer"/>
    <n v="2"/>
    <s v="April"/>
    <s v="Q2"/>
    <n v="2024"/>
    <m/>
  </r>
  <r>
    <s v="SAL-1248"/>
    <d v="2024-12-04T00:00:00"/>
    <s v="Sherri Butler"/>
    <x v="0"/>
    <s v="Abuja"/>
    <s v="Home Office"/>
    <s v="Furniture"/>
    <s v="Desk"/>
    <n v="9"/>
    <n v="135.27000000000001"/>
    <n v="0.05"/>
    <n v="1156.56"/>
    <n v="733.25"/>
    <n v="423.31"/>
    <s v="Mobile Payment"/>
    <n v="1"/>
    <s v="December"/>
    <s v="Q4"/>
    <n v="2024"/>
    <m/>
  </r>
  <r>
    <s v="SAL-1249"/>
    <d v="2024-09-12T00:00:00"/>
    <s v="William Evans"/>
    <x v="2"/>
    <s v="Kano"/>
    <s v="Corporate"/>
    <s v="Clothing"/>
    <s v="Sneakers"/>
    <n v="1"/>
    <n v="840.05"/>
    <n v="0.15"/>
    <n v="714.04"/>
    <n v="368.25"/>
    <n v="345.79"/>
    <s v="Transfer"/>
    <n v="5"/>
    <s v="September"/>
    <s v="Q3"/>
    <n v="2024"/>
    <m/>
  </r>
  <r>
    <s v="SAL-1250"/>
    <d v="2024-12-03T00:00:00"/>
    <s v="Lisa Warner"/>
    <x v="0"/>
    <s v="Kano"/>
    <s v="Consumer"/>
    <s v="Furniture"/>
    <s v="Chair"/>
    <n v="5"/>
    <n v="96.2"/>
    <n v="0.15"/>
    <n v="408.85"/>
    <n v="233.77"/>
    <n v="175.08"/>
    <s v="Transfer"/>
    <n v="4"/>
    <s v="December"/>
    <s v="Q4"/>
    <n v="2024"/>
    <m/>
  </r>
  <r>
    <s v="SAL-1251"/>
    <d v="2024-08-26T00:00:00"/>
    <s v="Ana Avila"/>
    <x v="3"/>
    <s v="Lagos"/>
    <s v="Home Office"/>
    <s v="Office Supplies"/>
    <s v="Paper"/>
    <n v="11"/>
    <n v="449.17"/>
    <n v="0.1"/>
    <n v="4446.78"/>
    <n v="2875.7"/>
    <n v="1571.08"/>
    <s v="Transfer"/>
    <n v="3"/>
    <s v="August"/>
    <s v="Q3"/>
    <n v="2024"/>
    <m/>
  </r>
  <r>
    <s v="SAL-1252"/>
    <d v="2024-12-13T00:00:00"/>
    <s v="Cesar Acosta"/>
    <x v="2"/>
    <s v="Port Harcourt"/>
    <s v="Home Office"/>
    <s v="Electronics"/>
    <s v="Phone"/>
    <n v="5"/>
    <n v="61.98"/>
    <n v="0.15"/>
    <n v="263.41000000000003"/>
    <n v="191.33"/>
    <n v="72.08"/>
    <s v="Transfer"/>
    <n v="5"/>
    <s v="December"/>
    <s v="Q4"/>
    <n v="2024"/>
    <m/>
  </r>
  <r>
    <s v="SAL-1253"/>
    <d v="2024-07-12T00:00:00"/>
    <s v="Tonya Ross"/>
    <x v="4"/>
    <s v="Abuja"/>
    <s v="Corporate"/>
    <s v="Electronics"/>
    <s v="Phone"/>
    <n v="9"/>
    <n v="278.94"/>
    <n v="0"/>
    <n v="2510.46"/>
    <n v="1359.15"/>
    <n v="1151.31"/>
    <s v="Card"/>
    <n v="1"/>
    <s v="July"/>
    <s v="Q3"/>
    <n v="2024"/>
    <m/>
  </r>
  <r>
    <s v="SAL-1254"/>
    <d v="2024-03-02T00:00:00"/>
    <s v="Kelly Cross"/>
    <x v="0"/>
    <s v="Ibadan"/>
    <s v="Consumer"/>
    <s v="Electronics"/>
    <s v="Printer"/>
    <n v="3"/>
    <n v="718.69"/>
    <n v="0.05"/>
    <n v="2048.27"/>
    <n v="1269.1099999999999"/>
    <n v="779.16"/>
    <s v="Mobile Payment"/>
    <n v="1"/>
    <s v="March"/>
    <s v="Q1"/>
    <n v="2024"/>
    <m/>
  </r>
  <r>
    <s v="SAL-1255"/>
    <d v="2024-04-09T00:00:00"/>
    <s v="Michael Jennings"/>
    <x v="0"/>
    <s v="Kano"/>
    <s v="Consumer"/>
    <s v="Clothing"/>
    <s v="Sneakers"/>
    <n v="10"/>
    <n v="557.75"/>
    <n v="0.1"/>
    <n v="5019.75"/>
    <n v="3826.67"/>
    <n v="1193.08"/>
    <s v="Cash"/>
    <n v="5"/>
    <s v="April"/>
    <s v="Q2"/>
    <n v="2024"/>
    <m/>
  </r>
  <r>
    <s v="SAL-1256"/>
    <d v="2024-05-29T00:00:00"/>
    <s v="Frank Payne"/>
    <x v="4"/>
    <s v="Port Harcourt"/>
    <s v="Home Office"/>
    <s v="Electronics"/>
    <s v="Tablet"/>
    <n v="1"/>
    <n v="29.24"/>
    <n v="0.05"/>
    <n v="27.78"/>
    <n v="21.78"/>
    <n v="6"/>
    <s v="Transfer"/>
    <n v="5"/>
    <s v="May"/>
    <s v="Q2"/>
    <n v="2024"/>
    <m/>
  </r>
  <r>
    <s v="SAL-1257"/>
    <d v="2024-12-24T00:00:00"/>
    <s v="Sarah Morales"/>
    <x v="0"/>
    <s v="Ibadan"/>
    <s v="Consumer"/>
    <s v="Clothing"/>
    <s v="T-Shirt"/>
    <n v="10"/>
    <n v="789.96"/>
    <n v="0.1"/>
    <n v="7109.64"/>
    <n v="5953.99"/>
    <n v="1155.6500000000001"/>
    <s v="Mobile Payment"/>
    <n v="3"/>
    <s v="December"/>
    <s v="Q4"/>
    <n v="2024"/>
    <m/>
  </r>
  <r>
    <s v="SAL-1258"/>
    <d v="2024-08-20T00:00:00"/>
    <s v="Meghan Lucas"/>
    <x v="0"/>
    <s v="Kano"/>
    <s v="Consumer"/>
    <s v="Furniture"/>
    <s v="Cabinet"/>
    <n v="8"/>
    <n v="1007.76"/>
    <n v="0"/>
    <n v="8062.08"/>
    <n v="5607.92"/>
    <n v="2454.16"/>
    <s v="Card"/>
    <n v="5"/>
    <s v="August"/>
    <s v="Q3"/>
    <n v="2024"/>
    <m/>
  </r>
  <r>
    <s v="SAL-1259"/>
    <d v="2024-08-23T00:00:00"/>
    <s v="Aaron Williams"/>
    <x v="4"/>
    <s v="Kano"/>
    <s v="Consumer"/>
    <s v="Electronics"/>
    <s v="Phone"/>
    <n v="8"/>
    <n v="25.76"/>
    <n v="0.1"/>
    <n v="185.47"/>
    <n v="113.19"/>
    <n v="72.28"/>
    <s v="Transfer"/>
    <n v="2"/>
    <s v="August"/>
    <s v="Q3"/>
    <n v="2024"/>
    <m/>
  </r>
  <r>
    <s v="SAL-1260"/>
    <d v="2024-03-15T00:00:00"/>
    <s v="Linda Watson"/>
    <x v="4"/>
    <s v="Kano"/>
    <s v="Home Office"/>
    <s v="Clothing"/>
    <s v="Jacket"/>
    <n v="8"/>
    <n v="817.47"/>
    <n v="0"/>
    <n v="6539.76"/>
    <n v="5447.3"/>
    <n v="1092.46"/>
    <s v="Mobile Payment"/>
    <n v="1"/>
    <s v="March"/>
    <s v="Q1"/>
    <n v="2024"/>
    <m/>
  </r>
  <r>
    <s v="SAL-1261"/>
    <d v="2024-06-06T00:00:00"/>
    <s v="Jeffrey Torres"/>
    <x v="0"/>
    <s v="Port Harcourt"/>
    <s v="Consumer"/>
    <s v="Clothing"/>
    <s v="Jacket"/>
    <n v="10"/>
    <n v="417.43"/>
    <n v="0.05"/>
    <n v="3965.59"/>
    <n v="3126.64"/>
    <n v="838.95"/>
    <s v="Mobile Payment"/>
    <n v="1"/>
    <s v="June"/>
    <s v="Q2"/>
    <n v="2024"/>
    <m/>
  </r>
  <r>
    <s v="SAL-1262"/>
    <d v="2024-12-20T00:00:00"/>
    <s v="Dr. Andrew Mcmillan"/>
    <x v="4"/>
    <s v="Ibadan"/>
    <s v="Consumer"/>
    <s v="Office Supplies"/>
    <s v="Paper"/>
    <n v="9"/>
    <n v="575.1"/>
    <n v="0"/>
    <n v="5175.8999999999996"/>
    <n v="4348.78"/>
    <n v="827.12"/>
    <s v="Cash"/>
    <n v="4"/>
    <s v="December"/>
    <s v="Q4"/>
    <n v="2024"/>
    <m/>
  </r>
  <r>
    <s v="SAL-1263"/>
    <d v="2024-07-30T00:00:00"/>
    <s v="Anna Hayden"/>
    <x v="1"/>
    <s v="Lagos"/>
    <s v="Consumer"/>
    <s v="Clothing"/>
    <s v="T-Shirt"/>
    <n v="11"/>
    <n v="303.20999999999998"/>
    <n v="0.1"/>
    <n v="3001.78"/>
    <n v="1622.6"/>
    <n v="1379.18"/>
    <s v="Card"/>
    <n v="3"/>
    <s v="July"/>
    <s v="Q3"/>
    <n v="2024"/>
    <m/>
  </r>
  <r>
    <s v="SAL-1264"/>
    <d v="2024-06-21T00:00:00"/>
    <s v="Katie Lyons"/>
    <x v="0"/>
    <s v="Port Harcourt"/>
    <s v="Corporate"/>
    <s v="Electronics"/>
    <s v="Laptop"/>
    <n v="8"/>
    <n v="808.84"/>
    <n v="0.1"/>
    <n v="5823.65"/>
    <n v="3329.85"/>
    <n v="2493.8000000000002"/>
    <s v="Cash"/>
    <n v="5"/>
    <s v="June"/>
    <s v="Q2"/>
    <n v="2024"/>
    <m/>
  </r>
  <r>
    <s v="SAL-1265"/>
    <d v="2024-11-24T00:00:00"/>
    <s v="William Thomas"/>
    <x v="2"/>
    <s v="Ibadan"/>
    <s v="Consumer"/>
    <s v="Furniture"/>
    <s v="Chair"/>
    <n v="11"/>
    <n v="818.01"/>
    <n v="0"/>
    <n v="8998.11"/>
    <n v="6885.6"/>
    <n v="2112.5100000000002"/>
    <s v="Card"/>
    <n v="5"/>
    <s v="November"/>
    <s v="Q4"/>
    <n v="2024"/>
    <m/>
  </r>
  <r>
    <s v="SAL-1266"/>
    <d v="2024-03-17T00:00:00"/>
    <s v="Tara Price"/>
    <x v="3"/>
    <s v="Lagos"/>
    <s v="Home Office"/>
    <s v="Furniture"/>
    <s v="Cabinet"/>
    <n v="2"/>
    <n v="426.27"/>
    <n v="0.1"/>
    <n v="767.29"/>
    <n v="437.65"/>
    <n v="329.64"/>
    <s v="Mobile Payment"/>
    <n v="3"/>
    <s v="March"/>
    <s v="Q1"/>
    <n v="2024"/>
    <m/>
  </r>
  <r>
    <s v="SAL-1267"/>
    <d v="2024-02-22T00:00:00"/>
    <s v="David Berry"/>
    <x v="0"/>
    <s v="Lagos"/>
    <s v="Home Office"/>
    <s v="Electronics"/>
    <s v="Phone"/>
    <n v="9"/>
    <n v="29.81"/>
    <n v="0.1"/>
    <n v="241.46"/>
    <n v="174.03"/>
    <n v="67.430000000000007"/>
    <s v="Mobile Payment"/>
    <n v="5"/>
    <s v="February"/>
    <s v="Q1"/>
    <n v="2024"/>
    <m/>
  </r>
  <r>
    <s v="SAL-1268"/>
    <d v="2024-10-03T00:00:00"/>
    <s v="Melissa Smith"/>
    <x v="3"/>
    <s v="Port Harcourt"/>
    <s v="Consumer"/>
    <s v="Office Supplies"/>
    <s v="Paper"/>
    <n v="2"/>
    <n v="147.16"/>
    <n v="0"/>
    <n v="294.32"/>
    <n v="181.72"/>
    <n v="112.6"/>
    <s v="Card"/>
    <n v="2"/>
    <s v="October"/>
    <s v="Q4"/>
    <n v="2024"/>
    <m/>
  </r>
  <r>
    <s v="SAL-1269"/>
    <d v="2024-04-13T00:00:00"/>
    <s v="Yolanda Allen"/>
    <x v="4"/>
    <s v="Ibadan"/>
    <s v="Corporate"/>
    <s v="Furniture"/>
    <s v="Chair"/>
    <n v="2"/>
    <n v="1103.4100000000001"/>
    <n v="0.05"/>
    <n v="2096.48"/>
    <n v="1442.94"/>
    <n v="653.54"/>
    <s v="Cash"/>
    <n v="1"/>
    <s v="April"/>
    <s v="Q2"/>
    <n v="2024"/>
    <m/>
  </r>
  <r>
    <s v="SAL-1270"/>
    <d v="2024-07-11T00:00:00"/>
    <s v="Michael Harrington"/>
    <x v="2"/>
    <s v="Ibadan"/>
    <s v="Home Office"/>
    <s v="Furniture"/>
    <s v="Cabinet"/>
    <n v="1"/>
    <n v="206.79"/>
    <n v="0"/>
    <n v="206.79"/>
    <n v="170.43"/>
    <n v="36.36"/>
    <s v="Cash"/>
    <n v="1"/>
    <s v="July"/>
    <s v="Q3"/>
    <n v="2024"/>
    <m/>
  </r>
  <r>
    <s v="SAL-1271"/>
    <d v="2024-06-30T00:00:00"/>
    <s v="Nicole Nelson"/>
    <x v="1"/>
    <s v="Kano"/>
    <s v="Home Office"/>
    <s v="Clothing"/>
    <s v="Sneakers"/>
    <n v="10"/>
    <n v="648.89"/>
    <n v="0.05"/>
    <n v="6164.45"/>
    <n v="3901.15"/>
    <n v="2263.3000000000002"/>
    <s v="Transfer"/>
    <n v="3"/>
    <s v="June"/>
    <s v="Q2"/>
    <n v="2024"/>
    <m/>
  </r>
  <r>
    <s v="SAL-1272"/>
    <d v="2024-08-30T00:00:00"/>
    <s v="Kelly Ross"/>
    <x v="4"/>
    <s v="Port Harcourt"/>
    <s v="Consumer"/>
    <s v="Electronics"/>
    <s v="Laptop"/>
    <n v="8"/>
    <n v="1159.08"/>
    <n v="0"/>
    <n v="9272.64"/>
    <n v="6716.05"/>
    <n v="2556.59"/>
    <s v="Cash"/>
    <n v="3"/>
    <s v="August"/>
    <s v="Q3"/>
    <n v="2024"/>
    <m/>
  </r>
  <r>
    <s v="SAL-1273"/>
    <d v="2024-04-04T00:00:00"/>
    <s v="Robert Gutierrez"/>
    <x v="3"/>
    <s v="Abuja"/>
    <s v="Corporate"/>
    <s v="Office Supplies"/>
    <s v="Pen"/>
    <n v="8"/>
    <n v="518.03"/>
    <n v="0.05"/>
    <n v="3937.03"/>
    <n v="3199.71"/>
    <n v="737.32"/>
    <s v="Cash"/>
    <n v="2"/>
    <s v="April"/>
    <s v="Q2"/>
    <n v="2024"/>
    <m/>
  </r>
  <r>
    <s v="SAL-1274"/>
    <d v="2024-06-06T00:00:00"/>
    <s v="Danielle Brown"/>
    <x v="1"/>
    <s v="Kano"/>
    <s v="Consumer"/>
    <s v="Office Supplies"/>
    <s v="Notebook"/>
    <n v="3"/>
    <n v="297.7"/>
    <n v="0.15"/>
    <n v="759.13"/>
    <n v="436.91"/>
    <n v="322.22000000000003"/>
    <s v="Transfer"/>
    <n v="3"/>
    <s v="June"/>
    <s v="Q2"/>
    <n v="2024"/>
    <m/>
  </r>
  <r>
    <s v="SAL-1275"/>
    <d v="2024-03-22T00:00:00"/>
    <s v="Aaron Pierce"/>
    <x v="3"/>
    <s v="Port Harcourt"/>
    <s v="Corporate"/>
    <s v="Clothing"/>
    <s v="Jacket"/>
    <n v="3"/>
    <n v="803.54"/>
    <n v="0.15"/>
    <n v="2049.0300000000002"/>
    <n v="1589.11"/>
    <n v="459.92"/>
    <s v="Transfer"/>
    <n v="4"/>
    <s v="March"/>
    <s v="Q1"/>
    <n v="2024"/>
    <m/>
  </r>
  <r>
    <s v="SAL-1276"/>
    <d v="2024-10-14T00:00:00"/>
    <s v="Cynthia King"/>
    <x v="3"/>
    <s v="Lagos"/>
    <s v="Corporate"/>
    <s v="Furniture"/>
    <s v="Desk"/>
    <n v="8"/>
    <n v="896.58"/>
    <n v="0.05"/>
    <n v="6814.01"/>
    <n v="4129.5600000000004"/>
    <n v="2684.45"/>
    <s v="Mobile Payment"/>
    <n v="5"/>
    <s v="October"/>
    <s v="Q4"/>
    <n v="2024"/>
    <m/>
  </r>
  <r>
    <s v="SAL-1277"/>
    <d v="2024-12-16T00:00:00"/>
    <s v="Renee White"/>
    <x v="1"/>
    <s v="Abuja"/>
    <s v="Corporate"/>
    <s v="Electronics"/>
    <s v="Tablet"/>
    <n v="1"/>
    <n v="359.85"/>
    <n v="0.05"/>
    <n v="341.86"/>
    <n v="224.8"/>
    <n v="117.06"/>
    <s v="Cash"/>
    <n v="2"/>
    <s v="December"/>
    <s v="Q4"/>
    <n v="2024"/>
    <m/>
  </r>
  <r>
    <s v="SAL-1278"/>
    <d v="2024-12-14T00:00:00"/>
    <s v="Mrs. Stephanie King"/>
    <x v="3"/>
    <s v="Port Harcourt"/>
    <s v="Home Office"/>
    <s v="Office Supplies"/>
    <s v="Notebook"/>
    <n v="8"/>
    <n v="1188.52"/>
    <n v="0.05"/>
    <n v="9032.75"/>
    <n v="6870.5"/>
    <n v="2162.25"/>
    <s v="Mobile Payment"/>
    <n v="5"/>
    <s v="December"/>
    <s v="Q4"/>
    <n v="2024"/>
    <m/>
  </r>
  <r>
    <s v="SAL-1279"/>
    <d v="2024-04-03T00:00:00"/>
    <s v="Stephen Thompson"/>
    <x v="0"/>
    <s v="Ibadan"/>
    <s v="Home Office"/>
    <s v="Clothing"/>
    <s v="Sneakers"/>
    <n v="2"/>
    <n v="62.18"/>
    <n v="0"/>
    <n v="124.36"/>
    <n v="98.79"/>
    <n v="25.57"/>
    <s v="Mobile Payment"/>
    <n v="1"/>
    <s v="April"/>
    <s v="Q2"/>
    <n v="2024"/>
    <m/>
  </r>
  <r>
    <s v="SAL-1280"/>
    <d v="2024-10-25T00:00:00"/>
    <s v="Brent Turner"/>
    <x v="1"/>
    <s v="Ibadan"/>
    <s v="Home Office"/>
    <s v="Electronics"/>
    <s v="Printer"/>
    <n v="4"/>
    <n v="603.96"/>
    <n v="0.15"/>
    <n v="2053.46"/>
    <n v="1391.35"/>
    <n v="662.11"/>
    <s v="Mobile Payment"/>
    <n v="5"/>
    <s v="October"/>
    <s v="Q4"/>
    <n v="2024"/>
    <m/>
  </r>
  <r>
    <s v="SAL-1281"/>
    <d v="2024-02-02T00:00:00"/>
    <s v="Ryan Jones"/>
    <x v="4"/>
    <s v="Kano"/>
    <s v="Corporate"/>
    <s v="Office Supplies"/>
    <s v="Paper"/>
    <n v="6"/>
    <n v="863.53"/>
    <n v="0.15"/>
    <n v="4404"/>
    <n v="3414.16"/>
    <n v="989.84"/>
    <s v="Mobile Payment"/>
    <n v="2"/>
    <s v="February"/>
    <s v="Q1"/>
    <n v="2024"/>
    <m/>
  </r>
  <r>
    <s v="SAL-1282"/>
    <d v="2024-11-07T00:00:00"/>
    <s v="Nancy Dickerson"/>
    <x v="3"/>
    <s v="Ibadan"/>
    <s v="Home Office"/>
    <s v="Furniture"/>
    <s v="Desk"/>
    <n v="9"/>
    <n v="1199.6600000000001"/>
    <n v="0.1"/>
    <n v="9717.25"/>
    <n v="5775.37"/>
    <n v="3941.88"/>
    <s v="Cash"/>
    <n v="4"/>
    <s v="November"/>
    <s v="Q4"/>
    <n v="2024"/>
    <m/>
  </r>
  <r>
    <s v="SAL-1283"/>
    <d v="2024-11-04T00:00:00"/>
    <s v="Charles Wilson"/>
    <x v="0"/>
    <s v="Lagos"/>
    <s v="Corporate"/>
    <s v="Office Supplies"/>
    <s v="Notebook"/>
    <n v="8"/>
    <n v="220.88"/>
    <n v="0.15"/>
    <n v="1501.98"/>
    <n v="955.85"/>
    <n v="546.13"/>
    <s v="Cash"/>
    <n v="2"/>
    <s v="November"/>
    <s v="Q4"/>
    <n v="2024"/>
    <m/>
  </r>
  <r>
    <s v="SAL-1284"/>
    <d v="2024-09-19T00:00:00"/>
    <s v="Beth Evans"/>
    <x v="2"/>
    <s v="Lagos"/>
    <s v="Consumer"/>
    <s v="Clothing"/>
    <s v="Sneakers"/>
    <n v="7"/>
    <n v="950.51"/>
    <n v="0"/>
    <n v="6653.57"/>
    <n v="4589.1099999999997"/>
    <n v="2064.46"/>
    <s v="Card"/>
    <n v="5"/>
    <s v="September"/>
    <s v="Q3"/>
    <n v="2024"/>
    <m/>
  </r>
  <r>
    <s v="SAL-1285"/>
    <d v="2024-10-03T00:00:00"/>
    <s v="Brent Carey"/>
    <x v="1"/>
    <s v="Lagos"/>
    <s v="Corporate"/>
    <s v="Clothing"/>
    <s v="Sneakers"/>
    <n v="8"/>
    <n v="542.28"/>
    <n v="0.15"/>
    <n v="3687.5"/>
    <n v="2369.9899999999998"/>
    <n v="1317.51"/>
    <s v="Card"/>
    <n v="2"/>
    <s v="October"/>
    <s v="Q4"/>
    <n v="2024"/>
    <m/>
  </r>
  <r>
    <s v="SAL-1286"/>
    <d v="2024-11-30T00:00:00"/>
    <s v="Courtney Thomas"/>
    <x v="0"/>
    <s v="Lagos"/>
    <s v="Home Office"/>
    <s v="Furniture"/>
    <s v="Chair"/>
    <n v="8"/>
    <n v="764.27"/>
    <n v="0.1"/>
    <n v="5502.74"/>
    <n v="3791.17"/>
    <n v="1711.57"/>
    <s v="Transfer"/>
    <n v="4"/>
    <s v="November"/>
    <s v="Q4"/>
    <n v="2024"/>
    <m/>
  </r>
  <r>
    <s v="SAL-1287"/>
    <d v="2024-04-29T00:00:00"/>
    <s v="Shelley Powers"/>
    <x v="4"/>
    <s v="Kano"/>
    <s v="Consumer"/>
    <s v="Electronics"/>
    <s v="Laptop"/>
    <n v="5"/>
    <n v="492.7"/>
    <n v="0.15"/>
    <n v="2093.9699999999998"/>
    <n v="1356.93"/>
    <n v="737.04"/>
    <s v="Mobile Payment"/>
    <n v="5"/>
    <s v="April"/>
    <s v="Q2"/>
    <n v="2024"/>
    <m/>
  </r>
  <r>
    <s v="SAL-1288"/>
    <d v="2024-11-28T00:00:00"/>
    <s v="Mitchell Ortega"/>
    <x v="3"/>
    <s v="Abuja"/>
    <s v="Consumer"/>
    <s v="Office Supplies"/>
    <s v="Paper"/>
    <n v="7"/>
    <n v="1018.39"/>
    <n v="0.1"/>
    <n v="6415.86"/>
    <n v="3700.82"/>
    <n v="2715.04"/>
    <s v="Cash"/>
    <n v="2"/>
    <s v="November"/>
    <s v="Q4"/>
    <n v="2024"/>
    <m/>
  </r>
  <r>
    <s v="SAL-1289"/>
    <d v="2024-11-12T00:00:00"/>
    <s v="Nicole Lawson"/>
    <x v="2"/>
    <s v="Kano"/>
    <s v="Consumer"/>
    <s v="Office Supplies"/>
    <s v="Notebook"/>
    <n v="12"/>
    <n v="246.65"/>
    <n v="0"/>
    <n v="2959.8"/>
    <n v="1896.66"/>
    <n v="1063.1400000000001"/>
    <s v="Cash"/>
    <n v="2"/>
    <s v="November"/>
    <s v="Q4"/>
    <n v="2024"/>
    <m/>
  </r>
  <r>
    <s v="SAL-1290"/>
    <d v="2024-10-15T00:00:00"/>
    <s v="Karen Flowers"/>
    <x v="3"/>
    <s v="Port Harcourt"/>
    <s v="Home Office"/>
    <s v="Clothing"/>
    <s v="Sneakers"/>
    <n v="12"/>
    <n v="304.45"/>
    <n v="0.05"/>
    <n v="3470.73"/>
    <n v="2049.98"/>
    <n v="1420.75"/>
    <s v="Cash"/>
    <n v="1"/>
    <s v="October"/>
    <s v="Q4"/>
    <n v="2024"/>
    <m/>
  </r>
  <r>
    <s v="SAL-1291"/>
    <d v="2024-02-14T00:00:00"/>
    <s v="Bruce Hall"/>
    <x v="1"/>
    <s v="Abuja"/>
    <s v="Home Office"/>
    <s v="Clothing"/>
    <s v="Jacket"/>
    <n v="5"/>
    <n v="1064.1199999999999"/>
    <n v="0"/>
    <n v="5320.6"/>
    <n v="2776.45"/>
    <n v="2544.15"/>
    <s v="Mobile Payment"/>
    <n v="3"/>
    <s v="February"/>
    <s v="Q1"/>
    <n v="2024"/>
    <m/>
  </r>
  <r>
    <s v="SAL-1292"/>
    <d v="2024-12-30T00:00:00"/>
    <s v="Brittany Park"/>
    <x v="1"/>
    <s v="Abuja"/>
    <s v="Home Office"/>
    <s v="Furniture"/>
    <s v="Desk"/>
    <n v="5"/>
    <n v="113.57"/>
    <n v="0.05"/>
    <n v="539.46"/>
    <n v="434.86"/>
    <n v="104.6"/>
    <s v="Transfer"/>
    <n v="1"/>
    <s v="December"/>
    <s v="Q4"/>
    <n v="2024"/>
    <m/>
  </r>
  <r>
    <s v="SAL-1293"/>
    <d v="2024-03-21T00:00:00"/>
    <s v="Tina White"/>
    <x v="4"/>
    <s v="Abuja"/>
    <s v="Corporate"/>
    <s v="Electronics"/>
    <s v="Laptop"/>
    <n v="9"/>
    <n v="1116.23"/>
    <n v="0.05"/>
    <n v="9543.77"/>
    <n v="7260.44"/>
    <n v="2283.33"/>
    <s v="Cash"/>
    <n v="5"/>
    <s v="March"/>
    <s v="Q1"/>
    <n v="2024"/>
    <m/>
  </r>
  <r>
    <s v="SAL-1294"/>
    <d v="2024-04-19T00:00:00"/>
    <s v="William Pineda"/>
    <x v="1"/>
    <s v="Port Harcourt"/>
    <s v="Consumer"/>
    <s v="Clothing"/>
    <s v="Jacket"/>
    <n v="6"/>
    <n v="1032.31"/>
    <n v="0.15"/>
    <n v="5264.78"/>
    <n v="4329.47"/>
    <n v="935.31"/>
    <s v="Mobile Payment"/>
    <n v="2"/>
    <s v="April"/>
    <s v="Q2"/>
    <n v="2024"/>
    <m/>
  </r>
  <r>
    <s v="SAL-1295"/>
    <d v="2024-12-08T00:00:00"/>
    <s v="Carolyn Sanchez"/>
    <x v="2"/>
    <s v="Abuja"/>
    <s v="Consumer"/>
    <s v="Clothing"/>
    <s v="Sneakers"/>
    <n v="10"/>
    <n v="127.78"/>
    <n v="0.15"/>
    <n v="1086.1300000000001"/>
    <n v="583.07000000000005"/>
    <n v="503.06"/>
    <s v="Cash"/>
    <n v="4"/>
    <s v="December"/>
    <s v="Q4"/>
    <n v="2024"/>
    <m/>
  </r>
  <r>
    <s v="SAL-1296"/>
    <d v="2024-07-24T00:00:00"/>
    <s v="Amanda Faulkner"/>
    <x v="0"/>
    <s v="Abuja"/>
    <s v="Consumer"/>
    <s v="Clothing"/>
    <s v="T-Shirt"/>
    <n v="7"/>
    <n v="462.1"/>
    <n v="0.05"/>
    <n v="3072.97"/>
    <n v="1950.55"/>
    <n v="1122.42"/>
    <s v="Card"/>
    <n v="2"/>
    <s v="July"/>
    <s v="Q3"/>
    <n v="2024"/>
    <m/>
  </r>
  <r>
    <s v="SAL-1297"/>
    <d v="2024-08-09T00:00:00"/>
    <s v="Ann Hale"/>
    <x v="3"/>
    <s v="Abuja"/>
    <s v="Consumer"/>
    <s v="Office Supplies"/>
    <s v="Notebook"/>
    <n v="2"/>
    <n v="778.79"/>
    <n v="0"/>
    <n v="1557.58"/>
    <n v="1196.31"/>
    <n v="361.27"/>
    <s v="Mobile Payment"/>
    <n v="4"/>
    <s v="August"/>
    <s v="Q3"/>
    <n v="2024"/>
    <m/>
  </r>
  <r>
    <s v="SAL-1298"/>
    <d v="2024-05-17T00:00:00"/>
    <s v="Richard Parker"/>
    <x v="1"/>
    <s v="Lagos"/>
    <s v="Corporate"/>
    <s v="Furniture"/>
    <s v="Cabinet"/>
    <n v="9"/>
    <n v="672.8"/>
    <n v="0"/>
    <n v="6055.2"/>
    <n v="4011.46"/>
    <n v="2043.74"/>
    <s v="Transfer"/>
    <n v="3"/>
    <s v="May"/>
    <s v="Q2"/>
    <n v="2024"/>
    <m/>
  </r>
  <r>
    <s v="SAL-1299"/>
    <d v="2024-09-25T00:00:00"/>
    <s v="Kevin Yates"/>
    <x v="1"/>
    <s v="Abuja"/>
    <s v="Corporate"/>
    <s v="Furniture"/>
    <s v="Desk"/>
    <n v="10"/>
    <n v="28.65"/>
    <n v="0.1"/>
    <n v="257.85000000000002"/>
    <n v="156.72999999999999"/>
    <n v="101.12"/>
    <s v="Mobile Payment"/>
    <n v="5"/>
    <s v="September"/>
    <s v="Q3"/>
    <n v="2024"/>
    <m/>
  </r>
  <r>
    <s v="SAL-1300"/>
    <d v="2024-06-22T00:00:00"/>
    <s v="Molly Vasquez"/>
    <x v="4"/>
    <s v="Lagos"/>
    <s v="Home Office"/>
    <s v="Office Supplies"/>
    <s v="Pen"/>
    <n v="2"/>
    <n v="911.13"/>
    <n v="0.15"/>
    <n v="1548.92"/>
    <n v="1272.9100000000001"/>
    <n v="276.01"/>
    <s v="Card"/>
    <n v="1"/>
    <s v="June"/>
    <s v="Q2"/>
    <n v="2024"/>
    <m/>
  </r>
  <r>
    <s v="SAL-1301"/>
    <d v="2024-12-22T00:00:00"/>
    <s v="Michael Clark"/>
    <x v="0"/>
    <s v="Lagos"/>
    <s v="Corporate"/>
    <s v="Furniture"/>
    <s v="Desk"/>
    <n v="2"/>
    <n v="106.02"/>
    <n v="0.1"/>
    <n v="190.84"/>
    <n v="120.79"/>
    <n v="70.05"/>
    <s v="Transfer"/>
    <n v="3"/>
    <s v="December"/>
    <s v="Q4"/>
    <n v="2024"/>
    <m/>
  </r>
  <r>
    <s v="SAL-1302"/>
    <d v="2024-10-11T00:00:00"/>
    <s v="Ashley Garner"/>
    <x v="0"/>
    <s v="Ibadan"/>
    <s v="Home Office"/>
    <s v="Electronics"/>
    <s v="Phone"/>
    <n v="7"/>
    <n v="1130.3"/>
    <n v="0.05"/>
    <n v="7516.49"/>
    <n v="4743.8500000000004"/>
    <n v="2772.64"/>
    <s v="Transfer"/>
    <n v="5"/>
    <s v="October"/>
    <s v="Q4"/>
    <n v="2024"/>
    <m/>
  </r>
  <r>
    <s v="SAL-1303"/>
    <d v="2024-08-04T00:00:00"/>
    <s v="Daniel Bennett"/>
    <x v="3"/>
    <s v="Port Harcourt"/>
    <s v="Corporate"/>
    <s v="Clothing"/>
    <s v="Sneakers"/>
    <n v="8"/>
    <n v="1033.3399999999999"/>
    <n v="0.15"/>
    <n v="7026.71"/>
    <n v="5267.02"/>
    <n v="1759.69"/>
    <s v="Transfer"/>
    <n v="3"/>
    <s v="August"/>
    <s v="Q3"/>
    <n v="2024"/>
    <m/>
  </r>
  <r>
    <s v="SAL-1304"/>
    <d v="2024-04-27T00:00:00"/>
    <s v="Matthew Tanner"/>
    <x v="4"/>
    <s v="Kano"/>
    <s v="Home Office"/>
    <s v="Furniture"/>
    <s v="Chair"/>
    <n v="3"/>
    <n v="1111.68"/>
    <n v="0.05"/>
    <n v="3168.29"/>
    <n v="1826.17"/>
    <n v="1342.12"/>
    <s v="Transfer"/>
    <n v="2"/>
    <s v="April"/>
    <s v="Q2"/>
    <n v="2024"/>
    <m/>
  </r>
  <r>
    <s v="SAL-1305"/>
    <d v="2024-12-11T00:00:00"/>
    <s v="Cynthia Kline"/>
    <x v="4"/>
    <s v="Kano"/>
    <s v="Corporate"/>
    <s v="Clothing"/>
    <s v="Jacket"/>
    <n v="2"/>
    <n v="1135.8399999999999"/>
    <n v="0"/>
    <n v="2271.6799999999998"/>
    <n v="1484.31"/>
    <n v="787.37"/>
    <s v="Transfer"/>
    <n v="4"/>
    <s v="December"/>
    <s v="Q4"/>
    <n v="2024"/>
    <m/>
  </r>
  <r>
    <s v="SAL-1306"/>
    <d v="2024-12-21T00:00:00"/>
    <s v="Kevin Olsen"/>
    <x v="2"/>
    <s v="Port Harcourt"/>
    <s v="Corporate"/>
    <s v="Electronics"/>
    <s v="Tablet"/>
    <n v="10"/>
    <n v="598.21"/>
    <n v="0.05"/>
    <n v="5682.99"/>
    <n v="4714.3"/>
    <n v="968.69"/>
    <s v="Transfer"/>
    <n v="4"/>
    <s v="December"/>
    <s v="Q4"/>
    <n v="2024"/>
    <m/>
  </r>
  <r>
    <s v="SAL-1307"/>
    <d v="2024-04-18T00:00:00"/>
    <s v="Jennifer Thomas"/>
    <x v="1"/>
    <s v="Port Harcourt"/>
    <s v="Consumer"/>
    <s v="Office Supplies"/>
    <s v="Pen"/>
    <n v="3"/>
    <n v="694.37"/>
    <n v="0"/>
    <n v="2083.11"/>
    <n v="1099.79"/>
    <n v="983.32"/>
    <s v="Card"/>
    <n v="1"/>
    <s v="April"/>
    <s v="Q2"/>
    <n v="2024"/>
    <m/>
  </r>
  <r>
    <s v="SAL-1308"/>
    <d v="2024-07-08T00:00:00"/>
    <s v="Christopher Roberts"/>
    <x v="2"/>
    <s v="Ibadan"/>
    <s v="Home Office"/>
    <s v="Electronics"/>
    <s v="Tablet"/>
    <n v="8"/>
    <n v="81.47"/>
    <n v="0"/>
    <n v="651.76"/>
    <n v="380.9"/>
    <n v="270.86"/>
    <s v="Card"/>
    <n v="4"/>
    <s v="July"/>
    <s v="Q3"/>
    <n v="2024"/>
    <m/>
  </r>
  <r>
    <s v="SAL-1309"/>
    <d v="2024-05-25T00:00:00"/>
    <s v="Dr. David Perry"/>
    <x v="4"/>
    <s v="Lagos"/>
    <s v="Corporate"/>
    <s v="Electronics"/>
    <s v="Laptop"/>
    <n v="12"/>
    <n v="96.31"/>
    <n v="0.15"/>
    <n v="982.36"/>
    <n v="606.77"/>
    <n v="375.59"/>
    <s v="Transfer"/>
    <n v="3"/>
    <s v="May"/>
    <s v="Q2"/>
    <n v="2024"/>
    <m/>
  </r>
  <r>
    <s v="SAL-1310"/>
    <d v="2024-05-27T00:00:00"/>
    <s v="Joseph Hill"/>
    <x v="0"/>
    <s v="Lagos"/>
    <s v="Home Office"/>
    <s v="Office Supplies"/>
    <s v="Paper"/>
    <n v="11"/>
    <n v="603.08000000000004"/>
    <n v="0.05"/>
    <n v="6302.19"/>
    <n v="4911.4399999999996"/>
    <n v="1390.75"/>
    <s v="Cash"/>
    <n v="5"/>
    <s v="May"/>
    <s v="Q2"/>
    <n v="2024"/>
    <m/>
  </r>
  <r>
    <s v="SAL-1311"/>
    <d v="2024-12-13T00:00:00"/>
    <s v="Diana Vazquez"/>
    <x v="1"/>
    <s v="Kano"/>
    <s v="Consumer"/>
    <s v="Office Supplies"/>
    <s v="Paper"/>
    <n v="5"/>
    <n v="1148.3699999999999"/>
    <n v="0"/>
    <n v="5741.85"/>
    <n v="3222.26"/>
    <n v="2519.59"/>
    <s v="Mobile Payment"/>
    <n v="1"/>
    <s v="December"/>
    <s v="Q4"/>
    <n v="2024"/>
    <m/>
  </r>
  <r>
    <s v="SAL-1312"/>
    <d v="2024-09-26T00:00:00"/>
    <s v="William Brown"/>
    <x v="3"/>
    <s v="Ibadan"/>
    <s v="Consumer"/>
    <s v="Clothing"/>
    <s v="T-Shirt"/>
    <n v="9"/>
    <n v="273.52999999999997"/>
    <n v="0.05"/>
    <n v="2338.6799999999998"/>
    <n v="1659.84"/>
    <n v="678.84"/>
    <s v="Card"/>
    <n v="5"/>
    <s v="September"/>
    <s v="Q3"/>
    <n v="2024"/>
    <m/>
  </r>
  <r>
    <s v="SAL-1313"/>
    <d v="2024-10-24T00:00:00"/>
    <s v="Raymond White"/>
    <x v="4"/>
    <s v="Ibadan"/>
    <s v="Home Office"/>
    <s v="Clothing"/>
    <s v="T-Shirt"/>
    <n v="7"/>
    <n v="657.69"/>
    <n v="0.15"/>
    <n v="3913.26"/>
    <n v="2954.82"/>
    <n v="958.44"/>
    <s v="Mobile Payment"/>
    <n v="5"/>
    <s v="October"/>
    <s v="Q4"/>
    <n v="2024"/>
    <m/>
  </r>
  <r>
    <s v="SAL-1314"/>
    <d v="2024-04-22T00:00:00"/>
    <s v="Patrick Hill"/>
    <x v="4"/>
    <s v="Ibadan"/>
    <s v="Consumer"/>
    <s v="Electronics"/>
    <s v="Tablet"/>
    <n v="3"/>
    <n v="37.94"/>
    <n v="0"/>
    <n v="113.82"/>
    <n v="85.17"/>
    <n v="28.65"/>
    <s v="Transfer"/>
    <n v="4"/>
    <s v="April"/>
    <s v="Q2"/>
    <n v="2024"/>
    <m/>
  </r>
  <r>
    <s v="SAL-1315"/>
    <d v="2024-05-23T00:00:00"/>
    <s v="Heather Kramer"/>
    <x v="0"/>
    <s v="Ibadan"/>
    <s v="Consumer"/>
    <s v="Furniture"/>
    <s v="Desk"/>
    <n v="3"/>
    <n v="296.14999999999998"/>
    <n v="0.1"/>
    <n v="799.6"/>
    <n v="510.95"/>
    <n v="288.64999999999998"/>
    <s v="Card"/>
    <n v="5"/>
    <s v="May"/>
    <s v="Q2"/>
    <n v="2024"/>
    <m/>
  </r>
  <r>
    <s v="SAL-1316"/>
    <d v="2024-04-20T00:00:00"/>
    <s v="Andrew Stevens"/>
    <x v="3"/>
    <s v="Abuja"/>
    <s v="Consumer"/>
    <s v="Office Supplies"/>
    <s v="Pen"/>
    <n v="11"/>
    <n v="689.66"/>
    <n v="0.15"/>
    <n v="6448.32"/>
    <n v="5180.42"/>
    <n v="1267.9000000000001"/>
    <s v="Cash"/>
    <n v="4"/>
    <s v="April"/>
    <s v="Q2"/>
    <n v="2024"/>
    <m/>
  </r>
  <r>
    <s v="SAL-1317"/>
    <d v="2024-03-05T00:00:00"/>
    <s v="Jennifer Smith"/>
    <x v="2"/>
    <s v="Port Harcourt"/>
    <s v="Corporate"/>
    <s v="Office Supplies"/>
    <s v="Notebook"/>
    <n v="3"/>
    <n v="1190.23"/>
    <n v="0"/>
    <n v="3570.69"/>
    <n v="1801.49"/>
    <n v="1769.2"/>
    <s v="Transfer"/>
    <n v="3"/>
    <s v="March"/>
    <s v="Q1"/>
    <n v="2024"/>
    <m/>
  </r>
  <r>
    <s v="SAL-1318"/>
    <d v="2024-03-29T00:00:00"/>
    <s v="William Jackson"/>
    <x v="1"/>
    <s v="Abuja"/>
    <s v="Corporate"/>
    <s v="Office Supplies"/>
    <s v="Pen"/>
    <n v="12"/>
    <n v="220.55"/>
    <n v="0.1"/>
    <n v="2381.94"/>
    <n v="1233.02"/>
    <n v="1148.92"/>
    <s v="Card"/>
    <n v="5"/>
    <s v="March"/>
    <s v="Q1"/>
    <n v="2024"/>
    <m/>
  </r>
  <r>
    <s v="SAL-1319"/>
    <d v="2024-03-15T00:00:00"/>
    <s v="Tracy Ferguson"/>
    <x v="4"/>
    <s v="Lagos"/>
    <s v="Consumer"/>
    <s v="Electronics"/>
    <s v="Printer"/>
    <n v="7"/>
    <n v="923.89"/>
    <n v="0.1"/>
    <n v="5820.51"/>
    <n v="4641.13"/>
    <n v="1179.3800000000001"/>
    <s v="Cash"/>
    <n v="3"/>
    <s v="March"/>
    <s v="Q1"/>
    <n v="2024"/>
    <m/>
  </r>
  <r>
    <s v="SAL-1320"/>
    <d v="2024-06-08T00:00:00"/>
    <s v="Aaron Hartman"/>
    <x v="1"/>
    <s v="Ibadan"/>
    <s v="Home Office"/>
    <s v="Furniture"/>
    <s v="Chair"/>
    <n v="7"/>
    <n v="257.95"/>
    <n v="0.15"/>
    <n v="1534.8"/>
    <n v="809.34"/>
    <n v="725.46"/>
    <s v="Card"/>
    <n v="5"/>
    <s v="June"/>
    <s v="Q2"/>
    <n v="2024"/>
    <m/>
  </r>
  <r>
    <s v="SAL-1321"/>
    <d v="2024-02-05T00:00:00"/>
    <s v="Diana Martinez"/>
    <x v="2"/>
    <s v="Ibadan"/>
    <s v="Corporate"/>
    <s v="Office Supplies"/>
    <s v="Paper"/>
    <n v="3"/>
    <n v="48.27"/>
    <n v="0.15"/>
    <n v="123.09"/>
    <n v="94.23"/>
    <n v="28.86"/>
    <s v="Cash"/>
    <n v="3"/>
    <s v="February"/>
    <s v="Q1"/>
    <n v="2024"/>
    <m/>
  </r>
  <r>
    <s v="SAL-1322"/>
    <d v="2024-10-08T00:00:00"/>
    <s v="Louis Taylor"/>
    <x v="0"/>
    <s v="Abuja"/>
    <s v="Consumer"/>
    <s v="Furniture"/>
    <s v="Cabinet"/>
    <n v="12"/>
    <n v="1048.7"/>
    <n v="0.1"/>
    <n v="11325.96"/>
    <n v="9574.42"/>
    <n v="1751.54"/>
    <s v="Mobile Payment"/>
    <n v="3"/>
    <s v="October"/>
    <s v="Q4"/>
    <n v="2024"/>
    <m/>
  </r>
  <r>
    <s v="SAL-1323"/>
    <d v="2024-11-01T00:00:00"/>
    <s v="Shannon Maxwell"/>
    <x v="4"/>
    <s v="Abuja"/>
    <s v="Home Office"/>
    <s v="Furniture"/>
    <s v="Chair"/>
    <n v="3"/>
    <n v="431.23"/>
    <n v="0.1"/>
    <n v="1164.32"/>
    <n v="661.2"/>
    <n v="503.12"/>
    <s v="Transfer"/>
    <n v="5"/>
    <s v="November"/>
    <s v="Q4"/>
    <n v="2024"/>
    <m/>
  </r>
  <r>
    <s v="SAL-1324"/>
    <d v="2024-02-20T00:00:00"/>
    <s v="Hannah Davidson"/>
    <x v="2"/>
    <s v="Abuja"/>
    <s v="Corporate"/>
    <s v="Office Supplies"/>
    <s v="Notebook"/>
    <n v="6"/>
    <n v="1084.4100000000001"/>
    <n v="0.05"/>
    <n v="6181.14"/>
    <n v="3941.18"/>
    <n v="2239.96"/>
    <s v="Cash"/>
    <n v="5"/>
    <s v="February"/>
    <s v="Q1"/>
    <n v="2024"/>
    <m/>
  </r>
  <r>
    <s v="SAL-1325"/>
    <d v="2024-06-10T00:00:00"/>
    <s v="Kyle Clark"/>
    <x v="2"/>
    <s v="Lagos"/>
    <s v="Consumer"/>
    <s v="Office Supplies"/>
    <s v="Notebook"/>
    <n v="5"/>
    <n v="142.41999999999999"/>
    <n v="0"/>
    <n v="712.1"/>
    <n v="449.79"/>
    <n v="262.31"/>
    <s v="Transfer"/>
    <n v="1"/>
    <s v="June"/>
    <s v="Q2"/>
    <n v="2024"/>
    <m/>
  </r>
  <r>
    <s v="SAL-1326"/>
    <d v="2024-09-12T00:00:00"/>
    <s v="Mrs. Maria Rivera MD"/>
    <x v="3"/>
    <s v="Ibadan"/>
    <s v="Home Office"/>
    <s v="Electronics"/>
    <s v="Phone"/>
    <n v="8"/>
    <n v="1034.6600000000001"/>
    <n v="0.15"/>
    <n v="7035.69"/>
    <n v="4020.33"/>
    <n v="3015.36"/>
    <s v="Transfer"/>
    <n v="1"/>
    <s v="September"/>
    <s v="Q3"/>
    <n v="2024"/>
    <m/>
  </r>
  <r>
    <s v="SAL-1327"/>
    <d v="2024-09-06T00:00:00"/>
    <s v="George Wood"/>
    <x v="3"/>
    <s v="Kano"/>
    <s v="Home Office"/>
    <s v="Furniture"/>
    <s v="Desk"/>
    <n v="12"/>
    <n v="893.79"/>
    <n v="0"/>
    <n v="10725.48"/>
    <n v="6637.05"/>
    <n v="4088.43"/>
    <s v="Cash"/>
    <n v="1"/>
    <s v="September"/>
    <s v="Q3"/>
    <n v="2024"/>
    <m/>
  </r>
  <r>
    <s v="SAL-1328"/>
    <d v="2024-01-02T00:00:00"/>
    <s v="Casey Doyle"/>
    <x v="3"/>
    <s v="Abuja"/>
    <s v="Home Office"/>
    <s v="Clothing"/>
    <s v="T-Shirt"/>
    <n v="5"/>
    <n v="508.01"/>
    <n v="0"/>
    <n v="2540.0500000000002"/>
    <n v="1447.99"/>
    <n v="1092.06"/>
    <s v="Card"/>
    <n v="1"/>
    <s v="January"/>
    <s v="Q1"/>
    <n v="2024"/>
    <m/>
  </r>
  <r>
    <s v="SAL-1329"/>
    <d v="2024-10-21T00:00:00"/>
    <s v="Kelly Rivera"/>
    <x v="2"/>
    <s v="Kano"/>
    <s v="Corporate"/>
    <s v="Furniture"/>
    <s v="Desk"/>
    <n v="7"/>
    <n v="312.57"/>
    <n v="0.05"/>
    <n v="2078.59"/>
    <n v="1688.37"/>
    <n v="390.22"/>
    <s v="Cash"/>
    <n v="1"/>
    <s v="October"/>
    <s v="Q4"/>
    <n v="2024"/>
    <m/>
  </r>
  <r>
    <s v="SAL-1330"/>
    <d v="2024-04-30T00:00:00"/>
    <s v="Chad Ferguson"/>
    <x v="3"/>
    <s v="Abuja"/>
    <s v="Home Office"/>
    <s v="Clothing"/>
    <s v="T-Shirt"/>
    <n v="6"/>
    <n v="670.04"/>
    <n v="0.1"/>
    <n v="3618.22"/>
    <n v="1987.22"/>
    <n v="1631"/>
    <s v="Transfer"/>
    <n v="5"/>
    <s v="April"/>
    <s v="Q2"/>
    <n v="2024"/>
    <m/>
  </r>
  <r>
    <s v="SAL-1331"/>
    <d v="2024-12-10T00:00:00"/>
    <s v="Jamie Beasley"/>
    <x v="3"/>
    <s v="Port Harcourt"/>
    <s v="Home Office"/>
    <s v="Furniture"/>
    <s v="Cabinet"/>
    <n v="4"/>
    <n v="69.69"/>
    <n v="0"/>
    <n v="278.76"/>
    <n v="233.31"/>
    <n v="45.45"/>
    <s v="Mobile Payment"/>
    <n v="1"/>
    <s v="December"/>
    <s v="Q4"/>
    <n v="2024"/>
    <m/>
  </r>
  <r>
    <s v="SAL-1332"/>
    <d v="2024-08-18T00:00:00"/>
    <s v="George Jenkins"/>
    <x v="1"/>
    <s v="Lagos"/>
    <s v="Consumer"/>
    <s v="Clothing"/>
    <s v="Sneakers"/>
    <n v="10"/>
    <n v="275.64999999999998"/>
    <n v="0.05"/>
    <n v="2618.67"/>
    <n v="1379.05"/>
    <n v="1239.6199999999999"/>
    <s v="Transfer"/>
    <n v="3"/>
    <s v="August"/>
    <s v="Q3"/>
    <n v="2024"/>
    <m/>
  </r>
  <r>
    <s v="SAL-1333"/>
    <d v="2024-03-21T00:00:00"/>
    <s v="Natalie Lee"/>
    <x v="2"/>
    <s v="Lagos"/>
    <s v="Consumer"/>
    <s v="Office Supplies"/>
    <s v="Pen"/>
    <n v="10"/>
    <n v="932.99"/>
    <n v="0"/>
    <n v="9329.9"/>
    <n v="6265.8"/>
    <n v="3064.1"/>
    <s v="Transfer"/>
    <n v="4"/>
    <s v="March"/>
    <s v="Q1"/>
    <n v="2024"/>
    <m/>
  </r>
  <r>
    <s v="SAL-1334"/>
    <d v="2024-07-10T00:00:00"/>
    <s v="Justin Shaffer"/>
    <x v="3"/>
    <s v="Kano"/>
    <s v="Consumer"/>
    <s v="Clothing"/>
    <s v="Jacket"/>
    <n v="6"/>
    <n v="106.64"/>
    <n v="0.15"/>
    <n v="543.86"/>
    <n v="419.52"/>
    <n v="124.34"/>
    <s v="Cash"/>
    <n v="2"/>
    <s v="July"/>
    <s v="Q3"/>
    <n v="2024"/>
    <m/>
  </r>
  <r>
    <s v="SAL-1335"/>
    <d v="2024-05-01T00:00:00"/>
    <s v="Anna Barker"/>
    <x v="0"/>
    <s v="Lagos"/>
    <s v="Consumer"/>
    <s v="Clothing"/>
    <s v="Jacket"/>
    <n v="5"/>
    <n v="984.48"/>
    <n v="0.1"/>
    <n v="4430.16"/>
    <n v="3583.85"/>
    <n v="846.31"/>
    <s v="Transfer"/>
    <n v="1"/>
    <s v="May"/>
    <s v="Q2"/>
    <n v="2024"/>
    <m/>
  </r>
  <r>
    <s v="SAL-1336"/>
    <d v="2024-03-21T00:00:00"/>
    <s v="Taylor Bishop"/>
    <x v="1"/>
    <s v="Lagos"/>
    <s v="Home Office"/>
    <s v="Furniture"/>
    <s v="Chair"/>
    <n v="8"/>
    <n v="1047.6400000000001"/>
    <n v="0.05"/>
    <n v="7962.06"/>
    <n v="6198.95"/>
    <n v="1763.11"/>
    <s v="Card"/>
    <n v="5"/>
    <s v="March"/>
    <s v="Q1"/>
    <n v="2024"/>
    <m/>
  </r>
  <r>
    <s v="SAL-1337"/>
    <d v="2024-04-26T00:00:00"/>
    <s v="Caleb Herman"/>
    <x v="2"/>
    <s v="Lagos"/>
    <s v="Corporate"/>
    <s v="Electronics"/>
    <s v="Laptop"/>
    <n v="12"/>
    <n v="349.6"/>
    <n v="0.15"/>
    <n v="3565.92"/>
    <n v="2051.7600000000002"/>
    <n v="1514.16"/>
    <s v="Cash"/>
    <n v="2"/>
    <s v="April"/>
    <s v="Q2"/>
    <n v="2024"/>
    <m/>
  </r>
  <r>
    <s v="SAL-1338"/>
    <d v="2024-03-20T00:00:00"/>
    <s v="Sarah Deleon"/>
    <x v="1"/>
    <s v="Lagos"/>
    <s v="Home Office"/>
    <s v="Office Supplies"/>
    <s v="Notebook"/>
    <n v="8"/>
    <n v="1126.8800000000001"/>
    <n v="0.05"/>
    <n v="8564.2900000000009"/>
    <n v="7136.33"/>
    <n v="1427.96"/>
    <s v="Cash"/>
    <n v="4"/>
    <s v="March"/>
    <s v="Q1"/>
    <n v="2024"/>
    <m/>
  </r>
  <r>
    <s v="SAL-1339"/>
    <d v="2024-07-09T00:00:00"/>
    <s v="Amber Luna"/>
    <x v="3"/>
    <s v="Abuja"/>
    <s v="Home Office"/>
    <s v="Office Supplies"/>
    <s v="Paper"/>
    <n v="5"/>
    <n v="237.12"/>
    <n v="0.1"/>
    <n v="1067.04"/>
    <n v="587.70000000000005"/>
    <n v="479.34"/>
    <s v="Card"/>
    <n v="2"/>
    <s v="July"/>
    <s v="Q3"/>
    <n v="2024"/>
    <m/>
  </r>
  <r>
    <s v="SAL-1340"/>
    <d v="2024-05-13T00:00:00"/>
    <s v="Sheryl Young"/>
    <x v="0"/>
    <s v="Lagos"/>
    <s v="Corporate"/>
    <s v="Furniture"/>
    <s v="Chair"/>
    <n v="3"/>
    <n v="435.31"/>
    <n v="0"/>
    <n v="1305.93"/>
    <n v="805.21"/>
    <n v="500.72"/>
    <s v="Transfer"/>
    <n v="2"/>
    <s v="May"/>
    <s v="Q2"/>
    <n v="2024"/>
    <m/>
  </r>
  <r>
    <s v="SAL-1341"/>
    <d v="2024-12-01T00:00:00"/>
    <s v="Lisa Stevenson"/>
    <x v="3"/>
    <s v="Abuja"/>
    <s v="Home Office"/>
    <s v="Furniture"/>
    <s v="Desk"/>
    <n v="7"/>
    <n v="432.81"/>
    <n v="0.05"/>
    <n v="2878.19"/>
    <n v="2056.34"/>
    <n v="821.85"/>
    <s v="Transfer"/>
    <n v="2"/>
    <s v="December"/>
    <s v="Q4"/>
    <n v="2024"/>
    <m/>
  </r>
  <r>
    <s v="SAL-1342"/>
    <d v="2024-12-04T00:00:00"/>
    <s v="Natalie Williams"/>
    <x v="0"/>
    <s v="Kano"/>
    <s v="Corporate"/>
    <s v="Office Supplies"/>
    <s v="Pen"/>
    <n v="11"/>
    <n v="215.77"/>
    <n v="0.05"/>
    <n v="2254.8000000000002"/>
    <n v="1730.53"/>
    <n v="524.27"/>
    <s v="Transfer"/>
    <n v="2"/>
    <s v="December"/>
    <s v="Q4"/>
    <n v="2024"/>
    <m/>
  </r>
  <r>
    <s v="SAL-1343"/>
    <d v="2024-05-26T00:00:00"/>
    <s v="Richard Mason"/>
    <x v="3"/>
    <s v="Port Harcourt"/>
    <s v="Home Office"/>
    <s v="Clothing"/>
    <s v="Sneakers"/>
    <n v="7"/>
    <n v="1121.82"/>
    <n v="0"/>
    <n v="7852.74"/>
    <n v="4118.76"/>
    <n v="3733.98"/>
    <s v="Card"/>
    <n v="5"/>
    <s v="May"/>
    <s v="Q2"/>
    <n v="2024"/>
    <m/>
  </r>
  <r>
    <s v="SAL-1344"/>
    <d v="2024-08-29T00:00:00"/>
    <s v="Bethany Ritter"/>
    <x v="2"/>
    <s v="Lagos"/>
    <s v="Corporate"/>
    <s v="Office Supplies"/>
    <s v="Paper"/>
    <n v="9"/>
    <n v="1138.51"/>
    <n v="0"/>
    <n v="10246.59"/>
    <n v="5900.19"/>
    <n v="4346.3999999999996"/>
    <s v="Transfer"/>
    <n v="3"/>
    <s v="August"/>
    <s v="Q3"/>
    <n v="2024"/>
    <m/>
  </r>
  <r>
    <s v="SAL-1345"/>
    <d v="2024-07-02T00:00:00"/>
    <s v="Stacey Mitchell"/>
    <x v="1"/>
    <s v="Abuja"/>
    <s v="Home Office"/>
    <s v="Clothing"/>
    <s v="T-Shirt"/>
    <n v="10"/>
    <n v="476.66"/>
    <n v="0.05"/>
    <n v="4528.2700000000004"/>
    <n v="2922.57"/>
    <n v="1605.7"/>
    <s v="Card"/>
    <n v="1"/>
    <s v="July"/>
    <s v="Q3"/>
    <n v="2024"/>
    <m/>
  </r>
  <r>
    <s v="SAL-1346"/>
    <d v="2024-06-14T00:00:00"/>
    <s v="Antonio Moreno"/>
    <x v="3"/>
    <s v="Kano"/>
    <s v="Corporate"/>
    <s v="Electronics"/>
    <s v="Printer"/>
    <n v="5"/>
    <n v="264.27"/>
    <n v="0.1"/>
    <n v="1189.21"/>
    <n v="714.73"/>
    <n v="474.48"/>
    <s v="Card"/>
    <n v="4"/>
    <s v="June"/>
    <s v="Q2"/>
    <n v="2024"/>
    <m/>
  </r>
  <r>
    <s v="SAL-1347"/>
    <d v="2024-12-26T00:00:00"/>
    <s v="Stephen Richards"/>
    <x v="0"/>
    <s v="Port Harcourt"/>
    <s v="Consumer"/>
    <s v="Clothing"/>
    <s v="Sneakers"/>
    <n v="8"/>
    <n v="1159.1500000000001"/>
    <n v="0.15"/>
    <n v="7882.22"/>
    <n v="4579.8900000000003"/>
    <n v="3302.33"/>
    <s v="Mobile Payment"/>
    <n v="3"/>
    <s v="December"/>
    <s v="Q4"/>
    <n v="2024"/>
    <m/>
  </r>
  <r>
    <s v="SAL-1348"/>
    <d v="2024-11-02T00:00:00"/>
    <s v="Jennifer Sherman"/>
    <x v="0"/>
    <s v="Abuja"/>
    <s v="Corporate"/>
    <s v="Electronics"/>
    <s v="Laptop"/>
    <n v="1"/>
    <n v="1078.3"/>
    <n v="0.15"/>
    <n v="916.55"/>
    <n v="554.54999999999995"/>
    <n v="362"/>
    <s v="Card"/>
    <n v="4"/>
    <s v="November"/>
    <s v="Q4"/>
    <n v="2024"/>
    <m/>
  </r>
  <r>
    <s v="SAL-1349"/>
    <d v="2024-08-20T00:00:00"/>
    <s v="April Ramos"/>
    <x v="3"/>
    <s v="Abuja"/>
    <s v="Home Office"/>
    <s v="Electronics"/>
    <s v="Phone"/>
    <n v="3"/>
    <n v="430.26"/>
    <n v="0.15"/>
    <n v="1097.1600000000001"/>
    <n v="613.74"/>
    <n v="483.42"/>
    <s v="Mobile Payment"/>
    <n v="4"/>
    <s v="August"/>
    <s v="Q3"/>
    <n v="2024"/>
    <m/>
  </r>
  <r>
    <s v="SAL-1350"/>
    <d v="2024-04-26T00:00:00"/>
    <s v="Barry Morris"/>
    <x v="3"/>
    <s v="Ibadan"/>
    <s v="Home Office"/>
    <s v="Clothing"/>
    <s v="Sneakers"/>
    <n v="3"/>
    <n v="936.78"/>
    <n v="0.1"/>
    <n v="2529.31"/>
    <n v="1486.99"/>
    <n v="1042.32"/>
    <s v="Card"/>
    <n v="2"/>
    <s v="April"/>
    <s v="Q2"/>
    <n v="2024"/>
    <m/>
  </r>
  <r>
    <s v="SAL-1351"/>
    <d v="2024-10-12T00:00:00"/>
    <s v="Christopher Sullivan"/>
    <x v="3"/>
    <s v="Port Harcourt"/>
    <s v="Home Office"/>
    <s v="Office Supplies"/>
    <s v="Pen"/>
    <n v="9"/>
    <n v="547.11"/>
    <n v="0.05"/>
    <n v="4677.79"/>
    <n v="2972.56"/>
    <n v="1705.23"/>
    <s v="Transfer"/>
    <n v="4"/>
    <s v="October"/>
    <s v="Q4"/>
    <n v="2024"/>
    <m/>
  </r>
  <r>
    <s v="SAL-1352"/>
    <d v="2024-11-29T00:00:00"/>
    <s v="Timothy Perry"/>
    <x v="4"/>
    <s v="Lagos"/>
    <s v="Corporate"/>
    <s v="Furniture"/>
    <s v="Cabinet"/>
    <n v="4"/>
    <n v="890.88"/>
    <n v="0"/>
    <n v="3563.52"/>
    <n v="2712.25"/>
    <n v="851.27"/>
    <s v="Cash"/>
    <n v="5"/>
    <s v="November"/>
    <s v="Q4"/>
    <n v="2024"/>
    <m/>
  </r>
  <r>
    <s v="SAL-1353"/>
    <d v="2024-12-03T00:00:00"/>
    <s v="Collin Mendez"/>
    <x v="2"/>
    <s v="Port Harcourt"/>
    <s v="Corporate"/>
    <s v="Electronics"/>
    <s v="Phone"/>
    <n v="11"/>
    <n v="733.94"/>
    <n v="0.05"/>
    <n v="7669.67"/>
    <n v="6174.04"/>
    <n v="1495.63"/>
    <s v="Mobile Payment"/>
    <n v="1"/>
    <s v="December"/>
    <s v="Q4"/>
    <n v="2024"/>
    <m/>
  </r>
  <r>
    <s v="SAL-1354"/>
    <d v="2024-10-01T00:00:00"/>
    <s v="Kevin Gentry"/>
    <x v="4"/>
    <s v="Ibadan"/>
    <s v="Consumer"/>
    <s v="Clothing"/>
    <s v="Jacket"/>
    <n v="8"/>
    <n v="815.66"/>
    <n v="0"/>
    <n v="6525.28"/>
    <n v="5428.64"/>
    <n v="1096.6400000000001"/>
    <s v="Card"/>
    <n v="4"/>
    <s v="October"/>
    <s v="Q4"/>
    <n v="2024"/>
    <m/>
  </r>
  <r>
    <s v="SAL-1355"/>
    <d v="2024-05-14T00:00:00"/>
    <s v="Lucas Greene"/>
    <x v="3"/>
    <s v="Lagos"/>
    <s v="Corporate"/>
    <s v="Clothing"/>
    <s v="Sneakers"/>
    <n v="4"/>
    <n v="589.51"/>
    <n v="0.1"/>
    <n v="2122.2399999999998"/>
    <n v="1625.86"/>
    <n v="496.38"/>
    <s v="Cash"/>
    <n v="4"/>
    <s v="May"/>
    <s v="Q2"/>
    <n v="2024"/>
    <m/>
  </r>
  <r>
    <s v="SAL-1356"/>
    <d v="2024-03-07T00:00:00"/>
    <s v="Cameron Garcia II"/>
    <x v="1"/>
    <s v="Port Harcourt"/>
    <s v="Corporate"/>
    <s v="Furniture"/>
    <s v="Cabinet"/>
    <n v="1"/>
    <n v="402.11"/>
    <n v="0"/>
    <n v="402.11"/>
    <n v="224.35"/>
    <n v="177.76"/>
    <s v="Cash"/>
    <n v="1"/>
    <s v="March"/>
    <s v="Q1"/>
    <n v="2024"/>
    <m/>
  </r>
  <r>
    <s v="SAL-1357"/>
    <d v="2024-01-18T00:00:00"/>
    <s v="Mr. Nicholas Hughes MD"/>
    <x v="1"/>
    <s v="Kano"/>
    <s v="Consumer"/>
    <s v="Electronics"/>
    <s v="Printer"/>
    <n v="5"/>
    <n v="512.53"/>
    <n v="0.15"/>
    <n v="2178.25"/>
    <n v="1179.49"/>
    <n v="998.76"/>
    <s v="Card"/>
    <n v="1"/>
    <s v="January"/>
    <s v="Q1"/>
    <n v="2024"/>
    <m/>
  </r>
  <r>
    <s v="SAL-1358"/>
    <d v="2024-07-08T00:00:00"/>
    <s v="Amber Morgan"/>
    <x v="2"/>
    <s v="Lagos"/>
    <s v="Corporate"/>
    <s v="Office Supplies"/>
    <s v="Notebook"/>
    <n v="9"/>
    <n v="738.05"/>
    <n v="0.15"/>
    <n v="5646.08"/>
    <n v="3781.66"/>
    <n v="1864.42"/>
    <s v="Transfer"/>
    <n v="4"/>
    <s v="July"/>
    <s v="Q3"/>
    <n v="2024"/>
    <m/>
  </r>
  <r>
    <s v="SAL-1359"/>
    <d v="2024-07-30T00:00:00"/>
    <s v="Mary Lloyd"/>
    <x v="3"/>
    <s v="Lagos"/>
    <s v="Home Office"/>
    <s v="Clothing"/>
    <s v="T-Shirt"/>
    <n v="3"/>
    <n v="224.04"/>
    <n v="0.05"/>
    <n v="638.51"/>
    <n v="417.09"/>
    <n v="221.42"/>
    <s v="Transfer"/>
    <n v="4"/>
    <s v="July"/>
    <s v="Q3"/>
    <n v="2024"/>
    <m/>
  </r>
  <r>
    <s v="SAL-1360"/>
    <d v="2024-11-23T00:00:00"/>
    <s v="John Fisher DVM"/>
    <x v="2"/>
    <s v="Port Harcourt"/>
    <s v="Consumer"/>
    <s v="Clothing"/>
    <s v="Sneakers"/>
    <n v="12"/>
    <n v="343.93"/>
    <n v="0.1"/>
    <n v="3714.44"/>
    <n v="2531.33"/>
    <n v="1183.1099999999999"/>
    <s v="Card"/>
    <n v="2"/>
    <s v="November"/>
    <s v="Q4"/>
    <n v="2024"/>
    <m/>
  </r>
  <r>
    <s v="SAL-1361"/>
    <d v="2024-08-24T00:00:00"/>
    <s v="Michael Walsh"/>
    <x v="3"/>
    <s v="Port Harcourt"/>
    <s v="Home Office"/>
    <s v="Furniture"/>
    <s v="Chair"/>
    <n v="8"/>
    <n v="1040.07"/>
    <n v="0.05"/>
    <n v="7904.53"/>
    <n v="5574.55"/>
    <n v="2329.98"/>
    <s v="Card"/>
    <n v="2"/>
    <s v="August"/>
    <s v="Q3"/>
    <n v="2024"/>
    <m/>
  </r>
  <r>
    <s v="SAL-1362"/>
    <d v="2024-04-11T00:00:00"/>
    <s v="Patricia Rodgers"/>
    <x v="4"/>
    <s v="Kano"/>
    <s v="Consumer"/>
    <s v="Furniture"/>
    <s v="Cabinet"/>
    <n v="12"/>
    <n v="397.65"/>
    <n v="0.1"/>
    <n v="4294.62"/>
    <n v="2291.71"/>
    <n v="2002.91"/>
    <s v="Cash"/>
    <n v="3"/>
    <s v="April"/>
    <s v="Q2"/>
    <n v="2024"/>
    <m/>
  </r>
  <r>
    <s v="SAL-1363"/>
    <d v="2024-01-25T00:00:00"/>
    <s v="Robert Hernandez"/>
    <x v="4"/>
    <s v="Lagos"/>
    <s v="Corporate"/>
    <s v="Furniture"/>
    <s v="Cabinet"/>
    <n v="9"/>
    <n v="1111.68"/>
    <n v="0.05"/>
    <n v="9504.86"/>
    <n v="4876.62"/>
    <n v="4628.24"/>
    <s v="Mobile Payment"/>
    <n v="4"/>
    <s v="January"/>
    <s v="Q1"/>
    <n v="2024"/>
    <m/>
  </r>
  <r>
    <s v="SAL-1364"/>
    <d v="2024-12-24T00:00:00"/>
    <s v="Mary Woods MD"/>
    <x v="1"/>
    <s v="Ibadan"/>
    <s v="Home Office"/>
    <s v="Office Supplies"/>
    <s v="Paper"/>
    <n v="10"/>
    <n v="853.52"/>
    <n v="0.15"/>
    <n v="7254.92"/>
    <n v="4407.01"/>
    <n v="2847.91"/>
    <s v="Transfer"/>
    <n v="2"/>
    <s v="December"/>
    <s v="Q4"/>
    <n v="2024"/>
    <m/>
  </r>
  <r>
    <s v="SAL-1365"/>
    <d v="2024-11-19T00:00:00"/>
    <s v="Jesus Weber"/>
    <x v="3"/>
    <s v="Abuja"/>
    <s v="Home Office"/>
    <s v="Electronics"/>
    <s v="Tablet"/>
    <n v="4"/>
    <n v="872.01"/>
    <n v="0.15"/>
    <n v="2964.83"/>
    <n v="1814.62"/>
    <n v="1150.21"/>
    <s v="Cash"/>
    <n v="2"/>
    <s v="November"/>
    <s v="Q4"/>
    <n v="2024"/>
    <m/>
  </r>
  <r>
    <s v="SAL-1366"/>
    <d v="2024-08-16T00:00:00"/>
    <s v="Rachel Walls"/>
    <x v="1"/>
    <s v="Abuja"/>
    <s v="Corporate"/>
    <s v="Office Supplies"/>
    <s v="Paper"/>
    <n v="2"/>
    <n v="972.36"/>
    <n v="0"/>
    <n v="1944.72"/>
    <n v="1290.01"/>
    <n v="654.71"/>
    <s v="Cash"/>
    <n v="3"/>
    <s v="August"/>
    <s v="Q3"/>
    <n v="2024"/>
    <m/>
  </r>
  <r>
    <s v="SAL-1367"/>
    <d v="2024-10-14T00:00:00"/>
    <s v="Mr. Christopher Mccann"/>
    <x v="1"/>
    <s v="Kano"/>
    <s v="Corporate"/>
    <s v="Furniture"/>
    <s v="Cabinet"/>
    <n v="12"/>
    <n v="360.81"/>
    <n v="0.1"/>
    <n v="3896.75"/>
    <n v="2871.74"/>
    <n v="1025.01"/>
    <s v="Cash"/>
    <n v="4"/>
    <s v="October"/>
    <s v="Q4"/>
    <n v="2024"/>
    <m/>
  </r>
  <r>
    <s v="SAL-1368"/>
    <d v="2024-08-09T00:00:00"/>
    <s v="Glenn Austin"/>
    <x v="4"/>
    <s v="Kano"/>
    <s v="Consumer"/>
    <s v="Clothing"/>
    <s v="Jacket"/>
    <n v="12"/>
    <n v="565.41999999999996"/>
    <n v="0.1"/>
    <n v="6106.54"/>
    <n v="3384.86"/>
    <n v="2721.68"/>
    <s v="Mobile Payment"/>
    <n v="2"/>
    <s v="August"/>
    <s v="Q3"/>
    <n v="2024"/>
    <m/>
  </r>
  <r>
    <s v="SAL-1369"/>
    <d v="2024-12-08T00:00:00"/>
    <s v="Nancy Espinoza"/>
    <x v="4"/>
    <s v="Ibadan"/>
    <s v="Corporate"/>
    <s v="Office Supplies"/>
    <s v="Paper"/>
    <n v="4"/>
    <n v="168.8"/>
    <n v="0.1"/>
    <n v="607.67999999999995"/>
    <n v="390.12"/>
    <n v="217.56"/>
    <s v="Cash"/>
    <n v="1"/>
    <s v="December"/>
    <s v="Q4"/>
    <n v="2024"/>
    <m/>
  </r>
  <r>
    <s v="SAL-1370"/>
    <d v="2024-06-27T00:00:00"/>
    <s v="Allen Strong"/>
    <x v="2"/>
    <s v="Ibadan"/>
    <s v="Corporate"/>
    <s v="Furniture"/>
    <s v="Cabinet"/>
    <n v="6"/>
    <n v="300.60000000000002"/>
    <n v="0.15"/>
    <n v="1533.06"/>
    <n v="805.23"/>
    <n v="727.83"/>
    <s v="Mobile Payment"/>
    <n v="2"/>
    <s v="June"/>
    <s v="Q2"/>
    <n v="2024"/>
    <m/>
  </r>
  <r>
    <s v="SAL-1371"/>
    <d v="2024-03-13T00:00:00"/>
    <s v="Yvonne Park"/>
    <x v="1"/>
    <s v="Abuja"/>
    <s v="Consumer"/>
    <s v="Office Supplies"/>
    <s v="Paper"/>
    <n v="8"/>
    <n v="346.14"/>
    <n v="0.15"/>
    <n v="2353.75"/>
    <n v="1853.38"/>
    <n v="500.37"/>
    <s v="Cash"/>
    <n v="2"/>
    <s v="March"/>
    <s v="Q1"/>
    <n v="2024"/>
    <m/>
  </r>
  <r>
    <s v="SAL-1372"/>
    <d v="2024-03-04T00:00:00"/>
    <s v="Teresa Salazar"/>
    <x v="4"/>
    <s v="Lagos"/>
    <s v="Consumer"/>
    <s v="Furniture"/>
    <s v="Desk"/>
    <n v="10"/>
    <n v="459.99"/>
    <n v="0.1"/>
    <n v="4139.91"/>
    <n v="2406.65"/>
    <n v="1733.26"/>
    <s v="Cash"/>
    <n v="1"/>
    <s v="March"/>
    <s v="Q1"/>
    <n v="2024"/>
    <m/>
  </r>
  <r>
    <s v="SAL-1373"/>
    <d v="2024-12-13T00:00:00"/>
    <s v="Marcus Wood"/>
    <x v="3"/>
    <s v="Port Harcourt"/>
    <s v="Consumer"/>
    <s v="Office Supplies"/>
    <s v="Paper"/>
    <n v="7"/>
    <n v="313.97000000000003"/>
    <n v="0.05"/>
    <n v="2087.9"/>
    <n v="1514.08"/>
    <n v="573.82000000000005"/>
    <s v="Transfer"/>
    <n v="1"/>
    <s v="December"/>
    <s v="Q4"/>
    <n v="2024"/>
    <m/>
  </r>
  <r>
    <s v="SAL-1374"/>
    <d v="2024-04-10T00:00:00"/>
    <s v="Robert Bradshaw"/>
    <x v="0"/>
    <s v="Port Harcourt"/>
    <s v="Corporate"/>
    <s v="Office Supplies"/>
    <s v="Pen"/>
    <n v="9"/>
    <n v="968.89"/>
    <n v="0"/>
    <n v="8720.01"/>
    <n v="4891.1499999999996"/>
    <n v="3828.86"/>
    <s v="Mobile Payment"/>
    <n v="1"/>
    <s v="April"/>
    <s v="Q2"/>
    <n v="2024"/>
    <m/>
  </r>
  <r>
    <s v="SAL-1375"/>
    <d v="2024-01-30T00:00:00"/>
    <s v="Karen Garcia"/>
    <x v="2"/>
    <s v="Abuja"/>
    <s v="Corporate"/>
    <s v="Furniture"/>
    <s v="Desk"/>
    <n v="1"/>
    <n v="436.53"/>
    <n v="0.05"/>
    <n v="414.7"/>
    <n v="222.32"/>
    <n v="192.38"/>
    <s v="Cash"/>
    <n v="4"/>
    <s v="January"/>
    <s v="Q1"/>
    <n v="2024"/>
    <m/>
  </r>
  <r>
    <s v="SAL-1376"/>
    <d v="2024-08-23T00:00:00"/>
    <s v="Katherine Young"/>
    <x v="0"/>
    <s v="Lagos"/>
    <s v="Consumer"/>
    <s v="Furniture"/>
    <s v="Chair"/>
    <n v="10"/>
    <n v="775.11"/>
    <n v="0.1"/>
    <n v="6975.99"/>
    <n v="3503.63"/>
    <n v="3472.36"/>
    <s v="Transfer"/>
    <n v="5"/>
    <s v="August"/>
    <s v="Q3"/>
    <n v="2024"/>
    <m/>
  </r>
  <r>
    <s v="SAL-1377"/>
    <d v="2024-03-24T00:00:00"/>
    <s v="Michael Garrett"/>
    <x v="4"/>
    <s v="Ibadan"/>
    <s v="Consumer"/>
    <s v="Clothing"/>
    <s v="T-Shirt"/>
    <n v="1"/>
    <n v="250.61"/>
    <n v="0.05"/>
    <n v="238.08"/>
    <n v="154.22"/>
    <n v="83.86"/>
    <s v="Transfer"/>
    <n v="4"/>
    <s v="March"/>
    <s v="Q1"/>
    <n v="2024"/>
    <m/>
  </r>
  <r>
    <s v="SAL-1378"/>
    <d v="2024-10-01T00:00:00"/>
    <s v="Kathy Vasquez"/>
    <x v="3"/>
    <s v="Ibadan"/>
    <s v="Corporate"/>
    <s v="Furniture"/>
    <s v="Desk"/>
    <n v="1"/>
    <n v="335.9"/>
    <n v="0"/>
    <n v="335.9"/>
    <n v="260.54000000000002"/>
    <n v="75.36"/>
    <s v="Transfer"/>
    <n v="1"/>
    <s v="October"/>
    <s v="Q4"/>
    <n v="2024"/>
    <m/>
  </r>
  <r>
    <s v="SAL-1379"/>
    <d v="2024-12-16T00:00:00"/>
    <s v="Mark Edwards"/>
    <x v="3"/>
    <s v="Port Harcourt"/>
    <s v="Consumer"/>
    <s v="Office Supplies"/>
    <s v="Paper"/>
    <n v="3"/>
    <n v="749.37"/>
    <n v="0.05"/>
    <n v="2135.6999999999998"/>
    <n v="1618.54"/>
    <n v="517.16"/>
    <s v="Mobile Payment"/>
    <n v="2"/>
    <s v="December"/>
    <s v="Q4"/>
    <n v="2024"/>
    <m/>
  </r>
  <r>
    <s v="SAL-1380"/>
    <d v="2024-07-30T00:00:00"/>
    <s v="Gabriela Dean"/>
    <x v="1"/>
    <s v="Lagos"/>
    <s v="Home Office"/>
    <s v="Office Supplies"/>
    <s v="Pen"/>
    <n v="12"/>
    <n v="1087.43"/>
    <n v="0.05"/>
    <n v="12396.7"/>
    <n v="9828.2099999999991"/>
    <n v="2568.4899999999998"/>
    <s v="Mobile Payment"/>
    <n v="3"/>
    <s v="July"/>
    <s v="Q3"/>
    <n v="2024"/>
    <m/>
  </r>
  <r>
    <s v="SAL-1381"/>
    <d v="2024-08-20T00:00:00"/>
    <s v="David Rodriguez"/>
    <x v="4"/>
    <s v="Abuja"/>
    <s v="Consumer"/>
    <s v="Clothing"/>
    <s v="T-Shirt"/>
    <n v="4"/>
    <n v="929.13"/>
    <n v="0.1"/>
    <n v="3344.87"/>
    <n v="2454.66"/>
    <n v="890.21"/>
    <s v="Mobile Payment"/>
    <n v="2"/>
    <s v="August"/>
    <s v="Q3"/>
    <n v="2024"/>
    <m/>
  </r>
  <r>
    <s v="SAL-1382"/>
    <d v="2024-02-19T00:00:00"/>
    <s v="Christine Wilson"/>
    <x v="4"/>
    <s v="Abuja"/>
    <s v="Home Office"/>
    <s v="Furniture"/>
    <s v="Chair"/>
    <n v="11"/>
    <n v="476.03"/>
    <n v="0"/>
    <n v="5236.33"/>
    <n v="3252.71"/>
    <n v="1983.62"/>
    <s v="Cash"/>
    <n v="3"/>
    <s v="February"/>
    <s v="Q1"/>
    <n v="2024"/>
    <m/>
  </r>
  <r>
    <s v="SAL-1383"/>
    <d v="2024-10-17T00:00:00"/>
    <s v="Miguel Sexton"/>
    <x v="3"/>
    <s v="Lagos"/>
    <s v="Home Office"/>
    <s v="Furniture"/>
    <s v="Cabinet"/>
    <n v="6"/>
    <n v="436.05"/>
    <n v="0.05"/>
    <n v="2485.4899999999998"/>
    <n v="1385.81"/>
    <n v="1099.68"/>
    <s v="Transfer"/>
    <n v="1"/>
    <s v="October"/>
    <s v="Q4"/>
    <n v="2024"/>
    <m/>
  </r>
  <r>
    <s v="SAL-1384"/>
    <d v="2024-12-10T00:00:00"/>
    <s v="Michael Trevino"/>
    <x v="4"/>
    <s v="Lagos"/>
    <s v="Consumer"/>
    <s v="Clothing"/>
    <s v="Sneakers"/>
    <n v="1"/>
    <n v="494.67"/>
    <n v="0.05"/>
    <n v="469.94"/>
    <n v="298.93"/>
    <n v="171.01"/>
    <s v="Mobile Payment"/>
    <n v="2"/>
    <s v="December"/>
    <s v="Q4"/>
    <n v="2024"/>
    <m/>
  </r>
  <r>
    <s v="SAL-1385"/>
    <d v="2024-01-23T00:00:00"/>
    <s v="Gary Mccormick"/>
    <x v="2"/>
    <s v="Port Harcourt"/>
    <s v="Consumer"/>
    <s v="Office Supplies"/>
    <s v="Notebook"/>
    <n v="9"/>
    <n v="283.01"/>
    <n v="0.15"/>
    <n v="2165.0300000000002"/>
    <n v="1538.07"/>
    <n v="626.96"/>
    <s v="Mobile Payment"/>
    <n v="3"/>
    <s v="January"/>
    <s v="Q1"/>
    <n v="2024"/>
    <m/>
  </r>
  <r>
    <s v="SAL-1386"/>
    <d v="2024-06-02T00:00:00"/>
    <s v="Taylor Rodriguez"/>
    <x v="0"/>
    <s v="Abuja"/>
    <s v="Corporate"/>
    <s v="Furniture"/>
    <s v="Cabinet"/>
    <n v="2"/>
    <n v="241.58"/>
    <n v="0.05"/>
    <n v="459"/>
    <n v="319.58"/>
    <n v="139.41999999999999"/>
    <s v="Cash"/>
    <n v="4"/>
    <s v="June"/>
    <s v="Q2"/>
    <n v="2024"/>
    <m/>
  </r>
  <r>
    <s v="SAL-1387"/>
    <d v="2024-08-11T00:00:00"/>
    <s v="Jason Houston"/>
    <x v="0"/>
    <s v="Lagos"/>
    <s v="Corporate"/>
    <s v="Office Supplies"/>
    <s v="Pen"/>
    <n v="11"/>
    <n v="1087.4100000000001"/>
    <n v="0"/>
    <n v="11961.51"/>
    <n v="6648.31"/>
    <n v="5313.2"/>
    <s v="Transfer"/>
    <n v="1"/>
    <s v="August"/>
    <s v="Q3"/>
    <n v="2024"/>
    <m/>
  </r>
  <r>
    <s v="SAL-1388"/>
    <d v="2024-06-12T00:00:00"/>
    <s v="Andrea Barnes"/>
    <x v="0"/>
    <s v="Abuja"/>
    <s v="Home Office"/>
    <s v="Clothing"/>
    <s v="Sneakers"/>
    <n v="10"/>
    <n v="593.35"/>
    <n v="0.15"/>
    <n v="5043.47"/>
    <n v="3994.18"/>
    <n v="1049.29"/>
    <s v="Transfer"/>
    <n v="5"/>
    <s v="June"/>
    <s v="Q2"/>
    <n v="2024"/>
    <m/>
  </r>
  <r>
    <s v="SAL-1389"/>
    <d v="2024-11-04T00:00:00"/>
    <s v="Jennifer Hall"/>
    <x v="2"/>
    <s v="Port Harcourt"/>
    <s v="Corporate"/>
    <s v="Office Supplies"/>
    <s v="Notebook"/>
    <n v="12"/>
    <n v="164.85"/>
    <n v="0.15"/>
    <n v="1681.47"/>
    <n v="911.2"/>
    <n v="770.27"/>
    <s v="Mobile Payment"/>
    <n v="4"/>
    <s v="November"/>
    <s v="Q4"/>
    <n v="2024"/>
    <m/>
  </r>
  <r>
    <s v="SAL-1390"/>
    <d v="2024-06-08T00:00:00"/>
    <s v="Julie Ferrell"/>
    <x v="0"/>
    <s v="Abuja"/>
    <s v="Corporate"/>
    <s v="Electronics"/>
    <s v="Printer"/>
    <n v="2"/>
    <n v="256.77"/>
    <n v="0.05"/>
    <n v="487.86"/>
    <n v="248.32"/>
    <n v="239.54"/>
    <s v="Card"/>
    <n v="5"/>
    <s v="June"/>
    <s v="Q2"/>
    <n v="2024"/>
    <m/>
  </r>
  <r>
    <s v="SAL-1391"/>
    <d v="2024-07-09T00:00:00"/>
    <s v="Andrew Wilson"/>
    <x v="2"/>
    <s v="Port Harcourt"/>
    <s v="Corporate"/>
    <s v="Furniture"/>
    <s v="Cabinet"/>
    <n v="3"/>
    <n v="165.18"/>
    <n v="0"/>
    <n v="495.54"/>
    <n v="380.03"/>
    <n v="115.51"/>
    <s v="Mobile Payment"/>
    <n v="2"/>
    <s v="July"/>
    <s v="Q3"/>
    <n v="2024"/>
    <m/>
  </r>
  <r>
    <s v="SAL-1392"/>
    <d v="2024-11-03T00:00:00"/>
    <s v="Robert Leonard"/>
    <x v="0"/>
    <s v="Lagos"/>
    <s v="Home Office"/>
    <s v="Electronics"/>
    <s v="Tablet"/>
    <n v="4"/>
    <n v="669.57"/>
    <n v="0.1"/>
    <n v="2410.4499999999998"/>
    <n v="1718.34"/>
    <n v="692.11"/>
    <s v="Mobile Payment"/>
    <n v="5"/>
    <s v="November"/>
    <s v="Q4"/>
    <n v="2024"/>
    <m/>
  </r>
  <r>
    <s v="SAL-1393"/>
    <d v="2024-12-18T00:00:00"/>
    <s v="Stephanie Yang"/>
    <x v="0"/>
    <s v="Ibadan"/>
    <s v="Home Office"/>
    <s v="Clothing"/>
    <s v="Sneakers"/>
    <n v="2"/>
    <n v="1023.07"/>
    <n v="0.15"/>
    <n v="1739.22"/>
    <n v="1389.49"/>
    <n v="349.73"/>
    <s v="Mobile Payment"/>
    <n v="1"/>
    <s v="December"/>
    <s v="Q4"/>
    <n v="2024"/>
    <m/>
  </r>
  <r>
    <s v="SAL-1394"/>
    <d v="2024-12-05T00:00:00"/>
    <s v="Frank Reed"/>
    <x v="2"/>
    <s v="Ibadan"/>
    <s v="Home Office"/>
    <s v="Electronics"/>
    <s v="Phone"/>
    <n v="5"/>
    <n v="31.16"/>
    <n v="0.1"/>
    <n v="140.22"/>
    <n v="105.73"/>
    <n v="34.49"/>
    <s v="Mobile Payment"/>
    <n v="4"/>
    <s v="December"/>
    <s v="Q4"/>
    <n v="2024"/>
    <m/>
  </r>
  <r>
    <s v="SAL-1395"/>
    <d v="2024-01-21T00:00:00"/>
    <s v="Pamela Hanna"/>
    <x v="4"/>
    <s v="Port Harcourt"/>
    <s v="Home Office"/>
    <s v="Electronics"/>
    <s v="Tablet"/>
    <n v="1"/>
    <n v="370.51"/>
    <n v="0.1"/>
    <n v="333.46"/>
    <n v="226.06"/>
    <n v="107.4"/>
    <s v="Mobile Payment"/>
    <n v="3"/>
    <s v="January"/>
    <s v="Q1"/>
    <n v="2024"/>
    <m/>
  </r>
  <r>
    <s v="SAL-1396"/>
    <d v="2024-12-23T00:00:00"/>
    <s v="Kent Allen"/>
    <x v="3"/>
    <s v="Ibadan"/>
    <s v="Consumer"/>
    <s v="Office Supplies"/>
    <s v="Pen"/>
    <n v="11"/>
    <n v="952.69"/>
    <n v="0.15"/>
    <n v="8907.65"/>
    <n v="6388.62"/>
    <n v="2519.0300000000002"/>
    <s v="Mobile Payment"/>
    <n v="4"/>
    <s v="December"/>
    <s v="Q4"/>
    <n v="2024"/>
    <m/>
  </r>
  <r>
    <s v="SAL-1397"/>
    <d v="2024-01-16T00:00:00"/>
    <s v="John Wilson"/>
    <x v="4"/>
    <s v="Abuja"/>
    <s v="Consumer"/>
    <s v="Office Supplies"/>
    <s v="Paper"/>
    <n v="6"/>
    <n v="134.38"/>
    <n v="0"/>
    <n v="806.28"/>
    <n v="541.32000000000005"/>
    <n v="264.95999999999998"/>
    <s v="Card"/>
    <n v="3"/>
    <s v="January"/>
    <s v="Q1"/>
    <n v="2024"/>
    <m/>
  </r>
  <r>
    <s v="SAL-1398"/>
    <d v="2024-08-02T00:00:00"/>
    <s v="Scott Gibson"/>
    <x v="4"/>
    <s v="Kano"/>
    <s v="Home Office"/>
    <s v="Furniture"/>
    <s v="Desk"/>
    <n v="10"/>
    <n v="1032.3900000000001"/>
    <n v="0.1"/>
    <n v="9291.51"/>
    <n v="7607.4"/>
    <n v="1684.11"/>
    <s v="Transfer"/>
    <n v="1"/>
    <s v="August"/>
    <s v="Q3"/>
    <n v="2024"/>
    <m/>
  </r>
  <r>
    <s v="SAL-1399"/>
    <d v="2024-06-22T00:00:00"/>
    <s v="Martha Parker"/>
    <x v="4"/>
    <s v="Lagos"/>
    <s v="Home Office"/>
    <s v="Clothing"/>
    <s v="Jacket"/>
    <n v="3"/>
    <n v="226.34"/>
    <n v="0"/>
    <n v="679.02"/>
    <n v="394.14"/>
    <n v="284.88"/>
    <s v="Cash"/>
    <n v="1"/>
    <s v="June"/>
    <s v="Q2"/>
    <n v="2024"/>
    <m/>
  </r>
  <r>
    <s v="SAL-1400"/>
    <d v="2024-05-19T00:00:00"/>
    <s v="Amanda Combs"/>
    <x v="2"/>
    <s v="Lagos"/>
    <s v="Corporate"/>
    <s v="Office Supplies"/>
    <s v="Notebook"/>
    <n v="1"/>
    <n v="46.43"/>
    <n v="0.05"/>
    <n v="44.11"/>
    <n v="23.92"/>
    <n v="20.190000000000001"/>
    <s v="Transfer"/>
    <n v="1"/>
    <s v="May"/>
    <s v="Q2"/>
    <n v="2024"/>
    <m/>
  </r>
  <r>
    <s v="SAL-1401"/>
    <d v="2024-07-18T00:00:00"/>
    <s v="Amy Wilson"/>
    <x v="2"/>
    <s v="Kano"/>
    <s v="Consumer"/>
    <s v="Office Supplies"/>
    <s v="Pen"/>
    <n v="3"/>
    <n v="839.53"/>
    <n v="0.05"/>
    <n v="2392.66"/>
    <n v="1781.11"/>
    <n v="611.54999999999995"/>
    <s v="Cash"/>
    <n v="1"/>
    <s v="July"/>
    <s v="Q3"/>
    <n v="2024"/>
    <m/>
  </r>
  <r>
    <s v="SAL-1402"/>
    <d v="2024-09-08T00:00:00"/>
    <s v="Catherine Brown"/>
    <x v="2"/>
    <s v="Lagos"/>
    <s v="Home Office"/>
    <s v="Clothing"/>
    <s v="T-Shirt"/>
    <n v="7"/>
    <n v="435.94"/>
    <n v="0"/>
    <n v="3051.58"/>
    <n v="1895.05"/>
    <n v="1156.53"/>
    <s v="Transfer"/>
    <n v="1"/>
    <s v="September"/>
    <s v="Q3"/>
    <n v="2024"/>
    <m/>
  </r>
  <r>
    <s v="SAL-1403"/>
    <d v="2024-12-26T00:00:00"/>
    <s v="Kristen Garcia"/>
    <x v="2"/>
    <s v="Port Harcourt"/>
    <s v="Corporate"/>
    <s v="Clothing"/>
    <s v="Sneakers"/>
    <n v="8"/>
    <n v="1110.76"/>
    <n v="0.1"/>
    <n v="7997.47"/>
    <n v="5371.8"/>
    <n v="2625.67"/>
    <s v="Cash"/>
    <n v="1"/>
    <s v="December"/>
    <s v="Q4"/>
    <n v="2024"/>
    <m/>
  </r>
  <r>
    <s v="SAL-1404"/>
    <d v="2024-03-06T00:00:00"/>
    <s v="Angela Harrison"/>
    <x v="1"/>
    <s v="Lagos"/>
    <s v="Consumer"/>
    <s v="Furniture"/>
    <s v="Cabinet"/>
    <n v="7"/>
    <n v="975.82"/>
    <n v="0"/>
    <n v="6830.74"/>
    <n v="5429.42"/>
    <n v="1401.32"/>
    <s v="Card"/>
    <n v="2"/>
    <s v="March"/>
    <s v="Q1"/>
    <n v="2024"/>
    <m/>
  </r>
  <r>
    <s v="SAL-1405"/>
    <d v="2024-10-13T00:00:00"/>
    <s v="Mark Spears"/>
    <x v="3"/>
    <s v="Lagos"/>
    <s v="Home Office"/>
    <s v="Clothing"/>
    <s v="T-Shirt"/>
    <n v="5"/>
    <n v="1093.97"/>
    <n v="0"/>
    <n v="5469.85"/>
    <n v="2831.49"/>
    <n v="2638.36"/>
    <s v="Card"/>
    <n v="2"/>
    <s v="October"/>
    <s v="Q4"/>
    <n v="2024"/>
    <m/>
  </r>
  <r>
    <s v="SAL-1406"/>
    <d v="2024-10-12T00:00:00"/>
    <s v="Dr. Yvonne Wright"/>
    <x v="4"/>
    <s v="Kano"/>
    <s v="Consumer"/>
    <s v="Electronics"/>
    <s v="Laptop"/>
    <n v="11"/>
    <n v="65.42"/>
    <n v="0"/>
    <n v="719.62"/>
    <n v="483.59"/>
    <n v="236.03"/>
    <s v="Cash"/>
    <n v="2"/>
    <s v="October"/>
    <s v="Q4"/>
    <n v="2024"/>
    <m/>
  </r>
  <r>
    <s v="SAL-1407"/>
    <d v="2024-08-25T00:00:00"/>
    <s v="Mario Wood"/>
    <x v="4"/>
    <s v="Abuja"/>
    <s v="Consumer"/>
    <s v="Electronics"/>
    <s v="Printer"/>
    <n v="10"/>
    <n v="640.23"/>
    <n v="0.1"/>
    <n v="5762.07"/>
    <n v="2946.94"/>
    <n v="2815.13"/>
    <s v="Mobile Payment"/>
    <n v="3"/>
    <s v="August"/>
    <s v="Q3"/>
    <n v="2024"/>
    <m/>
  </r>
  <r>
    <s v="SAL-1408"/>
    <d v="2024-03-12T00:00:00"/>
    <s v="Michael White"/>
    <x v="4"/>
    <s v="Kano"/>
    <s v="Home Office"/>
    <s v="Office Supplies"/>
    <s v="Paper"/>
    <n v="12"/>
    <n v="1157.8800000000001"/>
    <n v="0.1"/>
    <n v="12505.1"/>
    <n v="8772.99"/>
    <n v="3732.11"/>
    <s v="Card"/>
    <n v="2"/>
    <s v="March"/>
    <s v="Q1"/>
    <n v="2024"/>
    <m/>
  </r>
  <r>
    <s v="SAL-1409"/>
    <d v="2024-09-15T00:00:00"/>
    <s v="Angela Shannon"/>
    <x v="4"/>
    <s v="Port Harcourt"/>
    <s v="Home Office"/>
    <s v="Office Supplies"/>
    <s v="Paper"/>
    <n v="7"/>
    <n v="364.07"/>
    <n v="0.15"/>
    <n v="2166.2199999999998"/>
    <n v="1172.51"/>
    <n v="993.71"/>
    <s v="Card"/>
    <n v="5"/>
    <s v="September"/>
    <s v="Q3"/>
    <n v="2024"/>
    <m/>
  </r>
  <r>
    <s v="SAL-1410"/>
    <d v="2024-03-26T00:00:00"/>
    <s v="Rachel Garrison"/>
    <x v="4"/>
    <s v="Ibadan"/>
    <s v="Home Office"/>
    <s v="Clothing"/>
    <s v="Sneakers"/>
    <n v="8"/>
    <n v="605.54"/>
    <n v="0.05"/>
    <n v="4602.1000000000004"/>
    <n v="3245.8"/>
    <n v="1356.3"/>
    <s v="Transfer"/>
    <n v="1"/>
    <s v="March"/>
    <s v="Q1"/>
    <n v="2024"/>
    <m/>
  </r>
  <r>
    <s v="SAL-1411"/>
    <d v="2024-05-30T00:00:00"/>
    <s v="Sheila Richardson"/>
    <x v="3"/>
    <s v="Port Harcourt"/>
    <s v="Consumer"/>
    <s v="Clothing"/>
    <s v="Jacket"/>
    <n v="6"/>
    <n v="1158.9100000000001"/>
    <n v="0.1"/>
    <n v="6258.11"/>
    <n v="5263.98"/>
    <n v="994.13"/>
    <s v="Mobile Payment"/>
    <n v="1"/>
    <s v="May"/>
    <s v="Q2"/>
    <n v="2024"/>
    <m/>
  </r>
  <r>
    <s v="SAL-1412"/>
    <d v="2024-05-26T00:00:00"/>
    <s v="Steven Castillo"/>
    <x v="1"/>
    <s v="Lagos"/>
    <s v="Corporate"/>
    <s v="Electronics"/>
    <s v="Laptop"/>
    <n v="10"/>
    <n v="250.46"/>
    <n v="0.15"/>
    <n v="2128.91"/>
    <n v="1166.1099999999999"/>
    <n v="962.8"/>
    <s v="Cash"/>
    <n v="2"/>
    <s v="May"/>
    <s v="Q2"/>
    <n v="2024"/>
    <m/>
  </r>
  <r>
    <s v="SAL-1413"/>
    <d v="2024-03-25T00:00:00"/>
    <s v="Amber Obrien"/>
    <x v="1"/>
    <s v="Abuja"/>
    <s v="Corporate"/>
    <s v="Furniture"/>
    <s v="Cabinet"/>
    <n v="7"/>
    <n v="315.85000000000002"/>
    <n v="0.1"/>
    <n v="1989.86"/>
    <n v="1642.33"/>
    <n v="347.53"/>
    <s v="Transfer"/>
    <n v="5"/>
    <s v="March"/>
    <s v="Q1"/>
    <n v="2024"/>
    <m/>
  </r>
  <r>
    <s v="SAL-1414"/>
    <d v="2024-02-15T00:00:00"/>
    <s v="Kimberly Klein"/>
    <x v="3"/>
    <s v="Abuja"/>
    <s v="Home Office"/>
    <s v="Electronics"/>
    <s v="Printer"/>
    <n v="12"/>
    <n v="933.37"/>
    <n v="0.05"/>
    <n v="10640.42"/>
    <n v="7172.83"/>
    <n v="3467.59"/>
    <s v="Transfer"/>
    <n v="1"/>
    <s v="February"/>
    <s v="Q1"/>
    <n v="2024"/>
    <m/>
  </r>
  <r>
    <s v="SAL-1415"/>
    <d v="2024-09-11T00:00:00"/>
    <s v="Robert Beck"/>
    <x v="2"/>
    <s v="Port Harcourt"/>
    <s v="Home Office"/>
    <s v="Clothing"/>
    <s v="T-Shirt"/>
    <n v="6"/>
    <n v="840.76"/>
    <n v="0"/>
    <n v="5044.5600000000004"/>
    <n v="2972.28"/>
    <n v="2072.2800000000002"/>
    <s v="Transfer"/>
    <n v="5"/>
    <s v="September"/>
    <s v="Q3"/>
    <n v="2024"/>
    <m/>
  </r>
  <r>
    <s v="SAL-1416"/>
    <d v="2024-05-01T00:00:00"/>
    <s v="Julie Mcfarland"/>
    <x v="1"/>
    <s v="Lagos"/>
    <s v="Consumer"/>
    <s v="Clothing"/>
    <s v="Jacket"/>
    <n v="10"/>
    <n v="220.08"/>
    <n v="0.1"/>
    <n v="1980.72"/>
    <n v="1133.0899999999999"/>
    <n v="847.63"/>
    <s v="Transfer"/>
    <n v="4"/>
    <s v="May"/>
    <s v="Q2"/>
    <n v="2024"/>
    <m/>
  </r>
  <r>
    <s v="SAL-1417"/>
    <d v="2024-09-07T00:00:00"/>
    <s v="Teresa Garcia"/>
    <x v="3"/>
    <s v="Kano"/>
    <s v="Consumer"/>
    <s v="Electronics"/>
    <s v="Tablet"/>
    <n v="2"/>
    <n v="855.81"/>
    <n v="0.1"/>
    <n v="1540.46"/>
    <n v="814.27"/>
    <n v="726.19"/>
    <s v="Cash"/>
    <n v="1"/>
    <s v="September"/>
    <s v="Q3"/>
    <n v="2024"/>
    <m/>
  </r>
  <r>
    <s v="SAL-1418"/>
    <d v="2024-06-16T00:00:00"/>
    <s v="Mrs. Tiffany Woods"/>
    <x v="0"/>
    <s v="Lagos"/>
    <s v="Home Office"/>
    <s v="Clothing"/>
    <s v="Jacket"/>
    <n v="9"/>
    <n v="438.58"/>
    <n v="0.05"/>
    <n v="3749.86"/>
    <n v="2484.04"/>
    <n v="1265.82"/>
    <s v="Cash"/>
    <n v="1"/>
    <s v="June"/>
    <s v="Q2"/>
    <n v="2024"/>
    <m/>
  </r>
  <r>
    <s v="SAL-1419"/>
    <d v="2024-12-10T00:00:00"/>
    <s v="Sonya Anderson"/>
    <x v="0"/>
    <s v="Kano"/>
    <s v="Consumer"/>
    <s v="Electronics"/>
    <s v="Tablet"/>
    <n v="2"/>
    <n v="721.84"/>
    <n v="0.15"/>
    <n v="1227.1300000000001"/>
    <n v="1029.77"/>
    <n v="197.36"/>
    <s v="Card"/>
    <n v="1"/>
    <s v="December"/>
    <s v="Q4"/>
    <n v="2024"/>
    <m/>
  </r>
  <r>
    <s v="SAL-1420"/>
    <d v="2024-05-06T00:00:00"/>
    <s v="Ann Riggs"/>
    <x v="3"/>
    <s v="Kano"/>
    <s v="Home Office"/>
    <s v="Furniture"/>
    <s v="Chair"/>
    <n v="2"/>
    <n v="582.73"/>
    <n v="0.05"/>
    <n v="1107.19"/>
    <n v="702.22"/>
    <n v="404.97"/>
    <s v="Mobile Payment"/>
    <n v="1"/>
    <s v="May"/>
    <s v="Q2"/>
    <n v="2024"/>
    <m/>
  </r>
  <r>
    <s v="SAL-1421"/>
    <d v="2024-03-11T00:00:00"/>
    <s v="Mark Hall"/>
    <x v="4"/>
    <s v="Kano"/>
    <s v="Consumer"/>
    <s v="Electronics"/>
    <s v="Tablet"/>
    <n v="2"/>
    <n v="109.03"/>
    <n v="0.15"/>
    <n v="185.35"/>
    <n v="103.06"/>
    <n v="82.29"/>
    <s v="Cash"/>
    <n v="3"/>
    <s v="March"/>
    <s v="Q1"/>
    <n v="2024"/>
    <m/>
  </r>
  <r>
    <s v="SAL-1422"/>
    <d v="2024-11-07T00:00:00"/>
    <s v="Kelly Dixon"/>
    <x v="4"/>
    <s v="Port Harcourt"/>
    <s v="Home Office"/>
    <s v="Electronics"/>
    <s v="Phone"/>
    <n v="3"/>
    <n v="184.44"/>
    <n v="0.05"/>
    <n v="525.65"/>
    <n v="329.79"/>
    <n v="195.86"/>
    <s v="Mobile Payment"/>
    <n v="5"/>
    <s v="November"/>
    <s v="Q4"/>
    <n v="2024"/>
    <m/>
  </r>
  <r>
    <s v="SAL-1423"/>
    <d v="2024-10-25T00:00:00"/>
    <s v="Ann Phillips"/>
    <x v="4"/>
    <s v="Ibadan"/>
    <s v="Consumer"/>
    <s v="Office Supplies"/>
    <s v="Paper"/>
    <n v="1"/>
    <n v="750.97"/>
    <n v="0.05"/>
    <n v="713.42"/>
    <n v="411.9"/>
    <n v="301.52"/>
    <s v="Mobile Payment"/>
    <n v="5"/>
    <s v="October"/>
    <s v="Q4"/>
    <n v="2024"/>
    <m/>
  </r>
  <r>
    <s v="SAL-1424"/>
    <d v="2024-05-24T00:00:00"/>
    <s v="Jennifer Ramirez"/>
    <x v="4"/>
    <s v="Abuja"/>
    <s v="Home Office"/>
    <s v="Electronics"/>
    <s v="Printer"/>
    <n v="6"/>
    <n v="177.42"/>
    <n v="0.15"/>
    <n v="904.84"/>
    <n v="562.1"/>
    <n v="342.74"/>
    <s v="Card"/>
    <n v="3"/>
    <s v="May"/>
    <s v="Q2"/>
    <n v="2024"/>
    <m/>
  </r>
  <r>
    <s v="SAL-1425"/>
    <d v="2024-12-23T00:00:00"/>
    <s v="Daniel Walker"/>
    <x v="2"/>
    <s v="Abuja"/>
    <s v="Consumer"/>
    <s v="Clothing"/>
    <s v="T-Shirt"/>
    <n v="12"/>
    <n v="992.54"/>
    <n v="0.05"/>
    <n v="11314.96"/>
    <n v="8829.1299999999992"/>
    <n v="2485.83"/>
    <s v="Card"/>
    <n v="2"/>
    <s v="December"/>
    <s v="Q4"/>
    <n v="2024"/>
    <m/>
  </r>
  <r>
    <s v="SAL-1426"/>
    <d v="2024-11-26T00:00:00"/>
    <s v="Angel Parker"/>
    <x v="0"/>
    <s v="Port Harcourt"/>
    <s v="Corporate"/>
    <s v="Furniture"/>
    <s v="Desk"/>
    <n v="11"/>
    <n v="735.79"/>
    <n v="0"/>
    <n v="8093.69"/>
    <n v="5875.53"/>
    <n v="2218.16"/>
    <s v="Cash"/>
    <n v="1"/>
    <s v="November"/>
    <s v="Q4"/>
    <n v="2024"/>
    <m/>
  </r>
  <r>
    <s v="SAL-1427"/>
    <d v="2024-03-06T00:00:00"/>
    <s v="Margaret Robbins"/>
    <x v="2"/>
    <s v="Abuja"/>
    <s v="Corporate"/>
    <s v="Furniture"/>
    <s v="Cabinet"/>
    <n v="5"/>
    <n v="264.74"/>
    <n v="0.05"/>
    <n v="1257.51"/>
    <n v="647.39"/>
    <n v="610.12"/>
    <s v="Mobile Payment"/>
    <n v="2"/>
    <s v="March"/>
    <s v="Q1"/>
    <n v="2024"/>
    <m/>
  </r>
  <r>
    <s v="SAL-1428"/>
    <d v="2024-12-21T00:00:00"/>
    <s v="Eric Molina"/>
    <x v="2"/>
    <s v="Ibadan"/>
    <s v="Consumer"/>
    <s v="Clothing"/>
    <s v="Sneakers"/>
    <n v="2"/>
    <n v="141.49"/>
    <n v="0.05"/>
    <n v="268.83"/>
    <n v="188.15"/>
    <n v="80.680000000000007"/>
    <s v="Cash"/>
    <n v="5"/>
    <s v="December"/>
    <s v="Q4"/>
    <n v="2024"/>
    <m/>
  </r>
  <r>
    <s v="SAL-1429"/>
    <d v="2024-10-16T00:00:00"/>
    <s v="John Robbins"/>
    <x v="2"/>
    <s v="Kano"/>
    <s v="Home Office"/>
    <s v="Clothing"/>
    <s v="T-Shirt"/>
    <n v="12"/>
    <n v="858.3"/>
    <n v="0.1"/>
    <n v="9269.64"/>
    <n v="7518.02"/>
    <n v="1751.62"/>
    <s v="Transfer"/>
    <n v="3"/>
    <s v="October"/>
    <s v="Q4"/>
    <n v="2024"/>
    <m/>
  </r>
  <r>
    <s v="SAL-1430"/>
    <d v="2024-11-26T00:00:00"/>
    <s v="Grace Thomas"/>
    <x v="4"/>
    <s v="Abuja"/>
    <s v="Corporate"/>
    <s v="Office Supplies"/>
    <s v="Notebook"/>
    <n v="2"/>
    <n v="529.42999999999995"/>
    <n v="0"/>
    <n v="1058.8599999999999"/>
    <n v="875.2"/>
    <n v="183.66"/>
    <s v="Cash"/>
    <n v="1"/>
    <s v="November"/>
    <s v="Q4"/>
    <n v="2024"/>
    <m/>
  </r>
  <r>
    <s v="SAL-1431"/>
    <d v="2024-07-20T00:00:00"/>
    <s v="Alexander Wilson"/>
    <x v="0"/>
    <s v="Port Harcourt"/>
    <s v="Home Office"/>
    <s v="Electronics"/>
    <s v="Laptop"/>
    <n v="8"/>
    <n v="795.68"/>
    <n v="0"/>
    <n v="6365.44"/>
    <n v="4996.1099999999997"/>
    <n v="1369.33"/>
    <s v="Transfer"/>
    <n v="2"/>
    <s v="July"/>
    <s v="Q3"/>
    <n v="2024"/>
    <m/>
  </r>
  <r>
    <s v="SAL-1432"/>
    <d v="2024-02-16T00:00:00"/>
    <s v="James Mitchell"/>
    <x v="2"/>
    <s v="Kano"/>
    <s v="Home Office"/>
    <s v="Furniture"/>
    <s v="Chair"/>
    <n v="3"/>
    <n v="871.56"/>
    <n v="0.1"/>
    <n v="2353.21"/>
    <n v="1499.73"/>
    <n v="853.48"/>
    <s v="Cash"/>
    <n v="5"/>
    <s v="February"/>
    <s v="Q1"/>
    <n v="2024"/>
    <m/>
  </r>
  <r>
    <s v="SAL-1433"/>
    <d v="2024-03-17T00:00:00"/>
    <s v="Rebecca Lopez"/>
    <x v="3"/>
    <s v="Lagos"/>
    <s v="Corporate"/>
    <s v="Office Supplies"/>
    <s v="Pen"/>
    <n v="2"/>
    <n v="409.59"/>
    <n v="0.1"/>
    <n v="737.26"/>
    <n v="473.39"/>
    <n v="263.87"/>
    <s v="Cash"/>
    <n v="2"/>
    <s v="March"/>
    <s v="Q1"/>
    <n v="2024"/>
    <m/>
  </r>
  <r>
    <s v="SAL-1434"/>
    <d v="2024-09-02T00:00:00"/>
    <s v="Diane Knight"/>
    <x v="3"/>
    <s v="Port Harcourt"/>
    <s v="Consumer"/>
    <s v="Electronics"/>
    <s v="Tablet"/>
    <n v="8"/>
    <n v="1020.91"/>
    <n v="0"/>
    <n v="8167.28"/>
    <n v="5892.83"/>
    <n v="2274.4499999999998"/>
    <s v="Card"/>
    <n v="5"/>
    <s v="September"/>
    <s v="Q3"/>
    <n v="2024"/>
    <m/>
  </r>
  <r>
    <s v="SAL-1435"/>
    <d v="2024-11-26T00:00:00"/>
    <s v="Andrew Harris"/>
    <x v="3"/>
    <s v="Ibadan"/>
    <s v="Corporate"/>
    <s v="Furniture"/>
    <s v="Cabinet"/>
    <n v="2"/>
    <n v="328.9"/>
    <n v="0.1"/>
    <n v="592.02"/>
    <n v="437.98"/>
    <n v="154.04"/>
    <s v="Mobile Payment"/>
    <n v="5"/>
    <s v="November"/>
    <s v="Q4"/>
    <n v="2024"/>
    <m/>
  </r>
  <r>
    <s v="SAL-1436"/>
    <d v="2024-11-14T00:00:00"/>
    <s v="Joshua Mcbride"/>
    <x v="3"/>
    <s v="Kano"/>
    <s v="Home Office"/>
    <s v="Office Supplies"/>
    <s v="Paper"/>
    <n v="8"/>
    <n v="209.65"/>
    <n v="0"/>
    <n v="1677.2"/>
    <n v="1362.99"/>
    <n v="314.20999999999998"/>
    <s v="Card"/>
    <n v="5"/>
    <s v="November"/>
    <s v="Q4"/>
    <n v="2024"/>
    <m/>
  </r>
  <r>
    <s v="SAL-1437"/>
    <d v="2024-09-04T00:00:00"/>
    <s v="Martin Sandoval"/>
    <x v="4"/>
    <s v="Kano"/>
    <s v="Consumer"/>
    <s v="Electronics"/>
    <s v="Tablet"/>
    <n v="5"/>
    <n v="1180.44"/>
    <n v="0.1"/>
    <n v="5311.98"/>
    <n v="3370.63"/>
    <n v="1941.35"/>
    <s v="Transfer"/>
    <n v="4"/>
    <s v="September"/>
    <s v="Q3"/>
    <n v="2024"/>
    <m/>
  </r>
  <r>
    <s v="SAL-1438"/>
    <d v="2024-08-04T00:00:00"/>
    <s v="Jared Brown"/>
    <x v="2"/>
    <s v="Port Harcourt"/>
    <s v="Home Office"/>
    <s v="Clothing"/>
    <s v="T-Shirt"/>
    <n v="3"/>
    <n v="1109.76"/>
    <n v="0"/>
    <n v="3329.28"/>
    <n v="2468.6999999999998"/>
    <n v="860.58"/>
    <s v="Card"/>
    <n v="1"/>
    <s v="August"/>
    <s v="Q3"/>
    <n v="2024"/>
    <m/>
  </r>
  <r>
    <s v="SAL-1439"/>
    <d v="2024-03-19T00:00:00"/>
    <s v="Andrea Williams"/>
    <x v="2"/>
    <s v="Lagos"/>
    <s v="Corporate"/>
    <s v="Clothing"/>
    <s v="Jacket"/>
    <n v="9"/>
    <n v="356.52"/>
    <n v="0"/>
    <n v="3208.68"/>
    <n v="2567.19"/>
    <n v="641.49"/>
    <s v="Transfer"/>
    <n v="4"/>
    <s v="March"/>
    <s v="Q1"/>
    <n v="2024"/>
    <m/>
  </r>
  <r>
    <s v="SAL-1440"/>
    <d v="2024-07-15T00:00:00"/>
    <s v="Julia Moore"/>
    <x v="0"/>
    <s v="Ibadan"/>
    <s v="Consumer"/>
    <s v="Clothing"/>
    <s v="Sneakers"/>
    <n v="9"/>
    <n v="22.19"/>
    <n v="0.15"/>
    <n v="169.75"/>
    <n v="137.88"/>
    <n v="31.87"/>
    <s v="Cash"/>
    <n v="1"/>
    <s v="July"/>
    <s v="Q3"/>
    <n v="2024"/>
    <m/>
  </r>
  <r>
    <s v="SAL-1441"/>
    <d v="2024-05-11T00:00:00"/>
    <s v="Aaron Washington"/>
    <x v="3"/>
    <s v="Port Harcourt"/>
    <s v="Consumer"/>
    <s v="Electronics"/>
    <s v="Tablet"/>
    <n v="12"/>
    <n v="54.05"/>
    <n v="0.05"/>
    <n v="616.16999999999996"/>
    <n v="443.6"/>
    <n v="172.57"/>
    <s v="Mobile Payment"/>
    <n v="1"/>
    <s v="May"/>
    <s v="Q2"/>
    <n v="2024"/>
    <m/>
  </r>
  <r>
    <s v="SAL-1442"/>
    <d v="2024-04-18T00:00:00"/>
    <s v="Mr. Wayne Ortiz"/>
    <x v="4"/>
    <s v="Port Harcourt"/>
    <s v="Corporate"/>
    <s v="Office Supplies"/>
    <s v="Pen"/>
    <n v="1"/>
    <n v="764.28"/>
    <n v="0.15"/>
    <n v="649.64"/>
    <n v="539.84"/>
    <n v="109.8"/>
    <s v="Transfer"/>
    <n v="4"/>
    <s v="April"/>
    <s v="Q2"/>
    <n v="2024"/>
    <m/>
  </r>
  <r>
    <s v="SAL-1443"/>
    <d v="2024-04-12T00:00:00"/>
    <s v="Jill Morris"/>
    <x v="2"/>
    <s v="Port Harcourt"/>
    <s v="Corporate"/>
    <s v="Furniture"/>
    <s v="Cabinet"/>
    <n v="5"/>
    <n v="409.53"/>
    <n v="0.1"/>
    <n v="1842.88"/>
    <n v="1079.3499999999999"/>
    <n v="763.53"/>
    <s v="Card"/>
    <n v="2"/>
    <s v="April"/>
    <s v="Q2"/>
    <n v="2024"/>
    <m/>
  </r>
  <r>
    <s v="SAL-1444"/>
    <d v="2024-01-05T00:00:00"/>
    <s v="Keith Clark"/>
    <x v="1"/>
    <s v="Lagos"/>
    <s v="Corporate"/>
    <s v="Electronics"/>
    <s v="Tablet"/>
    <n v="7"/>
    <n v="1046.33"/>
    <n v="0.05"/>
    <n v="6958.09"/>
    <n v="5530.77"/>
    <n v="1427.32"/>
    <s v="Mobile Payment"/>
    <n v="5"/>
    <s v="January"/>
    <s v="Q1"/>
    <n v="2024"/>
    <m/>
  </r>
  <r>
    <s v="SAL-1445"/>
    <d v="2024-12-23T00:00:00"/>
    <s v="Danielle Moran"/>
    <x v="1"/>
    <s v="Lagos"/>
    <s v="Corporate"/>
    <s v="Furniture"/>
    <s v="Desk"/>
    <n v="9"/>
    <n v="1087.6199999999999"/>
    <n v="0.1"/>
    <n v="8809.7199999999993"/>
    <n v="6858.35"/>
    <n v="1951.37"/>
    <s v="Mobile Payment"/>
    <n v="4"/>
    <s v="December"/>
    <s v="Q4"/>
    <n v="2024"/>
    <m/>
  </r>
  <r>
    <s v="SAL-1446"/>
    <d v="2024-03-31T00:00:00"/>
    <s v="Patricia Rivera"/>
    <x v="1"/>
    <s v="Abuja"/>
    <s v="Corporate"/>
    <s v="Clothing"/>
    <s v="T-Shirt"/>
    <n v="8"/>
    <n v="692.66"/>
    <n v="0.15"/>
    <n v="4710.09"/>
    <n v="2919.26"/>
    <n v="1790.83"/>
    <s v="Cash"/>
    <n v="5"/>
    <s v="March"/>
    <s v="Q1"/>
    <n v="2024"/>
    <m/>
  </r>
  <r>
    <s v="SAL-1447"/>
    <d v="2024-06-22T00:00:00"/>
    <s v="Christopher Phelps"/>
    <x v="1"/>
    <s v="Ibadan"/>
    <s v="Consumer"/>
    <s v="Electronics"/>
    <s v="Printer"/>
    <n v="9"/>
    <n v="603.76"/>
    <n v="0.15"/>
    <n v="4618.76"/>
    <n v="2888.75"/>
    <n v="1730.01"/>
    <s v="Card"/>
    <n v="4"/>
    <s v="June"/>
    <s v="Q2"/>
    <n v="2024"/>
    <m/>
  </r>
  <r>
    <s v="SAL-1448"/>
    <d v="2024-03-18T00:00:00"/>
    <s v="Michelle Moore"/>
    <x v="3"/>
    <s v="Kano"/>
    <s v="Consumer"/>
    <s v="Electronics"/>
    <s v="Laptop"/>
    <n v="10"/>
    <n v="884.51"/>
    <n v="0.05"/>
    <n v="8402.84"/>
    <n v="6189.16"/>
    <n v="2213.6799999999998"/>
    <s v="Card"/>
    <n v="2"/>
    <s v="March"/>
    <s v="Q1"/>
    <n v="2024"/>
    <m/>
  </r>
  <r>
    <s v="SAL-1449"/>
    <d v="2024-09-25T00:00:00"/>
    <s v="Richard Yang"/>
    <x v="1"/>
    <s v="Abuja"/>
    <s v="Corporate"/>
    <s v="Electronics"/>
    <s v="Tablet"/>
    <n v="1"/>
    <n v="646.87"/>
    <n v="0.15"/>
    <n v="549.84"/>
    <n v="391.69"/>
    <n v="158.15"/>
    <s v="Transfer"/>
    <n v="4"/>
    <s v="September"/>
    <s v="Q3"/>
    <n v="2024"/>
    <m/>
  </r>
  <r>
    <s v="SAL-1450"/>
    <d v="2024-11-06T00:00:00"/>
    <s v="Elizabeth Cardenas"/>
    <x v="4"/>
    <s v="Lagos"/>
    <s v="Consumer"/>
    <s v="Office Supplies"/>
    <s v="Pen"/>
    <n v="5"/>
    <n v="881.74"/>
    <n v="0.15"/>
    <n v="3747.39"/>
    <n v="2489.61"/>
    <n v="1257.78"/>
    <s v="Transfer"/>
    <n v="2"/>
    <s v="November"/>
    <s v="Q4"/>
    <n v="2024"/>
    <m/>
  </r>
  <r>
    <s v="SAL-1451"/>
    <d v="2024-04-25T00:00:00"/>
    <s v="Travis Fischer"/>
    <x v="0"/>
    <s v="Ibadan"/>
    <s v="Corporate"/>
    <s v="Electronics"/>
    <s v="Phone"/>
    <n v="4"/>
    <n v="258.38"/>
    <n v="0"/>
    <n v="1033.52"/>
    <n v="557.49"/>
    <n v="476.03"/>
    <s v="Mobile Payment"/>
    <n v="3"/>
    <s v="April"/>
    <s v="Q2"/>
    <n v="2024"/>
    <m/>
  </r>
  <r>
    <s v="SAL-1452"/>
    <d v="2024-01-16T00:00:00"/>
    <s v="Brandon Flores"/>
    <x v="4"/>
    <s v="Ibadan"/>
    <s v="Corporate"/>
    <s v="Electronics"/>
    <s v="Phone"/>
    <n v="10"/>
    <n v="784.73"/>
    <n v="0"/>
    <n v="7847.3"/>
    <n v="5451.56"/>
    <n v="2395.7399999999998"/>
    <s v="Cash"/>
    <n v="3"/>
    <s v="January"/>
    <s v="Q1"/>
    <n v="2024"/>
    <m/>
  </r>
  <r>
    <s v="SAL-1453"/>
    <d v="2024-03-17T00:00:00"/>
    <s v="Kenneth Hernandez"/>
    <x v="3"/>
    <s v="Port Harcourt"/>
    <s v="Home Office"/>
    <s v="Furniture"/>
    <s v="Cabinet"/>
    <n v="11"/>
    <n v="675.43"/>
    <n v="0.1"/>
    <n v="6686.76"/>
    <n v="3640.29"/>
    <n v="3046.47"/>
    <s v="Card"/>
    <n v="5"/>
    <s v="March"/>
    <s v="Q1"/>
    <n v="2024"/>
    <m/>
  </r>
  <r>
    <s v="SAL-1454"/>
    <d v="2024-09-19T00:00:00"/>
    <s v="Amy King"/>
    <x v="2"/>
    <s v="Kano"/>
    <s v="Consumer"/>
    <s v="Office Supplies"/>
    <s v="Pen"/>
    <n v="8"/>
    <n v="756.03"/>
    <n v="0.15"/>
    <n v="5141"/>
    <n v="3070.01"/>
    <n v="2070.9899999999998"/>
    <s v="Mobile Payment"/>
    <n v="3"/>
    <s v="September"/>
    <s v="Q3"/>
    <n v="2024"/>
    <m/>
  </r>
  <r>
    <s v="SAL-1455"/>
    <d v="2024-01-23T00:00:00"/>
    <s v="Valerie Rose"/>
    <x v="3"/>
    <s v="Lagos"/>
    <s v="Consumer"/>
    <s v="Electronics"/>
    <s v="Printer"/>
    <n v="3"/>
    <n v="59.7"/>
    <n v="0.15"/>
    <n v="152.24"/>
    <n v="82.49"/>
    <n v="69.75"/>
    <s v="Card"/>
    <n v="3"/>
    <s v="January"/>
    <s v="Q1"/>
    <n v="2024"/>
    <m/>
  </r>
  <r>
    <s v="SAL-1456"/>
    <d v="2024-07-28T00:00:00"/>
    <s v="Gregory Mccullough"/>
    <x v="2"/>
    <s v="Lagos"/>
    <s v="Consumer"/>
    <s v="Electronics"/>
    <s v="Phone"/>
    <n v="9"/>
    <n v="1103.96"/>
    <n v="0"/>
    <n v="9935.64"/>
    <n v="8185.98"/>
    <n v="1749.66"/>
    <s v="Cash"/>
    <n v="4"/>
    <s v="July"/>
    <s v="Q3"/>
    <n v="2024"/>
    <m/>
  </r>
  <r>
    <s v="SAL-1457"/>
    <d v="2024-06-09T00:00:00"/>
    <s v="James Vazquez"/>
    <x v="2"/>
    <s v="Port Harcourt"/>
    <s v="Home Office"/>
    <s v="Furniture"/>
    <s v="Cabinet"/>
    <n v="7"/>
    <n v="774.47"/>
    <n v="0.05"/>
    <n v="5150.2299999999996"/>
    <n v="3165.14"/>
    <n v="1985.09"/>
    <s v="Transfer"/>
    <n v="3"/>
    <s v="June"/>
    <s v="Q2"/>
    <n v="2024"/>
    <m/>
  </r>
  <r>
    <s v="SAL-1458"/>
    <d v="2024-01-29T00:00:00"/>
    <s v="Anthony Bird"/>
    <x v="2"/>
    <s v="Kano"/>
    <s v="Home Office"/>
    <s v="Office Supplies"/>
    <s v="Notebook"/>
    <n v="8"/>
    <n v="586.15"/>
    <n v="0.15"/>
    <n v="3985.82"/>
    <n v="3184.38"/>
    <n v="801.44"/>
    <s v="Card"/>
    <n v="1"/>
    <s v="January"/>
    <s v="Q1"/>
    <n v="2024"/>
    <m/>
  </r>
  <r>
    <s v="SAL-1459"/>
    <d v="2024-10-28T00:00:00"/>
    <s v="George Jones"/>
    <x v="4"/>
    <s v="Abuja"/>
    <s v="Corporate"/>
    <s v="Electronics"/>
    <s v="Phone"/>
    <n v="3"/>
    <n v="748.4"/>
    <n v="0.05"/>
    <n v="2132.94"/>
    <n v="1556.96"/>
    <n v="575.98"/>
    <s v="Cash"/>
    <n v="2"/>
    <s v="October"/>
    <s v="Q4"/>
    <n v="2024"/>
    <m/>
  </r>
  <r>
    <s v="SAL-1460"/>
    <d v="2024-12-31T00:00:00"/>
    <s v="Jessica Silva"/>
    <x v="0"/>
    <s v="Lagos"/>
    <s v="Corporate"/>
    <s v="Furniture"/>
    <s v="Desk"/>
    <n v="11"/>
    <n v="705.06"/>
    <n v="0.1"/>
    <n v="6980.09"/>
    <n v="5785.27"/>
    <n v="1194.82"/>
    <s v="Mobile Payment"/>
    <n v="3"/>
    <s v="December"/>
    <s v="Q4"/>
    <n v="2024"/>
    <m/>
  </r>
  <r>
    <s v="SAL-1461"/>
    <d v="2024-06-25T00:00:00"/>
    <s v="Christopher Gonzalez"/>
    <x v="2"/>
    <s v="Port Harcourt"/>
    <s v="Consumer"/>
    <s v="Furniture"/>
    <s v="Desk"/>
    <n v="2"/>
    <n v="86.62"/>
    <n v="0.15"/>
    <n v="147.25"/>
    <n v="89.78"/>
    <n v="57.47"/>
    <s v="Mobile Payment"/>
    <n v="4"/>
    <s v="June"/>
    <s v="Q2"/>
    <n v="2024"/>
    <m/>
  </r>
  <r>
    <s v="SAL-1462"/>
    <d v="2024-05-07T00:00:00"/>
    <s v="Beth Jones"/>
    <x v="3"/>
    <s v="Port Harcourt"/>
    <s v="Consumer"/>
    <s v="Electronics"/>
    <s v="Tablet"/>
    <n v="4"/>
    <n v="88.53"/>
    <n v="0"/>
    <n v="354.12"/>
    <n v="276.85000000000002"/>
    <n v="77.27"/>
    <s v="Transfer"/>
    <n v="2"/>
    <s v="May"/>
    <s v="Q2"/>
    <n v="2024"/>
    <m/>
  </r>
  <r>
    <s v="SAL-1463"/>
    <d v="2024-02-09T00:00:00"/>
    <s v="Lisa Walker"/>
    <x v="3"/>
    <s v="Lagos"/>
    <s v="Consumer"/>
    <s v="Electronics"/>
    <s v="Phone"/>
    <n v="3"/>
    <n v="1190.57"/>
    <n v="0.15"/>
    <n v="3035.95"/>
    <n v="1649.7"/>
    <n v="1386.25"/>
    <s v="Transfer"/>
    <n v="1"/>
    <s v="February"/>
    <s v="Q1"/>
    <n v="2024"/>
    <m/>
  </r>
  <r>
    <s v="SAL-1464"/>
    <d v="2024-04-22T00:00:00"/>
    <s v="Tina Nelson"/>
    <x v="4"/>
    <s v="Ibadan"/>
    <s v="Home Office"/>
    <s v="Office Supplies"/>
    <s v="Notebook"/>
    <n v="11"/>
    <n v="683.83"/>
    <n v="0.1"/>
    <n v="6769.92"/>
    <n v="4195.58"/>
    <n v="2574.34"/>
    <s v="Card"/>
    <n v="3"/>
    <s v="April"/>
    <s v="Q2"/>
    <n v="2024"/>
    <m/>
  </r>
  <r>
    <s v="SAL-1465"/>
    <d v="2024-04-16T00:00:00"/>
    <s v="Kristen Newman"/>
    <x v="2"/>
    <s v="Ibadan"/>
    <s v="Home Office"/>
    <s v="Furniture"/>
    <s v="Desk"/>
    <n v="2"/>
    <n v="338.9"/>
    <n v="0.05"/>
    <n v="643.91"/>
    <n v="423.74"/>
    <n v="220.17"/>
    <s v="Transfer"/>
    <n v="5"/>
    <s v="April"/>
    <s v="Q2"/>
    <n v="2024"/>
    <m/>
  </r>
  <r>
    <s v="SAL-1466"/>
    <d v="2024-12-25T00:00:00"/>
    <s v="Rebecca Stewart"/>
    <x v="4"/>
    <s v="Abuja"/>
    <s v="Consumer"/>
    <s v="Electronics"/>
    <s v="Phone"/>
    <n v="4"/>
    <n v="202.17"/>
    <n v="0"/>
    <n v="808.68"/>
    <n v="611.71"/>
    <n v="196.97"/>
    <s v="Transfer"/>
    <n v="2"/>
    <s v="December"/>
    <s v="Q4"/>
    <n v="2024"/>
    <m/>
  </r>
  <r>
    <s v="SAL-1467"/>
    <d v="2024-01-04T00:00:00"/>
    <s v="Andrew Gill"/>
    <x v="1"/>
    <s v="Kano"/>
    <s v="Corporate"/>
    <s v="Clothing"/>
    <s v="Sneakers"/>
    <n v="6"/>
    <n v="645.9"/>
    <n v="0.15"/>
    <n v="3294.09"/>
    <n v="2516.4499999999998"/>
    <n v="777.64"/>
    <s v="Mobile Payment"/>
    <n v="2"/>
    <s v="January"/>
    <s v="Q1"/>
    <n v="2024"/>
    <m/>
  </r>
  <r>
    <s v="SAL-1468"/>
    <d v="2024-12-27T00:00:00"/>
    <s v="Kelsey Page"/>
    <x v="1"/>
    <s v="Ibadan"/>
    <s v="Consumer"/>
    <s v="Office Supplies"/>
    <s v="Pen"/>
    <n v="10"/>
    <n v="336.66"/>
    <n v="0.05"/>
    <n v="3198.27"/>
    <n v="2688.05"/>
    <n v="510.22"/>
    <s v="Cash"/>
    <n v="1"/>
    <s v="December"/>
    <s v="Q4"/>
    <n v="2024"/>
    <m/>
  </r>
  <r>
    <s v="SAL-1469"/>
    <d v="2024-07-06T00:00:00"/>
    <s v="Jessica Liu"/>
    <x v="2"/>
    <s v="Abuja"/>
    <s v="Corporate"/>
    <s v="Electronics"/>
    <s v="Phone"/>
    <n v="12"/>
    <n v="211.85"/>
    <n v="0"/>
    <n v="2542.1999999999998"/>
    <n v="1435.85"/>
    <n v="1106.3499999999999"/>
    <s v="Mobile Payment"/>
    <n v="2"/>
    <s v="July"/>
    <s v="Q3"/>
    <n v="2024"/>
    <m/>
  </r>
  <r>
    <s v="SAL-1470"/>
    <d v="2024-09-06T00:00:00"/>
    <s v="Antonio Kim"/>
    <x v="3"/>
    <s v="Port Harcourt"/>
    <s v="Consumer"/>
    <s v="Clothing"/>
    <s v="T-Shirt"/>
    <n v="11"/>
    <n v="866.01"/>
    <n v="0.05"/>
    <n v="9049.7999999999993"/>
    <n v="4546.6400000000003"/>
    <n v="4503.16"/>
    <s v="Transfer"/>
    <n v="5"/>
    <s v="September"/>
    <s v="Q3"/>
    <n v="2024"/>
    <m/>
  </r>
  <r>
    <s v="SAL-1471"/>
    <d v="2024-11-23T00:00:00"/>
    <s v="Dawn Torres"/>
    <x v="2"/>
    <s v="Kano"/>
    <s v="Consumer"/>
    <s v="Furniture"/>
    <s v="Desk"/>
    <n v="6"/>
    <n v="730.03"/>
    <n v="0.15"/>
    <n v="3723.15"/>
    <n v="2294.6"/>
    <n v="1428.55"/>
    <s v="Transfer"/>
    <n v="3"/>
    <s v="November"/>
    <s v="Q4"/>
    <n v="2024"/>
    <m/>
  </r>
  <r>
    <s v="SAL-1472"/>
    <d v="2024-08-21T00:00:00"/>
    <s v="Brandon Peterson"/>
    <x v="1"/>
    <s v="Port Harcourt"/>
    <s v="Home Office"/>
    <s v="Clothing"/>
    <s v="Sneakers"/>
    <n v="2"/>
    <n v="642.58000000000004"/>
    <n v="0.15"/>
    <n v="1092.3900000000001"/>
    <n v="821.81"/>
    <n v="270.58"/>
    <s v="Cash"/>
    <n v="2"/>
    <s v="August"/>
    <s v="Q3"/>
    <n v="2024"/>
    <m/>
  </r>
  <r>
    <s v="SAL-1473"/>
    <d v="2024-09-04T00:00:00"/>
    <s v="James French"/>
    <x v="4"/>
    <s v="Kano"/>
    <s v="Home Office"/>
    <s v="Office Supplies"/>
    <s v="Paper"/>
    <n v="9"/>
    <n v="987.83"/>
    <n v="0.05"/>
    <n v="8445.9500000000007"/>
    <n v="6734.75"/>
    <n v="1711.2"/>
    <s v="Mobile Payment"/>
    <n v="1"/>
    <s v="September"/>
    <s v="Q3"/>
    <n v="2024"/>
    <m/>
  </r>
  <r>
    <s v="SAL-1474"/>
    <d v="2024-02-02T00:00:00"/>
    <s v="Roy Dudley"/>
    <x v="1"/>
    <s v="Ibadan"/>
    <s v="Corporate"/>
    <s v="Furniture"/>
    <s v="Cabinet"/>
    <n v="11"/>
    <n v="12.54"/>
    <n v="0.05"/>
    <n v="131.04"/>
    <n v="89.16"/>
    <n v="41.88"/>
    <s v="Transfer"/>
    <n v="1"/>
    <s v="February"/>
    <s v="Q1"/>
    <n v="2024"/>
    <m/>
  </r>
  <r>
    <s v="SAL-1475"/>
    <d v="2024-12-21T00:00:00"/>
    <s v="Courtney Ryan"/>
    <x v="3"/>
    <s v="Ibadan"/>
    <s v="Home Office"/>
    <s v="Electronics"/>
    <s v="Laptop"/>
    <n v="9"/>
    <n v="1120.54"/>
    <n v="0.1"/>
    <n v="9076.3700000000008"/>
    <n v="5918.91"/>
    <n v="3157.46"/>
    <s v="Transfer"/>
    <n v="5"/>
    <s v="December"/>
    <s v="Q4"/>
    <n v="2024"/>
    <m/>
  </r>
  <r>
    <s v="SAL-1476"/>
    <d v="2024-08-13T00:00:00"/>
    <s v="Sandra Collins"/>
    <x v="1"/>
    <s v="Port Harcourt"/>
    <s v="Consumer"/>
    <s v="Electronics"/>
    <s v="Tablet"/>
    <n v="5"/>
    <n v="282.73"/>
    <n v="0.15"/>
    <n v="1201.5999999999999"/>
    <n v="632.65"/>
    <n v="568.95000000000005"/>
    <s v="Card"/>
    <n v="4"/>
    <s v="August"/>
    <s v="Q3"/>
    <n v="2024"/>
    <m/>
  </r>
  <r>
    <s v="SAL-1477"/>
    <d v="2024-08-06T00:00:00"/>
    <s v="Christy Steele"/>
    <x v="0"/>
    <s v="Port Harcourt"/>
    <s v="Corporate"/>
    <s v="Electronics"/>
    <s v="Printer"/>
    <n v="6"/>
    <n v="696.76"/>
    <n v="0"/>
    <n v="4180.5600000000004"/>
    <n v="3492.75"/>
    <n v="687.81"/>
    <s v="Transfer"/>
    <n v="2"/>
    <s v="August"/>
    <s v="Q3"/>
    <n v="2024"/>
    <m/>
  </r>
  <r>
    <s v="SAL-1478"/>
    <d v="2024-09-01T00:00:00"/>
    <s v="Jason Cox"/>
    <x v="0"/>
    <s v="Kano"/>
    <s v="Corporate"/>
    <s v="Electronics"/>
    <s v="Laptop"/>
    <n v="10"/>
    <n v="340.97"/>
    <n v="0"/>
    <n v="3409.7"/>
    <n v="2747.38"/>
    <n v="662.32"/>
    <s v="Transfer"/>
    <n v="4"/>
    <s v="September"/>
    <s v="Q3"/>
    <n v="2024"/>
    <m/>
  </r>
  <r>
    <s v="SAL-1479"/>
    <d v="2024-06-11T00:00:00"/>
    <s v="Terry Cohen"/>
    <x v="2"/>
    <s v="Kano"/>
    <s v="Consumer"/>
    <s v="Electronics"/>
    <s v="Printer"/>
    <n v="8"/>
    <n v="343.94"/>
    <n v="0.1"/>
    <n v="2476.37"/>
    <n v="1448.92"/>
    <n v="1027.45"/>
    <s v="Mobile Payment"/>
    <n v="5"/>
    <s v="June"/>
    <s v="Q2"/>
    <n v="2024"/>
    <m/>
  </r>
  <r>
    <s v="SAL-1480"/>
    <d v="2024-08-28T00:00:00"/>
    <s v="Cynthia Graham"/>
    <x v="3"/>
    <s v="Lagos"/>
    <s v="Corporate"/>
    <s v="Furniture"/>
    <s v="Chair"/>
    <n v="9"/>
    <n v="886.22"/>
    <n v="0"/>
    <n v="7975.98"/>
    <n v="5408"/>
    <n v="2567.98"/>
    <s v="Transfer"/>
    <n v="3"/>
    <s v="August"/>
    <s v="Q3"/>
    <n v="2024"/>
    <m/>
  </r>
  <r>
    <s v="SAL-1481"/>
    <d v="2024-06-02T00:00:00"/>
    <s v="Robert Shea"/>
    <x v="4"/>
    <s v="Abuja"/>
    <s v="Home Office"/>
    <s v="Office Supplies"/>
    <s v="Paper"/>
    <n v="2"/>
    <n v="593.76"/>
    <n v="0.05"/>
    <n v="1128.1400000000001"/>
    <n v="801.16"/>
    <n v="326.98"/>
    <s v="Card"/>
    <n v="5"/>
    <s v="June"/>
    <s v="Q2"/>
    <n v="2024"/>
    <m/>
  </r>
  <r>
    <s v="SAL-1482"/>
    <d v="2024-10-19T00:00:00"/>
    <s v="Alyssa Williams"/>
    <x v="2"/>
    <s v="Port Harcourt"/>
    <s v="Consumer"/>
    <s v="Furniture"/>
    <s v="Desk"/>
    <n v="12"/>
    <n v="313.74"/>
    <n v="0.05"/>
    <n v="3576.64"/>
    <n v="2308.4299999999998"/>
    <n v="1268.21"/>
    <s v="Card"/>
    <n v="3"/>
    <s v="October"/>
    <s v="Q4"/>
    <n v="2024"/>
    <m/>
  </r>
  <r>
    <s v="SAL-1483"/>
    <d v="2024-03-02T00:00:00"/>
    <s v="Kristina Watson"/>
    <x v="0"/>
    <s v="Abuja"/>
    <s v="Corporate"/>
    <s v="Office Supplies"/>
    <s v="Notebook"/>
    <n v="9"/>
    <n v="969.89"/>
    <n v="0.1"/>
    <n v="7856.11"/>
    <n v="5037.8100000000004"/>
    <n v="2818.3"/>
    <s v="Mobile Payment"/>
    <n v="2"/>
    <s v="March"/>
    <s v="Q1"/>
    <n v="2024"/>
    <m/>
  </r>
  <r>
    <s v="SAL-1484"/>
    <d v="2024-01-06T00:00:00"/>
    <s v="Jennifer Williams"/>
    <x v="0"/>
    <s v="Abuja"/>
    <s v="Home Office"/>
    <s v="Office Supplies"/>
    <s v="Notebook"/>
    <n v="4"/>
    <n v="618.28"/>
    <n v="0.05"/>
    <n v="2349.46"/>
    <n v="1921.95"/>
    <n v="427.51"/>
    <s v="Mobile Payment"/>
    <n v="5"/>
    <s v="January"/>
    <s v="Q1"/>
    <n v="2024"/>
    <m/>
  </r>
  <r>
    <s v="SAL-1485"/>
    <d v="2024-12-29T00:00:00"/>
    <s v="Karen Bennett"/>
    <x v="3"/>
    <s v="Abuja"/>
    <s v="Home Office"/>
    <s v="Furniture"/>
    <s v="Cabinet"/>
    <n v="11"/>
    <n v="195.3"/>
    <n v="0.1"/>
    <n v="1933.47"/>
    <n v="1105.6500000000001"/>
    <n v="827.82"/>
    <s v="Transfer"/>
    <n v="4"/>
    <s v="December"/>
    <s v="Q4"/>
    <n v="2024"/>
    <m/>
  </r>
  <r>
    <s v="SAL-1486"/>
    <d v="2024-04-26T00:00:00"/>
    <s v="Terrance Schaefer"/>
    <x v="0"/>
    <s v="Lagos"/>
    <s v="Home Office"/>
    <s v="Clothing"/>
    <s v="Sneakers"/>
    <n v="1"/>
    <n v="1087.46"/>
    <n v="0.1"/>
    <n v="978.71"/>
    <n v="808.39"/>
    <n v="170.32"/>
    <s v="Transfer"/>
    <n v="5"/>
    <s v="April"/>
    <s v="Q2"/>
    <n v="2024"/>
    <m/>
  </r>
  <r>
    <s v="SAL-1487"/>
    <d v="2024-05-26T00:00:00"/>
    <s v="Andrew Davidson"/>
    <x v="1"/>
    <s v="Lagos"/>
    <s v="Corporate"/>
    <s v="Furniture"/>
    <s v="Chair"/>
    <n v="5"/>
    <n v="505.27"/>
    <n v="0.15"/>
    <n v="2147.4"/>
    <n v="1105.57"/>
    <n v="1041.83"/>
    <s v="Transfer"/>
    <n v="2"/>
    <s v="May"/>
    <s v="Q2"/>
    <n v="2024"/>
    <m/>
  </r>
  <r>
    <s v="SAL-1488"/>
    <d v="2024-06-10T00:00:00"/>
    <s v="Sean Walker"/>
    <x v="1"/>
    <s v="Lagos"/>
    <s v="Home Office"/>
    <s v="Electronics"/>
    <s v="Tablet"/>
    <n v="9"/>
    <n v="505.25"/>
    <n v="0"/>
    <n v="4547.25"/>
    <n v="2493.0300000000002"/>
    <n v="2054.2199999999998"/>
    <s v="Card"/>
    <n v="1"/>
    <s v="June"/>
    <s v="Q2"/>
    <n v="2024"/>
    <m/>
  </r>
  <r>
    <s v="SAL-1489"/>
    <d v="2024-11-11T00:00:00"/>
    <s v="Kevin Harris"/>
    <x v="3"/>
    <s v="Lagos"/>
    <s v="Corporate"/>
    <s v="Furniture"/>
    <s v="Cabinet"/>
    <n v="6"/>
    <n v="1022.4"/>
    <n v="0.15"/>
    <n v="5214.24"/>
    <n v="2792.26"/>
    <n v="2421.98"/>
    <s v="Card"/>
    <n v="1"/>
    <s v="November"/>
    <s v="Q4"/>
    <n v="2024"/>
    <m/>
  </r>
  <r>
    <s v="SAL-1490"/>
    <d v="2024-07-16T00:00:00"/>
    <s v="Mark Rice"/>
    <x v="4"/>
    <s v="Kano"/>
    <s v="Consumer"/>
    <s v="Office Supplies"/>
    <s v="Paper"/>
    <n v="4"/>
    <n v="784.09"/>
    <n v="0.05"/>
    <n v="2979.54"/>
    <n v="2471.5700000000002"/>
    <n v="507.97"/>
    <s v="Card"/>
    <n v="2"/>
    <s v="July"/>
    <s v="Q3"/>
    <n v="2024"/>
    <m/>
  </r>
  <r>
    <s v="SAL-1491"/>
    <d v="2024-07-08T00:00:00"/>
    <s v="Ronald Schwartz"/>
    <x v="0"/>
    <s v="Ibadan"/>
    <s v="Consumer"/>
    <s v="Furniture"/>
    <s v="Cabinet"/>
    <n v="1"/>
    <n v="558.75"/>
    <n v="0.1"/>
    <n v="502.88"/>
    <n v="387.5"/>
    <n v="115.38"/>
    <s v="Card"/>
    <n v="4"/>
    <s v="July"/>
    <s v="Q3"/>
    <n v="2024"/>
    <m/>
  </r>
  <r>
    <s v="SAL-1492"/>
    <d v="2024-11-15T00:00:00"/>
    <s v="Ashley Alexander"/>
    <x v="3"/>
    <s v="Ibadan"/>
    <s v="Corporate"/>
    <s v="Electronics"/>
    <s v="Tablet"/>
    <n v="5"/>
    <n v="983.72"/>
    <n v="0.05"/>
    <n v="4672.67"/>
    <n v="2790.1"/>
    <n v="1882.57"/>
    <s v="Mobile Payment"/>
    <n v="3"/>
    <s v="November"/>
    <s v="Q4"/>
    <n v="2024"/>
    <m/>
  </r>
  <r>
    <s v="SAL-1493"/>
    <d v="2024-07-01T00:00:00"/>
    <s v="Mario Brown"/>
    <x v="0"/>
    <s v="Ibadan"/>
    <s v="Home Office"/>
    <s v="Electronics"/>
    <s v="Printer"/>
    <n v="3"/>
    <n v="61.21"/>
    <n v="0.15"/>
    <n v="156.09"/>
    <n v="121.84"/>
    <n v="34.25"/>
    <s v="Card"/>
    <n v="1"/>
    <s v="July"/>
    <s v="Q3"/>
    <n v="2024"/>
    <m/>
  </r>
  <r>
    <s v="SAL-1494"/>
    <d v="2024-06-11T00:00:00"/>
    <s v="Michael King"/>
    <x v="2"/>
    <s v="Abuja"/>
    <s v="Home Office"/>
    <s v="Office Supplies"/>
    <s v="Paper"/>
    <n v="7"/>
    <n v="147.97999999999999"/>
    <n v="0.15"/>
    <n v="880.48"/>
    <n v="538.26"/>
    <n v="342.22"/>
    <s v="Transfer"/>
    <n v="3"/>
    <s v="June"/>
    <s v="Q2"/>
    <n v="2024"/>
    <m/>
  </r>
  <r>
    <s v="SAL-1495"/>
    <d v="2024-09-05T00:00:00"/>
    <s v="Jennifer Chan"/>
    <x v="1"/>
    <s v="Abuja"/>
    <s v="Home Office"/>
    <s v="Electronics"/>
    <s v="Laptop"/>
    <n v="1"/>
    <n v="161.38999999999999"/>
    <n v="0.1"/>
    <n v="145.25"/>
    <n v="90.9"/>
    <n v="54.35"/>
    <s v="Transfer"/>
    <n v="5"/>
    <s v="September"/>
    <s v="Q3"/>
    <n v="2024"/>
    <m/>
  </r>
  <r>
    <s v="SAL-1496"/>
    <d v="2024-02-01T00:00:00"/>
    <s v="Jennifer Bailey"/>
    <x v="1"/>
    <s v="Lagos"/>
    <s v="Consumer"/>
    <s v="Furniture"/>
    <s v="Desk"/>
    <n v="9"/>
    <n v="938.64"/>
    <n v="0"/>
    <n v="8447.76"/>
    <n v="5930.15"/>
    <n v="2517.61"/>
    <s v="Cash"/>
    <n v="3"/>
    <s v="February"/>
    <s v="Q1"/>
    <n v="2024"/>
    <m/>
  </r>
  <r>
    <s v="SAL-1497"/>
    <d v="2024-02-29T00:00:00"/>
    <s v="Rebecca Rivera"/>
    <x v="1"/>
    <s v="Port Harcourt"/>
    <s v="Corporate"/>
    <s v="Clothing"/>
    <s v="Jacket"/>
    <n v="9"/>
    <n v="233.66"/>
    <n v="0.1"/>
    <n v="1892.65"/>
    <n v="1327.41"/>
    <n v="565.24"/>
    <s v="Mobile Payment"/>
    <n v="3"/>
    <s v="February"/>
    <s v="Q1"/>
    <n v="2024"/>
    <m/>
  </r>
  <r>
    <s v="SAL-1498"/>
    <d v="2024-04-28T00:00:00"/>
    <s v="Steven Marshall"/>
    <x v="2"/>
    <s v="Ibadan"/>
    <s v="Consumer"/>
    <s v="Electronics"/>
    <s v="Laptop"/>
    <n v="8"/>
    <n v="817.21"/>
    <n v="0.05"/>
    <n v="6210.8"/>
    <n v="3836.84"/>
    <n v="2373.96"/>
    <s v="Card"/>
    <n v="3"/>
    <s v="April"/>
    <s v="Q2"/>
    <n v="2024"/>
    <m/>
  </r>
  <r>
    <s v="SAL-1499"/>
    <d v="2024-01-17T00:00:00"/>
    <s v="Stephen Hicks"/>
    <x v="1"/>
    <s v="Ibadan"/>
    <s v="Consumer"/>
    <s v="Office Supplies"/>
    <s v="Notebook"/>
    <n v="11"/>
    <n v="1085.49"/>
    <n v="0.1"/>
    <n v="10746.35"/>
    <n v="7932.81"/>
    <n v="2813.54"/>
    <s v="Transfer"/>
    <n v="1"/>
    <s v="January"/>
    <s v="Q1"/>
    <n v="2024"/>
    <m/>
  </r>
  <r>
    <s v="SAL-1500"/>
    <d v="2024-05-07T00:00:00"/>
    <s v="Phyllis Johnson"/>
    <x v="4"/>
    <s v="Ibadan"/>
    <s v="Home Office"/>
    <s v="Clothing"/>
    <s v="T-Shirt"/>
    <n v="7"/>
    <n v="241.65"/>
    <n v="0"/>
    <n v="1691.55"/>
    <n v="1203.6099999999999"/>
    <n v="487.94"/>
    <s v="Mobile Payment"/>
    <n v="4"/>
    <s v="May"/>
    <s v="Q2"/>
    <n v="2024"/>
    <m/>
  </r>
  <r>
    <s v="SAL-1501"/>
    <d v="2024-07-13T00:00:00"/>
    <s v="Eric Santos"/>
    <x v="3"/>
    <s v="Lagos"/>
    <s v="Corporate"/>
    <s v="Electronics"/>
    <s v="Laptop"/>
    <n v="12"/>
    <n v="653.55999999999995"/>
    <n v="0.05"/>
    <n v="7450.58"/>
    <n v="5106.03"/>
    <n v="2344.5500000000002"/>
    <s v="Mobile Payment"/>
    <n v="5"/>
    <s v="July"/>
    <s v="Q3"/>
    <n v="2024"/>
    <m/>
  </r>
  <r>
    <s v="SAL-1502"/>
    <d v="2024-10-04T00:00:00"/>
    <s v="Oscar Atkinson"/>
    <x v="0"/>
    <s v="Lagos"/>
    <s v="Consumer"/>
    <s v="Office Supplies"/>
    <s v="Paper"/>
    <n v="4"/>
    <n v="223.31"/>
    <n v="0.15"/>
    <n v="759.25"/>
    <n v="402"/>
    <n v="357.25"/>
    <s v="Card"/>
    <n v="3"/>
    <s v="October"/>
    <s v="Q4"/>
    <n v="2024"/>
    <m/>
  </r>
  <r>
    <s v="SAL-1503"/>
    <d v="2024-06-16T00:00:00"/>
    <s v="James Williamson"/>
    <x v="1"/>
    <s v="Port Harcourt"/>
    <s v="Consumer"/>
    <s v="Electronics"/>
    <s v="Laptop"/>
    <n v="11"/>
    <n v="924.55"/>
    <n v="0.1"/>
    <n v="9153.0499999999993"/>
    <n v="6061"/>
    <n v="3092.05"/>
    <s v="Mobile Payment"/>
    <n v="3"/>
    <s v="June"/>
    <s v="Q2"/>
    <n v="2024"/>
    <m/>
  </r>
  <r>
    <s v="SAL-1504"/>
    <d v="2024-03-29T00:00:00"/>
    <s v="Katie Smith"/>
    <x v="4"/>
    <s v="Port Harcourt"/>
    <s v="Consumer"/>
    <s v="Electronics"/>
    <s v="Printer"/>
    <n v="10"/>
    <n v="227.5"/>
    <n v="0.15"/>
    <n v="1933.75"/>
    <n v="1410.65"/>
    <n v="523.1"/>
    <s v="Card"/>
    <n v="2"/>
    <s v="March"/>
    <s v="Q1"/>
    <n v="2024"/>
    <m/>
  </r>
  <r>
    <s v="SAL-1505"/>
    <d v="2024-10-03T00:00:00"/>
    <s v="Jacqueline Lee"/>
    <x v="3"/>
    <s v="Ibadan"/>
    <s v="Home Office"/>
    <s v="Clothing"/>
    <s v="Sneakers"/>
    <n v="1"/>
    <n v="858.15"/>
    <n v="0.05"/>
    <n v="815.24"/>
    <n v="508.99"/>
    <n v="306.25"/>
    <s v="Mobile Payment"/>
    <n v="1"/>
    <s v="October"/>
    <s v="Q4"/>
    <n v="2024"/>
    <m/>
  </r>
  <r>
    <s v="SAL-1506"/>
    <d v="2024-11-25T00:00:00"/>
    <s v="Jesse Carr"/>
    <x v="1"/>
    <s v="Port Harcourt"/>
    <s v="Home Office"/>
    <s v="Furniture"/>
    <s v="Chair"/>
    <n v="11"/>
    <n v="836.67"/>
    <n v="0.05"/>
    <n v="8743.2000000000007"/>
    <n v="6658.05"/>
    <n v="2085.15"/>
    <s v="Cash"/>
    <n v="3"/>
    <s v="November"/>
    <s v="Q4"/>
    <n v="2024"/>
    <m/>
  </r>
  <r>
    <s v="SAL-1507"/>
    <d v="2024-12-19T00:00:00"/>
    <s v="Rachel Mcclain"/>
    <x v="0"/>
    <s v="Kano"/>
    <s v="Home Office"/>
    <s v="Clothing"/>
    <s v="Jacket"/>
    <n v="10"/>
    <n v="720.41"/>
    <n v="0.1"/>
    <n v="6483.69"/>
    <n v="5448.24"/>
    <n v="1035.45"/>
    <s v="Mobile Payment"/>
    <n v="1"/>
    <s v="December"/>
    <s v="Q4"/>
    <n v="2024"/>
    <m/>
  </r>
  <r>
    <s v="SAL-1508"/>
    <d v="2024-04-28T00:00:00"/>
    <s v="Derek Leach"/>
    <x v="1"/>
    <s v="Abuja"/>
    <s v="Home Office"/>
    <s v="Office Supplies"/>
    <s v="Notebook"/>
    <n v="5"/>
    <n v="446.03"/>
    <n v="0"/>
    <n v="2230.15"/>
    <n v="1194.43"/>
    <n v="1035.72"/>
    <s v="Transfer"/>
    <n v="3"/>
    <s v="April"/>
    <s v="Q2"/>
    <n v="2024"/>
    <m/>
  </r>
  <r>
    <s v="SAL-1509"/>
    <d v="2024-09-03T00:00:00"/>
    <s v="Kenneth Coleman"/>
    <x v="0"/>
    <s v="Abuja"/>
    <s v="Corporate"/>
    <s v="Furniture"/>
    <s v="Chair"/>
    <n v="1"/>
    <n v="902.06"/>
    <n v="0.15"/>
    <n v="766.75"/>
    <n v="484.4"/>
    <n v="282.35000000000002"/>
    <s v="Cash"/>
    <n v="5"/>
    <s v="September"/>
    <s v="Q3"/>
    <n v="2024"/>
    <m/>
  </r>
  <r>
    <s v="SAL-1510"/>
    <d v="2024-04-03T00:00:00"/>
    <s v="James Bass"/>
    <x v="4"/>
    <s v="Ibadan"/>
    <s v="Consumer"/>
    <s v="Furniture"/>
    <s v="Desk"/>
    <n v="12"/>
    <n v="180.05"/>
    <n v="0"/>
    <n v="2160.6"/>
    <n v="1183.0899999999999"/>
    <n v="977.51"/>
    <s v="Transfer"/>
    <n v="1"/>
    <s v="April"/>
    <s v="Q2"/>
    <n v="2024"/>
    <m/>
  </r>
  <r>
    <s v="SAL-1511"/>
    <d v="2024-06-11T00:00:00"/>
    <s v="Keith Norton"/>
    <x v="3"/>
    <s v="Abuja"/>
    <s v="Corporate"/>
    <s v="Electronics"/>
    <s v="Tablet"/>
    <n v="5"/>
    <n v="740.96"/>
    <n v="0.05"/>
    <n v="3519.56"/>
    <n v="1808.06"/>
    <n v="1711.5"/>
    <s v="Transfer"/>
    <n v="1"/>
    <s v="June"/>
    <s v="Q2"/>
    <n v="2024"/>
    <m/>
  </r>
  <r>
    <s v="SAL-1512"/>
    <d v="2024-07-01T00:00:00"/>
    <s v="Julie Owen"/>
    <x v="4"/>
    <s v="Kano"/>
    <s v="Corporate"/>
    <s v="Furniture"/>
    <s v="Desk"/>
    <n v="2"/>
    <n v="881.99"/>
    <n v="0.15"/>
    <n v="1499.38"/>
    <n v="1075.19"/>
    <n v="424.19"/>
    <s v="Mobile Payment"/>
    <n v="4"/>
    <s v="July"/>
    <s v="Q3"/>
    <n v="2024"/>
    <m/>
  </r>
  <r>
    <s v="SAL-1513"/>
    <d v="2024-01-23T00:00:00"/>
    <s v="Christina Parker"/>
    <x v="1"/>
    <s v="Abuja"/>
    <s v="Home Office"/>
    <s v="Clothing"/>
    <s v="T-Shirt"/>
    <n v="8"/>
    <n v="1029.78"/>
    <n v="0.15"/>
    <n v="7002.5"/>
    <n v="5869.58"/>
    <n v="1132.92"/>
    <s v="Card"/>
    <n v="2"/>
    <s v="January"/>
    <s v="Q1"/>
    <n v="2024"/>
    <m/>
  </r>
  <r>
    <s v="SAL-1514"/>
    <d v="2024-06-01T00:00:00"/>
    <s v="Joseph Gonzalez"/>
    <x v="0"/>
    <s v="Port Harcourt"/>
    <s v="Consumer"/>
    <s v="Clothing"/>
    <s v="Jacket"/>
    <n v="2"/>
    <n v="231.13"/>
    <n v="0.1"/>
    <n v="416.03"/>
    <n v="304.5"/>
    <n v="111.53"/>
    <s v="Mobile Payment"/>
    <n v="5"/>
    <s v="June"/>
    <s v="Q2"/>
    <n v="2024"/>
    <m/>
  </r>
  <r>
    <s v="SAL-1515"/>
    <d v="2024-05-04T00:00:00"/>
    <s v="Theresa Nguyen"/>
    <x v="1"/>
    <s v="Port Harcourt"/>
    <s v="Consumer"/>
    <s v="Office Supplies"/>
    <s v="Paper"/>
    <n v="7"/>
    <n v="557.85"/>
    <n v="0"/>
    <n v="3904.95"/>
    <n v="1959.53"/>
    <n v="1945.42"/>
    <s v="Cash"/>
    <n v="2"/>
    <s v="May"/>
    <s v="Q2"/>
    <n v="2024"/>
    <m/>
  </r>
  <r>
    <s v="SAL-1516"/>
    <d v="2024-04-07T00:00:00"/>
    <s v="Robert Williams"/>
    <x v="2"/>
    <s v="Abuja"/>
    <s v="Corporate"/>
    <s v="Office Supplies"/>
    <s v="Pen"/>
    <n v="11"/>
    <n v="896.1"/>
    <n v="0.1"/>
    <n v="8871.39"/>
    <n v="5602.63"/>
    <n v="3268.76"/>
    <s v="Cash"/>
    <n v="4"/>
    <s v="April"/>
    <s v="Q2"/>
    <n v="2024"/>
    <m/>
  </r>
  <r>
    <s v="SAL-1517"/>
    <d v="2024-07-15T00:00:00"/>
    <s v="Susan Johnson"/>
    <x v="0"/>
    <s v="Kano"/>
    <s v="Consumer"/>
    <s v="Clothing"/>
    <s v="Sneakers"/>
    <n v="6"/>
    <n v="490.84"/>
    <n v="0.05"/>
    <n v="2797.79"/>
    <n v="1852.65"/>
    <n v="945.14"/>
    <s v="Mobile Payment"/>
    <n v="2"/>
    <s v="July"/>
    <s v="Q3"/>
    <n v="2024"/>
    <m/>
  </r>
  <r>
    <s v="SAL-1518"/>
    <d v="2024-03-31T00:00:00"/>
    <s v="Rachel Meyers"/>
    <x v="2"/>
    <s v="Port Harcourt"/>
    <s v="Corporate"/>
    <s v="Office Supplies"/>
    <s v="Pen"/>
    <n v="6"/>
    <n v="979.28"/>
    <n v="0"/>
    <n v="5875.68"/>
    <n v="3524.74"/>
    <n v="2350.94"/>
    <s v="Mobile Payment"/>
    <n v="5"/>
    <s v="March"/>
    <s v="Q1"/>
    <n v="2024"/>
    <m/>
  </r>
  <r>
    <s v="SAL-1519"/>
    <d v="2024-08-07T00:00:00"/>
    <s v="Ashley Arnold"/>
    <x v="1"/>
    <s v="Ibadan"/>
    <s v="Consumer"/>
    <s v="Furniture"/>
    <s v="Cabinet"/>
    <n v="2"/>
    <n v="695.23"/>
    <n v="0"/>
    <n v="1390.46"/>
    <n v="1042.5999999999999"/>
    <n v="347.86"/>
    <s v="Card"/>
    <n v="5"/>
    <s v="August"/>
    <s v="Q3"/>
    <n v="2024"/>
    <m/>
  </r>
  <r>
    <s v="SAL-1520"/>
    <d v="2024-09-23T00:00:00"/>
    <s v="Katherine Miller"/>
    <x v="1"/>
    <s v="Lagos"/>
    <s v="Consumer"/>
    <s v="Clothing"/>
    <s v="Sneakers"/>
    <n v="11"/>
    <n v="46.24"/>
    <n v="0.05"/>
    <n v="483.21"/>
    <n v="242.12"/>
    <n v="241.09"/>
    <s v="Card"/>
    <n v="5"/>
    <s v="September"/>
    <s v="Q3"/>
    <n v="2024"/>
    <m/>
  </r>
  <r>
    <s v="SAL-1521"/>
    <d v="2024-09-14T00:00:00"/>
    <s v="Tammy Gay"/>
    <x v="1"/>
    <s v="Ibadan"/>
    <s v="Home Office"/>
    <s v="Electronics"/>
    <s v="Tablet"/>
    <n v="8"/>
    <n v="939.04"/>
    <n v="0"/>
    <n v="7512.32"/>
    <n v="4173.59"/>
    <n v="3338.73"/>
    <s v="Card"/>
    <n v="3"/>
    <s v="September"/>
    <s v="Q3"/>
    <n v="2024"/>
    <m/>
  </r>
  <r>
    <s v="SAL-1522"/>
    <d v="2024-12-02T00:00:00"/>
    <s v="Gregory Hoover"/>
    <x v="3"/>
    <s v="Port Harcourt"/>
    <s v="Corporate"/>
    <s v="Office Supplies"/>
    <s v="Pen"/>
    <n v="2"/>
    <n v="314.77999999999997"/>
    <n v="0.1"/>
    <n v="566.6"/>
    <n v="422.09"/>
    <n v="144.51"/>
    <s v="Card"/>
    <n v="1"/>
    <s v="December"/>
    <s v="Q4"/>
    <n v="2024"/>
    <m/>
  </r>
  <r>
    <s v="SAL-1523"/>
    <d v="2024-09-24T00:00:00"/>
    <s v="James Morales"/>
    <x v="3"/>
    <s v="Ibadan"/>
    <s v="Corporate"/>
    <s v="Clothing"/>
    <s v="Jacket"/>
    <n v="5"/>
    <n v="824.03"/>
    <n v="0.15"/>
    <n v="3502.13"/>
    <n v="2698.88"/>
    <n v="803.25"/>
    <s v="Transfer"/>
    <n v="1"/>
    <s v="September"/>
    <s v="Q3"/>
    <n v="2024"/>
    <m/>
  </r>
  <r>
    <s v="SAL-1524"/>
    <d v="2024-07-01T00:00:00"/>
    <s v="Kendra Williamson"/>
    <x v="3"/>
    <s v="Ibadan"/>
    <s v="Consumer"/>
    <s v="Office Supplies"/>
    <s v="Pen"/>
    <n v="4"/>
    <n v="46"/>
    <n v="0"/>
    <n v="184"/>
    <n v="137.91999999999999"/>
    <n v="46.08"/>
    <s v="Card"/>
    <n v="1"/>
    <s v="July"/>
    <s v="Q3"/>
    <n v="2024"/>
    <m/>
  </r>
  <r>
    <s v="SAL-1525"/>
    <d v="2024-10-03T00:00:00"/>
    <s v="Joshua Brown"/>
    <x v="2"/>
    <s v="Abuja"/>
    <s v="Consumer"/>
    <s v="Furniture"/>
    <s v="Cabinet"/>
    <n v="8"/>
    <n v="71.489999999999995"/>
    <n v="0.1"/>
    <n v="514.73"/>
    <n v="393.68"/>
    <n v="121.05"/>
    <s v="Transfer"/>
    <n v="3"/>
    <s v="October"/>
    <s v="Q4"/>
    <n v="2024"/>
    <m/>
  </r>
  <r>
    <s v="SAL-1526"/>
    <d v="2024-06-01T00:00:00"/>
    <s v="Renee Carey"/>
    <x v="2"/>
    <s v="Port Harcourt"/>
    <s v="Home Office"/>
    <s v="Office Supplies"/>
    <s v="Notebook"/>
    <n v="9"/>
    <n v="743.92"/>
    <n v="0.15"/>
    <n v="5690.99"/>
    <n v="2977.02"/>
    <n v="2713.97"/>
    <s v="Card"/>
    <n v="1"/>
    <s v="June"/>
    <s v="Q2"/>
    <n v="2024"/>
    <m/>
  </r>
  <r>
    <s v="SAL-1527"/>
    <d v="2024-05-26T00:00:00"/>
    <s v="Meghan Dennis"/>
    <x v="0"/>
    <s v="Ibadan"/>
    <s v="Consumer"/>
    <s v="Office Supplies"/>
    <s v="Paper"/>
    <n v="8"/>
    <n v="806.58"/>
    <n v="0"/>
    <n v="6452.64"/>
    <n v="5428.69"/>
    <n v="1023.95"/>
    <s v="Cash"/>
    <n v="5"/>
    <s v="May"/>
    <s v="Q2"/>
    <n v="2024"/>
    <m/>
  </r>
  <r>
    <s v="SAL-1528"/>
    <d v="2024-05-08T00:00:00"/>
    <s v="Denise Moore"/>
    <x v="0"/>
    <s v="Abuja"/>
    <s v="Consumer"/>
    <s v="Clothing"/>
    <s v="Jacket"/>
    <n v="2"/>
    <n v="766.23"/>
    <n v="0"/>
    <n v="1532.46"/>
    <n v="1293.6400000000001"/>
    <n v="238.82"/>
    <s v="Cash"/>
    <n v="3"/>
    <s v="May"/>
    <s v="Q2"/>
    <n v="2024"/>
    <m/>
  </r>
  <r>
    <s v="SAL-1529"/>
    <d v="2024-07-29T00:00:00"/>
    <s v="John Torres"/>
    <x v="1"/>
    <s v="Kano"/>
    <s v="Corporate"/>
    <s v="Furniture"/>
    <s v="Chair"/>
    <n v="5"/>
    <n v="457.34"/>
    <n v="0"/>
    <n v="2286.6999999999998"/>
    <n v="1145"/>
    <n v="1141.7"/>
    <s v="Card"/>
    <n v="5"/>
    <s v="July"/>
    <s v="Q3"/>
    <n v="2024"/>
    <m/>
  </r>
  <r>
    <s v="SAL-1530"/>
    <d v="2024-03-01T00:00:00"/>
    <s v="Melinda Cunningham"/>
    <x v="0"/>
    <s v="Port Harcourt"/>
    <s v="Corporate"/>
    <s v="Furniture"/>
    <s v="Cabinet"/>
    <n v="7"/>
    <n v="422.4"/>
    <n v="0.1"/>
    <n v="2661.12"/>
    <n v="1344.28"/>
    <n v="1316.84"/>
    <s v="Cash"/>
    <n v="5"/>
    <s v="March"/>
    <s v="Q1"/>
    <n v="2024"/>
    <m/>
  </r>
  <r>
    <s v="SAL-1531"/>
    <d v="2024-07-29T00:00:00"/>
    <s v="Kristie Alvarado"/>
    <x v="2"/>
    <s v="Ibadan"/>
    <s v="Corporate"/>
    <s v="Furniture"/>
    <s v="Desk"/>
    <n v="3"/>
    <n v="435.93"/>
    <n v="0.1"/>
    <n v="1177.01"/>
    <n v="962.62"/>
    <n v="214.39"/>
    <s v="Cash"/>
    <n v="5"/>
    <s v="July"/>
    <s v="Q3"/>
    <n v="2024"/>
    <m/>
  </r>
  <r>
    <s v="SAL-1532"/>
    <d v="2024-02-21T00:00:00"/>
    <s v="Ashley Nielsen"/>
    <x v="3"/>
    <s v="Port Harcourt"/>
    <s v="Corporate"/>
    <s v="Office Supplies"/>
    <s v="Paper"/>
    <n v="4"/>
    <n v="695.64"/>
    <n v="0"/>
    <n v="2782.56"/>
    <n v="2352.27"/>
    <n v="430.29"/>
    <s v="Mobile Payment"/>
    <n v="5"/>
    <s v="February"/>
    <s v="Q1"/>
    <n v="2024"/>
    <m/>
  </r>
  <r>
    <s v="SAL-1533"/>
    <d v="2024-01-03T00:00:00"/>
    <s v="Lindsey Hart"/>
    <x v="1"/>
    <s v="Abuja"/>
    <s v="Home Office"/>
    <s v="Office Supplies"/>
    <s v="Pen"/>
    <n v="6"/>
    <n v="1188.33"/>
    <n v="0.15"/>
    <n v="6060.48"/>
    <n v="3533.5"/>
    <n v="2526.98"/>
    <s v="Mobile Payment"/>
    <n v="4"/>
    <s v="January"/>
    <s v="Q1"/>
    <n v="2024"/>
    <m/>
  </r>
  <r>
    <s v="SAL-1534"/>
    <d v="2024-11-16T00:00:00"/>
    <s v="Jesus Mercer"/>
    <x v="1"/>
    <s v="Lagos"/>
    <s v="Home Office"/>
    <s v="Office Supplies"/>
    <s v="Paper"/>
    <n v="12"/>
    <n v="976.49"/>
    <n v="0.05"/>
    <n v="11131.99"/>
    <n v="8886.26"/>
    <n v="2245.73"/>
    <s v="Transfer"/>
    <n v="2"/>
    <s v="November"/>
    <s v="Q4"/>
    <n v="2024"/>
    <m/>
  </r>
  <r>
    <s v="SAL-1535"/>
    <d v="2024-07-25T00:00:00"/>
    <s v="Kevin Lopez"/>
    <x v="4"/>
    <s v="Ibadan"/>
    <s v="Corporate"/>
    <s v="Office Supplies"/>
    <s v="Paper"/>
    <n v="10"/>
    <n v="500.15"/>
    <n v="0.15"/>
    <n v="4251.2700000000004"/>
    <n v="2842.8"/>
    <n v="1408.47"/>
    <s v="Transfer"/>
    <n v="4"/>
    <s v="July"/>
    <s v="Q3"/>
    <n v="2024"/>
    <m/>
  </r>
  <r>
    <s v="SAL-1536"/>
    <d v="2024-06-01T00:00:00"/>
    <s v="Lori Brown"/>
    <x v="4"/>
    <s v="Abuja"/>
    <s v="Home Office"/>
    <s v="Furniture"/>
    <s v="Cabinet"/>
    <n v="8"/>
    <n v="1092.3699999999999"/>
    <n v="0.1"/>
    <n v="7865.06"/>
    <n v="5827.57"/>
    <n v="2037.49"/>
    <s v="Card"/>
    <n v="4"/>
    <s v="June"/>
    <s v="Q2"/>
    <n v="2024"/>
    <m/>
  </r>
  <r>
    <s v="SAL-1537"/>
    <d v="2024-10-15T00:00:00"/>
    <s v="Robert Hopkins"/>
    <x v="1"/>
    <s v="Port Harcourt"/>
    <s v="Home Office"/>
    <s v="Electronics"/>
    <s v="Laptop"/>
    <n v="8"/>
    <n v="414.53"/>
    <n v="0"/>
    <n v="3316.24"/>
    <n v="2600.85"/>
    <n v="715.39"/>
    <s v="Transfer"/>
    <n v="4"/>
    <s v="October"/>
    <s v="Q4"/>
    <n v="2024"/>
    <m/>
  </r>
  <r>
    <s v="SAL-1538"/>
    <d v="2024-12-28T00:00:00"/>
    <s v="Darrell Rich"/>
    <x v="3"/>
    <s v="Kano"/>
    <s v="Corporate"/>
    <s v="Electronics"/>
    <s v="Phone"/>
    <n v="11"/>
    <n v="1026.3699999999999"/>
    <n v="0"/>
    <n v="11290.07"/>
    <n v="5661"/>
    <n v="5629.07"/>
    <s v="Card"/>
    <n v="2"/>
    <s v="December"/>
    <s v="Q4"/>
    <n v="2024"/>
    <m/>
  </r>
  <r>
    <s v="SAL-1539"/>
    <d v="2024-01-01T00:00:00"/>
    <s v="Heidi Bowers"/>
    <x v="2"/>
    <s v="Lagos"/>
    <s v="Consumer"/>
    <s v="Clothing"/>
    <s v="T-Shirt"/>
    <n v="11"/>
    <n v="1035.68"/>
    <n v="0"/>
    <n v="11392.48"/>
    <n v="9277.74"/>
    <n v="2114.7399999999998"/>
    <s v="Card"/>
    <n v="5"/>
    <s v="January"/>
    <s v="Q1"/>
    <n v="2024"/>
    <m/>
  </r>
  <r>
    <s v="SAL-1540"/>
    <d v="2024-09-01T00:00:00"/>
    <s v="Steven Benson"/>
    <x v="4"/>
    <s v="Kano"/>
    <s v="Consumer"/>
    <s v="Furniture"/>
    <s v="Cabinet"/>
    <n v="5"/>
    <n v="255.72"/>
    <n v="0"/>
    <n v="1278.5999999999999"/>
    <n v="803.05"/>
    <n v="475.55"/>
    <s v="Card"/>
    <n v="5"/>
    <s v="September"/>
    <s v="Q3"/>
    <n v="2024"/>
    <m/>
  </r>
  <r>
    <s v="SAL-1541"/>
    <d v="2024-11-22T00:00:00"/>
    <s v="Crystal Boyer"/>
    <x v="4"/>
    <s v="Lagos"/>
    <s v="Corporate"/>
    <s v="Office Supplies"/>
    <s v="Pen"/>
    <n v="11"/>
    <n v="542.23"/>
    <n v="0.15"/>
    <n v="5069.8500000000004"/>
    <n v="4217.7700000000004"/>
    <n v="852.08"/>
    <s v="Mobile Payment"/>
    <n v="5"/>
    <s v="November"/>
    <s v="Q4"/>
    <n v="2024"/>
    <m/>
  </r>
  <r>
    <s v="SAL-1542"/>
    <d v="2024-05-14T00:00:00"/>
    <s v="Omar Murphy"/>
    <x v="1"/>
    <s v="Kano"/>
    <s v="Consumer"/>
    <s v="Office Supplies"/>
    <s v="Paper"/>
    <n v="12"/>
    <n v="757.94"/>
    <n v="0"/>
    <n v="9095.2800000000007"/>
    <n v="5856.02"/>
    <n v="3239.26"/>
    <s v="Card"/>
    <n v="1"/>
    <s v="May"/>
    <s v="Q2"/>
    <n v="2024"/>
    <m/>
  </r>
  <r>
    <s v="SAL-1543"/>
    <d v="2024-01-13T00:00:00"/>
    <s v="Reginald Gardner"/>
    <x v="0"/>
    <s v="Kano"/>
    <s v="Home Office"/>
    <s v="Furniture"/>
    <s v="Desk"/>
    <n v="5"/>
    <n v="578.34"/>
    <n v="0.15"/>
    <n v="2457.9499999999998"/>
    <n v="1272.83"/>
    <n v="1185.1199999999999"/>
    <s v="Card"/>
    <n v="1"/>
    <s v="January"/>
    <s v="Q1"/>
    <n v="2024"/>
    <m/>
  </r>
  <r>
    <s v="SAL-1544"/>
    <d v="2024-03-16T00:00:00"/>
    <s v="Joshua Smith"/>
    <x v="0"/>
    <s v="Abuja"/>
    <s v="Corporate"/>
    <s v="Office Supplies"/>
    <s v="Pen"/>
    <n v="10"/>
    <n v="382.88"/>
    <n v="0.15"/>
    <n v="3254.48"/>
    <n v="2543.8200000000002"/>
    <n v="710.66"/>
    <s v="Transfer"/>
    <n v="3"/>
    <s v="March"/>
    <s v="Q1"/>
    <n v="2024"/>
    <m/>
  </r>
  <r>
    <s v="SAL-1545"/>
    <d v="2024-07-19T00:00:00"/>
    <s v="Jessica Martin"/>
    <x v="3"/>
    <s v="Abuja"/>
    <s v="Corporate"/>
    <s v="Office Supplies"/>
    <s v="Paper"/>
    <n v="9"/>
    <n v="1147.06"/>
    <n v="0.15"/>
    <n v="8775.01"/>
    <n v="7361.33"/>
    <n v="1413.68"/>
    <s v="Mobile Payment"/>
    <n v="4"/>
    <s v="July"/>
    <s v="Q3"/>
    <n v="2024"/>
    <m/>
  </r>
  <r>
    <s v="SAL-1546"/>
    <d v="2024-10-17T00:00:00"/>
    <s v="Chad Lopez"/>
    <x v="4"/>
    <s v="Port Harcourt"/>
    <s v="Home Office"/>
    <s v="Office Supplies"/>
    <s v="Notebook"/>
    <n v="5"/>
    <n v="186.84"/>
    <n v="0"/>
    <n v="934.2"/>
    <n v="670.35"/>
    <n v="263.85000000000002"/>
    <s v="Cash"/>
    <n v="3"/>
    <s v="October"/>
    <s v="Q4"/>
    <n v="2024"/>
    <m/>
  </r>
  <r>
    <s v="SAL-1547"/>
    <d v="2024-01-22T00:00:00"/>
    <s v="Natalie Scott"/>
    <x v="2"/>
    <s v="Lagos"/>
    <s v="Corporate"/>
    <s v="Electronics"/>
    <s v="Tablet"/>
    <n v="9"/>
    <n v="326.75"/>
    <n v="0.15"/>
    <n v="2499.64"/>
    <n v="2097.81"/>
    <n v="401.83"/>
    <s v="Card"/>
    <n v="5"/>
    <s v="January"/>
    <s v="Q1"/>
    <n v="2024"/>
    <m/>
  </r>
  <r>
    <s v="SAL-1548"/>
    <d v="2024-11-20T00:00:00"/>
    <s v="Eddie Thomas"/>
    <x v="0"/>
    <s v="Ibadan"/>
    <s v="Home Office"/>
    <s v="Office Supplies"/>
    <s v="Paper"/>
    <n v="3"/>
    <n v="200.1"/>
    <n v="0.05"/>
    <n v="570.28"/>
    <n v="458.54"/>
    <n v="111.74"/>
    <s v="Cash"/>
    <n v="3"/>
    <s v="November"/>
    <s v="Q4"/>
    <n v="2024"/>
    <m/>
  </r>
  <r>
    <s v="SAL-1549"/>
    <d v="2024-11-30T00:00:00"/>
    <s v="Kevin Parker"/>
    <x v="1"/>
    <s v="Ibadan"/>
    <s v="Corporate"/>
    <s v="Electronics"/>
    <s v="Tablet"/>
    <n v="7"/>
    <n v="291.27"/>
    <n v="0.15"/>
    <n v="1733.06"/>
    <n v="1062.8599999999999"/>
    <n v="670.2"/>
    <s v="Transfer"/>
    <n v="1"/>
    <s v="November"/>
    <s v="Q4"/>
    <n v="2024"/>
    <m/>
  </r>
  <r>
    <s v="SAL-1550"/>
    <d v="2024-02-18T00:00:00"/>
    <s v="Sylvia Griffin"/>
    <x v="4"/>
    <s v="Lagos"/>
    <s v="Corporate"/>
    <s v="Office Supplies"/>
    <s v="Pen"/>
    <n v="5"/>
    <n v="607.07000000000005"/>
    <n v="0.1"/>
    <n v="2731.82"/>
    <n v="1843.98"/>
    <n v="887.84"/>
    <s v="Cash"/>
    <n v="3"/>
    <s v="February"/>
    <s v="Q1"/>
    <n v="2024"/>
    <m/>
  </r>
  <r>
    <s v="SAL-1551"/>
    <d v="2024-02-24T00:00:00"/>
    <s v="Douglas Potter"/>
    <x v="3"/>
    <s v="Port Harcourt"/>
    <s v="Home Office"/>
    <s v="Clothing"/>
    <s v="Jacket"/>
    <n v="12"/>
    <n v="1193.76"/>
    <n v="0.05"/>
    <n v="13608.86"/>
    <n v="10086.07"/>
    <n v="3522.79"/>
    <s v="Cash"/>
    <n v="5"/>
    <s v="February"/>
    <s v="Q1"/>
    <n v="2024"/>
    <m/>
  </r>
  <r>
    <s v="SAL-1552"/>
    <d v="2024-07-21T00:00:00"/>
    <s v="Jeffrey Thompson"/>
    <x v="4"/>
    <s v="Abuja"/>
    <s v="Corporate"/>
    <s v="Furniture"/>
    <s v="Desk"/>
    <n v="2"/>
    <n v="25.51"/>
    <n v="0.15"/>
    <n v="43.37"/>
    <n v="21.9"/>
    <n v="21.47"/>
    <s v="Cash"/>
    <n v="1"/>
    <s v="July"/>
    <s v="Q3"/>
    <n v="2024"/>
    <m/>
  </r>
  <r>
    <s v="SAL-1553"/>
    <d v="2024-04-01T00:00:00"/>
    <s v="Sara Watson"/>
    <x v="4"/>
    <s v="Lagos"/>
    <s v="Consumer"/>
    <s v="Clothing"/>
    <s v="Jacket"/>
    <n v="10"/>
    <n v="601.19000000000005"/>
    <n v="0.15"/>
    <n v="5110.12"/>
    <n v="4314.22"/>
    <n v="795.9"/>
    <s v="Transfer"/>
    <n v="3"/>
    <s v="April"/>
    <s v="Q2"/>
    <n v="2024"/>
    <m/>
  </r>
  <r>
    <s v="SAL-1554"/>
    <d v="2024-02-21T00:00:00"/>
    <s v="Maria Page"/>
    <x v="3"/>
    <s v="Kano"/>
    <s v="Consumer"/>
    <s v="Clothing"/>
    <s v="Sneakers"/>
    <n v="5"/>
    <n v="185.09"/>
    <n v="0.15"/>
    <n v="786.63"/>
    <n v="629.01"/>
    <n v="157.62"/>
    <s v="Transfer"/>
    <n v="2"/>
    <s v="February"/>
    <s v="Q1"/>
    <n v="2024"/>
    <m/>
  </r>
  <r>
    <s v="SAL-1555"/>
    <d v="2024-10-30T00:00:00"/>
    <s v="Charles Herrera"/>
    <x v="0"/>
    <s v="Lagos"/>
    <s v="Consumer"/>
    <s v="Furniture"/>
    <s v="Cabinet"/>
    <n v="10"/>
    <n v="701.64"/>
    <n v="0.1"/>
    <n v="6314.76"/>
    <n v="3733.32"/>
    <n v="2581.44"/>
    <s v="Card"/>
    <n v="3"/>
    <s v="October"/>
    <s v="Q4"/>
    <n v="2024"/>
    <m/>
  </r>
  <r>
    <s v="SAL-1556"/>
    <d v="2024-03-28T00:00:00"/>
    <s v="Jennifer Bullock"/>
    <x v="4"/>
    <s v="Abuja"/>
    <s v="Home Office"/>
    <s v="Office Supplies"/>
    <s v="Notebook"/>
    <n v="9"/>
    <n v="717.98"/>
    <n v="0"/>
    <n v="6461.82"/>
    <n v="4178.37"/>
    <n v="2283.4499999999998"/>
    <s v="Mobile Payment"/>
    <n v="5"/>
    <s v="March"/>
    <s v="Q1"/>
    <n v="2024"/>
    <m/>
  </r>
  <r>
    <s v="SAL-1557"/>
    <d v="2024-02-03T00:00:00"/>
    <s v="Teresa Stephens"/>
    <x v="3"/>
    <s v="Port Harcourt"/>
    <s v="Home Office"/>
    <s v="Furniture"/>
    <s v="Cabinet"/>
    <n v="11"/>
    <n v="1158.71"/>
    <n v="0"/>
    <n v="12745.81"/>
    <n v="7074.58"/>
    <n v="5671.23"/>
    <s v="Mobile Payment"/>
    <n v="3"/>
    <s v="February"/>
    <s v="Q1"/>
    <n v="2024"/>
    <m/>
  </r>
  <r>
    <s v="SAL-1558"/>
    <d v="2024-03-03T00:00:00"/>
    <s v="Billy Burns"/>
    <x v="4"/>
    <s v="Abuja"/>
    <s v="Corporate"/>
    <s v="Clothing"/>
    <s v="Sneakers"/>
    <n v="12"/>
    <n v="541.33000000000004"/>
    <n v="0.15"/>
    <n v="5521.57"/>
    <n v="4215.6099999999997"/>
    <n v="1305.96"/>
    <s v="Cash"/>
    <n v="2"/>
    <s v="March"/>
    <s v="Q1"/>
    <n v="2024"/>
    <m/>
  </r>
  <r>
    <s v="SAL-1559"/>
    <d v="2024-05-18T00:00:00"/>
    <s v="Jamie Li"/>
    <x v="1"/>
    <s v="Abuja"/>
    <s v="Corporate"/>
    <s v="Furniture"/>
    <s v="Chair"/>
    <n v="6"/>
    <n v="735.88"/>
    <n v="0.05"/>
    <n v="4194.5200000000004"/>
    <n v="3094.6"/>
    <n v="1099.92"/>
    <s v="Cash"/>
    <n v="1"/>
    <s v="May"/>
    <s v="Q2"/>
    <n v="2024"/>
    <m/>
  </r>
  <r>
    <s v="SAL-1560"/>
    <d v="2024-07-20T00:00:00"/>
    <s v="Kimberly Diaz"/>
    <x v="0"/>
    <s v="Kano"/>
    <s v="Corporate"/>
    <s v="Furniture"/>
    <s v="Cabinet"/>
    <n v="9"/>
    <n v="979.76"/>
    <n v="0.1"/>
    <n v="7936.06"/>
    <n v="4116.87"/>
    <n v="3819.19"/>
    <s v="Cash"/>
    <n v="2"/>
    <s v="July"/>
    <s v="Q3"/>
    <n v="2024"/>
    <m/>
  </r>
  <r>
    <s v="SAL-1561"/>
    <d v="2024-01-18T00:00:00"/>
    <s v="Joseph Kane"/>
    <x v="2"/>
    <s v="Kano"/>
    <s v="Consumer"/>
    <s v="Electronics"/>
    <s v="Phone"/>
    <n v="5"/>
    <n v="446.04"/>
    <n v="0"/>
    <n v="2230.1999999999998"/>
    <n v="1692.84"/>
    <n v="537.36"/>
    <s v="Cash"/>
    <n v="5"/>
    <s v="January"/>
    <s v="Q1"/>
    <n v="2024"/>
    <m/>
  </r>
  <r>
    <s v="SAL-1562"/>
    <d v="2024-05-11T00:00:00"/>
    <s v="Phyllis Wilson"/>
    <x v="4"/>
    <s v="Lagos"/>
    <s v="Home Office"/>
    <s v="Clothing"/>
    <s v="Sneakers"/>
    <n v="4"/>
    <n v="302.42"/>
    <n v="0.1"/>
    <n v="1088.71"/>
    <n v="754.45"/>
    <n v="334.26"/>
    <s v="Mobile Payment"/>
    <n v="3"/>
    <s v="May"/>
    <s v="Q2"/>
    <n v="2024"/>
    <m/>
  </r>
  <r>
    <s v="SAL-1563"/>
    <d v="2024-10-31T00:00:00"/>
    <s v="Felicia Allen"/>
    <x v="4"/>
    <s v="Port Harcourt"/>
    <s v="Home Office"/>
    <s v="Electronics"/>
    <s v="Tablet"/>
    <n v="5"/>
    <n v="36.369999999999997"/>
    <n v="0"/>
    <n v="181.85"/>
    <n v="114.57"/>
    <n v="67.28"/>
    <s v="Transfer"/>
    <n v="4"/>
    <s v="October"/>
    <s v="Q4"/>
    <n v="2024"/>
    <m/>
  </r>
  <r>
    <s v="SAL-1564"/>
    <d v="2024-11-16T00:00:00"/>
    <s v="Paula Young"/>
    <x v="1"/>
    <s v="Port Harcourt"/>
    <s v="Home Office"/>
    <s v="Office Supplies"/>
    <s v="Paper"/>
    <n v="6"/>
    <n v="1127.68"/>
    <n v="0.05"/>
    <n v="6427.78"/>
    <n v="3296.55"/>
    <n v="3131.23"/>
    <s v="Cash"/>
    <n v="2"/>
    <s v="November"/>
    <s v="Q4"/>
    <n v="2024"/>
    <m/>
  </r>
  <r>
    <s v="SAL-1565"/>
    <d v="2024-05-20T00:00:00"/>
    <s v="Ashley George"/>
    <x v="2"/>
    <s v="Abuja"/>
    <s v="Corporate"/>
    <s v="Electronics"/>
    <s v="Phone"/>
    <n v="8"/>
    <n v="207.31"/>
    <n v="0.05"/>
    <n v="1575.56"/>
    <n v="829.7"/>
    <n v="745.86"/>
    <s v="Cash"/>
    <n v="1"/>
    <s v="May"/>
    <s v="Q2"/>
    <n v="2024"/>
    <m/>
  </r>
  <r>
    <s v="SAL-1566"/>
    <d v="2024-07-23T00:00:00"/>
    <s v="Christopher Vargas"/>
    <x v="2"/>
    <s v="Kano"/>
    <s v="Consumer"/>
    <s v="Office Supplies"/>
    <s v="Notebook"/>
    <n v="7"/>
    <n v="144.41"/>
    <n v="0.05"/>
    <n v="960.33"/>
    <n v="623.82000000000005"/>
    <n v="336.51"/>
    <s v="Card"/>
    <n v="4"/>
    <s v="July"/>
    <s v="Q3"/>
    <n v="2024"/>
    <m/>
  </r>
  <r>
    <s v="SAL-1567"/>
    <d v="2024-05-14T00:00:00"/>
    <s v="David Smith"/>
    <x v="1"/>
    <s v="Port Harcourt"/>
    <s v="Home Office"/>
    <s v="Clothing"/>
    <s v="Jacket"/>
    <n v="6"/>
    <n v="1153.42"/>
    <n v="0.15"/>
    <n v="5882.44"/>
    <n v="3703.59"/>
    <n v="2178.85"/>
    <s v="Mobile Payment"/>
    <n v="1"/>
    <s v="May"/>
    <s v="Q2"/>
    <n v="2024"/>
    <m/>
  </r>
  <r>
    <s v="SAL-1568"/>
    <d v="2024-12-31T00:00:00"/>
    <s v="Adam Olson"/>
    <x v="2"/>
    <s v="Abuja"/>
    <s v="Corporate"/>
    <s v="Electronics"/>
    <s v="Tablet"/>
    <n v="11"/>
    <n v="713.11"/>
    <n v="0.05"/>
    <n v="7452"/>
    <n v="5786.04"/>
    <n v="1665.96"/>
    <s v="Transfer"/>
    <n v="1"/>
    <s v="December"/>
    <s v="Q4"/>
    <n v="2024"/>
    <m/>
  </r>
  <r>
    <s v="SAL-1569"/>
    <d v="2024-04-08T00:00:00"/>
    <s v="Sean Martin"/>
    <x v="4"/>
    <s v="Ibadan"/>
    <s v="Home Office"/>
    <s v="Clothing"/>
    <s v="T-Shirt"/>
    <n v="5"/>
    <n v="756.37"/>
    <n v="0"/>
    <n v="3781.85"/>
    <n v="2058.79"/>
    <n v="1723.06"/>
    <s v="Cash"/>
    <n v="4"/>
    <s v="April"/>
    <s v="Q2"/>
    <n v="2024"/>
    <m/>
  </r>
  <r>
    <s v="SAL-1570"/>
    <d v="2024-02-09T00:00:00"/>
    <s v="John Castaneda"/>
    <x v="4"/>
    <s v="Port Harcourt"/>
    <s v="Consumer"/>
    <s v="Clothing"/>
    <s v="T-Shirt"/>
    <n v="12"/>
    <n v="307.77"/>
    <n v="0.1"/>
    <n v="3323.92"/>
    <n v="2070.33"/>
    <n v="1253.5899999999999"/>
    <s v="Transfer"/>
    <n v="5"/>
    <s v="February"/>
    <s v="Q1"/>
    <n v="2024"/>
    <m/>
  </r>
  <r>
    <s v="SAL-1571"/>
    <d v="2024-06-13T00:00:00"/>
    <s v="Dr. Rebecca Whitaker"/>
    <x v="0"/>
    <s v="Lagos"/>
    <s v="Corporate"/>
    <s v="Office Supplies"/>
    <s v="Paper"/>
    <n v="3"/>
    <n v="677.35"/>
    <n v="0.05"/>
    <n v="1930.45"/>
    <n v="973.93"/>
    <n v="956.52"/>
    <s v="Transfer"/>
    <n v="4"/>
    <s v="June"/>
    <s v="Q2"/>
    <n v="2024"/>
    <m/>
  </r>
  <r>
    <s v="SAL-1572"/>
    <d v="2024-04-08T00:00:00"/>
    <s v="Amy Campos"/>
    <x v="2"/>
    <s v="Port Harcourt"/>
    <s v="Home Office"/>
    <s v="Electronics"/>
    <s v="Printer"/>
    <n v="5"/>
    <n v="823.66"/>
    <n v="0.15"/>
    <n v="3500.55"/>
    <n v="2925.35"/>
    <n v="575.20000000000005"/>
    <s v="Transfer"/>
    <n v="4"/>
    <s v="April"/>
    <s v="Q2"/>
    <n v="2024"/>
    <m/>
  </r>
  <r>
    <s v="SAL-1573"/>
    <d v="2024-08-30T00:00:00"/>
    <s v="Heather Brooks"/>
    <x v="3"/>
    <s v="Abuja"/>
    <s v="Consumer"/>
    <s v="Clothing"/>
    <s v="Jacket"/>
    <n v="10"/>
    <n v="849.4"/>
    <n v="0.15"/>
    <n v="7219.9"/>
    <n v="5502.1"/>
    <n v="1717.8"/>
    <s v="Mobile Payment"/>
    <n v="5"/>
    <s v="August"/>
    <s v="Q3"/>
    <n v="2024"/>
    <m/>
  </r>
  <r>
    <s v="SAL-1574"/>
    <d v="2024-10-16T00:00:00"/>
    <s v="Alicia Smith"/>
    <x v="0"/>
    <s v="Ibadan"/>
    <s v="Corporate"/>
    <s v="Furniture"/>
    <s v="Chair"/>
    <n v="3"/>
    <n v="781.39"/>
    <n v="0.1"/>
    <n v="2109.75"/>
    <n v="1107.42"/>
    <n v="1002.33"/>
    <s v="Cash"/>
    <n v="3"/>
    <s v="October"/>
    <s v="Q4"/>
    <n v="2024"/>
    <m/>
  </r>
  <r>
    <s v="SAL-1575"/>
    <d v="2024-01-17T00:00:00"/>
    <s v="Tyler Torres"/>
    <x v="1"/>
    <s v="Port Harcourt"/>
    <s v="Corporate"/>
    <s v="Clothing"/>
    <s v="Sneakers"/>
    <n v="7"/>
    <n v="1093.9000000000001"/>
    <n v="0"/>
    <n v="7657.3"/>
    <n v="5127.5"/>
    <n v="2529.8000000000002"/>
    <s v="Transfer"/>
    <n v="1"/>
    <s v="January"/>
    <s v="Q1"/>
    <n v="2024"/>
    <m/>
  </r>
  <r>
    <s v="SAL-1576"/>
    <d v="2024-09-09T00:00:00"/>
    <s v="Danny Boyer"/>
    <x v="0"/>
    <s v="Ibadan"/>
    <s v="Home Office"/>
    <s v="Office Supplies"/>
    <s v="Notebook"/>
    <n v="5"/>
    <n v="130.04"/>
    <n v="0.15"/>
    <n v="552.66999999999996"/>
    <n v="308.48"/>
    <n v="244.19"/>
    <s v="Cash"/>
    <n v="5"/>
    <s v="September"/>
    <s v="Q3"/>
    <n v="2024"/>
    <m/>
  </r>
  <r>
    <s v="SAL-1577"/>
    <d v="2024-08-17T00:00:00"/>
    <s v="Craig Short"/>
    <x v="0"/>
    <s v="Ibadan"/>
    <s v="Consumer"/>
    <s v="Clothing"/>
    <s v="Sneakers"/>
    <n v="11"/>
    <n v="664.45"/>
    <n v="0.05"/>
    <n v="6943.5"/>
    <n v="4631.21"/>
    <n v="2312.29"/>
    <s v="Mobile Payment"/>
    <n v="3"/>
    <s v="August"/>
    <s v="Q3"/>
    <n v="2024"/>
    <m/>
  </r>
  <r>
    <s v="SAL-1578"/>
    <d v="2024-05-27T00:00:00"/>
    <s v="Matthew Glover"/>
    <x v="3"/>
    <s v="Abuja"/>
    <s v="Home Office"/>
    <s v="Office Supplies"/>
    <s v="Paper"/>
    <n v="4"/>
    <n v="654.29"/>
    <n v="0.05"/>
    <n v="2486.3000000000002"/>
    <n v="1723.22"/>
    <n v="763.08"/>
    <s v="Mobile Payment"/>
    <n v="5"/>
    <s v="May"/>
    <s v="Q2"/>
    <n v="2024"/>
    <m/>
  </r>
  <r>
    <s v="SAL-1579"/>
    <d v="2024-04-11T00:00:00"/>
    <s v="Gary Snyder"/>
    <x v="2"/>
    <s v="Abuja"/>
    <s v="Corporate"/>
    <s v="Furniture"/>
    <s v="Desk"/>
    <n v="5"/>
    <n v="769.41"/>
    <n v="0.05"/>
    <n v="3654.7"/>
    <n v="2598.56"/>
    <n v="1056.1400000000001"/>
    <s v="Cash"/>
    <n v="4"/>
    <s v="April"/>
    <s v="Q2"/>
    <n v="2024"/>
    <m/>
  </r>
  <r>
    <s v="SAL-1580"/>
    <d v="2024-05-15T00:00:00"/>
    <s v="Eric Myers"/>
    <x v="3"/>
    <s v="Ibadan"/>
    <s v="Consumer"/>
    <s v="Electronics"/>
    <s v="Phone"/>
    <n v="7"/>
    <n v="1159.02"/>
    <n v="0.05"/>
    <n v="7707.48"/>
    <n v="5089.38"/>
    <n v="2618.1"/>
    <s v="Cash"/>
    <n v="4"/>
    <s v="May"/>
    <s v="Q2"/>
    <n v="2024"/>
    <m/>
  </r>
  <r>
    <s v="SAL-1581"/>
    <d v="2024-01-16T00:00:00"/>
    <s v="Kevin Bush"/>
    <x v="4"/>
    <s v="Abuja"/>
    <s v="Consumer"/>
    <s v="Clothing"/>
    <s v="Sneakers"/>
    <n v="9"/>
    <n v="1169.06"/>
    <n v="0.1"/>
    <n v="9469.39"/>
    <n v="6878.36"/>
    <n v="2591.0300000000002"/>
    <s v="Cash"/>
    <n v="1"/>
    <s v="January"/>
    <s v="Q1"/>
    <n v="2024"/>
    <m/>
  </r>
  <r>
    <s v="SAL-1582"/>
    <d v="2024-09-10T00:00:00"/>
    <s v="Cassandra Copeland"/>
    <x v="3"/>
    <s v="Kano"/>
    <s v="Home Office"/>
    <s v="Electronics"/>
    <s v="Printer"/>
    <n v="5"/>
    <n v="141.9"/>
    <n v="0.05"/>
    <n v="674.02"/>
    <n v="491.08"/>
    <n v="182.94"/>
    <s v="Transfer"/>
    <n v="4"/>
    <s v="September"/>
    <s v="Q3"/>
    <n v="2024"/>
    <m/>
  </r>
  <r>
    <s v="SAL-1583"/>
    <d v="2024-10-07T00:00:00"/>
    <s v="Jillian Hurst"/>
    <x v="0"/>
    <s v="Abuja"/>
    <s v="Home Office"/>
    <s v="Clothing"/>
    <s v="Jacket"/>
    <n v="9"/>
    <n v="355.73"/>
    <n v="0.15"/>
    <n v="2721.33"/>
    <n v="2264.0300000000002"/>
    <n v="457.3"/>
    <s v="Card"/>
    <n v="1"/>
    <s v="October"/>
    <s v="Q4"/>
    <n v="2024"/>
    <m/>
  </r>
  <r>
    <s v="SAL-1584"/>
    <d v="2024-05-01T00:00:00"/>
    <s v="Maria Gillespie"/>
    <x v="0"/>
    <s v="Lagos"/>
    <s v="Consumer"/>
    <s v="Furniture"/>
    <s v="Desk"/>
    <n v="11"/>
    <n v="1001.39"/>
    <n v="0"/>
    <n v="11015.29"/>
    <n v="9084.64"/>
    <n v="1930.65"/>
    <s v="Cash"/>
    <n v="3"/>
    <s v="May"/>
    <s v="Q2"/>
    <n v="2024"/>
    <m/>
  </r>
  <r>
    <s v="SAL-1585"/>
    <d v="2024-10-03T00:00:00"/>
    <s v="Garrett Ponce"/>
    <x v="3"/>
    <s v="Ibadan"/>
    <s v="Corporate"/>
    <s v="Furniture"/>
    <s v="Desk"/>
    <n v="11"/>
    <n v="636.57000000000005"/>
    <n v="0"/>
    <n v="7002.27"/>
    <n v="5656.64"/>
    <n v="1345.63"/>
    <s v="Card"/>
    <n v="4"/>
    <s v="October"/>
    <s v="Q4"/>
    <n v="2024"/>
    <m/>
  </r>
  <r>
    <s v="SAL-1586"/>
    <d v="2024-10-22T00:00:00"/>
    <s v="Kaylee Young"/>
    <x v="1"/>
    <s v="Port Harcourt"/>
    <s v="Corporate"/>
    <s v="Electronics"/>
    <s v="Tablet"/>
    <n v="11"/>
    <n v="1120.8"/>
    <n v="0.1"/>
    <n v="11095.92"/>
    <n v="5593.39"/>
    <n v="5502.53"/>
    <s v="Cash"/>
    <n v="5"/>
    <s v="October"/>
    <s v="Q4"/>
    <n v="2024"/>
    <m/>
  </r>
  <r>
    <s v="SAL-1587"/>
    <d v="2024-08-14T00:00:00"/>
    <s v="Wayne Cox"/>
    <x v="3"/>
    <s v="Lagos"/>
    <s v="Home Office"/>
    <s v="Electronics"/>
    <s v="Phone"/>
    <n v="3"/>
    <n v="319.64"/>
    <n v="0"/>
    <n v="958.92"/>
    <n v="636.28"/>
    <n v="322.64"/>
    <s v="Mobile Payment"/>
    <n v="3"/>
    <s v="August"/>
    <s v="Q3"/>
    <n v="2024"/>
    <m/>
  </r>
  <r>
    <s v="SAL-1588"/>
    <d v="2024-04-26T00:00:00"/>
    <s v="Robert Young"/>
    <x v="4"/>
    <s v="Kano"/>
    <s v="Corporate"/>
    <s v="Furniture"/>
    <s v="Chair"/>
    <n v="12"/>
    <n v="629.22"/>
    <n v="0.15"/>
    <n v="6418.04"/>
    <n v="3389.81"/>
    <n v="3028.23"/>
    <s v="Cash"/>
    <n v="4"/>
    <s v="April"/>
    <s v="Q2"/>
    <n v="2024"/>
    <m/>
  </r>
  <r>
    <s v="SAL-1589"/>
    <d v="2024-12-08T00:00:00"/>
    <s v="Trevor Miller"/>
    <x v="1"/>
    <s v="Abuja"/>
    <s v="Consumer"/>
    <s v="Electronics"/>
    <s v="Laptop"/>
    <n v="4"/>
    <n v="1000.74"/>
    <n v="0.1"/>
    <n v="3602.66"/>
    <n v="2432.65"/>
    <n v="1170.01"/>
    <s v="Card"/>
    <n v="5"/>
    <s v="December"/>
    <s v="Q4"/>
    <n v="2024"/>
    <m/>
  </r>
  <r>
    <s v="SAL-1590"/>
    <d v="2024-08-30T00:00:00"/>
    <s v="Brooke Holloway"/>
    <x v="3"/>
    <s v="Lagos"/>
    <s v="Home Office"/>
    <s v="Electronics"/>
    <s v="Tablet"/>
    <n v="10"/>
    <n v="122.32"/>
    <n v="0.1"/>
    <n v="1100.8800000000001"/>
    <n v="646.34"/>
    <n v="454.54"/>
    <s v="Card"/>
    <n v="1"/>
    <s v="August"/>
    <s v="Q3"/>
    <n v="2024"/>
    <m/>
  </r>
  <r>
    <s v="SAL-1591"/>
    <d v="2024-06-14T00:00:00"/>
    <s v="Megan Sanchez"/>
    <x v="3"/>
    <s v="Port Harcourt"/>
    <s v="Consumer"/>
    <s v="Clothing"/>
    <s v="T-Shirt"/>
    <n v="11"/>
    <n v="413.76"/>
    <n v="0.15"/>
    <n v="3868.66"/>
    <n v="2720.54"/>
    <n v="1148.1199999999999"/>
    <s v="Cash"/>
    <n v="1"/>
    <s v="June"/>
    <s v="Q2"/>
    <n v="2024"/>
    <m/>
  </r>
  <r>
    <s v="SAL-1592"/>
    <d v="2024-05-30T00:00:00"/>
    <s v="Scott Mata"/>
    <x v="0"/>
    <s v="Lagos"/>
    <s v="Consumer"/>
    <s v="Office Supplies"/>
    <s v="Notebook"/>
    <n v="5"/>
    <n v="906.25"/>
    <n v="0"/>
    <n v="4531.25"/>
    <n v="3850.01"/>
    <n v="681.24"/>
    <s v="Cash"/>
    <n v="5"/>
    <s v="May"/>
    <s v="Q2"/>
    <n v="2024"/>
    <m/>
  </r>
  <r>
    <s v="SAL-1593"/>
    <d v="2024-08-26T00:00:00"/>
    <s v="Brittney Sanchez"/>
    <x v="1"/>
    <s v="Lagos"/>
    <s v="Home Office"/>
    <s v="Electronics"/>
    <s v="Laptop"/>
    <n v="12"/>
    <n v="406.47"/>
    <n v="0.05"/>
    <n v="4633.76"/>
    <n v="3476.32"/>
    <n v="1157.44"/>
    <s v="Cash"/>
    <n v="2"/>
    <s v="August"/>
    <s v="Q3"/>
    <n v="2024"/>
    <m/>
  </r>
  <r>
    <s v="SAL-1594"/>
    <d v="2024-05-14T00:00:00"/>
    <s v="Michael Nielsen"/>
    <x v="3"/>
    <s v="Ibadan"/>
    <s v="Consumer"/>
    <s v="Electronics"/>
    <s v="Laptop"/>
    <n v="11"/>
    <n v="566.44000000000005"/>
    <n v="0.05"/>
    <n v="5919.3"/>
    <n v="4638.25"/>
    <n v="1281.05"/>
    <s v="Transfer"/>
    <n v="4"/>
    <s v="May"/>
    <s v="Q2"/>
    <n v="2024"/>
    <m/>
  </r>
  <r>
    <s v="SAL-1595"/>
    <d v="2024-12-13T00:00:00"/>
    <s v="Angela Turner"/>
    <x v="4"/>
    <s v="Kano"/>
    <s v="Corporate"/>
    <s v="Office Supplies"/>
    <s v="Pen"/>
    <n v="11"/>
    <n v="115.08"/>
    <n v="0.1"/>
    <n v="1139.29"/>
    <n v="924.32"/>
    <n v="214.97"/>
    <s v="Mobile Payment"/>
    <n v="2"/>
    <s v="December"/>
    <s v="Q4"/>
    <n v="2024"/>
    <m/>
  </r>
  <r>
    <s v="SAL-1596"/>
    <d v="2024-04-15T00:00:00"/>
    <s v="Jon Edwards"/>
    <x v="4"/>
    <s v="Port Harcourt"/>
    <s v="Home Office"/>
    <s v="Clothing"/>
    <s v="Sneakers"/>
    <n v="10"/>
    <n v="461.01"/>
    <n v="0"/>
    <n v="4610.1000000000004"/>
    <n v="3657.71"/>
    <n v="952.39"/>
    <s v="Card"/>
    <n v="4"/>
    <s v="April"/>
    <s v="Q2"/>
    <n v="2024"/>
    <m/>
  </r>
  <r>
    <s v="SAL-1597"/>
    <d v="2024-01-11T00:00:00"/>
    <s v="Matthew Sanchez"/>
    <x v="1"/>
    <s v="Lagos"/>
    <s v="Corporate"/>
    <s v="Office Supplies"/>
    <s v="Pen"/>
    <n v="3"/>
    <n v="926.54"/>
    <n v="0.1"/>
    <n v="2501.66"/>
    <n v="1808.85"/>
    <n v="692.81"/>
    <s v="Cash"/>
    <n v="1"/>
    <s v="January"/>
    <s v="Q1"/>
    <n v="2024"/>
    <m/>
  </r>
  <r>
    <s v="SAL-1598"/>
    <d v="2024-07-28T00:00:00"/>
    <s v="Mr. Joel Lewis"/>
    <x v="1"/>
    <s v="Ibadan"/>
    <s v="Consumer"/>
    <s v="Electronics"/>
    <s v="Tablet"/>
    <n v="11"/>
    <n v="626.42999999999995"/>
    <n v="0"/>
    <n v="6890.73"/>
    <n v="5352.43"/>
    <n v="1538.3"/>
    <s v="Card"/>
    <n v="4"/>
    <s v="July"/>
    <s v="Q3"/>
    <n v="2024"/>
    <m/>
  </r>
  <r>
    <s v="SAL-1599"/>
    <d v="2024-07-12T00:00:00"/>
    <s v="David Reynolds DVM"/>
    <x v="2"/>
    <s v="Kano"/>
    <s v="Corporate"/>
    <s v="Furniture"/>
    <s v="Cabinet"/>
    <n v="3"/>
    <n v="473.19"/>
    <n v="0.15"/>
    <n v="1206.6300000000001"/>
    <n v="728.57"/>
    <n v="478.06"/>
    <s v="Transfer"/>
    <n v="5"/>
    <s v="July"/>
    <s v="Q3"/>
    <n v="2024"/>
    <m/>
  </r>
  <r>
    <s v="SAL-1600"/>
    <d v="2024-10-09T00:00:00"/>
    <s v="Billy Mitchell"/>
    <x v="0"/>
    <s v="Kano"/>
    <s v="Home Office"/>
    <s v="Office Supplies"/>
    <s v="Notebook"/>
    <n v="9"/>
    <n v="1001.9"/>
    <n v="0.05"/>
    <n v="8566.25"/>
    <n v="5825.85"/>
    <n v="2740.4"/>
    <s v="Card"/>
    <n v="2"/>
    <s v="October"/>
    <s v="Q4"/>
    <n v="2024"/>
    <m/>
  </r>
  <r>
    <s v="SAL-1601"/>
    <d v="2024-01-20T00:00:00"/>
    <s v="Amanda Nelson"/>
    <x v="1"/>
    <s v="Abuja"/>
    <s v="Corporate"/>
    <s v="Electronics"/>
    <s v="Printer"/>
    <n v="10"/>
    <n v="1124.56"/>
    <n v="0.05"/>
    <n v="10683.32"/>
    <n v="9054.48"/>
    <n v="1628.84"/>
    <s v="Mobile Payment"/>
    <n v="4"/>
    <s v="January"/>
    <s v="Q1"/>
    <n v="2024"/>
    <m/>
  </r>
  <r>
    <s v="SAL-1602"/>
    <d v="2024-12-24T00:00:00"/>
    <s v="Ruben Miller"/>
    <x v="2"/>
    <s v="Lagos"/>
    <s v="Consumer"/>
    <s v="Clothing"/>
    <s v="Sneakers"/>
    <n v="3"/>
    <n v="990.31"/>
    <n v="0.05"/>
    <n v="2822.38"/>
    <n v="2107.0300000000002"/>
    <n v="715.35"/>
    <s v="Card"/>
    <n v="4"/>
    <s v="December"/>
    <s v="Q4"/>
    <n v="2024"/>
    <m/>
  </r>
  <r>
    <s v="SAL-1603"/>
    <d v="2024-06-02T00:00:00"/>
    <s v="Kristin Petersen"/>
    <x v="2"/>
    <s v="Kano"/>
    <s v="Consumer"/>
    <s v="Electronics"/>
    <s v="Tablet"/>
    <n v="9"/>
    <n v="796.82"/>
    <n v="0.1"/>
    <n v="6454.24"/>
    <n v="4261.21"/>
    <n v="2193.0300000000002"/>
    <s v="Cash"/>
    <n v="4"/>
    <s v="June"/>
    <s v="Q2"/>
    <n v="2024"/>
    <m/>
  </r>
  <r>
    <s v="SAL-1604"/>
    <d v="2024-01-31T00:00:00"/>
    <s v="Jessica Nicholson"/>
    <x v="4"/>
    <s v="Abuja"/>
    <s v="Consumer"/>
    <s v="Furniture"/>
    <s v="Desk"/>
    <n v="7"/>
    <n v="1142.04"/>
    <n v="0"/>
    <n v="7994.28"/>
    <n v="5017.8500000000004"/>
    <n v="2976.43"/>
    <s v="Mobile Payment"/>
    <n v="2"/>
    <s v="January"/>
    <s v="Q1"/>
    <n v="2024"/>
    <m/>
  </r>
  <r>
    <s v="SAL-1605"/>
    <d v="2024-08-06T00:00:00"/>
    <s v="Timothy Hernandez"/>
    <x v="1"/>
    <s v="Abuja"/>
    <s v="Home Office"/>
    <s v="Electronics"/>
    <s v="Laptop"/>
    <n v="11"/>
    <n v="354.73"/>
    <n v="0.1"/>
    <n v="3511.83"/>
    <n v="2526.4899999999998"/>
    <n v="985.34"/>
    <s v="Mobile Payment"/>
    <n v="5"/>
    <s v="August"/>
    <s v="Q3"/>
    <n v="2024"/>
    <m/>
  </r>
  <r>
    <s v="SAL-1606"/>
    <d v="2024-11-27T00:00:00"/>
    <s v="Alicia Walker"/>
    <x v="0"/>
    <s v="Ibadan"/>
    <s v="Consumer"/>
    <s v="Clothing"/>
    <s v="T-Shirt"/>
    <n v="1"/>
    <n v="390.41"/>
    <n v="0"/>
    <n v="390.41"/>
    <n v="228.43"/>
    <n v="161.97999999999999"/>
    <s v="Card"/>
    <n v="3"/>
    <s v="November"/>
    <s v="Q4"/>
    <n v="2024"/>
    <m/>
  </r>
  <r>
    <s v="SAL-1607"/>
    <d v="2024-02-06T00:00:00"/>
    <s v="Caitlin Liu"/>
    <x v="2"/>
    <s v="Abuja"/>
    <s v="Corporate"/>
    <s v="Clothing"/>
    <s v="T-Shirt"/>
    <n v="11"/>
    <n v="935.03"/>
    <n v="0"/>
    <n v="10285.33"/>
    <n v="8334.18"/>
    <n v="1951.15"/>
    <s v="Cash"/>
    <n v="2"/>
    <s v="February"/>
    <s v="Q1"/>
    <n v="2024"/>
    <m/>
  </r>
  <r>
    <s v="SAL-1608"/>
    <d v="2024-05-10T00:00:00"/>
    <s v="Tracy Jones"/>
    <x v="4"/>
    <s v="Lagos"/>
    <s v="Corporate"/>
    <s v="Office Supplies"/>
    <s v="Pen"/>
    <n v="8"/>
    <n v="402.24"/>
    <n v="0"/>
    <n v="3217.92"/>
    <n v="2107.16"/>
    <n v="1110.76"/>
    <s v="Cash"/>
    <n v="4"/>
    <s v="May"/>
    <s v="Q2"/>
    <n v="2024"/>
    <m/>
  </r>
  <r>
    <s v="SAL-1609"/>
    <d v="2024-08-06T00:00:00"/>
    <s v="Rachael Ramirez"/>
    <x v="0"/>
    <s v="Lagos"/>
    <s v="Home Office"/>
    <s v="Furniture"/>
    <s v="Chair"/>
    <n v="5"/>
    <n v="493.93"/>
    <n v="0.05"/>
    <n v="2346.17"/>
    <n v="1786.45"/>
    <n v="559.72"/>
    <s v="Cash"/>
    <n v="1"/>
    <s v="August"/>
    <s v="Q3"/>
    <n v="2024"/>
    <m/>
  </r>
  <r>
    <s v="SAL-1610"/>
    <d v="2024-12-13T00:00:00"/>
    <s v="Carl Ochoa"/>
    <x v="3"/>
    <s v="Kano"/>
    <s v="Corporate"/>
    <s v="Office Supplies"/>
    <s v="Pen"/>
    <n v="10"/>
    <n v="525.34"/>
    <n v="0"/>
    <n v="5253.4"/>
    <n v="2924.61"/>
    <n v="2328.79"/>
    <s v="Mobile Payment"/>
    <n v="2"/>
    <s v="December"/>
    <s v="Q4"/>
    <n v="2024"/>
    <m/>
  </r>
  <r>
    <s v="SAL-1611"/>
    <d v="2024-09-02T00:00:00"/>
    <s v="Alyssa Weiss"/>
    <x v="1"/>
    <s v="Port Harcourt"/>
    <s v="Corporate"/>
    <s v="Office Supplies"/>
    <s v="Paper"/>
    <n v="5"/>
    <n v="85.42"/>
    <n v="0"/>
    <n v="427.1"/>
    <n v="340.7"/>
    <n v="86.4"/>
    <s v="Mobile Payment"/>
    <n v="4"/>
    <s v="September"/>
    <s v="Q3"/>
    <n v="2024"/>
    <m/>
  </r>
  <r>
    <s v="SAL-1612"/>
    <d v="2024-09-07T00:00:00"/>
    <s v="Nichole Mckenzie"/>
    <x v="3"/>
    <s v="Port Harcourt"/>
    <s v="Corporate"/>
    <s v="Furniture"/>
    <s v="Cabinet"/>
    <n v="5"/>
    <n v="570.01"/>
    <n v="0.15"/>
    <n v="2422.54"/>
    <n v="1483.51"/>
    <n v="939.03"/>
    <s v="Cash"/>
    <n v="2"/>
    <s v="September"/>
    <s v="Q3"/>
    <n v="2024"/>
    <m/>
  </r>
  <r>
    <s v="SAL-1613"/>
    <d v="2024-09-17T00:00:00"/>
    <s v="Michelle Pham"/>
    <x v="3"/>
    <s v="Abuja"/>
    <s v="Consumer"/>
    <s v="Electronics"/>
    <s v="Phone"/>
    <n v="11"/>
    <n v="762.06"/>
    <n v="0.1"/>
    <n v="7544.39"/>
    <n v="4395.1099999999997"/>
    <n v="3149.28"/>
    <s v="Cash"/>
    <n v="4"/>
    <s v="September"/>
    <s v="Q3"/>
    <n v="2024"/>
    <m/>
  </r>
  <r>
    <s v="SAL-1614"/>
    <d v="2024-07-11T00:00:00"/>
    <s v="Patrick Torres"/>
    <x v="0"/>
    <s v="Kano"/>
    <s v="Consumer"/>
    <s v="Office Supplies"/>
    <s v="Pen"/>
    <n v="8"/>
    <n v="308.98"/>
    <n v="0.15"/>
    <n v="2101.06"/>
    <n v="1705.59"/>
    <n v="395.47"/>
    <s v="Transfer"/>
    <n v="5"/>
    <s v="July"/>
    <s v="Q3"/>
    <n v="2024"/>
    <m/>
  </r>
  <r>
    <s v="SAL-1615"/>
    <d v="2024-05-27T00:00:00"/>
    <s v="Marie Collins"/>
    <x v="4"/>
    <s v="Abuja"/>
    <s v="Consumer"/>
    <s v="Furniture"/>
    <s v="Chair"/>
    <n v="1"/>
    <n v="671.97"/>
    <n v="0.1"/>
    <n v="604.77"/>
    <n v="449.53"/>
    <n v="155.24"/>
    <s v="Card"/>
    <n v="5"/>
    <s v="May"/>
    <s v="Q2"/>
    <n v="2024"/>
    <m/>
  </r>
  <r>
    <s v="SAL-1616"/>
    <d v="2024-04-14T00:00:00"/>
    <s v="Nicholas Zamora"/>
    <x v="2"/>
    <s v="Kano"/>
    <s v="Corporate"/>
    <s v="Clothing"/>
    <s v="T-Shirt"/>
    <n v="6"/>
    <n v="218.81"/>
    <n v="0"/>
    <n v="1312.86"/>
    <n v="876.5"/>
    <n v="436.36"/>
    <s v="Transfer"/>
    <n v="4"/>
    <s v="April"/>
    <s v="Q2"/>
    <n v="2024"/>
    <m/>
  </r>
  <r>
    <s v="SAL-1617"/>
    <d v="2024-09-27T00:00:00"/>
    <s v="Nicole Flores"/>
    <x v="0"/>
    <s v="Abuja"/>
    <s v="Consumer"/>
    <s v="Clothing"/>
    <s v="T-Shirt"/>
    <n v="9"/>
    <n v="144.11000000000001"/>
    <n v="0"/>
    <n v="1296.99"/>
    <n v="904.34"/>
    <n v="392.65"/>
    <s v="Card"/>
    <n v="2"/>
    <s v="September"/>
    <s v="Q3"/>
    <n v="2024"/>
    <m/>
  </r>
  <r>
    <s v="SAL-1618"/>
    <d v="2024-06-17T00:00:00"/>
    <s v="Rebecca Bennett"/>
    <x v="4"/>
    <s v="Port Harcourt"/>
    <s v="Corporate"/>
    <s v="Electronics"/>
    <s v="Phone"/>
    <n v="9"/>
    <n v="471.44"/>
    <n v="0.1"/>
    <n v="3818.66"/>
    <n v="2130.6999999999998"/>
    <n v="1687.96"/>
    <s v="Mobile Payment"/>
    <n v="3"/>
    <s v="June"/>
    <s v="Q2"/>
    <n v="2024"/>
    <m/>
  </r>
  <r>
    <s v="SAL-1619"/>
    <d v="2024-09-27T00:00:00"/>
    <s v="Daniel Kim"/>
    <x v="0"/>
    <s v="Port Harcourt"/>
    <s v="Home Office"/>
    <s v="Office Supplies"/>
    <s v="Pen"/>
    <n v="8"/>
    <n v="957.7"/>
    <n v="0.05"/>
    <n v="7278.52"/>
    <n v="5447.13"/>
    <n v="1831.39"/>
    <s v="Cash"/>
    <n v="4"/>
    <s v="September"/>
    <s v="Q3"/>
    <n v="2024"/>
    <m/>
  </r>
  <r>
    <s v="SAL-1620"/>
    <d v="2024-07-15T00:00:00"/>
    <s v="Margaret Thompson"/>
    <x v="4"/>
    <s v="Abuja"/>
    <s v="Home Office"/>
    <s v="Clothing"/>
    <s v="T-Shirt"/>
    <n v="11"/>
    <n v="694.03"/>
    <n v="0.1"/>
    <n v="6870.9"/>
    <n v="4266.37"/>
    <n v="2604.5300000000002"/>
    <s v="Cash"/>
    <n v="1"/>
    <s v="July"/>
    <s v="Q3"/>
    <n v="2024"/>
    <m/>
  </r>
  <r>
    <s v="SAL-1621"/>
    <d v="2024-12-15T00:00:00"/>
    <s v="Janet Meyer"/>
    <x v="2"/>
    <s v="Abuja"/>
    <s v="Corporate"/>
    <s v="Furniture"/>
    <s v="Desk"/>
    <n v="10"/>
    <n v="924.77"/>
    <n v="0.15"/>
    <n v="7860.55"/>
    <n v="6249.98"/>
    <n v="1610.57"/>
    <s v="Mobile Payment"/>
    <n v="1"/>
    <s v="December"/>
    <s v="Q4"/>
    <n v="2024"/>
    <m/>
  </r>
  <r>
    <s v="SAL-1622"/>
    <d v="2024-01-23T00:00:00"/>
    <s v="Barry Diaz"/>
    <x v="4"/>
    <s v="Kano"/>
    <s v="Corporate"/>
    <s v="Electronics"/>
    <s v="Laptop"/>
    <n v="2"/>
    <n v="1077.23"/>
    <n v="0.1"/>
    <n v="1939.01"/>
    <n v="1400.1"/>
    <n v="538.91"/>
    <s v="Mobile Payment"/>
    <n v="1"/>
    <s v="January"/>
    <s v="Q1"/>
    <n v="2024"/>
    <m/>
  </r>
  <r>
    <s v="SAL-1623"/>
    <d v="2024-01-22T00:00:00"/>
    <s v="Derrick Garcia"/>
    <x v="3"/>
    <s v="Ibadan"/>
    <s v="Home Office"/>
    <s v="Furniture"/>
    <s v="Chair"/>
    <n v="12"/>
    <n v="912.87"/>
    <n v="0.15"/>
    <n v="9311.27"/>
    <n v="5208.46"/>
    <n v="4102.8100000000004"/>
    <s v="Cash"/>
    <n v="4"/>
    <s v="January"/>
    <s v="Q1"/>
    <n v="2024"/>
    <m/>
  </r>
  <r>
    <s v="SAL-1624"/>
    <d v="2024-10-29T00:00:00"/>
    <s v="Stephanie Hansen"/>
    <x v="4"/>
    <s v="Lagos"/>
    <s v="Consumer"/>
    <s v="Office Supplies"/>
    <s v="Notebook"/>
    <n v="4"/>
    <n v="684.91"/>
    <n v="0.05"/>
    <n v="2602.66"/>
    <n v="1934.47"/>
    <n v="668.19"/>
    <s v="Transfer"/>
    <n v="5"/>
    <s v="October"/>
    <s v="Q4"/>
    <n v="2024"/>
    <m/>
  </r>
  <r>
    <s v="SAL-1625"/>
    <d v="2024-11-24T00:00:00"/>
    <s v="Justin Cox"/>
    <x v="0"/>
    <s v="Lagos"/>
    <s v="Corporate"/>
    <s v="Furniture"/>
    <s v="Desk"/>
    <n v="8"/>
    <n v="541.37"/>
    <n v="0.1"/>
    <n v="3897.86"/>
    <n v="2106.1799999999998"/>
    <n v="1791.68"/>
    <s v="Mobile Payment"/>
    <n v="2"/>
    <s v="November"/>
    <s v="Q4"/>
    <n v="2024"/>
    <m/>
  </r>
  <r>
    <s v="SAL-1626"/>
    <d v="2024-07-28T00:00:00"/>
    <s v="Betty Zamora"/>
    <x v="2"/>
    <s v="Ibadan"/>
    <s v="Home Office"/>
    <s v="Office Supplies"/>
    <s v="Paper"/>
    <n v="11"/>
    <n v="933.83"/>
    <n v="0.05"/>
    <n v="9758.52"/>
    <n v="6101.06"/>
    <n v="3657.46"/>
    <s v="Transfer"/>
    <n v="1"/>
    <s v="July"/>
    <s v="Q3"/>
    <n v="2024"/>
    <m/>
  </r>
  <r>
    <s v="SAL-1627"/>
    <d v="2024-11-22T00:00:00"/>
    <s v="Jennifer Hall"/>
    <x v="3"/>
    <s v="Abuja"/>
    <s v="Corporate"/>
    <s v="Furniture"/>
    <s v="Chair"/>
    <n v="7"/>
    <n v="771.44"/>
    <n v="0"/>
    <n v="5400.08"/>
    <n v="4245.0600000000004"/>
    <n v="1155.02"/>
    <s v="Cash"/>
    <n v="5"/>
    <s v="November"/>
    <s v="Q4"/>
    <n v="2024"/>
    <m/>
  </r>
  <r>
    <s v="SAL-1628"/>
    <d v="2024-08-27T00:00:00"/>
    <s v="Sean Henry"/>
    <x v="3"/>
    <s v="Abuja"/>
    <s v="Corporate"/>
    <s v="Office Supplies"/>
    <s v="Notebook"/>
    <n v="12"/>
    <n v="854.12"/>
    <n v="0.05"/>
    <n v="9736.9699999999993"/>
    <n v="6197.32"/>
    <n v="3539.65"/>
    <s v="Cash"/>
    <n v="1"/>
    <s v="August"/>
    <s v="Q3"/>
    <n v="2024"/>
    <m/>
  </r>
  <r>
    <s v="SAL-1629"/>
    <d v="2024-03-15T00:00:00"/>
    <s v="Cory Wilson"/>
    <x v="1"/>
    <s v="Kano"/>
    <s v="Corporate"/>
    <s v="Office Supplies"/>
    <s v="Pen"/>
    <n v="7"/>
    <n v="141.47"/>
    <n v="0.1"/>
    <n v="891.26"/>
    <n v="507.25"/>
    <n v="384.01"/>
    <s v="Mobile Payment"/>
    <n v="3"/>
    <s v="March"/>
    <s v="Q1"/>
    <n v="2024"/>
    <m/>
  </r>
  <r>
    <s v="SAL-1630"/>
    <d v="2024-05-09T00:00:00"/>
    <s v="Mrs. Sarah King"/>
    <x v="1"/>
    <s v="Kano"/>
    <s v="Home Office"/>
    <s v="Furniture"/>
    <s v="Desk"/>
    <n v="6"/>
    <n v="1074.4000000000001"/>
    <n v="0.05"/>
    <n v="6124.08"/>
    <n v="4784.76"/>
    <n v="1339.32"/>
    <s v="Card"/>
    <n v="1"/>
    <s v="May"/>
    <s v="Q2"/>
    <n v="2024"/>
    <m/>
  </r>
  <r>
    <s v="SAL-1631"/>
    <d v="2024-02-20T00:00:00"/>
    <s v="Randy Andrews"/>
    <x v="0"/>
    <s v="Port Harcourt"/>
    <s v="Corporate"/>
    <s v="Office Supplies"/>
    <s v="Pen"/>
    <n v="6"/>
    <n v="556.45000000000005"/>
    <n v="0.15"/>
    <n v="2837.89"/>
    <n v="2292.94"/>
    <n v="544.95000000000005"/>
    <s v="Cash"/>
    <n v="1"/>
    <s v="February"/>
    <s v="Q1"/>
    <n v="2024"/>
    <m/>
  </r>
  <r>
    <s v="SAL-1632"/>
    <d v="2024-11-03T00:00:00"/>
    <s v="Steve Douglas MD"/>
    <x v="0"/>
    <s v="Abuja"/>
    <s v="Corporate"/>
    <s v="Clothing"/>
    <s v="Jacket"/>
    <n v="10"/>
    <n v="365.69"/>
    <n v="0.15"/>
    <n v="3108.36"/>
    <n v="2122.98"/>
    <n v="985.38"/>
    <s v="Cash"/>
    <n v="5"/>
    <s v="November"/>
    <s v="Q4"/>
    <n v="2024"/>
    <m/>
  </r>
  <r>
    <s v="SAL-1633"/>
    <d v="2024-01-02T00:00:00"/>
    <s v="Andrea Jimenez"/>
    <x v="3"/>
    <s v="Ibadan"/>
    <s v="Corporate"/>
    <s v="Furniture"/>
    <s v="Desk"/>
    <n v="10"/>
    <n v="364.38"/>
    <n v="0.1"/>
    <n v="3279.42"/>
    <n v="2372.4499999999998"/>
    <n v="906.97"/>
    <s v="Mobile Payment"/>
    <n v="5"/>
    <s v="January"/>
    <s v="Q1"/>
    <n v="2024"/>
    <m/>
  </r>
  <r>
    <s v="SAL-1634"/>
    <d v="2024-08-17T00:00:00"/>
    <s v="Jonathan Rogers"/>
    <x v="2"/>
    <s v="Abuja"/>
    <s v="Corporate"/>
    <s v="Office Supplies"/>
    <s v="Paper"/>
    <n v="11"/>
    <n v="1140.95"/>
    <n v="0.05"/>
    <n v="11922.93"/>
    <n v="7252.06"/>
    <n v="4670.87"/>
    <s v="Card"/>
    <n v="3"/>
    <s v="August"/>
    <s v="Q3"/>
    <n v="2024"/>
    <m/>
  </r>
  <r>
    <s v="SAL-1635"/>
    <d v="2024-01-24T00:00:00"/>
    <s v="Sean Logan"/>
    <x v="4"/>
    <s v="Ibadan"/>
    <s v="Corporate"/>
    <s v="Electronics"/>
    <s v="Phone"/>
    <n v="4"/>
    <n v="886.18"/>
    <n v="0.1"/>
    <n v="3190.25"/>
    <n v="1685.57"/>
    <n v="1504.68"/>
    <s v="Transfer"/>
    <n v="2"/>
    <s v="January"/>
    <s v="Q1"/>
    <n v="2024"/>
    <m/>
  </r>
  <r>
    <s v="SAL-1636"/>
    <d v="2024-06-01T00:00:00"/>
    <s v="Don Barton"/>
    <x v="3"/>
    <s v="Port Harcourt"/>
    <s v="Consumer"/>
    <s v="Office Supplies"/>
    <s v="Notebook"/>
    <n v="3"/>
    <n v="1162.76"/>
    <n v="0.1"/>
    <n v="3139.45"/>
    <n v="2009.08"/>
    <n v="1130.3699999999999"/>
    <s v="Transfer"/>
    <n v="2"/>
    <s v="June"/>
    <s v="Q2"/>
    <n v="2024"/>
    <m/>
  </r>
  <r>
    <s v="SAL-1637"/>
    <d v="2024-08-12T00:00:00"/>
    <s v="Jesse Gill"/>
    <x v="4"/>
    <s v="Port Harcourt"/>
    <s v="Consumer"/>
    <s v="Office Supplies"/>
    <s v="Notebook"/>
    <n v="8"/>
    <n v="441.73"/>
    <n v="0.15"/>
    <n v="3003.76"/>
    <n v="1531.68"/>
    <n v="1472.08"/>
    <s v="Transfer"/>
    <n v="3"/>
    <s v="August"/>
    <s v="Q3"/>
    <n v="2024"/>
    <m/>
  </r>
  <r>
    <s v="SAL-1638"/>
    <d v="2024-03-03T00:00:00"/>
    <s v="Andrew Smith"/>
    <x v="2"/>
    <s v="Port Harcourt"/>
    <s v="Corporate"/>
    <s v="Office Supplies"/>
    <s v="Pen"/>
    <n v="5"/>
    <n v="839.76"/>
    <n v="0.1"/>
    <n v="3778.92"/>
    <n v="2021.68"/>
    <n v="1757.24"/>
    <s v="Cash"/>
    <n v="4"/>
    <s v="March"/>
    <s v="Q1"/>
    <n v="2024"/>
    <m/>
  </r>
  <r>
    <s v="SAL-1639"/>
    <d v="2024-12-28T00:00:00"/>
    <s v="Olivia Garcia"/>
    <x v="2"/>
    <s v="Port Harcourt"/>
    <s v="Home Office"/>
    <s v="Electronics"/>
    <s v="Laptop"/>
    <n v="7"/>
    <n v="205.79"/>
    <n v="0.15"/>
    <n v="1224.45"/>
    <n v="739.48"/>
    <n v="484.97"/>
    <s v="Transfer"/>
    <n v="4"/>
    <s v="December"/>
    <s v="Q4"/>
    <n v="2024"/>
    <m/>
  </r>
  <r>
    <s v="SAL-1640"/>
    <d v="2024-12-20T00:00:00"/>
    <s v="Gloria Ward"/>
    <x v="2"/>
    <s v="Port Harcourt"/>
    <s v="Home Office"/>
    <s v="Furniture"/>
    <s v="Desk"/>
    <n v="4"/>
    <n v="434.46"/>
    <n v="0.15"/>
    <n v="1477.16"/>
    <n v="1210.96"/>
    <n v="266.2"/>
    <s v="Card"/>
    <n v="4"/>
    <s v="December"/>
    <s v="Q4"/>
    <n v="2024"/>
    <m/>
  </r>
  <r>
    <s v="SAL-1641"/>
    <d v="2024-12-22T00:00:00"/>
    <s v="Nathan Hernandez"/>
    <x v="1"/>
    <s v="Kano"/>
    <s v="Home Office"/>
    <s v="Electronics"/>
    <s v="Printer"/>
    <n v="9"/>
    <n v="666.33"/>
    <n v="0"/>
    <n v="5996.97"/>
    <n v="3602.04"/>
    <n v="2394.9299999999998"/>
    <s v="Cash"/>
    <n v="2"/>
    <s v="December"/>
    <s v="Q4"/>
    <n v="2024"/>
    <m/>
  </r>
  <r>
    <s v="SAL-1642"/>
    <d v="2024-07-05T00:00:00"/>
    <s v="Travis Ballard"/>
    <x v="1"/>
    <s v="Ibadan"/>
    <s v="Home Office"/>
    <s v="Furniture"/>
    <s v="Desk"/>
    <n v="9"/>
    <n v="717.04"/>
    <n v="0"/>
    <n v="6453.36"/>
    <n v="4298.8"/>
    <n v="2154.56"/>
    <s v="Transfer"/>
    <n v="4"/>
    <s v="July"/>
    <s v="Q3"/>
    <n v="2024"/>
    <m/>
  </r>
  <r>
    <s v="SAL-1643"/>
    <d v="2024-08-18T00:00:00"/>
    <s v="Amy Chavez"/>
    <x v="3"/>
    <s v="Port Harcourt"/>
    <s v="Home Office"/>
    <s v="Furniture"/>
    <s v="Cabinet"/>
    <n v="8"/>
    <n v="608.74"/>
    <n v="0.15"/>
    <n v="4139.43"/>
    <n v="2752.92"/>
    <n v="1386.51"/>
    <s v="Mobile Payment"/>
    <n v="4"/>
    <s v="August"/>
    <s v="Q3"/>
    <n v="2024"/>
    <m/>
  </r>
  <r>
    <s v="SAL-1644"/>
    <d v="2024-10-18T00:00:00"/>
    <s v="Rhonda Gomez"/>
    <x v="4"/>
    <s v="Port Harcourt"/>
    <s v="Home Office"/>
    <s v="Electronics"/>
    <s v="Phone"/>
    <n v="10"/>
    <n v="618.38"/>
    <n v="0.05"/>
    <n v="5874.61"/>
    <n v="4862.24"/>
    <n v="1012.37"/>
    <s v="Mobile Payment"/>
    <n v="5"/>
    <s v="October"/>
    <s v="Q4"/>
    <n v="2024"/>
    <m/>
  </r>
  <r>
    <s v="SAL-1645"/>
    <d v="2024-07-25T00:00:00"/>
    <s v="Marissa Jones"/>
    <x v="4"/>
    <s v="Abuja"/>
    <s v="Corporate"/>
    <s v="Electronics"/>
    <s v="Laptop"/>
    <n v="2"/>
    <n v="120.66"/>
    <n v="0"/>
    <n v="241.32"/>
    <n v="183.17"/>
    <n v="58.15"/>
    <s v="Mobile Payment"/>
    <n v="5"/>
    <s v="July"/>
    <s v="Q3"/>
    <n v="2024"/>
    <m/>
  </r>
  <r>
    <s v="SAL-1646"/>
    <d v="2024-08-23T00:00:00"/>
    <s v="Todd Patrick"/>
    <x v="2"/>
    <s v="Ibadan"/>
    <s v="Consumer"/>
    <s v="Furniture"/>
    <s v="Cabinet"/>
    <n v="10"/>
    <n v="927.14"/>
    <n v="0.05"/>
    <n v="8807.83"/>
    <n v="4653.2299999999996"/>
    <n v="4154.6000000000004"/>
    <s v="Card"/>
    <n v="1"/>
    <s v="August"/>
    <s v="Q3"/>
    <n v="2024"/>
    <m/>
  </r>
  <r>
    <s v="SAL-1647"/>
    <d v="2024-08-17T00:00:00"/>
    <s v="Scott Robinson"/>
    <x v="0"/>
    <s v="Port Harcourt"/>
    <s v="Consumer"/>
    <s v="Electronics"/>
    <s v="Phone"/>
    <n v="4"/>
    <n v="644.97"/>
    <n v="0.05"/>
    <n v="2450.89"/>
    <n v="2010.48"/>
    <n v="440.41"/>
    <s v="Mobile Payment"/>
    <n v="1"/>
    <s v="August"/>
    <s v="Q3"/>
    <n v="2024"/>
    <m/>
  </r>
  <r>
    <s v="SAL-1648"/>
    <d v="2024-06-13T00:00:00"/>
    <s v="Evan Clark"/>
    <x v="1"/>
    <s v="Lagos"/>
    <s v="Corporate"/>
    <s v="Clothing"/>
    <s v="T-Shirt"/>
    <n v="7"/>
    <n v="1045.93"/>
    <n v="0.15"/>
    <n v="6223.28"/>
    <n v="3820.85"/>
    <n v="2402.4299999999998"/>
    <s v="Transfer"/>
    <n v="5"/>
    <s v="June"/>
    <s v="Q2"/>
    <n v="2024"/>
    <m/>
  </r>
  <r>
    <s v="SAL-1649"/>
    <d v="2024-08-07T00:00:00"/>
    <s v="Shawn Hall"/>
    <x v="2"/>
    <s v="Port Harcourt"/>
    <s v="Home Office"/>
    <s v="Electronics"/>
    <s v="Tablet"/>
    <n v="12"/>
    <n v="358.16"/>
    <n v="0.05"/>
    <n v="4083.02"/>
    <n v="2074.27"/>
    <n v="2008.75"/>
    <s v="Transfer"/>
    <n v="2"/>
    <s v="August"/>
    <s v="Q3"/>
    <n v="2024"/>
    <m/>
  </r>
  <r>
    <s v="SAL-1650"/>
    <d v="2024-11-23T00:00:00"/>
    <s v="Mrs. Nicole Villarreal"/>
    <x v="2"/>
    <s v="Kano"/>
    <s v="Consumer"/>
    <s v="Electronics"/>
    <s v="Laptop"/>
    <n v="7"/>
    <n v="555.83000000000004"/>
    <n v="0.15"/>
    <n v="3307.19"/>
    <n v="2031.71"/>
    <n v="1275.48"/>
    <s v="Card"/>
    <n v="3"/>
    <s v="November"/>
    <s v="Q4"/>
    <n v="2024"/>
    <m/>
  </r>
  <r>
    <s v="SAL-1651"/>
    <d v="2024-11-10T00:00:00"/>
    <s v="Yvonne Patrick"/>
    <x v="0"/>
    <s v="Port Harcourt"/>
    <s v="Home Office"/>
    <s v="Furniture"/>
    <s v="Desk"/>
    <n v="9"/>
    <n v="157.82"/>
    <n v="0.15"/>
    <n v="1207.32"/>
    <n v="673.11"/>
    <n v="534.21"/>
    <s v="Mobile Payment"/>
    <n v="3"/>
    <s v="November"/>
    <s v="Q4"/>
    <n v="2024"/>
    <m/>
  </r>
  <r>
    <s v="SAL-1652"/>
    <d v="2024-02-15T00:00:00"/>
    <s v="Jon Padilla"/>
    <x v="3"/>
    <s v="Ibadan"/>
    <s v="Home Office"/>
    <s v="Clothing"/>
    <s v="T-Shirt"/>
    <n v="7"/>
    <n v="129.12"/>
    <n v="0.05"/>
    <n v="858.65"/>
    <n v="711.39"/>
    <n v="147.26"/>
    <s v="Mobile Payment"/>
    <n v="1"/>
    <s v="February"/>
    <s v="Q1"/>
    <n v="2024"/>
    <m/>
  </r>
  <r>
    <s v="SAL-1653"/>
    <d v="2024-01-17T00:00:00"/>
    <s v="Matthew Powers"/>
    <x v="4"/>
    <s v="Ibadan"/>
    <s v="Home Office"/>
    <s v="Office Supplies"/>
    <s v="Notebook"/>
    <n v="9"/>
    <n v="48.7"/>
    <n v="0.15"/>
    <n v="372.56"/>
    <n v="282.51"/>
    <n v="90.05"/>
    <s v="Cash"/>
    <n v="5"/>
    <s v="January"/>
    <s v="Q1"/>
    <n v="2024"/>
    <m/>
  </r>
  <r>
    <s v="SAL-1654"/>
    <d v="2024-06-06T00:00:00"/>
    <s v="Alexis Hernandez"/>
    <x v="1"/>
    <s v="Abuja"/>
    <s v="Corporate"/>
    <s v="Electronics"/>
    <s v="Printer"/>
    <n v="12"/>
    <n v="818.7"/>
    <n v="0.15"/>
    <n v="8350.74"/>
    <n v="4907.5"/>
    <n v="3443.24"/>
    <s v="Mobile Payment"/>
    <n v="4"/>
    <s v="June"/>
    <s v="Q2"/>
    <n v="2024"/>
    <m/>
  </r>
  <r>
    <s v="SAL-1655"/>
    <d v="2024-10-07T00:00:00"/>
    <s v="Samantha Richardson"/>
    <x v="3"/>
    <s v="Kano"/>
    <s v="Consumer"/>
    <s v="Clothing"/>
    <s v="T-Shirt"/>
    <n v="1"/>
    <n v="356.01"/>
    <n v="0.1"/>
    <n v="320.41000000000003"/>
    <n v="161.96"/>
    <n v="158.44999999999999"/>
    <s v="Mobile Payment"/>
    <n v="5"/>
    <s v="October"/>
    <s v="Q4"/>
    <n v="2024"/>
    <m/>
  </r>
  <r>
    <s v="SAL-1656"/>
    <d v="2024-08-24T00:00:00"/>
    <s v="Phillip Thomas"/>
    <x v="2"/>
    <s v="Port Harcourt"/>
    <s v="Consumer"/>
    <s v="Electronics"/>
    <s v="Printer"/>
    <n v="7"/>
    <n v="467.48"/>
    <n v="0"/>
    <n v="3272.36"/>
    <n v="2170.52"/>
    <n v="1101.8399999999999"/>
    <s v="Card"/>
    <n v="4"/>
    <s v="August"/>
    <s v="Q3"/>
    <n v="2024"/>
    <m/>
  </r>
  <r>
    <s v="SAL-1657"/>
    <d v="2024-06-05T00:00:00"/>
    <s v="Robin Brown"/>
    <x v="1"/>
    <s v="Ibadan"/>
    <s v="Consumer"/>
    <s v="Office Supplies"/>
    <s v="Pen"/>
    <n v="6"/>
    <n v="153.69999999999999"/>
    <n v="0.1"/>
    <n v="829.98"/>
    <n v="527.95000000000005"/>
    <n v="302.02999999999997"/>
    <s v="Mobile Payment"/>
    <n v="4"/>
    <s v="June"/>
    <s v="Q2"/>
    <n v="2024"/>
    <m/>
  </r>
  <r>
    <s v="SAL-1658"/>
    <d v="2024-09-28T00:00:00"/>
    <s v="James Dean"/>
    <x v="4"/>
    <s v="Abuja"/>
    <s v="Consumer"/>
    <s v="Clothing"/>
    <s v="Jacket"/>
    <n v="8"/>
    <n v="1091.3"/>
    <n v="0.05"/>
    <n v="8293.8799999999992"/>
    <n v="6238.63"/>
    <n v="2055.25"/>
    <s v="Cash"/>
    <n v="1"/>
    <s v="September"/>
    <s v="Q3"/>
    <n v="2024"/>
    <m/>
  </r>
  <r>
    <s v="SAL-1659"/>
    <d v="2024-12-21T00:00:00"/>
    <s v="Monica Lynch"/>
    <x v="0"/>
    <s v="Ibadan"/>
    <s v="Consumer"/>
    <s v="Electronics"/>
    <s v="Phone"/>
    <n v="8"/>
    <n v="55.84"/>
    <n v="0.15"/>
    <n v="379.71"/>
    <n v="218.76"/>
    <n v="160.94999999999999"/>
    <s v="Transfer"/>
    <n v="3"/>
    <s v="December"/>
    <s v="Q4"/>
    <n v="2024"/>
    <m/>
  </r>
  <r>
    <s v="SAL-1660"/>
    <d v="2024-11-23T00:00:00"/>
    <s v="Ian Drake"/>
    <x v="3"/>
    <s v="Lagos"/>
    <s v="Home Office"/>
    <s v="Office Supplies"/>
    <s v="Paper"/>
    <n v="10"/>
    <n v="725.79"/>
    <n v="0"/>
    <n v="7257.9"/>
    <n v="3813.66"/>
    <n v="3444.24"/>
    <s v="Mobile Payment"/>
    <n v="4"/>
    <s v="November"/>
    <s v="Q4"/>
    <n v="2024"/>
    <m/>
  </r>
  <r>
    <s v="SAL-1661"/>
    <d v="2024-02-16T00:00:00"/>
    <s v="Amber Hampton"/>
    <x v="1"/>
    <s v="Lagos"/>
    <s v="Consumer"/>
    <s v="Clothing"/>
    <s v="T-Shirt"/>
    <n v="7"/>
    <n v="252.95"/>
    <n v="0"/>
    <n v="1770.65"/>
    <n v="1372.37"/>
    <n v="398.28"/>
    <s v="Cash"/>
    <n v="3"/>
    <s v="February"/>
    <s v="Q1"/>
    <n v="2024"/>
    <m/>
  </r>
  <r>
    <s v="SAL-1662"/>
    <d v="2024-09-28T00:00:00"/>
    <s v="Theresa Walker"/>
    <x v="1"/>
    <s v="Kano"/>
    <s v="Home Office"/>
    <s v="Furniture"/>
    <s v="Desk"/>
    <n v="3"/>
    <n v="632.79"/>
    <n v="0.15"/>
    <n v="1613.61"/>
    <n v="1011.61"/>
    <n v="602"/>
    <s v="Transfer"/>
    <n v="2"/>
    <s v="September"/>
    <s v="Q3"/>
    <n v="2024"/>
    <m/>
  </r>
  <r>
    <s v="SAL-1663"/>
    <d v="2024-11-30T00:00:00"/>
    <s v="Megan Walsh"/>
    <x v="2"/>
    <s v="Lagos"/>
    <s v="Corporate"/>
    <s v="Furniture"/>
    <s v="Desk"/>
    <n v="11"/>
    <n v="1085.74"/>
    <n v="0.05"/>
    <n v="11345.98"/>
    <n v="7817.97"/>
    <n v="3528.01"/>
    <s v="Transfer"/>
    <n v="1"/>
    <s v="November"/>
    <s v="Q4"/>
    <n v="2024"/>
    <m/>
  </r>
  <r>
    <s v="SAL-1664"/>
    <d v="2024-11-13T00:00:00"/>
    <s v="Tara Hall"/>
    <x v="2"/>
    <s v="Kano"/>
    <s v="Home Office"/>
    <s v="Office Supplies"/>
    <s v="Pen"/>
    <n v="11"/>
    <n v="440.46"/>
    <n v="0"/>
    <n v="4845.0600000000004"/>
    <n v="2712.81"/>
    <n v="2132.25"/>
    <s v="Transfer"/>
    <n v="1"/>
    <s v="November"/>
    <s v="Q4"/>
    <n v="2024"/>
    <m/>
  </r>
  <r>
    <s v="SAL-1665"/>
    <d v="2024-07-04T00:00:00"/>
    <s v="Kristin Davis"/>
    <x v="4"/>
    <s v="Port Harcourt"/>
    <s v="Consumer"/>
    <s v="Clothing"/>
    <s v="Sneakers"/>
    <n v="8"/>
    <n v="1015.86"/>
    <n v="0"/>
    <n v="8126.88"/>
    <n v="4923"/>
    <n v="3203.88"/>
    <s v="Card"/>
    <n v="4"/>
    <s v="July"/>
    <s v="Q3"/>
    <n v="2024"/>
    <m/>
  </r>
  <r>
    <s v="SAL-1666"/>
    <d v="2024-12-23T00:00:00"/>
    <s v="Christopher Chavez"/>
    <x v="1"/>
    <s v="Kano"/>
    <s v="Home Office"/>
    <s v="Clothing"/>
    <s v="Jacket"/>
    <n v="6"/>
    <n v="375.68"/>
    <n v="0.15"/>
    <n v="1915.97"/>
    <n v="1256.76"/>
    <n v="659.21"/>
    <s v="Cash"/>
    <n v="1"/>
    <s v="December"/>
    <s v="Q4"/>
    <n v="2024"/>
    <m/>
  </r>
  <r>
    <s v="SAL-1667"/>
    <d v="2024-06-01T00:00:00"/>
    <s v="Matthew Gross"/>
    <x v="3"/>
    <s v="Kano"/>
    <s v="Consumer"/>
    <s v="Furniture"/>
    <s v="Desk"/>
    <n v="6"/>
    <n v="743.3"/>
    <n v="0.1"/>
    <n v="4013.82"/>
    <n v="2713.37"/>
    <n v="1300.45"/>
    <s v="Mobile Payment"/>
    <n v="3"/>
    <s v="June"/>
    <s v="Q2"/>
    <n v="2024"/>
    <m/>
  </r>
  <r>
    <s v="SAL-1668"/>
    <d v="2024-01-28T00:00:00"/>
    <s v="Zachary Vincent"/>
    <x v="3"/>
    <s v="Ibadan"/>
    <s v="Corporate"/>
    <s v="Clothing"/>
    <s v="T-Shirt"/>
    <n v="2"/>
    <n v="124.03"/>
    <n v="0.05"/>
    <n v="235.66"/>
    <n v="191.9"/>
    <n v="43.76"/>
    <s v="Cash"/>
    <n v="3"/>
    <s v="January"/>
    <s v="Q1"/>
    <n v="2024"/>
    <m/>
  </r>
  <r>
    <s v="SAL-1669"/>
    <d v="2024-04-24T00:00:00"/>
    <s v="Dr. Christopher Castillo"/>
    <x v="0"/>
    <s v="Ibadan"/>
    <s v="Home Office"/>
    <s v="Electronics"/>
    <s v="Laptop"/>
    <n v="4"/>
    <n v="1076.1300000000001"/>
    <n v="0.1"/>
    <n v="3874.07"/>
    <n v="2078.36"/>
    <n v="1795.71"/>
    <s v="Card"/>
    <n v="2"/>
    <s v="April"/>
    <s v="Q2"/>
    <n v="2024"/>
    <m/>
  </r>
  <r>
    <s v="SAL-1670"/>
    <d v="2024-04-07T00:00:00"/>
    <s v="Jeffrey Oneill"/>
    <x v="3"/>
    <s v="Port Harcourt"/>
    <s v="Consumer"/>
    <s v="Electronics"/>
    <s v="Phone"/>
    <n v="3"/>
    <n v="905.41"/>
    <n v="0"/>
    <n v="2716.23"/>
    <n v="2204.36"/>
    <n v="511.87"/>
    <s v="Cash"/>
    <n v="4"/>
    <s v="April"/>
    <s v="Q2"/>
    <n v="2024"/>
    <m/>
  </r>
  <r>
    <s v="SAL-1671"/>
    <d v="2024-08-12T00:00:00"/>
    <s v="Maria Martin"/>
    <x v="4"/>
    <s v="Abuja"/>
    <s v="Home Office"/>
    <s v="Clothing"/>
    <s v="Jacket"/>
    <n v="9"/>
    <n v="32.51"/>
    <n v="0"/>
    <n v="292.58999999999997"/>
    <n v="198.1"/>
    <n v="94.49"/>
    <s v="Card"/>
    <n v="5"/>
    <s v="August"/>
    <s v="Q3"/>
    <n v="2024"/>
    <m/>
  </r>
  <r>
    <s v="SAL-1672"/>
    <d v="2024-09-30T00:00:00"/>
    <s v="Sara Morales"/>
    <x v="0"/>
    <s v="Port Harcourt"/>
    <s v="Corporate"/>
    <s v="Furniture"/>
    <s v="Cabinet"/>
    <n v="8"/>
    <n v="790.43"/>
    <n v="0.1"/>
    <n v="5691.1"/>
    <n v="4746.9399999999996"/>
    <n v="944.16"/>
    <s v="Card"/>
    <n v="1"/>
    <s v="September"/>
    <s v="Q3"/>
    <n v="2024"/>
    <m/>
  </r>
  <r>
    <s v="SAL-1673"/>
    <d v="2024-04-03T00:00:00"/>
    <s v="Wanda Mclaughlin"/>
    <x v="0"/>
    <s v="Port Harcourt"/>
    <s v="Home Office"/>
    <s v="Clothing"/>
    <s v="Jacket"/>
    <n v="8"/>
    <n v="118.44"/>
    <n v="0.05"/>
    <n v="900.14"/>
    <n v="470.32"/>
    <n v="429.82"/>
    <s v="Transfer"/>
    <n v="1"/>
    <s v="April"/>
    <s v="Q2"/>
    <n v="2024"/>
    <m/>
  </r>
  <r>
    <s v="SAL-1674"/>
    <d v="2024-08-24T00:00:00"/>
    <s v="Nicholas Burns"/>
    <x v="4"/>
    <s v="Kano"/>
    <s v="Corporate"/>
    <s v="Office Supplies"/>
    <s v="Paper"/>
    <n v="3"/>
    <n v="32.92"/>
    <n v="0"/>
    <n v="98.76"/>
    <n v="59.75"/>
    <n v="39.01"/>
    <s v="Card"/>
    <n v="2"/>
    <s v="August"/>
    <s v="Q3"/>
    <n v="2024"/>
    <m/>
  </r>
  <r>
    <s v="SAL-1675"/>
    <d v="2024-11-15T00:00:00"/>
    <s v="Christopher Burton"/>
    <x v="0"/>
    <s v="Lagos"/>
    <s v="Corporate"/>
    <s v="Electronics"/>
    <s v="Laptop"/>
    <n v="4"/>
    <n v="282.52"/>
    <n v="0"/>
    <n v="1130.08"/>
    <n v="878.14"/>
    <n v="251.94"/>
    <s v="Cash"/>
    <n v="3"/>
    <s v="November"/>
    <s v="Q4"/>
    <n v="2024"/>
    <m/>
  </r>
  <r>
    <s v="SAL-1676"/>
    <d v="2024-04-03T00:00:00"/>
    <s v="Tamara Martinez"/>
    <x v="0"/>
    <s v="Abuja"/>
    <s v="Corporate"/>
    <s v="Office Supplies"/>
    <s v="Notebook"/>
    <n v="1"/>
    <n v="500.5"/>
    <n v="0.1"/>
    <n v="450.45"/>
    <n v="332.6"/>
    <n v="117.85"/>
    <s v="Cash"/>
    <n v="4"/>
    <s v="April"/>
    <s v="Q2"/>
    <n v="2024"/>
    <m/>
  </r>
  <r>
    <s v="SAL-1677"/>
    <d v="2024-01-22T00:00:00"/>
    <s v="Patricia Mclaughlin"/>
    <x v="4"/>
    <s v="Lagos"/>
    <s v="Consumer"/>
    <s v="Office Supplies"/>
    <s v="Notebook"/>
    <n v="7"/>
    <n v="317.93"/>
    <n v="0.1"/>
    <n v="2002.96"/>
    <n v="1100.07"/>
    <n v="902.89"/>
    <s v="Cash"/>
    <n v="4"/>
    <s v="January"/>
    <s v="Q1"/>
    <n v="2024"/>
    <m/>
  </r>
  <r>
    <s v="SAL-1678"/>
    <d v="2024-06-01T00:00:00"/>
    <s v="Timothy Mccoy"/>
    <x v="1"/>
    <s v="Ibadan"/>
    <s v="Home Office"/>
    <s v="Electronics"/>
    <s v="Printer"/>
    <n v="12"/>
    <n v="593.02"/>
    <n v="0.1"/>
    <n v="6404.62"/>
    <n v="4783.37"/>
    <n v="1621.25"/>
    <s v="Cash"/>
    <n v="5"/>
    <s v="June"/>
    <s v="Q2"/>
    <n v="2024"/>
    <m/>
  </r>
  <r>
    <s v="SAL-1679"/>
    <d v="2024-05-19T00:00:00"/>
    <s v="Gwendolyn Mueller"/>
    <x v="0"/>
    <s v="Port Harcourt"/>
    <s v="Consumer"/>
    <s v="Furniture"/>
    <s v="Cabinet"/>
    <n v="7"/>
    <n v="681.5"/>
    <n v="0.15"/>
    <n v="4054.92"/>
    <n v="2383.0100000000002"/>
    <n v="1671.91"/>
    <s v="Mobile Payment"/>
    <n v="1"/>
    <s v="May"/>
    <s v="Q2"/>
    <n v="2024"/>
    <m/>
  </r>
  <r>
    <s v="SAL-1680"/>
    <d v="2024-06-29T00:00:00"/>
    <s v="Evan Clark"/>
    <x v="1"/>
    <s v="Abuja"/>
    <s v="Consumer"/>
    <s v="Electronics"/>
    <s v="Printer"/>
    <n v="1"/>
    <n v="543.59"/>
    <n v="0.05"/>
    <n v="516.41"/>
    <n v="266.04000000000002"/>
    <n v="250.37"/>
    <s v="Card"/>
    <n v="4"/>
    <s v="June"/>
    <s v="Q2"/>
    <n v="2024"/>
    <m/>
  </r>
  <r>
    <s v="SAL-1681"/>
    <d v="2024-09-17T00:00:00"/>
    <s v="Bradley Brown"/>
    <x v="3"/>
    <s v="Lagos"/>
    <s v="Consumer"/>
    <s v="Office Supplies"/>
    <s v="Paper"/>
    <n v="9"/>
    <n v="1111.93"/>
    <n v="0.05"/>
    <n v="9507"/>
    <n v="7982.56"/>
    <n v="1524.44"/>
    <s v="Mobile Payment"/>
    <n v="3"/>
    <s v="September"/>
    <s v="Q3"/>
    <n v="2024"/>
    <m/>
  </r>
  <r>
    <s v="SAL-1682"/>
    <d v="2024-02-06T00:00:00"/>
    <s v="Mary Barber"/>
    <x v="0"/>
    <s v="Lagos"/>
    <s v="Consumer"/>
    <s v="Electronics"/>
    <s v="Laptop"/>
    <n v="12"/>
    <n v="762.84"/>
    <n v="0.05"/>
    <n v="8696.3799999999992"/>
    <n v="6753.92"/>
    <n v="1942.46"/>
    <s v="Mobile Payment"/>
    <n v="2"/>
    <s v="February"/>
    <s v="Q1"/>
    <n v="2024"/>
    <m/>
  </r>
  <r>
    <s v="SAL-1683"/>
    <d v="2024-11-22T00:00:00"/>
    <s v="Jeremy Floyd"/>
    <x v="3"/>
    <s v="Lagos"/>
    <s v="Consumer"/>
    <s v="Clothing"/>
    <s v="Sneakers"/>
    <n v="7"/>
    <n v="295.14"/>
    <n v="0.1"/>
    <n v="1859.38"/>
    <n v="956.2"/>
    <n v="903.18"/>
    <s v="Card"/>
    <n v="2"/>
    <s v="November"/>
    <s v="Q4"/>
    <n v="2024"/>
    <m/>
  </r>
  <r>
    <s v="SAL-1684"/>
    <d v="2024-09-07T00:00:00"/>
    <s v="Erin Myers"/>
    <x v="4"/>
    <s v="Abuja"/>
    <s v="Corporate"/>
    <s v="Furniture"/>
    <s v="Cabinet"/>
    <n v="8"/>
    <n v="400.29"/>
    <n v="0"/>
    <n v="3202.32"/>
    <n v="1654.76"/>
    <n v="1547.56"/>
    <s v="Transfer"/>
    <n v="3"/>
    <s v="September"/>
    <s v="Q3"/>
    <n v="2024"/>
    <m/>
  </r>
  <r>
    <s v="SAL-1685"/>
    <d v="2024-10-29T00:00:00"/>
    <s v="Ashley Edwards"/>
    <x v="3"/>
    <s v="Lagos"/>
    <s v="Consumer"/>
    <s v="Clothing"/>
    <s v="Jacket"/>
    <n v="7"/>
    <n v="409.34"/>
    <n v="0.15"/>
    <n v="2435.5700000000002"/>
    <n v="1541.92"/>
    <n v="893.65"/>
    <s v="Cash"/>
    <n v="2"/>
    <s v="October"/>
    <s v="Q4"/>
    <n v="2024"/>
    <m/>
  </r>
  <r>
    <s v="SAL-1686"/>
    <d v="2024-11-28T00:00:00"/>
    <s v="Debra Clark"/>
    <x v="1"/>
    <s v="Port Harcourt"/>
    <s v="Corporate"/>
    <s v="Electronics"/>
    <s v="Laptop"/>
    <n v="8"/>
    <n v="760.38"/>
    <n v="0"/>
    <n v="6083.04"/>
    <n v="3918.58"/>
    <n v="2164.46"/>
    <s v="Cash"/>
    <n v="2"/>
    <s v="November"/>
    <s v="Q4"/>
    <n v="2024"/>
    <m/>
  </r>
  <r>
    <s v="SAL-1687"/>
    <d v="2024-02-15T00:00:00"/>
    <s v="Evelyn Adams"/>
    <x v="3"/>
    <s v="Kano"/>
    <s v="Home Office"/>
    <s v="Clothing"/>
    <s v="Sneakers"/>
    <n v="11"/>
    <n v="868.25"/>
    <n v="0.1"/>
    <n v="8595.68"/>
    <n v="4513.8999999999996"/>
    <n v="4081.78"/>
    <s v="Cash"/>
    <n v="2"/>
    <s v="February"/>
    <s v="Q1"/>
    <n v="2024"/>
    <m/>
  </r>
  <r>
    <s v="SAL-1688"/>
    <d v="2024-12-15T00:00:00"/>
    <s v="Bobby Perez"/>
    <x v="0"/>
    <s v="Port Harcourt"/>
    <s v="Corporate"/>
    <s v="Electronics"/>
    <s v="Printer"/>
    <n v="9"/>
    <n v="473.84"/>
    <n v="0"/>
    <n v="4264.5600000000004"/>
    <n v="2402.14"/>
    <n v="1862.42"/>
    <s v="Mobile Payment"/>
    <n v="5"/>
    <s v="December"/>
    <s v="Q4"/>
    <n v="2024"/>
    <m/>
  </r>
  <r>
    <s v="SAL-1689"/>
    <d v="2024-07-13T00:00:00"/>
    <s v="Stephanie Madden"/>
    <x v="2"/>
    <s v="Kano"/>
    <s v="Consumer"/>
    <s v="Office Supplies"/>
    <s v="Notebook"/>
    <n v="12"/>
    <n v="583.94000000000005"/>
    <n v="0.1"/>
    <n v="6306.55"/>
    <n v="4053.26"/>
    <n v="2253.29"/>
    <s v="Transfer"/>
    <n v="5"/>
    <s v="July"/>
    <s v="Q3"/>
    <n v="2024"/>
    <m/>
  </r>
  <r>
    <s v="SAL-1690"/>
    <d v="2024-11-27T00:00:00"/>
    <s v="Emily Miller"/>
    <x v="2"/>
    <s v="Kano"/>
    <s v="Consumer"/>
    <s v="Furniture"/>
    <s v="Cabinet"/>
    <n v="2"/>
    <n v="354.86"/>
    <n v="0"/>
    <n v="709.72"/>
    <n v="572.72"/>
    <n v="137"/>
    <s v="Mobile Payment"/>
    <n v="3"/>
    <s v="November"/>
    <s v="Q4"/>
    <n v="2024"/>
    <m/>
  </r>
  <r>
    <s v="SAL-1691"/>
    <d v="2024-11-14T00:00:00"/>
    <s v="Mrs. Monica Wilson MD"/>
    <x v="1"/>
    <s v="Kano"/>
    <s v="Home Office"/>
    <s v="Electronics"/>
    <s v="Printer"/>
    <n v="5"/>
    <n v="460.11"/>
    <n v="0.15"/>
    <n v="1955.47"/>
    <n v="1440.3"/>
    <n v="515.16999999999996"/>
    <s v="Card"/>
    <n v="5"/>
    <s v="November"/>
    <s v="Q4"/>
    <n v="2024"/>
    <m/>
  </r>
  <r>
    <s v="SAL-1692"/>
    <d v="2024-09-14T00:00:00"/>
    <s v="Mr. Ryan Jimenez"/>
    <x v="1"/>
    <s v="Kano"/>
    <s v="Consumer"/>
    <s v="Electronics"/>
    <s v="Printer"/>
    <n v="8"/>
    <n v="1184.1600000000001"/>
    <n v="0.05"/>
    <n v="8999.6200000000008"/>
    <n v="5924.18"/>
    <n v="3075.44"/>
    <s v="Cash"/>
    <n v="2"/>
    <s v="September"/>
    <s v="Q3"/>
    <n v="2024"/>
    <m/>
  </r>
  <r>
    <s v="SAL-1693"/>
    <d v="2024-10-07T00:00:00"/>
    <s v="Robert Hawkins"/>
    <x v="0"/>
    <s v="Kano"/>
    <s v="Consumer"/>
    <s v="Clothing"/>
    <s v="Sneakers"/>
    <n v="12"/>
    <n v="64.069999999999993"/>
    <n v="0.15"/>
    <n v="653.51"/>
    <n v="541.84"/>
    <n v="111.67"/>
    <s v="Cash"/>
    <n v="5"/>
    <s v="October"/>
    <s v="Q4"/>
    <n v="2024"/>
    <m/>
  </r>
  <r>
    <s v="SAL-1694"/>
    <d v="2024-01-04T00:00:00"/>
    <s v="Natalie Wyatt"/>
    <x v="2"/>
    <s v="Kano"/>
    <s v="Corporate"/>
    <s v="Electronics"/>
    <s v="Tablet"/>
    <n v="7"/>
    <n v="107.62"/>
    <n v="0.15"/>
    <n v="640.34"/>
    <n v="447.75"/>
    <n v="192.59"/>
    <s v="Transfer"/>
    <n v="5"/>
    <s v="January"/>
    <s v="Q1"/>
    <n v="2024"/>
    <m/>
  </r>
  <r>
    <s v="SAL-1695"/>
    <d v="2024-08-17T00:00:00"/>
    <s v="Alex Fletcher"/>
    <x v="4"/>
    <s v="Abuja"/>
    <s v="Corporate"/>
    <s v="Electronics"/>
    <s v="Laptop"/>
    <n v="3"/>
    <n v="924.29"/>
    <n v="0.15"/>
    <n v="2356.94"/>
    <n v="1483.88"/>
    <n v="873.06"/>
    <s v="Transfer"/>
    <n v="2"/>
    <s v="August"/>
    <s v="Q3"/>
    <n v="2024"/>
    <m/>
  </r>
  <r>
    <s v="SAL-1696"/>
    <d v="2024-03-03T00:00:00"/>
    <s v="Katie Yang"/>
    <x v="0"/>
    <s v="Ibadan"/>
    <s v="Home Office"/>
    <s v="Office Supplies"/>
    <s v="Paper"/>
    <n v="2"/>
    <n v="489.93"/>
    <n v="0.15"/>
    <n v="832.88"/>
    <n v="651.71"/>
    <n v="181.17"/>
    <s v="Cash"/>
    <n v="3"/>
    <s v="March"/>
    <s v="Q1"/>
    <n v="2024"/>
    <m/>
  </r>
  <r>
    <s v="SAL-1697"/>
    <d v="2024-11-05T00:00:00"/>
    <s v="Terry Love"/>
    <x v="3"/>
    <s v="Port Harcourt"/>
    <s v="Corporate"/>
    <s v="Office Supplies"/>
    <s v="Notebook"/>
    <n v="12"/>
    <n v="300.08"/>
    <n v="0.1"/>
    <n v="3240.86"/>
    <n v="2052.0300000000002"/>
    <n v="1188.83"/>
    <s v="Card"/>
    <n v="5"/>
    <s v="November"/>
    <s v="Q4"/>
    <n v="2024"/>
    <m/>
  </r>
  <r>
    <s v="SAL-1698"/>
    <d v="2024-08-12T00:00:00"/>
    <s v="Henry Thomas"/>
    <x v="4"/>
    <s v="Lagos"/>
    <s v="Home Office"/>
    <s v="Office Supplies"/>
    <s v="Pen"/>
    <n v="7"/>
    <n v="609.42999999999995"/>
    <n v="0.15"/>
    <n v="3626.11"/>
    <n v="2407.9699999999998"/>
    <n v="1218.1400000000001"/>
    <s v="Card"/>
    <n v="2"/>
    <s v="August"/>
    <s v="Q3"/>
    <n v="2024"/>
    <m/>
  </r>
  <r>
    <s v="SAL-1699"/>
    <d v="2024-11-19T00:00:00"/>
    <s v="Julie Collins"/>
    <x v="0"/>
    <s v="Lagos"/>
    <s v="Home Office"/>
    <s v="Electronics"/>
    <s v="Tablet"/>
    <n v="4"/>
    <n v="210.68"/>
    <n v="0"/>
    <n v="842.72"/>
    <n v="690.39"/>
    <n v="152.33000000000001"/>
    <s v="Cash"/>
    <n v="2"/>
    <s v="November"/>
    <s v="Q4"/>
    <n v="2024"/>
    <m/>
  </r>
  <r>
    <s v="SAL-1700"/>
    <d v="2024-09-22T00:00:00"/>
    <s v="Catherine Williams"/>
    <x v="1"/>
    <s v="Port Harcourt"/>
    <s v="Corporate"/>
    <s v="Electronics"/>
    <s v="Tablet"/>
    <n v="8"/>
    <n v="731.21"/>
    <n v="0.15"/>
    <n v="4972.2299999999996"/>
    <n v="2564.16"/>
    <n v="2408.0700000000002"/>
    <s v="Cash"/>
    <n v="2"/>
    <s v="September"/>
    <s v="Q3"/>
    <n v="2024"/>
    <m/>
  </r>
  <r>
    <s v="SAL-1701"/>
    <d v="2024-04-16T00:00:00"/>
    <s v="Ryan Duffy"/>
    <x v="0"/>
    <s v="Ibadan"/>
    <s v="Consumer"/>
    <s v="Office Supplies"/>
    <s v="Notebook"/>
    <n v="3"/>
    <n v="13.74"/>
    <n v="0"/>
    <n v="41.22"/>
    <n v="26.73"/>
    <n v="14.49"/>
    <s v="Cash"/>
    <n v="2"/>
    <s v="April"/>
    <s v="Q2"/>
    <n v="2024"/>
    <m/>
  </r>
  <r>
    <s v="SAL-1702"/>
    <d v="2024-10-19T00:00:00"/>
    <s v="Kelly Washington"/>
    <x v="1"/>
    <s v="Port Harcourt"/>
    <s v="Consumer"/>
    <s v="Office Supplies"/>
    <s v="Paper"/>
    <n v="8"/>
    <n v="217.67"/>
    <n v="0.15"/>
    <n v="1480.16"/>
    <n v="964.12"/>
    <n v="516.04"/>
    <s v="Mobile Payment"/>
    <n v="3"/>
    <s v="October"/>
    <s v="Q4"/>
    <n v="2024"/>
    <m/>
  </r>
  <r>
    <s v="SAL-1703"/>
    <d v="2024-08-18T00:00:00"/>
    <s v="Penny Vance"/>
    <x v="4"/>
    <s v="Ibadan"/>
    <s v="Corporate"/>
    <s v="Clothing"/>
    <s v="Jacket"/>
    <n v="1"/>
    <n v="709.37"/>
    <n v="0.1"/>
    <n v="638.42999999999995"/>
    <n v="336.97"/>
    <n v="301.45999999999998"/>
    <s v="Card"/>
    <n v="5"/>
    <s v="August"/>
    <s v="Q3"/>
    <n v="2024"/>
    <m/>
  </r>
  <r>
    <s v="SAL-1704"/>
    <d v="2024-09-01T00:00:00"/>
    <s v="Susan Wright"/>
    <x v="2"/>
    <s v="Lagos"/>
    <s v="Home Office"/>
    <s v="Clothing"/>
    <s v="Jacket"/>
    <n v="11"/>
    <n v="332.76"/>
    <n v="0.15"/>
    <n v="3111.31"/>
    <n v="2114"/>
    <n v="997.31"/>
    <s v="Cash"/>
    <n v="2"/>
    <s v="September"/>
    <s v="Q3"/>
    <n v="2024"/>
    <m/>
  </r>
  <r>
    <s v="SAL-1705"/>
    <d v="2024-12-12T00:00:00"/>
    <s v="Jacqueline Cannon"/>
    <x v="3"/>
    <s v="Port Harcourt"/>
    <s v="Corporate"/>
    <s v="Clothing"/>
    <s v="T-Shirt"/>
    <n v="3"/>
    <n v="720.78"/>
    <n v="0"/>
    <n v="2162.34"/>
    <n v="1616.88"/>
    <n v="545.46"/>
    <s v="Transfer"/>
    <n v="5"/>
    <s v="December"/>
    <s v="Q4"/>
    <n v="2024"/>
    <m/>
  </r>
  <r>
    <s v="SAL-1706"/>
    <d v="2024-12-24T00:00:00"/>
    <s v="Ashley Welch"/>
    <x v="3"/>
    <s v="Lagos"/>
    <s v="Consumer"/>
    <s v="Electronics"/>
    <s v="Laptop"/>
    <n v="12"/>
    <n v="381.62"/>
    <n v="0"/>
    <n v="4579.4399999999996"/>
    <n v="3843.49"/>
    <n v="735.95"/>
    <s v="Transfer"/>
    <n v="2"/>
    <s v="December"/>
    <s v="Q4"/>
    <n v="2024"/>
    <m/>
  </r>
  <r>
    <s v="SAL-1707"/>
    <d v="2024-02-20T00:00:00"/>
    <s v="April Martin"/>
    <x v="1"/>
    <s v="Port Harcourt"/>
    <s v="Home Office"/>
    <s v="Clothing"/>
    <s v="Jacket"/>
    <n v="2"/>
    <n v="453"/>
    <n v="0.15"/>
    <n v="770.1"/>
    <n v="591.1"/>
    <n v="179"/>
    <s v="Mobile Payment"/>
    <n v="1"/>
    <s v="February"/>
    <s v="Q1"/>
    <n v="2024"/>
    <m/>
  </r>
  <r>
    <s v="SAL-1708"/>
    <d v="2024-06-30T00:00:00"/>
    <s v="Amy Brown"/>
    <x v="3"/>
    <s v="Port Harcourt"/>
    <s v="Corporate"/>
    <s v="Office Supplies"/>
    <s v="Notebook"/>
    <n v="3"/>
    <n v="683.01"/>
    <n v="0.05"/>
    <n v="1946.58"/>
    <n v="1184.54"/>
    <n v="762.04"/>
    <s v="Cash"/>
    <n v="3"/>
    <s v="June"/>
    <s v="Q2"/>
    <n v="2024"/>
    <m/>
  </r>
  <r>
    <s v="SAL-1709"/>
    <d v="2024-06-27T00:00:00"/>
    <s v="Sean Nguyen"/>
    <x v="0"/>
    <s v="Kano"/>
    <s v="Consumer"/>
    <s v="Electronics"/>
    <s v="Printer"/>
    <n v="10"/>
    <n v="638.55999999999995"/>
    <n v="0.1"/>
    <n v="5747.04"/>
    <n v="3949.94"/>
    <n v="1797.1"/>
    <s v="Transfer"/>
    <n v="4"/>
    <s v="June"/>
    <s v="Q2"/>
    <n v="2024"/>
    <m/>
  </r>
  <r>
    <s v="SAL-1710"/>
    <d v="2024-08-04T00:00:00"/>
    <s v="John Miller"/>
    <x v="1"/>
    <s v="Port Harcourt"/>
    <s v="Home Office"/>
    <s v="Furniture"/>
    <s v="Chair"/>
    <n v="7"/>
    <n v="517.97"/>
    <n v="0"/>
    <n v="3625.79"/>
    <n v="1921.8"/>
    <n v="1703.99"/>
    <s v="Mobile Payment"/>
    <n v="3"/>
    <s v="August"/>
    <s v="Q3"/>
    <n v="2024"/>
    <m/>
  </r>
  <r>
    <s v="SAL-1711"/>
    <d v="2024-08-09T00:00:00"/>
    <s v="Misty Lewis"/>
    <x v="0"/>
    <s v="Ibadan"/>
    <s v="Consumer"/>
    <s v="Furniture"/>
    <s v="Chair"/>
    <n v="8"/>
    <n v="472.21"/>
    <n v="0"/>
    <n v="3777.68"/>
    <n v="2327.9699999999998"/>
    <n v="1449.71"/>
    <s v="Cash"/>
    <n v="1"/>
    <s v="August"/>
    <s v="Q3"/>
    <n v="2024"/>
    <m/>
  </r>
  <r>
    <s v="SAL-1712"/>
    <d v="2024-08-17T00:00:00"/>
    <s v="Brandi Evans"/>
    <x v="3"/>
    <s v="Kano"/>
    <s v="Consumer"/>
    <s v="Electronics"/>
    <s v="Tablet"/>
    <n v="8"/>
    <n v="177.37"/>
    <n v="0"/>
    <n v="1418.96"/>
    <n v="849.61"/>
    <n v="569.35"/>
    <s v="Transfer"/>
    <n v="5"/>
    <s v="August"/>
    <s v="Q3"/>
    <n v="2024"/>
    <m/>
  </r>
  <r>
    <s v="SAL-1713"/>
    <d v="2024-11-19T00:00:00"/>
    <s v="Joseph Garcia"/>
    <x v="0"/>
    <s v="Abuja"/>
    <s v="Home Office"/>
    <s v="Electronics"/>
    <s v="Laptop"/>
    <n v="9"/>
    <n v="1182.57"/>
    <n v="0"/>
    <n v="10643.13"/>
    <n v="7804.48"/>
    <n v="2838.65"/>
    <s v="Mobile Payment"/>
    <n v="3"/>
    <s v="November"/>
    <s v="Q4"/>
    <n v="2024"/>
    <m/>
  </r>
  <r>
    <s v="SAL-1714"/>
    <d v="2024-12-08T00:00:00"/>
    <s v="Christopher Mitchell"/>
    <x v="3"/>
    <s v="Kano"/>
    <s v="Home Office"/>
    <s v="Office Supplies"/>
    <s v="Paper"/>
    <n v="3"/>
    <n v="465.12"/>
    <n v="0"/>
    <n v="1395.36"/>
    <n v="850.55"/>
    <n v="544.80999999999995"/>
    <s v="Transfer"/>
    <n v="3"/>
    <s v="December"/>
    <s v="Q4"/>
    <n v="2024"/>
    <m/>
  </r>
  <r>
    <s v="SAL-1715"/>
    <d v="2024-09-05T00:00:00"/>
    <s v="Anita Jennings"/>
    <x v="3"/>
    <s v="Lagos"/>
    <s v="Consumer"/>
    <s v="Office Supplies"/>
    <s v="Pen"/>
    <n v="8"/>
    <n v="181.93"/>
    <n v="0.15"/>
    <n v="1237.1199999999999"/>
    <n v="755.35"/>
    <n v="481.77"/>
    <s v="Card"/>
    <n v="1"/>
    <s v="September"/>
    <s v="Q3"/>
    <n v="2024"/>
    <m/>
  </r>
  <r>
    <s v="SAL-1716"/>
    <d v="2024-12-14T00:00:00"/>
    <s v="Michael Hardy"/>
    <x v="0"/>
    <s v="Abuja"/>
    <s v="Home Office"/>
    <s v="Clothing"/>
    <s v="Sneakers"/>
    <n v="12"/>
    <n v="157.24"/>
    <n v="0.1"/>
    <n v="1698.19"/>
    <n v="1272.05"/>
    <n v="426.14"/>
    <s v="Mobile Payment"/>
    <n v="1"/>
    <s v="December"/>
    <s v="Q4"/>
    <n v="2024"/>
    <m/>
  </r>
  <r>
    <s v="SAL-1717"/>
    <d v="2024-05-16T00:00:00"/>
    <s v="Darren Brown"/>
    <x v="3"/>
    <s v="Ibadan"/>
    <s v="Home Office"/>
    <s v="Electronics"/>
    <s v="Tablet"/>
    <n v="2"/>
    <n v="1030.1099999999999"/>
    <n v="0.1"/>
    <n v="1854.2"/>
    <n v="1206.19"/>
    <n v="648.01"/>
    <s v="Card"/>
    <n v="2"/>
    <s v="May"/>
    <s v="Q2"/>
    <n v="2024"/>
    <m/>
  </r>
  <r>
    <s v="SAL-1718"/>
    <d v="2024-11-11T00:00:00"/>
    <s v="Kevin Ramirez"/>
    <x v="4"/>
    <s v="Kano"/>
    <s v="Home Office"/>
    <s v="Electronics"/>
    <s v="Tablet"/>
    <n v="5"/>
    <n v="142.16"/>
    <n v="0.15"/>
    <n v="604.17999999999995"/>
    <n v="475.5"/>
    <n v="128.68"/>
    <s v="Card"/>
    <n v="5"/>
    <s v="November"/>
    <s v="Q4"/>
    <n v="2024"/>
    <m/>
  </r>
  <r>
    <s v="SAL-1719"/>
    <d v="2024-01-24T00:00:00"/>
    <s v="Jennifer Copeland"/>
    <x v="4"/>
    <s v="Abuja"/>
    <s v="Home Office"/>
    <s v="Electronics"/>
    <s v="Laptop"/>
    <n v="11"/>
    <n v="277.05"/>
    <n v="0.1"/>
    <n v="2742.8"/>
    <n v="2175.16"/>
    <n v="567.64"/>
    <s v="Cash"/>
    <n v="3"/>
    <s v="January"/>
    <s v="Q1"/>
    <n v="2024"/>
    <m/>
  </r>
  <r>
    <s v="SAL-1720"/>
    <d v="2024-09-28T00:00:00"/>
    <s v="Robin Aguilar"/>
    <x v="4"/>
    <s v="Kano"/>
    <s v="Consumer"/>
    <s v="Furniture"/>
    <s v="Chair"/>
    <n v="7"/>
    <n v="638.08000000000004"/>
    <n v="0.05"/>
    <n v="4243.2299999999996"/>
    <n v="2685.72"/>
    <n v="1557.51"/>
    <s v="Mobile Payment"/>
    <n v="2"/>
    <s v="September"/>
    <s v="Q3"/>
    <n v="2024"/>
    <m/>
  </r>
  <r>
    <s v="SAL-1721"/>
    <d v="2024-03-09T00:00:00"/>
    <s v="Melanie Frey"/>
    <x v="0"/>
    <s v="Abuja"/>
    <s v="Consumer"/>
    <s v="Electronics"/>
    <s v="Printer"/>
    <n v="8"/>
    <n v="67.28"/>
    <n v="0.05"/>
    <n v="511.33"/>
    <n v="301.14999999999998"/>
    <n v="210.18"/>
    <s v="Mobile Payment"/>
    <n v="2"/>
    <s v="March"/>
    <s v="Q1"/>
    <n v="2024"/>
    <m/>
  </r>
  <r>
    <s v="SAL-1722"/>
    <d v="2024-12-10T00:00:00"/>
    <s v="Mary Jensen DVM"/>
    <x v="4"/>
    <s v="Ibadan"/>
    <s v="Home Office"/>
    <s v="Electronics"/>
    <s v="Printer"/>
    <n v="4"/>
    <n v="676"/>
    <n v="0.15"/>
    <n v="2298.4"/>
    <n v="1754.33"/>
    <n v="544.07000000000005"/>
    <s v="Mobile Payment"/>
    <n v="5"/>
    <s v="December"/>
    <s v="Q4"/>
    <n v="2024"/>
    <m/>
  </r>
  <r>
    <s v="SAL-1723"/>
    <d v="2024-08-05T00:00:00"/>
    <s v="Marcus Valencia MD"/>
    <x v="2"/>
    <s v="Port Harcourt"/>
    <s v="Home Office"/>
    <s v="Furniture"/>
    <s v="Cabinet"/>
    <n v="5"/>
    <n v="194.45"/>
    <n v="0.15"/>
    <n v="826.41"/>
    <n v="508.76"/>
    <n v="317.64999999999998"/>
    <s v="Transfer"/>
    <n v="2"/>
    <s v="August"/>
    <s v="Q3"/>
    <n v="2024"/>
    <m/>
  </r>
  <r>
    <s v="SAL-1724"/>
    <d v="2024-07-03T00:00:00"/>
    <s v="Wanda White"/>
    <x v="2"/>
    <s v="Lagos"/>
    <s v="Corporate"/>
    <s v="Furniture"/>
    <s v="Desk"/>
    <n v="3"/>
    <n v="216.6"/>
    <n v="0"/>
    <n v="649.79999999999995"/>
    <n v="411.09"/>
    <n v="238.71"/>
    <s v="Transfer"/>
    <n v="4"/>
    <s v="July"/>
    <s v="Q3"/>
    <n v="2024"/>
    <m/>
  </r>
  <r>
    <s v="SAL-1725"/>
    <d v="2024-03-19T00:00:00"/>
    <s v="Fernando Rollins"/>
    <x v="0"/>
    <s v="Ibadan"/>
    <s v="Home Office"/>
    <s v="Office Supplies"/>
    <s v="Notebook"/>
    <n v="11"/>
    <n v="782.86"/>
    <n v="0.15"/>
    <n v="7319.74"/>
    <n v="4844.8"/>
    <n v="2474.94"/>
    <s v="Card"/>
    <n v="1"/>
    <s v="March"/>
    <s v="Q1"/>
    <n v="2024"/>
    <m/>
  </r>
  <r>
    <s v="SAL-1726"/>
    <d v="2024-11-23T00:00:00"/>
    <s v="Catherine Chapman"/>
    <x v="3"/>
    <s v="Ibadan"/>
    <s v="Home Office"/>
    <s v="Clothing"/>
    <s v="Jacket"/>
    <n v="12"/>
    <n v="42.01"/>
    <n v="0.15"/>
    <n v="428.5"/>
    <n v="336.73"/>
    <n v="91.77"/>
    <s v="Mobile Payment"/>
    <n v="4"/>
    <s v="November"/>
    <s v="Q4"/>
    <n v="2024"/>
    <m/>
  </r>
  <r>
    <s v="SAL-1727"/>
    <d v="2024-06-03T00:00:00"/>
    <s v="Nicole Weaver"/>
    <x v="2"/>
    <s v="Lagos"/>
    <s v="Consumer"/>
    <s v="Electronics"/>
    <s v="Phone"/>
    <n v="4"/>
    <n v="860.91"/>
    <n v="0"/>
    <n v="3443.64"/>
    <n v="1872.44"/>
    <n v="1571.2"/>
    <s v="Transfer"/>
    <n v="1"/>
    <s v="June"/>
    <s v="Q2"/>
    <n v="2024"/>
    <m/>
  </r>
  <r>
    <s v="SAL-1728"/>
    <d v="2024-11-27T00:00:00"/>
    <s v="Sandra Jensen"/>
    <x v="1"/>
    <s v="Kano"/>
    <s v="Consumer"/>
    <s v="Office Supplies"/>
    <s v="Notebook"/>
    <n v="10"/>
    <n v="312.68"/>
    <n v="0.15"/>
    <n v="2657.78"/>
    <n v="1377.02"/>
    <n v="1280.76"/>
    <s v="Card"/>
    <n v="4"/>
    <s v="November"/>
    <s v="Q4"/>
    <n v="2024"/>
    <m/>
  </r>
  <r>
    <s v="SAL-1729"/>
    <d v="2024-11-04T00:00:00"/>
    <s v="Julie Allen"/>
    <x v="0"/>
    <s v="Lagos"/>
    <s v="Consumer"/>
    <s v="Office Supplies"/>
    <s v="Notebook"/>
    <n v="12"/>
    <n v="949.12"/>
    <n v="0.15"/>
    <n v="9681.02"/>
    <n v="7880.11"/>
    <n v="1800.91"/>
    <s v="Cash"/>
    <n v="3"/>
    <s v="November"/>
    <s v="Q4"/>
    <n v="2024"/>
    <m/>
  </r>
  <r>
    <s v="SAL-1730"/>
    <d v="2024-02-14T00:00:00"/>
    <s v="Marcia Torres"/>
    <x v="2"/>
    <s v="Ibadan"/>
    <s v="Home Office"/>
    <s v="Office Supplies"/>
    <s v="Notebook"/>
    <n v="3"/>
    <n v="1136.45"/>
    <n v="0.1"/>
    <n v="3068.42"/>
    <n v="1839.39"/>
    <n v="1229.03"/>
    <s v="Cash"/>
    <n v="3"/>
    <s v="February"/>
    <s v="Q1"/>
    <n v="2024"/>
    <m/>
  </r>
  <r>
    <s v="SAL-1731"/>
    <d v="2024-03-11T00:00:00"/>
    <s v="Frederick Johnson"/>
    <x v="2"/>
    <s v="Port Harcourt"/>
    <s v="Corporate"/>
    <s v="Electronics"/>
    <s v="Printer"/>
    <n v="10"/>
    <n v="409.14"/>
    <n v="0.1"/>
    <n v="3682.26"/>
    <n v="2142.84"/>
    <n v="1539.42"/>
    <s v="Transfer"/>
    <n v="2"/>
    <s v="March"/>
    <s v="Q1"/>
    <n v="2024"/>
    <m/>
  </r>
  <r>
    <s v="SAL-1732"/>
    <d v="2024-08-12T00:00:00"/>
    <s v="John Robles"/>
    <x v="1"/>
    <s v="Ibadan"/>
    <s v="Home Office"/>
    <s v="Electronics"/>
    <s v="Phone"/>
    <n v="9"/>
    <n v="274.08999999999997"/>
    <n v="0"/>
    <n v="2466.81"/>
    <n v="1979.4"/>
    <n v="487.41"/>
    <s v="Transfer"/>
    <n v="1"/>
    <s v="August"/>
    <s v="Q3"/>
    <n v="2024"/>
    <m/>
  </r>
  <r>
    <s v="SAL-1733"/>
    <d v="2024-09-21T00:00:00"/>
    <s v="Barbara Parrish"/>
    <x v="0"/>
    <s v="Kano"/>
    <s v="Home Office"/>
    <s v="Electronics"/>
    <s v="Tablet"/>
    <n v="12"/>
    <n v="891.68"/>
    <n v="0.05"/>
    <n v="10165.15"/>
    <n v="7657.37"/>
    <n v="2507.7800000000002"/>
    <s v="Transfer"/>
    <n v="2"/>
    <s v="September"/>
    <s v="Q3"/>
    <n v="2024"/>
    <m/>
  </r>
  <r>
    <s v="SAL-1734"/>
    <d v="2024-05-26T00:00:00"/>
    <s v="Jimmy Morrison"/>
    <x v="1"/>
    <s v="Lagos"/>
    <s v="Corporate"/>
    <s v="Office Supplies"/>
    <s v="Pen"/>
    <n v="5"/>
    <n v="456.61"/>
    <n v="0.05"/>
    <n v="2168.9"/>
    <n v="1347.45"/>
    <n v="821.45"/>
    <s v="Card"/>
    <n v="1"/>
    <s v="May"/>
    <s v="Q2"/>
    <n v="2024"/>
    <m/>
  </r>
  <r>
    <s v="SAL-1735"/>
    <d v="2024-10-26T00:00:00"/>
    <s v="Stephanie Mitchell"/>
    <x v="0"/>
    <s v="Abuja"/>
    <s v="Consumer"/>
    <s v="Office Supplies"/>
    <s v="Notebook"/>
    <n v="8"/>
    <n v="395.25"/>
    <n v="0.15"/>
    <n v="2687.7"/>
    <n v="1759.57"/>
    <n v="928.13"/>
    <s v="Mobile Payment"/>
    <n v="2"/>
    <s v="October"/>
    <s v="Q4"/>
    <n v="2024"/>
    <m/>
  </r>
  <r>
    <s v="SAL-1736"/>
    <d v="2024-09-21T00:00:00"/>
    <s v="Thomas Barnett"/>
    <x v="4"/>
    <s v="Lagos"/>
    <s v="Home Office"/>
    <s v="Clothing"/>
    <s v="Sneakers"/>
    <n v="1"/>
    <n v="379.68"/>
    <n v="0.1"/>
    <n v="341.71"/>
    <n v="287.41000000000003"/>
    <n v="54.3"/>
    <s v="Transfer"/>
    <n v="5"/>
    <s v="September"/>
    <s v="Q3"/>
    <n v="2024"/>
    <m/>
  </r>
  <r>
    <s v="SAL-1737"/>
    <d v="2024-08-07T00:00:00"/>
    <s v="Tamara Watson"/>
    <x v="0"/>
    <s v="Abuja"/>
    <s v="Consumer"/>
    <s v="Office Supplies"/>
    <s v="Notebook"/>
    <n v="5"/>
    <n v="434.24"/>
    <n v="0.15"/>
    <n v="1845.52"/>
    <n v="1151.82"/>
    <n v="693.7"/>
    <s v="Card"/>
    <n v="5"/>
    <s v="August"/>
    <s v="Q3"/>
    <n v="2024"/>
    <m/>
  </r>
  <r>
    <s v="SAL-1738"/>
    <d v="2024-06-22T00:00:00"/>
    <s v="Amanda Mays"/>
    <x v="4"/>
    <s v="Ibadan"/>
    <s v="Consumer"/>
    <s v="Electronics"/>
    <s v="Phone"/>
    <n v="1"/>
    <n v="950.82"/>
    <n v="0.15"/>
    <n v="808.2"/>
    <n v="481.52"/>
    <n v="326.68"/>
    <s v="Mobile Payment"/>
    <n v="1"/>
    <s v="June"/>
    <s v="Q2"/>
    <n v="2024"/>
    <m/>
  </r>
  <r>
    <s v="SAL-1739"/>
    <d v="2024-12-13T00:00:00"/>
    <s v="Kimberly Wall"/>
    <x v="2"/>
    <s v="Abuja"/>
    <s v="Home Office"/>
    <s v="Clothing"/>
    <s v="T-Shirt"/>
    <n v="9"/>
    <n v="1149.55"/>
    <n v="0.05"/>
    <n v="9828.65"/>
    <n v="6604.44"/>
    <n v="3224.21"/>
    <s v="Mobile Payment"/>
    <n v="1"/>
    <s v="December"/>
    <s v="Q4"/>
    <n v="2024"/>
    <m/>
  </r>
  <r>
    <s v="SAL-1740"/>
    <d v="2024-07-20T00:00:00"/>
    <s v="Zachary Hanna"/>
    <x v="1"/>
    <s v="Kano"/>
    <s v="Corporate"/>
    <s v="Office Supplies"/>
    <s v="Pen"/>
    <n v="2"/>
    <n v="138.16"/>
    <n v="0"/>
    <n v="276.32"/>
    <n v="176.69"/>
    <n v="99.63"/>
    <s v="Cash"/>
    <n v="1"/>
    <s v="July"/>
    <s v="Q3"/>
    <n v="2024"/>
    <m/>
  </r>
  <r>
    <s v="SAL-1741"/>
    <d v="2024-10-27T00:00:00"/>
    <s v="Nicholas Decker"/>
    <x v="4"/>
    <s v="Ibadan"/>
    <s v="Home Office"/>
    <s v="Clothing"/>
    <s v="Sneakers"/>
    <n v="2"/>
    <n v="290.14999999999998"/>
    <n v="0.05"/>
    <n v="551.28"/>
    <n v="291.94"/>
    <n v="259.33999999999997"/>
    <s v="Cash"/>
    <n v="5"/>
    <s v="October"/>
    <s v="Q4"/>
    <n v="2024"/>
    <m/>
  </r>
  <r>
    <s v="SAL-1742"/>
    <d v="2024-07-28T00:00:00"/>
    <s v="Timothy Lopez"/>
    <x v="2"/>
    <s v="Ibadan"/>
    <s v="Corporate"/>
    <s v="Office Supplies"/>
    <s v="Paper"/>
    <n v="3"/>
    <n v="323.02"/>
    <n v="0"/>
    <n v="969.06"/>
    <n v="504.06"/>
    <n v="465"/>
    <s v="Mobile Payment"/>
    <n v="1"/>
    <s v="July"/>
    <s v="Q3"/>
    <n v="2024"/>
    <m/>
  </r>
  <r>
    <s v="SAL-1743"/>
    <d v="2024-06-29T00:00:00"/>
    <s v="Catherine Chapman"/>
    <x v="2"/>
    <s v="Port Harcourt"/>
    <s v="Corporate"/>
    <s v="Electronics"/>
    <s v="Phone"/>
    <n v="11"/>
    <n v="228.49"/>
    <n v="0.1"/>
    <n v="2262.0500000000002"/>
    <n v="1189.9000000000001"/>
    <n v="1072.1500000000001"/>
    <s v="Card"/>
    <n v="1"/>
    <s v="June"/>
    <s v="Q2"/>
    <n v="2024"/>
    <m/>
  </r>
  <r>
    <s v="SAL-1744"/>
    <d v="2024-02-07T00:00:00"/>
    <s v="Lawrence Jefferson"/>
    <x v="0"/>
    <s v="Port Harcourt"/>
    <s v="Corporate"/>
    <s v="Electronics"/>
    <s v="Laptop"/>
    <n v="6"/>
    <n v="677"/>
    <n v="0.15"/>
    <n v="3452.7"/>
    <n v="2171.19"/>
    <n v="1281.51"/>
    <s v="Cash"/>
    <n v="4"/>
    <s v="February"/>
    <s v="Q1"/>
    <n v="2024"/>
    <m/>
  </r>
  <r>
    <s v="SAL-1745"/>
    <d v="2024-07-12T00:00:00"/>
    <s v="Laura Hatfield"/>
    <x v="1"/>
    <s v="Abuja"/>
    <s v="Corporate"/>
    <s v="Office Supplies"/>
    <s v="Paper"/>
    <n v="11"/>
    <n v="46.09"/>
    <n v="0"/>
    <n v="506.99"/>
    <n v="364.6"/>
    <n v="142.38999999999999"/>
    <s v="Transfer"/>
    <n v="4"/>
    <s v="July"/>
    <s v="Q3"/>
    <n v="2024"/>
    <m/>
  </r>
  <r>
    <s v="SAL-1746"/>
    <d v="2024-11-24T00:00:00"/>
    <s v="Sandra Clark"/>
    <x v="2"/>
    <s v="Port Harcourt"/>
    <s v="Consumer"/>
    <s v="Office Supplies"/>
    <s v="Pen"/>
    <n v="3"/>
    <n v="442.86"/>
    <n v="0.05"/>
    <n v="1262.1500000000001"/>
    <n v="944.1"/>
    <n v="318.05"/>
    <s v="Transfer"/>
    <n v="4"/>
    <s v="November"/>
    <s v="Q4"/>
    <n v="2024"/>
    <m/>
  </r>
  <r>
    <s v="SAL-1747"/>
    <d v="2024-09-05T00:00:00"/>
    <s v="Kelly Quinn"/>
    <x v="2"/>
    <s v="Abuja"/>
    <s v="Consumer"/>
    <s v="Clothing"/>
    <s v="Sneakers"/>
    <n v="4"/>
    <n v="542.49"/>
    <n v="0.15"/>
    <n v="1844.47"/>
    <n v="1055.6400000000001"/>
    <n v="788.83"/>
    <s v="Transfer"/>
    <n v="2"/>
    <s v="September"/>
    <s v="Q3"/>
    <n v="2024"/>
    <m/>
  </r>
  <r>
    <s v="SAL-1748"/>
    <d v="2024-09-18T00:00:00"/>
    <s v="Deanna Marshall"/>
    <x v="0"/>
    <s v="Ibadan"/>
    <s v="Corporate"/>
    <s v="Clothing"/>
    <s v="T-Shirt"/>
    <n v="1"/>
    <n v="920.84"/>
    <n v="0"/>
    <n v="920.84"/>
    <n v="705.1"/>
    <n v="215.74"/>
    <s v="Card"/>
    <n v="1"/>
    <s v="September"/>
    <s v="Q3"/>
    <n v="2024"/>
    <m/>
  </r>
  <r>
    <s v="SAL-1749"/>
    <d v="2024-02-26T00:00:00"/>
    <s v="Courtney Guerrero"/>
    <x v="0"/>
    <s v="Lagos"/>
    <s v="Corporate"/>
    <s v="Clothing"/>
    <s v="Sneakers"/>
    <n v="2"/>
    <n v="834.64"/>
    <n v="0"/>
    <n v="1669.28"/>
    <n v="1165.68"/>
    <n v="503.6"/>
    <s v="Mobile Payment"/>
    <n v="1"/>
    <s v="February"/>
    <s v="Q1"/>
    <n v="2024"/>
    <m/>
  </r>
  <r>
    <s v="SAL-1750"/>
    <d v="2024-06-25T00:00:00"/>
    <s v="Allen Meyer"/>
    <x v="1"/>
    <s v="Port Harcourt"/>
    <s v="Corporate"/>
    <s v="Furniture"/>
    <s v="Cabinet"/>
    <n v="9"/>
    <n v="164.1"/>
    <n v="0.15"/>
    <n v="1255.3599999999999"/>
    <n v="678.22"/>
    <n v="577.14"/>
    <s v="Transfer"/>
    <n v="4"/>
    <s v="June"/>
    <s v="Q2"/>
    <n v="2024"/>
    <m/>
  </r>
  <r>
    <s v="SAL-1751"/>
    <d v="2024-02-02T00:00:00"/>
    <s v="Mitchell Mcmillan"/>
    <x v="3"/>
    <s v="Abuja"/>
    <s v="Consumer"/>
    <s v="Furniture"/>
    <s v="Desk"/>
    <n v="1"/>
    <n v="29.87"/>
    <n v="0"/>
    <n v="29.87"/>
    <n v="21.1"/>
    <n v="8.77"/>
    <s v="Cash"/>
    <n v="4"/>
    <s v="February"/>
    <s v="Q1"/>
    <n v="2024"/>
    <m/>
  </r>
  <r>
    <s v="SAL-1752"/>
    <d v="2024-08-31T00:00:00"/>
    <s v="Kyle Crosby"/>
    <x v="2"/>
    <s v="Kano"/>
    <s v="Consumer"/>
    <s v="Clothing"/>
    <s v="Sneakers"/>
    <n v="4"/>
    <n v="746.83"/>
    <n v="0.1"/>
    <n v="2688.59"/>
    <n v="1646.18"/>
    <n v="1042.4100000000001"/>
    <s v="Card"/>
    <n v="3"/>
    <s v="August"/>
    <s v="Q3"/>
    <n v="2024"/>
    <m/>
  </r>
  <r>
    <s v="SAL-1753"/>
    <d v="2024-10-04T00:00:00"/>
    <s v="Christina Brown"/>
    <x v="4"/>
    <s v="Ibadan"/>
    <s v="Corporate"/>
    <s v="Office Supplies"/>
    <s v="Notebook"/>
    <n v="7"/>
    <n v="893.46"/>
    <n v="0.05"/>
    <n v="5941.51"/>
    <n v="4069.03"/>
    <n v="1872.48"/>
    <s v="Cash"/>
    <n v="4"/>
    <s v="October"/>
    <s v="Q4"/>
    <n v="2024"/>
    <m/>
  </r>
  <r>
    <s v="SAL-1754"/>
    <d v="2024-05-23T00:00:00"/>
    <s v="Amanda Kane"/>
    <x v="0"/>
    <s v="Abuja"/>
    <s v="Corporate"/>
    <s v="Clothing"/>
    <s v="Jacket"/>
    <n v="5"/>
    <n v="556.89"/>
    <n v="0"/>
    <n v="2784.45"/>
    <n v="2295.11"/>
    <n v="489.34"/>
    <s v="Transfer"/>
    <n v="5"/>
    <s v="May"/>
    <s v="Q2"/>
    <n v="2024"/>
    <m/>
  </r>
  <r>
    <s v="SAL-1755"/>
    <d v="2024-11-05T00:00:00"/>
    <s v="Julian Klein"/>
    <x v="0"/>
    <s v="Abuja"/>
    <s v="Consumer"/>
    <s v="Clothing"/>
    <s v="Sneakers"/>
    <n v="10"/>
    <n v="290.77999999999997"/>
    <n v="0"/>
    <n v="2907.8"/>
    <n v="2364.5300000000002"/>
    <n v="543.27"/>
    <s v="Card"/>
    <n v="2"/>
    <s v="November"/>
    <s v="Q4"/>
    <n v="2024"/>
    <m/>
  </r>
  <r>
    <s v="SAL-1756"/>
    <d v="2024-02-19T00:00:00"/>
    <s v="Andrew Klein"/>
    <x v="4"/>
    <s v="Ibadan"/>
    <s v="Corporate"/>
    <s v="Electronics"/>
    <s v="Phone"/>
    <n v="10"/>
    <n v="512.87"/>
    <n v="0.1"/>
    <n v="4615.83"/>
    <n v="2423.75"/>
    <n v="2192.08"/>
    <s v="Mobile Payment"/>
    <n v="2"/>
    <s v="February"/>
    <s v="Q1"/>
    <n v="2024"/>
    <m/>
  </r>
  <r>
    <s v="SAL-1757"/>
    <d v="2024-07-16T00:00:00"/>
    <s v="David Mendoza"/>
    <x v="4"/>
    <s v="Port Harcourt"/>
    <s v="Home Office"/>
    <s v="Clothing"/>
    <s v="Jacket"/>
    <n v="9"/>
    <n v="189.71"/>
    <n v="0"/>
    <n v="1707.39"/>
    <n v="1000.85"/>
    <n v="706.54"/>
    <s v="Mobile Payment"/>
    <n v="4"/>
    <s v="July"/>
    <s v="Q3"/>
    <n v="2024"/>
    <m/>
  </r>
  <r>
    <s v="SAL-1758"/>
    <d v="2024-07-04T00:00:00"/>
    <s v="Elizabeth Roberts"/>
    <x v="0"/>
    <s v="Kano"/>
    <s v="Home Office"/>
    <s v="Furniture"/>
    <s v="Desk"/>
    <n v="1"/>
    <n v="630.24"/>
    <n v="0.15"/>
    <n v="535.70000000000005"/>
    <n v="320.33999999999997"/>
    <n v="215.36"/>
    <s v="Transfer"/>
    <n v="4"/>
    <s v="July"/>
    <s v="Q3"/>
    <n v="2024"/>
    <m/>
  </r>
  <r>
    <s v="SAL-1759"/>
    <d v="2024-04-08T00:00:00"/>
    <s v="Michael Hughes"/>
    <x v="2"/>
    <s v="Port Harcourt"/>
    <s v="Home Office"/>
    <s v="Office Supplies"/>
    <s v="Pen"/>
    <n v="4"/>
    <n v="1066.06"/>
    <n v="0.1"/>
    <n v="3837.82"/>
    <n v="1974.02"/>
    <n v="1863.8"/>
    <s v="Cash"/>
    <n v="4"/>
    <s v="April"/>
    <s v="Q2"/>
    <n v="2024"/>
    <m/>
  </r>
  <r>
    <s v="SAL-1760"/>
    <d v="2024-12-15T00:00:00"/>
    <s v="Donna Reyes"/>
    <x v="1"/>
    <s v="Kano"/>
    <s v="Consumer"/>
    <s v="Electronics"/>
    <s v="Laptop"/>
    <n v="10"/>
    <n v="1006.44"/>
    <n v="0.05"/>
    <n v="9561.18"/>
    <n v="7743"/>
    <n v="1818.18"/>
    <s v="Cash"/>
    <n v="1"/>
    <s v="December"/>
    <s v="Q4"/>
    <n v="2024"/>
    <m/>
  </r>
  <r>
    <s v="SAL-1761"/>
    <d v="2024-03-02T00:00:00"/>
    <s v="Nicole Bennett"/>
    <x v="2"/>
    <s v="Abuja"/>
    <s v="Home Office"/>
    <s v="Furniture"/>
    <s v="Chair"/>
    <n v="2"/>
    <n v="463.15"/>
    <n v="0.15"/>
    <n v="787.35"/>
    <n v="650.87"/>
    <n v="136.47999999999999"/>
    <s v="Card"/>
    <n v="4"/>
    <s v="March"/>
    <s v="Q1"/>
    <n v="2024"/>
    <m/>
  </r>
  <r>
    <s v="SAL-1762"/>
    <d v="2024-07-24T00:00:00"/>
    <s v="Mr. Gary Allen DVM"/>
    <x v="1"/>
    <s v="Abuja"/>
    <s v="Corporate"/>
    <s v="Furniture"/>
    <s v="Desk"/>
    <n v="3"/>
    <n v="533.35"/>
    <n v="0.05"/>
    <n v="1520.05"/>
    <n v="937.78"/>
    <n v="582.27"/>
    <s v="Card"/>
    <n v="5"/>
    <s v="July"/>
    <s v="Q3"/>
    <n v="2024"/>
    <m/>
  </r>
  <r>
    <s v="SAL-1763"/>
    <d v="2024-02-06T00:00:00"/>
    <s v="Erin Rodriguez"/>
    <x v="0"/>
    <s v="Kano"/>
    <s v="Consumer"/>
    <s v="Clothing"/>
    <s v="Jacket"/>
    <n v="11"/>
    <n v="985.62"/>
    <n v="0.1"/>
    <n v="9757.64"/>
    <n v="5309.17"/>
    <n v="4448.47"/>
    <s v="Card"/>
    <n v="2"/>
    <s v="February"/>
    <s v="Q1"/>
    <n v="2024"/>
    <m/>
  </r>
  <r>
    <s v="SAL-1764"/>
    <d v="2024-09-30T00:00:00"/>
    <s v="Tonya Shelton"/>
    <x v="1"/>
    <s v="Ibadan"/>
    <s v="Home Office"/>
    <s v="Furniture"/>
    <s v="Desk"/>
    <n v="5"/>
    <n v="304.68"/>
    <n v="0.15"/>
    <n v="1294.8900000000001"/>
    <n v="805.27"/>
    <n v="489.62"/>
    <s v="Transfer"/>
    <n v="2"/>
    <s v="September"/>
    <s v="Q3"/>
    <n v="2024"/>
    <m/>
  </r>
  <r>
    <s v="SAL-1765"/>
    <d v="2024-05-29T00:00:00"/>
    <s v="Kevin Todd"/>
    <x v="2"/>
    <s v="Port Harcourt"/>
    <s v="Home Office"/>
    <s v="Electronics"/>
    <s v="Phone"/>
    <n v="12"/>
    <n v="563.16999999999996"/>
    <n v="0.1"/>
    <n v="6082.24"/>
    <n v="4878.5200000000004"/>
    <n v="1203.72"/>
    <s v="Mobile Payment"/>
    <n v="1"/>
    <s v="May"/>
    <s v="Q2"/>
    <n v="2024"/>
    <m/>
  </r>
  <r>
    <s v="SAL-1766"/>
    <d v="2024-05-11T00:00:00"/>
    <s v="Lisa Espinoza"/>
    <x v="2"/>
    <s v="Lagos"/>
    <s v="Corporate"/>
    <s v="Office Supplies"/>
    <s v="Notebook"/>
    <n v="2"/>
    <n v="218.6"/>
    <n v="0"/>
    <n v="437.2"/>
    <n v="232.65"/>
    <n v="204.55"/>
    <s v="Transfer"/>
    <n v="2"/>
    <s v="May"/>
    <s v="Q2"/>
    <n v="2024"/>
    <m/>
  </r>
  <r>
    <s v="SAL-1767"/>
    <d v="2024-01-06T00:00:00"/>
    <s v="Mark Tucker"/>
    <x v="3"/>
    <s v="Port Harcourt"/>
    <s v="Consumer"/>
    <s v="Electronics"/>
    <s v="Laptop"/>
    <n v="3"/>
    <n v="565.08000000000004"/>
    <n v="0.05"/>
    <n v="1610.48"/>
    <n v="1340.13"/>
    <n v="270.35000000000002"/>
    <s v="Transfer"/>
    <n v="1"/>
    <s v="January"/>
    <s v="Q1"/>
    <n v="2024"/>
    <m/>
  </r>
  <r>
    <s v="SAL-1768"/>
    <d v="2024-03-14T00:00:00"/>
    <s v="Brandon Nelson"/>
    <x v="2"/>
    <s v="Port Harcourt"/>
    <s v="Consumer"/>
    <s v="Office Supplies"/>
    <s v="Pen"/>
    <n v="7"/>
    <n v="398.98"/>
    <n v="0.05"/>
    <n v="2653.22"/>
    <n v="2040.02"/>
    <n v="613.20000000000005"/>
    <s v="Card"/>
    <n v="4"/>
    <s v="March"/>
    <s v="Q1"/>
    <n v="2024"/>
    <m/>
  </r>
  <r>
    <s v="SAL-1769"/>
    <d v="2024-02-29T00:00:00"/>
    <s v="Brendan Davis"/>
    <x v="2"/>
    <s v="Lagos"/>
    <s v="Consumer"/>
    <s v="Office Supplies"/>
    <s v="Pen"/>
    <n v="1"/>
    <n v="701.37"/>
    <n v="0.1"/>
    <n v="631.23"/>
    <n v="347.12"/>
    <n v="284.11"/>
    <s v="Mobile Payment"/>
    <n v="1"/>
    <s v="February"/>
    <s v="Q1"/>
    <n v="2024"/>
    <m/>
  </r>
  <r>
    <s v="SAL-1770"/>
    <d v="2024-05-26T00:00:00"/>
    <s v="Sheryl Lee"/>
    <x v="1"/>
    <s v="Port Harcourt"/>
    <s v="Consumer"/>
    <s v="Clothing"/>
    <s v="T-Shirt"/>
    <n v="3"/>
    <n v="912.33"/>
    <n v="0.1"/>
    <n v="2463.29"/>
    <n v="1564.57"/>
    <n v="898.72"/>
    <s v="Transfer"/>
    <n v="3"/>
    <s v="May"/>
    <s v="Q2"/>
    <n v="2024"/>
    <m/>
  </r>
  <r>
    <s v="SAL-1771"/>
    <d v="2024-06-22T00:00:00"/>
    <s v="Linda Bowman"/>
    <x v="2"/>
    <s v="Abuja"/>
    <s v="Home Office"/>
    <s v="Clothing"/>
    <s v="T-Shirt"/>
    <n v="4"/>
    <n v="1150.31"/>
    <n v="0"/>
    <n v="4601.24"/>
    <n v="2303.83"/>
    <n v="2297.41"/>
    <s v="Transfer"/>
    <n v="5"/>
    <s v="June"/>
    <s v="Q2"/>
    <n v="2024"/>
    <m/>
  </r>
  <r>
    <s v="SAL-1772"/>
    <d v="2024-10-06T00:00:00"/>
    <s v="John Conner"/>
    <x v="4"/>
    <s v="Kano"/>
    <s v="Corporate"/>
    <s v="Furniture"/>
    <s v="Cabinet"/>
    <n v="12"/>
    <n v="1018.21"/>
    <n v="0.1"/>
    <n v="10996.67"/>
    <n v="8175.08"/>
    <n v="2821.59"/>
    <s v="Mobile Payment"/>
    <n v="3"/>
    <s v="October"/>
    <s v="Q4"/>
    <n v="2024"/>
    <m/>
  </r>
  <r>
    <s v="SAL-1773"/>
    <d v="2024-01-05T00:00:00"/>
    <s v="John Garcia"/>
    <x v="4"/>
    <s v="Port Harcourt"/>
    <s v="Corporate"/>
    <s v="Electronics"/>
    <s v="Laptop"/>
    <n v="3"/>
    <n v="605.55999999999995"/>
    <n v="0.15"/>
    <n v="1544.18"/>
    <n v="1203.45"/>
    <n v="340.73"/>
    <s v="Transfer"/>
    <n v="5"/>
    <s v="January"/>
    <s v="Q1"/>
    <n v="2024"/>
    <m/>
  </r>
  <r>
    <s v="SAL-1774"/>
    <d v="2024-11-23T00:00:00"/>
    <s v="Kelly Chang"/>
    <x v="4"/>
    <s v="Kano"/>
    <s v="Home Office"/>
    <s v="Furniture"/>
    <s v="Desk"/>
    <n v="2"/>
    <n v="650.98"/>
    <n v="0"/>
    <n v="1301.96"/>
    <n v="957.76"/>
    <n v="344.2"/>
    <s v="Cash"/>
    <n v="4"/>
    <s v="November"/>
    <s v="Q4"/>
    <n v="2024"/>
    <m/>
  </r>
  <r>
    <s v="SAL-1775"/>
    <d v="2024-10-01T00:00:00"/>
    <s v="Linda Harvey"/>
    <x v="1"/>
    <s v="Abuja"/>
    <s v="Corporate"/>
    <s v="Electronics"/>
    <s v="Tablet"/>
    <n v="6"/>
    <n v="758.4"/>
    <n v="0"/>
    <n v="4550.3999999999996"/>
    <n v="3272.74"/>
    <n v="1277.6600000000001"/>
    <s v="Transfer"/>
    <n v="3"/>
    <s v="October"/>
    <s v="Q4"/>
    <n v="2024"/>
    <m/>
  </r>
  <r>
    <s v="SAL-1776"/>
    <d v="2024-08-29T00:00:00"/>
    <s v="Joseph Bolton"/>
    <x v="4"/>
    <s v="Kano"/>
    <s v="Consumer"/>
    <s v="Furniture"/>
    <s v="Desk"/>
    <n v="12"/>
    <n v="150.19"/>
    <n v="0.05"/>
    <n v="1712.17"/>
    <n v="1140.83"/>
    <n v="571.34"/>
    <s v="Transfer"/>
    <n v="4"/>
    <s v="August"/>
    <s v="Q3"/>
    <n v="2024"/>
    <m/>
  </r>
  <r>
    <s v="SAL-1777"/>
    <d v="2024-04-08T00:00:00"/>
    <s v="Jasmine Wells"/>
    <x v="0"/>
    <s v="Port Harcourt"/>
    <s v="Consumer"/>
    <s v="Electronics"/>
    <s v="Laptop"/>
    <n v="2"/>
    <n v="528.09"/>
    <n v="0.1"/>
    <n v="950.56"/>
    <n v="674.83"/>
    <n v="275.73"/>
    <s v="Mobile Payment"/>
    <n v="5"/>
    <s v="April"/>
    <s v="Q2"/>
    <n v="2024"/>
    <m/>
  </r>
  <r>
    <s v="SAL-1778"/>
    <d v="2024-11-14T00:00:00"/>
    <s v="Jeffrey Hull"/>
    <x v="4"/>
    <s v="Kano"/>
    <s v="Home Office"/>
    <s v="Office Supplies"/>
    <s v="Notebook"/>
    <n v="8"/>
    <n v="579.28"/>
    <n v="0.05"/>
    <n v="4402.53"/>
    <n v="2288.94"/>
    <n v="2113.59"/>
    <s v="Cash"/>
    <n v="2"/>
    <s v="November"/>
    <s v="Q4"/>
    <n v="2024"/>
    <m/>
  </r>
  <r>
    <s v="SAL-1779"/>
    <d v="2024-08-23T00:00:00"/>
    <s v="Thomas Stephenson"/>
    <x v="0"/>
    <s v="Port Harcourt"/>
    <s v="Corporate"/>
    <s v="Furniture"/>
    <s v="Chair"/>
    <n v="1"/>
    <n v="850.51"/>
    <n v="0.15"/>
    <n v="722.93"/>
    <n v="511.82"/>
    <n v="211.11"/>
    <s v="Mobile Payment"/>
    <n v="3"/>
    <s v="August"/>
    <s v="Q3"/>
    <n v="2024"/>
    <m/>
  </r>
  <r>
    <s v="SAL-1780"/>
    <d v="2024-04-22T00:00:00"/>
    <s v="Jennifer Davis"/>
    <x v="1"/>
    <s v="Port Harcourt"/>
    <s v="Corporate"/>
    <s v="Electronics"/>
    <s v="Laptop"/>
    <n v="6"/>
    <n v="91.46"/>
    <n v="0.1"/>
    <n v="493.88"/>
    <n v="275.3"/>
    <n v="218.58"/>
    <s v="Cash"/>
    <n v="5"/>
    <s v="April"/>
    <s v="Q2"/>
    <n v="2024"/>
    <m/>
  </r>
  <r>
    <s v="SAL-1781"/>
    <d v="2024-08-13T00:00:00"/>
    <s v="Brian Daniels"/>
    <x v="4"/>
    <s v="Ibadan"/>
    <s v="Home Office"/>
    <s v="Electronics"/>
    <s v="Laptop"/>
    <n v="11"/>
    <n v="798.16"/>
    <n v="0.1"/>
    <n v="7901.78"/>
    <n v="4039.72"/>
    <n v="3862.06"/>
    <s v="Card"/>
    <n v="4"/>
    <s v="August"/>
    <s v="Q3"/>
    <n v="2024"/>
    <m/>
  </r>
  <r>
    <s v="SAL-1782"/>
    <d v="2024-03-03T00:00:00"/>
    <s v="Jaime Villa"/>
    <x v="2"/>
    <s v="Port Harcourt"/>
    <s v="Corporate"/>
    <s v="Office Supplies"/>
    <s v="Pen"/>
    <n v="4"/>
    <n v="799.45"/>
    <n v="0.05"/>
    <n v="3037.91"/>
    <n v="2454.83"/>
    <n v="583.08000000000004"/>
    <s v="Card"/>
    <n v="2"/>
    <s v="March"/>
    <s v="Q1"/>
    <n v="2024"/>
    <m/>
  </r>
  <r>
    <s v="SAL-1783"/>
    <d v="2024-01-28T00:00:00"/>
    <s v="Cory Sanchez"/>
    <x v="1"/>
    <s v="Ibadan"/>
    <s v="Consumer"/>
    <s v="Clothing"/>
    <s v="Sneakers"/>
    <n v="12"/>
    <n v="586.57000000000005"/>
    <n v="0"/>
    <n v="7038.84"/>
    <n v="4482.25"/>
    <n v="2556.59"/>
    <s v="Mobile Payment"/>
    <n v="5"/>
    <s v="January"/>
    <s v="Q1"/>
    <n v="2024"/>
    <m/>
  </r>
  <r>
    <s v="SAL-1784"/>
    <d v="2024-07-08T00:00:00"/>
    <s v="Adam Scott"/>
    <x v="4"/>
    <s v="Lagos"/>
    <s v="Corporate"/>
    <s v="Clothing"/>
    <s v="T-Shirt"/>
    <n v="4"/>
    <n v="454.08"/>
    <n v="0.05"/>
    <n v="1725.5"/>
    <n v="887.59"/>
    <n v="837.91"/>
    <s v="Cash"/>
    <n v="2"/>
    <s v="July"/>
    <s v="Q3"/>
    <n v="2024"/>
    <m/>
  </r>
  <r>
    <s v="SAL-1785"/>
    <d v="2024-12-26T00:00:00"/>
    <s v="Michael Watson"/>
    <x v="1"/>
    <s v="Ibadan"/>
    <s v="Corporate"/>
    <s v="Furniture"/>
    <s v="Desk"/>
    <n v="11"/>
    <n v="631.44000000000005"/>
    <n v="0.1"/>
    <n v="6251.26"/>
    <n v="4385.97"/>
    <n v="1865.29"/>
    <s v="Mobile Payment"/>
    <n v="1"/>
    <s v="December"/>
    <s v="Q4"/>
    <n v="2024"/>
    <m/>
  </r>
  <r>
    <s v="SAL-1786"/>
    <d v="2024-06-02T00:00:00"/>
    <s v="Maria Parker"/>
    <x v="1"/>
    <s v="Abuja"/>
    <s v="Consumer"/>
    <s v="Electronics"/>
    <s v="Phone"/>
    <n v="12"/>
    <n v="19.38"/>
    <n v="0.15"/>
    <n v="197.68"/>
    <n v="155.12"/>
    <n v="42.56"/>
    <s v="Mobile Payment"/>
    <n v="5"/>
    <s v="June"/>
    <s v="Q2"/>
    <n v="2024"/>
    <m/>
  </r>
  <r>
    <s v="SAL-1787"/>
    <d v="2024-03-12T00:00:00"/>
    <s v="Nicholas Brown"/>
    <x v="0"/>
    <s v="Port Harcourt"/>
    <s v="Corporate"/>
    <s v="Furniture"/>
    <s v="Chair"/>
    <n v="3"/>
    <n v="641.86"/>
    <n v="0"/>
    <n v="1925.58"/>
    <n v="1354.69"/>
    <n v="570.89"/>
    <s v="Mobile Payment"/>
    <n v="1"/>
    <s v="March"/>
    <s v="Q1"/>
    <n v="2024"/>
    <m/>
  </r>
  <r>
    <s v="SAL-1788"/>
    <d v="2024-03-30T00:00:00"/>
    <s v="Kevin White"/>
    <x v="0"/>
    <s v="Port Harcourt"/>
    <s v="Consumer"/>
    <s v="Office Supplies"/>
    <s v="Pen"/>
    <n v="2"/>
    <n v="1188.01"/>
    <n v="0.1"/>
    <n v="2138.42"/>
    <n v="1069.43"/>
    <n v="1068.99"/>
    <s v="Mobile Payment"/>
    <n v="2"/>
    <s v="March"/>
    <s v="Q1"/>
    <n v="2024"/>
    <m/>
  </r>
  <r>
    <s v="SAL-1789"/>
    <d v="2024-07-24T00:00:00"/>
    <s v="Anna Lucas"/>
    <x v="2"/>
    <s v="Port Harcourt"/>
    <s v="Corporate"/>
    <s v="Clothing"/>
    <s v="Jacket"/>
    <n v="7"/>
    <n v="17.13"/>
    <n v="0.1"/>
    <n v="107.92"/>
    <n v="90.92"/>
    <n v="17"/>
    <s v="Mobile Payment"/>
    <n v="2"/>
    <s v="July"/>
    <s v="Q3"/>
    <n v="2024"/>
    <m/>
  </r>
  <r>
    <s v="SAL-1790"/>
    <d v="2024-12-16T00:00:00"/>
    <s v="Angela Bailey"/>
    <x v="4"/>
    <s v="Kano"/>
    <s v="Corporate"/>
    <s v="Electronics"/>
    <s v="Phone"/>
    <n v="12"/>
    <n v="830.84"/>
    <n v="0.1"/>
    <n v="8973.07"/>
    <n v="5572.77"/>
    <n v="3400.3"/>
    <s v="Card"/>
    <n v="3"/>
    <s v="December"/>
    <s v="Q4"/>
    <n v="2024"/>
    <m/>
  </r>
  <r>
    <s v="SAL-1791"/>
    <d v="2024-07-28T00:00:00"/>
    <s v="Paula Roth"/>
    <x v="4"/>
    <s v="Lagos"/>
    <s v="Consumer"/>
    <s v="Furniture"/>
    <s v="Cabinet"/>
    <n v="2"/>
    <n v="1061.7"/>
    <n v="0.15"/>
    <n v="1804.89"/>
    <n v="1109.45"/>
    <n v="695.44"/>
    <s v="Card"/>
    <n v="3"/>
    <s v="July"/>
    <s v="Q3"/>
    <n v="2024"/>
    <m/>
  </r>
  <r>
    <s v="SAL-1792"/>
    <d v="2024-07-12T00:00:00"/>
    <s v="Jeff Brown"/>
    <x v="2"/>
    <s v="Kano"/>
    <s v="Home Office"/>
    <s v="Office Supplies"/>
    <s v="Notebook"/>
    <n v="11"/>
    <n v="773.27"/>
    <n v="0.15"/>
    <n v="7230.07"/>
    <n v="4084.9"/>
    <n v="3145.17"/>
    <s v="Mobile Payment"/>
    <n v="1"/>
    <s v="July"/>
    <s v="Q3"/>
    <n v="2024"/>
    <m/>
  </r>
  <r>
    <s v="SAL-1793"/>
    <d v="2024-03-04T00:00:00"/>
    <s v="Christopher Richardson"/>
    <x v="3"/>
    <s v="Ibadan"/>
    <s v="Home Office"/>
    <s v="Clothing"/>
    <s v="Jacket"/>
    <n v="9"/>
    <n v="40.42"/>
    <n v="0"/>
    <n v="363.78"/>
    <n v="259.7"/>
    <n v="104.08"/>
    <s v="Mobile Payment"/>
    <n v="4"/>
    <s v="March"/>
    <s v="Q1"/>
    <n v="2024"/>
    <m/>
  </r>
  <r>
    <s v="SAL-1794"/>
    <d v="2024-10-08T00:00:00"/>
    <s v="Daniel Bryant"/>
    <x v="4"/>
    <s v="Abuja"/>
    <s v="Consumer"/>
    <s v="Clothing"/>
    <s v="Jacket"/>
    <n v="7"/>
    <n v="422.54"/>
    <n v="0.15"/>
    <n v="2514.11"/>
    <n v="1678.77"/>
    <n v="835.34"/>
    <s v="Transfer"/>
    <n v="2"/>
    <s v="October"/>
    <s v="Q4"/>
    <n v="2024"/>
    <m/>
  </r>
  <r>
    <s v="SAL-1795"/>
    <d v="2024-03-03T00:00:00"/>
    <s v="Monica Burns"/>
    <x v="0"/>
    <s v="Ibadan"/>
    <s v="Corporate"/>
    <s v="Office Supplies"/>
    <s v="Paper"/>
    <n v="2"/>
    <n v="1184.69"/>
    <n v="0.1"/>
    <n v="2132.44"/>
    <n v="1807.98"/>
    <n v="324.45999999999998"/>
    <s v="Mobile Payment"/>
    <n v="2"/>
    <s v="March"/>
    <s v="Q1"/>
    <n v="2024"/>
    <m/>
  </r>
  <r>
    <s v="SAL-1796"/>
    <d v="2024-01-21T00:00:00"/>
    <s v="Mallory Armstrong"/>
    <x v="0"/>
    <s v="Lagos"/>
    <s v="Home Office"/>
    <s v="Clothing"/>
    <s v="T-Shirt"/>
    <n v="5"/>
    <n v="50.01"/>
    <n v="0.05"/>
    <n v="237.55"/>
    <n v="180.45"/>
    <n v="57.1"/>
    <s v="Cash"/>
    <n v="4"/>
    <s v="January"/>
    <s v="Q1"/>
    <n v="2024"/>
    <m/>
  </r>
  <r>
    <s v="SAL-1797"/>
    <d v="2024-05-16T00:00:00"/>
    <s v="Kaitlyn Dougherty"/>
    <x v="1"/>
    <s v="Abuja"/>
    <s v="Corporate"/>
    <s v="Clothing"/>
    <s v="T-Shirt"/>
    <n v="3"/>
    <n v="740.15"/>
    <n v="0.15"/>
    <n v="1887.38"/>
    <n v="1262.94"/>
    <n v="624.44000000000005"/>
    <s v="Mobile Payment"/>
    <n v="1"/>
    <s v="May"/>
    <s v="Q2"/>
    <n v="2024"/>
    <m/>
  </r>
  <r>
    <s v="SAL-1798"/>
    <d v="2024-08-28T00:00:00"/>
    <s v="Jack Kelly II"/>
    <x v="3"/>
    <s v="Port Harcourt"/>
    <s v="Home Office"/>
    <s v="Electronics"/>
    <s v="Phone"/>
    <n v="7"/>
    <n v="134.91999999999999"/>
    <n v="0.15"/>
    <n v="802.77"/>
    <n v="455.62"/>
    <n v="347.15"/>
    <s v="Card"/>
    <n v="2"/>
    <s v="August"/>
    <s v="Q3"/>
    <n v="2024"/>
    <m/>
  </r>
  <r>
    <s v="SAL-1799"/>
    <d v="2024-05-09T00:00:00"/>
    <s v="Samantha Weber"/>
    <x v="2"/>
    <s v="Abuja"/>
    <s v="Corporate"/>
    <s v="Furniture"/>
    <s v="Cabinet"/>
    <n v="1"/>
    <n v="722.7"/>
    <n v="0.15"/>
    <n v="614.29999999999995"/>
    <n v="349.97"/>
    <n v="264.33"/>
    <s v="Mobile Payment"/>
    <n v="3"/>
    <s v="May"/>
    <s v="Q2"/>
    <n v="2024"/>
    <m/>
  </r>
  <r>
    <s v="SAL-1800"/>
    <d v="2024-12-22T00:00:00"/>
    <s v="Pamela Miller"/>
    <x v="4"/>
    <s v="Kano"/>
    <s v="Corporate"/>
    <s v="Office Supplies"/>
    <s v="Notebook"/>
    <n v="1"/>
    <n v="283.89"/>
    <n v="0.15"/>
    <n v="241.31"/>
    <n v="128.85"/>
    <n v="112.46"/>
    <s v="Transfer"/>
    <n v="3"/>
    <s v="December"/>
    <s v="Q4"/>
    <n v="2024"/>
    <m/>
  </r>
  <r>
    <s v="SAL-1801"/>
    <d v="2024-03-29T00:00:00"/>
    <s v="Craig Clay"/>
    <x v="1"/>
    <s v="Abuja"/>
    <s v="Corporate"/>
    <s v="Office Supplies"/>
    <s v="Paper"/>
    <n v="5"/>
    <n v="726.78"/>
    <n v="0.05"/>
    <n v="3452.2"/>
    <n v="2448.4899999999998"/>
    <n v="1003.71"/>
    <s v="Mobile Payment"/>
    <n v="1"/>
    <s v="March"/>
    <s v="Q1"/>
    <n v="2024"/>
    <m/>
  </r>
  <r>
    <s v="SAL-1802"/>
    <d v="2024-11-08T00:00:00"/>
    <s v="Lauren Wilson"/>
    <x v="3"/>
    <s v="Abuja"/>
    <s v="Corporate"/>
    <s v="Clothing"/>
    <s v="Jacket"/>
    <n v="6"/>
    <n v="1067.54"/>
    <n v="0.15"/>
    <n v="5444.45"/>
    <n v="2931.17"/>
    <n v="2513.2800000000002"/>
    <s v="Transfer"/>
    <n v="1"/>
    <s v="November"/>
    <s v="Q4"/>
    <n v="2024"/>
    <m/>
  </r>
  <r>
    <s v="SAL-1803"/>
    <d v="2024-10-03T00:00:00"/>
    <s v="Kathy Cantrell"/>
    <x v="3"/>
    <s v="Abuja"/>
    <s v="Consumer"/>
    <s v="Furniture"/>
    <s v="Desk"/>
    <n v="4"/>
    <n v="348.04"/>
    <n v="0.1"/>
    <n v="1252.94"/>
    <n v="764.32"/>
    <n v="488.62"/>
    <s v="Card"/>
    <n v="4"/>
    <s v="October"/>
    <s v="Q4"/>
    <n v="2024"/>
    <m/>
  </r>
  <r>
    <s v="SAL-1804"/>
    <d v="2024-07-30T00:00:00"/>
    <s v="Gregory Gordon"/>
    <x v="1"/>
    <s v="Ibadan"/>
    <s v="Corporate"/>
    <s v="Clothing"/>
    <s v="T-Shirt"/>
    <n v="8"/>
    <n v="409.45"/>
    <n v="0.05"/>
    <n v="3111.82"/>
    <n v="2068.02"/>
    <n v="1043.8"/>
    <s v="Transfer"/>
    <n v="2"/>
    <s v="July"/>
    <s v="Q3"/>
    <n v="2024"/>
    <m/>
  </r>
  <r>
    <s v="SAL-1805"/>
    <d v="2024-11-14T00:00:00"/>
    <s v="Molly Allen"/>
    <x v="4"/>
    <s v="Kano"/>
    <s v="Home Office"/>
    <s v="Office Supplies"/>
    <s v="Pen"/>
    <n v="12"/>
    <n v="935.43"/>
    <n v="0.15"/>
    <n v="9541.39"/>
    <n v="8079.17"/>
    <n v="1462.22"/>
    <s v="Mobile Payment"/>
    <n v="1"/>
    <s v="November"/>
    <s v="Q4"/>
    <n v="2024"/>
    <m/>
  </r>
  <r>
    <s v="SAL-1806"/>
    <d v="2024-12-07T00:00:00"/>
    <s v="Dylan Lopez"/>
    <x v="2"/>
    <s v="Lagos"/>
    <s v="Corporate"/>
    <s v="Office Supplies"/>
    <s v="Notebook"/>
    <n v="4"/>
    <n v="387.31"/>
    <n v="0.1"/>
    <n v="1394.32"/>
    <n v="777.35"/>
    <n v="616.97"/>
    <s v="Cash"/>
    <n v="3"/>
    <s v="December"/>
    <s v="Q4"/>
    <n v="2024"/>
    <m/>
  </r>
  <r>
    <s v="SAL-1807"/>
    <d v="2024-08-16T00:00:00"/>
    <s v="Terri Smith"/>
    <x v="0"/>
    <s v="Kano"/>
    <s v="Corporate"/>
    <s v="Clothing"/>
    <s v="Sneakers"/>
    <n v="7"/>
    <n v="1020.22"/>
    <n v="0.15"/>
    <n v="6070.31"/>
    <n v="4589.47"/>
    <n v="1480.84"/>
    <s v="Card"/>
    <n v="2"/>
    <s v="August"/>
    <s v="Q3"/>
    <n v="2024"/>
    <m/>
  </r>
  <r>
    <s v="SAL-1808"/>
    <d v="2024-06-21T00:00:00"/>
    <s v="Jessica Lopez"/>
    <x v="4"/>
    <s v="Port Harcourt"/>
    <s v="Consumer"/>
    <s v="Office Supplies"/>
    <s v="Notebook"/>
    <n v="4"/>
    <n v="241.73"/>
    <n v="0.1"/>
    <n v="870.23"/>
    <n v="539.33000000000004"/>
    <n v="330.9"/>
    <s v="Cash"/>
    <n v="2"/>
    <s v="June"/>
    <s v="Q2"/>
    <n v="2024"/>
    <m/>
  </r>
  <r>
    <s v="SAL-1809"/>
    <d v="2024-02-24T00:00:00"/>
    <s v="Dana Mata"/>
    <x v="0"/>
    <s v="Port Harcourt"/>
    <s v="Home Office"/>
    <s v="Furniture"/>
    <s v="Chair"/>
    <n v="2"/>
    <n v="481.19"/>
    <n v="0.15"/>
    <n v="818.02"/>
    <n v="672.08"/>
    <n v="145.94"/>
    <s v="Card"/>
    <n v="2"/>
    <s v="February"/>
    <s v="Q1"/>
    <n v="2024"/>
    <m/>
  </r>
  <r>
    <s v="SAL-1810"/>
    <d v="2024-10-09T00:00:00"/>
    <s v="Howard Sherman"/>
    <x v="3"/>
    <s v="Ibadan"/>
    <s v="Home Office"/>
    <s v="Office Supplies"/>
    <s v="Paper"/>
    <n v="8"/>
    <n v="310.11"/>
    <n v="0.05"/>
    <n v="2356.84"/>
    <n v="1895.11"/>
    <n v="461.73"/>
    <s v="Card"/>
    <n v="3"/>
    <s v="October"/>
    <s v="Q4"/>
    <n v="2024"/>
    <m/>
  </r>
  <r>
    <s v="SAL-1811"/>
    <d v="2024-10-27T00:00:00"/>
    <s v="Ariel Chavez"/>
    <x v="0"/>
    <s v="Kano"/>
    <s v="Home Office"/>
    <s v="Office Supplies"/>
    <s v="Paper"/>
    <n v="6"/>
    <n v="948.57"/>
    <n v="0"/>
    <n v="5691.42"/>
    <n v="3038.08"/>
    <n v="2653.34"/>
    <s v="Cash"/>
    <n v="2"/>
    <s v="October"/>
    <s v="Q4"/>
    <n v="2024"/>
    <m/>
  </r>
  <r>
    <s v="SAL-1812"/>
    <d v="2024-05-12T00:00:00"/>
    <s v="Daniel Miller"/>
    <x v="2"/>
    <s v="Abuja"/>
    <s v="Consumer"/>
    <s v="Electronics"/>
    <s v="Printer"/>
    <n v="8"/>
    <n v="614.16"/>
    <n v="0.15"/>
    <n v="4176.29"/>
    <n v="2167.7800000000002"/>
    <n v="2008.51"/>
    <s v="Transfer"/>
    <n v="4"/>
    <s v="May"/>
    <s v="Q2"/>
    <n v="2024"/>
    <m/>
  </r>
  <r>
    <s v="SAL-1813"/>
    <d v="2024-09-12T00:00:00"/>
    <s v="Eric West"/>
    <x v="1"/>
    <s v="Kano"/>
    <s v="Home Office"/>
    <s v="Furniture"/>
    <s v="Cabinet"/>
    <n v="2"/>
    <n v="1051.08"/>
    <n v="0.05"/>
    <n v="1997.05"/>
    <n v="1103.58"/>
    <n v="893.47"/>
    <s v="Mobile Payment"/>
    <n v="5"/>
    <s v="September"/>
    <s v="Q3"/>
    <n v="2024"/>
    <m/>
  </r>
  <r>
    <s v="SAL-1814"/>
    <d v="2024-02-27T00:00:00"/>
    <s v="Jamie Parker"/>
    <x v="2"/>
    <s v="Lagos"/>
    <s v="Consumer"/>
    <s v="Electronics"/>
    <s v="Tablet"/>
    <n v="1"/>
    <n v="558.87"/>
    <n v="0.05"/>
    <n v="530.92999999999995"/>
    <n v="373.35"/>
    <n v="157.58000000000001"/>
    <s v="Card"/>
    <n v="3"/>
    <s v="February"/>
    <s v="Q1"/>
    <n v="2024"/>
    <m/>
  </r>
  <r>
    <s v="SAL-1815"/>
    <d v="2024-12-15T00:00:00"/>
    <s v="Jeremy Kirk"/>
    <x v="3"/>
    <s v="Kano"/>
    <s v="Home Office"/>
    <s v="Electronics"/>
    <s v="Tablet"/>
    <n v="3"/>
    <n v="498.18"/>
    <n v="0.05"/>
    <n v="1419.81"/>
    <n v="758.41"/>
    <n v="661.4"/>
    <s v="Transfer"/>
    <n v="5"/>
    <s v="December"/>
    <s v="Q4"/>
    <n v="2024"/>
    <m/>
  </r>
  <r>
    <s v="SAL-1816"/>
    <d v="2024-12-05T00:00:00"/>
    <s v="Patricia Johnson"/>
    <x v="0"/>
    <s v="Kano"/>
    <s v="Corporate"/>
    <s v="Furniture"/>
    <s v="Desk"/>
    <n v="11"/>
    <n v="1011.39"/>
    <n v="0.1"/>
    <n v="10012.76"/>
    <n v="5869.97"/>
    <n v="4142.79"/>
    <s v="Transfer"/>
    <n v="5"/>
    <s v="December"/>
    <s v="Q4"/>
    <n v="2024"/>
    <m/>
  </r>
  <r>
    <s v="SAL-1817"/>
    <d v="2024-07-12T00:00:00"/>
    <s v="Chad Russell"/>
    <x v="0"/>
    <s v="Abuja"/>
    <s v="Home Office"/>
    <s v="Electronics"/>
    <s v="Printer"/>
    <n v="1"/>
    <n v="944.86"/>
    <n v="0.15"/>
    <n v="803.13"/>
    <n v="472.57"/>
    <n v="330.56"/>
    <s v="Cash"/>
    <n v="2"/>
    <s v="July"/>
    <s v="Q3"/>
    <n v="2024"/>
    <m/>
  </r>
  <r>
    <s v="SAL-1818"/>
    <d v="2024-02-22T00:00:00"/>
    <s v="Jeffery Chen"/>
    <x v="2"/>
    <s v="Lagos"/>
    <s v="Corporate"/>
    <s v="Electronics"/>
    <s v="Phone"/>
    <n v="8"/>
    <n v="310.89999999999998"/>
    <n v="0"/>
    <n v="2487.1999999999998"/>
    <n v="1982.78"/>
    <n v="504.42"/>
    <s v="Mobile Payment"/>
    <n v="3"/>
    <s v="February"/>
    <s v="Q1"/>
    <n v="2024"/>
    <m/>
  </r>
  <r>
    <s v="SAL-1819"/>
    <d v="2024-08-02T00:00:00"/>
    <s v="Jorge Herman"/>
    <x v="3"/>
    <s v="Ibadan"/>
    <s v="Consumer"/>
    <s v="Office Supplies"/>
    <s v="Notebook"/>
    <n v="12"/>
    <n v="462.94"/>
    <n v="0.05"/>
    <n v="5277.52"/>
    <n v="3929.55"/>
    <n v="1347.97"/>
    <s v="Mobile Payment"/>
    <n v="5"/>
    <s v="August"/>
    <s v="Q3"/>
    <n v="2024"/>
    <m/>
  </r>
  <r>
    <s v="SAL-1820"/>
    <d v="2024-06-13T00:00:00"/>
    <s v="Charles Davis"/>
    <x v="2"/>
    <s v="Abuja"/>
    <s v="Home Office"/>
    <s v="Clothing"/>
    <s v="Sneakers"/>
    <n v="5"/>
    <n v="595.84"/>
    <n v="0.15"/>
    <n v="2532.3200000000002"/>
    <n v="1927.06"/>
    <n v="605.26"/>
    <s v="Card"/>
    <n v="3"/>
    <s v="June"/>
    <s v="Q2"/>
    <n v="2024"/>
    <m/>
  </r>
  <r>
    <s v="SAL-1821"/>
    <d v="2024-11-06T00:00:00"/>
    <s v="Molly Benson"/>
    <x v="4"/>
    <s v="Kano"/>
    <s v="Corporate"/>
    <s v="Electronics"/>
    <s v="Phone"/>
    <n v="9"/>
    <n v="959.07"/>
    <n v="0.05"/>
    <n v="8200.0499999999993"/>
    <n v="6422.95"/>
    <n v="1777.1"/>
    <s v="Transfer"/>
    <n v="4"/>
    <s v="November"/>
    <s v="Q4"/>
    <n v="2024"/>
    <m/>
  </r>
  <r>
    <s v="SAL-1822"/>
    <d v="2024-07-08T00:00:00"/>
    <s v="Peter Perez"/>
    <x v="3"/>
    <s v="Ibadan"/>
    <s v="Home Office"/>
    <s v="Electronics"/>
    <s v="Laptop"/>
    <n v="9"/>
    <n v="1154.4000000000001"/>
    <n v="0"/>
    <n v="10389.6"/>
    <n v="8712.0400000000009"/>
    <n v="1677.56"/>
    <s v="Cash"/>
    <n v="2"/>
    <s v="July"/>
    <s v="Q3"/>
    <n v="2024"/>
    <m/>
  </r>
  <r>
    <s v="SAL-1823"/>
    <d v="2024-04-03T00:00:00"/>
    <s v="Stephanie Stewart"/>
    <x v="4"/>
    <s v="Lagos"/>
    <s v="Consumer"/>
    <s v="Clothing"/>
    <s v="Sneakers"/>
    <n v="11"/>
    <n v="459.58"/>
    <n v="0.15"/>
    <n v="4297.07"/>
    <n v="2895.73"/>
    <n v="1401.34"/>
    <s v="Mobile Payment"/>
    <n v="3"/>
    <s v="April"/>
    <s v="Q2"/>
    <n v="2024"/>
    <m/>
  </r>
  <r>
    <s v="SAL-1824"/>
    <d v="2024-09-20T00:00:00"/>
    <s v="Kevin Anderson"/>
    <x v="1"/>
    <s v="Abuja"/>
    <s v="Consumer"/>
    <s v="Clothing"/>
    <s v="Sneakers"/>
    <n v="12"/>
    <n v="258.45999999999998"/>
    <n v="0.05"/>
    <n v="2946.44"/>
    <n v="2021.07"/>
    <n v="925.37"/>
    <s v="Cash"/>
    <n v="5"/>
    <s v="September"/>
    <s v="Q3"/>
    <n v="2024"/>
    <m/>
  </r>
  <r>
    <s v="SAL-1825"/>
    <d v="2024-02-05T00:00:00"/>
    <s v="Taylor Sanchez"/>
    <x v="0"/>
    <s v="Kano"/>
    <s v="Corporate"/>
    <s v="Electronics"/>
    <s v="Tablet"/>
    <n v="7"/>
    <n v="435.28"/>
    <n v="0"/>
    <n v="3046.96"/>
    <n v="2288.7800000000002"/>
    <n v="758.18"/>
    <s v="Transfer"/>
    <n v="1"/>
    <s v="February"/>
    <s v="Q1"/>
    <n v="2024"/>
    <m/>
  </r>
  <r>
    <s v="SAL-1826"/>
    <d v="2024-09-20T00:00:00"/>
    <s v="Shane Russell"/>
    <x v="1"/>
    <s v="Kano"/>
    <s v="Consumer"/>
    <s v="Clothing"/>
    <s v="Sneakers"/>
    <n v="5"/>
    <n v="675"/>
    <n v="0.15"/>
    <n v="2868.75"/>
    <n v="1542.88"/>
    <n v="1325.87"/>
    <s v="Card"/>
    <n v="2"/>
    <s v="September"/>
    <s v="Q3"/>
    <n v="2024"/>
    <m/>
  </r>
  <r>
    <s v="SAL-1827"/>
    <d v="2024-06-15T00:00:00"/>
    <s v="Dana Thompson"/>
    <x v="0"/>
    <s v="Port Harcourt"/>
    <s v="Consumer"/>
    <s v="Clothing"/>
    <s v="Sneakers"/>
    <n v="12"/>
    <n v="1035.3399999999999"/>
    <n v="0.1"/>
    <n v="11181.67"/>
    <n v="6340.16"/>
    <n v="4841.51"/>
    <s v="Transfer"/>
    <n v="4"/>
    <s v="June"/>
    <s v="Q2"/>
    <n v="2024"/>
    <m/>
  </r>
  <r>
    <s v="SAL-1828"/>
    <d v="2024-03-02T00:00:00"/>
    <s v="Lisa Lyons"/>
    <x v="4"/>
    <s v="Abuja"/>
    <s v="Consumer"/>
    <s v="Furniture"/>
    <s v="Chair"/>
    <n v="4"/>
    <n v="1054.78"/>
    <n v="0.1"/>
    <n v="3797.21"/>
    <n v="2564.4299999999998"/>
    <n v="1232.78"/>
    <s v="Cash"/>
    <n v="2"/>
    <s v="March"/>
    <s v="Q1"/>
    <n v="2024"/>
    <m/>
  </r>
  <r>
    <s v="SAL-1829"/>
    <d v="2024-10-09T00:00:00"/>
    <s v="Victoria Wilson"/>
    <x v="3"/>
    <s v="Kano"/>
    <s v="Home Office"/>
    <s v="Office Supplies"/>
    <s v="Notebook"/>
    <n v="8"/>
    <n v="74.510000000000005"/>
    <n v="0.15"/>
    <n v="506.67"/>
    <n v="254.78"/>
    <n v="251.89"/>
    <s v="Transfer"/>
    <n v="1"/>
    <s v="October"/>
    <s v="Q4"/>
    <n v="2024"/>
    <m/>
  </r>
  <r>
    <s v="SAL-1830"/>
    <d v="2024-09-09T00:00:00"/>
    <s v="Richard Perez"/>
    <x v="3"/>
    <s v="Lagos"/>
    <s v="Consumer"/>
    <s v="Office Supplies"/>
    <s v="Pen"/>
    <n v="3"/>
    <n v="748.56"/>
    <n v="0"/>
    <n v="2245.6799999999998"/>
    <n v="1413.76"/>
    <n v="831.92"/>
    <s v="Mobile Payment"/>
    <n v="4"/>
    <s v="September"/>
    <s v="Q3"/>
    <n v="2024"/>
    <m/>
  </r>
  <r>
    <s v="SAL-1831"/>
    <d v="2024-08-25T00:00:00"/>
    <s v="Michele Douglas"/>
    <x v="1"/>
    <s v="Port Harcourt"/>
    <s v="Consumer"/>
    <s v="Office Supplies"/>
    <s v="Notebook"/>
    <n v="11"/>
    <n v="139.77000000000001"/>
    <n v="0.05"/>
    <n v="1460.6"/>
    <n v="775.78"/>
    <n v="684.82"/>
    <s v="Card"/>
    <n v="2"/>
    <s v="August"/>
    <s v="Q3"/>
    <n v="2024"/>
    <m/>
  </r>
  <r>
    <s v="SAL-1832"/>
    <d v="2024-07-11T00:00:00"/>
    <s v="Virginia Holmes"/>
    <x v="3"/>
    <s v="Lagos"/>
    <s v="Consumer"/>
    <s v="Furniture"/>
    <s v="Desk"/>
    <n v="1"/>
    <n v="409.87"/>
    <n v="0.15"/>
    <n v="348.39"/>
    <n v="254.23"/>
    <n v="94.16"/>
    <s v="Mobile Payment"/>
    <n v="1"/>
    <s v="July"/>
    <s v="Q3"/>
    <n v="2024"/>
    <m/>
  </r>
  <r>
    <s v="SAL-1833"/>
    <d v="2024-05-14T00:00:00"/>
    <s v="April Shaw"/>
    <x v="3"/>
    <s v="Kano"/>
    <s v="Home Office"/>
    <s v="Electronics"/>
    <s v="Laptop"/>
    <n v="1"/>
    <n v="438.95"/>
    <n v="0.1"/>
    <n v="395.06"/>
    <n v="306.83999999999997"/>
    <n v="88.22"/>
    <s v="Mobile Payment"/>
    <n v="3"/>
    <s v="May"/>
    <s v="Q2"/>
    <n v="2024"/>
    <m/>
  </r>
  <r>
    <s v="SAL-1834"/>
    <d v="2024-08-12T00:00:00"/>
    <s v="Mitchell Carson"/>
    <x v="3"/>
    <s v="Kano"/>
    <s v="Home Office"/>
    <s v="Electronics"/>
    <s v="Printer"/>
    <n v="6"/>
    <n v="218.38"/>
    <n v="0.15"/>
    <n v="1113.74"/>
    <n v="858.24"/>
    <n v="255.5"/>
    <s v="Cash"/>
    <n v="3"/>
    <s v="August"/>
    <s v="Q3"/>
    <n v="2024"/>
    <m/>
  </r>
  <r>
    <s v="SAL-1835"/>
    <d v="2024-03-14T00:00:00"/>
    <s v="Michael Morrison"/>
    <x v="2"/>
    <s v="Lagos"/>
    <s v="Consumer"/>
    <s v="Office Supplies"/>
    <s v="Notebook"/>
    <n v="8"/>
    <n v="456.56"/>
    <n v="0.15"/>
    <n v="3104.61"/>
    <n v="1648.15"/>
    <n v="1456.46"/>
    <s v="Card"/>
    <n v="2"/>
    <s v="March"/>
    <s v="Q1"/>
    <n v="2024"/>
    <m/>
  </r>
  <r>
    <s v="SAL-1836"/>
    <d v="2024-02-21T00:00:00"/>
    <s v="Rebecca Lopez"/>
    <x v="2"/>
    <s v="Abuja"/>
    <s v="Consumer"/>
    <s v="Furniture"/>
    <s v="Desk"/>
    <n v="3"/>
    <n v="264.41000000000003"/>
    <n v="0"/>
    <n v="793.23"/>
    <n v="533.12"/>
    <n v="260.11"/>
    <s v="Transfer"/>
    <n v="1"/>
    <s v="February"/>
    <s v="Q1"/>
    <n v="2024"/>
    <m/>
  </r>
  <r>
    <s v="SAL-1837"/>
    <d v="2024-02-15T00:00:00"/>
    <s v="Jonathan Pineda"/>
    <x v="2"/>
    <s v="Lagos"/>
    <s v="Corporate"/>
    <s v="Office Supplies"/>
    <s v="Paper"/>
    <n v="8"/>
    <n v="597.41"/>
    <n v="0"/>
    <n v="4779.28"/>
    <n v="3008.32"/>
    <n v="1770.96"/>
    <s v="Transfer"/>
    <n v="2"/>
    <s v="February"/>
    <s v="Q1"/>
    <n v="2024"/>
    <m/>
  </r>
  <r>
    <s v="SAL-1838"/>
    <d v="2024-12-28T00:00:00"/>
    <s v="Tina Powers"/>
    <x v="0"/>
    <s v="Ibadan"/>
    <s v="Consumer"/>
    <s v="Furniture"/>
    <s v="Cabinet"/>
    <n v="3"/>
    <n v="432.87"/>
    <n v="0.15"/>
    <n v="1103.82"/>
    <n v="582.66999999999996"/>
    <n v="521.15"/>
    <s v="Card"/>
    <n v="1"/>
    <s v="December"/>
    <s v="Q4"/>
    <n v="2024"/>
    <m/>
  </r>
  <r>
    <s v="SAL-1839"/>
    <d v="2024-09-29T00:00:00"/>
    <s v="Joshua Gonzalez"/>
    <x v="2"/>
    <s v="Abuja"/>
    <s v="Consumer"/>
    <s v="Electronics"/>
    <s v="Laptop"/>
    <n v="4"/>
    <n v="493.51"/>
    <n v="0.05"/>
    <n v="1875.34"/>
    <n v="951.2"/>
    <n v="924.14"/>
    <s v="Transfer"/>
    <n v="3"/>
    <s v="September"/>
    <s v="Q3"/>
    <n v="2024"/>
    <m/>
  </r>
  <r>
    <s v="SAL-1840"/>
    <d v="2024-01-21T00:00:00"/>
    <s v="Emily Greene DDS"/>
    <x v="0"/>
    <s v="Lagos"/>
    <s v="Home Office"/>
    <s v="Clothing"/>
    <s v="Sneakers"/>
    <n v="3"/>
    <n v="105.73"/>
    <n v="0"/>
    <n v="317.19"/>
    <n v="243.7"/>
    <n v="73.489999999999995"/>
    <s v="Card"/>
    <n v="1"/>
    <s v="January"/>
    <s v="Q1"/>
    <n v="2024"/>
    <m/>
  </r>
  <r>
    <s v="SAL-1841"/>
    <d v="2024-01-01T00:00:00"/>
    <s v="Kyle Giles DVM"/>
    <x v="2"/>
    <s v="Kano"/>
    <s v="Corporate"/>
    <s v="Furniture"/>
    <s v="Desk"/>
    <n v="11"/>
    <n v="1051.6600000000001"/>
    <n v="0.05"/>
    <n v="10989.85"/>
    <n v="7826.01"/>
    <n v="3163.84"/>
    <s v="Cash"/>
    <n v="2"/>
    <s v="January"/>
    <s v="Q1"/>
    <n v="2024"/>
    <m/>
  </r>
  <r>
    <s v="SAL-1842"/>
    <d v="2024-11-18T00:00:00"/>
    <s v="Elizabeth Alvarado"/>
    <x v="1"/>
    <s v="Abuja"/>
    <s v="Home Office"/>
    <s v="Clothing"/>
    <s v="Sneakers"/>
    <n v="6"/>
    <n v="216.98"/>
    <n v="0.05"/>
    <n v="1236.79"/>
    <n v="826.89"/>
    <n v="409.9"/>
    <s v="Cash"/>
    <n v="2"/>
    <s v="November"/>
    <s v="Q4"/>
    <n v="2024"/>
    <m/>
  </r>
  <r>
    <s v="SAL-1843"/>
    <d v="2024-01-16T00:00:00"/>
    <s v="Mr. Christopher Johnson"/>
    <x v="2"/>
    <s v="Kano"/>
    <s v="Home Office"/>
    <s v="Electronics"/>
    <s v="Phone"/>
    <n v="6"/>
    <n v="794.04"/>
    <n v="0.1"/>
    <n v="4287.82"/>
    <n v="2866.28"/>
    <n v="1421.54"/>
    <s v="Cash"/>
    <n v="4"/>
    <s v="January"/>
    <s v="Q1"/>
    <n v="2024"/>
    <m/>
  </r>
  <r>
    <s v="SAL-1844"/>
    <d v="2024-11-14T00:00:00"/>
    <s v="Katherine Fisher"/>
    <x v="3"/>
    <s v="Lagos"/>
    <s v="Corporate"/>
    <s v="Office Supplies"/>
    <s v="Paper"/>
    <n v="12"/>
    <n v="285.89999999999998"/>
    <n v="0.05"/>
    <n v="3259.26"/>
    <n v="2022.78"/>
    <n v="1236.48"/>
    <s v="Cash"/>
    <n v="5"/>
    <s v="November"/>
    <s v="Q4"/>
    <n v="2024"/>
    <m/>
  </r>
  <r>
    <s v="SAL-1845"/>
    <d v="2024-03-03T00:00:00"/>
    <s v="Makayla Riddle"/>
    <x v="4"/>
    <s v="Lagos"/>
    <s v="Home Office"/>
    <s v="Furniture"/>
    <s v="Cabinet"/>
    <n v="12"/>
    <n v="1125.4100000000001"/>
    <n v="0.1"/>
    <n v="12154.43"/>
    <n v="7974.06"/>
    <n v="4180.37"/>
    <s v="Cash"/>
    <n v="5"/>
    <s v="March"/>
    <s v="Q1"/>
    <n v="2024"/>
    <m/>
  </r>
  <r>
    <s v="SAL-1846"/>
    <d v="2024-05-15T00:00:00"/>
    <s v="Sheila Huffman"/>
    <x v="0"/>
    <s v="Port Harcourt"/>
    <s v="Home Office"/>
    <s v="Clothing"/>
    <s v="Jacket"/>
    <n v="1"/>
    <n v="1060.48"/>
    <n v="0.1"/>
    <n v="954.43"/>
    <n v="644.57000000000005"/>
    <n v="309.86"/>
    <s v="Transfer"/>
    <n v="2"/>
    <s v="May"/>
    <s v="Q2"/>
    <n v="2024"/>
    <m/>
  </r>
  <r>
    <s v="SAL-1847"/>
    <d v="2024-04-10T00:00:00"/>
    <s v="Christopher Johnson"/>
    <x v="1"/>
    <s v="Port Harcourt"/>
    <s v="Corporate"/>
    <s v="Clothing"/>
    <s v="T-Shirt"/>
    <n v="3"/>
    <n v="596.6"/>
    <n v="0.15"/>
    <n v="1521.33"/>
    <n v="1070.73"/>
    <n v="450.6"/>
    <s v="Transfer"/>
    <n v="1"/>
    <s v="April"/>
    <s v="Q2"/>
    <n v="2024"/>
    <m/>
  </r>
  <r>
    <s v="SAL-1848"/>
    <d v="2024-09-19T00:00:00"/>
    <s v="Matthew Nicholson"/>
    <x v="3"/>
    <s v="Lagos"/>
    <s v="Consumer"/>
    <s v="Furniture"/>
    <s v="Cabinet"/>
    <n v="9"/>
    <n v="126.83"/>
    <n v="0.05"/>
    <n v="1084.4000000000001"/>
    <n v="904.46"/>
    <n v="179.94"/>
    <s v="Mobile Payment"/>
    <n v="2"/>
    <s v="September"/>
    <s v="Q3"/>
    <n v="2024"/>
    <m/>
  </r>
  <r>
    <s v="SAL-1849"/>
    <d v="2024-01-06T00:00:00"/>
    <s v="Sabrina Green"/>
    <x v="0"/>
    <s v="Abuja"/>
    <s v="Home Office"/>
    <s v="Office Supplies"/>
    <s v="Notebook"/>
    <n v="10"/>
    <n v="329.59"/>
    <n v="0.1"/>
    <n v="2966.31"/>
    <n v="1902.34"/>
    <n v="1063.97"/>
    <s v="Card"/>
    <n v="3"/>
    <s v="January"/>
    <s v="Q1"/>
    <n v="2024"/>
    <m/>
  </r>
  <r>
    <s v="SAL-1850"/>
    <d v="2024-08-19T00:00:00"/>
    <s v="Patricia Brown"/>
    <x v="1"/>
    <s v="Ibadan"/>
    <s v="Corporate"/>
    <s v="Electronics"/>
    <s v="Tablet"/>
    <n v="8"/>
    <n v="749.75"/>
    <n v="0.05"/>
    <n v="5698.1"/>
    <n v="3300.92"/>
    <n v="2397.1799999999998"/>
    <s v="Mobile Payment"/>
    <n v="4"/>
    <s v="August"/>
    <s v="Q3"/>
    <n v="2024"/>
    <m/>
  </r>
  <r>
    <s v="SAL-1851"/>
    <d v="2024-11-22T00:00:00"/>
    <s v="Terry Ramos MD"/>
    <x v="4"/>
    <s v="Abuja"/>
    <s v="Home Office"/>
    <s v="Clothing"/>
    <s v="Jacket"/>
    <n v="3"/>
    <n v="569.11"/>
    <n v="0"/>
    <n v="1707.33"/>
    <n v="1134.2"/>
    <n v="573.13"/>
    <s v="Card"/>
    <n v="3"/>
    <s v="November"/>
    <s v="Q4"/>
    <n v="2024"/>
    <m/>
  </r>
  <r>
    <s v="SAL-1852"/>
    <d v="2024-11-19T00:00:00"/>
    <s v="Kyle Murphy"/>
    <x v="2"/>
    <s v="Kano"/>
    <s v="Corporate"/>
    <s v="Electronics"/>
    <s v="Laptop"/>
    <n v="4"/>
    <n v="330.08"/>
    <n v="0.15"/>
    <n v="1122.27"/>
    <n v="908.14"/>
    <n v="214.13"/>
    <s v="Mobile Payment"/>
    <n v="4"/>
    <s v="November"/>
    <s v="Q4"/>
    <n v="2024"/>
    <m/>
  </r>
  <r>
    <s v="SAL-1853"/>
    <d v="2024-09-02T00:00:00"/>
    <s v="Ryan Johnson"/>
    <x v="0"/>
    <s v="Port Harcourt"/>
    <s v="Home Office"/>
    <s v="Electronics"/>
    <s v="Printer"/>
    <n v="11"/>
    <n v="830.68"/>
    <n v="0.1"/>
    <n v="8223.73"/>
    <n v="4160.8999999999996"/>
    <n v="4062.83"/>
    <s v="Transfer"/>
    <n v="3"/>
    <s v="September"/>
    <s v="Q3"/>
    <n v="2024"/>
    <m/>
  </r>
  <r>
    <s v="SAL-1854"/>
    <d v="2024-08-26T00:00:00"/>
    <s v="William Bean"/>
    <x v="4"/>
    <s v="Ibadan"/>
    <s v="Home Office"/>
    <s v="Office Supplies"/>
    <s v="Notebook"/>
    <n v="4"/>
    <n v="356.96"/>
    <n v="0.15"/>
    <n v="1213.6600000000001"/>
    <n v="623.83000000000004"/>
    <n v="589.83000000000004"/>
    <s v="Mobile Payment"/>
    <n v="4"/>
    <s v="August"/>
    <s v="Q3"/>
    <n v="2024"/>
    <m/>
  </r>
  <r>
    <s v="SAL-1855"/>
    <d v="2024-08-18T00:00:00"/>
    <s v="Christopher Rogers"/>
    <x v="1"/>
    <s v="Abuja"/>
    <s v="Corporate"/>
    <s v="Clothing"/>
    <s v="T-Shirt"/>
    <n v="8"/>
    <n v="284.66000000000003"/>
    <n v="0"/>
    <n v="2277.2800000000002"/>
    <n v="1715.01"/>
    <n v="562.27"/>
    <s v="Mobile Payment"/>
    <n v="4"/>
    <s v="August"/>
    <s v="Q3"/>
    <n v="2024"/>
    <m/>
  </r>
  <r>
    <s v="SAL-1856"/>
    <d v="2024-09-05T00:00:00"/>
    <s v="John Montoya"/>
    <x v="4"/>
    <s v="Port Harcourt"/>
    <s v="Home Office"/>
    <s v="Office Supplies"/>
    <s v="Pen"/>
    <n v="10"/>
    <n v="468.7"/>
    <n v="0.15"/>
    <n v="3983.95"/>
    <n v="2757.89"/>
    <n v="1226.06"/>
    <s v="Transfer"/>
    <n v="4"/>
    <s v="September"/>
    <s v="Q3"/>
    <n v="2024"/>
    <m/>
  </r>
  <r>
    <s v="SAL-1857"/>
    <d v="2024-06-30T00:00:00"/>
    <s v="Nathan Gutierrez"/>
    <x v="2"/>
    <s v="Port Harcourt"/>
    <s v="Home Office"/>
    <s v="Electronics"/>
    <s v="Tablet"/>
    <n v="2"/>
    <n v="231.37"/>
    <n v="0.05"/>
    <n v="439.6"/>
    <n v="288.06"/>
    <n v="151.54"/>
    <s v="Card"/>
    <n v="3"/>
    <s v="June"/>
    <s v="Q2"/>
    <n v="2024"/>
    <m/>
  </r>
  <r>
    <s v="SAL-1858"/>
    <d v="2024-06-27T00:00:00"/>
    <s v="Mike Ball"/>
    <x v="4"/>
    <s v="Kano"/>
    <s v="Consumer"/>
    <s v="Clothing"/>
    <s v="Jacket"/>
    <n v="8"/>
    <n v="1141.32"/>
    <n v="0"/>
    <n v="9130.56"/>
    <n v="6565.11"/>
    <n v="2565.4499999999998"/>
    <s v="Cash"/>
    <n v="2"/>
    <s v="June"/>
    <s v="Q2"/>
    <n v="2024"/>
    <m/>
  </r>
  <r>
    <s v="SAL-1859"/>
    <d v="2024-05-06T00:00:00"/>
    <s v="Jessica Delgado"/>
    <x v="2"/>
    <s v="Lagos"/>
    <s v="Corporate"/>
    <s v="Electronics"/>
    <s v="Tablet"/>
    <n v="3"/>
    <n v="409.13"/>
    <n v="0.05"/>
    <n v="1166.02"/>
    <n v="659.1"/>
    <n v="506.92"/>
    <s v="Mobile Payment"/>
    <n v="1"/>
    <s v="May"/>
    <s v="Q2"/>
    <n v="2024"/>
    <m/>
  </r>
  <r>
    <s v="SAL-1860"/>
    <d v="2024-01-24T00:00:00"/>
    <s v="Richard Carrillo"/>
    <x v="4"/>
    <s v="Ibadan"/>
    <s v="Corporate"/>
    <s v="Electronics"/>
    <s v="Printer"/>
    <n v="5"/>
    <n v="659.15"/>
    <n v="0.05"/>
    <n v="3130.96"/>
    <n v="1991.86"/>
    <n v="1139.0999999999999"/>
    <s v="Cash"/>
    <n v="1"/>
    <s v="January"/>
    <s v="Q1"/>
    <n v="2024"/>
    <m/>
  </r>
  <r>
    <s v="SAL-1861"/>
    <d v="2024-12-22T00:00:00"/>
    <s v="Susan Lawson"/>
    <x v="2"/>
    <s v="Abuja"/>
    <s v="Home Office"/>
    <s v="Clothing"/>
    <s v="Jacket"/>
    <n v="5"/>
    <n v="1120.57"/>
    <n v="0"/>
    <n v="5602.85"/>
    <n v="4509.4799999999996"/>
    <n v="1093.3699999999999"/>
    <s v="Mobile Payment"/>
    <n v="3"/>
    <s v="December"/>
    <s v="Q4"/>
    <n v="2024"/>
    <m/>
  </r>
  <r>
    <s v="SAL-1862"/>
    <d v="2024-10-13T00:00:00"/>
    <s v="Todd Brown"/>
    <x v="2"/>
    <s v="Lagos"/>
    <s v="Home Office"/>
    <s v="Clothing"/>
    <s v="Sneakers"/>
    <n v="1"/>
    <n v="71.75"/>
    <n v="0.05"/>
    <n v="68.16"/>
    <n v="44.01"/>
    <n v="24.15"/>
    <s v="Mobile Payment"/>
    <n v="4"/>
    <s v="October"/>
    <s v="Q4"/>
    <n v="2024"/>
    <m/>
  </r>
  <r>
    <s v="SAL-1863"/>
    <d v="2024-04-26T00:00:00"/>
    <s v="Stephanie Coffey"/>
    <x v="1"/>
    <s v="Abuja"/>
    <s v="Consumer"/>
    <s v="Clothing"/>
    <s v="T-Shirt"/>
    <n v="1"/>
    <n v="762.42"/>
    <n v="0.15"/>
    <n v="648.05999999999995"/>
    <n v="409.48"/>
    <n v="238.58"/>
    <s v="Mobile Payment"/>
    <n v="3"/>
    <s v="April"/>
    <s v="Q2"/>
    <n v="2024"/>
    <m/>
  </r>
  <r>
    <s v="SAL-1864"/>
    <d v="2024-10-05T00:00:00"/>
    <s v="Juan Bell"/>
    <x v="0"/>
    <s v="Kano"/>
    <s v="Consumer"/>
    <s v="Furniture"/>
    <s v="Desk"/>
    <n v="12"/>
    <n v="1059.67"/>
    <n v="0.1"/>
    <n v="11444.44"/>
    <n v="6289.63"/>
    <n v="5154.8100000000004"/>
    <s v="Transfer"/>
    <n v="3"/>
    <s v="October"/>
    <s v="Q4"/>
    <n v="2024"/>
    <m/>
  </r>
  <r>
    <s v="SAL-1865"/>
    <d v="2024-10-01T00:00:00"/>
    <s v="Jennifer Duran"/>
    <x v="1"/>
    <s v="Abuja"/>
    <s v="Corporate"/>
    <s v="Electronics"/>
    <s v="Tablet"/>
    <n v="6"/>
    <n v="218.2"/>
    <n v="0"/>
    <n v="1309.2"/>
    <n v="887.65"/>
    <n v="421.55"/>
    <s v="Mobile Payment"/>
    <n v="1"/>
    <s v="October"/>
    <s v="Q4"/>
    <n v="2024"/>
    <m/>
  </r>
  <r>
    <s v="SAL-1866"/>
    <d v="2024-12-26T00:00:00"/>
    <s v="Candice Martin"/>
    <x v="2"/>
    <s v="Port Harcourt"/>
    <s v="Consumer"/>
    <s v="Office Supplies"/>
    <s v="Paper"/>
    <n v="2"/>
    <n v="734.88"/>
    <n v="0.15"/>
    <n v="1249.3"/>
    <n v="970.53"/>
    <n v="278.77"/>
    <s v="Mobile Payment"/>
    <n v="3"/>
    <s v="December"/>
    <s v="Q4"/>
    <n v="2024"/>
    <m/>
  </r>
  <r>
    <s v="SAL-1867"/>
    <d v="2024-04-25T00:00:00"/>
    <s v="Eddie Aguirre Jr."/>
    <x v="0"/>
    <s v="Ibadan"/>
    <s v="Home Office"/>
    <s v="Electronics"/>
    <s v="Phone"/>
    <n v="10"/>
    <n v="380.89"/>
    <n v="0.05"/>
    <n v="3618.45"/>
    <n v="2965.04"/>
    <n v="653.41"/>
    <s v="Card"/>
    <n v="5"/>
    <s v="April"/>
    <s v="Q2"/>
    <n v="2024"/>
    <m/>
  </r>
  <r>
    <s v="SAL-1868"/>
    <d v="2024-11-24T00:00:00"/>
    <s v="Mark Richmond"/>
    <x v="4"/>
    <s v="Port Harcourt"/>
    <s v="Consumer"/>
    <s v="Office Supplies"/>
    <s v="Pen"/>
    <n v="10"/>
    <n v="970.75"/>
    <n v="0"/>
    <n v="9707.5"/>
    <n v="5451.31"/>
    <n v="4256.1899999999996"/>
    <s v="Transfer"/>
    <n v="5"/>
    <s v="November"/>
    <s v="Q4"/>
    <n v="2024"/>
    <m/>
  </r>
  <r>
    <s v="SAL-1869"/>
    <d v="2024-06-19T00:00:00"/>
    <s v="Sharon Gutierrez"/>
    <x v="2"/>
    <s v="Kano"/>
    <s v="Consumer"/>
    <s v="Furniture"/>
    <s v="Chair"/>
    <n v="4"/>
    <n v="297.58999999999997"/>
    <n v="0.15"/>
    <n v="1011.81"/>
    <n v="716.79"/>
    <n v="295.02"/>
    <s v="Mobile Payment"/>
    <n v="5"/>
    <s v="June"/>
    <s v="Q2"/>
    <n v="2024"/>
    <m/>
  </r>
  <r>
    <s v="SAL-1870"/>
    <d v="2024-03-27T00:00:00"/>
    <s v="Javier Garcia"/>
    <x v="1"/>
    <s v="Abuja"/>
    <s v="Home Office"/>
    <s v="Office Supplies"/>
    <s v="Notebook"/>
    <n v="9"/>
    <n v="350.6"/>
    <n v="0"/>
    <n v="3155.4"/>
    <n v="1882.66"/>
    <n v="1272.74"/>
    <s v="Card"/>
    <n v="4"/>
    <s v="March"/>
    <s v="Q1"/>
    <n v="2024"/>
    <m/>
  </r>
  <r>
    <s v="SAL-1871"/>
    <d v="2024-07-30T00:00:00"/>
    <s v="Amanda Poole"/>
    <x v="2"/>
    <s v="Port Harcourt"/>
    <s v="Home Office"/>
    <s v="Electronics"/>
    <s v="Phone"/>
    <n v="2"/>
    <n v="578.94000000000005"/>
    <n v="0.05"/>
    <n v="1099.99"/>
    <n v="671.18"/>
    <n v="428.81"/>
    <s v="Transfer"/>
    <n v="1"/>
    <s v="July"/>
    <s v="Q3"/>
    <n v="2024"/>
    <m/>
  </r>
  <r>
    <s v="SAL-1872"/>
    <d v="2024-08-02T00:00:00"/>
    <s v="Ashley Hatfield"/>
    <x v="1"/>
    <s v="Kano"/>
    <s v="Corporate"/>
    <s v="Office Supplies"/>
    <s v="Pen"/>
    <n v="1"/>
    <n v="787.8"/>
    <n v="0.05"/>
    <n v="748.41"/>
    <n v="539.09"/>
    <n v="209.32"/>
    <s v="Card"/>
    <n v="3"/>
    <s v="August"/>
    <s v="Q3"/>
    <n v="2024"/>
    <m/>
  </r>
  <r>
    <s v="SAL-1873"/>
    <d v="2024-11-10T00:00:00"/>
    <s v="Lisa Phillips"/>
    <x v="1"/>
    <s v="Abuja"/>
    <s v="Corporate"/>
    <s v="Electronics"/>
    <s v="Tablet"/>
    <n v="9"/>
    <n v="197.14"/>
    <n v="0.1"/>
    <n v="1596.83"/>
    <n v="1251.8499999999999"/>
    <n v="344.98"/>
    <s v="Cash"/>
    <n v="1"/>
    <s v="November"/>
    <s v="Q4"/>
    <n v="2024"/>
    <m/>
  </r>
  <r>
    <s v="SAL-1874"/>
    <d v="2024-06-04T00:00:00"/>
    <s v="Lindsay Duran"/>
    <x v="3"/>
    <s v="Lagos"/>
    <s v="Consumer"/>
    <s v="Furniture"/>
    <s v="Cabinet"/>
    <n v="10"/>
    <n v="1069.98"/>
    <n v="0"/>
    <n v="10699.8"/>
    <n v="7911.24"/>
    <n v="2788.56"/>
    <s v="Card"/>
    <n v="3"/>
    <s v="June"/>
    <s v="Q2"/>
    <n v="2024"/>
    <m/>
  </r>
  <r>
    <s v="SAL-1875"/>
    <d v="2024-01-02T00:00:00"/>
    <s v="John Jennings"/>
    <x v="2"/>
    <s v="Ibadan"/>
    <s v="Corporate"/>
    <s v="Furniture"/>
    <s v="Desk"/>
    <n v="3"/>
    <n v="752.84"/>
    <n v="0.15"/>
    <n v="1919.74"/>
    <n v="1534.24"/>
    <n v="385.5"/>
    <s v="Mobile Payment"/>
    <n v="4"/>
    <s v="January"/>
    <s v="Q1"/>
    <n v="2024"/>
    <m/>
  </r>
  <r>
    <s v="SAL-1876"/>
    <d v="2024-01-05T00:00:00"/>
    <s v="Walter Randall"/>
    <x v="2"/>
    <s v="Ibadan"/>
    <s v="Consumer"/>
    <s v="Office Supplies"/>
    <s v="Notebook"/>
    <n v="6"/>
    <n v="444.27"/>
    <n v="0.15"/>
    <n v="2265.7800000000002"/>
    <n v="1707.08"/>
    <n v="558.70000000000005"/>
    <s v="Cash"/>
    <n v="1"/>
    <s v="January"/>
    <s v="Q1"/>
    <n v="2024"/>
    <m/>
  </r>
  <r>
    <s v="SAL-1877"/>
    <d v="2024-01-22T00:00:00"/>
    <s v="Connor Yang"/>
    <x v="4"/>
    <s v="Abuja"/>
    <s v="Corporate"/>
    <s v="Clothing"/>
    <s v="Sneakers"/>
    <n v="10"/>
    <n v="1171.31"/>
    <n v="0.15"/>
    <n v="9956.1299999999992"/>
    <n v="5858.72"/>
    <n v="4097.41"/>
    <s v="Cash"/>
    <n v="1"/>
    <s v="January"/>
    <s v="Q1"/>
    <n v="2024"/>
    <m/>
  </r>
  <r>
    <s v="SAL-1878"/>
    <d v="2024-12-11T00:00:00"/>
    <s v="Kendra Davidson"/>
    <x v="3"/>
    <s v="Ibadan"/>
    <s v="Home Office"/>
    <s v="Office Supplies"/>
    <s v="Pen"/>
    <n v="10"/>
    <n v="242.28"/>
    <n v="0"/>
    <n v="2422.8000000000002"/>
    <n v="1415.31"/>
    <n v="1007.49"/>
    <s v="Cash"/>
    <n v="4"/>
    <s v="December"/>
    <s v="Q4"/>
    <n v="2024"/>
    <m/>
  </r>
  <r>
    <s v="SAL-1879"/>
    <d v="2024-08-21T00:00:00"/>
    <s v="Kayla Ramirez"/>
    <x v="3"/>
    <s v="Lagos"/>
    <s v="Corporate"/>
    <s v="Electronics"/>
    <s v="Tablet"/>
    <n v="5"/>
    <n v="545.45000000000005"/>
    <n v="0.15"/>
    <n v="2318.16"/>
    <n v="1366.47"/>
    <n v="951.69"/>
    <s v="Mobile Payment"/>
    <n v="4"/>
    <s v="August"/>
    <s v="Q3"/>
    <n v="2024"/>
    <m/>
  </r>
  <r>
    <s v="SAL-1880"/>
    <d v="2024-07-20T00:00:00"/>
    <s v="Elizabeth Jacobson"/>
    <x v="1"/>
    <s v="Port Harcourt"/>
    <s v="Consumer"/>
    <s v="Clothing"/>
    <s v="Sneakers"/>
    <n v="12"/>
    <n v="300.58"/>
    <n v="0"/>
    <n v="3606.96"/>
    <n v="2316.9499999999998"/>
    <n v="1290.01"/>
    <s v="Transfer"/>
    <n v="2"/>
    <s v="July"/>
    <s v="Q3"/>
    <n v="2024"/>
    <m/>
  </r>
  <r>
    <s v="SAL-1881"/>
    <d v="2024-11-26T00:00:00"/>
    <s v="Tiffany Summers"/>
    <x v="2"/>
    <s v="Ibadan"/>
    <s v="Corporate"/>
    <s v="Furniture"/>
    <s v="Chair"/>
    <n v="10"/>
    <n v="569.63"/>
    <n v="0.1"/>
    <n v="5126.67"/>
    <n v="3821.21"/>
    <n v="1305.46"/>
    <s v="Transfer"/>
    <n v="4"/>
    <s v="November"/>
    <s v="Q4"/>
    <n v="2024"/>
    <m/>
  </r>
  <r>
    <s v="SAL-1882"/>
    <d v="2024-07-24T00:00:00"/>
    <s v="Christina Davis"/>
    <x v="4"/>
    <s v="Kano"/>
    <s v="Consumer"/>
    <s v="Furniture"/>
    <s v="Desk"/>
    <n v="7"/>
    <n v="714.43"/>
    <n v="0.1"/>
    <n v="4500.91"/>
    <n v="3094.07"/>
    <n v="1406.84"/>
    <s v="Cash"/>
    <n v="2"/>
    <s v="July"/>
    <s v="Q3"/>
    <n v="2024"/>
    <m/>
  </r>
  <r>
    <s v="SAL-1883"/>
    <d v="2024-02-09T00:00:00"/>
    <s v="Courtney Snyder"/>
    <x v="0"/>
    <s v="Kano"/>
    <s v="Corporate"/>
    <s v="Office Supplies"/>
    <s v="Notebook"/>
    <n v="7"/>
    <n v="591.08000000000004"/>
    <n v="0.1"/>
    <n v="3723.8"/>
    <n v="3102.9"/>
    <n v="620.9"/>
    <s v="Cash"/>
    <n v="2"/>
    <s v="February"/>
    <s v="Q1"/>
    <n v="2024"/>
    <m/>
  </r>
  <r>
    <s v="SAL-1884"/>
    <d v="2024-02-27T00:00:00"/>
    <s v="Barbara Fisher"/>
    <x v="2"/>
    <s v="Port Harcourt"/>
    <s v="Corporate"/>
    <s v="Furniture"/>
    <s v="Desk"/>
    <n v="3"/>
    <n v="12.49"/>
    <n v="0.15"/>
    <n v="31.85"/>
    <n v="17.27"/>
    <n v="14.58"/>
    <s v="Transfer"/>
    <n v="3"/>
    <s v="February"/>
    <s v="Q1"/>
    <n v="2024"/>
    <m/>
  </r>
  <r>
    <s v="SAL-1885"/>
    <d v="2024-10-08T00:00:00"/>
    <s v="Rebecca Perez"/>
    <x v="2"/>
    <s v="Abuja"/>
    <s v="Home Office"/>
    <s v="Furniture"/>
    <s v="Cabinet"/>
    <n v="5"/>
    <n v="584.96"/>
    <n v="0.1"/>
    <n v="2632.32"/>
    <n v="1922.78"/>
    <n v="709.54"/>
    <s v="Card"/>
    <n v="2"/>
    <s v="October"/>
    <s v="Q4"/>
    <n v="2024"/>
    <m/>
  </r>
  <r>
    <s v="SAL-1886"/>
    <d v="2024-06-24T00:00:00"/>
    <s v="Richard Rivers"/>
    <x v="2"/>
    <s v="Lagos"/>
    <s v="Corporate"/>
    <s v="Furniture"/>
    <s v="Chair"/>
    <n v="12"/>
    <n v="38.58"/>
    <n v="0.15"/>
    <n v="393.52"/>
    <n v="317.29000000000002"/>
    <n v="76.23"/>
    <s v="Mobile Payment"/>
    <n v="4"/>
    <s v="June"/>
    <s v="Q2"/>
    <n v="2024"/>
    <m/>
  </r>
  <r>
    <s v="SAL-1887"/>
    <d v="2024-09-15T00:00:00"/>
    <s v="Damon Avila"/>
    <x v="2"/>
    <s v="Kano"/>
    <s v="Corporate"/>
    <s v="Furniture"/>
    <s v="Desk"/>
    <n v="11"/>
    <n v="213.05"/>
    <n v="0.15"/>
    <n v="1992.02"/>
    <n v="1411.87"/>
    <n v="580.15"/>
    <s v="Card"/>
    <n v="5"/>
    <s v="September"/>
    <s v="Q3"/>
    <n v="2024"/>
    <m/>
  </r>
  <r>
    <s v="SAL-1888"/>
    <d v="2024-06-25T00:00:00"/>
    <s v="Paul Macias"/>
    <x v="3"/>
    <s v="Abuja"/>
    <s v="Consumer"/>
    <s v="Clothing"/>
    <s v="T-Shirt"/>
    <n v="5"/>
    <n v="432.05"/>
    <n v="0"/>
    <n v="2160.25"/>
    <n v="1727.6"/>
    <n v="432.65"/>
    <s v="Transfer"/>
    <n v="1"/>
    <s v="June"/>
    <s v="Q2"/>
    <n v="2024"/>
    <m/>
  </r>
  <r>
    <s v="SAL-1889"/>
    <d v="2024-06-29T00:00:00"/>
    <s v="Paul Rivera"/>
    <x v="3"/>
    <s v="Lagos"/>
    <s v="Consumer"/>
    <s v="Furniture"/>
    <s v="Chair"/>
    <n v="2"/>
    <n v="744.64"/>
    <n v="0.15"/>
    <n v="1265.8900000000001"/>
    <n v="921.12"/>
    <n v="344.77"/>
    <s v="Cash"/>
    <n v="1"/>
    <s v="June"/>
    <s v="Q2"/>
    <n v="2024"/>
    <m/>
  </r>
  <r>
    <s v="SAL-1890"/>
    <d v="2024-06-05T00:00:00"/>
    <s v="Chad Hughes"/>
    <x v="2"/>
    <s v="Lagos"/>
    <s v="Corporate"/>
    <s v="Electronics"/>
    <s v="Printer"/>
    <n v="6"/>
    <n v="351.21"/>
    <n v="0.15"/>
    <n v="1791.17"/>
    <n v="1161.8"/>
    <n v="629.37"/>
    <s v="Mobile Payment"/>
    <n v="2"/>
    <s v="June"/>
    <s v="Q2"/>
    <n v="2024"/>
    <m/>
  </r>
  <r>
    <s v="SAL-1891"/>
    <d v="2024-01-02T00:00:00"/>
    <s v="Jeffrey Price"/>
    <x v="0"/>
    <s v="Kano"/>
    <s v="Corporate"/>
    <s v="Clothing"/>
    <s v="T-Shirt"/>
    <n v="1"/>
    <n v="899.39"/>
    <n v="0.05"/>
    <n v="854.42"/>
    <n v="592.88"/>
    <n v="261.54000000000002"/>
    <s v="Mobile Payment"/>
    <n v="5"/>
    <s v="January"/>
    <s v="Q1"/>
    <n v="2024"/>
    <m/>
  </r>
  <r>
    <s v="SAL-1892"/>
    <d v="2024-08-30T00:00:00"/>
    <s v="Donna Lewis"/>
    <x v="0"/>
    <s v="Kano"/>
    <s v="Home Office"/>
    <s v="Electronics"/>
    <s v="Phone"/>
    <n v="5"/>
    <n v="880.83"/>
    <n v="0.1"/>
    <n v="3963.74"/>
    <n v="2803.95"/>
    <n v="1159.79"/>
    <s v="Transfer"/>
    <n v="5"/>
    <s v="August"/>
    <s v="Q3"/>
    <n v="2024"/>
    <m/>
  </r>
  <r>
    <s v="SAL-1893"/>
    <d v="2024-11-15T00:00:00"/>
    <s v="Cassandra Vasquez"/>
    <x v="4"/>
    <s v="Kano"/>
    <s v="Consumer"/>
    <s v="Furniture"/>
    <s v="Cabinet"/>
    <n v="9"/>
    <n v="925.91"/>
    <n v="0.15"/>
    <n v="7083.21"/>
    <n v="3953.46"/>
    <n v="3129.75"/>
    <s v="Mobile Payment"/>
    <n v="1"/>
    <s v="November"/>
    <s v="Q4"/>
    <n v="2024"/>
    <m/>
  </r>
  <r>
    <s v="SAL-1894"/>
    <d v="2024-05-02T00:00:00"/>
    <s v="Kelly Nelson"/>
    <x v="2"/>
    <s v="Port Harcourt"/>
    <s v="Consumer"/>
    <s v="Furniture"/>
    <s v="Desk"/>
    <n v="5"/>
    <n v="894.36"/>
    <n v="0.15"/>
    <n v="3801.03"/>
    <n v="2191.7199999999998"/>
    <n v="1609.31"/>
    <s v="Cash"/>
    <n v="4"/>
    <s v="May"/>
    <s v="Q2"/>
    <n v="2024"/>
    <m/>
  </r>
  <r>
    <s v="SAL-1895"/>
    <d v="2024-10-13T00:00:00"/>
    <s v="Stephanie Jones"/>
    <x v="3"/>
    <s v="Abuja"/>
    <s v="Consumer"/>
    <s v="Clothing"/>
    <s v="T-Shirt"/>
    <n v="8"/>
    <n v="1132.6300000000001"/>
    <n v="0"/>
    <n v="9061.0400000000009"/>
    <n v="4861.25"/>
    <n v="4199.79"/>
    <s v="Transfer"/>
    <n v="3"/>
    <s v="October"/>
    <s v="Q4"/>
    <n v="2024"/>
    <m/>
  </r>
  <r>
    <s v="SAL-1896"/>
    <d v="2024-09-20T00:00:00"/>
    <s v="Misty Garcia"/>
    <x v="4"/>
    <s v="Lagos"/>
    <s v="Home Office"/>
    <s v="Clothing"/>
    <s v="T-Shirt"/>
    <n v="7"/>
    <n v="964.14"/>
    <n v="0"/>
    <n v="6748.98"/>
    <n v="3959.71"/>
    <n v="2789.27"/>
    <s v="Card"/>
    <n v="3"/>
    <s v="September"/>
    <s v="Q3"/>
    <n v="2024"/>
    <m/>
  </r>
  <r>
    <s v="SAL-1897"/>
    <d v="2024-02-24T00:00:00"/>
    <s v="Andrew Peters"/>
    <x v="3"/>
    <s v="Port Harcourt"/>
    <s v="Corporate"/>
    <s v="Office Supplies"/>
    <s v="Paper"/>
    <n v="8"/>
    <n v="909.2"/>
    <n v="0"/>
    <n v="7273.6"/>
    <n v="3985.86"/>
    <n v="3287.74"/>
    <s v="Card"/>
    <n v="3"/>
    <s v="February"/>
    <s v="Q1"/>
    <n v="2024"/>
    <m/>
  </r>
  <r>
    <s v="SAL-1898"/>
    <d v="2024-04-01T00:00:00"/>
    <s v="Mr. Ryan Shields Jr."/>
    <x v="2"/>
    <s v="Ibadan"/>
    <s v="Corporate"/>
    <s v="Clothing"/>
    <s v="T-Shirt"/>
    <n v="10"/>
    <n v="1171.4100000000001"/>
    <n v="0.05"/>
    <n v="11128.4"/>
    <n v="9371.36"/>
    <n v="1757.04"/>
    <s v="Cash"/>
    <n v="3"/>
    <s v="April"/>
    <s v="Q2"/>
    <n v="2024"/>
    <m/>
  </r>
  <r>
    <s v="SAL-1899"/>
    <d v="2024-08-14T00:00:00"/>
    <s v="Whitney Morton"/>
    <x v="1"/>
    <s v="Ibadan"/>
    <s v="Corporate"/>
    <s v="Office Supplies"/>
    <s v="Notebook"/>
    <n v="4"/>
    <n v="191.85"/>
    <n v="0"/>
    <n v="767.4"/>
    <n v="481.24"/>
    <n v="286.16000000000003"/>
    <s v="Mobile Payment"/>
    <n v="3"/>
    <s v="August"/>
    <s v="Q3"/>
    <n v="2024"/>
    <m/>
  </r>
  <r>
    <s v="SAL-1900"/>
    <d v="2024-02-16T00:00:00"/>
    <s v="Alexis Campbell"/>
    <x v="3"/>
    <s v="Abuja"/>
    <s v="Consumer"/>
    <s v="Furniture"/>
    <s v="Chair"/>
    <n v="5"/>
    <n v="971.44"/>
    <n v="0.15"/>
    <n v="4128.62"/>
    <n v="2772.24"/>
    <n v="1356.38"/>
    <s v="Transfer"/>
    <n v="2"/>
    <s v="February"/>
    <s v="Q1"/>
    <n v="2024"/>
    <m/>
  </r>
  <r>
    <s v="SAL-1901"/>
    <d v="2024-07-03T00:00:00"/>
    <s v="Kelly Sanchez"/>
    <x v="2"/>
    <s v="Port Harcourt"/>
    <s v="Corporate"/>
    <s v="Office Supplies"/>
    <s v="Pen"/>
    <n v="2"/>
    <n v="589.14"/>
    <n v="0.05"/>
    <n v="1119.3699999999999"/>
    <n v="595.12"/>
    <n v="524.25"/>
    <s v="Cash"/>
    <n v="5"/>
    <s v="July"/>
    <s v="Q3"/>
    <n v="2024"/>
    <m/>
  </r>
  <r>
    <s v="SAL-1902"/>
    <d v="2024-02-13T00:00:00"/>
    <s v="Dawn Taylor"/>
    <x v="0"/>
    <s v="Port Harcourt"/>
    <s v="Home Office"/>
    <s v="Electronics"/>
    <s v="Printer"/>
    <n v="9"/>
    <n v="1118.3800000000001"/>
    <n v="0.15"/>
    <n v="8555.61"/>
    <n v="6465.78"/>
    <n v="2089.83"/>
    <s v="Card"/>
    <n v="4"/>
    <s v="February"/>
    <s v="Q1"/>
    <n v="2024"/>
    <m/>
  </r>
  <r>
    <s v="SAL-1903"/>
    <d v="2024-05-19T00:00:00"/>
    <s v="Lindsey Vaughn"/>
    <x v="4"/>
    <s v="Lagos"/>
    <s v="Home Office"/>
    <s v="Furniture"/>
    <s v="Cabinet"/>
    <n v="10"/>
    <n v="1083.4100000000001"/>
    <n v="0.15"/>
    <n v="9208.99"/>
    <n v="4782.2299999999996"/>
    <n v="4426.76"/>
    <s v="Transfer"/>
    <n v="1"/>
    <s v="May"/>
    <s v="Q2"/>
    <n v="2024"/>
    <m/>
  </r>
  <r>
    <s v="SAL-1904"/>
    <d v="2024-04-13T00:00:00"/>
    <s v="Austin Salazar"/>
    <x v="1"/>
    <s v="Ibadan"/>
    <s v="Home Office"/>
    <s v="Office Supplies"/>
    <s v="Pen"/>
    <n v="4"/>
    <n v="1125.8499999999999"/>
    <n v="0.05"/>
    <n v="4278.2299999999996"/>
    <n v="2380.44"/>
    <n v="1897.79"/>
    <s v="Transfer"/>
    <n v="5"/>
    <s v="April"/>
    <s v="Q2"/>
    <n v="2024"/>
    <m/>
  </r>
  <r>
    <s v="SAL-1905"/>
    <d v="2024-02-20T00:00:00"/>
    <s v="Anita Vance"/>
    <x v="2"/>
    <s v="Abuja"/>
    <s v="Consumer"/>
    <s v="Office Supplies"/>
    <s v="Pen"/>
    <n v="10"/>
    <n v="449.99"/>
    <n v="0.1"/>
    <n v="4049.91"/>
    <n v="2975.23"/>
    <n v="1074.68"/>
    <s v="Transfer"/>
    <n v="5"/>
    <s v="February"/>
    <s v="Q1"/>
    <n v="2024"/>
    <m/>
  </r>
  <r>
    <s v="SAL-1906"/>
    <d v="2024-03-13T00:00:00"/>
    <s v="Joseph Brown"/>
    <x v="2"/>
    <s v="Lagos"/>
    <s v="Home Office"/>
    <s v="Furniture"/>
    <s v="Desk"/>
    <n v="6"/>
    <n v="309.73"/>
    <n v="0.15"/>
    <n v="1579.62"/>
    <n v="1244.99"/>
    <n v="334.63"/>
    <s v="Mobile Payment"/>
    <n v="5"/>
    <s v="March"/>
    <s v="Q1"/>
    <n v="2024"/>
    <m/>
  </r>
  <r>
    <s v="SAL-1907"/>
    <d v="2024-03-04T00:00:00"/>
    <s v="Kelly Walton"/>
    <x v="4"/>
    <s v="Kano"/>
    <s v="Consumer"/>
    <s v="Office Supplies"/>
    <s v="Pen"/>
    <n v="7"/>
    <n v="837.53"/>
    <n v="0.05"/>
    <n v="5569.57"/>
    <n v="3436.97"/>
    <n v="2132.6"/>
    <s v="Mobile Payment"/>
    <n v="2"/>
    <s v="March"/>
    <s v="Q1"/>
    <n v="2024"/>
    <m/>
  </r>
  <r>
    <s v="SAL-1908"/>
    <d v="2024-05-05T00:00:00"/>
    <s v="Mr. Steven Crawford"/>
    <x v="0"/>
    <s v="Port Harcourt"/>
    <s v="Home Office"/>
    <s v="Electronics"/>
    <s v="Phone"/>
    <n v="2"/>
    <n v="934.31"/>
    <n v="0.15"/>
    <n v="1588.33"/>
    <n v="971.78"/>
    <n v="616.54999999999995"/>
    <s v="Mobile Payment"/>
    <n v="5"/>
    <s v="May"/>
    <s v="Q2"/>
    <n v="2024"/>
    <m/>
  </r>
  <r>
    <s v="SAL-1909"/>
    <d v="2024-07-08T00:00:00"/>
    <s v="Kimberly Chavez"/>
    <x v="4"/>
    <s v="Ibadan"/>
    <s v="Corporate"/>
    <s v="Furniture"/>
    <s v="Desk"/>
    <n v="11"/>
    <n v="412.73"/>
    <n v="0.15"/>
    <n v="3859.03"/>
    <n v="2148.1999999999998"/>
    <n v="1710.83"/>
    <s v="Cash"/>
    <n v="2"/>
    <s v="July"/>
    <s v="Q3"/>
    <n v="2024"/>
    <m/>
  </r>
  <r>
    <s v="SAL-1910"/>
    <d v="2024-06-30T00:00:00"/>
    <s v="Brian Hoffman"/>
    <x v="2"/>
    <s v="Kano"/>
    <s v="Corporate"/>
    <s v="Furniture"/>
    <s v="Desk"/>
    <n v="5"/>
    <n v="830.67"/>
    <n v="0.1"/>
    <n v="3738.01"/>
    <n v="2642.18"/>
    <n v="1095.83"/>
    <s v="Cash"/>
    <n v="1"/>
    <s v="June"/>
    <s v="Q2"/>
    <n v="2024"/>
    <m/>
  </r>
  <r>
    <s v="SAL-1911"/>
    <d v="2024-11-22T00:00:00"/>
    <s v="Clayton Berger"/>
    <x v="1"/>
    <s v="Port Harcourt"/>
    <s v="Consumer"/>
    <s v="Electronics"/>
    <s v="Tablet"/>
    <n v="4"/>
    <n v="1161.5"/>
    <n v="0"/>
    <n v="4646"/>
    <n v="3199.05"/>
    <n v="1446.95"/>
    <s v="Transfer"/>
    <n v="4"/>
    <s v="November"/>
    <s v="Q4"/>
    <n v="2024"/>
    <m/>
  </r>
  <r>
    <s v="SAL-1912"/>
    <d v="2024-04-28T00:00:00"/>
    <s v="Christopher Adams"/>
    <x v="4"/>
    <s v="Abuja"/>
    <s v="Corporate"/>
    <s v="Electronics"/>
    <s v="Printer"/>
    <n v="6"/>
    <n v="1096.71"/>
    <n v="0.05"/>
    <n v="6251.25"/>
    <n v="4446.6400000000003"/>
    <n v="1804.61"/>
    <s v="Mobile Payment"/>
    <n v="4"/>
    <s v="April"/>
    <s v="Q2"/>
    <n v="2024"/>
    <m/>
  </r>
  <r>
    <s v="SAL-1913"/>
    <d v="2024-04-24T00:00:00"/>
    <s v="Jo Davis"/>
    <x v="0"/>
    <s v="Kano"/>
    <s v="Corporate"/>
    <s v="Clothing"/>
    <s v="Sneakers"/>
    <n v="8"/>
    <n v="545.16999999999996"/>
    <n v="0"/>
    <n v="4361.3599999999997"/>
    <n v="2578.64"/>
    <n v="1782.72"/>
    <s v="Transfer"/>
    <n v="1"/>
    <s v="April"/>
    <s v="Q2"/>
    <n v="2024"/>
    <m/>
  </r>
  <r>
    <s v="SAL-1914"/>
    <d v="2024-01-28T00:00:00"/>
    <s v="Stephanie Greene"/>
    <x v="0"/>
    <s v="Kano"/>
    <s v="Consumer"/>
    <s v="Electronics"/>
    <s v="Phone"/>
    <n v="11"/>
    <n v="591.66"/>
    <n v="0"/>
    <n v="6508.26"/>
    <n v="5443.4"/>
    <n v="1064.8599999999999"/>
    <s v="Card"/>
    <n v="3"/>
    <s v="January"/>
    <s v="Q1"/>
    <n v="2024"/>
    <m/>
  </r>
  <r>
    <s v="SAL-1915"/>
    <d v="2024-01-18T00:00:00"/>
    <s v="Erin Brooks"/>
    <x v="0"/>
    <s v="Kano"/>
    <s v="Home Office"/>
    <s v="Clothing"/>
    <s v="T-Shirt"/>
    <n v="5"/>
    <n v="1015.47"/>
    <n v="0.15"/>
    <n v="4315.75"/>
    <n v="2299.7800000000002"/>
    <n v="2015.97"/>
    <s v="Mobile Payment"/>
    <n v="2"/>
    <s v="January"/>
    <s v="Q1"/>
    <n v="2024"/>
    <m/>
  </r>
  <r>
    <s v="SAL-1916"/>
    <d v="2024-08-13T00:00:00"/>
    <s v="Chad Webster"/>
    <x v="2"/>
    <s v="Port Harcourt"/>
    <s v="Home Office"/>
    <s v="Furniture"/>
    <s v="Chair"/>
    <n v="4"/>
    <n v="610.29"/>
    <n v="0"/>
    <n v="2441.16"/>
    <n v="1534.43"/>
    <n v="906.73"/>
    <s v="Mobile Payment"/>
    <n v="1"/>
    <s v="August"/>
    <s v="Q3"/>
    <n v="2024"/>
    <m/>
  </r>
  <r>
    <s v="SAL-1917"/>
    <d v="2024-03-14T00:00:00"/>
    <s v="Nancy Everett"/>
    <x v="1"/>
    <s v="Lagos"/>
    <s v="Corporate"/>
    <s v="Furniture"/>
    <s v="Cabinet"/>
    <n v="10"/>
    <n v="895.05"/>
    <n v="0.1"/>
    <n v="8055.45"/>
    <n v="4536.6000000000004"/>
    <n v="3518.85"/>
    <s v="Cash"/>
    <n v="3"/>
    <s v="March"/>
    <s v="Q1"/>
    <n v="2024"/>
    <m/>
  </r>
  <r>
    <s v="SAL-1918"/>
    <d v="2024-08-21T00:00:00"/>
    <s v="Gary Martinez"/>
    <x v="1"/>
    <s v="Ibadan"/>
    <s v="Home Office"/>
    <s v="Clothing"/>
    <s v="Sneakers"/>
    <n v="2"/>
    <n v="326.57"/>
    <n v="0.1"/>
    <n v="587.83000000000004"/>
    <n v="494.22"/>
    <n v="93.61"/>
    <s v="Cash"/>
    <n v="5"/>
    <s v="August"/>
    <s v="Q3"/>
    <n v="2024"/>
    <m/>
  </r>
  <r>
    <s v="SAL-1919"/>
    <d v="2024-05-28T00:00:00"/>
    <s v="Mary Williams"/>
    <x v="0"/>
    <s v="Ibadan"/>
    <s v="Corporate"/>
    <s v="Clothing"/>
    <s v="Sneakers"/>
    <n v="7"/>
    <n v="963.02"/>
    <n v="0.1"/>
    <n v="6067.03"/>
    <n v="3261.6"/>
    <n v="2805.43"/>
    <s v="Transfer"/>
    <n v="3"/>
    <s v="May"/>
    <s v="Q2"/>
    <n v="2024"/>
    <m/>
  </r>
  <r>
    <s v="SAL-1920"/>
    <d v="2024-12-24T00:00:00"/>
    <s v="Miss Michelle Garcia"/>
    <x v="2"/>
    <s v="Lagos"/>
    <s v="Consumer"/>
    <s v="Electronics"/>
    <s v="Printer"/>
    <n v="7"/>
    <n v="866.91"/>
    <n v="0.05"/>
    <n v="5764.95"/>
    <n v="4511.57"/>
    <n v="1253.3800000000001"/>
    <s v="Card"/>
    <n v="4"/>
    <s v="December"/>
    <s v="Q4"/>
    <n v="2024"/>
    <m/>
  </r>
  <r>
    <s v="SAL-1921"/>
    <d v="2024-02-07T00:00:00"/>
    <s v="Kyle Bauer"/>
    <x v="3"/>
    <s v="Ibadan"/>
    <s v="Corporate"/>
    <s v="Office Supplies"/>
    <s v="Pen"/>
    <n v="11"/>
    <n v="97.39"/>
    <n v="0.05"/>
    <n v="1017.73"/>
    <n v="523.29"/>
    <n v="494.44"/>
    <s v="Card"/>
    <n v="1"/>
    <s v="February"/>
    <s v="Q1"/>
    <n v="2024"/>
    <m/>
  </r>
  <r>
    <s v="SAL-1922"/>
    <d v="2024-02-20T00:00:00"/>
    <s v="Todd Klein"/>
    <x v="1"/>
    <s v="Kano"/>
    <s v="Consumer"/>
    <s v="Furniture"/>
    <s v="Cabinet"/>
    <n v="4"/>
    <n v="574.34"/>
    <n v="0"/>
    <n v="2297.36"/>
    <n v="1462.99"/>
    <n v="834.37"/>
    <s v="Card"/>
    <n v="1"/>
    <s v="February"/>
    <s v="Q1"/>
    <n v="2024"/>
    <m/>
  </r>
  <r>
    <s v="SAL-1923"/>
    <d v="2024-04-30T00:00:00"/>
    <s v="Angelica Jones"/>
    <x v="3"/>
    <s v="Ibadan"/>
    <s v="Consumer"/>
    <s v="Electronics"/>
    <s v="Printer"/>
    <n v="7"/>
    <n v="301.74"/>
    <n v="0.15"/>
    <n v="1795.35"/>
    <n v="1054.33"/>
    <n v="741.02"/>
    <s v="Card"/>
    <n v="5"/>
    <s v="April"/>
    <s v="Q2"/>
    <n v="2024"/>
    <m/>
  </r>
  <r>
    <s v="SAL-1924"/>
    <d v="2024-01-11T00:00:00"/>
    <s v="Emily Bond"/>
    <x v="2"/>
    <s v="Abuja"/>
    <s v="Home Office"/>
    <s v="Office Supplies"/>
    <s v="Pen"/>
    <n v="1"/>
    <n v="338.9"/>
    <n v="0.15"/>
    <n v="288.06"/>
    <n v="167.17"/>
    <n v="120.89"/>
    <s v="Cash"/>
    <n v="3"/>
    <s v="January"/>
    <s v="Q1"/>
    <n v="2024"/>
    <m/>
  </r>
  <r>
    <s v="SAL-1925"/>
    <d v="2024-03-03T00:00:00"/>
    <s v="Samuel Chang"/>
    <x v="2"/>
    <s v="Kano"/>
    <s v="Home Office"/>
    <s v="Clothing"/>
    <s v="T-Shirt"/>
    <n v="3"/>
    <n v="195.76"/>
    <n v="0.1"/>
    <n v="528.54999999999995"/>
    <n v="368.26"/>
    <n v="160.29"/>
    <s v="Mobile Payment"/>
    <n v="4"/>
    <s v="March"/>
    <s v="Q1"/>
    <n v="2024"/>
    <m/>
  </r>
  <r>
    <s v="SAL-1926"/>
    <d v="2024-04-28T00:00:00"/>
    <s v="Kristen Savage"/>
    <x v="3"/>
    <s v="Ibadan"/>
    <s v="Home Office"/>
    <s v="Electronics"/>
    <s v="Printer"/>
    <n v="12"/>
    <n v="798.11"/>
    <n v="0.1"/>
    <n v="8619.59"/>
    <n v="5067.58"/>
    <n v="3552.01"/>
    <s v="Cash"/>
    <n v="2"/>
    <s v="April"/>
    <s v="Q2"/>
    <n v="2024"/>
    <m/>
  </r>
  <r>
    <s v="SAL-1927"/>
    <d v="2024-03-28T00:00:00"/>
    <s v="James Hall"/>
    <x v="4"/>
    <s v="Ibadan"/>
    <s v="Home Office"/>
    <s v="Office Supplies"/>
    <s v="Notebook"/>
    <n v="2"/>
    <n v="97.87"/>
    <n v="0.15"/>
    <n v="166.38"/>
    <n v="139.83000000000001"/>
    <n v="26.55"/>
    <s v="Card"/>
    <n v="1"/>
    <s v="March"/>
    <s v="Q1"/>
    <n v="2024"/>
    <m/>
  </r>
  <r>
    <s v="SAL-1928"/>
    <d v="2024-08-22T00:00:00"/>
    <s v="Jeremy Curry"/>
    <x v="3"/>
    <s v="Ibadan"/>
    <s v="Consumer"/>
    <s v="Furniture"/>
    <s v="Desk"/>
    <n v="7"/>
    <n v="249.77"/>
    <n v="0"/>
    <n v="1748.39"/>
    <n v="945.94"/>
    <n v="802.45"/>
    <s v="Cash"/>
    <n v="3"/>
    <s v="August"/>
    <s v="Q3"/>
    <n v="2024"/>
    <m/>
  </r>
  <r>
    <s v="SAL-1929"/>
    <d v="2024-10-11T00:00:00"/>
    <s v="Zachary Roberts"/>
    <x v="3"/>
    <s v="Kano"/>
    <s v="Home Office"/>
    <s v="Electronics"/>
    <s v="Laptop"/>
    <n v="1"/>
    <n v="263.86"/>
    <n v="0"/>
    <n v="263.86"/>
    <n v="190.08"/>
    <n v="73.78"/>
    <s v="Transfer"/>
    <n v="2"/>
    <s v="October"/>
    <s v="Q4"/>
    <n v="2024"/>
    <m/>
  </r>
  <r>
    <s v="SAL-1930"/>
    <d v="2024-07-01T00:00:00"/>
    <s v="Dustin Davis"/>
    <x v="0"/>
    <s v="Abuja"/>
    <s v="Consumer"/>
    <s v="Office Supplies"/>
    <s v="Pen"/>
    <n v="9"/>
    <n v="980.98"/>
    <n v="0.15"/>
    <n v="7504.5"/>
    <n v="5586.01"/>
    <n v="1918.49"/>
    <s v="Card"/>
    <n v="4"/>
    <s v="July"/>
    <s v="Q3"/>
    <n v="2024"/>
    <m/>
  </r>
  <r>
    <s v="SAL-1931"/>
    <d v="2024-06-10T00:00:00"/>
    <s v="Luke Stewart"/>
    <x v="0"/>
    <s v="Abuja"/>
    <s v="Home Office"/>
    <s v="Electronics"/>
    <s v="Laptop"/>
    <n v="8"/>
    <n v="1073.94"/>
    <n v="0.1"/>
    <n v="7732.37"/>
    <n v="6485.5"/>
    <n v="1246.8699999999999"/>
    <s v="Card"/>
    <n v="3"/>
    <s v="June"/>
    <s v="Q2"/>
    <n v="2024"/>
    <m/>
  </r>
  <r>
    <s v="SAL-1932"/>
    <d v="2024-04-07T00:00:00"/>
    <s v="Rodney Jones"/>
    <x v="3"/>
    <s v="Abuja"/>
    <s v="Home Office"/>
    <s v="Office Supplies"/>
    <s v="Pen"/>
    <n v="7"/>
    <n v="263.14"/>
    <n v="0.05"/>
    <n v="1749.88"/>
    <n v="950.35"/>
    <n v="799.53"/>
    <s v="Card"/>
    <n v="5"/>
    <s v="April"/>
    <s v="Q2"/>
    <n v="2024"/>
    <m/>
  </r>
  <r>
    <s v="SAL-1933"/>
    <d v="2024-06-03T00:00:00"/>
    <s v="Mindy Robbins"/>
    <x v="4"/>
    <s v="Lagos"/>
    <s v="Home Office"/>
    <s v="Electronics"/>
    <s v="Tablet"/>
    <n v="12"/>
    <n v="111.39"/>
    <n v="0.05"/>
    <n v="1269.8499999999999"/>
    <n v="657.02"/>
    <n v="612.83000000000004"/>
    <s v="Transfer"/>
    <n v="4"/>
    <s v="June"/>
    <s v="Q2"/>
    <n v="2024"/>
    <m/>
  </r>
  <r>
    <s v="SAL-1934"/>
    <d v="2024-08-12T00:00:00"/>
    <s v="Austin Kim"/>
    <x v="2"/>
    <s v="Ibadan"/>
    <s v="Corporate"/>
    <s v="Office Supplies"/>
    <s v="Notebook"/>
    <n v="10"/>
    <n v="787.96"/>
    <n v="0"/>
    <n v="7879.6"/>
    <n v="5796.99"/>
    <n v="2082.61"/>
    <s v="Card"/>
    <n v="1"/>
    <s v="August"/>
    <s v="Q3"/>
    <n v="2024"/>
    <m/>
  </r>
  <r>
    <s v="SAL-1935"/>
    <d v="2024-04-19T00:00:00"/>
    <s v="Michael Marks"/>
    <x v="1"/>
    <s v="Ibadan"/>
    <s v="Home Office"/>
    <s v="Clothing"/>
    <s v="T-Shirt"/>
    <n v="7"/>
    <n v="704.46"/>
    <n v="0.1"/>
    <n v="4438.1000000000004"/>
    <n v="2935.33"/>
    <n v="1502.77"/>
    <s v="Transfer"/>
    <n v="2"/>
    <s v="April"/>
    <s v="Q2"/>
    <n v="2024"/>
    <m/>
  </r>
  <r>
    <s v="SAL-1936"/>
    <d v="2024-09-30T00:00:00"/>
    <s v="Dennis Bishop"/>
    <x v="3"/>
    <s v="Lagos"/>
    <s v="Consumer"/>
    <s v="Furniture"/>
    <s v="Cabinet"/>
    <n v="5"/>
    <n v="830.11"/>
    <n v="0"/>
    <n v="4150.55"/>
    <n v="2281.9499999999998"/>
    <n v="1868.6"/>
    <s v="Transfer"/>
    <n v="5"/>
    <s v="September"/>
    <s v="Q3"/>
    <n v="2024"/>
    <m/>
  </r>
  <r>
    <s v="SAL-1937"/>
    <d v="2024-05-29T00:00:00"/>
    <s v="Sarah Reid"/>
    <x v="3"/>
    <s v="Ibadan"/>
    <s v="Home Office"/>
    <s v="Office Supplies"/>
    <s v="Pen"/>
    <n v="5"/>
    <n v="80.680000000000007"/>
    <n v="0.05"/>
    <n v="383.23"/>
    <n v="263.10000000000002"/>
    <n v="120.13"/>
    <s v="Cash"/>
    <n v="3"/>
    <s v="May"/>
    <s v="Q2"/>
    <n v="2024"/>
    <m/>
  </r>
  <r>
    <s v="SAL-1938"/>
    <d v="2024-09-20T00:00:00"/>
    <s v="Mary Washington"/>
    <x v="4"/>
    <s v="Lagos"/>
    <s v="Corporate"/>
    <s v="Office Supplies"/>
    <s v="Pen"/>
    <n v="8"/>
    <n v="1154.0899999999999"/>
    <n v="0.05"/>
    <n v="8771.08"/>
    <n v="7292.15"/>
    <n v="1478.93"/>
    <s v="Transfer"/>
    <n v="3"/>
    <s v="September"/>
    <s v="Q3"/>
    <n v="2024"/>
    <m/>
  </r>
  <r>
    <s v="SAL-1939"/>
    <d v="2024-02-15T00:00:00"/>
    <s v="Terry Miller"/>
    <x v="1"/>
    <s v="Port Harcourt"/>
    <s v="Corporate"/>
    <s v="Furniture"/>
    <s v="Chair"/>
    <n v="10"/>
    <n v="878.36"/>
    <n v="0.05"/>
    <n v="8344.42"/>
    <n v="6409.24"/>
    <n v="1935.18"/>
    <s v="Mobile Payment"/>
    <n v="4"/>
    <s v="February"/>
    <s v="Q1"/>
    <n v="2024"/>
    <m/>
  </r>
  <r>
    <s v="SAL-1940"/>
    <d v="2024-03-24T00:00:00"/>
    <s v="Cassandra Spencer"/>
    <x v="3"/>
    <s v="Abuja"/>
    <s v="Corporate"/>
    <s v="Clothing"/>
    <s v="Jacket"/>
    <n v="10"/>
    <n v="521.84"/>
    <n v="0.05"/>
    <n v="4957.4799999999996"/>
    <n v="2518.3200000000002"/>
    <n v="2439.16"/>
    <s v="Cash"/>
    <n v="5"/>
    <s v="March"/>
    <s v="Q1"/>
    <n v="2024"/>
    <m/>
  </r>
  <r>
    <s v="SAL-1941"/>
    <d v="2024-01-31T00:00:00"/>
    <s v="Stephanie Copeland"/>
    <x v="2"/>
    <s v="Kano"/>
    <s v="Consumer"/>
    <s v="Office Supplies"/>
    <s v="Notebook"/>
    <n v="1"/>
    <n v="766.41"/>
    <n v="0"/>
    <n v="766.41"/>
    <n v="393.95"/>
    <n v="372.46"/>
    <s v="Card"/>
    <n v="4"/>
    <s v="January"/>
    <s v="Q1"/>
    <n v="2024"/>
    <m/>
  </r>
  <r>
    <s v="SAL-1942"/>
    <d v="2024-10-29T00:00:00"/>
    <s v="Gabriela Lynch"/>
    <x v="0"/>
    <s v="Lagos"/>
    <s v="Corporate"/>
    <s v="Clothing"/>
    <s v="T-Shirt"/>
    <n v="5"/>
    <n v="40.380000000000003"/>
    <n v="0.1"/>
    <n v="181.71"/>
    <n v="126.48"/>
    <n v="55.23"/>
    <s v="Mobile Payment"/>
    <n v="5"/>
    <s v="October"/>
    <s v="Q4"/>
    <n v="2024"/>
    <m/>
  </r>
  <r>
    <s v="SAL-1943"/>
    <d v="2024-09-24T00:00:00"/>
    <s v="Dana Higgins"/>
    <x v="3"/>
    <s v="Port Harcourt"/>
    <s v="Home Office"/>
    <s v="Office Supplies"/>
    <s v="Paper"/>
    <n v="8"/>
    <n v="705.38"/>
    <n v="0.05"/>
    <n v="5360.89"/>
    <n v="4180.04"/>
    <n v="1180.8499999999999"/>
    <s v="Transfer"/>
    <n v="4"/>
    <s v="September"/>
    <s v="Q3"/>
    <n v="2024"/>
    <m/>
  </r>
  <r>
    <s v="SAL-1944"/>
    <d v="2024-07-13T00:00:00"/>
    <s v="Dr. Peter Carson"/>
    <x v="0"/>
    <s v="Ibadan"/>
    <s v="Corporate"/>
    <s v="Electronics"/>
    <s v="Phone"/>
    <n v="1"/>
    <n v="1059.57"/>
    <n v="0.15"/>
    <n v="900.63"/>
    <n v="565.25"/>
    <n v="335.38"/>
    <s v="Mobile Payment"/>
    <n v="2"/>
    <s v="July"/>
    <s v="Q3"/>
    <n v="2024"/>
    <m/>
  </r>
  <r>
    <s v="SAL-1945"/>
    <d v="2024-03-08T00:00:00"/>
    <s v="Tina Ewing"/>
    <x v="0"/>
    <s v="Ibadan"/>
    <s v="Home Office"/>
    <s v="Furniture"/>
    <s v="Chair"/>
    <n v="6"/>
    <n v="123.69"/>
    <n v="0.05"/>
    <n v="705.03"/>
    <n v="392.28"/>
    <n v="312.75"/>
    <s v="Transfer"/>
    <n v="4"/>
    <s v="March"/>
    <s v="Q1"/>
    <n v="2024"/>
    <m/>
  </r>
  <r>
    <s v="SAL-1946"/>
    <d v="2024-10-24T00:00:00"/>
    <s v="Jessica Cooper"/>
    <x v="3"/>
    <s v="Kano"/>
    <s v="Home Office"/>
    <s v="Clothing"/>
    <s v="T-Shirt"/>
    <n v="1"/>
    <n v="600.09"/>
    <n v="0.05"/>
    <n v="570.09"/>
    <n v="373.35"/>
    <n v="196.74"/>
    <s v="Card"/>
    <n v="1"/>
    <s v="October"/>
    <s v="Q4"/>
    <n v="2024"/>
    <m/>
  </r>
  <r>
    <s v="SAL-1947"/>
    <d v="2024-10-20T00:00:00"/>
    <s v="Audrey Taylor"/>
    <x v="4"/>
    <s v="Kano"/>
    <s v="Consumer"/>
    <s v="Clothing"/>
    <s v="T-Shirt"/>
    <n v="1"/>
    <n v="640.80999999999995"/>
    <n v="0.15"/>
    <n v="544.69000000000005"/>
    <n v="347.63"/>
    <n v="197.06"/>
    <s v="Card"/>
    <n v="4"/>
    <s v="October"/>
    <s v="Q4"/>
    <n v="2024"/>
    <m/>
  </r>
  <r>
    <s v="SAL-1948"/>
    <d v="2024-10-26T00:00:00"/>
    <s v="Danielle Cabrera"/>
    <x v="2"/>
    <s v="Lagos"/>
    <s v="Home Office"/>
    <s v="Electronics"/>
    <s v="Tablet"/>
    <n v="8"/>
    <n v="346.78"/>
    <n v="0.05"/>
    <n v="2635.53"/>
    <n v="1607.19"/>
    <n v="1028.3399999999999"/>
    <s v="Mobile Payment"/>
    <n v="1"/>
    <s v="October"/>
    <s v="Q4"/>
    <n v="2024"/>
    <m/>
  </r>
  <r>
    <s v="SAL-1949"/>
    <d v="2024-08-11T00:00:00"/>
    <s v="Mr. Jeffery Townsend"/>
    <x v="1"/>
    <s v="Abuja"/>
    <s v="Consumer"/>
    <s v="Furniture"/>
    <s v="Chair"/>
    <n v="3"/>
    <n v="245.96"/>
    <n v="0.15"/>
    <n v="627.20000000000005"/>
    <n v="345.9"/>
    <n v="281.3"/>
    <s v="Cash"/>
    <n v="1"/>
    <s v="August"/>
    <s v="Q3"/>
    <n v="2024"/>
    <m/>
  </r>
  <r>
    <s v="SAL-1950"/>
    <d v="2024-11-24T00:00:00"/>
    <s v="Eric Carpenter"/>
    <x v="2"/>
    <s v="Ibadan"/>
    <s v="Corporate"/>
    <s v="Furniture"/>
    <s v="Cabinet"/>
    <n v="3"/>
    <n v="1076.81"/>
    <n v="0"/>
    <n v="3230.43"/>
    <n v="2557.66"/>
    <n v="672.77"/>
    <s v="Mobile Payment"/>
    <n v="5"/>
    <s v="November"/>
    <s v="Q4"/>
    <n v="2024"/>
    <m/>
  </r>
  <r>
    <s v="SAL-1951"/>
    <d v="2024-12-09T00:00:00"/>
    <s v="Jeffrey White"/>
    <x v="4"/>
    <s v="Lagos"/>
    <s v="Consumer"/>
    <s v="Furniture"/>
    <s v="Cabinet"/>
    <n v="5"/>
    <n v="332.5"/>
    <n v="0.15"/>
    <n v="1413.12"/>
    <n v="1020.3"/>
    <n v="392.82"/>
    <s v="Card"/>
    <n v="2"/>
    <s v="December"/>
    <s v="Q4"/>
    <n v="2024"/>
    <m/>
  </r>
  <r>
    <s v="SAL-1952"/>
    <d v="2024-02-27T00:00:00"/>
    <s v="Kelly Miles"/>
    <x v="1"/>
    <s v="Lagos"/>
    <s v="Consumer"/>
    <s v="Furniture"/>
    <s v="Cabinet"/>
    <n v="2"/>
    <n v="282.2"/>
    <n v="0"/>
    <n v="564.4"/>
    <n v="410.78"/>
    <n v="153.62"/>
    <s v="Card"/>
    <n v="1"/>
    <s v="February"/>
    <s v="Q1"/>
    <n v="2024"/>
    <m/>
  </r>
  <r>
    <s v="SAL-1953"/>
    <d v="2024-06-27T00:00:00"/>
    <s v="Nicholas Rogers"/>
    <x v="0"/>
    <s v="Port Harcourt"/>
    <s v="Consumer"/>
    <s v="Office Supplies"/>
    <s v="Notebook"/>
    <n v="7"/>
    <n v="285.54000000000002"/>
    <n v="0.05"/>
    <n v="1898.84"/>
    <n v="999.05"/>
    <n v="899.79"/>
    <s v="Mobile Payment"/>
    <n v="5"/>
    <s v="June"/>
    <s v="Q2"/>
    <n v="2024"/>
    <m/>
  </r>
  <r>
    <s v="SAL-1954"/>
    <d v="2024-11-07T00:00:00"/>
    <s v="John Whitaker"/>
    <x v="0"/>
    <s v="Lagos"/>
    <s v="Corporate"/>
    <s v="Office Supplies"/>
    <s v="Paper"/>
    <n v="11"/>
    <n v="579.25"/>
    <n v="0.15"/>
    <n v="5415.99"/>
    <n v="3612.21"/>
    <n v="1803.78"/>
    <s v="Mobile Payment"/>
    <n v="2"/>
    <s v="November"/>
    <s v="Q4"/>
    <n v="2024"/>
    <m/>
  </r>
  <r>
    <s v="SAL-1955"/>
    <d v="2024-11-26T00:00:00"/>
    <s v="Kimberly Smith"/>
    <x v="1"/>
    <s v="Kano"/>
    <s v="Corporate"/>
    <s v="Office Supplies"/>
    <s v="Paper"/>
    <n v="9"/>
    <n v="839.27"/>
    <n v="0"/>
    <n v="7553.43"/>
    <n v="3958.72"/>
    <n v="3594.71"/>
    <s v="Mobile Payment"/>
    <n v="5"/>
    <s v="November"/>
    <s v="Q4"/>
    <n v="2024"/>
    <m/>
  </r>
  <r>
    <s v="SAL-1956"/>
    <d v="2024-08-13T00:00:00"/>
    <s v="Justin Mcknight"/>
    <x v="2"/>
    <s v="Ibadan"/>
    <s v="Corporate"/>
    <s v="Office Supplies"/>
    <s v="Notebook"/>
    <n v="3"/>
    <n v="785.14"/>
    <n v="0.05"/>
    <n v="2237.65"/>
    <n v="1150.5899999999999"/>
    <n v="1087.06"/>
    <s v="Transfer"/>
    <n v="3"/>
    <s v="August"/>
    <s v="Q3"/>
    <n v="2024"/>
    <m/>
  </r>
  <r>
    <s v="SAL-1957"/>
    <d v="2024-04-10T00:00:00"/>
    <s v="Sean Gutierrez"/>
    <x v="1"/>
    <s v="Ibadan"/>
    <s v="Consumer"/>
    <s v="Office Supplies"/>
    <s v="Pen"/>
    <n v="4"/>
    <n v="1025.1500000000001"/>
    <n v="0"/>
    <n v="4100.6000000000004"/>
    <n v="3212.17"/>
    <n v="888.43"/>
    <s v="Cash"/>
    <n v="3"/>
    <s v="April"/>
    <s v="Q2"/>
    <n v="2024"/>
    <m/>
  </r>
  <r>
    <s v="SAL-1958"/>
    <d v="2024-05-22T00:00:00"/>
    <s v="Benjamin Wilson"/>
    <x v="1"/>
    <s v="Abuja"/>
    <s v="Consumer"/>
    <s v="Furniture"/>
    <s v="Cabinet"/>
    <n v="1"/>
    <n v="813.16"/>
    <n v="0.1"/>
    <n v="731.84"/>
    <n v="411.51"/>
    <n v="320.33"/>
    <s v="Mobile Payment"/>
    <n v="2"/>
    <s v="May"/>
    <s v="Q2"/>
    <n v="2024"/>
    <m/>
  </r>
  <r>
    <s v="SAL-1959"/>
    <d v="2024-12-25T00:00:00"/>
    <s v="Angela Sherman"/>
    <x v="0"/>
    <s v="Ibadan"/>
    <s v="Corporate"/>
    <s v="Furniture"/>
    <s v="Chair"/>
    <n v="5"/>
    <n v="270.94"/>
    <n v="0.05"/>
    <n v="1286.96"/>
    <n v="746.07"/>
    <n v="540.89"/>
    <s v="Mobile Payment"/>
    <n v="4"/>
    <s v="December"/>
    <s v="Q4"/>
    <n v="2024"/>
    <m/>
  </r>
  <r>
    <s v="SAL-1960"/>
    <d v="2024-04-30T00:00:00"/>
    <s v="Edwin Brown"/>
    <x v="1"/>
    <s v="Port Harcourt"/>
    <s v="Corporate"/>
    <s v="Office Supplies"/>
    <s v="Pen"/>
    <n v="4"/>
    <n v="143.69"/>
    <n v="0.1"/>
    <n v="517.28"/>
    <n v="327.49"/>
    <n v="189.79"/>
    <s v="Transfer"/>
    <n v="2"/>
    <s v="April"/>
    <s v="Q2"/>
    <n v="2024"/>
    <m/>
  </r>
  <r>
    <s v="SAL-1961"/>
    <d v="2024-05-18T00:00:00"/>
    <s v="Evan Calhoun"/>
    <x v="4"/>
    <s v="Port Harcourt"/>
    <s v="Home Office"/>
    <s v="Electronics"/>
    <s v="Printer"/>
    <n v="8"/>
    <n v="175.28"/>
    <n v="0"/>
    <n v="1402.24"/>
    <n v="792.69"/>
    <n v="609.54999999999995"/>
    <s v="Card"/>
    <n v="2"/>
    <s v="May"/>
    <s v="Q2"/>
    <n v="2024"/>
    <m/>
  </r>
  <r>
    <s v="SAL-1962"/>
    <d v="2024-02-26T00:00:00"/>
    <s v="Mrs. Andrea Gibson"/>
    <x v="4"/>
    <s v="Port Harcourt"/>
    <s v="Corporate"/>
    <s v="Electronics"/>
    <s v="Laptop"/>
    <n v="9"/>
    <n v="84.06"/>
    <n v="0.15"/>
    <n v="643.05999999999995"/>
    <n v="403.76"/>
    <n v="239.3"/>
    <s v="Transfer"/>
    <n v="5"/>
    <s v="February"/>
    <s v="Q1"/>
    <n v="2024"/>
    <m/>
  </r>
  <r>
    <s v="SAL-1963"/>
    <d v="2024-02-28T00:00:00"/>
    <s v="Reginald Wright"/>
    <x v="0"/>
    <s v="Port Harcourt"/>
    <s v="Consumer"/>
    <s v="Furniture"/>
    <s v="Cabinet"/>
    <n v="1"/>
    <n v="397.49"/>
    <n v="0.1"/>
    <n v="357.74"/>
    <n v="199.84"/>
    <n v="157.9"/>
    <s v="Mobile Payment"/>
    <n v="3"/>
    <s v="February"/>
    <s v="Q1"/>
    <n v="2024"/>
    <m/>
  </r>
  <r>
    <s v="SAL-1964"/>
    <d v="2024-02-26T00:00:00"/>
    <s v="Samantha Munoz"/>
    <x v="1"/>
    <s v="Kano"/>
    <s v="Home Office"/>
    <s v="Clothing"/>
    <s v="Jacket"/>
    <n v="11"/>
    <n v="162.41999999999999"/>
    <n v="0"/>
    <n v="1786.62"/>
    <n v="1109.3900000000001"/>
    <n v="677.23"/>
    <s v="Transfer"/>
    <n v="2"/>
    <s v="February"/>
    <s v="Q1"/>
    <n v="2024"/>
    <m/>
  </r>
  <r>
    <s v="SAL-1965"/>
    <d v="2024-08-31T00:00:00"/>
    <s v="Tracy Miller"/>
    <x v="3"/>
    <s v="Lagos"/>
    <s v="Corporate"/>
    <s v="Clothing"/>
    <s v="Jacket"/>
    <n v="1"/>
    <n v="1117.08"/>
    <n v="0.1"/>
    <n v="1005.37"/>
    <n v="530.69000000000005"/>
    <n v="474.68"/>
    <s v="Cash"/>
    <n v="2"/>
    <s v="August"/>
    <s v="Q3"/>
    <n v="2024"/>
    <m/>
  </r>
  <r>
    <s v="SAL-1966"/>
    <d v="2024-10-04T00:00:00"/>
    <s v="Matthew Peterson"/>
    <x v="0"/>
    <s v="Ibadan"/>
    <s v="Home Office"/>
    <s v="Office Supplies"/>
    <s v="Pen"/>
    <n v="4"/>
    <n v="747.31"/>
    <n v="0.05"/>
    <n v="2839.78"/>
    <n v="2338.2600000000002"/>
    <n v="501.52"/>
    <s v="Transfer"/>
    <n v="2"/>
    <s v="October"/>
    <s v="Q4"/>
    <n v="2024"/>
    <m/>
  </r>
  <r>
    <s v="SAL-1967"/>
    <d v="2024-04-13T00:00:00"/>
    <s v="Jermaine White MD"/>
    <x v="4"/>
    <s v="Lagos"/>
    <s v="Corporate"/>
    <s v="Electronics"/>
    <s v="Laptop"/>
    <n v="4"/>
    <n v="635.08000000000004"/>
    <n v="0.1"/>
    <n v="2286.29"/>
    <n v="1712.73"/>
    <n v="573.55999999999995"/>
    <s v="Card"/>
    <n v="5"/>
    <s v="April"/>
    <s v="Q2"/>
    <n v="2024"/>
    <m/>
  </r>
  <r>
    <s v="SAL-1968"/>
    <d v="2024-02-06T00:00:00"/>
    <s v="Sharon Ali"/>
    <x v="3"/>
    <s v="Ibadan"/>
    <s v="Home Office"/>
    <s v="Furniture"/>
    <s v="Chair"/>
    <n v="6"/>
    <n v="886.69"/>
    <n v="0.1"/>
    <n v="4788.13"/>
    <n v="2817.55"/>
    <n v="1970.58"/>
    <s v="Transfer"/>
    <n v="1"/>
    <s v="February"/>
    <s v="Q1"/>
    <n v="2024"/>
    <m/>
  </r>
  <r>
    <s v="SAL-1969"/>
    <d v="2024-03-14T00:00:00"/>
    <s v="Christopher Atkinson"/>
    <x v="0"/>
    <s v="Ibadan"/>
    <s v="Corporate"/>
    <s v="Clothing"/>
    <s v="Sneakers"/>
    <n v="4"/>
    <n v="918.56"/>
    <n v="0.1"/>
    <n v="3306.82"/>
    <n v="1716.73"/>
    <n v="1590.09"/>
    <s v="Card"/>
    <n v="5"/>
    <s v="March"/>
    <s v="Q1"/>
    <n v="2024"/>
    <m/>
  </r>
  <r>
    <s v="SAL-1970"/>
    <d v="2024-04-27T00:00:00"/>
    <s v="Charles Smith"/>
    <x v="4"/>
    <s v="Abuja"/>
    <s v="Home Office"/>
    <s v="Clothing"/>
    <s v="Sneakers"/>
    <n v="11"/>
    <n v="892.94"/>
    <n v="0.05"/>
    <n v="9331.2199999999993"/>
    <n v="5113.03"/>
    <n v="4218.1899999999996"/>
    <s v="Cash"/>
    <n v="2"/>
    <s v="April"/>
    <s v="Q2"/>
    <n v="2024"/>
    <m/>
  </r>
  <r>
    <s v="SAL-1971"/>
    <d v="2024-04-17T00:00:00"/>
    <s v="Ray Mitchell"/>
    <x v="3"/>
    <s v="Ibadan"/>
    <s v="Home Office"/>
    <s v="Office Supplies"/>
    <s v="Notebook"/>
    <n v="1"/>
    <n v="1097.43"/>
    <n v="0.1"/>
    <n v="987.69"/>
    <n v="569.9"/>
    <n v="417.79"/>
    <s v="Mobile Payment"/>
    <n v="1"/>
    <s v="April"/>
    <s v="Q2"/>
    <n v="2024"/>
    <m/>
  </r>
  <r>
    <s v="SAL-1972"/>
    <d v="2024-09-23T00:00:00"/>
    <s v="Ashley Costa"/>
    <x v="4"/>
    <s v="Lagos"/>
    <s v="Consumer"/>
    <s v="Clothing"/>
    <s v="Jacket"/>
    <n v="6"/>
    <n v="281.92"/>
    <n v="0.05"/>
    <n v="1606.94"/>
    <n v="1123.46"/>
    <n v="483.48"/>
    <s v="Mobile Payment"/>
    <n v="2"/>
    <s v="September"/>
    <s v="Q3"/>
    <n v="2024"/>
    <m/>
  </r>
  <r>
    <s v="SAL-1973"/>
    <d v="2024-01-06T00:00:00"/>
    <s v="Matthew Shields"/>
    <x v="1"/>
    <s v="Lagos"/>
    <s v="Corporate"/>
    <s v="Furniture"/>
    <s v="Chair"/>
    <n v="9"/>
    <n v="696.52"/>
    <n v="0"/>
    <n v="6268.68"/>
    <n v="3730.2"/>
    <n v="2538.48"/>
    <s v="Card"/>
    <n v="5"/>
    <s v="January"/>
    <s v="Q1"/>
    <n v="2024"/>
    <m/>
  </r>
  <r>
    <s v="SAL-1974"/>
    <d v="2024-07-27T00:00:00"/>
    <s v="David Carter"/>
    <x v="0"/>
    <s v="Port Harcourt"/>
    <s v="Corporate"/>
    <s v="Clothing"/>
    <s v="T-Shirt"/>
    <n v="5"/>
    <n v="462.06"/>
    <n v="0.15"/>
    <n v="1963.76"/>
    <n v="1054.76"/>
    <n v="909"/>
    <s v="Cash"/>
    <n v="1"/>
    <s v="July"/>
    <s v="Q3"/>
    <n v="2024"/>
    <m/>
  </r>
  <r>
    <s v="SAL-1975"/>
    <d v="2024-03-15T00:00:00"/>
    <s v="Bradley West"/>
    <x v="2"/>
    <s v="Port Harcourt"/>
    <s v="Home Office"/>
    <s v="Office Supplies"/>
    <s v="Notebook"/>
    <n v="3"/>
    <n v="378.45"/>
    <n v="0.1"/>
    <n v="1021.81"/>
    <n v="762.54"/>
    <n v="259.27"/>
    <s v="Transfer"/>
    <n v="2"/>
    <s v="March"/>
    <s v="Q1"/>
    <n v="2024"/>
    <m/>
  </r>
  <r>
    <s v="SAL-1976"/>
    <d v="2024-06-30T00:00:00"/>
    <s v="Yolanda Hill"/>
    <x v="3"/>
    <s v="Lagos"/>
    <s v="Corporate"/>
    <s v="Office Supplies"/>
    <s v="Paper"/>
    <n v="11"/>
    <n v="419.97"/>
    <n v="0.1"/>
    <n v="4157.7"/>
    <n v="3173.83"/>
    <n v="983.87"/>
    <s v="Mobile Payment"/>
    <n v="5"/>
    <s v="June"/>
    <s v="Q2"/>
    <n v="2024"/>
    <m/>
  </r>
  <r>
    <s v="SAL-1977"/>
    <d v="2024-05-23T00:00:00"/>
    <s v="Melissa Walker"/>
    <x v="0"/>
    <s v="Ibadan"/>
    <s v="Home Office"/>
    <s v="Electronics"/>
    <s v="Phone"/>
    <n v="1"/>
    <n v="183.71"/>
    <n v="0.1"/>
    <n v="165.34"/>
    <n v="116.9"/>
    <n v="48.44"/>
    <s v="Mobile Payment"/>
    <n v="1"/>
    <s v="May"/>
    <s v="Q2"/>
    <n v="2024"/>
    <m/>
  </r>
  <r>
    <s v="SAL-1978"/>
    <d v="2024-11-03T00:00:00"/>
    <s v="Sue Foster"/>
    <x v="4"/>
    <s v="Kano"/>
    <s v="Home Office"/>
    <s v="Office Supplies"/>
    <s v="Notebook"/>
    <n v="5"/>
    <n v="768.55"/>
    <n v="0.1"/>
    <n v="3458.47"/>
    <n v="2879.75"/>
    <n v="578.72"/>
    <s v="Cash"/>
    <n v="1"/>
    <s v="November"/>
    <s v="Q4"/>
    <n v="2024"/>
    <m/>
  </r>
  <r>
    <s v="SAL-1979"/>
    <d v="2024-03-12T00:00:00"/>
    <s v="John Kramer"/>
    <x v="3"/>
    <s v="Kano"/>
    <s v="Home Office"/>
    <s v="Furniture"/>
    <s v="Chair"/>
    <n v="12"/>
    <n v="813.74"/>
    <n v="0.05"/>
    <n v="9276.64"/>
    <n v="7155.26"/>
    <n v="2121.38"/>
    <s v="Mobile Payment"/>
    <n v="5"/>
    <s v="March"/>
    <s v="Q1"/>
    <n v="2024"/>
    <m/>
  </r>
  <r>
    <s v="SAL-1980"/>
    <d v="2024-12-13T00:00:00"/>
    <s v="Amber Jefferson"/>
    <x v="3"/>
    <s v="Ibadan"/>
    <s v="Corporate"/>
    <s v="Electronics"/>
    <s v="Tablet"/>
    <n v="6"/>
    <n v="1016.68"/>
    <n v="0.05"/>
    <n v="5795.08"/>
    <n v="4407.4799999999996"/>
    <n v="1387.6"/>
    <s v="Transfer"/>
    <n v="4"/>
    <s v="December"/>
    <s v="Q4"/>
    <n v="2024"/>
    <m/>
  </r>
  <r>
    <s v="SAL-1981"/>
    <d v="2024-07-31T00:00:00"/>
    <s v="Katherine Smith"/>
    <x v="4"/>
    <s v="Kano"/>
    <s v="Consumer"/>
    <s v="Furniture"/>
    <s v="Cabinet"/>
    <n v="11"/>
    <n v="1057.73"/>
    <n v="0.15"/>
    <n v="9889.7800000000007"/>
    <n v="5332.66"/>
    <n v="4557.12"/>
    <s v="Card"/>
    <n v="5"/>
    <s v="July"/>
    <s v="Q3"/>
    <n v="2024"/>
    <m/>
  </r>
  <r>
    <s v="SAL-1982"/>
    <d v="2024-01-14T00:00:00"/>
    <s v="George Stephenson"/>
    <x v="0"/>
    <s v="Abuja"/>
    <s v="Home Office"/>
    <s v="Clothing"/>
    <s v="Sneakers"/>
    <n v="6"/>
    <n v="504.15"/>
    <n v="0.05"/>
    <n v="2873.65"/>
    <n v="1639.92"/>
    <n v="1233.73"/>
    <s v="Transfer"/>
    <n v="4"/>
    <s v="January"/>
    <s v="Q1"/>
    <n v="2024"/>
    <m/>
  </r>
  <r>
    <s v="SAL-1983"/>
    <d v="2024-04-24T00:00:00"/>
    <s v="Anthony Thompson"/>
    <x v="0"/>
    <s v="Lagos"/>
    <s v="Corporate"/>
    <s v="Electronics"/>
    <s v="Laptop"/>
    <n v="7"/>
    <n v="1160.73"/>
    <n v="0"/>
    <n v="8125.11"/>
    <n v="6255.13"/>
    <n v="1869.98"/>
    <s v="Card"/>
    <n v="3"/>
    <s v="April"/>
    <s v="Q2"/>
    <n v="2024"/>
    <m/>
  </r>
  <r>
    <s v="SAL-1984"/>
    <d v="2024-02-06T00:00:00"/>
    <s v="Zachary Whitney"/>
    <x v="3"/>
    <s v="Lagos"/>
    <s v="Corporate"/>
    <s v="Electronics"/>
    <s v="Printer"/>
    <n v="8"/>
    <n v="148.93"/>
    <n v="0"/>
    <n v="1191.44"/>
    <n v="596.47"/>
    <n v="594.97"/>
    <s v="Transfer"/>
    <n v="3"/>
    <s v="February"/>
    <s v="Q1"/>
    <n v="2024"/>
    <m/>
  </r>
  <r>
    <s v="SAL-1985"/>
    <d v="2024-11-22T00:00:00"/>
    <s v="David Lambert"/>
    <x v="1"/>
    <s v="Ibadan"/>
    <s v="Corporate"/>
    <s v="Electronics"/>
    <s v="Laptop"/>
    <n v="5"/>
    <n v="242.78"/>
    <n v="0.05"/>
    <n v="1153.2"/>
    <n v="867.83"/>
    <n v="285.37"/>
    <s v="Transfer"/>
    <n v="2"/>
    <s v="November"/>
    <s v="Q4"/>
    <n v="2024"/>
    <m/>
  </r>
  <r>
    <s v="SAL-1986"/>
    <d v="2024-10-08T00:00:00"/>
    <s v="Duane Pena"/>
    <x v="2"/>
    <s v="Port Harcourt"/>
    <s v="Home Office"/>
    <s v="Office Supplies"/>
    <s v="Pen"/>
    <n v="11"/>
    <n v="1131.82"/>
    <n v="0"/>
    <n v="12450.02"/>
    <n v="7512.49"/>
    <n v="4937.53"/>
    <s v="Card"/>
    <n v="2"/>
    <s v="October"/>
    <s v="Q4"/>
    <n v="2024"/>
    <m/>
  </r>
  <r>
    <s v="SAL-1987"/>
    <d v="2024-01-04T00:00:00"/>
    <s v="Tyler West"/>
    <x v="0"/>
    <s v="Ibadan"/>
    <s v="Home Office"/>
    <s v="Furniture"/>
    <s v="Cabinet"/>
    <n v="4"/>
    <n v="520.36"/>
    <n v="0"/>
    <n v="2081.44"/>
    <n v="1736.71"/>
    <n v="344.73"/>
    <s v="Cash"/>
    <n v="2"/>
    <s v="January"/>
    <s v="Q1"/>
    <n v="2024"/>
    <m/>
  </r>
  <r>
    <s v="SAL-1988"/>
    <d v="2024-03-25T00:00:00"/>
    <s v="Alicia Bailey"/>
    <x v="2"/>
    <s v="Lagos"/>
    <s v="Consumer"/>
    <s v="Office Supplies"/>
    <s v="Notebook"/>
    <n v="10"/>
    <n v="399.31"/>
    <n v="0.1"/>
    <n v="3593.79"/>
    <n v="3029.5"/>
    <n v="564.29"/>
    <s v="Cash"/>
    <n v="2"/>
    <s v="March"/>
    <s v="Q1"/>
    <n v="2024"/>
    <m/>
  </r>
  <r>
    <s v="SAL-1989"/>
    <d v="2024-09-14T00:00:00"/>
    <s v="Lisa Owens"/>
    <x v="2"/>
    <s v="Lagos"/>
    <s v="Consumer"/>
    <s v="Office Supplies"/>
    <s v="Notebook"/>
    <n v="7"/>
    <n v="190.47"/>
    <n v="0"/>
    <n v="1333.29"/>
    <n v="829.28"/>
    <n v="504.01"/>
    <s v="Transfer"/>
    <n v="2"/>
    <s v="September"/>
    <s v="Q3"/>
    <n v="2024"/>
    <m/>
  </r>
  <r>
    <s v="SAL-1990"/>
    <d v="2024-08-03T00:00:00"/>
    <s v="Hannah Cooper"/>
    <x v="2"/>
    <s v="Kano"/>
    <s v="Consumer"/>
    <s v="Office Supplies"/>
    <s v="Pen"/>
    <n v="6"/>
    <n v="941.86"/>
    <n v="0.05"/>
    <n v="5368.6"/>
    <n v="4079.12"/>
    <n v="1289.48"/>
    <s v="Cash"/>
    <n v="3"/>
    <s v="August"/>
    <s v="Q3"/>
    <n v="2024"/>
    <m/>
  </r>
  <r>
    <s v="SAL-1991"/>
    <d v="2024-01-28T00:00:00"/>
    <s v="Terry Drake"/>
    <x v="1"/>
    <s v="Kano"/>
    <s v="Consumer"/>
    <s v="Electronics"/>
    <s v="Laptop"/>
    <n v="4"/>
    <n v="264.27"/>
    <n v="0.05"/>
    <n v="1004.23"/>
    <n v="851.81"/>
    <n v="152.41999999999999"/>
    <s v="Card"/>
    <n v="4"/>
    <s v="January"/>
    <s v="Q1"/>
    <n v="2024"/>
    <m/>
  </r>
  <r>
    <s v="SAL-1992"/>
    <d v="2024-09-26T00:00:00"/>
    <s v="William Mcdonald"/>
    <x v="0"/>
    <s v="Abuja"/>
    <s v="Corporate"/>
    <s v="Office Supplies"/>
    <s v="Notebook"/>
    <n v="3"/>
    <n v="705.7"/>
    <n v="0.1"/>
    <n v="1905.39"/>
    <n v="958.25"/>
    <n v="947.14"/>
    <s v="Card"/>
    <n v="1"/>
    <s v="September"/>
    <s v="Q3"/>
    <n v="2024"/>
    <m/>
  </r>
  <r>
    <s v="SAL-1993"/>
    <d v="2024-11-25T00:00:00"/>
    <s v="Tammy Nichols"/>
    <x v="2"/>
    <s v="Kano"/>
    <s v="Home Office"/>
    <s v="Electronics"/>
    <s v="Laptop"/>
    <n v="2"/>
    <n v="343.74"/>
    <n v="0"/>
    <n v="687.48"/>
    <n v="479.69"/>
    <n v="207.79"/>
    <s v="Transfer"/>
    <n v="2"/>
    <s v="November"/>
    <s v="Q4"/>
    <n v="2024"/>
    <m/>
  </r>
  <r>
    <s v="SAL-1994"/>
    <d v="2024-09-28T00:00:00"/>
    <s v="Thomas Ramirez"/>
    <x v="3"/>
    <s v="Lagos"/>
    <s v="Corporate"/>
    <s v="Office Supplies"/>
    <s v="Pen"/>
    <n v="8"/>
    <n v="121.94"/>
    <n v="0.05"/>
    <n v="926.74"/>
    <n v="724.94"/>
    <n v="201.8"/>
    <s v="Mobile Payment"/>
    <n v="2"/>
    <s v="September"/>
    <s v="Q3"/>
    <n v="2024"/>
    <m/>
  </r>
  <r>
    <s v="SAL-1995"/>
    <d v="2024-06-05T00:00:00"/>
    <s v="Andrew Harris"/>
    <x v="3"/>
    <s v="Port Harcourt"/>
    <s v="Consumer"/>
    <s v="Furniture"/>
    <s v="Cabinet"/>
    <n v="2"/>
    <n v="325.55"/>
    <n v="0.05"/>
    <n v="618.54"/>
    <n v="312.63"/>
    <n v="305.91000000000003"/>
    <s v="Transfer"/>
    <n v="5"/>
    <s v="June"/>
    <s v="Q2"/>
    <n v="2024"/>
    <m/>
  </r>
  <r>
    <s v="SAL-1996"/>
    <d v="2024-08-02T00:00:00"/>
    <s v="Tanya Smith"/>
    <x v="0"/>
    <s v="Lagos"/>
    <s v="Home Office"/>
    <s v="Clothing"/>
    <s v="Jacket"/>
    <n v="7"/>
    <n v="764.96"/>
    <n v="0.05"/>
    <n v="5086.9799999999996"/>
    <n v="4302.43"/>
    <n v="784.55"/>
    <s v="Card"/>
    <n v="4"/>
    <s v="August"/>
    <s v="Q3"/>
    <n v="2024"/>
    <m/>
  </r>
  <r>
    <s v="SAL-1997"/>
    <d v="2024-06-06T00:00:00"/>
    <s v="David Maldonado"/>
    <x v="1"/>
    <s v="Lagos"/>
    <s v="Corporate"/>
    <s v="Furniture"/>
    <s v="Cabinet"/>
    <n v="7"/>
    <n v="900.81"/>
    <n v="0.05"/>
    <n v="5990.39"/>
    <n v="3744.5"/>
    <n v="2245.89"/>
    <s v="Mobile Payment"/>
    <n v="2"/>
    <s v="June"/>
    <s v="Q2"/>
    <n v="2024"/>
    <m/>
  </r>
  <r>
    <s v="SAL-1998"/>
    <d v="2024-06-09T00:00:00"/>
    <s v="Hannah Dawson"/>
    <x v="4"/>
    <s v="Ibadan"/>
    <s v="Home Office"/>
    <s v="Electronics"/>
    <s v="Phone"/>
    <n v="3"/>
    <n v="776.64"/>
    <n v="0.1"/>
    <n v="2096.9299999999998"/>
    <n v="1410.12"/>
    <n v="686.81"/>
    <s v="Mobile Payment"/>
    <n v="1"/>
    <s v="June"/>
    <s v="Q2"/>
    <n v="2024"/>
    <m/>
  </r>
  <r>
    <s v="SAL-1999"/>
    <d v="2024-05-09T00:00:00"/>
    <s v="Charles Castillo"/>
    <x v="3"/>
    <s v="Lagos"/>
    <s v="Consumer"/>
    <s v="Clothing"/>
    <s v="Sneakers"/>
    <n v="6"/>
    <n v="93.07"/>
    <n v="0.15"/>
    <n v="474.66"/>
    <n v="391.66"/>
    <n v="83"/>
    <s v="Transfer"/>
    <n v="3"/>
    <s v="May"/>
    <s v="Q2"/>
    <n v="2024"/>
    <m/>
  </r>
  <r>
    <s v="SAL-2000"/>
    <d v="2024-05-04T00:00:00"/>
    <s v="Christine Leonard"/>
    <x v="2"/>
    <s v="Abuja"/>
    <s v="Consumer"/>
    <s v="Office Supplies"/>
    <s v="Paper"/>
    <n v="6"/>
    <n v="680"/>
    <n v="0.05"/>
    <n v="3876"/>
    <n v="2648.82"/>
    <n v="1227.18"/>
    <s v="Cash"/>
    <n v="5"/>
    <s v="May"/>
    <s v="Q2"/>
    <n v="202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s v="SAL-1001"/>
    <d v="2024-01-20T00:00:00"/>
    <s v="Toni Watson"/>
    <s v="West"/>
    <x v="0"/>
    <s v="Home Office"/>
    <s v="Electronics"/>
    <s v="Tablet"/>
    <n v="2"/>
    <n v="925.06"/>
    <n v="0.1"/>
    <n v="1665.11"/>
    <n v="895.32"/>
    <n v="769.79"/>
    <s v="Transfer"/>
    <n v="3"/>
    <s v="January"/>
    <s v="Q1"/>
    <n v="2024"/>
    <m/>
  </r>
  <r>
    <s v="SAL-1002"/>
    <d v="2024-03-24T00:00:00"/>
    <s v="Richard Green"/>
    <s v="North"/>
    <x v="1"/>
    <s v="Consumer"/>
    <s v="Electronics"/>
    <s v="Phone"/>
    <n v="3"/>
    <n v="411.29"/>
    <n v="0.1"/>
    <n v="1110.48"/>
    <n v="827.96"/>
    <n v="282.52"/>
    <s v="Mobile Payment"/>
    <n v="1"/>
    <s v="March"/>
    <s v="Q1"/>
    <n v="2024"/>
    <m/>
  </r>
  <r>
    <s v="SAL-1003"/>
    <d v="2024-03-13T00:00:00"/>
    <s v="Richard Baker"/>
    <s v="South"/>
    <x v="2"/>
    <s v="Corporate"/>
    <s v="Electronics"/>
    <s v="Tablet"/>
    <n v="12"/>
    <n v="543.5"/>
    <n v="0"/>
    <n v="6522"/>
    <n v="3472.75"/>
    <n v="3049.25"/>
    <s v="Mobile Payment"/>
    <n v="5"/>
    <s v="March"/>
    <s v="Q1"/>
    <n v="2024"/>
    <m/>
  </r>
  <r>
    <s v="SAL-1004"/>
    <d v="2024-09-04T00:00:00"/>
    <s v="Marcus Goodman"/>
    <s v="South"/>
    <x v="0"/>
    <s v="Home Office"/>
    <s v="Clothing"/>
    <s v="Sneakers"/>
    <n v="8"/>
    <n v="1007.03"/>
    <n v="0.1"/>
    <n v="7250.62"/>
    <n v="4496.92"/>
    <n v="2753.7"/>
    <s v="Transfer"/>
    <n v="1"/>
    <s v="September"/>
    <s v="Q3"/>
    <n v="2024"/>
    <m/>
  </r>
  <r>
    <s v="SAL-1005"/>
    <d v="2024-08-02T00:00:00"/>
    <s v="Ronald Nelson"/>
    <s v="East"/>
    <x v="0"/>
    <s v="Consumer"/>
    <s v="Clothing"/>
    <s v="Jacket"/>
    <n v="9"/>
    <n v="526.91999999999996"/>
    <n v="0.15"/>
    <n v="4030.94"/>
    <n v="2749.96"/>
    <n v="1280.98"/>
    <s v="Card"/>
    <n v="1"/>
    <s v="August"/>
    <s v="Q3"/>
    <n v="2024"/>
    <m/>
  </r>
  <r>
    <s v="SAL-1006"/>
    <d v="2024-02-07T00:00:00"/>
    <s v="Jennifer Levy"/>
    <s v="West"/>
    <x v="1"/>
    <s v="Home Office"/>
    <s v="Clothing"/>
    <s v="Jacket"/>
    <n v="5"/>
    <n v="212.45"/>
    <n v="0.1"/>
    <n v="956.02"/>
    <n v="663.45"/>
    <n v="292.57"/>
    <s v="Transfer"/>
    <n v="1"/>
    <s v="February"/>
    <s v="Q1"/>
    <n v="2024"/>
    <m/>
  </r>
  <r>
    <s v="SAL-1007"/>
    <d v="2024-06-29T00:00:00"/>
    <s v="Rebekah Jones"/>
    <s v="South"/>
    <x v="1"/>
    <s v="Home Office"/>
    <s v="Furniture"/>
    <s v="Cabinet"/>
    <n v="2"/>
    <n v="999.61"/>
    <n v="0.1"/>
    <n v="1799.3"/>
    <n v="907.73"/>
    <n v="891.57"/>
    <s v="Cash"/>
    <n v="3"/>
    <s v="June"/>
    <s v="Q2"/>
    <n v="2024"/>
    <m/>
  </r>
  <r>
    <s v="SAL-1008"/>
    <d v="2024-03-19T00:00:00"/>
    <s v="Thomas Perez"/>
    <s v="Central"/>
    <x v="1"/>
    <s v="Corporate"/>
    <s v="Clothing"/>
    <s v="Jacket"/>
    <n v="12"/>
    <n v="287.70999999999998"/>
    <n v="0.15"/>
    <n v="2934.64"/>
    <n v="2474.59"/>
    <n v="460.05"/>
    <s v="Mobile Payment"/>
    <n v="1"/>
    <s v="March"/>
    <s v="Q1"/>
    <n v="2024"/>
    <m/>
  </r>
  <r>
    <s v="SAL-1009"/>
    <d v="2024-12-16T00:00:00"/>
    <s v="Lisa Johnson"/>
    <s v="East"/>
    <x v="1"/>
    <s v="Home Office"/>
    <s v="Electronics"/>
    <s v="Phone"/>
    <n v="8"/>
    <n v="239.88"/>
    <n v="0.1"/>
    <n v="1727.14"/>
    <n v="1346.5"/>
    <n v="380.64"/>
    <s v="Mobile Payment"/>
    <n v="1"/>
    <s v="December"/>
    <s v="Q4"/>
    <n v="2024"/>
    <m/>
  </r>
  <r>
    <s v="SAL-1010"/>
    <d v="2024-01-05T00:00:00"/>
    <s v="Eric Myers"/>
    <s v="Central"/>
    <x v="1"/>
    <s v="Consumer"/>
    <s v="Electronics"/>
    <s v="Laptop"/>
    <n v="9"/>
    <n v="432.52"/>
    <n v="0"/>
    <n v="3892.68"/>
    <n v="2059.29"/>
    <n v="1833.39"/>
    <s v="Mobile Payment"/>
    <n v="1"/>
    <s v="January"/>
    <s v="Q1"/>
    <n v="2024"/>
    <m/>
  </r>
  <r>
    <s v="SAL-1011"/>
    <d v="2024-01-13T00:00:00"/>
    <s v="Kyle Ellis"/>
    <s v="South"/>
    <x v="1"/>
    <s v="Consumer"/>
    <s v="Office Supplies"/>
    <s v="Pen"/>
    <n v="8"/>
    <n v="49.31"/>
    <n v="0.1"/>
    <n v="355.03"/>
    <n v="228.97"/>
    <n v="126.06"/>
    <s v="Card"/>
    <n v="3"/>
    <s v="January"/>
    <s v="Q1"/>
    <n v="2024"/>
    <m/>
  </r>
  <r>
    <s v="SAL-1012"/>
    <d v="2024-07-17T00:00:00"/>
    <s v="Scott Nguyen"/>
    <s v="Central"/>
    <x v="3"/>
    <s v="Consumer"/>
    <s v="Furniture"/>
    <s v="Cabinet"/>
    <n v="2"/>
    <n v="991.46"/>
    <n v="0"/>
    <n v="1982.92"/>
    <n v="1517.57"/>
    <n v="465.35"/>
    <s v="Transfer"/>
    <n v="4"/>
    <s v="July"/>
    <s v="Q3"/>
    <n v="2024"/>
    <m/>
  </r>
  <r>
    <s v="SAL-1013"/>
    <d v="2024-10-28T00:00:00"/>
    <s v="Daniel Rogers"/>
    <s v="West"/>
    <x v="1"/>
    <s v="Consumer"/>
    <s v="Office Supplies"/>
    <s v="Notebook"/>
    <n v="9"/>
    <n v="1170.17"/>
    <n v="0"/>
    <n v="10531.53"/>
    <n v="7586.56"/>
    <n v="2944.97"/>
    <s v="Card"/>
    <n v="4"/>
    <s v="October"/>
    <s v="Q4"/>
    <n v="2024"/>
    <m/>
  </r>
  <r>
    <s v="SAL-1014"/>
    <d v="2024-01-15T00:00:00"/>
    <s v="Jessica Garcia"/>
    <s v="South"/>
    <x v="0"/>
    <s v="Corporate"/>
    <s v="Electronics"/>
    <s v="Tablet"/>
    <n v="8"/>
    <n v="1046.58"/>
    <n v="0.15"/>
    <n v="7116.74"/>
    <n v="4315.1099999999997"/>
    <n v="2801.63"/>
    <s v="Card"/>
    <n v="3"/>
    <s v="January"/>
    <s v="Q1"/>
    <n v="2024"/>
    <m/>
  </r>
  <r>
    <s v="SAL-1015"/>
    <d v="2024-09-16T00:00:00"/>
    <s v="Jane Nguyen"/>
    <s v="South"/>
    <x v="4"/>
    <s v="Corporate"/>
    <s v="Electronics"/>
    <s v="Tablet"/>
    <n v="4"/>
    <n v="1073.19"/>
    <n v="0.1"/>
    <n v="3863.48"/>
    <n v="2057.3000000000002"/>
    <n v="1806.18"/>
    <s v="Transfer"/>
    <n v="4"/>
    <s v="September"/>
    <s v="Q3"/>
    <n v="2024"/>
    <m/>
  </r>
  <r>
    <s v="SAL-1016"/>
    <d v="2024-10-16T00:00:00"/>
    <s v="Jeremy Matthews"/>
    <s v="South"/>
    <x v="2"/>
    <s v="Home Office"/>
    <s v="Electronics"/>
    <s v="Laptop"/>
    <n v="4"/>
    <n v="611.11"/>
    <n v="0"/>
    <n v="2444.44"/>
    <n v="1388.34"/>
    <n v="1056.0999999999999"/>
    <s v="Transfer"/>
    <n v="1"/>
    <s v="October"/>
    <s v="Q4"/>
    <n v="2024"/>
    <m/>
  </r>
  <r>
    <s v="SAL-1017"/>
    <d v="2024-09-04T00:00:00"/>
    <s v="Wendy Scott"/>
    <s v="West"/>
    <x v="1"/>
    <s v="Consumer"/>
    <s v="Office Supplies"/>
    <s v="Paper"/>
    <n v="9"/>
    <n v="168.83"/>
    <n v="0.05"/>
    <n v="1443.5"/>
    <n v="1118.9000000000001"/>
    <n v="324.60000000000002"/>
    <s v="Transfer"/>
    <n v="5"/>
    <s v="September"/>
    <s v="Q3"/>
    <n v="2024"/>
    <m/>
  </r>
  <r>
    <s v="SAL-1018"/>
    <d v="2024-01-04T00:00:00"/>
    <s v="Mike Lloyd"/>
    <s v="Central"/>
    <x v="0"/>
    <s v="Corporate"/>
    <s v="Clothing"/>
    <s v="Sneakers"/>
    <n v="7"/>
    <n v="1098.25"/>
    <n v="0.05"/>
    <n v="7303.36"/>
    <n v="5210.3100000000004"/>
    <n v="2093.0500000000002"/>
    <s v="Transfer"/>
    <n v="5"/>
    <s v="January"/>
    <s v="Q1"/>
    <n v="2024"/>
    <m/>
  </r>
  <r>
    <s v="SAL-1019"/>
    <d v="2024-08-03T00:00:00"/>
    <s v="Joseph Ramirez"/>
    <s v="East"/>
    <x v="3"/>
    <s v="Consumer"/>
    <s v="Electronics"/>
    <s v="Laptop"/>
    <n v="6"/>
    <n v="1035.3599999999999"/>
    <n v="0.1"/>
    <n v="5590.94"/>
    <n v="4669.49"/>
    <n v="921.45"/>
    <s v="Mobile Payment"/>
    <n v="3"/>
    <s v="August"/>
    <s v="Q3"/>
    <n v="2024"/>
    <m/>
  </r>
  <r>
    <s v="SAL-1020"/>
    <d v="2024-07-11T00:00:00"/>
    <s v="Joseph Hutchinson"/>
    <s v="Central"/>
    <x v="3"/>
    <s v="Consumer"/>
    <s v="Furniture"/>
    <s v="Desk"/>
    <n v="7"/>
    <n v="1172.9000000000001"/>
    <n v="0"/>
    <n v="8210.2999999999993"/>
    <n v="6523.65"/>
    <n v="1686.65"/>
    <s v="Mobile Payment"/>
    <n v="3"/>
    <s v="July"/>
    <s v="Q3"/>
    <n v="2024"/>
    <m/>
  </r>
  <r>
    <s v="SAL-1021"/>
    <d v="2024-07-13T00:00:00"/>
    <s v="James Villanueva"/>
    <s v="North"/>
    <x v="0"/>
    <s v="Corporate"/>
    <s v="Electronics"/>
    <s v="Tablet"/>
    <n v="2"/>
    <n v="1090.77"/>
    <n v="0.1"/>
    <n v="1963.39"/>
    <n v="1019.43"/>
    <n v="943.96"/>
    <s v="Transfer"/>
    <n v="1"/>
    <s v="July"/>
    <s v="Q3"/>
    <n v="2024"/>
    <m/>
  </r>
  <r>
    <s v="SAL-1022"/>
    <d v="2024-08-12T00:00:00"/>
    <s v="David Lopez"/>
    <s v="Central"/>
    <x v="0"/>
    <s v="Corporate"/>
    <s v="Clothing"/>
    <s v="Jacket"/>
    <n v="12"/>
    <n v="396.39"/>
    <n v="0.15"/>
    <n v="4043.18"/>
    <n v="2397.89"/>
    <n v="1645.29"/>
    <s v="Card"/>
    <n v="4"/>
    <s v="August"/>
    <s v="Q3"/>
    <n v="2024"/>
    <m/>
  </r>
  <r>
    <s v="SAL-1023"/>
    <d v="2024-09-11T00:00:00"/>
    <s v="Kaitlyn Williams"/>
    <s v="South"/>
    <x v="1"/>
    <s v="Home Office"/>
    <s v="Office Supplies"/>
    <s v="Pen"/>
    <n v="1"/>
    <n v="226.82"/>
    <n v="0"/>
    <n v="226.82"/>
    <n v="147.4"/>
    <n v="79.42"/>
    <s v="Cash"/>
    <n v="4"/>
    <s v="September"/>
    <s v="Q3"/>
    <n v="2024"/>
    <m/>
  </r>
  <r>
    <s v="SAL-1024"/>
    <d v="2024-01-17T00:00:00"/>
    <s v="Lori Simon"/>
    <s v="West"/>
    <x v="0"/>
    <s v="Home Office"/>
    <s v="Furniture"/>
    <s v="Chair"/>
    <n v="6"/>
    <n v="1070.92"/>
    <n v="0.05"/>
    <n v="6104.24"/>
    <n v="4329.08"/>
    <n v="1775.16"/>
    <s v="Transfer"/>
    <n v="5"/>
    <s v="January"/>
    <s v="Q1"/>
    <n v="2024"/>
    <m/>
  </r>
  <r>
    <s v="SAL-1025"/>
    <d v="2024-05-25T00:00:00"/>
    <s v="Kendra Boyd"/>
    <s v="South"/>
    <x v="1"/>
    <s v="Corporate"/>
    <s v="Electronics"/>
    <s v="Tablet"/>
    <n v="12"/>
    <n v="469.94"/>
    <n v="0"/>
    <n v="5639.28"/>
    <n v="4539.93"/>
    <n v="1099.3499999999999"/>
    <s v="Mobile Payment"/>
    <n v="1"/>
    <s v="May"/>
    <s v="Q2"/>
    <n v="2024"/>
    <m/>
  </r>
  <r>
    <s v="SAL-1026"/>
    <d v="2024-03-25T00:00:00"/>
    <s v="Tammy Henry"/>
    <s v="Central"/>
    <x v="4"/>
    <s v="Corporate"/>
    <s v="Electronics"/>
    <s v="Printer"/>
    <n v="11"/>
    <n v="206.08"/>
    <n v="0"/>
    <n v="2266.88"/>
    <n v="1347.22"/>
    <n v="919.66"/>
    <s v="Mobile Payment"/>
    <n v="4"/>
    <s v="March"/>
    <s v="Q1"/>
    <n v="2024"/>
    <m/>
  </r>
  <r>
    <s v="SAL-1027"/>
    <d v="2024-10-12T00:00:00"/>
    <s v="Jose Weeks"/>
    <s v="East"/>
    <x v="4"/>
    <s v="Home Office"/>
    <s v="Furniture"/>
    <s v="Chair"/>
    <n v="9"/>
    <n v="119.67"/>
    <n v="0.15"/>
    <n v="915.48"/>
    <n v="654.11"/>
    <n v="261.37"/>
    <s v="Cash"/>
    <n v="4"/>
    <s v="October"/>
    <s v="Q4"/>
    <n v="2024"/>
    <m/>
  </r>
  <r>
    <s v="SAL-1028"/>
    <d v="2024-08-11T00:00:00"/>
    <s v="Sara Lara"/>
    <s v="Central"/>
    <x v="3"/>
    <s v="Consumer"/>
    <s v="Clothing"/>
    <s v="Sneakers"/>
    <n v="2"/>
    <n v="81.58"/>
    <n v="0.15"/>
    <n v="138.69"/>
    <n v="106.32"/>
    <n v="32.369999999999997"/>
    <s v="Mobile Payment"/>
    <n v="2"/>
    <s v="August"/>
    <s v="Q3"/>
    <n v="2024"/>
    <m/>
  </r>
  <r>
    <s v="SAL-1029"/>
    <d v="2024-02-07T00:00:00"/>
    <s v="Matthew Small"/>
    <s v="West"/>
    <x v="2"/>
    <s v="Consumer"/>
    <s v="Furniture"/>
    <s v="Desk"/>
    <n v="4"/>
    <n v="1167.1500000000001"/>
    <n v="0.05"/>
    <n v="4435.17"/>
    <n v="3630.22"/>
    <n v="804.95"/>
    <s v="Mobile Payment"/>
    <n v="3"/>
    <s v="February"/>
    <s v="Q1"/>
    <n v="2024"/>
    <m/>
  </r>
  <r>
    <s v="SAL-1030"/>
    <d v="2024-04-05T00:00:00"/>
    <s v="Wanda Goodman"/>
    <s v="East"/>
    <x v="2"/>
    <s v="Corporate"/>
    <s v="Electronics"/>
    <s v="Laptop"/>
    <n v="4"/>
    <n v="879.62"/>
    <n v="0.15"/>
    <n v="2990.71"/>
    <n v="2226.85"/>
    <n v="763.86"/>
    <s v="Transfer"/>
    <n v="2"/>
    <s v="April"/>
    <s v="Q2"/>
    <n v="2024"/>
    <m/>
  </r>
  <r>
    <s v="SAL-1031"/>
    <d v="2024-12-05T00:00:00"/>
    <s v="Teresa Herrera"/>
    <s v="West"/>
    <x v="1"/>
    <s v="Home Office"/>
    <s v="Electronics"/>
    <s v="Tablet"/>
    <n v="3"/>
    <n v="564.41999999999996"/>
    <n v="0.15"/>
    <n v="1439.27"/>
    <n v="831.49"/>
    <n v="607.78"/>
    <s v="Card"/>
    <n v="4"/>
    <s v="December"/>
    <s v="Q4"/>
    <n v="2024"/>
    <m/>
  </r>
  <r>
    <s v="SAL-1032"/>
    <d v="2024-02-24T00:00:00"/>
    <s v="Jessica Townsend"/>
    <s v="South"/>
    <x v="2"/>
    <s v="Corporate"/>
    <s v="Electronics"/>
    <s v="Printer"/>
    <n v="1"/>
    <n v="351.28"/>
    <n v="0.15"/>
    <n v="298.58999999999997"/>
    <n v="225.71"/>
    <n v="72.88"/>
    <s v="Transfer"/>
    <n v="5"/>
    <s v="February"/>
    <s v="Q1"/>
    <n v="2024"/>
    <m/>
  </r>
  <r>
    <s v="SAL-1033"/>
    <d v="2024-01-25T00:00:00"/>
    <s v="Melissa Eaton"/>
    <s v="North"/>
    <x v="0"/>
    <s v="Consumer"/>
    <s v="Electronics"/>
    <s v="Printer"/>
    <n v="9"/>
    <n v="430.08"/>
    <n v="0.1"/>
    <n v="3483.65"/>
    <n v="2001.99"/>
    <n v="1481.66"/>
    <s v="Transfer"/>
    <n v="1"/>
    <s v="January"/>
    <s v="Q1"/>
    <n v="2024"/>
    <m/>
  </r>
  <r>
    <s v="SAL-1034"/>
    <d v="2024-01-03T00:00:00"/>
    <s v="Kathy Harris"/>
    <s v="South"/>
    <x v="2"/>
    <s v="Corporate"/>
    <s v="Furniture"/>
    <s v="Chair"/>
    <n v="3"/>
    <n v="508.36"/>
    <n v="0.15"/>
    <n v="1296.32"/>
    <n v="711.94"/>
    <n v="584.38"/>
    <s v="Cash"/>
    <n v="1"/>
    <s v="January"/>
    <s v="Q1"/>
    <n v="2024"/>
    <m/>
  </r>
  <r>
    <s v="SAL-1035"/>
    <d v="2024-01-31T00:00:00"/>
    <s v="Kelsey Craig"/>
    <s v="North"/>
    <x v="4"/>
    <s v="Consumer"/>
    <s v="Furniture"/>
    <s v="Desk"/>
    <n v="8"/>
    <n v="521.94000000000005"/>
    <n v="0.05"/>
    <n v="3966.74"/>
    <n v="2901.5"/>
    <n v="1065.24"/>
    <s v="Mobile Payment"/>
    <n v="1"/>
    <s v="January"/>
    <s v="Q1"/>
    <n v="2024"/>
    <m/>
  </r>
  <r>
    <s v="SAL-1036"/>
    <d v="2024-04-30T00:00:00"/>
    <s v="Nicole Young"/>
    <s v="West"/>
    <x v="3"/>
    <s v="Home Office"/>
    <s v="Furniture"/>
    <s v="Cabinet"/>
    <n v="1"/>
    <n v="437.13"/>
    <n v="0.05"/>
    <n v="415.27"/>
    <n v="326.37"/>
    <n v="88.9"/>
    <s v="Card"/>
    <n v="1"/>
    <s v="April"/>
    <s v="Q2"/>
    <n v="2024"/>
    <m/>
  </r>
  <r>
    <s v="SAL-1037"/>
    <d v="2024-02-01T00:00:00"/>
    <s v="Maria Johns"/>
    <s v="North"/>
    <x v="0"/>
    <s v="Consumer"/>
    <s v="Electronics"/>
    <s v="Tablet"/>
    <n v="6"/>
    <n v="806.29"/>
    <n v="0.1"/>
    <n v="4353.97"/>
    <n v="3376.12"/>
    <n v="977.85"/>
    <s v="Cash"/>
    <n v="2"/>
    <s v="February"/>
    <s v="Q1"/>
    <n v="2024"/>
    <m/>
  </r>
  <r>
    <s v="SAL-1038"/>
    <d v="2024-11-05T00:00:00"/>
    <s v="Shannon Williams"/>
    <s v="Central"/>
    <x v="3"/>
    <s v="Corporate"/>
    <s v="Office Supplies"/>
    <s v="Notebook"/>
    <n v="3"/>
    <n v="673.23"/>
    <n v="0"/>
    <n v="2019.69"/>
    <n v="1564.75"/>
    <n v="454.94"/>
    <s v="Transfer"/>
    <n v="3"/>
    <s v="November"/>
    <s v="Q4"/>
    <n v="2024"/>
    <m/>
  </r>
  <r>
    <s v="SAL-1039"/>
    <d v="2024-01-02T00:00:00"/>
    <s v="Colton Harris"/>
    <s v="East"/>
    <x v="0"/>
    <s v="Consumer"/>
    <s v="Furniture"/>
    <s v="Chair"/>
    <n v="1"/>
    <n v="727.16"/>
    <n v="0.1"/>
    <n v="654.44000000000005"/>
    <n v="399.02"/>
    <n v="255.42"/>
    <s v="Transfer"/>
    <n v="1"/>
    <s v="January"/>
    <s v="Q1"/>
    <n v="2024"/>
    <m/>
  </r>
  <r>
    <s v="SAL-1040"/>
    <d v="2024-11-01T00:00:00"/>
    <s v="Jennifer Nolan"/>
    <s v="Central"/>
    <x v="4"/>
    <s v="Corporate"/>
    <s v="Clothing"/>
    <s v="Jacket"/>
    <n v="3"/>
    <n v="735.91"/>
    <n v="0.15"/>
    <n v="1876.57"/>
    <n v="1503.2"/>
    <n v="373.37"/>
    <s v="Cash"/>
    <n v="2"/>
    <s v="November"/>
    <s v="Q4"/>
    <n v="2024"/>
    <m/>
  </r>
  <r>
    <s v="SAL-1041"/>
    <d v="2024-10-10T00:00:00"/>
    <s v="Megan Sullivan"/>
    <s v="Central"/>
    <x v="4"/>
    <s v="Corporate"/>
    <s v="Furniture"/>
    <s v="Cabinet"/>
    <n v="6"/>
    <n v="518.57000000000005"/>
    <n v="0.15"/>
    <n v="2644.71"/>
    <n v="1584.59"/>
    <n v="1060.1199999999999"/>
    <s v="Cash"/>
    <n v="3"/>
    <s v="October"/>
    <s v="Q4"/>
    <n v="2024"/>
    <m/>
  </r>
  <r>
    <s v="SAL-1042"/>
    <d v="2024-12-31T00:00:00"/>
    <s v="Patricia Peters"/>
    <s v="Central"/>
    <x v="2"/>
    <s v="Corporate"/>
    <s v="Electronics"/>
    <s v="Phone"/>
    <n v="4"/>
    <n v="444.97"/>
    <n v="0"/>
    <n v="1779.88"/>
    <n v="974.9"/>
    <n v="804.98"/>
    <s v="Cash"/>
    <n v="1"/>
    <s v="December"/>
    <s v="Q4"/>
    <n v="2024"/>
    <m/>
  </r>
  <r>
    <s v="SAL-1043"/>
    <d v="2024-11-13T00:00:00"/>
    <s v="Dustin Henderson"/>
    <s v="East"/>
    <x v="0"/>
    <s v="Home Office"/>
    <s v="Office Supplies"/>
    <s v="Notebook"/>
    <n v="5"/>
    <n v="439.77"/>
    <n v="0.1"/>
    <n v="1978.96"/>
    <n v="1273.98"/>
    <n v="704.98"/>
    <s v="Cash"/>
    <n v="5"/>
    <s v="November"/>
    <s v="Q4"/>
    <n v="2024"/>
    <m/>
  </r>
  <r>
    <s v="SAL-1044"/>
    <d v="2024-04-30T00:00:00"/>
    <s v="George Kent"/>
    <s v="North"/>
    <x v="2"/>
    <s v="Consumer"/>
    <s v="Electronics"/>
    <s v="Tablet"/>
    <n v="5"/>
    <n v="961.1"/>
    <n v="0.1"/>
    <n v="4324.95"/>
    <n v="2827.77"/>
    <n v="1497.18"/>
    <s v="Cash"/>
    <n v="4"/>
    <s v="April"/>
    <s v="Q2"/>
    <n v="2024"/>
    <m/>
  </r>
  <r>
    <s v="SAL-1045"/>
    <d v="2024-07-31T00:00:00"/>
    <s v="Margaret Franklin"/>
    <s v="South"/>
    <x v="4"/>
    <s v="Consumer"/>
    <s v="Clothing"/>
    <s v="Sneakers"/>
    <n v="11"/>
    <n v="224.55"/>
    <n v="0.05"/>
    <n v="2346.5500000000002"/>
    <n v="1491.46"/>
    <n v="855.09"/>
    <s v="Mobile Payment"/>
    <n v="2"/>
    <s v="July"/>
    <s v="Q3"/>
    <n v="2024"/>
    <m/>
  </r>
  <r>
    <s v="SAL-1046"/>
    <d v="2024-07-18T00:00:00"/>
    <s v="Renee Marshall"/>
    <s v="East"/>
    <x v="2"/>
    <s v="Consumer"/>
    <s v="Electronics"/>
    <s v="Phone"/>
    <n v="9"/>
    <n v="327.35000000000002"/>
    <n v="0.05"/>
    <n v="2798.84"/>
    <n v="2160.9499999999998"/>
    <n v="637.89"/>
    <s v="Cash"/>
    <n v="5"/>
    <s v="July"/>
    <s v="Q3"/>
    <n v="2024"/>
    <m/>
  </r>
  <r>
    <s v="SAL-1047"/>
    <d v="2024-06-08T00:00:00"/>
    <s v="Tracy Garza"/>
    <s v="Central"/>
    <x v="0"/>
    <s v="Home Office"/>
    <s v="Clothing"/>
    <s v="Sneakers"/>
    <n v="10"/>
    <n v="73.739999999999995"/>
    <n v="0.05"/>
    <n v="700.53"/>
    <n v="564.80999999999995"/>
    <n v="135.72"/>
    <s v="Transfer"/>
    <n v="1"/>
    <s v="June"/>
    <s v="Q2"/>
    <n v="2024"/>
    <m/>
  </r>
  <r>
    <s v="SAL-1048"/>
    <d v="2024-09-11T00:00:00"/>
    <s v="Logan Nelson"/>
    <s v="North"/>
    <x v="1"/>
    <s v="Consumer"/>
    <s v="Furniture"/>
    <s v="Chair"/>
    <n v="5"/>
    <n v="1057.47"/>
    <n v="0.05"/>
    <n v="5022.9799999999996"/>
    <n v="3262.13"/>
    <n v="1760.85"/>
    <s v="Card"/>
    <n v="2"/>
    <s v="September"/>
    <s v="Q3"/>
    <n v="2024"/>
    <m/>
  </r>
  <r>
    <s v="SAL-1049"/>
    <d v="2024-08-10T00:00:00"/>
    <s v="Robin Foster"/>
    <s v="Central"/>
    <x v="3"/>
    <s v="Consumer"/>
    <s v="Electronics"/>
    <s v="Phone"/>
    <n v="2"/>
    <n v="544.28"/>
    <n v="0.05"/>
    <n v="1034.1300000000001"/>
    <n v="662.1"/>
    <n v="372.03"/>
    <s v="Card"/>
    <n v="1"/>
    <s v="August"/>
    <s v="Q3"/>
    <n v="2024"/>
    <m/>
  </r>
  <r>
    <s v="SAL-1050"/>
    <d v="2024-01-19T00:00:00"/>
    <s v="Vincent Daniels"/>
    <s v="South"/>
    <x v="0"/>
    <s v="Consumer"/>
    <s v="Clothing"/>
    <s v="T-Shirt"/>
    <n v="9"/>
    <n v="1111.72"/>
    <n v="0"/>
    <n v="10005.48"/>
    <n v="5731.95"/>
    <n v="4273.53"/>
    <s v="Cash"/>
    <n v="4"/>
    <s v="January"/>
    <s v="Q1"/>
    <n v="2024"/>
    <m/>
  </r>
  <r>
    <s v="SAL-1051"/>
    <d v="2024-07-26T00:00:00"/>
    <s v="Michael Gonzalez"/>
    <s v="West"/>
    <x v="2"/>
    <s v="Consumer"/>
    <s v="Clothing"/>
    <s v="Jacket"/>
    <n v="7"/>
    <n v="407.17"/>
    <n v="0.05"/>
    <n v="2707.68"/>
    <n v="1963.13"/>
    <n v="744.55"/>
    <s v="Cash"/>
    <n v="2"/>
    <s v="July"/>
    <s v="Q3"/>
    <n v="2024"/>
    <m/>
  </r>
  <r>
    <s v="SAL-1052"/>
    <d v="2024-08-03T00:00:00"/>
    <s v="Jennifer Kim"/>
    <s v="East"/>
    <x v="3"/>
    <s v="Corporate"/>
    <s v="Furniture"/>
    <s v="Cabinet"/>
    <n v="11"/>
    <n v="171.77"/>
    <n v="0.1"/>
    <n v="1700.52"/>
    <n v="1067.3800000000001"/>
    <n v="633.14"/>
    <s v="Card"/>
    <n v="5"/>
    <s v="August"/>
    <s v="Q3"/>
    <n v="2024"/>
    <m/>
  </r>
  <r>
    <s v="SAL-1053"/>
    <d v="2024-11-01T00:00:00"/>
    <s v="Janet Cuevas"/>
    <s v="Central"/>
    <x v="2"/>
    <s v="Corporate"/>
    <s v="Electronics"/>
    <s v="Laptop"/>
    <n v="10"/>
    <n v="728.65"/>
    <n v="0.05"/>
    <n v="6922.17"/>
    <n v="4720.3"/>
    <n v="2201.87"/>
    <s v="Card"/>
    <n v="5"/>
    <s v="November"/>
    <s v="Q4"/>
    <n v="2024"/>
    <m/>
  </r>
  <r>
    <s v="SAL-1054"/>
    <d v="2024-05-25T00:00:00"/>
    <s v="Deanna Freeman"/>
    <s v="Central"/>
    <x v="0"/>
    <s v="Home Office"/>
    <s v="Clothing"/>
    <s v="T-Shirt"/>
    <n v="6"/>
    <n v="362.55"/>
    <n v="0.15"/>
    <n v="1849.01"/>
    <n v="1166.2"/>
    <n v="682.81"/>
    <s v="Transfer"/>
    <n v="2"/>
    <s v="May"/>
    <s v="Q2"/>
    <n v="2024"/>
    <m/>
  </r>
  <r>
    <s v="SAL-1055"/>
    <d v="2024-07-09T00:00:00"/>
    <s v="Jimmy Thomas"/>
    <s v="West"/>
    <x v="4"/>
    <s v="Consumer"/>
    <s v="Furniture"/>
    <s v="Desk"/>
    <n v="6"/>
    <n v="72.34"/>
    <n v="0"/>
    <n v="434.04"/>
    <n v="291.58"/>
    <n v="142.46"/>
    <s v="Cash"/>
    <n v="2"/>
    <s v="July"/>
    <s v="Q3"/>
    <n v="2024"/>
    <m/>
  </r>
  <r>
    <s v="SAL-1056"/>
    <d v="2024-09-06T00:00:00"/>
    <s v="Nicholas Massey"/>
    <s v="Central"/>
    <x v="4"/>
    <s v="Home Office"/>
    <s v="Clothing"/>
    <s v="T-Shirt"/>
    <n v="9"/>
    <n v="818.76"/>
    <n v="0"/>
    <n v="7368.84"/>
    <n v="5653.66"/>
    <n v="1715.18"/>
    <s v="Mobile Payment"/>
    <n v="3"/>
    <s v="September"/>
    <s v="Q3"/>
    <n v="2024"/>
    <m/>
  </r>
  <r>
    <s v="SAL-1057"/>
    <d v="2024-09-03T00:00:00"/>
    <s v="Stephanie Webster"/>
    <s v="South"/>
    <x v="4"/>
    <s v="Consumer"/>
    <s v="Office Supplies"/>
    <s v="Paper"/>
    <n v="11"/>
    <n v="1014.57"/>
    <n v="0.1"/>
    <n v="10044.24"/>
    <n v="6209.8"/>
    <n v="3834.44"/>
    <s v="Cash"/>
    <n v="5"/>
    <s v="September"/>
    <s v="Q3"/>
    <n v="2024"/>
    <m/>
  </r>
  <r>
    <s v="SAL-1058"/>
    <d v="2024-07-23T00:00:00"/>
    <s v="Whitney Holt"/>
    <s v="South"/>
    <x v="0"/>
    <s v="Consumer"/>
    <s v="Furniture"/>
    <s v="Chair"/>
    <n v="1"/>
    <n v="176.96"/>
    <n v="0.05"/>
    <n v="168.11"/>
    <n v="124.39"/>
    <n v="43.72"/>
    <s v="Card"/>
    <n v="4"/>
    <s v="July"/>
    <s v="Q3"/>
    <n v="2024"/>
    <m/>
  </r>
  <r>
    <s v="SAL-1059"/>
    <d v="2024-08-06T00:00:00"/>
    <s v="Kenneth Werner"/>
    <s v="West"/>
    <x v="1"/>
    <s v="Corporate"/>
    <s v="Electronics"/>
    <s v="Printer"/>
    <n v="3"/>
    <n v="339.26"/>
    <n v="0.15"/>
    <n v="865.11"/>
    <n v="500.62"/>
    <n v="364.49"/>
    <s v="Cash"/>
    <n v="4"/>
    <s v="August"/>
    <s v="Q3"/>
    <n v="2024"/>
    <m/>
  </r>
  <r>
    <s v="SAL-1060"/>
    <d v="2024-02-27T00:00:00"/>
    <s v="James Lam"/>
    <s v="North"/>
    <x v="3"/>
    <s v="Corporate"/>
    <s v="Clothing"/>
    <s v="Jacket"/>
    <n v="2"/>
    <n v="1176.56"/>
    <n v="0.15"/>
    <n v="2000.15"/>
    <n v="1324.79"/>
    <n v="675.36"/>
    <s v="Transfer"/>
    <n v="2"/>
    <s v="February"/>
    <s v="Q1"/>
    <n v="2024"/>
    <m/>
  </r>
  <r>
    <s v="SAL-1061"/>
    <d v="2024-03-05T00:00:00"/>
    <s v="Karl Newman"/>
    <s v="West"/>
    <x v="4"/>
    <s v="Home Office"/>
    <s v="Clothing"/>
    <s v="Jacket"/>
    <n v="10"/>
    <n v="837.27"/>
    <n v="0.05"/>
    <n v="7954.07"/>
    <n v="4067.96"/>
    <n v="3886.11"/>
    <s v="Mobile Payment"/>
    <n v="4"/>
    <s v="March"/>
    <s v="Q1"/>
    <n v="2024"/>
    <m/>
  </r>
  <r>
    <s v="SAL-1062"/>
    <d v="2024-07-01T00:00:00"/>
    <s v="Ricardo Wallace"/>
    <s v="Central"/>
    <x v="3"/>
    <s v="Home Office"/>
    <s v="Electronics"/>
    <s v="Tablet"/>
    <n v="11"/>
    <n v="1115.67"/>
    <n v="0.1"/>
    <n v="11045.13"/>
    <n v="9212.4"/>
    <n v="1832.73"/>
    <s v="Cash"/>
    <n v="3"/>
    <s v="July"/>
    <s v="Q3"/>
    <n v="2024"/>
    <m/>
  </r>
  <r>
    <s v="SAL-1063"/>
    <d v="2024-09-20T00:00:00"/>
    <s v="Francisco Eaton"/>
    <s v="West"/>
    <x v="1"/>
    <s v="Home Office"/>
    <s v="Furniture"/>
    <s v="Desk"/>
    <n v="2"/>
    <n v="674.5"/>
    <n v="0"/>
    <n v="1349"/>
    <n v="957.76"/>
    <n v="391.24"/>
    <s v="Mobile Payment"/>
    <n v="1"/>
    <s v="September"/>
    <s v="Q3"/>
    <n v="2024"/>
    <m/>
  </r>
  <r>
    <s v="SAL-1064"/>
    <d v="2024-02-29T00:00:00"/>
    <s v="Troy Brock"/>
    <s v="West"/>
    <x v="2"/>
    <s v="Corporate"/>
    <s v="Furniture"/>
    <s v="Desk"/>
    <n v="6"/>
    <n v="282.37"/>
    <n v="0.15"/>
    <n v="1440.09"/>
    <n v="1091.57"/>
    <n v="348.52"/>
    <s v="Mobile Payment"/>
    <n v="1"/>
    <s v="February"/>
    <s v="Q1"/>
    <n v="2024"/>
    <m/>
  </r>
  <r>
    <s v="SAL-1065"/>
    <d v="2024-02-12T00:00:00"/>
    <s v="Megan Mckee"/>
    <s v="North"/>
    <x v="1"/>
    <s v="Home Office"/>
    <s v="Furniture"/>
    <s v="Chair"/>
    <n v="2"/>
    <n v="833.98"/>
    <n v="0.1"/>
    <n v="1501.16"/>
    <n v="842.48"/>
    <n v="658.68"/>
    <s v="Mobile Payment"/>
    <n v="4"/>
    <s v="February"/>
    <s v="Q1"/>
    <n v="2024"/>
    <m/>
  </r>
  <r>
    <s v="SAL-1066"/>
    <d v="2024-09-16T00:00:00"/>
    <s v="Wendy Robinson"/>
    <s v="West"/>
    <x v="1"/>
    <s v="Home Office"/>
    <s v="Clothing"/>
    <s v="Jacket"/>
    <n v="1"/>
    <n v="503.39"/>
    <n v="0"/>
    <n v="503.39"/>
    <n v="416.64"/>
    <n v="86.75"/>
    <s v="Transfer"/>
    <n v="3"/>
    <s v="September"/>
    <s v="Q3"/>
    <n v="2024"/>
    <m/>
  </r>
  <r>
    <s v="SAL-1067"/>
    <d v="2024-07-19T00:00:00"/>
    <s v="Marc Munoz"/>
    <s v="Central"/>
    <x v="3"/>
    <s v="Consumer"/>
    <s v="Office Supplies"/>
    <s v="Notebook"/>
    <n v="6"/>
    <n v="730.77"/>
    <n v="0"/>
    <n v="4384.62"/>
    <n v="2233.69"/>
    <n v="2150.9299999999998"/>
    <s v="Card"/>
    <n v="3"/>
    <s v="July"/>
    <s v="Q3"/>
    <n v="2024"/>
    <m/>
  </r>
  <r>
    <s v="SAL-1068"/>
    <d v="2024-09-30T00:00:00"/>
    <s v="Steven Brown"/>
    <s v="North"/>
    <x v="0"/>
    <s v="Corporate"/>
    <s v="Office Supplies"/>
    <s v="Paper"/>
    <n v="5"/>
    <n v="190.53"/>
    <n v="0.15"/>
    <n v="809.75"/>
    <n v="507.1"/>
    <n v="302.64999999999998"/>
    <s v="Card"/>
    <n v="2"/>
    <s v="September"/>
    <s v="Q3"/>
    <n v="2024"/>
    <m/>
  </r>
  <r>
    <s v="SAL-1069"/>
    <d v="2024-03-24T00:00:00"/>
    <s v="Jessica Miller"/>
    <s v="South"/>
    <x v="1"/>
    <s v="Corporate"/>
    <s v="Office Supplies"/>
    <s v="Notebook"/>
    <n v="12"/>
    <n v="576.28"/>
    <n v="0.05"/>
    <n v="6569.59"/>
    <n v="5236.5200000000004"/>
    <n v="1333.07"/>
    <s v="Transfer"/>
    <n v="4"/>
    <s v="March"/>
    <s v="Q1"/>
    <n v="2024"/>
    <m/>
  </r>
  <r>
    <s v="SAL-1070"/>
    <d v="2024-07-20T00:00:00"/>
    <s v="Nicole Jimenez"/>
    <s v="West"/>
    <x v="2"/>
    <s v="Home Office"/>
    <s v="Clothing"/>
    <s v="Sneakers"/>
    <n v="5"/>
    <n v="529.27"/>
    <n v="0.1"/>
    <n v="2381.7199999999998"/>
    <n v="1256.99"/>
    <n v="1124.73"/>
    <s v="Transfer"/>
    <n v="4"/>
    <s v="July"/>
    <s v="Q3"/>
    <n v="2024"/>
    <m/>
  </r>
  <r>
    <s v="SAL-1071"/>
    <d v="2024-08-15T00:00:00"/>
    <s v="Victor Barnett"/>
    <s v="Central"/>
    <x v="3"/>
    <s v="Home Office"/>
    <s v="Furniture"/>
    <s v="Desk"/>
    <n v="1"/>
    <n v="201.61"/>
    <n v="0.15"/>
    <n v="171.37"/>
    <n v="133.07"/>
    <n v="38.299999999999997"/>
    <s v="Card"/>
    <n v="3"/>
    <s v="August"/>
    <s v="Q3"/>
    <n v="2024"/>
    <m/>
  </r>
  <r>
    <s v="SAL-1072"/>
    <d v="2024-02-12T00:00:00"/>
    <s v="Scott Robinson"/>
    <s v="Central"/>
    <x v="1"/>
    <s v="Home Office"/>
    <s v="Furniture"/>
    <s v="Cabinet"/>
    <n v="4"/>
    <n v="1090.57"/>
    <n v="0.15"/>
    <n v="3707.94"/>
    <n v="2902.58"/>
    <n v="805.36"/>
    <s v="Cash"/>
    <n v="3"/>
    <s v="February"/>
    <s v="Q1"/>
    <n v="2024"/>
    <m/>
  </r>
  <r>
    <s v="SAL-1073"/>
    <d v="2024-10-28T00:00:00"/>
    <s v="Megan Rivera"/>
    <s v="South"/>
    <x v="4"/>
    <s v="Corporate"/>
    <s v="Clothing"/>
    <s v="Jacket"/>
    <n v="11"/>
    <n v="1125.3900000000001"/>
    <n v="0.05"/>
    <n v="11760.33"/>
    <n v="7297.31"/>
    <n v="4463.0200000000004"/>
    <s v="Mobile Payment"/>
    <n v="2"/>
    <s v="October"/>
    <s v="Q4"/>
    <n v="2024"/>
    <m/>
  </r>
  <r>
    <s v="SAL-1074"/>
    <d v="2024-10-28T00:00:00"/>
    <s v="Angela Byrd"/>
    <s v="Central"/>
    <x v="2"/>
    <s v="Corporate"/>
    <s v="Furniture"/>
    <s v="Chair"/>
    <n v="5"/>
    <n v="744.05"/>
    <n v="0.05"/>
    <n v="3534.24"/>
    <n v="2134.14"/>
    <n v="1400.1"/>
    <s v="Card"/>
    <n v="5"/>
    <s v="October"/>
    <s v="Q4"/>
    <n v="2024"/>
    <m/>
  </r>
  <r>
    <s v="SAL-1075"/>
    <d v="2024-03-23T00:00:00"/>
    <s v="Christina Vaughn"/>
    <s v="East"/>
    <x v="2"/>
    <s v="Consumer"/>
    <s v="Clothing"/>
    <s v="T-Shirt"/>
    <n v="3"/>
    <n v="198.57"/>
    <n v="0.1"/>
    <n v="536.14"/>
    <n v="384.91"/>
    <n v="151.22999999999999"/>
    <s v="Card"/>
    <n v="1"/>
    <s v="March"/>
    <s v="Q1"/>
    <n v="2024"/>
    <m/>
  </r>
  <r>
    <s v="SAL-1076"/>
    <d v="2024-02-18T00:00:00"/>
    <s v="Lawrence Medina"/>
    <s v="Central"/>
    <x v="0"/>
    <s v="Consumer"/>
    <s v="Office Supplies"/>
    <s v="Notebook"/>
    <n v="2"/>
    <n v="217.96"/>
    <n v="0.15"/>
    <n v="370.53"/>
    <n v="241.69"/>
    <n v="128.84"/>
    <s v="Card"/>
    <n v="1"/>
    <s v="February"/>
    <s v="Q1"/>
    <n v="2024"/>
    <m/>
  </r>
  <r>
    <s v="SAL-1077"/>
    <d v="2024-03-06T00:00:00"/>
    <s v="Joseph Johnston"/>
    <s v="Central"/>
    <x v="3"/>
    <s v="Home Office"/>
    <s v="Clothing"/>
    <s v="T-Shirt"/>
    <n v="4"/>
    <n v="809.56"/>
    <n v="0.05"/>
    <n v="3076.33"/>
    <n v="2023.3"/>
    <n v="1053.03"/>
    <s v="Mobile Payment"/>
    <n v="1"/>
    <s v="March"/>
    <s v="Q1"/>
    <n v="2024"/>
    <m/>
  </r>
  <r>
    <s v="SAL-1078"/>
    <d v="2024-03-14T00:00:00"/>
    <s v="Tammy Baker"/>
    <s v="South"/>
    <x v="4"/>
    <s v="Corporate"/>
    <s v="Clothing"/>
    <s v="Sneakers"/>
    <n v="7"/>
    <n v="523.92999999999995"/>
    <n v="0.05"/>
    <n v="3484.13"/>
    <n v="2857.16"/>
    <n v="626.97"/>
    <s v="Mobile Payment"/>
    <n v="5"/>
    <s v="March"/>
    <s v="Q1"/>
    <n v="2024"/>
    <m/>
  </r>
  <r>
    <s v="SAL-1079"/>
    <d v="2024-03-27T00:00:00"/>
    <s v="Sarah Rojas"/>
    <s v="South"/>
    <x v="1"/>
    <s v="Home Office"/>
    <s v="Furniture"/>
    <s v="Cabinet"/>
    <n v="10"/>
    <n v="845.81"/>
    <n v="0.05"/>
    <n v="8035.19"/>
    <n v="4464.3500000000004"/>
    <n v="3570.84"/>
    <s v="Cash"/>
    <n v="1"/>
    <s v="March"/>
    <s v="Q1"/>
    <n v="2024"/>
    <m/>
  </r>
  <r>
    <s v="SAL-1080"/>
    <d v="2024-11-17T00:00:00"/>
    <s v="Alicia Combs"/>
    <s v="West"/>
    <x v="4"/>
    <s v="Home Office"/>
    <s v="Office Supplies"/>
    <s v="Paper"/>
    <n v="3"/>
    <n v="843.94"/>
    <n v="0.15"/>
    <n v="2152.0500000000002"/>
    <n v="1617.6"/>
    <n v="534.45000000000005"/>
    <s v="Card"/>
    <n v="5"/>
    <s v="November"/>
    <s v="Q4"/>
    <n v="2024"/>
    <m/>
  </r>
  <r>
    <s v="SAL-1081"/>
    <d v="2024-05-16T00:00:00"/>
    <s v="Andre Choi"/>
    <s v="South"/>
    <x v="4"/>
    <s v="Home Office"/>
    <s v="Clothing"/>
    <s v="Jacket"/>
    <n v="2"/>
    <n v="950.79"/>
    <n v="0.1"/>
    <n v="1711.42"/>
    <n v="1192.1400000000001"/>
    <n v="519.28"/>
    <s v="Card"/>
    <n v="2"/>
    <s v="May"/>
    <s v="Q2"/>
    <n v="2024"/>
    <m/>
  </r>
  <r>
    <s v="SAL-1082"/>
    <d v="2024-08-26T00:00:00"/>
    <s v="Paul Reed"/>
    <s v="East"/>
    <x v="0"/>
    <s v="Consumer"/>
    <s v="Electronics"/>
    <s v="Laptop"/>
    <n v="7"/>
    <n v="620.39"/>
    <n v="0.15"/>
    <n v="3691.32"/>
    <n v="1937.39"/>
    <n v="1753.93"/>
    <s v="Mobile Payment"/>
    <n v="5"/>
    <s v="August"/>
    <s v="Q3"/>
    <n v="2024"/>
    <m/>
  </r>
  <r>
    <s v="SAL-1083"/>
    <d v="2024-03-06T00:00:00"/>
    <s v="Justin Chen"/>
    <s v="West"/>
    <x v="1"/>
    <s v="Corporate"/>
    <s v="Office Supplies"/>
    <s v="Notebook"/>
    <n v="8"/>
    <n v="768.16"/>
    <n v="0.05"/>
    <n v="5838.02"/>
    <n v="3460.62"/>
    <n v="2377.4"/>
    <s v="Cash"/>
    <n v="4"/>
    <s v="March"/>
    <s v="Q1"/>
    <n v="2024"/>
    <m/>
  </r>
  <r>
    <s v="SAL-1084"/>
    <d v="2024-12-25T00:00:00"/>
    <s v="Michelle Williams"/>
    <s v="East"/>
    <x v="3"/>
    <s v="Home Office"/>
    <s v="Clothing"/>
    <s v="Sneakers"/>
    <n v="6"/>
    <n v="1022.86"/>
    <n v="0.05"/>
    <n v="5830.3"/>
    <n v="4903.7700000000004"/>
    <n v="926.53"/>
    <s v="Cash"/>
    <n v="1"/>
    <s v="December"/>
    <s v="Q4"/>
    <n v="2024"/>
    <m/>
  </r>
  <r>
    <s v="SAL-1085"/>
    <d v="2024-04-01T00:00:00"/>
    <s v="Ricardo Miller"/>
    <s v="South"/>
    <x v="4"/>
    <s v="Home Office"/>
    <s v="Electronics"/>
    <s v="Tablet"/>
    <n v="6"/>
    <n v="1002.32"/>
    <n v="0.15"/>
    <n v="5111.83"/>
    <n v="3249.03"/>
    <n v="1862.8"/>
    <s v="Transfer"/>
    <n v="2"/>
    <s v="April"/>
    <s v="Q2"/>
    <n v="2024"/>
    <m/>
  </r>
  <r>
    <s v="SAL-1086"/>
    <d v="2024-03-23T00:00:00"/>
    <s v="David Chavez"/>
    <s v="East"/>
    <x v="0"/>
    <s v="Corporate"/>
    <s v="Clothing"/>
    <s v="T-Shirt"/>
    <n v="11"/>
    <n v="662.6"/>
    <n v="0.15"/>
    <n v="6195.31"/>
    <n v="3904.07"/>
    <n v="2291.2399999999998"/>
    <s v="Mobile Payment"/>
    <n v="5"/>
    <s v="March"/>
    <s v="Q1"/>
    <n v="2024"/>
    <m/>
  </r>
  <r>
    <s v="SAL-1087"/>
    <d v="2024-04-25T00:00:00"/>
    <s v="Stephanie Graham"/>
    <s v="Central"/>
    <x v="4"/>
    <s v="Consumer"/>
    <s v="Clothing"/>
    <s v="Jacket"/>
    <n v="11"/>
    <n v="16.739999999999998"/>
    <n v="0.05"/>
    <n v="174.93"/>
    <n v="147.69999999999999"/>
    <n v="27.23"/>
    <s v="Transfer"/>
    <n v="4"/>
    <s v="April"/>
    <s v="Q2"/>
    <n v="2024"/>
    <m/>
  </r>
  <r>
    <s v="SAL-1088"/>
    <d v="2024-12-08T00:00:00"/>
    <s v="John Stevens"/>
    <s v="North"/>
    <x v="4"/>
    <s v="Consumer"/>
    <s v="Office Supplies"/>
    <s v="Paper"/>
    <n v="1"/>
    <n v="786.58"/>
    <n v="0.1"/>
    <n v="707.92"/>
    <n v="466.48"/>
    <n v="241.44"/>
    <s v="Transfer"/>
    <n v="2"/>
    <s v="December"/>
    <s v="Q4"/>
    <n v="2024"/>
    <m/>
  </r>
  <r>
    <s v="SAL-1089"/>
    <d v="2024-03-05T00:00:00"/>
    <s v="Larry Perez"/>
    <s v="South"/>
    <x v="3"/>
    <s v="Corporate"/>
    <s v="Office Supplies"/>
    <s v="Notebook"/>
    <n v="8"/>
    <n v="226.94"/>
    <n v="0.05"/>
    <n v="1724.74"/>
    <n v="1008.43"/>
    <n v="716.31"/>
    <s v="Mobile Payment"/>
    <n v="1"/>
    <s v="March"/>
    <s v="Q1"/>
    <n v="2024"/>
    <m/>
  </r>
  <r>
    <s v="SAL-1090"/>
    <d v="2024-02-08T00:00:00"/>
    <s v="James Benson"/>
    <s v="South"/>
    <x v="1"/>
    <s v="Home Office"/>
    <s v="Clothing"/>
    <s v="Jacket"/>
    <n v="7"/>
    <n v="318.98"/>
    <n v="0.1"/>
    <n v="2009.57"/>
    <n v="1563.05"/>
    <n v="446.52"/>
    <s v="Transfer"/>
    <n v="1"/>
    <s v="February"/>
    <s v="Q1"/>
    <n v="2024"/>
    <m/>
  </r>
  <r>
    <s v="SAL-1091"/>
    <d v="2024-09-03T00:00:00"/>
    <s v="William Watson"/>
    <s v="Central"/>
    <x v="2"/>
    <s v="Consumer"/>
    <s v="Office Supplies"/>
    <s v="Notebook"/>
    <n v="7"/>
    <n v="340.54"/>
    <n v="0.15"/>
    <n v="2026.21"/>
    <n v="1398.51"/>
    <n v="627.70000000000005"/>
    <s v="Card"/>
    <n v="2"/>
    <s v="September"/>
    <s v="Q3"/>
    <n v="2024"/>
    <m/>
  </r>
  <r>
    <s v="SAL-1092"/>
    <d v="2024-11-14T00:00:00"/>
    <s v="Michael Stephens"/>
    <s v="Central"/>
    <x v="3"/>
    <s v="Consumer"/>
    <s v="Clothing"/>
    <s v="Sneakers"/>
    <n v="4"/>
    <n v="132.49"/>
    <n v="0.15"/>
    <n v="450.47"/>
    <n v="231.66"/>
    <n v="218.81"/>
    <s v="Card"/>
    <n v="2"/>
    <s v="November"/>
    <s v="Q4"/>
    <n v="2024"/>
    <m/>
  </r>
  <r>
    <s v="SAL-1093"/>
    <d v="2024-09-11T00:00:00"/>
    <s v="Andrea Sims"/>
    <s v="East"/>
    <x v="4"/>
    <s v="Corporate"/>
    <s v="Electronics"/>
    <s v="Laptop"/>
    <n v="2"/>
    <n v="617.49"/>
    <n v="0.15"/>
    <n v="1049.73"/>
    <n v="722.36"/>
    <n v="327.37"/>
    <s v="Mobile Payment"/>
    <n v="2"/>
    <s v="September"/>
    <s v="Q3"/>
    <n v="2024"/>
    <m/>
  </r>
  <r>
    <s v="SAL-1094"/>
    <d v="2024-06-02T00:00:00"/>
    <s v="Pamela Benson"/>
    <s v="East"/>
    <x v="1"/>
    <s v="Corporate"/>
    <s v="Furniture"/>
    <s v="Desk"/>
    <n v="1"/>
    <n v="799.79"/>
    <n v="0.05"/>
    <n v="759.8"/>
    <n v="546.46"/>
    <n v="213.34"/>
    <s v="Card"/>
    <n v="5"/>
    <s v="June"/>
    <s v="Q2"/>
    <n v="2024"/>
    <m/>
  </r>
  <r>
    <s v="SAL-1095"/>
    <d v="2024-11-20T00:00:00"/>
    <s v="Mario Moore"/>
    <s v="South"/>
    <x v="3"/>
    <s v="Consumer"/>
    <s v="Clothing"/>
    <s v="Sneakers"/>
    <n v="3"/>
    <n v="304.24"/>
    <n v="0"/>
    <n v="912.72"/>
    <n v="759.77"/>
    <n v="152.94999999999999"/>
    <s v="Mobile Payment"/>
    <n v="1"/>
    <s v="November"/>
    <s v="Q4"/>
    <n v="2024"/>
    <m/>
  </r>
  <r>
    <s v="SAL-1096"/>
    <d v="2024-07-19T00:00:00"/>
    <s v="Kenneth Lopez"/>
    <s v="East"/>
    <x v="2"/>
    <s v="Consumer"/>
    <s v="Electronics"/>
    <s v="Tablet"/>
    <n v="10"/>
    <n v="911.86"/>
    <n v="0"/>
    <n v="9118.6"/>
    <n v="6627.81"/>
    <n v="2490.79"/>
    <s v="Card"/>
    <n v="3"/>
    <s v="July"/>
    <s v="Q3"/>
    <n v="2024"/>
    <m/>
  </r>
  <r>
    <s v="SAL-1097"/>
    <d v="2024-06-18T00:00:00"/>
    <s v="Kim Levine"/>
    <s v="East"/>
    <x v="1"/>
    <s v="Home Office"/>
    <s v="Clothing"/>
    <s v="T-Shirt"/>
    <n v="8"/>
    <n v="710.07"/>
    <n v="0.1"/>
    <n v="5112.5"/>
    <n v="2918.91"/>
    <n v="2193.59"/>
    <s v="Transfer"/>
    <n v="4"/>
    <s v="June"/>
    <s v="Q2"/>
    <n v="2024"/>
    <m/>
  </r>
  <r>
    <s v="SAL-1098"/>
    <d v="2024-02-03T00:00:00"/>
    <s v="Tammy Wallace"/>
    <s v="South"/>
    <x v="4"/>
    <s v="Home Office"/>
    <s v="Office Supplies"/>
    <s v="Paper"/>
    <n v="10"/>
    <n v="446.88"/>
    <n v="0.15"/>
    <n v="3798.48"/>
    <n v="2560.08"/>
    <n v="1238.4000000000001"/>
    <s v="Mobile Payment"/>
    <n v="1"/>
    <s v="February"/>
    <s v="Q1"/>
    <n v="2024"/>
    <m/>
  </r>
  <r>
    <s v="SAL-1099"/>
    <d v="2024-01-13T00:00:00"/>
    <s v="Jamie Herrera"/>
    <s v="South"/>
    <x v="4"/>
    <s v="Consumer"/>
    <s v="Office Supplies"/>
    <s v="Pen"/>
    <n v="11"/>
    <n v="596.69000000000005"/>
    <n v="0.05"/>
    <n v="6235.41"/>
    <n v="3574.24"/>
    <n v="2661.17"/>
    <s v="Card"/>
    <n v="3"/>
    <s v="January"/>
    <s v="Q1"/>
    <n v="2024"/>
    <m/>
  </r>
  <r>
    <s v="SAL-1100"/>
    <d v="2024-04-07T00:00:00"/>
    <s v="Robyn Gilbert"/>
    <s v="North"/>
    <x v="2"/>
    <s v="Home Office"/>
    <s v="Furniture"/>
    <s v="Chair"/>
    <n v="3"/>
    <n v="1103.1600000000001"/>
    <n v="0.15"/>
    <n v="2813.06"/>
    <n v="1779.22"/>
    <n v="1033.8399999999999"/>
    <s v="Card"/>
    <n v="2"/>
    <s v="April"/>
    <s v="Q2"/>
    <n v="2024"/>
    <m/>
  </r>
  <r>
    <s v="SAL-1101"/>
    <d v="2024-07-22T00:00:00"/>
    <s v="Tina Ibarra"/>
    <s v="Central"/>
    <x v="2"/>
    <s v="Home Office"/>
    <s v="Furniture"/>
    <s v="Desk"/>
    <n v="8"/>
    <n v="416.16"/>
    <n v="0.05"/>
    <n v="3162.82"/>
    <n v="2325.37"/>
    <n v="837.45"/>
    <s v="Transfer"/>
    <n v="4"/>
    <s v="July"/>
    <s v="Q3"/>
    <n v="2024"/>
    <m/>
  </r>
  <r>
    <s v="SAL-1102"/>
    <d v="2024-10-25T00:00:00"/>
    <s v="Debbie Walker"/>
    <s v="Central"/>
    <x v="2"/>
    <s v="Consumer"/>
    <s v="Furniture"/>
    <s v="Cabinet"/>
    <n v="7"/>
    <n v="217.95"/>
    <n v="0.05"/>
    <n v="1449.37"/>
    <n v="906.18"/>
    <n v="543.19000000000005"/>
    <s v="Mobile Payment"/>
    <n v="3"/>
    <s v="October"/>
    <s v="Q4"/>
    <n v="2024"/>
    <m/>
  </r>
  <r>
    <s v="SAL-1103"/>
    <d v="2024-12-21T00:00:00"/>
    <s v="Joseph Jordan"/>
    <s v="North"/>
    <x v="1"/>
    <s v="Consumer"/>
    <s v="Clothing"/>
    <s v="Jacket"/>
    <n v="2"/>
    <n v="31.95"/>
    <n v="0"/>
    <n v="63.9"/>
    <n v="45.93"/>
    <n v="17.97"/>
    <s v="Card"/>
    <n v="1"/>
    <s v="December"/>
    <s v="Q4"/>
    <n v="2024"/>
    <m/>
  </r>
  <r>
    <s v="SAL-1104"/>
    <d v="2024-05-06T00:00:00"/>
    <s v="Steven Villegas"/>
    <s v="West"/>
    <x v="2"/>
    <s v="Consumer"/>
    <s v="Furniture"/>
    <s v="Chair"/>
    <n v="11"/>
    <n v="236.56"/>
    <n v="0.1"/>
    <n v="2341.94"/>
    <n v="1369.37"/>
    <n v="972.57"/>
    <s v="Cash"/>
    <n v="5"/>
    <s v="May"/>
    <s v="Q2"/>
    <n v="2024"/>
    <m/>
  </r>
  <r>
    <s v="SAL-1105"/>
    <d v="2024-09-11T00:00:00"/>
    <s v="Stephanie Spears"/>
    <s v="West"/>
    <x v="0"/>
    <s v="Home Office"/>
    <s v="Furniture"/>
    <s v="Chair"/>
    <n v="6"/>
    <n v="667.66"/>
    <n v="0.05"/>
    <n v="3805.66"/>
    <n v="2882.5"/>
    <n v="923.16"/>
    <s v="Card"/>
    <n v="1"/>
    <s v="September"/>
    <s v="Q3"/>
    <n v="2024"/>
    <m/>
  </r>
  <r>
    <s v="SAL-1106"/>
    <d v="2024-12-04T00:00:00"/>
    <s v="Kristen Olsen"/>
    <s v="North"/>
    <x v="4"/>
    <s v="Corporate"/>
    <s v="Clothing"/>
    <s v="T-Shirt"/>
    <n v="8"/>
    <n v="85.63"/>
    <n v="0.1"/>
    <n v="616.54"/>
    <n v="491.12"/>
    <n v="125.42"/>
    <s v="Card"/>
    <n v="5"/>
    <s v="December"/>
    <s v="Q4"/>
    <n v="2024"/>
    <m/>
  </r>
  <r>
    <s v="SAL-1107"/>
    <d v="2024-05-16T00:00:00"/>
    <s v="David Norris"/>
    <s v="Central"/>
    <x v="3"/>
    <s v="Consumer"/>
    <s v="Furniture"/>
    <s v="Desk"/>
    <n v="4"/>
    <n v="301.85000000000002"/>
    <n v="0"/>
    <n v="1207.4000000000001"/>
    <n v="971.68"/>
    <n v="235.72"/>
    <s v="Card"/>
    <n v="2"/>
    <s v="May"/>
    <s v="Q2"/>
    <n v="2024"/>
    <m/>
  </r>
  <r>
    <s v="SAL-1108"/>
    <d v="2024-06-08T00:00:00"/>
    <s v="Lynn Heath"/>
    <s v="North"/>
    <x v="2"/>
    <s v="Home Office"/>
    <s v="Electronics"/>
    <s v="Tablet"/>
    <n v="6"/>
    <n v="1101.74"/>
    <n v="0"/>
    <n v="6610.44"/>
    <n v="3858.32"/>
    <n v="2752.12"/>
    <s v="Transfer"/>
    <n v="1"/>
    <s v="June"/>
    <s v="Q2"/>
    <n v="2024"/>
    <m/>
  </r>
  <r>
    <s v="SAL-1109"/>
    <d v="2024-04-17T00:00:00"/>
    <s v="Melanie Carlson"/>
    <s v="Central"/>
    <x v="1"/>
    <s v="Corporate"/>
    <s v="Clothing"/>
    <s v="T-Shirt"/>
    <n v="6"/>
    <n v="1022.72"/>
    <n v="0.15"/>
    <n v="5215.87"/>
    <n v="4178.28"/>
    <n v="1037.5899999999999"/>
    <s v="Cash"/>
    <n v="1"/>
    <s v="April"/>
    <s v="Q2"/>
    <n v="2024"/>
    <m/>
  </r>
  <r>
    <s v="SAL-1110"/>
    <d v="2024-12-24T00:00:00"/>
    <s v="Kathleen Mason"/>
    <s v="Central"/>
    <x v="2"/>
    <s v="Home Office"/>
    <s v="Electronics"/>
    <s v="Laptop"/>
    <n v="2"/>
    <n v="1081.27"/>
    <n v="0.15"/>
    <n v="1838.16"/>
    <n v="1045.79"/>
    <n v="792.37"/>
    <s v="Card"/>
    <n v="3"/>
    <s v="December"/>
    <s v="Q4"/>
    <n v="2024"/>
    <m/>
  </r>
  <r>
    <s v="SAL-1111"/>
    <d v="2024-10-23T00:00:00"/>
    <s v="Anthony Gray"/>
    <s v="East"/>
    <x v="3"/>
    <s v="Consumer"/>
    <s v="Furniture"/>
    <s v="Desk"/>
    <n v="12"/>
    <n v="1030.02"/>
    <n v="0.05"/>
    <n v="11742.23"/>
    <n v="8431.7000000000007"/>
    <n v="3310.53"/>
    <s v="Mobile Payment"/>
    <n v="1"/>
    <s v="October"/>
    <s v="Q4"/>
    <n v="2024"/>
    <m/>
  </r>
  <r>
    <s v="SAL-1112"/>
    <d v="2024-12-07T00:00:00"/>
    <s v="Jonathan Davis"/>
    <s v="West"/>
    <x v="3"/>
    <s v="Consumer"/>
    <s v="Electronics"/>
    <s v="Tablet"/>
    <n v="9"/>
    <n v="101.9"/>
    <n v="0.15"/>
    <n v="779.53"/>
    <n v="571.4"/>
    <n v="208.13"/>
    <s v="Card"/>
    <n v="4"/>
    <s v="December"/>
    <s v="Q4"/>
    <n v="2024"/>
    <m/>
  </r>
  <r>
    <s v="SAL-1113"/>
    <d v="2024-10-14T00:00:00"/>
    <s v="Jay Allen"/>
    <s v="East"/>
    <x v="1"/>
    <s v="Home Office"/>
    <s v="Furniture"/>
    <s v="Cabinet"/>
    <n v="9"/>
    <n v="1108.27"/>
    <n v="0.1"/>
    <n v="8976.99"/>
    <n v="6163.86"/>
    <n v="2813.13"/>
    <s v="Transfer"/>
    <n v="2"/>
    <s v="October"/>
    <s v="Q4"/>
    <n v="2024"/>
    <m/>
  </r>
  <r>
    <s v="SAL-1114"/>
    <d v="2024-05-07T00:00:00"/>
    <s v="Alyssa Bush"/>
    <s v="West"/>
    <x v="1"/>
    <s v="Consumer"/>
    <s v="Furniture"/>
    <s v="Desk"/>
    <n v="11"/>
    <n v="551.15"/>
    <n v="0"/>
    <n v="6062.65"/>
    <n v="3229.86"/>
    <n v="2832.79"/>
    <s v="Mobile Payment"/>
    <n v="3"/>
    <s v="May"/>
    <s v="Q2"/>
    <n v="2024"/>
    <m/>
  </r>
  <r>
    <s v="SAL-1115"/>
    <d v="2024-10-08T00:00:00"/>
    <s v="Yolanda Fernandez"/>
    <s v="Central"/>
    <x v="0"/>
    <s v="Home Office"/>
    <s v="Office Supplies"/>
    <s v="Paper"/>
    <n v="9"/>
    <n v="849.04"/>
    <n v="0.1"/>
    <n v="6877.22"/>
    <n v="5048.58"/>
    <n v="1828.64"/>
    <s v="Cash"/>
    <n v="5"/>
    <s v="October"/>
    <s v="Q4"/>
    <n v="2024"/>
    <m/>
  </r>
  <r>
    <s v="SAL-1116"/>
    <d v="2024-03-12T00:00:00"/>
    <s v="Cynthia Cochran"/>
    <s v="West"/>
    <x v="2"/>
    <s v="Corporate"/>
    <s v="Electronics"/>
    <s v="Printer"/>
    <n v="11"/>
    <n v="161.6"/>
    <n v="0.15"/>
    <n v="1510.96"/>
    <n v="1224.06"/>
    <n v="286.89999999999998"/>
    <s v="Card"/>
    <n v="2"/>
    <s v="March"/>
    <s v="Q1"/>
    <n v="2024"/>
    <m/>
  </r>
  <r>
    <s v="SAL-1117"/>
    <d v="2024-06-10T00:00:00"/>
    <s v="Ashley Munoz"/>
    <s v="West"/>
    <x v="3"/>
    <s v="Consumer"/>
    <s v="Electronics"/>
    <s v="Laptop"/>
    <n v="10"/>
    <n v="1155.72"/>
    <n v="0.1"/>
    <n v="10401.48"/>
    <n v="6430.75"/>
    <n v="3970.73"/>
    <s v="Card"/>
    <n v="5"/>
    <s v="June"/>
    <s v="Q2"/>
    <n v="2024"/>
    <m/>
  </r>
  <r>
    <s v="SAL-1118"/>
    <d v="2024-04-24T00:00:00"/>
    <s v="Edward White"/>
    <s v="East"/>
    <x v="1"/>
    <s v="Home Office"/>
    <s v="Electronics"/>
    <s v="Printer"/>
    <n v="6"/>
    <n v="516.13"/>
    <n v="0"/>
    <n v="3096.78"/>
    <n v="1832.29"/>
    <n v="1264.49"/>
    <s v="Card"/>
    <n v="4"/>
    <s v="April"/>
    <s v="Q2"/>
    <n v="2024"/>
    <m/>
  </r>
  <r>
    <s v="SAL-1119"/>
    <d v="2024-12-16T00:00:00"/>
    <s v="Marc Ali"/>
    <s v="East"/>
    <x v="4"/>
    <s v="Corporate"/>
    <s v="Electronics"/>
    <s v="Phone"/>
    <n v="4"/>
    <n v="1048.02"/>
    <n v="0.05"/>
    <n v="3982.48"/>
    <n v="2705.23"/>
    <n v="1277.25"/>
    <s v="Card"/>
    <n v="3"/>
    <s v="December"/>
    <s v="Q4"/>
    <n v="2024"/>
    <m/>
  </r>
  <r>
    <s v="SAL-1120"/>
    <d v="2024-08-17T00:00:00"/>
    <s v="Richard Rodriguez"/>
    <s v="South"/>
    <x v="2"/>
    <s v="Corporate"/>
    <s v="Electronics"/>
    <s v="Printer"/>
    <n v="6"/>
    <n v="988.31"/>
    <n v="0.15"/>
    <n v="5040.38"/>
    <n v="4197.9399999999996"/>
    <n v="842.44"/>
    <s v="Cash"/>
    <n v="2"/>
    <s v="August"/>
    <s v="Q3"/>
    <n v="2024"/>
    <m/>
  </r>
  <r>
    <s v="SAL-1121"/>
    <d v="2024-01-29T00:00:00"/>
    <s v="Tony Vasquez"/>
    <s v="South"/>
    <x v="1"/>
    <s v="Consumer"/>
    <s v="Clothing"/>
    <s v="Sneakers"/>
    <n v="3"/>
    <n v="978.46"/>
    <n v="0.1"/>
    <n v="2641.84"/>
    <n v="1597.77"/>
    <n v="1044.07"/>
    <s v="Cash"/>
    <n v="1"/>
    <s v="January"/>
    <s v="Q1"/>
    <n v="2024"/>
    <m/>
  </r>
  <r>
    <s v="SAL-1122"/>
    <d v="2024-12-07T00:00:00"/>
    <s v="Dennis Watts"/>
    <s v="Central"/>
    <x v="2"/>
    <s v="Consumer"/>
    <s v="Office Supplies"/>
    <s v="Pen"/>
    <n v="3"/>
    <n v="1051.57"/>
    <n v="0.15"/>
    <n v="2681.5"/>
    <n v="2178.94"/>
    <n v="502.56"/>
    <s v="Mobile Payment"/>
    <n v="2"/>
    <s v="December"/>
    <s v="Q4"/>
    <n v="2024"/>
    <m/>
  </r>
  <r>
    <s v="SAL-1123"/>
    <d v="2024-02-16T00:00:00"/>
    <s v="Chase Contreras"/>
    <s v="South"/>
    <x v="1"/>
    <s v="Corporate"/>
    <s v="Electronics"/>
    <s v="Phone"/>
    <n v="2"/>
    <n v="182.86"/>
    <n v="0"/>
    <n v="365.72"/>
    <n v="190.44"/>
    <n v="175.28"/>
    <s v="Transfer"/>
    <n v="2"/>
    <s v="February"/>
    <s v="Q1"/>
    <n v="2024"/>
    <m/>
  </r>
  <r>
    <s v="SAL-1124"/>
    <d v="2024-11-21T00:00:00"/>
    <s v="Jeffrey Nunez"/>
    <s v="West"/>
    <x v="0"/>
    <s v="Home Office"/>
    <s v="Clothing"/>
    <s v="Sneakers"/>
    <n v="2"/>
    <n v="39.479999999999997"/>
    <n v="0.1"/>
    <n v="71.06"/>
    <n v="40.82"/>
    <n v="30.24"/>
    <s v="Transfer"/>
    <n v="5"/>
    <s v="November"/>
    <s v="Q4"/>
    <n v="2024"/>
    <m/>
  </r>
  <r>
    <s v="SAL-1125"/>
    <d v="2024-09-12T00:00:00"/>
    <s v="Luis Martinez"/>
    <s v="North"/>
    <x v="1"/>
    <s v="Consumer"/>
    <s v="Electronics"/>
    <s v="Phone"/>
    <n v="3"/>
    <n v="248.07"/>
    <n v="0.1"/>
    <n v="669.79"/>
    <n v="519.16"/>
    <n v="150.63"/>
    <s v="Transfer"/>
    <n v="5"/>
    <s v="September"/>
    <s v="Q3"/>
    <n v="2024"/>
    <m/>
  </r>
  <r>
    <s v="SAL-1126"/>
    <d v="2024-04-25T00:00:00"/>
    <s v="Jeffrey Watson"/>
    <s v="Central"/>
    <x v="1"/>
    <s v="Home Office"/>
    <s v="Clothing"/>
    <s v="Jacket"/>
    <n v="8"/>
    <n v="866.11"/>
    <n v="0.05"/>
    <n v="6582.44"/>
    <n v="5140.09"/>
    <n v="1442.35"/>
    <s v="Transfer"/>
    <n v="1"/>
    <s v="April"/>
    <s v="Q2"/>
    <n v="2024"/>
    <m/>
  </r>
  <r>
    <s v="SAL-1127"/>
    <d v="2024-12-04T00:00:00"/>
    <s v="Adam Warren"/>
    <s v="West"/>
    <x v="2"/>
    <s v="Home Office"/>
    <s v="Furniture"/>
    <s v="Chair"/>
    <n v="11"/>
    <n v="869.33"/>
    <n v="0.05"/>
    <n v="9084.5"/>
    <n v="5487.37"/>
    <n v="3597.13"/>
    <s v="Mobile Payment"/>
    <n v="4"/>
    <s v="December"/>
    <s v="Q4"/>
    <n v="2024"/>
    <m/>
  </r>
  <r>
    <s v="SAL-1128"/>
    <d v="2024-11-30T00:00:00"/>
    <s v="Elizabeth Kennedy"/>
    <s v="South"/>
    <x v="4"/>
    <s v="Consumer"/>
    <s v="Furniture"/>
    <s v="Desk"/>
    <n v="7"/>
    <n v="153.30000000000001"/>
    <n v="0.15"/>
    <n v="912.14"/>
    <n v="566.48"/>
    <n v="345.66"/>
    <s v="Card"/>
    <n v="5"/>
    <s v="November"/>
    <s v="Q4"/>
    <n v="2024"/>
    <m/>
  </r>
  <r>
    <s v="SAL-1129"/>
    <d v="2024-01-03T00:00:00"/>
    <s v="Heather Williams"/>
    <s v="East"/>
    <x v="0"/>
    <s v="Corporate"/>
    <s v="Furniture"/>
    <s v="Desk"/>
    <n v="5"/>
    <n v="500.74"/>
    <n v="0.05"/>
    <n v="2378.5100000000002"/>
    <n v="1675.88"/>
    <n v="702.63"/>
    <s v="Mobile Payment"/>
    <n v="1"/>
    <s v="January"/>
    <s v="Q1"/>
    <n v="2024"/>
    <m/>
  </r>
  <r>
    <s v="SAL-1130"/>
    <d v="2024-08-27T00:00:00"/>
    <s v="Renee Flynn"/>
    <s v="West"/>
    <x v="1"/>
    <s v="Consumer"/>
    <s v="Electronics"/>
    <s v="Tablet"/>
    <n v="11"/>
    <n v="476.45"/>
    <n v="0.1"/>
    <n v="4716.8500000000004"/>
    <n v="3296.85"/>
    <n v="1420"/>
    <s v="Card"/>
    <n v="1"/>
    <s v="August"/>
    <s v="Q3"/>
    <n v="2024"/>
    <m/>
  </r>
  <r>
    <s v="SAL-1131"/>
    <d v="2024-01-03T00:00:00"/>
    <s v="Sierra Santiago"/>
    <s v="West"/>
    <x v="4"/>
    <s v="Home Office"/>
    <s v="Clothing"/>
    <s v="Jacket"/>
    <n v="2"/>
    <n v="442.01"/>
    <n v="0"/>
    <n v="884.02"/>
    <n v="659.45"/>
    <n v="224.57"/>
    <s v="Cash"/>
    <n v="2"/>
    <s v="January"/>
    <s v="Q1"/>
    <n v="2024"/>
    <m/>
  </r>
  <r>
    <s v="SAL-1132"/>
    <d v="2024-06-06T00:00:00"/>
    <s v="John Smith"/>
    <s v="Central"/>
    <x v="4"/>
    <s v="Home Office"/>
    <s v="Office Supplies"/>
    <s v="Paper"/>
    <n v="6"/>
    <n v="711.1"/>
    <n v="0.1"/>
    <n v="3839.94"/>
    <n v="2687.45"/>
    <n v="1152.49"/>
    <s v="Mobile Payment"/>
    <n v="5"/>
    <s v="June"/>
    <s v="Q2"/>
    <n v="2024"/>
    <m/>
  </r>
  <r>
    <s v="SAL-1133"/>
    <d v="2024-10-03T00:00:00"/>
    <s v="Randy Young"/>
    <s v="North"/>
    <x v="3"/>
    <s v="Home Office"/>
    <s v="Electronics"/>
    <s v="Tablet"/>
    <n v="5"/>
    <n v="348.14"/>
    <n v="0"/>
    <n v="1740.7"/>
    <n v="1268.55"/>
    <n v="472.15"/>
    <s v="Cash"/>
    <n v="3"/>
    <s v="October"/>
    <s v="Q4"/>
    <n v="2024"/>
    <m/>
  </r>
  <r>
    <s v="SAL-1134"/>
    <d v="2024-03-06T00:00:00"/>
    <s v="Brenda Bruce"/>
    <s v="East"/>
    <x v="3"/>
    <s v="Corporate"/>
    <s v="Electronics"/>
    <s v="Phone"/>
    <n v="1"/>
    <n v="643.79"/>
    <n v="0.15"/>
    <n v="547.22"/>
    <n v="372.9"/>
    <n v="174.32"/>
    <s v="Mobile Payment"/>
    <n v="3"/>
    <s v="March"/>
    <s v="Q1"/>
    <n v="2024"/>
    <m/>
  </r>
  <r>
    <s v="SAL-1135"/>
    <d v="2024-08-22T00:00:00"/>
    <s v="Seth Williams"/>
    <s v="West"/>
    <x v="4"/>
    <s v="Consumer"/>
    <s v="Furniture"/>
    <s v="Cabinet"/>
    <n v="4"/>
    <n v="1074.33"/>
    <n v="0.05"/>
    <n v="4082.45"/>
    <n v="3376.47"/>
    <n v="705.98"/>
    <s v="Card"/>
    <n v="3"/>
    <s v="August"/>
    <s v="Q3"/>
    <n v="2024"/>
    <m/>
  </r>
  <r>
    <s v="SAL-1136"/>
    <d v="2024-01-17T00:00:00"/>
    <s v="Peggy Foster"/>
    <s v="South"/>
    <x v="1"/>
    <s v="Consumer"/>
    <s v="Clothing"/>
    <s v="Jacket"/>
    <n v="8"/>
    <n v="72.31"/>
    <n v="0.1"/>
    <n v="520.63"/>
    <n v="312.19"/>
    <n v="208.44"/>
    <s v="Transfer"/>
    <n v="3"/>
    <s v="January"/>
    <s v="Q1"/>
    <n v="2024"/>
    <m/>
  </r>
  <r>
    <s v="SAL-1137"/>
    <d v="2024-12-10T00:00:00"/>
    <s v="Roger Morales"/>
    <s v="Central"/>
    <x v="4"/>
    <s v="Corporate"/>
    <s v="Office Supplies"/>
    <s v="Pen"/>
    <n v="9"/>
    <n v="1180.46"/>
    <n v="0"/>
    <n v="10624.14"/>
    <n v="5742.88"/>
    <n v="4881.26"/>
    <s v="Transfer"/>
    <n v="2"/>
    <s v="December"/>
    <s v="Q4"/>
    <n v="2024"/>
    <m/>
  </r>
  <r>
    <s v="SAL-1138"/>
    <d v="2024-10-03T00:00:00"/>
    <s v="Brittany Tucker"/>
    <s v="Central"/>
    <x v="0"/>
    <s v="Consumer"/>
    <s v="Office Supplies"/>
    <s v="Paper"/>
    <n v="12"/>
    <n v="797.5"/>
    <n v="0.15"/>
    <n v="8134.5"/>
    <n v="4880.34"/>
    <n v="3254.16"/>
    <s v="Transfer"/>
    <n v="4"/>
    <s v="October"/>
    <s v="Q4"/>
    <n v="2024"/>
    <m/>
  </r>
  <r>
    <s v="SAL-1139"/>
    <d v="2024-01-29T00:00:00"/>
    <s v="Ricky Reynolds"/>
    <s v="Central"/>
    <x v="0"/>
    <s v="Home Office"/>
    <s v="Office Supplies"/>
    <s v="Paper"/>
    <n v="7"/>
    <n v="841.3"/>
    <n v="0.15"/>
    <n v="5005.7299999999996"/>
    <n v="3358.95"/>
    <n v="1646.78"/>
    <s v="Cash"/>
    <n v="4"/>
    <s v="January"/>
    <s v="Q1"/>
    <n v="2024"/>
    <m/>
  </r>
  <r>
    <s v="SAL-1140"/>
    <d v="2024-05-26T00:00:00"/>
    <s v="Frank Martinez"/>
    <s v="North"/>
    <x v="2"/>
    <s v="Consumer"/>
    <s v="Furniture"/>
    <s v="Cabinet"/>
    <n v="5"/>
    <n v="1149.07"/>
    <n v="0.15"/>
    <n v="4883.55"/>
    <n v="2559.12"/>
    <n v="2324.4299999999998"/>
    <s v="Mobile Payment"/>
    <n v="3"/>
    <s v="May"/>
    <s v="Q2"/>
    <n v="2024"/>
    <m/>
  </r>
  <r>
    <s v="SAL-1141"/>
    <d v="2024-12-06T00:00:00"/>
    <s v="Anna Mccann"/>
    <s v="South"/>
    <x v="3"/>
    <s v="Consumer"/>
    <s v="Furniture"/>
    <s v="Cabinet"/>
    <n v="11"/>
    <n v="439.88"/>
    <n v="0"/>
    <n v="4838.68"/>
    <n v="3487.51"/>
    <n v="1351.17"/>
    <s v="Mobile Payment"/>
    <n v="1"/>
    <s v="December"/>
    <s v="Q4"/>
    <n v="2024"/>
    <m/>
  </r>
  <r>
    <s v="SAL-1142"/>
    <d v="2024-05-02T00:00:00"/>
    <s v="Christopher Gutierrez"/>
    <s v="North"/>
    <x v="4"/>
    <s v="Home Office"/>
    <s v="Clothing"/>
    <s v="T-Shirt"/>
    <n v="12"/>
    <n v="533.51"/>
    <n v="0.05"/>
    <n v="6082.01"/>
    <n v="4137.59"/>
    <n v="1944.42"/>
    <s v="Card"/>
    <n v="2"/>
    <s v="May"/>
    <s v="Q2"/>
    <n v="2024"/>
    <m/>
  </r>
  <r>
    <s v="SAL-1143"/>
    <d v="2024-01-19T00:00:00"/>
    <s v="Jennifer Rodgers MD"/>
    <s v="Central"/>
    <x v="4"/>
    <s v="Corporate"/>
    <s v="Electronics"/>
    <s v="Laptop"/>
    <n v="9"/>
    <n v="1186.7"/>
    <n v="0"/>
    <n v="10680.3"/>
    <n v="6258.4"/>
    <n v="4421.8999999999996"/>
    <s v="Mobile Payment"/>
    <n v="3"/>
    <s v="January"/>
    <s v="Q1"/>
    <n v="2024"/>
    <m/>
  </r>
  <r>
    <s v="SAL-1144"/>
    <d v="2024-03-04T00:00:00"/>
    <s v="Ethan Mclean"/>
    <s v="East"/>
    <x v="0"/>
    <s v="Consumer"/>
    <s v="Furniture"/>
    <s v="Chair"/>
    <n v="1"/>
    <n v="176.14"/>
    <n v="0.05"/>
    <n v="167.33"/>
    <n v="133.97999999999999"/>
    <n v="33.35"/>
    <s v="Cash"/>
    <n v="1"/>
    <s v="March"/>
    <s v="Q1"/>
    <n v="2024"/>
    <m/>
  </r>
  <r>
    <s v="SAL-1145"/>
    <d v="2024-07-28T00:00:00"/>
    <s v="Alexander Gray"/>
    <s v="West"/>
    <x v="2"/>
    <s v="Consumer"/>
    <s v="Electronics"/>
    <s v="Tablet"/>
    <n v="3"/>
    <n v="816.6"/>
    <n v="0.15"/>
    <n v="2082.33"/>
    <n v="1638.63"/>
    <n v="443.7"/>
    <s v="Card"/>
    <n v="1"/>
    <s v="July"/>
    <s v="Q3"/>
    <n v="2024"/>
    <m/>
  </r>
  <r>
    <s v="SAL-1146"/>
    <d v="2024-02-12T00:00:00"/>
    <s v="Dr. Julia Wilson"/>
    <s v="East"/>
    <x v="0"/>
    <s v="Consumer"/>
    <s v="Furniture"/>
    <s v="Desk"/>
    <n v="7"/>
    <n v="925.37"/>
    <n v="0.05"/>
    <n v="6153.71"/>
    <n v="3527.58"/>
    <n v="2626.13"/>
    <s v="Mobile Payment"/>
    <n v="4"/>
    <s v="February"/>
    <s v="Q1"/>
    <n v="2024"/>
    <m/>
  </r>
  <r>
    <s v="SAL-1147"/>
    <d v="2024-04-30T00:00:00"/>
    <s v="Logan Goodwin"/>
    <s v="North"/>
    <x v="0"/>
    <s v="Corporate"/>
    <s v="Clothing"/>
    <s v="Sneakers"/>
    <n v="5"/>
    <n v="1180.1199999999999"/>
    <n v="0.05"/>
    <n v="5605.57"/>
    <n v="3628.41"/>
    <n v="1977.16"/>
    <s v="Transfer"/>
    <n v="5"/>
    <s v="April"/>
    <s v="Q2"/>
    <n v="2024"/>
    <m/>
  </r>
  <r>
    <s v="SAL-1148"/>
    <d v="2024-02-01T00:00:00"/>
    <s v="William Wilkerson"/>
    <s v="West"/>
    <x v="2"/>
    <s v="Corporate"/>
    <s v="Furniture"/>
    <s v="Chair"/>
    <n v="6"/>
    <n v="429.16"/>
    <n v="0.1"/>
    <n v="2317.46"/>
    <n v="1241.83"/>
    <n v="1075.6300000000001"/>
    <s v="Transfer"/>
    <n v="5"/>
    <s v="February"/>
    <s v="Q1"/>
    <n v="2024"/>
    <m/>
  </r>
  <r>
    <s v="SAL-1149"/>
    <d v="2024-01-16T00:00:00"/>
    <s v="Robert Jacobs"/>
    <s v="South"/>
    <x v="1"/>
    <s v="Corporate"/>
    <s v="Office Supplies"/>
    <s v="Pen"/>
    <n v="12"/>
    <n v="593.41999999999996"/>
    <n v="0"/>
    <n v="7121.04"/>
    <n v="4942.33"/>
    <n v="2178.71"/>
    <s v="Mobile Payment"/>
    <n v="4"/>
    <s v="January"/>
    <s v="Q1"/>
    <n v="2024"/>
    <m/>
  </r>
  <r>
    <s v="SAL-1150"/>
    <d v="2024-10-22T00:00:00"/>
    <s v="Andrea Williams"/>
    <s v="West"/>
    <x v="3"/>
    <s v="Home Office"/>
    <s v="Office Supplies"/>
    <s v="Pen"/>
    <n v="6"/>
    <n v="1098.8499999999999"/>
    <n v="0.15"/>
    <n v="5604.13"/>
    <n v="4547.3999999999996"/>
    <n v="1056.73"/>
    <s v="Mobile Payment"/>
    <n v="1"/>
    <s v="October"/>
    <s v="Q4"/>
    <n v="2024"/>
    <m/>
  </r>
  <r>
    <s v="SAL-1151"/>
    <d v="2024-12-28T00:00:00"/>
    <s v="Tyler Woodward"/>
    <s v="Central"/>
    <x v="3"/>
    <s v="Home Office"/>
    <s v="Office Supplies"/>
    <s v="Pen"/>
    <n v="4"/>
    <n v="250.99"/>
    <n v="0"/>
    <n v="1003.96"/>
    <n v="827.42"/>
    <n v="176.54"/>
    <s v="Mobile Payment"/>
    <n v="1"/>
    <s v="December"/>
    <s v="Q4"/>
    <n v="2024"/>
    <m/>
  </r>
  <r>
    <s v="SAL-1152"/>
    <d v="2024-01-24T00:00:00"/>
    <s v="Michael Torres"/>
    <s v="East"/>
    <x v="2"/>
    <s v="Corporate"/>
    <s v="Clothing"/>
    <s v="T-Shirt"/>
    <n v="8"/>
    <n v="1112.3699999999999"/>
    <n v="0"/>
    <n v="8898.9599999999991"/>
    <n v="4458.62"/>
    <n v="4440.34"/>
    <s v="Card"/>
    <n v="3"/>
    <s v="January"/>
    <s v="Q1"/>
    <n v="2024"/>
    <m/>
  </r>
  <r>
    <s v="SAL-1153"/>
    <d v="2024-03-18T00:00:00"/>
    <s v="Paige Rivera"/>
    <s v="Central"/>
    <x v="2"/>
    <s v="Corporate"/>
    <s v="Furniture"/>
    <s v="Chair"/>
    <n v="11"/>
    <n v="1113.8699999999999"/>
    <n v="0"/>
    <n v="12252.57"/>
    <n v="9331.39"/>
    <n v="2921.18"/>
    <s v="Transfer"/>
    <n v="5"/>
    <s v="March"/>
    <s v="Q1"/>
    <n v="2024"/>
    <m/>
  </r>
  <r>
    <s v="SAL-1154"/>
    <d v="2024-04-18T00:00:00"/>
    <s v="Jordan Johnson"/>
    <s v="Central"/>
    <x v="2"/>
    <s v="Corporate"/>
    <s v="Furniture"/>
    <s v="Cabinet"/>
    <n v="10"/>
    <n v="460.92"/>
    <n v="0.15"/>
    <n v="3917.82"/>
    <n v="2382.69"/>
    <n v="1535.13"/>
    <s v="Transfer"/>
    <n v="2"/>
    <s v="April"/>
    <s v="Q2"/>
    <n v="2024"/>
    <m/>
  </r>
  <r>
    <s v="SAL-1155"/>
    <d v="2024-04-24T00:00:00"/>
    <s v="Dr. Rebekah Medina DVM"/>
    <s v="Central"/>
    <x v="1"/>
    <s v="Consumer"/>
    <s v="Clothing"/>
    <s v="Sneakers"/>
    <n v="10"/>
    <n v="993.99"/>
    <n v="0"/>
    <n v="9939.9"/>
    <n v="5305.88"/>
    <n v="4634.0200000000004"/>
    <s v="Card"/>
    <n v="2"/>
    <s v="April"/>
    <s v="Q2"/>
    <n v="2024"/>
    <m/>
  </r>
  <r>
    <s v="SAL-1156"/>
    <d v="2024-05-28T00:00:00"/>
    <s v="Dennis Simmons"/>
    <s v="North"/>
    <x v="2"/>
    <s v="Home Office"/>
    <s v="Clothing"/>
    <s v="Jacket"/>
    <n v="11"/>
    <n v="746.02"/>
    <n v="0.1"/>
    <n v="7385.6"/>
    <n v="4798.93"/>
    <n v="2586.67"/>
    <s v="Card"/>
    <n v="2"/>
    <s v="May"/>
    <s v="Q2"/>
    <n v="2024"/>
    <m/>
  </r>
  <r>
    <s v="SAL-1157"/>
    <d v="2024-06-22T00:00:00"/>
    <s v="Adam Yang"/>
    <s v="West"/>
    <x v="0"/>
    <s v="Corporate"/>
    <s v="Office Supplies"/>
    <s v="Paper"/>
    <n v="9"/>
    <n v="333.49"/>
    <n v="0.1"/>
    <n v="2701.27"/>
    <n v="1687.31"/>
    <n v="1013.96"/>
    <s v="Transfer"/>
    <n v="5"/>
    <s v="June"/>
    <s v="Q2"/>
    <n v="2024"/>
    <m/>
  </r>
  <r>
    <s v="SAL-1158"/>
    <d v="2024-05-09T00:00:00"/>
    <s v="Jacqueline Hodges"/>
    <s v="West"/>
    <x v="4"/>
    <s v="Corporate"/>
    <s v="Electronics"/>
    <s v="Laptop"/>
    <n v="7"/>
    <n v="362.76"/>
    <n v="0.05"/>
    <n v="2412.35"/>
    <n v="1770.79"/>
    <n v="641.55999999999995"/>
    <s v="Transfer"/>
    <n v="4"/>
    <s v="May"/>
    <s v="Q2"/>
    <n v="2024"/>
    <m/>
  </r>
  <r>
    <s v="SAL-1159"/>
    <d v="2024-07-30T00:00:00"/>
    <s v="Jacqueline Spencer"/>
    <s v="West"/>
    <x v="0"/>
    <s v="Corporate"/>
    <s v="Furniture"/>
    <s v="Desk"/>
    <n v="3"/>
    <n v="744.33"/>
    <n v="0.1"/>
    <n v="2009.69"/>
    <n v="1138.49"/>
    <n v="871.2"/>
    <s v="Transfer"/>
    <n v="3"/>
    <s v="July"/>
    <s v="Q3"/>
    <n v="2024"/>
    <m/>
  </r>
  <r>
    <s v="SAL-1160"/>
    <d v="2024-03-30T00:00:00"/>
    <s v="Kenneth Brown"/>
    <s v="West"/>
    <x v="2"/>
    <s v="Consumer"/>
    <s v="Office Supplies"/>
    <s v="Paper"/>
    <n v="9"/>
    <n v="297.56"/>
    <n v="0.1"/>
    <n v="2410.2399999999998"/>
    <n v="1775.36"/>
    <n v="634.88"/>
    <s v="Cash"/>
    <n v="1"/>
    <s v="March"/>
    <s v="Q1"/>
    <n v="2024"/>
    <m/>
  </r>
  <r>
    <s v="SAL-1161"/>
    <d v="2024-04-28T00:00:00"/>
    <s v="William Martinez"/>
    <s v="Central"/>
    <x v="0"/>
    <s v="Consumer"/>
    <s v="Furniture"/>
    <s v="Desk"/>
    <n v="4"/>
    <n v="861.71"/>
    <n v="0.05"/>
    <n v="3274.5"/>
    <n v="1746.07"/>
    <n v="1528.43"/>
    <s v="Cash"/>
    <n v="5"/>
    <s v="April"/>
    <s v="Q2"/>
    <n v="2024"/>
    <m/>
  </r>
  <r>
    <s v="SAL-1162"/>
    <d v="2024-09-11T00:00:00"/>
    <s v="Kelly Rivas"/>
    <s v="South"/>
    <x v="2"/>
    <s v="Consumer"/>
    <s v="Furniture"/>
    <s v="Desk"/>
    <n v="11"/>
    <n v="142.61000000000001"/>
    <n v="0.05"/>
    <n v="1490.27"/>
    <n v="1064.6300000000001"/>
    <n v="425.64"/>
    <s v="Mobile Payment"/>
    <n v="3"/>
    <s v="September"/>
    <s v="Q3"/>
    <n v="2024"/>
    <m/>
  </r>
  <r>
    <s v="SAL-1163"/>
    <d v="2024-07-06T00:00:00"/>
    <s v="Sarah Richards"/>
    <s v="East"/>
    <x v="0"/>
    <s v="Consumer"/>
    <s v="Furniture"/>
    <s v="Cabinet"/>
    <n v="12"/>
    <n v="121.32"/>
    <n v="0.15"/>
    <n v="1237.46"/>
    <n v="977.78"/>
    <n v="259.68"/>
    <s v="Cash"/>
    <n v="1"/>
    <s v="July"/>
    <s v="Q3"/>
    <n v="2024"/>
    <m/>
  </r>
  <r>
    <s v="SAL-1164"/>
    <d v="2024-09-01T00:00:00"/>
    <s v="Annette Young"/>
    <s v="Central"/>
    <x v="0"/>
    <s v="Corporate"/>
    <s v="Office Supplies"/>
    <s v="Paper"/>
    <n v="9"/>
    <n v="1104.55"/>
    <n v="0.15"/>
    <n v="8449.81"/>
    <n v="5014.49"/>
    <n v="3435.32"/>
    <s v="Mobile Payment"/>
    <n v="1"/>
    <s v="September"/>
    <s v="Q3"/>
    <n v="2024"/>
    <m/>
  </r>
  <r>
    <s v="SAL-1165"/>
    <d v="2024-01-16T00:00:00"/>
    <s v="Douglas Bates"/>
    <s v="West"/>
    <x v="2"/>
    <s v="Consumer"/>
    <s v="Office Supplies"/>
    <s v="Pen"/>
    <n v="4"/>
    <n v="547.54"/>
    <n v="0.1"/>
    <n v="1971.14"/>
    <n v="1567.82"/>
    <n v="403.32"/>
    <s v="Mobile Payment"/>
    <n v="1"/>
    <s v="January"/>
    <s v="Q1"/>
    <n v="2024"/>
    <m/>
  </r>
  <r>
    <s v="SAL-1166"/>
    <d v="2024-07-20T00:00:00"/>
    <s v="John Riley"/>
    <s v="Central"/>
    <x v="3"/>
    <s v="Home Office"/>
    <s v="Clothing"/>
    <s v="Jacket"/>
    <n v="11"/>
    <n v="552.65"/>
    <n v="0.05"/>
    <n v="5775.19"/>
    <n v="3738.02"/>
    <n v="2037.17"/>
    <s v="Mobile Payment"/>
    <n v="5"/>
    <s v="July"/>
    <s v="Q3"/>
    <n v="2024"/>
    <m/>
  </r>
  <r>
    <s v="SAL-1167"/>
    <d v="2024-06-14T00:00:00"/>
    <s v="Jennifer Brown"/>
    <s v="Central"/>
    <x v="3"/>
    <s v="Home Office"/>
    <s v="Office Supplies"/>
    <s v="Pen"/>
    <n v="6"/>
    <n v="861.6"/>
    <n v="0.1"/>
    <n v="4652.6400000000003"/>
    <n v="3766.38"/>
    <n v="886.26"/>
    <s v="Transfer"/>
    <n v="4"/>
    <s v="June"/>
    <s v="Q2"/>
    <n v="2024"/>
    <m/>
  </r>
  <r>
    <s v="SAL-1168"/>
    <d v="2024-04-04T00:00:00"/>
    <s v="Tammy Oneal"/>
    <s v="East"/>
    <x v="2"/>
    <s v="Home Office"/>
    <s v="Furniture"/>
    <s v="Cabinet"/>
    <n v="3"/>
    <n v="717.64"/>
    <n v="0"/>
    <n v="2152.92"/>
    <n v="1630.86"/>
    <n v="522.05999999999995"/>
    <s v="Mobile Payment"/>
    <n v="3"/>
    <s v="April"/>
    <s v="Q2"/>
    <n v="2024"/>
    <m/>
  </r>
  <r>
    <s v="SAL-1169"/>
    <d v="2024-03-22T00:00:00"/>
    <s v="Rebecca Lopez"/>
    <s v="Central"/>
    <x v="3"/>
    <s v="Corporate"/>
    <s v="Electronics"/>
    <s v="Tablet"/>
    <n v="6"/>
    <n v="930.47"/>
    <n v="0"/>
    <n v="5582.82"/>
    <n v="3303.17"/>
    <n v="2279.65"/>
    <s v="Cash"/>
    <n v="4"/>
    <s v="March"/>
    <s v="Q1"/>
    <n v="2024"/>
    <m/>
  </r>
  <r>
    <s v="SAL-1170"/>
    <d v="2024-07-28T00:00:00"/>
    <s v="Kent Hernandez"/>
    <s v="North"/>
    <x v="2"/>
    <s v="Home Office"/>
    <s v="Office Supplies"/>
    <s v="Notebook"/>
    <n v="9"/>
    <n v="914.07"/>
    <n v="0.1"/>
    <n v="7403.97"/>
    <n v="4077.18"/>
    <n v="3326.79"/>
    <s v="Mobile Payment"/>
    <n v="1"/>
    <s v="July"/>
    <s v="Q3"/>
    <n v="2024"/>
    <m/>
  </r>
  <r>
    <s v="SAL-1171"/>
    <d v="2024-08-31T00:00:00"/>
    <s v="Jessica Gallagher"/>
    <s v="North"/>
    <x v="3"/>
    <s v="Consumer"/>
    <s v="Office Supplies"/>
    <s v="Notebook"/>
    <n v="11"/>
    <n v="169.99"/>
    <n v="0.05"/>
    <n v="1776.4"/>
    <n v="1508.08"/>
    <n v="268.32"/>
    <s v="Cash"/>
    <n v="4"/>
    <s v="August"/>
    <s v="Q3"/>
    <n v="2024"/>
    <m/>
  </r>
  <r>
    <s v="SAL-1172"/>
    <d v="2024-11-26T00:00:00"/>
    <s v="Joseph Garrett"/>
    <s v="East"/>
    <x v="4"/>
    <s v="Corporate"/>
    <s v="Office Supplies"/>
    <s v="Pen"/>
    <n v="11"/>
    <n v="141.86000000000001"/>
    <n v="0.15"/>
    <n v="1326.39"/>
    <n v="940.73"/>
    <n v="385.66"/>
    <s v="Cash"/>
    <n v="3"/>
    <s v="November"/>
    <s v="Q4"/>
    <n v="2024"/>
    <m/>
  </r>
  <r>
    <s v="SAL-1173"/>
    <d v="2024-09-14T00:00:00"/>
    <s v="Peter Cole"/>
    <s v="East"/>
    <x v="3"/>
    <s v="Home Office"/>
    <s v="Clothing"/>
    <s v="Sneakers"/>
    <n v="12"/>
    <n v="282.55"/>
    <n v="0.05"/>
    <n v="3221.07"/>
    <n v="1725"/>
    <n v="1496.07"/>
    <s v="Transfer"/>
    <n v="2"/>
    <s v="September"/>
    <s v="Q3"/>
    <n v="2024"/>
    <m/>
  </r>
  <r>
    <s v="SAL-1174"/>
    <d v="2024-03-14T00:00:00"/>
    <s v="David Perkins"/>
    <s v="North"/>
    <x v="0"/>
    <s v="Corporate"/>
    <s v="Office Supplies"/>
    <s v="Notebook"/>
    <n v="3"/>
    <n v="584.77"/>
    <n v="0"/>
    <n v="1754.31"/>
    <n v="1455.34"/>
    <n v="298.97000000000003"/>
    <s v="Cash"/>
    <n v="4"/>
    <s v="March"/>
    <s v="Q1"/>
    <n v="2024"/>
    <m/>
  </r>
  <r>
    <s v="SAL-1175"/>
    <d v="2024-10-17T00:00:00"/>
    <s v="Michele Pitts"/>
    <s v="East"/>
    <x v="3"/>
    <s v="Corporate"/>
    <s v="Electronics"/>
    <s v="Phone"/>
    <n v="8"/>
    <n v="456.58"/>
    <n v="0"/>
    <n v="3652.64"/>
    <n v="2069.62"/>
    <n v="1583.02"/>
    <s v="Cash"/>
    <n v="5"/>
    <s v="October"/>
    <s v="Q4"/>
    <n v="2024"/>
    <m/>
  </r>
  <r>
    <s v="SAL-1176"/>
    <d v="2024-08-06T00:00:00"/>
    <s v="Gabriel Morrison"/>
    <s v="East"/>
    <x v="1"/>
    <s v="Corporate"/>
    <s v="Furniture"/>
    <s v="Chair"/>
    <n v="8"/>
    <n v="588.41"/>
    <n v="0.15"/>
    <n v="4001.19"/>
    <n v="3379.78"/>
    <n v="621.41"/>
    <s v="Cash"/>
    <n v="4"/>
    <s v="August"/>
    <s v="Q3"/>
    <n v="2024"/>
    <m/>
  </r>
  <r>
    <s v="SAL-1177"/>
    <d v="2024-08-27T00:00:00"/>
    <s v="Jenny Perez"/>
    <s v="Central"/>
    <x v="1"/>
    <s v="Corporate"/>
    <s v="Clothing"/>
    <s v="Sneakers"/>
    <n v="4"/>
    <n v="159.41"/>
    <n v="0.15"/>
    <n v="541.99"/>
    <n v="392.7"/>
    <n v="149.29"/>
    <s v="Cash"/>
    <n v="4"/>
    <s v="August"/>
    <s v="Q3"/>
    <n v="2024"/>
    <m/>
  </r>
  <r>
    <s v="SAL-1178"/>
    <d v="2024-10-30T00:00:00"/>
    <s v="Jacob Black"/>
    <s v="East"/>
    <x v="2"/>
    <s v="Consumer"/>
    <s v="Office Supplies"/>
    <s v="Pen"/>
    <n v="10"/>
    <n v="140.77000000000001"/>
    <n v="0.15"/>
    <n v="1196.55"/>
    <n v="627.82000000000005"/>
    <n v="568.73"/>
    <s v="Cash"/>
    <n v="1"/>
    <s v="October"/>
    <s v="Q4"/>
    <n v="2024"/>
    <m/>
  </r>
  <r>
    <s v="SAL-1179"/>
    <d v="2024-09-15T00:00:00"/>
    <s v="Sandy Gilbert"/>
    <s v="North"/>
    <x v="4"/>
    <s v="Home Office"/>
    <s v="Office Supplies"/>
    <s v="Notebook"/>
    <n v="4"/>
    <n v="643.5"/>
    <n v="0"/>
    <n v="2574"/>
    <n v="1418.82"/>
    <n v="1155.18"/>
    <s v="Mobile Payment"/>
    <n v="1"/>
    <s v="September"/>
    <s v="Q3"/>
    <n v="2024"/>
    <m/>
  </r>
  <r>
    <s v="SAL-1180"/>
    <d v="2024-03-29T00:00:00"/>
    <s v="Anne Garcia"/>
    <s v="North"/>
    <x v="2"/>
    <s v="Consumer"/>
    <s v="Clothing"/>
    <s v="Sneakers"/>
    <n v="2"/>
    <n v="983.55"/>
    <n v="0.1"/>
    <n v="1770.39"/>
    <n v="1158.31"/>
    <n v="612.08000000000004"/>
    <s v="Cash"/>
    <n v="3"/>
    <s v="March"/>
    <s v="Q1"/>
    <n v="2024"/>
    <m/>
  </r>
  <r>
    <s v="SAL-1181"/>
    <d v="2024-02-06T00:00:00"/>
    <s v="Dr. Sydney Mueller DDS"/>
    <s v="East"/>
    <x v="1"/>
    <s v="Consumer"/>
    <s v="Furniture"/>
    <s v="Cabinet"/>
    <n v="1"/>
    <n v="330.49"/>
    <n v="0"/>
    <n v="330.49"/>
    <n v="187.48"/>
    <n v="143.01"/>
    <s v="Cash"/>
    <n v="2"/>
    <s v="February"/>
    <s v="Q1"/>
    <n v="2024"/>
    <m/>
  </r>
  <r>
    <s v="SAL-1182"/>
    <d v="2024-04-11T00:00:00"/>
    <s v="Mary Houston"/>
    <s v="North"/>
    <x v="3"/>
    <s v="Consumer"/>
    <s v="Office Supplies"/>
    <s v="Paper"/>
    <n v="7"/>
    <n v="561.27"/>
    <n v="0.15"/>
    <n v="3339.56"/>
    <n v="2827.02"/>
    <n v="512.54"/>
    <s v="Card"/>
    <n v="5"/>
    <s v="April"/>
    <s v="Q2"/>
    <n v="2024"/>
    <m/>
  </r>
  <r>
    <s v="SAL-1183"/>
    <d v="2024-12-20T00:00:00"/>
    <s v="Amanda Oconnor"/>
    <s v="West"/>
    <x v="4"/>
    <s v="Corporate"/>
    <s v="Furniture"/>
    <s v="Chair"/>
    <n v="2"/>
    <n v="176.88"/>
    <n v="0"/>
    <n v="353.76"/>
    <n v="229.24"/>
    <n v="124.52"/>
    <s v="Transfer"/>
    <n v="3"/>
    <s v="December"/>
    <s v="Q4"/>
    <n v="2024"/>
    <m/>
  </r>
  <r>
    <s v="SAL-1184"/>
    <d v="2024-05-12T00:00:00"/>
    <s v="Oscar Johnson"/>
    <s v="West"/>
    <x v="3"/>
    <s v="Corporate"/>
    <s v="Clothing"/>
    <s v="Jacket"/>
    <n v="6"/>
    <n v="707.17"/>
    <n v="0.15"/>
    <n v="3606.57"/>
    <n v="2036.57"/>
    <n v="1570"/>
    <s v="Cash"/>
    <n v="4"/>
    <s v="May"/>
    <s v="Q2"/>
    <n v="2024"/>
    <m/>
  </r>
  <r>
    <s v="SAL-1185"/>
    <d v="2024-09-17T00:00:00"/>
    <s v="Larry Hernandez"/>
    <s v="South"/>
    <x v="4"/>
    <s v="Consumer"/>
    <s v="Office Supplies"/>
    <s v="Paper"/>
    <n v="10"/>
    <n v="334.06"/>
    <n v="0.1"/>
    <n v="3006.54"/>
    <n v="1920.88"/>
    <n v="1085.6600000000001"/>
    <s v="Mobile Payment"/>
    <n v="1"/>
    <s v="September"/>
    <s v="Q3"/>
    <n v="2024"/>
    <m/>
  </r>
  <r>
    <s v="SAL-1186"/>
    <d v="2024-09-04T00:00:00"/>
    <s v="Jeffrey Sheppard"/>
    <s v="East"/>
    <x v="3"/>
    <s v="Corporate"/>
    <s v="Furniture"/>
    <s v="Cabinet"/>
    <n v="4"/>
    <n v="209.97"/>
    <n v="0.1"/>
    <n v="755.89"/>
    <n v="534.25"/>
    <n v="221.64"/>
    <s v="Transfer"/>
    <n v="2"/>
    <s v="September"/>
    <s v="Q3"/>
    <n v="2024"/>
    <m/>
  </r>
  <r>
    <s v="SAL-1187"/>
    <d v="2024-03-02T00:00:00"/>
    <s v="Brian Kim"/>
    <s v="Central"/>
    <x v="4"/>
    <s v="Home Office"/>
    <s v="Clothing"/>
    <s v="Sneakers"/>
    <n v="8"/>
    <n v="969.14"/>
    <n v="0"/>
    <n v="7753.12"/>
    <n v="4600.1499999999996"/>
    <n v="3152.97"/>
    <s v="Card"/>
    <n v="1"/>
    <s v="March"/>
    <s v="Q1"/>
    <n v="2024"/>
    <m/>
  </r>
  <r>
    <s v="SAL-1188"/>
    <d v="2024-12-22T00:00:00"/>
    <s v="Michael Solomon"/>
    <s v="West"/>
    <x v="2"/>
    <s v="Home Office"/>
    <s v="Furniture"/>
    <s v="Desk"/>
    <n v="4"/>
    <n v="865.66"/>
    <n v="0"/>
    <n v="3462.64"/>
    <n v="2613.65"/>
    <n v="848.99"/>
    <s v="Mobile Payment"/>
    <n v="3"/>
    <s v="December"/>
    <s v="Q4"/>
    <n v="2024"/>
    <m/>
  </r>
  <r>
    <s v="SAL-1189"/>
    <d v="2024-06-30T00:00:00"/>
    <s v="Stephanie Duncan"/>
    <s v="South"/>
    <x v="3"/>
    <s v="Home Office"/>
    <s v="Furniture"/>
    <s v="Cabinet"/>
    <n v="12"/>
    <n v="315.32"/>
    <n v="0"/>
    <n v="3783.84"/>
    <n v="2842.95"/>
    <n v="940.89"/>
    <s v="Cash"/>
    <n v="4"/>
    <s v="June"/>
    <s v="Q2"/>
    <n v="2024"/>
    <m/>
  </r>
  <r>
    <s v="SAL-1190"/>
    <d v="2024-05-22T00:00:00"/>
    <s v="Audrey Wright"/>
    <s v="Central"/>
    <x v="4"/>
    <s v="Consumer"/>
    <s v="Office Supplies"/>
    <s v="Paper"/>
    <n v="5"/>
    <n v="456.22"/>
    <n v="0.15"/>
    <n v="1938.94"/>
    <n v="999.8"/>
    <n v="939.14"/>
    <s v="Transfer"/>
    <n v="1"/>
    <s v="May"/>
    <s v="Q2"/>
    <n v="2024"/>
    <m/>
  </r>
  <r>
    <s v="SAL-1191"/>
    <d v="2024-05-05T00:00:00"/>
    <s v="Patrick Francis"/>
    <s v="Central"/>
    <x v="4"/>
    <s v="Home Office"/>
    <s v="Electronics"/>
    <s v="Printer"/>
    <n v="8"/>
    <n v="844.9"/>
    <n v="0.1"/>
    <n v="6083.28"/>
    <n v="3393.44"/>
    <n v="2689.84"/>
    <s v="Mobile Payment"/>
    <n v="5"/>
    <s v="May"/>
    <s v="Q2"/>
    <n v="2024"/>
    <m/>
  </r>
  <r>
    <s v="SAL-1192"/>
    <d v="2024-01-15T00:00:00"/>
    <s v="Kimberly Knight"/>
    <s v="South"/>
    <x v="1"/>
    <s v="Consumer"/>
    <s v="Electronics"/>
    <s v="Laptop"/>
    <n v="11"/>
    <n v="763.65"/>
    <n v="0.15"/>
    <n v="7140.13"/>
    <n v="4703.41"/>
    <n v="2436.7199999999998"/>
    <s v="Transfer"/>
    <n v="2"/>
    <s v="January"/>
    <s v="Q1"/>
    <n v="2024"/>
    <m/>
  </r>
  <r>
    <s v="SAL-1193"/>
    <d v="2024-12-14T00:00:00"/>
    <s v="Nicholas Leach"/>
    <s v="South"/>
    <x v="4"/>
    <s v="Corporate"/>
    <s v="Office Supplies"/>
    <s v="Pen"/>
    <n v="12"/>
    <n v="938.58"/>
    <n v="0.15"/>
    <n v="9573.52"/>
    <n v="8126.08"/>
    <n v="1447.44"/>
    <s v="Cash"/>
    <n v="1"/>
    <s v="December"/>
    <s v="Q4"/>
    <n v="2024"/>
    <m/>
  </r>
  <r>
    <s v="SAL-1194"/>
    <d v="2024-11-06T00:00:00"/>
    <s v="Nicholas Rodriguez"/>
    <s v="North"/>
    <x v="2"/>
    <s v="Home Office"/>
    <s v="Office Supplies"/>
    <s v="Paper"/>
    <n v="2"/>
    <n v="82.34"/>
    <n v="0.15"/>
    <n v="139.97999999999999"/>
    <n v="112.38"/>
    <n v="27.6"/>
    <s v="Cash"/>
    <n v="2"/>
    <s v="November"/>
    <s v="Q4"/>
    <n v="2024"/>
    <m/>
  </r>
  <r>
    <s v="SAL-1195"/>
    <d v="2024-04-05T00:00:00"/>
    <s v="Michael Brown"/>
    <s v="Central"/>
    <x v="3"/>
    <s v="Consumer"/>
    <s v="Clothing"/>
    <s v="Jacket"/>
    <n v="3"/>
    <n v="1001.92"/>
    <n v="0.15"/>
    <n v="2554.9"/>
    <n v="1517.96"/>
    <n v="1036.94"/>
    <s v="Transfer"/>
    <n v="5"/>
    <s v="April"/>
    <s v="Q2"/>
    <n v="2024"/>
    <m/>
  </r>
  <r>
    <s v="SAL-1196"/>
    <d v="2024-08-07T00:00:00"/>
    <s v="Elizabeth Osborne"/>
    <s v="South"/>
    <x v="3"/>
    <s v="Consumer"/>
    <s v="Office Supplies"/>
    <s v="Notebook"/>
    <n v="11"/>
    <n v="942.38"/>
    <n v="0.1"/>
    <n v="9329.56"/>
    <n v="7374.7"/>
    <n v="1954.86"/>
    <s v="Cash"/>
    <n v="4"/>
    <s v="August"/>
    <s v="Q3"/>
    <n v="2024"/>
    <m/>
  </r>
  <r>
    <s v="SAL-1197"/>
    <d v="2024-11-02T00:00:00"/>
    <s v="Terry Martinez"/>
    <s v="Central"/>
    <x v="0"/>
    <s v="Corporate"/>
    <s v="Office Supplies"/>
    <s v="Notebook"/>
    <n v="10"/>
    <n v="174.23"/>
    <n v="0.05"/>
    <n v="1655.18"/>
    <n v="1390.28"/>
    <n v="264.89999999999998"/>
    <s v="Cash"/>
    <n v="5"/>
    <s v="November"/>
    <s v="Q4"/>
    <n v="2024"/>
    <m/>
  </r>
  <r>
    <s v="SAL-1198"/>
    <d v="2024-04-23T00:00:00"/>
    <s v="Jeremy Bennett"/>
    <s v="West"/>
    <x v="0"/>
    <s v="Consumer"/>
    <s v="Office Supplies"/>
    <s v="Paper"/>
    <n v="1"/>
    <n v="520.79"/>
    <n v="0.15"/>
    <n v="442.67"/>
    <n v="339.16"/>
    <n v="103.51"/>
    <s v="Cash"/>
    <n v="3"/>
    <s v="April"/>
    <s v="Q2"/>
    <n v="2024"/>
    <m/>
  </r>
  <r>
    <s v="SAL-1199"/>
    <d v="2024-11-22T00:00:00"/>
    <s v="Kara Blanchard"/>
    <s v="East"/>
    <x v="4"/>
    <s v="Home Office"/>
    <s v="Clothing"/>
    <s v="Sneakers"/>
    <n v="3"/>
    <n v="943.9"/>
    <n v="0.1"/>
    <n v="2548.5300000000002"/>
    <n v="1992.2"/>
    <n v="556.33000000000004"/>
    <s v="Transfer"/>
    <n v="2"/>
    <s v="November"/>
    <s v="Q4"/>
    <n v="2024"/>
    <m/>
  </r>
  <r>
    <s v="SAL-1200"/>
    <d v="2024-02-18T00:00:00"/>
    <s v="Joseph Simpson"/>
    <s v="North"/>
    <x v="3"/>
    <s v="Home Office"/>
    <s v="Electronics"/>
    <s v="Printer"/>
    <n v="2"/>
    <n v="1095.21"/>
    <n v="0.05"/>
    <n v="2080.9"/>
    <n v="1385.45"/>
    <n v="695.45"/>
    <s v="Transfer"/>
    <n v="4"/>
    <s v="February"/>
    <s v="Q1"/>
    <n v="2024"/>
    <m/>
  </r>
  <r>
    <s v="SAL-1201"/>
    <d v="2024-09-08T00:00:00"/>
    <s v="Wendy Smith"/>
    <s v="South"/>
    <x v="2"/>
    <s v="Home Office"/>
    <s v="Furniture"/>
    <s v="Desk"/>
    <n v="9"/>
    <n v="64.45"/>
    <n v="0.05"/>
    <n v="551.04999999999995"/>
    <n v="431.06"/>
    <n v="119.99"/>
    <s v="Card"/>
    <n v="2"/>
    <s v="September"/>
    <s v="Q3"/>
    <n v="2024"/>
    <m/>
  </r>
  <r>
    <s v="SAL-1202"/>
    <d v="2024-02-08T00:00:00"/>
    <s v="Melanie Swanson"/>
    <s v="Central"/>
    <x v="3"/>
    <s v="Consumer"/>
    <s v="Furniture"/>
    <s v="Desk"/>
    <n v="10"/>
    <n v="400.83"/>
    <n v="0.05"/>
    <n v="3807.88"/>
    <n v="2731.49"/>
    <n v="1076.3900000000001"/>
    <s v="Cash"/>
    <n v="2"/>
    <s v="February"/>
    <s v="Q1"/>
    <n v="2024"/>
    <m/>
  </r>
  <r>
    <s v="SAL-1203"/>
    <d v="2024-03-17T00:00:00"/>
    <s v="Laura Gutierrez"/>
    <s v="East"/>
    <x v="4"/>
    <s v="Consumer"/>
    <s v="Clothing"/>
    <s v="Jacket"/>
    <n v="12"/>
    <n v="879.94"/>
    <n v="0.1"/>
    <n v="9503.35"/>
    <n v="8051.07"/>
    <n v="1452.28"/>
    <s v="Mobile Payment"/>
    <n v="4"/>
    <s v="March"/>
    <s v="Q1"/>
    <n v="2024"/>
    <m/>
  </r>
  <r>
    <s v="SAL-1204"/>
    <d v="2024-07-08T00:00:00"/>
    <s v="April Hoffman"/>
    <s v="Central"/>
    <x v="1"/>
    <s v="Consumer"/>
    <s v="Clothing"/>
    <s v="T-Shirt"/>
    <n v="9"/>
    <n v="825.69"/>
    <n v="0"/>
    <n v="7431.21"/>
    <n v="4969.3100000000004"/>
    <n v="2461.9"/>
    <s v="Cash"/>
    <n v="3"/>
    <s v="July"/>
    <s v="Q3"/>
    <n v="2024"/>
    <m/>
  </r>
  <r>
    <s v="SAL-1205"/>
    <d v="2024-03-01T00:00:00"/>
    <s v="Jason Parker"/>
    <s v="Central"/>
    <x v="4"/>
    <s v="Corporate"/>
    <s v="Electronics"/>
    <s v="Printer"/>
    <n v="3"/>
    <n v="1065.44"/>
    <n v="0.05"/>
    <n v="3036.5"/>
    <n v="2134.69"/>
    <n v="901.81"/>
    <s v="Transfer"/>
    <n v="3"/>
    <s v="March"/>
    <s v="Q1"/>
    <n v="2024"/>
    <m/>
  </r>
  <r>
    <s v="SAL-1206"/>
    <d v="2024-05-27T00:00:00"/>
    <s v="Dillon Evans"/>
    <s v="East"/>
    <x v="4"/>
    <s v="Consumer"/>
    <s v="Electronics"/>
    <s v="Laptop"/>
    <n v="10"/>
    <n v="410.39"/>
    <n v="0"/>
    <n v="4103.8999999999996"/>
    <n v="2358.6799999999998"/>
    <n v="1745.22"/>
    <s v="Cash"/>
    <n v="5"/>
    <s v="May"/>
    <s v="Q2"/>
    <n v="2024"/>
    <m/>
  </r>
  <r>
    <s v="SAL-1207"/>
    <d v="2024-03-07T00:00:00"/>
    <s v="Vicki Lee"/>
    <s v="South"/>
    <x v="0"/>
    <s v="Corporate"/>
    <s v="Office Supplies"/>
    <s v="Pen"/>
    <n v="12"/>
    <n v="255.77"/>
    <n v="0"/>
    <n v="3069.24"/>
    <n v="1630.88"/>
    <n v="1438.36"/>
    <s v="Mobile Payment"/>
    <n v="1"/>
    <s v="March"/>
    <s v="Q1"/>
    <n v="2024"/>
    <m/>
  </r>
  <r>
    <s v="SAL-1208"/>
    <d v="2024-07-25T00:00:00"/>
    <s v="Bradley Velez"/>
    <s v="North"/>
    <x v="0"/>
    <s v="Home Office"/>
    <s v="Clothing"/>
    <s v="T-Shirt"/>
    <n v="8"/>
    <n v="80.319999999999993"/>
    <n v="0.05"/>
    <n v="610.42999999999995"/>
    <n v="331.71"/>
    <n v="278.72000000000003"/>
    <s v="Transfer"/>
    <n v="1"/>
    <s v="July"/>
    <s v="Q3"/>
    <n v="2024"/>
    <m/>
  </r>
  <r>
    <s v="SAL-1209"/>
    <d v="2024-09-23T00:00:00"/>
    <s v="Jacqueline Watkins"/>
    <s v="Central"/>
    <x v="1"/>
    <s v="Consumer"/>
    <s v="Furniture"/>
    <s v="Cabinet"/>
    <n v="3"/>
    <n v="187.83"/>
    <n v="0.15"/>
    <n v="478.97"/>
    <n v="261.56"/>
    <n v="217.41"/>
    <s v="Card"/>
    <n v="2"/>
    <s v="September"/>
    <s v="Q3"/>
    <n v="2024"/>
    <m/>
  </r>
  <r>
    <s v="SAL-1210"/>
    <d v="2024-03-11T00:00:00"/>
    <s v="John Park"/>
    <s v="North"/>
    <x v="4"/>
    <s v="Consumer"/>
    <s v="Office Supplies"/>
    <s v="Paper"/>
    <n v="4"/>
    <n v="500.37"/>
    <n v="0.1"/>
    <n v="1801.33"/>
    <n v="1270.76"/>
    <n v="530.57000000000005"/>
    <s v="Card"/>
    <n v="2"/>
    <s v="March"/>
    <s v="Q1"/>
    <n v="2024"/>
    <m/>
  </r>
  <r>
    <s v="SAL-1211"/>
    <d v="2024-07-28T00:00:00"/>
    <s v="Alexandra Wagner"/>
    <s v="South"/>
    <x v="0"/>
    <s v="Corporate"/>
    <s v="Furniture"/>
    <s v="Desk"/>
    <n v="2"/>
    <n v="72.25"/>
    <n v="0.05"/>
    <n v="137.28"/>
    <n v="92.8"/>
    <n v="44.48"/>
    <s v="Card"/>
    <n v="5"/>
    <s v="July"/>
    <s v="Q3"/>
    <n v="2024"/>
    <m/>
  </r>
  <r>
    <s v="SAL-1212"/>
    <d v="2024-07-02T00:00:00"/>
    <s v="Deborah Conley"/>
    <s v="West"/>
    <x v="4"/>
    <s v="Consumer"/>
    <s v="Clothing"/>
    <s v="Jacket"/>
    <n v="12"/>
    <n v="82.99"/>
    <n v="0"/>
    <n v="995.88"/>
    <n v="524.41"/>
    <n v="471.47"/>
    <s v="Card"/>
    <n v="4"/>
    <s v="July"/>
    <s v="Q3"/>
    <n v="2024"/>
    <m/>
  </r>
  <r>
    <s v="SAL-1213"/>
    <d v="2024-07-26T00:00:00"/>
    <s v="Carl Hayes"/>
    <s v="East"/>
    <x v="3"/>
    <s v="Home Office"/>
    <s v="Electronics"/>
    <s v="Tablet"/>
    <n v="4"/>
    <n v="1130.0899999999999"/>
    <n v="0.05"/>
    <n v="4294.34"/>
    <n v="3564.75"/>
    <n v="729.59"/>
    <s v="Cash"/>
    <n v="1"/>
    <s v="July"/>
    <s v="Q3"/>
    <n v="2024"/>
    <m/>
  </r>
  <r>
    <s v="SAL-1214"/>
    <d v="2024-01-30T00:00:00"/>
    <s v="Scott James"/>
    <s v="South"/>
    <x v="3"/>
    <s v="Home Office"/>
    <s v="Furniture"/>
    <s v="Chair"/>
    <n v="5"/>
    <n v="970.28"/>
    <n v="0.05"/>
    <n v="4608.83"/>
    <n v="2943.96"/>
    <n v="1664.87"/>
    <s v="Transfer"/>
    <n v="3"/>
    <s v="January"/>
    <s v="Q1"/>
    <n v="2024"/>
    <m/>
  </r>
  <r>
    <s v="SAL-1215"/>
    <d v="2024-01-26T00:00:00"/>
    <s v="Elaine Jimenez"/>
    <s v="North"/>
    <x v="1"/>
    <s v="Home Office"/>
    <s v="Office Supplies"/>
    <s v="Paper"/>
    <n v="9"/>
    <n v="586.1"/>
    <n v="0"/>
    <n v="5274.9"/>
    <n v="2706.42"/>
    <n v="2568.48"/>
    <s v="Transfer"/>
    <n v="1"/>
    <s v="January"/>
    <s v="Q1"/>
    <n v="2024"/>
    <m/>
  </r>
  <r>
    <s v="SAL-1216"/>
    <d v="2024-04-20T00:00:00"/>
    <s v="Tracey Williams"/>
    <s v="West"/>
    <x v="4"/>
    <s v="Home Office"/>
    <s v="Furniture"/>
    <s v="Cabinet"/>
    <n v="2"/>
    <n v="183.64"/>
    <n v="0.1"/>
    <n v="330.55"/>
    <n v="171"/>
    <n v="159.55000000000001"/>
    <s v="Transfer"/>
    <n v="4"/>
    <s v="April"/>
    <s v="Q2"/>
    <n v="2024"/>
    <m/>
  </r>
  <r>
    <s v="SAL-1217"/>
    <d v="2024-07-24T00:00:00"/>
    <s v="Julia Garrison"/>
    <s v="North"/>
    <x v="0"/>
    <s v="Home Office"/>
    <s v="Electronics"/>
    <s v="Printer"/>
    <n v="8"/>
    <n v="599.29999999999995"/>
    <n v="0"/>
    <n v="4794.3999999999996"/>
    <n v="4006.5"/>
    <n v="787.9"/>
    <s v="Card"/>
    <n v="3"/>
    <s v="July"/>
    <s v="Q3"/>
    <n v="2024"/>
    <m/>
  </r>
  <r>
    <s v="SAL-1218"/>
    <d v="2024-03-03T00:00:00"/>
    <s v="Michelle Phillips"/>
    <s v="Central"/>
    <x v="3"/>
    <s v="Home Office"/>
    <s v="Office Supplies"/>
    <s v="Notebook"/>
    <n v="9"/>
    <n v="1186.71"/>
    <n v="0.15"/>
    <n v="9078.33"/>
    <n v="5422.6"/>
    <n v="3655.73"/>
    <s v="Mobile Payment"/>
    <n v="2"/>
    <s v="March"/>
    <s v="Q1"/>
    <n v="2024"/>
    <m/>
  </r>
  <r>
    <s v="SAL-1219"/>
    <d v="2024-08-02T00:00:00"/>
    <s v="Kelly Koch"/>
    <s v="West"/>
    <x v="1"/>
    <s v="Corporate"/>
    <s v="Furniture"/>
    <s v="Chair"/>
    <n v="7"/>
    <n v="940.25"/>
    <n v="0"/>
    <n v="6581.75"/>
    <n v="3381.86"/>
    <n v="3199.89"/>
    <s v="Transfer"/>
    <n v="4"/>
    <s v="August"/>
    <s v="Q3"/>
    <n v="2024"/>
    <m/>
  </r>
  <r>
    <s v="SAL-1220"/>
    <d v="2024-02-01T00:00:00"/>
    <s v="Dan French"/>
    <s v="East"/>
    <x v="4"/>
    <s v="Consumer"/>
    <s v="Office Supplies"/>
    <s v="Pen"/>
    <n v="3"/>
    <n v="624.1"/>
    <n v="0.05"/>
    <n v="1778.69"/>
    <n v="904.8"/>
    <n v="873.89"/>
    <s v="Mobile Payment"/>
    <n v="4"/>
    <s v="February"/>
    <s v="Q1"/>
    <n v="2024"/>
    <m/>
  </r>
  <r>
    <s v="SAL-1221"/>
    <d v="2024-04-30T00:00:00"/>
    <s v="Michael Mason"/>
    <s v="South"/>
    <x v="0"/>
    <s v="Consumer"/>
    <s v="Office Supplies"/>
    <s v="Pen"/>
    <n v="6"/>
    <n v="328.63"/>
    <n v="0.1"/>
    <n v="1774.6"/>
    <n v="889.96"/>
    <n v="884.64"/>
    <s v="Card"/>
    <n v="5"/>
    <s v="April"/>
    <s v="Q2"/>
    <n v="2024"/>
    <m/>
  </r>
  <r>
    <s v="SAL-1222"/>
    <d v="2024-11-30T00:00:00"/>
    <s v="Angel Sanchez"/>
    <s v="East"/>
    <x v="2"/>
    <s v="Consumer"/>
    <s v="Clothing"/>
    <s v="Jacket"/>
    <n v="1"/>
    <n v="48.47"/>
    <n v="0.1"/>
    <n v="43.62"/>
    <n v="30.03"/>
    <n v="13.59"/>
    <s v="Card"/>
    <n v="5"/>
    <s v="November"/>
    <s v="Q4"/>
    <n v="2024"/>
    <m/>
  </r>
  <r>
    <s v="SAL-1223"/>
    <d v="2024-05-18T00:00:00"/>
    <s v="Teresa Nelson"/>
    <s v="Central"/>
    <x v="0"/>
    <s v="Consumer"/>
    <s v="Office Supplies"/>
    <s v="Pen"/>
    <n v="2"/>
    <n v="954.46"/>
    <n v="0.15"/>
    <n v="1622.58"/>
    <n v="1334.95"/>
    <n v="287.63"/>
    <s v="Cash"/>
    <n v="3"/>
    <s v="May"/>
    <s v="Q2"/>
    <n v="2024"/>
    <m/>
  </r>
  <r>
    <s v="SAL-1224"/>
    <d v="2024-02-05T00:00:00"/>
    <s v="John Lozano"/>
    <s v="West"/>
    <x v="4"/>
    <s v="Consumer"/>
    <s v="Furniture"/>
    <s v="Chair"/>
    <n v="1"/>
    <n v="617.24"/>
    <n v="0.1"/>
    <n v="555.52"/>
    <n v="283.79000000000002"/>
    <n v="271.73"/>
    <s v="Mobile Payment"/>
    <n v="3"/>
    <s v="February"/>
    <s v="Q1"/>
    <n v="2024"/>
    <m/>
  </r>
  <r>
    <s v="SAL-1225"/>
    <d v="2024-01-08T00:00:00"/>
    <s v="Michael Smith"/>
    <s v="East"/>
    <x v="1"/>
    <s v="Corporate"/>
    <s v="Electronics"/>
    <s v="Phone"/>
    <n v="8"/>
    <n v="924.25"/>
    <n v="0.1"/>
    <n v="6654.6"/>
    <n v="4875.3999999999996"/>
    <n v="1779.2"/>
    <s v="Mobile Payment"/>
    <n v="5"/>
    <s v="January"/>
    <s v="Q1"/>
    <n v="2024"/>
    <m/>
  </r>
  <r>
    <s v="SAL-1226"/>
    <d v="2024-02-24T00:00:00"/>
    <s v="Jessica Shaffer"/>
    <s v="North"/>
    <x v="4"/>
    <s v="Corporate"/>
    <s v="Electronics"/>
    <s v="Laptop"/>
    <n v="11"/>
    <n v="876.37"/>
    <n v="0.05"/>
    <n v="9158.07"/>
    <n v="6713.59"/>
    <n v="2444.48"/>
    <s v="Cash"/>
    <n v="3"/>
    <s v="February"/>
    <s v="Q1"/>
    <n v="2024"/>
    <m/>
  </r>
  <r>
    <s v="SAL-1227"/>
    <d v="2024-06-13T00:00:00"/>
    <s v="Julia Curtis"/>
    <s v="North"/>
    <x v="1"/>
    <s v="Consumer"/>
    <s v="Clothing"/>
    <s v="T-Shirt"/>
    <n v="4"/>
    <n v="1134.33"/>
    <n v="0"/>
    <n v="4537.32"/>
    <n v="2455.9"/>
    <n v="2081.42"/>
    <s v="Mobile Payment"/>
    <n v="2"/>
    <s v="June"/>
    <s v="Q2"/>
    <n v="2024"/>
    <m/>
  </r>
  <r>
    <s v="SAL-1228"/>
    <d v="2024-01-12T00:00:00"/>
    <s v="Rhonda Lester"/>
    <s v="Central"/>
    <x v="4"/>
    <s v="Consumer"/>
    <s v="Furniture"/>
    <s v="Cabinet"/>
    <n v="3"/>
    <n v="193.88"/>
    <n v="0"/>
    <n v="581.64"/>
    <n v="491.89"/>
    <n v="89.75"/>
    <s v="Transfer"/>
    <n v="1"/>
    <s v="January"/>
    <s v="Q1"/>
    <n v="2024"/>
    <m/>
  </r>
  <r>
    <s v="SAL-1229"/>
    <d v="2024-06-05T00:00:00"/>
    <s v="Cheryl Perez"/>
    <s v="Central"/>
    <x v="3"/>
    <s v="Home Office"/>
    <s v="Electronics"/>
    <s v="Phone"/>
    <n v="11"/>
    <n v="1047.6600000000001"/>
    <n v="0.05"/>
    <n v="10948.05"/>
    <n v="6324.64"/>
    <n v="4623.41"/>
    <s v="Transfer"/>
    <n v="1"/>
    <s v="June"/>
    <s v="Q2"/>
    <n v="2024"/>
    <m/>
  </r>
  <r>
    <s v="SAL-1230"/>
    <d v="2024-05-23T00:00:00"/>
    <s v="Robert Nichols"/>
    <s v="West"/>
    <x v="2"/>
    <s v="Corporate"/>
    <s v="Furniture"/>
    <s v="Cabinet"/>
    <n v="9"/>
    <n v="817.3"/>
    <n v="0.05"/>
    <n v="6987.91"/>
    <n v="4980.47"/>
    <n v="2007.44"/>
    <s v="Transfer"/>
    <n v="5"/>
    <s v="May"/>
    <s v="Q2"/>
    <n v="2024"/>
    <m/>
  </r>
  <r>
    <s v="SAL-1231"/>
    <d v="2024-01-11T00:00:00"/>
    <s v="Marvin Torres"/>
    <s v="North"/>
    <x v="2"/>
    <s v="Home Office"/>
    <s v="Electronics"/>
    <s v="Laptop"/>
    <n v="10"/>
    <n v="406.97"/>
    <n v="0.15"/>
    <n v="3459.25"/>
    <n v="2576.3000000000002"/>
    <n v="882.95"/>
    <s v="Transfer"/>
    <n v="4"/>
    <s v="January"/>
    <s v="Q1"/>
    <n v="2024"/>
    <m/>
  </r>
  <r>
    <s v="SAL-1232"/>
    <d v="2024-01-11T00:00:00"/>
    <s v="Edgar English"/>
    <s v="North"/>
    <x v="1"/>
    <s v="Consumer"/>
    <s v="Electronics"/>
    <s v="Phone"/>
    <n v="11"/>
    <n v="463.96"/>
    <n v="0.05"/>
    <n v="4848.38"/>
    <n v="3475.31"/>
    <n v="1373.07"/>
    <s v="Transfer"/>
    <n v="3"/>
    <s v="January"/>
    <s v="Q1"/>
    <n v="2024"/>
    <m/>
  </r>
  <r>
    <s v="SAL-1233"/>
    <d v="2024-07-26T00:00:00"/>
    <s v="Brianna Hart"/>
    <s v="West"/>
    <x v="2"/>
    <s v="Corporate"/>
    <s v="Electronics"/>
    <s v="Printer"/>
    <n v="1"/>
    <n v="985.15"/>
    <n v="0.15"/>
    <n v="837.38"/>
    <n v="659.22"/>
    <n v="178.16"/>
    <s v="Card"/>
    <n v="1"/>
    <s v="July"/>
    <s v="Q3"/>
    <n v="2024"/>
    <m/>
  </r>
  <r>
    <s v="SAL-1234"/>
    <d v="2024-06-15T00:00:00"/>
    <s v="Jessica Robinson"/>
    <s v="East"/>
    <x v="3"/>
    <s v="Consumer"/>
    <s v="Clothing"/>
    <s v="Sneakers"/>
    <n v="3"/>
    <n v="616.14"/>
    <n v="0.1"/>
    <n v="1663.58"/>
    <n v="1252.18"/>
    <n v="411.4"/>
    <s v="Mobile Payment"/>
    <n v="3"/>
    <s v="June"/>
    <s v="Q2"/>
    <n v="2024"/>
    <m/>
  </r>
  <r>
    <s v="SAL-1235"/>
    <d v="2024-01-08T00:00:00"/>
    <s v="Charles Craig"/>
    <s v="Central"/>
    <x v="2"/>
    <s v="Corporate"/>
    <s v="Furniture"/>
    <s v="Desk"/>
    <n v="2"/>
    <n v="29.23"/>
    <n v="0.05"/>
    <n v="55.54"/>
    <n v="38.799999999999997"/>
    <n v="16.739999999999998"/>
    <s v="Cash"/>
    <n v="4"/>
    <s v="January"/>
    <s v="Q1"/>
    <n v="2024"/>
    <m/>
  </r>
  <r>
    <s v="SAL-1236"/>
    <d v="2024-04-22T00:00:00"/>
    <s v="Rickey Todd"/>
    <s v="North"/>
    <x v="2"/>
    <s v="Corporate"/>
    <s v="Furniture"/>
    <s v="Cabinet"/>
    <n v="7"/>
    <n v="77.209999999999994"/>
    <n v="0"/>
    <n v="540.47"/>
    <n v="404.86"/>
    <n v="135.61000000000001"/>
    <s v="Cash"/>
    <n v="2"/>
    <s v="April"/>
    <s v="Q2"/>
    <n v="2024"/>
    <m/>
  </r>
  <r>
    <s v="SAL-1237"/>
    <d v="2024-10-06T00:00:00"/>
    <s v="Jody Suarez"/>
    <s v="South"/>
    <x v="0"/>
    <s v="Corporate"/>
    <s v="Furniture"/>
    <s v="Chair"/>
    <n v="7"/>
    <n v="780.58"/>
    <n v="0.1"/>
    <n v="4917.6499999999996"/>
    <n v="4130.74"/>
    <n v="786.91"/>
    <s v="Mobile Payment"/>
    <n v="4"/>
    <s v="October"/>
    <s v="Q4"/>
    <n v="2024"/>
    <m/>
  </r>
  <r>
    <s v="SAL-1238"/>
    <d v="2024-07-17T00:00:00"/>
    <s v="Tony Russell"/>
    <s v="South"/>
    <x v="2"/>
    <s v="Corporate"/>
    <s v="Clothing"/>
    <s v="Sneakers"/>
    <n v="11"/>
    <n v="724.28"/>
    <n v="0.15"/>
    <n v="6772.02"/>
    <n v="3404.31"/>
    <n v="3367.71"/>
    <s v="Mobile Payment"/>
    <n v="1"/>
    <s v="July"/>
    <s v="Q3"/>
    <n v="2024"/>
    <m/>
  </r>
  <r>
    <s v="SAL-1239"/>
    <d v="2024-12-14T00:00:00"/>
    <s v="Cynthia Chavez"/>
    <s v="South"/>
    <x v="2"/>
    <s v="Home Office"/>
    <s v="Office Supplies"/>
    <s v="Paper"/>
    <n v="5"/>
    <n v="714.95"/>
    <n v="0"/>
    <n v="3574.75"/>
    <n v="3021.5"/>
    <n v="553.25"/>
    <s v="Card"/>
    <n v="1"/>
    <s v="December"/>
    <s v="Q4"/>
    <n v="2024"/>
    <m/>
  </r>
  <r>
    <s v="SAL-1240"/>
    <d v="2024-02-17T00:00:00"/>
    <s v="Mariah Dudley"/>
    <s v="West"/>
    <x v="4"/>
    <s v="Corporate"/>
    <s v="Office Supplies"/>
    <s v="Pen"/>
    <n v="4"/>
    <n v="304.88"/>
    <n v="0.1"/>
    <n v="1097.57"/>
    <n v="869.49"/>
    <n v="228.08"/>
    <s v="Cash"/>
    <n v="4"/>
    <s v="February"/>
    <s v="Q1"/>
    <n v="2024"/>
    <m/>
  </r>
  <r>
    <s v="SAL-1241"/>
    <d v="2024-12-07T00:00:00"/>
    <s v="Terry Williams"/>
    <s v="South"/>
    <x v="1"/>
    <s v="Home Office"/>
    <s v="Furniture"/>
    <s v="Desk"/>
    <n v="3"/>
    <n v="55.05"/>
    <n v="0.05"/>
    <n v="156.88999999999999"/>
    <n v="125.64"/>
    <n v="31.25"/>
    <s v="Mobile Payment"/>
    <n v="5"/>
    <s v="December"/>
    <s v="Q4"/>
    <n v="2024"/>
    <m/>
  </r>
  <r>
    <s v="SAL-1242"/>
    <d v="2024-09-09T00:00:00"/>
    <s v="Holly Vance"/>
    <s v="North"/>
    <x v="3"/>
    <s v="Home Office"/>
    <s v="Clothing"/>
    <s v="Jacket"/>
    <n v="2"/>
    <n v="238.23"/>
    <n v="0.15"/>
    <n v="404.99"/>
    <n v="280.56"/>
    <n v="124.43"/>
    <s v="Mobile Payment"/>
    <n v="2"/>
    <s v="September"/>
    <s v="Q3"/>
    <n v="2024"/>
    <m/>
  </r>
  <r>
    <s v="SAL-1243"/>
    <d v="2024-05-30T00:00:00"/>
    <s v="Shari Rivera"/>
    <s v="West"/>
    <x v="3"/>
    <s v="Corporate"/>
    <s v="Office Supplies"/>
    <s v="Pen"/>
    <n v="6"/>
    <n v="187.72"/>
    <n v="0"/>
    <n v="1126.32"/>
    <n v="752.63"/>
    <n v="373.69"/>
    <s v="Mobile Payment"/>
    <n v="4"/>
    <s v="May"/>
    <s v="Q2"/>
    <n v="2024"/>
    <m/>
  </r>
  <r>
    <s v="SAL-1244"/>
    <d v="2024-05-17T00:00:00"/>
    <s v="Lauren Smith"/>
    <s v="South"/>
    <x v="3"/>
    <s v="Corporate"/>
    <s v="Electronics"/>
    <s v="Laptop"/>
    <n v="4"/>
    <n v="656.91"/>
    <n v="0.05"/>
    <n v="2496.2600000000002"/>
    <n v="1905.09"/>
    <n v="591.16999999999996"/>
    <s v="Transfer"/>
    <n v="2"/>
    <s v="May"/>
    <s v="Q2"/>
    <n v="2024"/>
    <m/>
  </r>
  <r>
    <s v="SAL-1245"/>
    <d v="2024-03-13T00:00:00"/>
    <s v="Chad Lee"/>
    <s v="North"/>
    <x v="3"/>
    <s v="Corporate"/>
    <s v="Electronics"/>
    <s v="Tablet"/>
    <n v="12"/>
    <n v="885.09"/>
    <n v="0.1"/>
    <n v="9558.9699999999993"/>
    <n v="7779.3"/>
    <n v="1779.67"/>
    <s v="Transfer"/>
    <n v="4"/>
    <s v="March"/>
    <s v="Q1"/>
    <n v="2024"/>
    <m/>
  </r>
  <r>
    <s v="SAL-1246"/>
    <d v="2024-03-05T00:00:00"/>
    <s v="Edward Whitaker"/>
    <s v="South"/>
    <x v="2"/>
    <s v="Corporate"/>
    <s v="Office Supplies"/>
    <s v="Pen"/>
    <n v="2"/>
    <n v="222.08"/>
    <n v="0.1"/>
    <n v="399.74"/>
    <n v="322.74"/>
    <n v="77"/>
    <s v="Transfer"/>
    <n v="3"/>
    <s v="March"/>
    <s v="Q1"/>
    <n v="2024"/>
    <m/>
  </r>
  <r>
    <s v="SAL-1247"/>
    <d v="2024-04-13T00:00:00"/>
    <s v="Rebecca Bryant"/>
    <s v="Central"/>
    <x v="4"/>
    <s v="Corporate"/>
    <s v="Furniture"/>
    <s v="Desk"/>
    <n v="1"/>
    <n v="473.41"/>
    <n v="0.1"/>
    <n v="426.07"/>
    <n v="226.24"/>
    <n v="199.83"/>
    <s v="Transfer"/>
    <n v="2"/>
    <s v="April"/>
    <s v="Q2"/>
    <n v="2024"/>
    <m/>
  </r>
  <r>
    <s v="SAL-1248"/>
    <d v="2024-12-04T00:00:00"/>
    <s v="Sherri Butler"/>
    <s v="West"/>
    <x v="4"/>
    <s v="Home Office"/>
    <s v="Furniture"/>
    <s v="Desk"/>
    <n v="9"/>
    <n v="135.27000000000001"/>
    <n v="0.05"/>
    <n v="1156.56"/>
    <n v="733.25"/>
    <n v="423.31"/>
    <s v="Mobile Payment"/>
    <n v="1"/>
    <s v="December"/>
    <s v="Q4"/>
    <n v="2024"/>
    <m/>
  </r>
  <r>
    <s v="SAL-1249"/>
    <d v="2024-09-12T00:00:00"/>
    <s v="William Evans"/>
    <s v="South"/>
    <x v="3"/>
    <s v="Corporate"/>
    <s v="Clothing"/>
    <s v="Sneakers"/>
    <n v="1"/>
    <n v="840.05"/>
    <n v="0.15"/>
    <n v="714.04"/>
    <n v="368.25"/>
    <n v="345.79"/>
    <s v="Transfer"/>
    <n v="5"/>
    <s v="September"/>
    <s v="Q3"/>
    <n v="2024"/>
    <m/>
  </r>
  <r>
    <s v="SAL-1250"/>
    <d v="2024-12-03T00:00:00"/>
    <s v="Lisa Warner"/>
    <s v="West"/>
    <x v="3"/>
    <s v="Consumer"/>
    <s v="Furniture"/>
    <s v="Chair"/>
    <n v="5"/>
    <n v="96.2"/>
    <n v="0.15"/>
    <n v="408.85"/>
    <n v="233.77"/>
    <n v="175.08"/>
    <s v="Transfer"/>
    <n v="4"/>
    <s v="December"/>
    <s v="Q4"/>
    <n v="2024"/>
    <m/>
  </r>
  <r>
    <s v="SAL-1251"/>
    <d v="2024-08-26T00:00:00"/>
    <s v="Ana Avila"/>
    <s v="East"/>
    <x v="2"/>
    <s v="Home Office"/>
    <s v="Office Supplies"/>
    <s v="Paper"/>
    <n v="11"/>
    <n v="449.17"/>
    <n v="0.1"/>
    <n v="4446.78"/>
    <n v="2875.7"/>
    <n v="1571.08"/>
    <s v="Transfer"/>
    <n v="3"/>
    <s v="August"/>
    <s v="Q3"/>
    <n v="2024"/>
    <m/>
  </r>
  <r>
    <s v="SAL-1252"/>
    <d v="2024-12-13T00:00:00"/>
    <s v="Cesar Acosta"/>
    <s v="South"/>
    <x v="0"/>
    <s v="Home Office"/>
    <s v="Electronics"/>
    <s v="Phone"/>
    <n v="5"/>
    <n v="61.98"/>
    <n v="0.15"/>
    <n v="263.41000000000003"/>
    <n v="191.33"/>
    <n v="72.08"/>
    <s v="Transfer"/>
    <n v="5"/>
    <s v="December"/>
    <s v="Q4"/>
    <n v="2024"/>
    <m/>
  </r>
  <r>
    <s v="SAL-1253"/>
    <d v="2024-07-12T00:00:00"/>
    <s v="Tonya Ross"/>
    <s v="Central"/>
    <x v="4"/>
    <s v="Corporate"/>
    <s v="Electronics"/>
    <s v="Phone"/>
    <n v="9"/>
    <n v="278.94"/>
    <n v="0"/>
    <n v="2510.46"/>
    <n v="1359.15"/>
    <n v="1151.31"/>
    <s v="Card"/>
    <n v="1"/>
    <s v="July"/>
    <s v="Q3"/>
    <n v="2024"/>
    <m/>
  </r>
  <r>
    <s v="SAL-1254"/>
    <d v="2024-03-02T00:00:00"/>
    <s v="Kelly Cross"/>
    <s v="West"/>
    <x v="1"/>
    <s v="Consumer"/>
    <s v="Electronics"/>
    <s v="Printer"/>
    <n v="3"/>
    <n v="718.69"/>
    <n v="0.05"/>
    <n v="2048.27"/>
    <n v="1269.1099999999999"/>
    <n v="779.16"/>
    <s v="Mobile Payment"/>
    <n v="1"/>
    <s v="March"/>
    <s v="Q1"/>
    <n v="2024"/>
    <m/>
  </r>
  <r>
    <s v="SAL-1255"/>
    <d v="2024-04-09T00:00:00"/>
    <s v="Michael Jennings"/>
    <s v="West"/>
    <x v="3"/>
    <s v="Consumer"/>
    <s v="Clothing"/>
    <s v="Sneakers"/>
    <n v="10"/>
    <n v="557.75"/>
    <n v="0.1"/>
    <n v="5019.75"/>
    <n v="3826.67"/>
    <n v="1193.08"/>
    <s v="Cash"/>
    <n v="5"/>
    <s v="April"/>
    <s v="Q2"/>
    <n v="2024"/>
    <m/>
  </r>
  <r>
    <s v="SAL-1256"/>
    <d v="2024-05-29T00:00:00"/>
    <s v="Frank Payne"/>
    <s v="Central"/>
    <x v="0"/>
    <s v="Home Office"/>
    <s v="Electronics"/>
    <s v="Tablet"/>
    <n v="1"/>
    <n v="29.24"/>
    <n v="0.05"/>
    <n v="27.78"/>
    <n v="21.78"/>
    <n v="6"/>
    <s v="Transfer"/>
    <n v="5"/>
    <s v="May"/>
    <s v="Q2"/>
    <n v="2024"/>
    <m/>
  </r>
  <r>
    <s v="SAL-1257"/>
    <d v="2024-12-24T00:00:00"/>
    <s v="Sarah Morales"/>
    <s v="West"/>
    <x v="1"/>
    <s v="Consumer"/>
    <s v="Clothing"/>
    <s v="T-Shirt"/>
    <n v="10"/>
    <n v="789.96"/>
    <n v="0.1"/>
    <n v="7109.64"/>
    <n v="5953.99"/>
    <n v="1155.6500000000001"/>
    <s v="Mobile Payment"/>
    <n v="3"/>
    <s v="December"/>
    <s v="Q4"/>
    <n v="2024"/>
    <m/>
  </r>
  <r>
    <s v="SAL-1258"/>
    <d v="2024-08-20T00:00:00"/>
    <s v="Meghan Lucas"/>
    <s v="West"/>
    <x v="3"/>
    <s v="Consumer"/>
    <s v="Furniture"/>
    <s v="Cabinet"/>
    <n v="8"/>
    <n v="1007.76"/>
    <n v="0"/>
    <n v="8062.08"/>
    <n v="5607.92"/>
    <n v="2454.16"/>
    <s v="Card"/>
    <n v="5"/>
    <s v="August"/>
    <s v="Q3"/>
    <n v="2024"/>
    <m/>
  </r>
  <r>
    <s v="SAL-1259"/>
    <d v="2024-08-23T00:00:00"/>
    <s v="Aaron Williams"/>
    <s v="Central"/>
    <x v="3"/>
    <s v="Consumer"/>
    <s v="Electronics"/>
    <s v="Phone"/>
    <n v="8"/>
    <n v="25.76"/>
    <n v="0.1"/>
    <n v="185.47"/>
    <n v="113.19"/>
    <n v="72.28"/>
    <s v="Transfer"/>
    <n v="2"/>
    <s v="August"/>
    <s v="Q3"/>
    <n v="2024"/>
    <m/>
  </r>
  <r>
    <s v="SAL-1260"/>
    <d v="2024-03-15T00:00:00"/>
    <s v="Linda Watson"/>
    <s v="Central"/>
    <x v="3"/>
    <s v="Home Office"/>
    <s v="Clothing"/>
    <s v="Jacket"/>
    <n v="8"/>
    <n v="817.47"/>
    <n v="0"/>
    <n v="6539.76"/>
    <n v="5447.3"/>
    <n v="1092.46"/>
    <s v="Mobile Payment"/>
    <n v="1"/>
    <s v="March"/>
    <s v="Q1"/>
    <n v="2024"/>
    <m/>
  </r>
  <r>
    <s v="SAL-1261"/>
    <d v="2024-06-06T00:00:00"/>
    <s v="Jeffrey Torres"/>
    <s v="West"/>
    <x v="0"/>
    <s v="Consumer"/>
    <s v="Clothing"/>
    <s v="Jacket"/>
    <n v="10"/>
    <n v="417.43"/>
    <n v="0.05"/>
    <n v="3965.59"/>
    <n v="3126.64"/>
    <n v="838.95"/>
    <s v="Mobile Payment"/>
    <n v="1"/>
    <s v="June"/>
    <s v="Q2"/>
    <n v="2024"/>
    <m/>
  </r>
  <r>
    <s v="SAL-1262"/>
    <d v="2024-12-20T00:00:00"/>
    <s v="Dr. Andrew Mcmillan"/>
    <s v="Central"/>
    <x v="1"/>
    <s v="Consumer"/>
    <s v="Office Supplies"/>
    <s v="Paper"/>
    <n v="9"/>
    <n v="575.1"/>
    <n v="0"/>
    <n v="5175.8999999999996"/>
    <n v="4348.78"/>
    <n v="827.12"/>
    <s v="Cash"/>
    <n v="4"/>
    <s v="December"/>
    <s v="Q4"/>
    <n v="2024"/>
    <m/>
  </r>
  <r>
    <s v="SAL-1263"/>
    <d v="2024-07-30T00:00:00"/>
    <s v="Anna Hayden"/>
    <s v="North"/>
    <x v="2"/>
    <s v="Consumer"/>
    <s v="Clothing"/>
    <s v="T-Shirt"/>
    <n v="11"/>
    <n v="303.20999999999998"/>
    <n v="0.1"/>
    <n v="3001.78"/>
    <n v="1622.6"/>
    <n v="1379.18"/>
    <s v="Card"/>
    <n v="3"/>
    <s v="July"/>
    <s v="Q3"/>
    <n v="2024"/>
    <m/>
  </r>
  <r>
    <s v="SAL-1264"/>
    <d v="2024-06-21T00:00:00"/>
    <s v="Katie Lyons"/>
    <s v="West"/>
    <x v="0"/>
    <s v="Corporate"/>
    <s v="Electronics"/>
    <s v="Laptop"/>
    <n v="8"/>
    <n v="808.84"/>
    <n v="0.1"/>
    <n v="5823.65"/>
    <n v="3329.85"/>
    <n v="2493.8000000000002"/>
    <s v="Cash"/>
    <n v="5"/>
    <s v="June"/>
    <s v="Q2"/>
    <n v="2024"/>
    <m/>
  </r>
  <r>
    <s v="SAL-1265"/>
    <d v="2024-11-24T00:00:00"/>
    <s v="William Thomas"/>
    <s v="South"/>
    <x v="1"/>
    <s v="Consumer"/>
    <s v="Furniture"/>
    <s v="Chair"/>
    <n v="11"/>
    <n v="818.01"/>
    <n v="0"/>
    <n v="8998.11"/>
    <n v="6885.6"/>
    <n v="2112.5100000000002"/>
    <s v="Card"/>
    <n v="5"/>
    <s v="November"/>
    <s v="Q4"/>
    <n v="2024"/>
    <m/>
  </r>
  <r>
    <s v="SAL-1266"/>
    <d v="2024-03-17T00:00:00"/>
    <s v="Tara Price"/>
    <s v="East"/>
    <x v="2"/>
    <s v="Home Office"/>
    <s v="Furniture"/>
    <s v="Cabinet"/>
    <n v="2"/>
    <n v="426.27"/>
    <n v="0.1"/>
    <n v="767.29"/>
    <n v="437.65"/>
    <n v="329.64"/>
    <s v="Mobile Payment"/>
    <n v="3"/>
    <s v="March"/>
    <s v="Q1"/>
    <n v="2024"/>
    <m/>
  </r>
  <r>
    <s v="SAL-1267"/>
    <d v="2024-02-22T00:00:00"/>
    <s v="David Berry"/>
    <s v="West"/>
    <x v="2"/>
    <s v="Home Office"/>
    <s v="Electronics"/>
    <s v="Phone"/>
    <n v="9"/>
    <n v="29.81"/>
    <n v="0.1"/>
    <n v="241.46"/>
    <n v="174.03"/>
    <n v="67.430000000000007"/>
    <s v="Mobile Payment"/>
    <n v="5"/>
    <s v="February"/>
    <s v="Q1"/>
    <n v="2024"/>
    <m/>
  </r>
  <r>
    <s v="SAL-1268"/>
    <d v="2024-10-03T00:00:00"/>
    <s v="Melissa Smith"/>
    <s v="East"/>
    <x v="0"/>
    <s v="Consumer"/>
    <s v="Office Supplies"/>
    <s v="Paper"/>
    <n v="2"/>
    <n v="147.16"/>
    <n v="0"/>
    <n v="294.32"/>
    <n v="181.72"/>
    <n v="112.6"/>
    <s v="Card"/>
    <n v="2"/>
    <s v="October"/>
    <s v="Q4"/>
    <n v="2024"/>
    <m/>
  </r>
  <r>
    <s v="SAL-1269"/>
    <d v="2024-04-13T00:00:00"/>
    <s v="Yolanda Allen"/>
    <s v="Central"/>
    <x v="1"/>
    <s v="Corporate"/>
    <s v="Furniture"/>
    <s v="Chair"/>
    <n v="2"/>
    <n v="1103.4100000000001"/>
    <n v="0.05"/>
    <n v="2096.48"/>
    <n v="1442.94"/>
    <n v="653.54"/>
    <s v="Cash"/>
    <n v="1"/>
    <s v="April"/>
    <s v="Q2"/>
    <n v="2024"/>
    <m/>
  </r>
  <r>
    <s v="SAL-1270"/>
    <d v="2024-07-11T00:00:00"/>
    <s v="Michael Harrington"/>
    <s v="South"/>
    <x v="1"/>
    <s v="Home Office"/>
    <s v="Furniture"/>
    <s v="Cabinet"/>
    <n v="1"/>
    <n v="206.79"/>
    <n v="0"/>
    <n v="206.79"/>
    <n v="170.43"/>
    <n v="36.36"/>
    <s v="Cash"/>
    <n v="1"/>
    <s v="July"/>
    <s v="Q3"/>
    <n v="2024"/>
    <m/>
  </r>
  <r>
    <s v="SAL-1271"/>
    <d v="2024-06-30T00:00:00"/>
    <s v="Nicole Nelson"/>
    <s v="North"/>
    <x v="3"/>
    <s v="Home Office"/>
    <s v="Clothing"/>
    <s v="Sneakers"/>
    <n v="10"/>
    <n v="648.89"/>
    <n v="0.05"/>
    <n v="6164.45"/>
    <n v="3901.15"/>
    <n v="2263.3000000000002"/>
    <s v="Transfer"/>
    <n v="3"/>
    <s v="June"/>
    <s v="Q2"/>
    <n v="2024"/>
    <m/>
  </r>
  <r>
    <s v="SAL-1272"/>
    <d v="2024-08-30T00:00:00"/>
    <s v="Kelly Ross"/>
    <s v="Central"/>
    <x v="0"/>
    <s v="Consumer"/>
    <s v="Electronics"/>
    <s v="Laptop"/>
    <n v="8"/>
    <n v="1159.08"/>
    <n v="0"/>
    <n v="9272.64"/>
    <n v="6716.05"/>
    <n v="2556.59"/>
    <s v="Cash"/>
    <n v="3"/>
    <s v="August"/>
    <s v="Q3"/>
    <n v="2024"/>
    <m/>
  </r>
  <r>
    <s v="SAL-1273"/>
    <d v="2024-04-04T00:00:00"/>
    <s v="Robert Gutierrez"/>
    <s v="East"/>
    <x v="4"/>
    <s v="Corporate"/>
    <s v="Office Supplies"/>
    <s v="Pen"/>
    <n v="8"/>
    <n v="518.03"/>
    <n v="0.05"/>
    <n v="3937.03"/>
    <n v="3199.71"/>
    <n v="737.32"/>
    <s v="Cash"/>
    <n v="2"/>
    <s v="April"/>
    <s v="Q2"/>
    <n v="2024"/>
    <m/>
  </r>
  <r>
    <s v="SAL-1274"/>
    <d v="2024-06-06T00:00:00"/>
    <s v="Danielle Brown"/>
    <s v="North"/>
    <x v="3"/>
    <s v="Consumer"/>
    <s v="Office Supplies"/>
    <s v="Notebook"/>
    <n v="3"/>
    <n v="297.7"/>
    <n v="0.15"/>
    <n v="759.13"/>
    <n v="436.91"/>
    <n v="322.22000000000003"/>
    <s v="Transfer"/>
    <n v="3"/>
    <s v="June"/>
    <s v="Q2"/>
    <n v="2024"/>
    <m/>
  </r>
  <r>
    <s v="SAL-1275"/>
    <d v="2024-03-22T00:00:00"/>
    <s v="Aaron Pierce"/>
    <s v="East"/>
    <x v="0"/>
    <s v="Corporate"/>
    <s v="Clothing"/>
    <s v="Jacket"/>
    <n v="3"/>
    <n v="803.54"/>
    <n v="0.15"/>
    <n v="2049.0300000000002"/>
    <n v="1589.11"/>
    <n v="459.92"/>
    <s v="Transfer"/>
    <n v="4"/>
    <s v="March"/>
    <s v="Q1"/>
    <n v="2024"/>
    <m/>
  </r>
  <r>
    <s v="SAL-1276"/>
    <d v="2024-10-14T00:00:00"/>
    <s v="Cynthia King"/>
    <s v="East"/>
    <x v="2"/>
    <s v="Corporate"/>
    <s v="Furniture"/>
    <s v="Desk"/>
    <n v="8"/>
    <n v="896.58"/>
    <n v="0.05"/>
    <n v="6814.01"/>
    <n v="4129.5600000000004"/>
    <n v="2684.45"/>
    <s v="Mobile Payment"/>
    <n v="5"/>
    <s v="October"/>
    <s v="Q4"/>
    <n v="2024"/>
    <m/>
  </r>
  <r>
    <s v="SAL-1277"/>
    <d v="2024-12-16T00:00:00"/>
    <s v="Renee White"/>
    <s v="North"/>
    <x v="4"/>
    <s v="Corporate"/>
    <s v="Electronics"/>
    <s v="Tablet"/>
    <n v="1"/>
    <n v="359.85"/>
    <n v="0.05"/>
    <n v="341.86"/>
    <n v="224.8"/>
    <n v="117.06"/>
    <s v="Cash"/>
    <n v="2"/>
    <s v="December"/>
    <s v="Q4"/>
    <n v="2024"/>
    <m/>
  </r>
  <r>
    <s v="SAL-1278"/>
    <d v="2024-12-14T00:00:00"/>
    <s v="Mrs. Stephanie King"/>
    <s v="East"/>
    <x v="0"/>
    <s v="Home Office"/>
    <s v="Office Supplies"/>
    <s v="Notebook"/>
    <n v="8"/>
    <n v="1188.52"/>
    <n v="0.05"/>
    <n v="9032.75"/>
    <n v="6870.5"/>
    <n v="2162.25"/>
    <s v="Mobile Payment"/>
    <n v="5"/>
    <s v="December"/>
    <s v="Q4"/>
    <n v="2024"/>
    <m/>
  </r>
  <r>
    <s v="SAL-1279"/>
    <d v="2024-04-03T00:00:00"/>
    <s v="Stephen Thompson"/>
    <s v="West"/>
    <x v="1"/>
    <s v="Home Office"/>
    <s v="Clothing"/>
    <s v="Sneakers"/>
    <n v="2"/>
    <n v="62.18"/>
    <n v="0"/>
    <n v="124.36"/>
    <n v="98.79"/>
    <n v="25.57"/>
    <s v="Mobile Payment"/>
    <n v="1"/>
    <s v="April"/>
    <s v="Q2"/>
    <n v="2024"/>
    <m/>
  </r>
  <r>
    <s v="SAL-1280"/>
    <d v="2024-10-25T00:00:00"/>
    <s v="Brent Turner"/>
    <s v="North"/>
    <x v="1"/>
    <s v="Home Office"/>
    <s v="Electronics"/>
    <s v="Printer"/>
    <n v="4"/>
    <n v="603.96"/>
    <n v="0.15"/>
    <n v="2053.46"/>
    <n v="1391.35"/>
    <n v="662.11"/>
    <s v="Mobile Payment"/>
    <n v="5"/>
    <s v="October"/>
    <s v="Q4"/>
    <n v="2024"/>
    <m/>
  </r>
  <r>
    <s v="SAL-1281"/>
    <d v="2024-02-02T00:00:00"/>
    <s v="Ryan Jones"/>
    <s v="Central"/>
    <x v="3"/>
    <s v="Corporate"/>
    <s v="Office Supplies"/>
    <s v="Paper"/>
    <n v="6"/>
    <n v="863.53"/>
    <n v="0.15"/>
    <n v="4404"/>
    <n v="3414.16"/>
    <n v="989.84"/>
    <s v="Mobile Payment"/>
    <n v="2"/>
    <s v="February"/>
    <s v="Q1"/>
    <n v="2024"/>
    <m/>
  </r>
  <r>
    <s v="SAL-1282"/>
    <d v="2024-11-07T00:00:00"/>
    <s v="Nancy Dickerson"/>
    <s v="East"/>
    <x v="1"/>
    <s v="Home Office"/>
    <s v="Furniture"/>
    <s v="Desk"/>
    <n v="9"/>
    <n v="1199.6600000000001"/>
    <n v="0.1"/>
    <n v="9717.25"/>
    <n v="5775.37"/>
    <n v="3941.88"/>
    <s v="Cash"/>
    <n v="4"/>
    <s v="November"/>
    <s v="Q4"/>
    <n v="2024"/>
    <m/>
  </r>
  <r>
    <s v="SAL-1283"/>
    <d v="2024-11-04T00:00:00"/>
    <s v="Charles Wilson"/>
    <s v="West"/>
    <x v="2"/>
    <s v="Corporate"/>
    <s v="Office Supplies"/>
    <s v="Notebook"/>
    <n v="8"/>
    <n v="220.88"/>
    <n v="0.15"/>
    <n v="1501.98"/>
    <n v="955.85"/>
    <n v="546.13"/>
    <s v="Cash"/>
    <n v="2"/>
    <s v="November"/>
    <s v="Q4"/>
    <n v="2024"/>
    <m/>
  </r>
  <r>
    <s v="SAL-1284"/>
    <d v="2024-09-19T00:00:00"/>
    <s v="Beth Evans"/>
    <s v="South"/>
    <x v="2"/>
    <s v="Consumer"/>
    <s v="Clothing"/>
    <s v="Sneakers"/>
    <n v="7"/>
    <n v="950.51"/>
    <n v="0"/>
    <n v="6653.57"/>
    <n v="4589.1099999999997"/>
    <n v="2064.46"/>
    <s v="Card"/>
    <n v="5"/>
    <s v="September"/>
    <s v="Q3"/>
    <n v="2024"/>
    <m/>
  </r>
  <r>
    <s v="SAL-1285"/>
    <d v="2024-10-03T00:00:00"/>
    <s v="Brent Carey"/>
    <s v="North"/>
    <x v="2"/>
    <s v="Corporate"/>
    <s v="Clothing"/>
    <s v="Sneakers"/>
    <n v="8"/>
    <n v="542.28"/>
    <n v="0.15"/>
    <n v="3687.5"/>
    <n v="2369.9899999999998"/>
    <n v="1317.51"/>
    <s v="Card"/>
    <n v="2"/>
    <s v="October"/>
    <s v="Q4"/>
    <n v="2024"/>
    <m/>
  </r>
  <r>
    <s v="SAL-1286"/>
    <d v="2024-11-30T00:00:00"/>
    <s v="Courtney Thomas"/>
    <s v="West"/>
    <x v="2"/>
    <s v="Home Office"/>
    <s v="Furniture"/>
    <s v="Chair"/>
    <n v="8"/>
    <n v="764.27"/>
    <n v="0.1"/>
    <n v="5502.74"/>
    <n v="3791.17"/>
    <n v="1711.57"/>
    <s v="Transfer"/>
    <n v="4"/>
    <s v="November"/>
    <s v="Q4"/>
    <n v="2024"/>
    <m/>
  </r>
  <r>
    <s v="SAL-1287"/>
    <d v="2024-04-29T00:00:00"/>
    <s v="Shelley Powers"/>
    <s v="Central"/>
    <x v="3"/>
    <s v="Consumer"/>
    <s v="Electronics"/>
    <s v="Laptop"/>
    <n v="5"/>
    <n v="492.7"/>
    <n v="0.15"/>
    <n v="2093.9699999999998"/>
    <n v="1356.93"/>
    <n v="737.04"/>
    <s v="Mobile Payment"/>
    <n v="5"/>
    <s v="April"/>
    <s v="Q2"/>
    <n v="2024"/>
    <m/>
  </r>
  <r>
    <s v="SAL-1288"/>
    <d v="2024-11-28T00:00:00"/>
    <s v="Mitchell Ortega"/>
    <s v="East"/>
    <x v="4"/>
    <s v="Consumer"/>
    <s v="Office Supplies"/>
    <s v="Paper"/>
    <n v="7"/>
    <n v="1018.39"/>
    <n v="0.1"/>
    <n v="6415.86"/>
    <n v="3700.82"/>
    <n v="2715.04"/>
    <s v="Cash"/>
    <n v="2"/>
    <s v="November"/>
    <s v="Q4"/>
    <n v="2024"/>
    <m/>
  </r>
  <r>
    <s v="SAL-1289"/>
    <d v="2024-11-12T00:00:00"/>
    <s v="Nicole Lawson"/>
    <s v="South"/>
    <x v="3"/>
    <s v="Consumer"/>
    <s v="Office Supplies"/>
    <s v="Notebook"/>
    <n v="12"/>
    <n v="246.65"/>
    <n v="0"/>
    <n v="2959.8"/>
    <n v="1896.66"/>
    <n v="1063.1400000000001"/>
    <s v="Cash"/>
    <n v="2"/>
    <s v="November"/>
    <s v="Q4"/>
    <n v="2024"/>
    <m/>
  </r>
  <r>
    <s v="SAL-1290"/>
    <d v="2024-10-15T00:00:00"/>
    <s v="Karen Flowers"/>
    <s v="East"/>
    <x v="0"/>
    <s v="Home Office"/>
    <s v="Clothing"/>
    <s v="Sneakers"/>
    <n v="12"/>
    <n v="304.45"/>
    <n v="0.05"/>
    <n v="3470.73"/>
    <n v="2049.98"/>
    <n v="1420.75"/>
    <s v="Cash"/>
    <n v="1"/>
    <s v="October"/>
    <s v="Q4"/>
    <n v="2024"/>
    <m/>
  </r>
  <r>
    <s v="SAL-1291"/>
    <d v="2024-02-14T00:00:00"/>
    <s v="Bruce Hall"/>
    <s v="North"/>
    <x v="4"/>
    <s v="Home Office"/>
    <s v="Clothing"/>
    <s v="Jacket"/>
    <n v="5"/>
    <n v="1064.1199999999999"/>
    <n v="0"/>
    <n v="5320.6"/>
    <n v="2776.45"/>
    <n v="2544.15"/>
    <s v="Mobile Payment"/>
    <n v="3"/>
    <s v="February"/>
    <s v="Q1"/>
    <n v="2024"/>
    <m/>
  </r>
  <r>
    <s v="SAL-1292"/>
    <d v="2024-12-30T00:00:00"/>
    <s v="Brittany Park"/>
    <s v="North"/>
    <x v="4"/>
    <s v="Home Office"/>
    <s v="Furniture"/>
    <s v="Desk"/>
    <n v="5"/>
    <n v="113.57"/>
    <n v="0.05"/>
    <n v="539.46"/>
    <n v="434.86"/>
    <n v="104.6"/>
    <s v="Transfer"/>
    <n v="1"/>
    <s v="December"/>
    <s v="Q4"/>
    <n v="2024"/>
    <m/>
  </r>
  <r>
    <s v="SAL-1293"/>
    <d v="2024-03-21T00:00:00"/>
    <s v="Tina White"/>
    <s v="Central"/>
    <x v="4"/>
    <s v="Corporate"/>
    <s v="Electronics"/>
    <s v="Laptop"/>
    <n v="9"/>
    <n v="1116.23"/>
    <n v="0.05"/>
    <n v="9543.77"/>
    <n v="7260.44"/>
    <n v="2283.33"/>
    <s v="Cash"/>
    <n v="5"/>
    <s v="March"/>
    <s v="Q1"/>
    <n v="2024"/>
    <m/>
  </r>
  <r>
    <s v="SAL-1294"/>
    <d v="2024-04-19T00:00:00"/>
    <s v="William Pineda"/>
    <s v="North"/>
    <x v="0"/>
    <s v="Consumer"/>
    <s v="Clothing"/>
    <s v="Jacket"/>
    <n v="6"/>
    <n v="1032.31"/>
    <n v="0.15"/>
    <n v="5264.78"/>
    <n v="4329.47"/>
    <n v="935.31"/>
    <s v="Mobile Payment"/>
    <n v="2"/>
    <s v="April"/>
    <s v="Q2"/>
    <n v="2024"/>
    <m/>
  </r>
  <r>
    <s v="SAL-1295"/>
    <d v="2024-12-08T00:00:00"/>
    <s v="Carolyn Sanchez"/>
    <s v="South"/>
    <x v="4"/>
    <s v="Consumer"/>
    <s v="Clothing"/>
    <s v="Sneakers"/>
    <n v="10"/>
    <n v="127.78"/>
    <n v="0.15"/>
    <n v="1086.1300000000001"/>
    <n v="583.07000000000005"/>
    <n v="503.06"/>
    <s v="Cash"/>
    <n v="4"/>
    <s v="December"/>
    <s v="Q4"/>
    <n v="2024"/>
    <m/>
  </r>
  <r>
    <s v="SAL-1296"/>
    <d v="2024-07-24T00:00:00"/>
    <s v="Amanda Faulkner"/>
    <s v="West"/>
    <x v="4"/>
    <s v="Consumer"/>
    <s v="Clothing"/>
    <s v="T-Shirt"/>
    <n v="7"/>
    <n v="462.1"/>
    <n v="0.05"/>
    <n v="3072.97"/>
    <n v="1950.55"/>
    <n v="1122.42"/>
    <s v="Card"/>
    <n v="2"/>
    <s v="July"/>
    <s v="Q3"/>
    <n v="2024"/>
    <m/>
  </r>
  <r>
    <s v="SAL-1297"/>
    <d v="2024-08-09T00:00:00"/>
    <s v="Ann Hale"/>
    <s v="East"/>
    <x v="4"/>
    <s v="Consumer"/>
    <s v="Office Supplies"/>
    <s v="Notebook"/>
    <n v="2"/>
    <n v="778.79"/>
    <n v="0"/>
    <n v="1557.58"/>
    <n v="1196.31"/>
    <n v="361.27"/>
    <s v="Mobile Payment"/>
    <n v="4"/>
    <s v="August"/>
    <s v="Q3"/>
    <n v="2024"/>
    <m/>
  </r>
  <r>
    <s v="SAL-1298"/>
    <d v="2024-05-17T00:00:00"/>
    <s v="Richard Parker"/>
    <s v="North"/>
    <x v="2"/>
    <s v="Corporate"/>
    <s v="Furniture"/>
    <s v="Cabinet"/>
    <n v="9"/>
    <n v="672.8"/>
    <n v="0"/>
    <n v="6055.2"/>
    <n v="4011.46"/>
    <n v="2043.74"/>
    <s v="Transfer"/>
    <n v="3"/>
    <s v="May"/>
    <s v="Q2"/>
    <n v="2024"/>
    <m/>
  </r>
  <r>
    <s v="SAL-1299"/>
    <d v="2024-09-25T00:00:00"/>
    <s v="Kevin Yates"/>
    <s v="North"/>
    <x v="4"/>
    <s v="Corporate"/>
    <s v="Furniture"/>
    <s v="Desk"/>
    <n v="10"/>
    <n v="28.65"/>
    <n v="0.1"/>
    <n v="257.85000000000002"/>
    <n v="156.72999999999999"/>
    <n v="101.12"/>
    <s v="Mobile Payment"/>
    <n v="5"/>
    <s v="September"/>
    <s v="Q3"/>
    <n v="2024"/>
    <m/>
  </r>
  <r>
    <s v="SAL-1300"/>
    <d v="2024-06-22T00:00:00"/>
    <s v="Molly Vasquez"/>
    <s v="Central"/>
    <x v="2"/>
    <s v="Home Office"/>
    <s v="Office Supplies"/>
    <s v="Pen"/>
    <n v="2"/>
    <n v="911.13"/>
    <n v="0.15"/>
    <n v="1548.92"/>
    <n v="1272.9100000000001"/>
    <n v="276.01"/>
    <s v="Card"/>
    <n v="1"/>
    <s v="June"/>
    <s v="Q2"/>
    <n v="2024"/>
    <m/>
  </r>
  <r>
    <s v="SAL-1301"/>
    <d v="2024-12-22T00:00:00"/>
    <s v="Michael Clark"/>
    <s v="West"/>
    <x v="2"/>
    <s v="Corporate"/>
    <s v="Furniture"/>
    <s v="Desk"/>
    <n v="2"/>
    <n v="106.02"/>
    <n v="0.1"/>
    <n v="190.84"/>
    <n v="120.79"/>
    <n v="70.05"/>
    <s v="Transfer"/>
    <n v="3"/>
    <s v="December"/>
    <s v="Q4"/>
    <n v="2024"/>
    <m/>
  </r>
  <r>
    <s v="SAL-1302"/>
    <d v="2024-10-11T00:00:00"/>
    <s v="Ashley Garner"/>
    <s v="West"/>
    <x v="1"/>
    <s v="Home Office"/>
    <s v="Electronics"/>
    <s v="Phone"/>
    <n v="7"/>
    <n v="1130.3"/>
    <n v="0.05"/>
    <n v="7516.49"/>
    <n v="4743.8500000000004"/>
    <n v="2772.64"/>
    <s v="Transfer"/>
    <n v="5"/>
    <s v="October"/>
    <s v="Q4"/>
    <n v="2024"/>
    <m/>
  </r>
  <r>
    <s v="SAL-1303"/>
    <d v="2024-08-04T00:00:00"/>
    <s v="Daniel Bennett"/>
    <s v="East"/>
    <x v="0"/>
    <s v="Corporate"/>
    <s v="Clothing"/>
    <s v="Sneakers"/>
    <n v="8"/>
    <n v="1033.3399999999999"/>
    <n v="0.15"/>
    <n v="7026.71"/>
    <n v="5267.02"/>
    <n v="1759.69"/>
    <s v="Transfer"/>
    <n v="3"/>
    <s v="August"/>
    <s v="Q3"/>
    <n v="2024"/>
    <m/>
  </r>
  <r>
    <s v="SAL-1304"/>
    <d v="2024-04-27T00:00:00"/>
    <s v="Matthew Tanner"/>
    <s v="Central"/>
    <x v="3"/>
    <s v="Home Office"/>
    <s v="Furniture"/>
    <s v="Chair"/>
    <n v="3"/>
    <n v="1111.68"/>
    <n v="0.05"/>
    <n v="3168.29"/>
    <n v="1826.17"/>
    <n v="1342.12"/>
    <s v="Transfer"/>
    <n v="2"/>
    <s v="April"/>
    <s v="Q2"/>
    <n v="2024"/>
    <m/>
  </r>
  <r>
    <s v="SAL-1305"/>
    <d v="2024-12-11T00:00:00"/>
    <s v="Cynthia Kline"/>
    <s v="Central"/>
    <x v="3"/>
    <s v="Corporate"/>
    <s v="Clothing"/>
    <s v="Jacket"/>
    <n v="2"/>
    <n v="1135.8399999999999"/>
    <n v="0"/>
    <n v="2271.6799999999998"/>
    <n v="1484.31"/>
    <n v="787.37"/>
    <s v="Transfer"/>
    <n v="4"/>
    <s v="December"/>
    <s v="Q4"/>
    <n v="2024"/>
    <m/>
  </r>
  <r>
    <s v="SAL-1306"/>
    <d v="2024-12-21T00:00:00"/>
    <s v="Kevin Olsen"/>
    <s v="South"/>
    <x v="0"/>
    <s v="Corporate"/>
    <s v="Electronics"/>
    <s v="Tablet"/>
    <n v="10"/>
    <n v="598.21"/>
    <n v="0.05"/>
    <n v="5682.99"/>
    <n v="4714.3"/>
    <n v="968.69"/>
    <s v="Transfer"/>
    <n v="4"/>
    <s v="December"/>
    <s v="Q4"/>
    <n v="2024"/>
    <m/>
  </r>
  <r>
    <s v="SAL-1307"/>
    <d v="2024-04-18T00:00:00"/>
    <s v="Jennifer Thomas"/>
    <s v="North"/>
    <x v="0"/>
    <s v="Consumer"/>
    <s v="Office Supplies"/>
    <s v="Pen"/>
    <n v="3"/>
    <n v="694.37"/>
    <n v="0"/>
    <n v="2083.11"/>
    <n v="1099.79"/>
    <n v="983.32"/>
    <s v="Card"/>
    <n v="1"/>
    <s v="April"/>
    <s v="Q2"/>
    <n v="2024"/>
    <m/>
  </r>
  <r>
    <s v="SAL-1308"/>
    <d v="2024-07-08T00:00:00"/>
    <s v="Christopher Roberts"/>
    <s v="South"/>
    <x v="1"/>
    <s v="Home Office"/>
    <s v="Electronics"/>
    <s v="Tablet"/>
    <n v="8"/>
    <n v="81.47"/>
    <n v="0"/>
    <n v="651.76"/>
    <n v="380.9"/>
    <n v="270.86"/>
    <s v="Card"/>
    <n v="4"/>
    <s v="July"/>
    <s v="Q3"/>
    <n v="2024"/>
    <m/>
  </r>
  <r>
    <s v="SAL-1309"/>
    <d v="2024-05-25T00:00:00"/>
    <s v="Dr. David Perry"/>
    <s v="Central"/>
    <x v="2"/>
    <s v="Corporate"/>
    <s v="Electronics"/>
    <s v="Laptop"/>
    <n v="12"/>
    <n v="96.31"/>
    <n v="0.15"/>
    <n v="982.36"/>
    <n v="606.77"/>
    <n v="375.59"/>
    <s v="Transfer"/>
    <n v="3"/>
    <s v="May"/>
    <s v="Q2"/>
    <n v="2024"/>
    <m/>
  </r>
  <r>
    <s v="SAL-1310"/>
    <d v="2024-05-27T00:00:00"/>
    <s v="Joseph Hill"/>
    <s v="West"/>
    <x v="2"/>
    <s v="Home Office"/>
    <s v="Office Supplies"/>
    <s v="Paper"/>
    <n v="11"/>
    <n v="603.08000000000004"/>
    <n v="0.05"/>
    <n v="6302.19"/>
    <n v="4911.4399999999996"/>
    <n v="1390.75"/>
    <s v="Cash"/>
    <n v="5"/>
    <s v="May"/>
    <s v="Q2"/>
    <n v="2024"/>
    <m/>
  </r>
  <r>
    <s v="SAL-1311"/>
    <d v="2024-12-13T00:00:00"/>
    <s v="Diana Vazquez"/>
    <s v="North"/>
    <x v="3"/>
    <s v="Consumer"/>
    <s v="Office Supplies"/>
    <s v="Paper"/>
    <n v="5"/>
    <n v="1148.3699999999999"/>
    <n v="0"/>
    <n v="5741.85"/>
    <n v="3222.26"/>
    <n v="2519.59"/>
    <s v="Mobile Payment"/>
    <n v="1"/>
    <s v="December"/>
    <s v="Q4"/>
    <n v="2024"/>
    <m/>
  </r>
  <r>
    <s v="SAL-1312"/>
    <d v="2024-09-26T00:00:00"/>
    <s v="William Brown"/>
    <s v="East"/>
    <x v="1"/>
    <s v="Consumer"/>
    <s v="Clothing"/>
    <s v="T-Shirt"/>
    <n v="9"/>
    <n v="273.52999999999997"/>
    <n v="0.05"/>
    <n v="2338.6799999999998"/>
    <n v="1659.84"/>
    <n v="678.84"/>
    <s v="Card"/>
    <n v="5"/>
    <s v="September"/>
    <s v="Q3"/>
    <n v="2024"/>
    <m/>
  </r>
  <r>
    <s v="SAL-1313"/>
    <d v="2024-10-24T00:00:00"/>
    <s v="Raymond White"/>
    <s v="Central"/>
    <x v="1"/>
    <s v="Home Office"/>
    <s v="Clothing"/>
    <s v="T-Shirt"/>
    <n v="7"/>
    <n v="657.69"/>
    <n v="0.15"/>
    <n v="3913.26"/>
    <n v="2954.82"/>
    <n v="958.44"/>
    <s v="Mobile Payment"/>
    <n v="5"/>
    <s v="October"/>
    <s v="Q4"/>
    <n v="2024"/>
    <m/>
  </r>
  <r>
    <s v="SAL-1314"/>
    <d v="2024-04-22T00:00:00"/>
    <s v="Patrick Hill"/>
    <s v="Central"/>
    <x v="1"/>
    <s v="Consumer"/>
    <s v="Electronics"/>
    <s v="Tablet"/>
    <n v="3"/>
    <n v="37.94"/>
    <n v="0"/>
    <n v="113.82"/>
    <n v="85.17"/>
    <n v="28.65"/>
    <s v="Transfer"/>
    <n v="4"/>
    <s v="April"/>
    <s v="Q2"/>
    <n v="2024"/>
    <m/>
  </r>
  <r>
    <s v="SAL-1315"/>
    <d v="2024-05-23T00:00:00"/>
    <s v="Heather Kramer"/>
    <s v="West"/>
    <x v="1"/>
    <s v="Consumer"/>
    <s v="Furniture"/>
    <s v="Desk"/>
    <n v="3"/>
    <n v="296.14999999999998"/>
    <n v="0.1"/>
    <n v="799.6"/>
    <n v="510.95"/>
    <n v="288.64999999999998"/>
    <s v="Card"/>
    <n v="5"/>
    <s v="May"/>
    <s v="Q2"/>
    <n v="2024"/>
    <m/>
  </r>
  <r>
    <s v="SAL-1316"/>
    <d v="2024-04-20T00:00:00"/>
    <s v="Andrew Stevens"/>
    <s v="East"/>
    <x v="4"/>
    <s v="Consumer"/>
    <s v="Office Supplies"/>
    <s v="Pen"/>
    <n v="11"/>
    <n v="689.66"/>
    <n v="0.15"/>
    <n v="6448.32"/>
    <n v="5180.42"/>
    <n v="1267.9000000000001"/>
    <s v="Cash"/>
    <n v="4"/>
    <s v="April"/>
    <s v="Q2"/>
    <n v="2024"/>
    <m/>
  </r>
  <r>
    <s v="SAL-1317"/>
    <d v="2024-03-05T00:00:00"/>
    <s v="Jennifer Smith"/>
    <s v="South"/>
    <x v="0"/>
    <s v="Corporate"/>
    <s v="Office Supplies"/>
    <s v="Notebook"/>
    <n v="3"/>
    <n v="1190.23"/>
    <n v="0"/>
    <n v="3570.69"/>
    <n v="1801.49"/>
    <n v="1769.2"/>
    <s v="Transfer"/>
    <n v="3"/>
    <s v="March"/>
    <s v="Q1"/>
    <n v="2024"/>
    <m/>
  </r>
  <r>
    <s v="SAL-1318"/>
    <d v="2024-03-29T00:00:00"/>
    <s v="William Jackson"/>
    <s v="North"/>
    <x v="4"/>
    <s v="Corporate"/>
    <s v="Office Supplies"/>
    <s v="Pen"/>
    <n v="12"/>
    <n v="220.55"/>
    <n v="0.1"/>
    <n v="2381.94"/>
    <n v="1233.02"/>
    <n v="1148.92"/>
    <s v="Card"/>
    <n v="5"/>
    <s v="March"/>
    <s v="Q1"/>
    <n v="2024"/>
    <m/>
  </r>
  <r>
    <s v="SAL-1319"/>
    <d v="2024-03-15T00:00:00"/>
    <s v="Tracy Ferguson"/>
    <s v="Central"/>
    <x v="2"/>
    <s v="Consumer"/>
    <s v="Electronics"/>
    <s v="Printer"/>
    <n v="7"/>
    <n v="923.89"/>
    <n v="0.1"/>
    <n v="5820.51"/>
    <n v="4641.13"/>
    <n v="1179.3800000000001"/>
    <s v="Cash"/>
    <n v="3"/>
    <s v="March"/>
    <s v="Q1"/>
    <n v="2024"/>
    <m/>
  </r>
  <r>
    <s v="SAL-1320"/>
    <d v="2024-06-08T00:00:00"/>
    <s v="Aaron Hartman"/>
    <s v="North"/>
    <x v="1"/>
    <s v="Home Office"/>
    <s v="Furniture"/>
    <s v="Chair"/>
    <n v="7"/>
    <n v="257.95"/>
    <n v="0.15"/>
    <n v="1534.8"/>
    <n v="809.34"/>
    <n v="725.46"/>
    <s v="Card"/>
    <n v="5"/>
    <s v="June"/>
    <s v="Q2"/>
    <n v="2024"/>
    <m/>
  </r>
  <r>
    <s v="SAL-1321"/>
    <d v="2024-02-05T00:00:00"/>
    <s v="Diana Martinez"/>
    <s v="South"/>
    <x v="1"/>
    <s v="Corporate"/>
    <s v="Office Supplies"/>
    <s v="Paper"/>
    <n v="3"/>
    <n v="48.27"/>
    <n v="0.15"/>
    <n v="123.09"/>
    <n v="94.23"/>
    <n v="28.86"/>
    <s v="Cash"/>
    <n v="3"/>
    <s v="February"/>
    <s v="Q1"/>
    <n v="2024"/>
    <m/>
  </r>
  <r>
    <s v="SAL-1322"/>
    <d v="2024-10-08T00:00:00"/>
    <s v="Louis Taylor"/>
    <s v="West"/>
    <x v="4"/>
    <s v="Consumer"/>
    <s v="Furniture"/>
    <s v="Cabinet"/>
    <n v="12"/>
    <n v="1048.7"/>
    <n v="0.1"/>
    <n v="11325.96"/>
    <n v="9574.42"/>
    <n v="1751.54"/>
    <s v="Mobile Payment"/>
    <n v="3"/>
    <s v="October"/>
    <s v="Q4"/>
    <n v="2024"/>
    <m/>
  </r>
  <r>
    <s v="SAL-1323"/>
    <d v="2024-11-01T00:00:00"/>
    <s v="Shannon Maxwell"/>
    <s v="Central"/>
    <x v="4"/>
    <s v="Home Office"/>
    <s v="Furniture"/>
    <s v="Chair"/>
    <n v="3"/>
    <n v="431.23"/>
    <n v="0.1"/>
    <n v="1164.32"/>
    <n v="661.2"/>
    <n v="503.12"/>
    <s v="Transfer"/>
    <n v="5"/>
    <s v="November"/>
    <s v="Q4"/>
    <n v="2024"/>
    <m/>
  </r>
  <r>
    <s v="SAL-1324"/>
    <d v="2024-02-20T00:00:00"/>
    <s v="Hannah Davidson"/>
    <s v="South"/>
    <x v="4"/>
    <s v="Corporate"/>
    <s v="Office Supplies"/>
    <s v="Notebook"/>
    <n v="6"/>
    <n v="1084.4100000000001"/>
    <n v="0.05"/>
    <n v="6181.14"/>
    <n v="3941.18"/>
    <n v="2239.96"/>
    <s v="Cash"/>
    <n v="5"/>
    <s v="February"/>
    <s v="Q1"/>
    <n v="2024"/>
    <m/>
  </r>
  <r>
    <s v="SAL-1325"/>
    <d v="2024-06-10T00:00:00"/>
    <s v="Kyle Clark"/>
    <s v="South"/>
    <x v="2"/>
    <s v="Consumer"/>
    <s v="Office Supplies"/>
    <s v="Notebook"/>
    <n v="5"/>
    <n v="142.41999999999999"/>
    <n v="0"/>
    <n v="712.1"/>
    <n v="449.79"/>
    <n v="262.31"/>
    <s v="Transfer"/>
    <n v="1"/>
    <s v="June"/>
    <s v="Q2"/>
    <n v="2024"/>
    <m/>
  </r>
  <r>
    <s v="SAL-1326"/>
    <d v="2024-09-12T00:00:00"/>
    <s v="Mrs. Maria Rivera MD"/>
    <s v="East"/>
    <x v="1"/>
    <s v="Home Office"/>
    <s v="Electronics"/>
    <s v="Phone"/>
    <n v="8"/>
    <n v="1034.6600000000001"/>
    <n v="0.15"/>
    <n v="7035.69"/>
    <n v="4020.33"/>
    <n v="3015.36"/>
    <s v="Transfer"/>
    <n v="1"/>
    <s v="September"/>
    <s v="Q3"/>
    <n v="2024"/>
    <m/>
  </r>
  <r>
    <s v="SAL-1327"/>
    <d v="2024-09-06T00:00:00"/>
    <s v="George Wood"/>
    <s v="East"/>
    <x v="3"/>
    <s v="Home Office"/>
    <s v="Furniture"/>
    <s v="Desk"/>
    <n v="12"/>
    <n v="893.79"/>
    <n v="0"/>
    <n v="10725.48"/>
    <n v="6637.05"/>
    <n v="4088.43"/>
    <s v="Cash"/>
    <n v="1"/>
    <s v="September"/>
    <s v="Q3"/>
    <n v="2024"/>
    <m/>
  </r>
  <r>
    <s v="SAL-1328"/>
    <d v="2024-01-02T00:00:00"/>
    <s v="Casey Doyle"/>
    <s v="East"/>
    <x v="4"/>
    <s v="Home Office"/>
    <s v="Clothing"/>
    <s v="T-Shirt"/>
    <n v="5"/>
    <n v="508.01"/>
    <n v="0"/>
    <n v="2540.0500000000002"/>
    <n v="1447.99"/>
    <n v="1092.06"/>
    <s v="Card"/>
    <n v="1"/>
    <s v="January"/>
    <s v="Q1"/>
    <n v="2024"/>
    <m/>
  </r>
  <r>
    <s v="SAL-1329"/>
    <d v="2024-10-21T00:00:00"/>
    <s v="Kelly Rivera"/>
    <s v="South"/>
    <x v="3"/>
    <s v="Corporate"/>
    <s v="Furniture"/>
    <s v="Desk"/>
    <n v="7"/>
    <n v="312.57"/>
    <n v="0.05"/>
    <n v="2078.59"/>
    <n v="1688.37"/>
    <n v="390.22"/>
    <s v="Cash"/>
    <n v="1"/>
    <s v="October"/>
    <s v="Q4"/>
    <n v="2024"/>
    <m/>
  </r>
  <r>
    <s v="SAL-1330"/>
    <d v="2024-04-30T00:00:00"/>
    <s v="Chad Ferguson"/>
    <s v="East"/>
    <x v="4"/>
    <s v="Home Office"/>
    <s v="Clothing"/>
    <s v="T-Shirt"/>
    <n v="6"/>
    <n v="670.04"/>
    <n v="0.1"/>
    <n v="3618.22"/>
    <n v="1987.22"/>
    <n v="1631"/>
    <s v="Transfer"/>
    <n v="5"/>
    <s v="April"/>
    <s v="Q2"/>
    <n v="2024"/>
    <m/>
  </r>
  <r>
    <s v="SAL-1331"/>
    <d v="2024-12-10T00:00:00"/>
    <s v="Jamie Beasley"/>
    <s v="East"/>
    <x v="0"/>
    <s v="Home Office"/>
    <s v="Furniture"/>
    <s v="Cabinet"/>
    <n v="4"/>
    <n v="69.69"/>
    <n v="0"/>
    <n v="278.76"/>
    <n v="233.31"/>
    <n v="45.45"/>
    <s v="Mobile Payment"/>
    <n v="1"/>
    <s v="December"/>
    <s v="Q4"/>
    <n v="2024"/>
    <m/>
  </r>
  <r>
    <s v="SAL-1332"/>
    <d v="2024-08-18T00:00:00"/>
    <s v="George Jenkins"/>
    <s v="North"/>
    <x v="2"/>
    <s v="Consumer"/>
    <s v="Clothing"/>
    <s v="Sneakers"/>
    <n v="10"/>
    <n v="275.64999999999998"/>
    <n v="0.05"/>
    <n v="2618.67"/>
    <n v="1379.05"/>
    <n v="1239.6199999999999"/>
    <s v="Transfer"/>
    <n v="3"/>
    <s v="August"/>
    <s v="Q3"/>
    <n v="2024"/>
    <m/>
  </r>
  <r>
    <s v="SAL-1333"/>
    <d v="2024-03-21T00:00:00"/>
    <s v="Natalie Lee"/>
    <s v="South"/>
    <x v="2"/>
    <s v="Consumer"/>
    <s v="Office Supplies"/>
    <s v="Pen"/>
    <n v="10"/>
    <n v="932.99"/>
    <n v="0"/>
    <n v="9329.9"/>
    <n v="6265.8"/>
    <n v="3064.1"/>
    <s v="Transfer"/>
    <n v="4"/>
    <s v="March"/>
    <s v="Q1"/>
    <n v="2024"/>
    <m/>
  </r>
  <r>
    <s v="SAL-1334"/>
    <d v="2024-07-10T00:00:00"/>
    <s v="Justin Shaffer"/>
    <s v="East"/>
    <x v="3"/>
    <s v="Consumer"/>
    <s v="Clothing"/>
    <s v="Jacket"/>
    <n v="6"/>
    <n v="106.64"/>
    <n v="0.15"/>
    <n v="543.86"/>
    <n v="419.52"/>
    <n v="124.34"/>
    <s v="Cash"/>
    <n v="2"/>
    <s v="July"/>
    <s v="Q3"/>
    <n v="2024"/>
    <m/>
  </r>
  <r>
    <s v="SAL-1335"/>
    <d v="2024-05-01T00:00:00"/>
    <s v="Anna Barker"/>
    <s v="West"/>
    <x v="2"/>
    <s v="Consumer"/>
    <s v="Clothing"/>
    <s v="Jacket"/>
    <n v="5"/>
    <n v="984.48"/>
    <n v="0.1"/>
    <n v="4430.16"/>
    <n v="3583.85"/>
    <n v="846.31"/>
    <s v="Transfer"/>
    <n v="1"/>
    <s v="May"/>
    <s v="Q2"/>
    <n v="2024"/>
    <m/>
  </r>
  <r>
    <s v="SAL-1336"/>
    <d v="2024-03-21T00:00:00"/>
    <s v="Taylor Bishop"/>
    <s v="North"/>
    <x v="2"/>
    <s v="Home Office"/>
    <s v="Furniture"/>
    <s v="Chair"/>
    <n v="8"/>
    <n v="1047.6400000000001"/>
    <n v="0.05"/>
    <n v="7962.06"/>
    <n v="6198.95"/>
    <n v="1763.11"/>
    <s v="Card"/>
    <n v="5"/>
    <s v="March"/>
    <s v="Q1"/>
    <n v="2024"/>
    <m/>
  </r>
  <r>
    <s v="SAL-1337"/>
    <d v="2024-04-26T00:00:00"/>
    <s v="Caleb Herman"/>
    <s v="South"/>
    <x v="2"/>
    <s v="Corporate"/>
    <s v="Electronics"/>
    <s v="Laptop"/>
    <n v="12"/>
    <n v="349.6"/>
    <n v="0.15"/>
    <n v="3565.92"/>
    <n v="2051.7600000000002"/>
    <n v="1514.16"/>
    <s v="Cash"/>
    <n v="2"/>
    <s v="April"/>
    <s v="Q2"/>
    <n v="2024"/>
    <m/>
  </r>
  <r>
    <s v="SAL-1338"/>
    <d v="2024-03-20T00:00:00"/>
    <s v="Sarah Deleon"/>
    <s v="North"/>
    <x v="2"/>
    <s v="Home Office"/>
    <s v="Office Supplies"/>
    <s v="Notebook"/>
    <n v="8"/>
    <n v="1126.8800000000001"/>
    <n v="0.05"/>
    <n v="8564.2900000000009"/>
    <n v="7136.33"/>
    <n v="1427.96"/>
    <s v="Cash"/>
    <n v="4"/>
    <s v="March"/>
    <s v="Q1"/>
    <n v="2024"/>
    <m/>
  </r>
  <r>
    <s v="SAL-1339"/>
    <d v="2024-07-09T00:00:00"/>
    <s v="Amber Luna"/>
    <s v="East"/>
    <x v="4"/>
    <s v="Home Office"/>
    <s v="Office Supplies"/>
    <s v="Paper"/>
    <n v="5"/>
    <n v="237.12"/>
    <n v="0.1"/>
    <n v="1067.04"/>
    <n v="587.70000000000005"/>
    <n v="479.34"/>
    <s v="Card"/>
    <n v="2"/>
    <s v="July"/>
    <s v="Q3"/>
    <n v="2024"/>
    <m/>
  </r>
  <r>
    <s v="SAL-1340"/>
    <d v="2024-05-13T00:00:00"/>
    <s v="Sheryl Young"/>
    <s v="West"/>
    <x v="2"/>
    <s v="Corporate"/>
    <s v="Furniture"/>
    <s v="Chair"/>
    <n v="3"/>
    <n v="435.31"/>
    <n v="0"/>
    <n v="1305.93"/>
    <n v="805.21"/>
    <n v="500.72"/>
    <s v="Transfer"/>
    <n v="2"/>
    <s v="May"/>
    <s v="Q2"/>
    <n v="2024"/>
    <m/>
  </r>
  <r>
    <s v="SAL-1341"/>
    <d v="2024-12-01T00:00:00"/>
    <s v="Lisa Stevenson"/>
    <s v="East"/>
    <x v="4"/>
    <s v="Home Office"/>
    <s v="Furniture"/>
    <s v="Desk"/>
    <n v="7"/>
    <n v="432.81"/>
    <n v="0.05"/>
    <n v="2878.19"/>
    <n v="2056.34"/>
    <n v="821.85"/>
    <s v="Transfer"/>
    <n v="2"/>
    <s v="December"/>
    <s v="Q4"/>
    <n v="2024"/>
    <m/>
  </r>
  <r>
    <s v="SAL-1342"/>
    <d v="2024-12-04T00:00:00"/>
    <s v="Natalie Williams"/>
    <s v="West"/>
    <x v="3"/>
    <s v="Corporate"/>
    <s v="Office Supplies"/>
    <s v="Pen"/>
    <n v="11"/>
    <n v="215.77"/>
    <n v="0.05"/>
    <n v="2254.8000000000002"/>
    <n v="1730.53"/>
    <n v="524.27"/>
    <s v="Transfer"/>
    <n v="2"/>
    <s v="December"/>
    <s v="Q4"/>
    <n v="2024"/>
    <m/>
  </r>
  <r>
    <s v="SAL-1343"/>
    <d v="2024-05-26T00:00:00"/>
    <s v="Richard Mason"/>
    <s v="East"/>
    <x v="0"/>
    <s v="Home Office"/>
    <s v="Clothing"/>
    <s v="Sneakers"/>
    <n v="7"/>
    <n v="1121.82"/>
    <n v="0"/>
    <n v="7852.74"/>
    <n v="4118.76"/>
    <n v="3733.98"/>
    <s v="Card"/>
    <n v="5"/>
    <s v="May"/>
    <s v="Q2"/>
    <n v="2024"/>
    <m/>
  </r>
  <r>
    <s v="SAL-1344"/>
    <d v="2024-08-29T00:00:00"/>
    <s v="Bethany Ritter"/>
    <s v="South"/>
    <x v="2"/>
    <s v="Corporate"/>
    <s v="Office Supplies"/>
    <s v="Paper"/>
    <n v="9"/>
    <n v="1138.51"/>
    <n v="0"/>
    <n v="10246.59"/>
    <n v="5900.19"/>
    <n v="4346.3999999999996"/>
    <s v="Transfer"/>
    <n v="3"/>
    <s v="August"/>
    <s v="Q3"/>
    <n v="2024"/>
    <m/>
  </r>
  <r>
    <s v="SAL-1345"/>
    <d v="2024-07-02T00:00:00"/>
    <s v="Stacey Mitchell"/>
    <s v="North"/>
    <x v="4"/>
    <s v="Home Office"/>
    <s v="Clothing"/>
    <s v="T-Shirt"/>
    <n v="10"/>
    <n v="476.66"/>
    <n v="0.05"/>
    <n v="4528.2700000000004"/>
    <n v="2922.57"/>
    <n v="1605.7"/>
    <s v="Card"/>
    <n v="1"/>
    <s v="July"/>
    <s v="Q3"/>
    <n v="2024"/>
    <m/>
  </r>
  <r>
    <s v="SAL-1346"/>
    <d v="2024-06-14T00:00:00"/>
    <s v="Antonio Moreno"/>
    <s v="East"/>
    <x v="3"/>
    <s v="Corporate"/>
    <s v="Electronics"/>
    <s v="Printer"/>
    <n v="5"/>
    <n v="264.27"/>
    <n v="0.1"/>
    <n v="1189.21"/>
    <n v="714.73"/>
    <n v="474.48"/>
    <s v="Card"/>
    <n v="4"/>
    <s v="June"/>
    <s v="Q2"/>
    <n v="2024"/>
    <m/>
  </r>
  <r>
    <s v="SAL-1347"/>
    <d v="2024-12-26T00:00:00"/>
    <s v="Stephen Richards"/>
    <s v="West"/>
    <x v="0"/>
    <s v="Consumer"/>
    <s v="Clothing"/>
    <s v="Sneakers"/>
    <n v="8"/>
    <n v="1159.1500000000001"/>
    <n v="0.15"/>
    <n v="7882.22"/>
    <n v="4579.8900000000003"/>
    <n v="3302.33"/>
    <s v="Mobile Payment"/>
    <n v="3"/>
    <s v="December"/>
    <s v="Q4"/>
    <n v="2024"/>
    <m/>
  </r>
  <r>
    <s v="SAL-1348"/>
    <d v="2024-11-02T00:00:00"/>
    <s v="Jennifer Sherman"/>
    <s v="West"/>
    <x v="4"/>
    <s v="Corporate"/>
    <s v="Electronics"/>
    <s v="Laptop"/>
    <n v="1"/>
    <n v="1078.3"/>
    <n v="0.15"/>
    <n v="916.55"/>
    <n v="554.54999999999995"/>
    <n v="362"/>
    <s v="Card"/>
    <n v="4"/>
    <s v="November"/>
    <s v="Q4"/>
    <n v="2024"/>
    <m/>
  </r>
  <r>
    <s v="SAL-1349"/>
    <d v="2024-08-20T00:00:00"/>
    <s v="April Ramos"/>
    <s v="East"/>
    <x v="4"/>
    <s v="Home Office"/>
    <s v="Electronics"/>
    <s v="Phone"/>
    <n v="3"/>
    <n v="430.26"/>
    <n v="0.15"/>
    <n v="1097.1600000000001"/>
    <n v="613.74"/>
    <n v="483.42"/>
    <s v="Mobile Payment"/>
    <n v="4"/>
    <s v="August"/>
    <s v="Q3"/>
    <n v="2024"/>
    <m/>
  </r>
  <r>
    <s v="SAL-1350"/>
    <d v="2024-04-26T00:00:00"/>
    <s v="Barry Morris"/>
    <s v="East"/>
    <x v="1"/>
    <s v="Home Office"/>
    <s v="Clothing"/>
    <s v="Sneakers"/>
    <n v="3"/>
    <n v="936.78"/>
    <n v="0.1"/>
    <n v="2529.31"/>
    <n v="1486.99"/>
    <n v="1042.32"/>
    <s v="Card"/>
    <n v="2"/>
    <s v="April"/>
    <s v="Q2"/>
    <n v="2024"/>
    <m/>
  </r>
  <r>
    <s v="SAL-1351"/>
    <d v="2024-10-12T00:00:00"/>
    <s v="Christopher Sullivan"/>
    <s v="East"/>
    <x v="0"/>
    <s v="Home Office"/>
    <s v="Office Supplies"/>
    <s v="Pen"/>
    <n v="9"/>
    <n v="547.11"/>
    <n v="0.05"/>
    <n v="4677.79"/>
    <n v="2972.56"/>
    <n v="1705.23"/>
    <s v="Transfer"/>
    <n v="4"/>
    <s v="October"/>
    <s v="Q4"/>
    <n v="2024"/>
    <m/>
  </r>
  <r>
    <s v="SAL-1352"/>
    <d v="2024-11-29T00:00:00"/>
    <s v="Timothy Perry"/>
    <s v="Central"/>
    <x v="2"/>
    <s v="Corporate"/>
    <s v="Furniture"/>
    <s v="Cabinet"/>
    <n v="4"/>
    <n v="890.88"/>
    <n v="0"/>
    <n v="3563.52"/>
    <n v="2712.25"/>
    <n v="851.27"/>
    <s v="Cash"/>
    <n v="5"/>
    <s v="November"/>
    <s v="Q4"/>
    <n v="2024"/>
    <m/>
  </r>
  <r>
    <s v="SAL-1353"/>
    <d v="2024-12-03T00:00:00"/>
    <s v="Collin Mendez"/>
    <s v="South"/>
    <x v="0"/>
    <s v="Corporate"/>
    <s v="Electronics"/>
    <s v="Phone"/>
    <n v="11"/>
    <n v="733.94"/>
    <n v="0.05"/>
    <n v="7669.67"/>
    <n v="6174.04"/>
    <n v="1495.63"/>
    <s v="Mobile Payment"/>
    <n v="1"/>
    <s v="December"/>
    <s v="Q4"/>
    <n v="2024"/>
    <m/>
  </r>
  <r>
    <s v="SAL-1354"/>
    <d v="2024-10-01T00:00:00"/>
    <s v="Kevin Gentry"/>
    <s v="Central"/>
    <x v="1"/>
    <s v="Consumer"/>
    <s v="Clothing"/>
    <s v="Jacket"/>
    <n v="8"/>
    <n v="815.66"/>
    <n v="0"/>
    <n v="6525.28"/>
    <n v="5428.64"/>
    <n v="1096.6400000000001"/>
    <s v="Card"/>
    <n v="4"/>
    <s v="October"/>
    <s v="Q4"/>
    <n v="2024"/>
    <m/>
  </r>
  <r>
    <s v="SAL-1355"/>
    <d v="2024-05-14T00:00:00"/>
    <s v="Lucas Greene"/>
    <s v="East"/>
    <x v="2"/>
    <s v="Corporate"/>
    <s v="Clothing"/>
    <s v="Sneakers"/>
    <n v="4"/>
    <n v="589.51"/>
    <n v="0.1"/>
    <n v="2122.2399999999998"/>
    <n v="1625.86"/>
    <n v="496.38"/>
    <s v="Cash"/>
    <n v="4"/>
    <s v="May"/>
    <s v="Q2"/>
    <n v="2024"/>
    <m/>
  </r>
  <r>
    <s v="SAL-1356"/>
    <d v="2024-03-07T00:00:00"/>
    <s v="Cameron Garcia II"/>
    <s v="North"/>
    <x v="0"/>
    <s v="Corporate"/>
    <s v="Furniture"/>
    <s v="Cabinet"/>
    <n v="1"/>
    <n v="402.11"/>
    <n v="0"/>
    <n v="402.11"/>
    <n v="224.35"/>
    <n v="177.76"/>
    <s v="Cash"/>
    <n v="1"/>
    <s v="March"/>
    <s v="Q1"/>
    <n v="2024"/>
    <m/>
  </r>
  <r>
    <s v="SAL-1357"/>
    <d v="2024-01-18T00:00:00"/>
    <s v="Mr. Nicholas Hughes MD"/>
    <s v="North"/>
    <x v="3"/>
    <s v="Consumer"/>
    <s v="Electronics"/>
    <s v="Printer"/>
    <n v="5"/>
    <n v="512.53"/>
    <n v="0.15"/>
    <n v="2178.25"/>
    <n v="1179.49"/>
    <n v="998.76"/>
    <s v="Card"/>
    <n v="1"/>
    <s v="January"/>
    <s v="Q1"/>
    <n v="2024"/>
    <m/>
  </r>
  <r>
    <s v="SAL-1358"/>
    <d v="2024-07-08T00:00:00"/>
    <s v="Amber Morgan"/>
    <s v="South"/>
    <x v="2"/>
    <s v="Corporate"/>
    <s v="Office Supplies"/>
    <s v="Notebook"/>
    <n v="9"/>
    <n v="738.05"/>
    <n v="0.15"/>
    <n v="5646.08"/>
    <n v="3781.66"/>
    <n v="1864.42"/>
    <s v="Transfer"/>
    <n v="4"/>
    <s v="July"/>
    <s v="Q3"/>
    <n v="2024"/>
    <m/>
  </r>
  <r>
    <s v="SAL-1359"/>
    <d v="2024-07-30T00:00:00"/>
    <s v="Mary Lloyd"/>
    <s v="East"/>
    <x v="2"/>
    <s v="Home Office"/>
    <s v="Clothing"/>
    <s v="T-Shirt"/>
    <n v="3"/>
    <n v="224.04"/>
    <n v="0.05"/>
    <n v="638.51"/>
    <n v="417.09"/>
    <n v="221.42"/>
    <s v="Transfer"/>
    <n v="4"/>
    <s v="July"/>
    <s v="Q3"/>
    <n v="2024"/>
    <m/>
  </r>
  <r>
    <s v="SAL-1360"/>
    <d v="2024-11-23T00:00:00"/>
    <s v="John Fisher DVM"/>
    <s v="South"/>
    <x v="0"/>
    <s v="Consumer"/>
    <s v="Clothing"/>
    <s v="Sneakers"/>
    <n v="12"/>
    <n v="343.93"/>
    <n v="0.1"/>
    <n v="3714.44"/>
    <n v="2531.33"/>
    <n v="1183.1099999999999"/>
    <s v="Card"/>
    <n v="2"/>
    <s v="November"/>
    <s v="Q4"/>
    <n v="2024"/>
    <m/>
  </r>
  <r>
    <s v="SAL-1361"/>
    <d v="2024-08-24T00:00:00"/>
    <s v="Michael Walsh"/>
    <s v="East"/>
    <x v="0"/>
    <s v="Home Office"/>
    <s v="Furniture"/>
    <s v="Chair"/>
    <n v="8"/>
    <n v="1040.07"/>
    <n v="0.05"/>
    <n v="7904.53"/>
    <n v="5574.55"/>
    <n v="2329.98"/>
    <s v="Card"/>
    <n v="2"/>
    <s v="August"/>
    <s v="Q3"/>
    <n v="2024"/>
    <m/>
  </r>
  <r>
    <s v="SAL-1362"/>
    <d v="2024-04-11T00:00:00"/>
    <s v="Patricia Rodgers"/>
    <s v="Central"/>
    <x v="3"/>
    <s v="Consumer"/>
    <s v="Furniture"/>
    <s v="Cabinet"/>
    <n v="12"/>
    <n v="397.65"/>
    <n v="0.1"/>
    <n v="4294.62"/>
    <n v="2291.71"/>
    <n v="2002.91"/>
    <s v="Cash"/>
    <n v="3"/>
    <s v="April"/>
    <s v="Q2"/>
    <n v="2024"/>
    <m/>
  </r>
  <r>
    <s v="SAL-1363"/>
    <d v="2024-01-25T00:00:00"/>
    <s v="Robert Hernandez"/>
    <s v="Central"/>
    <x v="2"/>
    <s v="Corporate"/>
    <s v="Furniture"/>
    <s v="Cabinet"/>
    <n v="9"/>
    <n v="1111.68"/>
    <n v="0.05"/>
    <n v="9504.86"/>
    <n v="4876.62"/>
    <n v="4628.24"/>
    <s v="Mobile Payment"/>
    <n v="4"/>
    <s v="January"/>
    <s v="Q1"/>
    <n v="2024"/>
    <m/>
  </r>
  <r>
    <s v="SAL-1364"/>
    <d v="2024-12-24T00:00:00"/>
    <s v="Mary Woods MD"/>
    <s v="North"/>
    <x v="1"/>
    <s v="Home Office"/>
    <s v="Office Supplies"/>
    <s v="Paper"/>
    <n v="10"/>
    <n v="853.52"/>
    <n v="0.15"/>
    <n v="7254.92"/>
    <n v="4407.01"/>
    <n v="2847.91"/>
    <s v="Transfer"/>
    <n v="2"/>
    <s v="December"/>
    <s v="Q4"/>
    <n v="2024"/>
    <m/>
  </r>
  <r>
    <s v="SAL-1365"/>
    <d v="2024-11-19T00:00:00"/>
    <s v="Jesus Weber"/>
    <s v="East"/>
    <x v="4"/>
    <s v="Home Office"/>
    <s v="Electronics"/>
    <s v="Tablet"/>
    <n v="4"/>
    <n v="872.01"/>
    <n v="0.15"/>
    <n v="2964.83"/>
    <n v="1814.62"/>
    <n v="1150.21"/>
    <s v="Cash"/>
    <n v="2"/>
    <s v="November"/>
    <s v="Q4"/>
    <n v="2024"/>
    <m/>
  </r>
  <r>
    <s v="SAL-1366"/>
    <d v="2024-08-16T00:00:00"/>
    <s v="Rachel Walls"/>
    <s v="North"/>
    <x v="4"/>
    <s v="Corporate"/>
    <s v="Office Supplies"/>
    <s v="Paper"/>
    <n v="2"/>
    <n v="972.36"/>
    <n v="0"/>
    <n v="1944.72"/>
    <n v="1290.01"/>
    <n v="654.71"/>
    <s v="Cash"/>
    <n v="3"/>
    <s v="August"/>
    <s v="Q3"/>
    <n v="2024"/>
    <m/>
  </r>
  <r>
    <s v="SAL-1367"/>
    <d v="2024-10-14T00:00:00"/>
    <s v="Mr. Christopher Mccann"/>
    <s v="North"/>
    <x v="3"/>
    <s v="Corporate"/>
    <s v="Furniture"/>
    <s v="Cabinet"/>
    <n v="12"/>
    <n v="360.81"/>
    <n v="0.1"/>
    <n v="3896.75"/>
    <n v="2871.74"/>
    <n v="1025.01"/>
    <s v="Cash"/>
    <n v="4"/>
    <s v="October"/>
    <s v="Q4"/>
    <n v="2024"/>
    <m/>
  </r>
  <r>
    <s v="SAL-1368"/>
    <d v="2024-08-09T00:00:00"/>
    <s v="Glenn Austin"/>
    <s v="Central"/>
    <x v="3"/>
    <s v="Consumer"/>
    <s v="Clothing"/>
    <s v="Jacket"/>
    <n v="12"/>
    <n v="565.41999999999996"/>
    <n v="0.1"/>
    <n v="6106.54"/>
    <n v="3384.86"/>
    <n v="2721.68"/>
    <s v="Mobile Payment"/>
    <n v="2"/>
    <s v="August"/>
    <s v="Q3"/>
    <n v="2024"/>
    <m/>
  </r>
  <r>
    <s v="SAL-1369"/>
    <d v="2024-12-08T00:00:00"/>
    <s v="Nancy Espinoza"/>
    <s v="Central"/>
    <x v="1"/>
    <s v="Corporate"/>
    <s v="Office Supplies"/>
    <s v="Paper"/>
    <n v="4"/>
    <n v="168.8"/>
    <n v="0.1"/>
    <n v="607.67999999999995"/>
    <n v="390.12"/>
    <n v="217.56"/>
    <s v="Cash"/>
    <n v="1"/>
    <s v="December"/>
    <s v="Q4"/>
    <n v="2024"/>
    <m/>
  </r>
  <r>
    <s v="SAL-1370"/>
    <d v="2024-06-27T00:00:00"/>
    <s v="Allen Strong"/>
    <s v="South"/>
    <x v="1"/>
    <s v="Corporate"/>
    <s v="Furniture"/>
    <s v="Cabinet"/>
    <n v="6"/>
    <n v="300.60000000000002"/>
    <n v="0.15"/>
    <n v="1533.06"/>
    <n v="805.23"/>
    <n v="727.83"/>
    <s v="Mobile Payment"/>
    <n v="2"/>
    <s v="June"/>
    <s v="Q2"/>
    <n v="2024"/>
    <m/>
  </r>
  <r>
    <s v="SAL-1371"/>
    <d v="2024-03-13T00:00:00"/>
    <s v="Yvonne Park"/>
    <s v="North"/>
    <x v="4"/>
    <s v="Consumer"/>
    <s v="Office Supplies"/>
    <s v="Paper"/>
    <n v="8"/>
    <n v="346.14"/>
    <n v="0.15"/>
    <n v="2353.75"/>
    <n v="1853.38"/>
    <n v="500.37"/>
    <s v="Cash"/>
    <n v="2"/>
    <s v="March"/>
    <s v="Q1"/>
    <n v="2024"/>
    <m/>
  </r>
  <r>
    <s v="SAL-1372"/>
    <d v="2024-03-04T00:00:00"/>
    <s v="Teresa Salazar"/>
    <s v="Central"/>
    <x v="2"/>
    <s v="Consumer"/>
    <s v="Furniture"/>
    <s v="Desk"/>
    <n v="10"/>
    <n v="459.99"/>
    <n v="0.1"/>
    <n v="4139.91"/>
    <n v="2406.65"/>
    <n v="1733.26"/>
    <s v="Cash"/>
    <n v="1"/>
    <s v="March"/>
    <s v="Q1"/>
    <n v="2024"/>
    <m/>
  </r>
  <r>
    <s v="SAL-1373"/>
    <d v="2024-12-13T00:00:00"/>
    <s v="Marcus Wood"/>
    <s v="East"/>
    <x v="0"/>
    <s v="Consumer"/>
    <s v="Office Supplies"/>
    <s v="Paper"/>
    <n v="7"/>
    <n v="313.97000000000003"/>
    <n v="0.05"/>
    <n v="2087.9"/>
    <n v="1514.08"/>
    <n v="573.82000000000005"/>
    <s v="Transfer"/>
    <n v="1"/>
    <s v="December"/>
    <s v="Q4"/>
    <n v="2024"/>
    <m/>
  </r>
  <r>
    <s v="SAL-1374"/>
    <d v="2024-04-10T00:00:00"/>
    <s v="Robert Bradshaw"/>
    <s v="West"/>
    <x v="0"/>
    <s v="Corporate"/>
    <s v="Office Supplies"/>
    <s v="Pen"/>
    <n v="9"/>
    <n v="968.89"/>
    <n v="0"/>
    <n v="8720.01"/>
    <n v="4891.1499999999996"/>
    <n v="3828.86"/>
    <s v="Mobile Payment"/>
    <n v="1"/>
    <s v="April"/>
    <s v="Q2"/>
    <n v="2024"/>
    <m/>
  </r>
  <r>
    <s v="SAL-1375"/>
    <d v="2024-01-30T00:00:00"/>
    <s v="Karen Garcia"/>
    <s v="South"/>
    <x v="4"/>
    <s v="Corporate"/>
    <s v="Furniture"/>
    <s v="Desk"/>
    <n v="1"/>
    <n v="436.53"/>
    <n v="0.05"/>
    <n v="414.7"/>
    <n v="222.32"/>
    <n v="192.38"/>
    <s v="Cash"/>
    <n v="4"/>
    <s v="January"/>
    <s v="Q1"/>
    <n v="2024"/>
    <m/>
  </r>
  <r>
    <s v="SAL-1376"/>
    <d v="2024-08-23T00:00:00"/>
    <s v="Katherine Young"/>
    <s v="West"/>
    <x v="2"/>
    <s v="Consumer"/>
    <s v="Furniture"/>
    <s v="Chair"/>
    <n v="10"/>
    <n v="775.11"/>
    <n v="0.1"/>
    <n v="6975.99"/>
    <n v="3503.63"/>
    <n v="3472.36"/>
    <s v="Transfer"/>
    <n v="5"/>
    <s v="August"/>
    <s v="Q3"/>
    <n v="2024"/>
    <m/>
  </r>
  <r>
    <s v="SAL-1377"/>
    <d v="2024-03-24T00:00:00"/>
    <s v="Michael Garrett"/>
    <s v="Central"/>
    <x v="1"/>
    <s v="Consumer"/>
    <s v="Clothing"/>
    <s v="T-Shirt"/>
    <n v="1"/>
    <n v="250.61"/>
    <n v="0.05"/>
    <n v="238.08"/>
    <n v="154.22"/>
    <n v="83.86"/>
    <s v="Transfer"/>
    <n v="4"/>
    <s v="March"/>
    <s v="Q1"/>
    <n v="2024"/>
    <m/>
  </r>
  <r>
    <s v="SAL-1378"/>
    <d v="2024-10-01T00:00:00"/>
    <s v="Kathy Vasquez"/>
    <s v="East"/>
    <x v="1"/>
    <s v="Corporate"/>
    <s v="Furniture"/>
    <s v="Desk"/>
    <n v="1"/>
    <n v="335.9"/>
    <n v="0"/>
    <n v="335.9"/>
    <n v="260.54000000000002"/>
    <n v="75.36"/>
    <s v="Transfer"/>
    <n v="1"/>
    <s v="October"/>
    <s v="Q4"/>
    <n v="2024"/>
    <m/>
  </r>
  <r>
    <s v="SAL-1379"/>
    <d v="2024-12-16T00:00:00"/>
    <s v="Mark Edwards"/>
    <s v="East"/>
    <x v="0"/>
    <s v="Consumer"/>
    <s v="Office Supplies"/>
    <s v="Paper"/>
    <n v="3"/>
    <n v="749.37"/>
    <n v="0.05"/>
    <n v="2135.6999999999998"/>
    <n v="1618.54"/>
    <n v="517.16"/>
    <s v="Mobile Payment"/>
    <n v="2"/>
    <s v="December"/>
    <s v="Q4"/>
    <n v="2024"/>
    <m/>
  </r>
  <r>
    <s v="SAL-1380"/>
    <d v="2024-07-30T00:00:00"/>
    <s v="Gabriela Dean"/>
    <s v="North"/>
    <x v="2"/>
    <s v="Home Office"/>
    <s v="Office Supplies"/>
    <s v="Pen"/>
    <n v="12"/>
    <n v="1087.43"/>
    <n v="0.05"/>
    <n v="12396.7"/>
    <n v="9828.2099999999991"/>
    <n v="2568.4899999999998"/>
    <s v="Mobile Payment"/>
    <n v="3"/>
    <s v="July"/>
    <s v="Q3"/>
    <n v="2024"/>
    <m/>
  </r>
  <r>
    <s v="SAL-1381"/>
    <d v="2024-08-20T00:00:00"/>
    <s v="David Rodriguez"/>
    <s v="Central"/>
    <x v="4"/>
    <s v="Consumer"/>
    <s v="Clothing"/>
    <s v="T-Shirt"/>
    <n v="4"/>
    <n v="929.13"/>
    <n v="0.1"/>
    <n v="3344.87"/>
    <n v="2454.66"/>
    <n v="890.21"/>
    <s v="Mobile Payment"/>
    <n v="2"/>
    <s v="August"/>
    <s v="Q3"/>
    <n v="2024"/>
    <m/>
  </r>
  <r>
    <s v="SAL-1382"/>
    <d v="2024-02-19T00:00:00"/>
    <s v="Christine Wilson"/>
    <s v="Central"/>
    <x v="4"/>
    <s v="Home Office"/>
    <s v="Furniture"/>
    <s v="Chair"/>
    <n v="11"/>
    <n v="476.03"/>
    <n v="0"/>
    <n v="5236.33"/>
    <n v="3252.71"/>
    <n v="1983.62"/>
    <s v="Cash"/>
    <n v="3"/>
    <s v="February"/>
    <s v="Q1"/>
    <n v="2024"/>
    <m/>
  </r>
  <r>
    <s v="SAL-1383"/>
    <d v="2024-10-17T00:00:00"/>
    <s v="Miguel Sexton"/>
    <s v="East"/>
    <x v="2"/>
    <s v="Home Office"/>
    <s v="Furniture"/>
    <s v="Cabinet"/>
    <n v="6"/>
    <n v="436.05"/>
    <n v="0.05"/>
    <n v="2485.4899999999998"/>
    <n v="1385.81"/>
    <n v="1099.68"/>
    <s v="Transfer"/>
    <n v="1"/>
    <s v="October"/>
    <s v="Q4"/>
    <n v="2024"/>
    <m/>
  </r>
  <r>
    <s v="SAL-1384"/>
    <d v="2024-12-10T00:00:00"/>
    <s v="Michael Trevino"/>
    <s v="Central"/>
    <x v="2"/>
    <s v="Consumer"/>
    <s v="Clothing"/>
    <s v="Sneakers"/>
    <n v="1"/>
    <n v="494.67"/>
    <n v="0.05"/>
    <n v="469.94"/>
    <n v="298.93"/>
    <n v="171.01"/>
    <s v="Mobile Payment"/>
    <n v="2"/>
    <s v="December"/>
    <s v="Q4"/>
    <n v="2024"/>
    <m/>
  </r>
  <r>
    <s v="SAL-1385"/>
    <d v="2024-01-23T00:00:00"/>
    <s v="Gary Mccormick"/>
    <s v="South"/>
    <x v="0"/>
    <s v="Consumer"/>
    <s v="Office Supplies"/>
    <s v="Notebook"/>
    <n v="9"/>
    <n v="283.01"/>
    <n v="0.15"/>
    <n v="2165.0300000000002"/>
    <n v="1538.07"/>
    <n v="626.96"/>
    <s v="Mobile Payment"/>
    <n v="3"/>
    <s v="January"/>
    <s v="Q1"/>
    <n v="2024"/>
    <m/>
  </r>
  <r>
    <s v="SAL-1386"/>
    <d v="2024-06-02T00:00:00"/>
    <s v="Taylor Rodriguez"/>
    <s v="West"/>
    <x v="4"/>
    <s v="Corporate"/>
    <s v="Furniture"/>
    <s v="Cabinet"/>
    <n v="2"/>
    <n v="241.58"/>
    <n v="0.05"/>
    <n v="459"/>
    <n v="319.58"/>
    <n v="139.41999999999999"/>
    <s v="Cash"/>
    <n v="4"/>
    <s v="June"/>
    <s v="Q2"/>
    <n v="2024"/>
    <m/>
  </r>
  <r>
    <s v="SAL-1387"/>
    <d v="2024-08-11T00:00:00"/>
    <s v="Jason Houston"/>
    <s v="West"/>
    <x v="2"/>
    <s v="Corporate"/>
    <s v="Office Supplies"/>
    <s v="Pen"/>
    <n v="11"/>
    <n v="1087.4100000000001"/>
    <n v="0"/>
    <n v="11961.51"/>
    <n v="6648.31"/>
    <n v="5313.2"/>
    <s v="Transfer"/>
    <n v="1"/>
    <s v="August"/>
    <s v="Q3"/>
    <n v="2024"/>
    <m/>
  </r>
  <r>
    <s v="SAL-1388"/>
    <d v="2024-06-12T00:00:00"/>
    <s v="Andrea Barnes"/>
    <s v="West"/>
    <x v="4"/>
    <s v="Home Office"/>
    <s v="Clothing"/>
    <s v="Sneakers"/>
    <n v="10"/>
    <n v="593.35"/>
    <n v="0.15"/>
    <n v="5043.47"/>
    <n v="3994.18"/>
    <n v="1049.29"/>
    <s v="Transfer"/>
    <n v="5"/>
    <s v="June"/>
    <s v="Q2"/>
    <n v="2024"/>
    <m/>
  </r>
  <r>
    <s v="SAL-1389"/>
    <d v="2024-11-04T00:00:00"/>
    <s v="Jennifer Hall"/>
    <s v="South"/>
    <x v="0"/>
    <s v="Corporate"/>
    <s v="Office Supplies"/>
    <s v="Notebook"/>
    <n v="12"/>
    <n v="164.85"/>
    <n v="0.15"/>
    <n v="1681.47"/>
    <n v="911.2"/>
    <n v="770.27"/>
    <s v="Mobile Payment"/>
    <n v="4"/>
    <s v="November"/>
    <s v="Q4"/>
    <n v="2024"/>
    <m/>
  </r>
  <r>
    <s v="SAL-1390"/>
    <d v="2024-06-08T00:00:00"/>
    <s v="Julie Ferrell"/>
    <s v="West"/>
    <x v="4"/>
    <s v="Corporate"/>
    <s v="Electronics"/>
    <s v="Printer"/>
    <n v="2"/>
    <n v="256.77"/>
    <n v="0.05"/>
    <n v="487.86"/>
    <n v="248.32"/>
    <n v="239.54"/>
    <s v="Card"/>
    <n v="5"/>
    <s v="June"/>
    <s v="Q2"/>
    <n v="2024"/>
    <m/>
  </r>
  <r>
    <s v="SAL-1391"/>
    <d v="2024-07-09T00:00:00"/>
    <s v="Andrew Wilson"/>
    <s v="South"/>
    <x v="0"/>
    <s v="Corporate"/>
    <s v="Furniture"/>
    <s v="Cabinet"/>
    <n v="3"/>
    <n v="165.18"/>
    <n v="0"/>
    <n v="495.54"/>
    <n v="380.03"/>
    <n v="115.51"/>
    <s v="Mobile Payment"/>
    <n v="2"/>
    <s v="July"/>
    <s v="Q3"/>
    <n v="2024"/>
    <m/>
  </r>
  <r>
    <s v="SAL-1392"/>
    <d v="2024-11-03T00:00:00"/>
    <s v="Robert Leonard"/>
    <s v="West"/>
    <x v="2"/>
    <s v="Home Office"/>
    <s v="Electronics"/>
    <s v="Tablet"/>
    <n v="4"/>
    <n v="669.57"/>
    <n v="0.1"/>
    <n v="2410.4499999999998"/>
    <n v="1718.34"/>
    <n v="692.11"/>
    <s v="Mobile Payment"/>
    <n v="5"/>
    <s v="November"/>
    <s v="Q4"/>
    <n v="2024"/>
    <m/>
  </r>
  <r>
    <s v="SAL-1393"/>
    <d v="2024-12-18T00:00:00"/>
    <s v="Stephanie Yang"/>
    <s v="West"/>
    <x v="1"/>
    <s v="Home Office"/>
    <s v="Clothing"/>
    <s v="Sneakers"/>
    <n v="2"/>
    <n v="1023.07"/>
    <n v="0.15"/>
    <n v="1739.22"/>
    <n v="1389.49"/>
    <n v="349.73"/>
    <s v="Mobile Payment"/>
    <n v="1"/>
    <s v="December"/>
    <s v="Q4"/>
    <n v="2024"/>
    <m/>
  </r>
  <r>
    <s v="SAL-1394"/>
    <d v="2024-12-05T00:00:00"/>
    <s v="Frank Reed"/>
    <s v="South"/>
    <x v="1"/>
    <s v="Home Office"/>
    <s v="Electronics"/>
    <s v="Phone"/>
    <n v="5"/>
    <n v="31.16"/>
    <n v="0.1"/>
    <n v="140.22"/>
    <n v="105.73"/>
    <n v="34.49"/>
    <s v="Mobile Payment"/>
    <n v="4"/>
    <s v="December"/>
    <s v="Q4"/>
    <n v="2024"/>
    <m/>
  </r>
  <r>
    <s v="SAL-1395"/>
    <d v="2024-01-21T00:00:00"/>
    <s v="Pamela Hanna"/>
    <s v="Central"/>
    <x v="0"/>
    <s v="Home Office"/>
    <s v="Electronics"/>
    <s v="Tablet"/>
    <n v="1"/>
    <n v="370.51"/>
    <n v="0.1"/>
    <n v="333.46"/>
    <n v="226.06"/>
    <n v="107.4"/>
    <s v="Mobile Payment"/>
    <n v="3"/>
    <s v="January"/>
    <s v="Q1"/>
    <n v="2024"/>
    <m/>
  </r>
  <r>
    <s v="SAL-1396"/>
    <d v="2024-12-23T00:00:00"/>
    <s v="Kent Allen"/>
    <s v="East"/>
    <x v="1"/>
    <s v="Consumer"/>
    <s v="Office Supplies"/>
    <s v="Pen"/>
    <n v="11"/>
    <n v="952.69"/>
    <n v="0.15"/>
    <n v="8907.65"/>
    <n v="6388.62"/>
    <n v="2519.0300000000002"/>
    <s v="Mobile Payment"/>
    <n v="4"/>
    <s v="December"/>
    <s v="Q4"/>
    <n v="2024"/>
    <m/>
  </r>
  <r>
    <s v="SAL-1397"/>
    <d v="2024-01-16T00:00:00"/>
    <s v="John Wilson"/>
    <s v="Central"/>
    <x v="4"/>
    <s v="Consumer"/>
    <s v="Office Supplies"/>
    <s v="Paper"/>
    <n v="6"/>
    <n v="134.38"/>
    <n v="0"/>
    <n v="806.28"/>
    <n v="541.32000000000005"/>
    <n v="264.95999999999998"/>
    <s v="Card"/>
    <n v="3"/>
    <s v="January"/>
    <s v="Q1"/>
    <n v="2024"/>
    <m/>
  </r>
  <r>
    <s v="SAL-1398"/>
    <d v="2024-08-02T00:00:00"/>
    <s v="Scott Gibson"/>
    <s v="Central"/>
    <x v="3"/>
    <s v="Home Office"/>
    <s v="Furniture"/>
    <s v="Desk"/>
    <n v="10"/>
    <n v="1032.3900000000001"/>
    <n v="0.1"/>
    <n v="9291.51"/>
    <n v="7607.4"/>
    <n v="1684.11"/>
    <s v="Transfer"/>
    <n v="1"/>
    <s v="August"/>
    <s v="Q3"/>
    <n v="2024"/>
    <m/>
  </r>
  <r>
    <s v="SAL-1399"/>
    <d v="2024-06-22T00:00:00"/>
    <s v="Martha Parker"/>
    <s v="Central"/>
    <x v="2"/>
    <s v="Home Office"/>
    <s v="Clothing"/>
    <s v="Jacket"/>
    <n v="3"/>
    <n v="226.34"/>
    <n v="0"/>
    <n v="679.02"/>
    <n v="394.14"/>
    <n v="284.88"/>
    <s v="Cash"/>
    <n v="1"/>
    <s v="June"/>
    <s v="Q2"/>
    <n v="2024"/>
    <m/>
  </r>
  <r>
    <s v="SAL-1400"/>
    <d v="2024-05-19T00:00:00"/>
    <s v="Amanda Combs"/>
    <s v="South"/>
    <x v="2"/>
    <s v="Corporate"/>
    <s v="Office Supplies"/>
    <s v="Notebook"/>
    <n v="1"/>
    <n v="46.43"/>
    <n v="0.05"/>
    <n v="44.11"/>
    <n v="23.92"/>
    <n v="20.190000000000001"/>
    <s v="Transfer"/>
    <n v="1"/>
    <s v="May"/>
    <s v="Q2"/>
    <n v="2024"/>
    <m/>
  </r>
  <r>
    <s v="SAL-1401"/>
    <d v="2024-07-18T00:00:00"/>
    <s v="Amy Wilson"/>
    <s v="South"/>
    <x v="3"/>
    <s v="Consumer"/>
    <s v="Office Supplies"/>
    <s v="Pen"/>
    <n v="3"/>
    <n v="839.53"/>
    <n v="0.05"/>
    <n v="2392.66"/>
    <n v="1781.11"/>
    <n v="611.54999999999995"/>
    <s v="Cash"/>
    <n v="1"/>
    <s v="July"/>
    <s v="Q3"/>
    <n v="2024"/>
    <m/>
  </r>
  <r>
    <s v="SAL-1402"/>
    <d v="2024-09-08T00:00:00"/>
    <s v="Catherine Brown"/>
    <s v="South"/>
    <x v="2"/>
    <s v="Home Office"/>
    <s v="Clothing"/>
    <s v="T-Shirt"/>
    <n v="7"/>
    <n v="435.94"/>
    <n v="0"/>
    <n v="3051.58"/>
    <n v="1895.05"/>
    <n v="1156.53"/>
    <s v="Transfer"/>
    <n v="1"/>
    <s v="September"/>
    <s v="Q3"/>
    <n v="2024"/>
    <m/>
  </r>
  <r>
    <s v="SAL-1403"/>
    <d v="2024-12-26T00:00:00"/>
    <s v="Kristen Garcia"/>
    <s v="South"/>
    <x v="0"/>
    <s v="Corporate"/>
    <s v="Clothing"/>
    <s v="Sneakers"/>
    <n v="8"/>
    <n v="1110.76"/>
    <n v="0.1"/>
    <n v="7997.47"/>
    <n v="5371.8"/>
    <n v="2625.67"/>
    <s v="Cash"/>
    <n v="1"/>
    <s v="December"/>
    <s v="Q4"/>
    <n v="2024"/>
    <m/>
  </r>
  <r>
    <s v="SAL-1404"/>
    <d v="2024-03-06T00:00:00"/>
    <s v="Angela Harrison"/>
    <s v="North"/>
    <x v="2"/>
    <s v="Consumer"/>
    <s v="Furniture"/>
    <s v="Cabinet"/>
    <n v="7"/>
    <n v="975.82"/>
    <n v="0"/>
    <n v="6830.74"/>
    <n v="5429.42"/>
    <n v="1401.32"/>
    <s v="Card"/>
    <n v="2"/>
    <s v="March"/>
    <s v="Q1"/>
    <n v="2024"/>
    <m/>
  </r>
  <r>
    <s v="SAL-1405"/>
    <d v="2024-10-13T00:00:00"/>
    <s v="Mark Spears"/>
    <s v="East"/>
    <x v="2"/>
    <s v="Home Office"/>
    <s v="Clothing"/>
    <s v="T-Shirt"/>
    <n v="5"/>
    <n v="1093.97"/>
    <n v="0"/>
    <n v="5469.85"/>
    <n v="2831.49"/>
    <n v="2638.36"/>
    <s v="Card"/>
    <n v="2"/>
    <s v="October"/>
    <s v="Q4"/>
    <n v="2024"/>
    <m/>
  </r>
  <r>
    <s v="SAL-1406"/>
    <d v="2024-10-12T00:00:00"/>
    <s v="Dr. Yvonne Wright"/>
    <s v="Central"/>
    <x v="3"/>
    <s v="Consumer"/>
    <s v="Electronics"/>
    <s v="Laptop"/>
    <n v="11"/>
    <n v="65.42"/>
    <n v="0"/>
    <n v="719.62"/>
    <n v="483.59"/>
    <n v="236.03"/>
    <s v="Cash"/>
    <n v="2"/>
    <s v="October"/>
    <s v="Q4"/>
    <n v="2024"/>
    <m/>
  </r>
  <r>
    <s v="SAL-1407"/>
    <d v="2024-08-25T00:00:00"/>
    <s v="Mario Wood"/>
    <s v="Central"/>
    <x v="4"/>
    <s v="Consumer"/>
    <s v="Electronics"/>
    <s v="Printer"/>
    <n v="10"/>
    <n v="640.23"/>
    <n v="0.1"/>
    <n v="5762.07"/>
    <n v="2946.94"/>
    <n v="2815.13"/>
    <s v="Mobile Payment"/>
    <n v="3"/>
    <s v="August"/>
    <s v="Q3"/>
    <n v="2024"/>
    <m/>
  </r>
  <r>
    <s v="SAL-1408"/>
    <d v="2024-03-12T00:00:00"/>
    <s v="Michael White"/>
    <s v="Central"/>
    <x v="3"/>
    <s v="Home Office"/>
    <s v="Office Supplies"/>
    <s v="Paper"/>
    <n v="12"/>
    <n v="1157.8800000000001"/>
    <n v="0.1"/>
    <n v="12505.1"/>
    <n v="8772.99"/>
    <n v="3732.11"/>
    <s v="Card"/>
    <n v="2"/>
    <s v="March"/>
    <s v="Q1"/>
    <n v="2024"/>
    <m/>
  </r>
  <r>
    <s v="SAL-1409"/>
    <d v="2024-09-15T00:00:00"/>
    <s v="Angela Shannon"/>
    <s v="Central"/>
    <x v="0"/>
    <s v="Home Office"/>
    <s v="Office Supplies"/>
    <s v="Paper"/>
    <n v="7"/>
    <n v="364.07"/>
    <n v="0.15"/>
    <n v="2166.2199999999998"/>
    <n v="1172.51"/>
    <n v="993.71"/>
    <s v="Card"/>
    <n v="5"/>
    <s v="September"/>
    <s v="Q3"/>
    <n v="2024"/>
    <m/>
  </r>
  <r>
    <s v="SAL-1410"/>
    <d v="2024-03-26T00:00:00"/>
    <s v="Rachel Garrison"/>
    <s v="Central"/>
    <x v="1"/>
    <s v="Home Office"/>
    <s v="Clothing"/>
    <s v="Sneakers"/>
    <n v="8"/>
    <n v="605.54"/>
    <n v="0.05"/>
    <n v="4602.1000000000004"/>
    <n v="3245.8"/>
    <n v="1356.3"/>
    <s v="Transfer"/>
    <n v="1"/>
    <s v="March"/>
    <s v="Q1"/>
    <n v="2024"/>
    <m/>
  </r>
  <r>
    <s v="SAL-1411"/>
    <d v="2024-05-30T00:00:00"/>
    <s v="Sheila Richardson"/>
    <s v="East"/>
    <x v="0"/>
    <s v="Consumer"/>
    <s v="Clothing"/>
    <s v="Jacket"/>
    <n v="6"/>
    <n v="1158.9100000000001"/>
    <n v="0.1"/>
    <n v="6258.11"/>
    <n v="5263.98"/>
    <n v="994.13"/>
    <s v="Mobile Payment"/>
    <n v="1"/>
    <s v="May"/>
    <s v="Q2"/>
    <n v="2024"/>
    <m/>
  </r>
  <r>
    <s v="SAL-1412"/>
    <d v="2024-05-26T00:00:00"/>
    <s v="Steven Castillo"/>
    <s v="North"/>
    <x v="2"/>
    <s v="Corporate"/>
    <s v="Electronics"/>
    <s v="Laptop"/>
    <n v="10"/>
    <n v="250.46"/>
    <n v="0.15"/>
    <n v="2128.91"/>
    <n v="1166.1099999999999"/>
    <n v="962.8"/>
    <s v="Cash"/>
    <n v="2"/>
    <s v="May"/>
    <s v="Q2"/>
    <n v="2024"/>
    <m/>
  </r>
  <r>
    <s v="SAL-1413"/>
    <d v="2024-03-25T00:00:00"/>
    <s v="Amber Obrien"/>
    <s v="North"/>
    <x v="4"/>
    <s v="Corporate"/>
    <s v="Furniture"/>
    <s v="Cabinet"/>
    <n v="7"/>
    <n v="315.85000000000002"/>
    <n v="0.1"/>
    <n v="1989.86"/>
    <n v="1642.33"/>
    <n v="347.53"/>
    <s v="Transfer"/>
    <n v="5"/>
    <s v="March"/>
    <s v="Q1"/>
    <n v="2024"/>
    <m/>
  </r>
  <r>
    <s v="SAL-1414"/>
    <d v="2024-02-15T00:00:00"/>
    <s v="Kimberly Klein"/>
    <s v="East"/>
    <x v="4"/>
    <s v="Home Office"/>
    <s v="Electronics"/>
    <s v="Printer"/>
    <n v="12"/>
    <n v="933.37"/>
    <n v="0.05"/>
    <n v="10640.42"/>
    <n v="7172.83"/>
    <n v="3467.59"/>
    <s v="Transfer"/>
    <n v="1"/>
    <s v="February"/>
    <s v="Q1"/>
    <n v="2024"/>
    <m/>
  </r>
  <r>
    <s v="SAL-1415"/>
    <d v="2024-09-11T00:00:00"/>
    <s v="Robert Beck"/>
    <s v="South"/>
    <x v="0"/>
    <s v="Home Office"/>
    <s v="Clothing"/>
    <s v="T-Shirt"/>
    <n v="6"/>
    <n v="840.76"/>
    <n v="0"/>
    <n v="5044.5600000000004"/>
    <n v="2972.28"/>
    <n v="2072.2800000000002"/>
    <s v="Transfer"/>
    <n v="5"/>
    <s v="September"/>
    <s v="Q3"/>
    <n v="2024"/>
    <m/>
  </r>
  <r>
    <s v="SAL-1416"/>
    <d v="2024-05-01T00:00:00"/>
    <s v="Julie Mcfarland"/>
    <s v="North"/>
    <x v="2"/>
    <s v="Consumer"/>
    <s v="Clothing"/>
    <s v="Jacket"/>
    <n v="10"/>
    <n v="220.08"/>
    <n v="0.1"/>
    <n v="1980.72"/>
    <n v="1133.0899999999999"/>
    <n v="847.63"/>
    <s v="Transfer"/>
    <n v="4"/>
    <s v="May"/>
    <s v="Q2"/>
    <n v="2024"/>
    <m/>
  </r>
  <r>
    <s v="SAL-1417"/>
    <d v="2024-09-07T00:00:00"/>
    <s v="Teresa Garcia"/>
    <s v="East"/>
    <x v="3"/>
    <s v="Consumer"/>
    <s v="Electronics"/>
    <s v="Tablet"/>
    <n v="2"/>
    <n v="855.81"/>
    <n v="0.1"/>
    <n v="1540.46"/>
    <n v="814.27"/>
    <n v="726.19"/>
    <s v="Cash"/>
    <n v="1"/>
    <s v="September"/>
    <s v="Q3"/>
    <n v="2024"/>
    <m/>
  </r>
  <r>
    <s v="SAL-1418"/>
    <d v="2024-06-16T00:00:00"/>
    <s v="Mrs. Tiffany Woods"/>
    <s v="West"/>
    <x v="2"/>
    <s v="Home Office"/>
    <s v="Clothing"/>
    <s v="Jacket"/>
    <n v="9"/>
    <n v="438.58"/>
    <n v="0.05"/>
    <n v="3749.86"/>
    <n v="2484.04"/>
    <n v="1265.82"/>
    <s v="Cash"/>
    <n v="1"/>
    <s v="June"/>
    <s v="Q2"/>
    <n v="2024"/>
    <m/>
  </r>
  <r>
    <s v="SAL-1419"/>
    <d v="2024-12-10T00:00:00"/>
    <s v="Sonya Anderson"/>
    <s v="West"/>
    <x v="3"/>
    <s v="Consumer"/>
    <s v="Electronics"/>
    <s v="Tablet"/>
    <n v="2"/>
    <n v="721.84"/>
    <n v="0.15"/>
    <n v="1227.1300000000001"/>
    <n v="1029.77"/>
    <n v="197.36"/>
    <s v="Card"/>
    <n v="1"/>
    <s v="December"/>
    <s v="Q4"/>
    <n v="2024"/>
    <m/>
  </r>
  <r>
    <s v="SAL-1420"/>
    <d v="2024-05-06T00:00:00"/>
    <s v="Ann Riggs"/>
    <s v="East"/>
    <x v="3"/>
    <s v="Home Office"/>
    <s v="Furniture"/>
    <s v="Chair"/>
    <n v="2"/>
    <n v="582.73"/>
    <n v="0.05"/>
    <n v="1107.19"/>
    <n v="702.22"/>
    <n v="404.97"/>
    <s v="Mobile Payment"/>
    <n v="1"/>
    <s v="May"/>
    <s v="Q2"/>
    <n v="2024"/>
    <m/>
  </r>
  <r>
    <s v="SAL-1421"/>
    <d v="2024-03-11T00:00:00"/>
    <s v="Mark Hall"/>
    <s v="Central"/>
    <x v="3"/>
    <s v="Consumer"/>
    <s v="Electronics"/>
    <s v="Tablet"/>
    <n v="2"/>
    <n v="109.03"/>
    <n v="0.15"/>
    <n v="185.35"/>
    <n v="103.06"/>
    <n v="82.29"/>
    <s v="Cash"/>
    <n v="3"/>
    <s v="March"/>
    <s v="Q1"/>
    <n v="2024"/>
    <m/>
  </r>
  <r>
    <s v="SAL-1422"/>
    <d v="2024-11-07T00:00:00"/>
    <s v="Kelly Dixon"/>
    <s v="Central"/>
    <x v="0"/>
    <s v="Home Office"/>
    <s v="Electronics"/>
    <s v="Phone"/>
    <n v="3"/>
    <n v="184.44"/>
    <n v="0.05"/>
    <n v="525.65"/>
    <n v="329.79"/>
    <n v="195.86"/>
    <s v="Mobile Payment"/>
    <n v="5"/>
    <s v="November"/>
    <s v="Q4"/>
    <n v="2024"/>
    <m/>
  </r>
  <r>
    <s v="SAL-1423"/>
    <d v="2024-10-25T00:00:00"/>
    <s v="Ann Phillips"/>
    <s v="Central"/>
    <x v="1"/>
    <s v="Consumer"/>
    <s v="Office Supplies"/>
    <s v="Paper"/>
    <n v="1"/>
    <n v="750.97"/>
    <n v="0.05"/>
    <n v="713.42"/>
    <n v="411.9"/>
    <n v="301.52"/>
    <s v="Mobile Payment"/>
    <n v="5"/>
    <s v="October"/>
    <s v="Q4"/>
    <n v="2024"/>
    <m/>
  </r>
  <r>
    <s v="SAL-1424"/>
    <d v="2024-05-24T00:00:00"/>
    <s v="Jennifer Ramirez"/>
    <s v="Central"/>
    <x v="4"/>
    <s v="Home Office"/>
    <s v="Electronics"/>
    <s v="Printer"/>
    <n v="6"/>
    <n v="177.42"/>
    <n v="0.15"/>
    <n v="904.84"/>
    <n v="562.1"/>
    <n v="342.74"/>
    <s v="Card"/>
    <n v="3"/>
    <s v="May"/>
    <s v="Q2"/>
    <n v="2024"/>
    <m/>
  </r>
  <r>
    <s v="SAL-1425"/>
    <d v="2024-12-23T00:00:00"/>
    <s v="Daniel Walker"/>
    <s v="South"/>
    <x v="4"/>
    <s v="Consumer"/>
    <s v="Clothing"/>
    <s v="T-Shirt"/>
    <n v="12"/>
    <n v="992.54"/>
    <n v="0.05"/>
    <n v="11314.96"/>
    <n v="8829.1299999999992"/>
    <n v="2485.83"/>
    <s v="Card"/>
    <n v="2"/>
    <s v="December"/>
    <s v="Q4"/>
    <n v="2024"/>
    <m/>
  </r>
  <r>
    <s v="SAL-1426"/>
    <d v="2024-11-26T00:00:00"/>
    <s v="Angel Parker"/>
    <s v="West"/>
    <x v="0"/>
    <s v="Corporate"/>
    <s v="Furniture"/>
    <s v="Desk"/>
    <n v="11"/>
    <n v="735.79"/>
    <n v="0"/>
    <n v="8093.69"/>
    <n v="5875.53"/>
    <n v="2218.16"/>
    <s v="Cash"/>
    <n v="1"/>
    <s v="November"/>
    <s v="Q4"/>
    <n v="2024"/>
    <m/>
  </r>
  <r>
    <s v="SAL-1427"/>
    <d v="2024-03-06T00:00:00"/>
    <s v="Margaret Robbins"/>
    <s v="South"/>
    <x v="4"/>
    <s v="Corporate"/>
    <s v="Furniture"/>
    <s v="Cabinet"/>
    <n v="5"/>
    <n v="264.74"/>
    <n v="0.05"/>
    <n v="1257.51"/>
    <n v="647.39"/>
    <n v="610.12"/>
    <s v="Mobile Payment"/>
    <n v="2"/>
    <s v="March"/>
    <s v="Q1"/>
    <n v="2024"/>
    <m/>
  </r>
  <r>
    <s v="SAL-1428"/>
    <d v="2024-12-21T00:00:00"/>
    <s v="Eric Molina"/>
    <s v="South"/>
    <x v="1"/>
    <s v="Consumer"/>
    <s v="Clothing"/>
    <s v="Sneakers"/>
    <n v="2"/>
    <n v="141.49"/>
    <n v="0.05"/>
    <n v="268.83"/>
    <n v="188.15"/>
    <n v="80.680000000000007"/>
    <s v="Cash"/>
    <n v="5"/>
    <s v="December"/>
    <s v="Q4"/>
    <n v="2024"/>
    <m/>
  </r>
  <r>
    <s v="SAL-1429"/>
    <d v="2024-10-16T00:00:00"/>
    <s v="John Robbins"/>
    <s v="South"/>
    <x v="3"/>
    <s v="Home Office"/>
    <s v="Clothing"/>
    <s v="T-Shirt"/>
    <n v="12"/>
    <n v="858.3"/>
    <n v="0.1"/>
    <n v="9269.64"/>
    <n v="7518.02"/>
    <n v="1751.62"/>
    <s v="Transfer"/>
    <n v="3"/>
    <s v="October"/>
    <s v="Q4"/>
    <n v="2024"/>
    <m/>
  </r>
  <r>
    <s v="SAL-1430"/>
    <d v="2024-11-26T00:00:00"/>
    <s v="Grace Thomas"/>
    <s v="Central"/>
    <x v="4"/>
    <s v="Corporate"/>
    <s v="Office Supplies"/>
    <s v="Notebook"/>
    <n v="2"/>
    <n v="529.42999999999995"/>
    <n v="0"/>
    <n v="1058.8599999999999"/>
    <n v="875.2"/>
    <n v="183.66"/>
    <s v="Cash"/>
    <n v="1"/>
    <s v="November"/>
    <s v="Q4"/>
    <n v="2024"/>
    <m/>
  </r>
  <r>
    <s v="SAL-1431"/>
    <d v="2024-07-20T00:00:00"/>
    <s v="Alexander Wilson"/>
    <s v="West"/>
    <x v="0"/>
    <s v="Home Office"/>
    <s v="Electronics"/>
    <s v="Laptop"/>
    <n v="8"/>
    <n v="795.68"/>
    <n v="0"/>
    <n v="6365.44"/>
    <n v="4996.1099999999997"/>
    <n v="1369.33"/>
    <s v="Transfer"/>
    <n v="2"/>
    <s v="July"/>
    <s v="Q3"/>
    <n v="2024"/>
    <m/>
  </r>
  <r>
    <s v="SAL-1432"/>
    <d v="2024-02-16T00:00:00"/>
    <s v="James Mitchell"/>
    <s v="South"/>
    <x v="3"/>
    <s v="Home Office"/>
    <s v="Furniture"/>
    <s v="Chair"/>
    <n v="3"/>
    <n v="871.56"/>
    <n v="0.1"/>
    <n v="2353.21"/>
    <n v="1499.73"/>
    <n v="853.48"/>
    <s v="Cash"/>
    <n v="5"/>
    <s v="February"/>
    <s v="Q1"/>
    <n v="2024"/>
    <m/>
  </r>
  <r>
    <s v="SAL-1433"/>
    <d v="2024-03-17T00:00:00"/>
    <s v="Rebecca Lopez"/>
    <s v="East"/>
    <x v="2"/>
    <s v="Corporate"/>
    <s v="Office Supplies"/>
    <s v="Pen"/>
    <n v="2"/>
    <n v="409.59"/>
    <n v="0.1"/>
    <n v="737.26"/>
    <n v="473.39"/>
    <n v="263.87"/>
    <s v="Cash"/>
    <n v="2"/>
    <s v="March"/>
    <s v="Q1"/>
    <n v="2024"/>
    <m/>
  </r>
  <r>
    <s v="SAL-1434"/>
    <d v="2024-09-02T00:00:00"/>
    <s v="Diane Knight"/>
    <s v="East"/>
    <x v="0"/>
    <s v="Consumer"/>
    <s v="Electronics"/>
    <s v="Tablet"/>
    <n v="8"/>
    <n v="1020.91"/>
    <n v="0"/>
    <n v="8167.28"/>
    <n v="5892.83"/>
    <n v="2274.4499999999998"/>
    <s v="Card"/>
    <n v="5"/>
    <s v="September"/>
    <s v="Q3"/>
    <n v="2024"/>
    <m/>
  </r>
  <r>
    <s v="SAL-1435"/>
    <d v="2024-11-26T00:00:00"/>
    <s v="Andrew Harris"/>
    <s v="East"/>
    <x v="1"/>
    <s v="Corporate"/>
    <s v="Furniture"/>
    <s v="Cabinet"/>
    <n v="2"/>
    <n v="328.9"/>
    <n v="0.1"/>
    <n v="592.02"/>
    <n v="437.98"/>
    <n v="154.04"/>
    <s v="Mobile Payment"/>
    <n v="5"/>
    <s v="November"/>
    <s v="Q4"/>
    <n v="2024"/>
    <m/>
  </r>
  <r>
    <s v="SAL-1436"/>
    <d v="2024-11-14T00:00:00"/>
    <s v="Joshua Mcbride"/>
    <s v="East"/>
    <x v="3"/>
    <s v="Home Office"/>
    <s v="Office Supplies"/>
    <s v="Paper"/>
    <n v="8"/>
    <n v="209.65"/>
    <n v="0"/>
    <n v="1677.2"/>
    <n v="1362.99"/>
    <n v="314.20999999999998"/>
    <s v="Card"/>
    <n v="5"/>
    <s v="November"/>
    <s v="Q4"/>
    <n v="2024"/>
    <m/>
  </r>
  <r>
    <s v="SAL-1437"/>
    <d v="2024-09-04T00:00:00"/>
    <s v="Martin Sandoval"/>
    <s v="Central"/>
    <x v="3"/>
    <s v="Consumer"/>
    <s v="Electronics"/>
    <s v="Tablet"/>
    <n v="5"/>
    <n v="1180.44"/>
    <n v="0.1"/>
    <n v="5311.98"/>
    <n v="3370.63"/>
    <n v="1941.35"/>
    <s v="Transfer"/>
    <n v="4"/>
    <s v="September"/>
    <s v="Q3"/>
    <n v="2024"/>
    <m/>
  </r>
  <r>
    <s v="SAL-1438"/>
    <d v="2024-08-04T00:00:00"/>
    <s v="Jared Brown"/>
    <s v="South"/>
    <x v="0"/>
    <s v="Home Office"/>
    <s v="Clothing"/>
    <s v="T-Shirt"/>
    <n v="3"/>
    <n v="1109.76"/>
    <n v="0"/>
    <n v="3329.28"/>
    <n v="2468.6999999999998"/>
    <n v="860.58"/>
    <s v="Card"/>
    <n v="1"/>
    <s v="August"/>
    <s v="Q3"/>
    <n v="2024"/>
    <m/>
  </r>
  <r>
    <s v="SAL-1439"/>
    <d v="2024-03-19T00:00:00"/>
    <s v="Andrea Williams"/>
    <s v="South"/>
    <x v="2"/>
    <s v="Corporate"/>
    <s v="Clothing"/>
    <s v="Jacket"/>
    <n v="9"/>
    <n v="356.52"/>
    <n v="0"/>
    <n v="3208.68"/>
    <n v="2567.19"/>
    <n v="641.49"/>
    <s v="Transfer"/>
    <n v="4"/>
    <s v="March"/>
    <s v="Q1"/>
    <n v="2024"/>
    <m/>
  </r>
  <r>
    <s v="SAL-1440"/>
    <d v="2024-07-15T00:00:00"/>
    <s v="Julia Moore"/>
    <s v="West"/>
    <x v="1"/>
    <s v="Consumer"/>
    <s v="Clothing"/>
    <s v="Sneakers"/>
    <n v="9"/>
    <n v="22.19"/>
    <n v="0.15"/>
    <n v="169.75"/>
    <n v="137.88"/>
    <n v="31.87"/>
    <s v="Cash"/>
    <n v="1"/>
    <s v="July"/>
    <s v="Q3"/>
    <n v="2024"/>
    <m/>
  </r>
  <r>
    <s v="SAL-1441"/>
    <d v="2024-05-11T00:00:00"/>
    <s v="Aaron Washington"/>
    <s v="East"/>
    <x v="0"/>
    <s v="Consumer"/>
    <s v="Electronics"/>
    <s v="Tablet"/>
    <n v="12"/>
    <n v="54.05"/>
    <n v="0.05"/>
    <n v="616.16999999999996"/>
    <n v="443.6"/>
    <n v="172.57"/>
    <s v="Mobile Payment"/>
    <n v="1"/>
    <s v="May"/>
    <s v="Q2"/>
    <n v="2024"/>
    <m/>
  </r>
  <r>
    <s v="SAL-1442"/>
    <d v="2024-04-18T00:00:00"/>
    <s v="Mr. Wayne Ortiz"/>
    <s v="Central"/>
    <x v="0"/>
    <s v="Corporate"/>
    <s v="Office Supplies"/>
    <s v="Pen"/>
    <n v="1"/>
    <n v="764.28"/>
    <n v="0.15"/>
    <n v="649.64"/>
    <n v="539.84"/>
    <n v="109.8"/>
    <s v="Transfer"/>
    <n v="4"/>
    <s v="April"/>
    <s v="Q2"/>
    <n v="2024"/>
    <m/>
  </r>
  <r>
    <s v="SAL-1443"/>
    <d v="2024-04-12T00:00:00"/>
    <s v="Jill Morris"/>
    <s v="South"/>
    <x v="0"/>
    <s v="Corporate"/>
    <s v="Furniture"/>
    <s v="Cabinet"/>
    <n v="5"/>
    <n v="409.53"/>
    <n v="0.1"/>
    <n v="1842.88"/>
    <n v="1079.3499999999999"/>
    <n v="763.53"/>
    <s v="Card"/>
    <n v="2"/>
    <s v="April"/>
    <s v="Q2"/>
    <n v="2024"/>
    <m/>
  </r>
  <r>
    <s v="SAL-1444"/>
    <d v="2024-01-05T00:00:00"/>
    <s v="Keith Clark"/>
    <s v="North"/>
    <x v="2"/>
    <s v="Corporate"/>
    <s v="Electronics"/>
    <s v="Tablet"/>
    <n v="7"/>
    <n v="1046.33"/>
    <n v="0.05"/>
    <n v="6958.09"/>
    <n v="5530.77"/>
    <n v="1427.32"/>
    <s v="Mobile Payment"/>
    <n v="5"/>
    <s v="January"/>
    <s v="Q1"/>
    <n v="2024"/>
    <m/>
  </r>
  <r>
    <s v="SAL-1445"/>
    <d v="2024-12-23T00:00:00"/>
    <s v="Danielle Moran"/>
    <s v="North"/>
    <x v="2"/>
    <s v="Corporate"/>
    <s v="Furniture"/>
    <s v="Desk"/>
    <n v="9"/>
    <n v="1087.6199999999999"/>
    <n v="0.1"/>
    <n v="8809.7199999999993"/>
    <n v="6858.35"/>
    <n v="1951.37"/>
    <s v="Mobile Payment"/>
    <n v="4"/>
    <s v="December"/>
    <s v="Q4"/>
    <n v="2024"/>
    <m/>
  </r>
  <r>
    <s v="SAL-1446"/>
    <d v="2024-03-31T00:00:00"/>
    <s v="Patricia Rivera"/>
    <s v="North"/>
    <x v="4"/>
    <s v="Corporate"/>
    <s v="Clothing"/>
    <s v="T-Shirt"/>
    <n v="8"/>
    <n v="692.66"/>
    <n v="0.15"/>
    <n v="4710.09"/>
    <n v="2919.26"/>
    <n v="1790.83"/>
    <s v="Cash"/>
    <n v="5"/>
    <s v="March"/>
    <s v="Q1"/>
    <n v="2024"/>
    <m/>
  </r>
  <r>
    <s v="SAL-1447"/>
    <d v="2024-06-22T00:00:00"/>
    <s v="Christopher Phelps"/>
    <s v="North"/>
    <x v="1"/>
    <s v="Consumer"/>
    <s v="Electronics"/>
    <s v="Printer"/>
    <n v="9"/>
    <n v="603.76"/>
    <n v="0.15"/>
    <n v="4618.76"/>
    <n v="2888.75"/>
    <n v="1730.01"/>
    <s v="Card"/>
    <n v="4"/>
    <s v="June"/>
    <s v="Q2"/>
    <n v="2024"/>
    <m/>
  </r>
  <r>
    <s v="SAL-1448"/>
    <d v="2024-03-18T00:00:00"/>
    <s v="Michelle Moore"/>
    <s v="East"/>
    <x v="3"/>
    <s v="Consumer"/>
    <s v="Electronics"/>
    <s v="Laptop"/>
    <n v="10"/>
    <n v="884.51"/>
    <n v="0.05"/>
    <n v="8402.84"/>
    <n v="6189.16"/>
    <n v="2213.6799999999998"/>
    <s v="Card"/>
    <n v="2"/>
    <s v="March"/>
    <s v="Q1"/>
    <n v="2024"/>
    <m/>
  </r>
  <r>
    <s v="SAL-1449"/>
    <d v="2024-09-25T00:00:00"/>
    <s v="Richard Yang"/>
    <s v="North"/>
    <x v="4"/>
    <s v="Corporate"/>
    <s v="Electronics"/>
    <s v="Tablet"/>
    <n v="1"/>
    <n v="646.87"/>
    <n v="0.15"/>
    <n v="549.84"/>
    <n v="391.69"/>
    <n v="158.15"/>
    <s v="Transfer"/>
    <n v="4"/>
    <s v="September"/>
    <s v="Q3"/>
    <n v="2024"/>
    <m/>
  </r>
  <r>
    <s v="SAL-1450"/>
    <d v="2024-11-06T00:00:00"/>
    <s v="Elizabeth Cardenas"/>
    <s v="Central"/>
    <x v="2"/>
    <s v="Consumer"/>
    <s v="Office Supplies"/>
    <s v="Pen"/>
    <n v="5"/>
    <n v="881.74"/>
    <n v="0.15"/>
    <n v="3747.39"/>
    <n v="2489.61"/>
    <n v="1257.78"/>
    <s v="Transfer"/>
    <n v="2"/>
    <s v="November"/>
    <s v="Q4"/>
    <n v="2024"/>
    <m/>
  </r>
  <r>
    <s v="SAL-1451"/>
    <d v="2024-04-25T00:00:00"/>
    <s v="Travis Fischer"/>
    <s v="West"/>
    <x v="1"/>
    <s v="Corporate"/>
    <s v="Electronics"/>
    <s v="Phone"/>
    <n v="4"/>
    <n v="258.38"/>
    <n v="0"/>
    <n v="1033.52"/>
    <n v="557.49"/>
    <n v="476.03"/>
    <s v="Mobile Payment"/>
    <n v="3"/>
    <s v="April"/>
    <s v="Q2"/>
    <n v="2024"/>
    <m/>
  </r>
  <r>
    <s v="SAL-1452"/>
    <d v="2024-01-16T00:00:00"/>
    <s v="Brandon Flores"/>
    <s v="Central"/>
    <x v="1"/>
    <s v="Corporate"/>
    <s v="Electronics"/>
    <s v="Phone"/>
    <n v="10"/>
    <n v="784.73"/>
    <n v="0"/>
    <n v="7847.3"/>
    <n v="5451.56"/>
    <n v="2395.7399999999998"/>
    <s v="Cash"/>
    <n v="3"/>
    <s v="January"/>
    <s v="Q1"/>
    <n v="2024"/>
    <m/>
  </r>
  <r>
    <s v="SAL-1453"/>
    <d v="2024-03-17T00:00:00"/>
    <s v="Kenneth Hernandez"/>
    <s v="East"/>
    <x v="0"/>
    <s v="Home Office"/>
    <s v="Furniture"/>
    <s v="Cabinet"/>
    <n v="11"/>
    <n v="675.43"/>
    <n v="0.1"/>
    <n v="6686.76"/>
    <n v="3640.29"/>
    <n v="3046.47"/>
    <s v="Card"/>
    <n v="5"/>
    <s v="March"/>
    <s v="Q1"/>
    <n v="2024"/>
    <m/>
  </r>
  <r>
    <s v="SAL-1454"/>
    <d v="2024-09-19T00:00:00"/>
    <s v="Amy King"/>
    <s v="South"/>
    <x v="3"/>
    <s v="Consumer"/>
    <s v="Office Supplies"/>
    <s v="Pen"/>
    <n v="8"/>
    <n v="756.03"/>
    <n v="0.15"/>
    <n v="5141"/>
    <n v="3070.01"/>
    <n v="2070.9899999999998"/>
    <s v="Mobile Payment"/>
    <n v="3"/>
    <s v="September"/>
    <s v="Q3"/>
    <n v="2024"/>
    <m/>
  </r>
  <r>
    <s v="SAL-1455"/>
    <d v="2024-01-23T00:00:00"/>
    <s v="Valerie Rose"/>
    <s v="East"/>
    <x v="2"/>
    <s v="Consumer"/>
    <s v="Electronics"/>
    <s v="Printer"/>
    <n v="3"/>
    <n v="59.7"/>
    <n v="0.15"/>
    <n v="152.24"/>
    <n v="82.49"/>
    <n v="69.75"/>
    <s v="Card"/>
    <n v="3"/>
    <s v="January"/>
    <s v="Q1"/>
    <n v="2024"/>
    <m/>
  </r>
  <r>
    <s v="SAL-1456"/>
    <d v="2024-07-28T00:00:00"/>
    <s v="Gregory Mccullough"/>
    <s v="South"/>
    <x v="2"/>
    <s v="Consumer"/>
    <s v="Electronics"/>
    <s v="Phone"/>
    <n v="9"/>
    <n v="1103.96"/>
    <n v="0"/>
    <n v="9935.64"/>
    <n v="8185.98"/>
    <n v="1749.66"/>
    <s v="Cash"/>
    <n v="4"/>
    <s v="July"/>
    <s v="Q3"/>
    <n v="2024"/>
    <m/>
  </r>
  <r>
    <s v="SAL-1457"/>
    <d v="2024-06-09T00:00:00"/>
    <s v="James Vazquez"/>
    <s v="South"/>
    <x v="0"/>
    <s v="Home Office"/>
    <s v="Furniture"/>
    <s v="Cabinet"/>
    <n v="7"/>
    <n v="774.47"/>
    <n v="0.05"/>
    <n v="5150.2299999999996"/>
    <n v="3165.14"/>
    <n v="1985.09"/>
    <s v="Transfer"/>
    <n v="3"/>
    <s v="June"/>
    <s v="Q2"/>
    <n v="2024"/>
    <m/>
  </r>
  <r>
    <s v="SAL-1458"/>
    <d v="2024-01-29T00:00:00"/>
    <s v="Anthony Bird"/>
    <s v="South"/>
    <x v="3"/>
    <s v="Home Office"/>
    <s v="Office Supplies"/>
    <s v="Notebook"/>
    <n v="8"/>
    <n v="586.15"/>
    <n v="0.15"/>
    <n v="3985.82"/>
    <n v="3184.38"/>
    <n v="801.44"/>
    <s v="Card"/>
    <n v="1"/>
    <s v="January"/>
    <s v="Q1"/>
    <n v="2024"/>
    <m/>
  </r>
  <r>
    <s v="SAL-1459"/>
    <d v="2024-10-28T00:00:00"/>
    <s v="George Jones"/>
    <s v="Central"/>
    <x v="4"/>
    <s v="Corporate"/>
    <s v="Electronics"/>
    <s v="Phone"/>
    <n v="3"/>
    <n v="748.4"/>
    <n v="0.05"/>
    <n v="2132.94"/>
    <n v="1556.96"/>
    <n v="575.98"/>
    <s v="Cash"/>
    <n v="2"/>
    <s v="October"/>
    <s v="Q4"/>
    <n v="2024"/>
    <m/>
  </r>
  <r>
    <s v="SAL-1460"/>
    <d v="2024-12-31T00:00:00"/>
    <s v="Jessica Silva"/>
    <s v="West"/>
    <x v="2"/>
    <s v="Corporate"/>
    <s v="Furniture"/>
    <s v="Desk"/>
    <n v="11"/>
    <n v="705.06"/>
    <n v="0.1"/>
    <n v="6980.09"/>
    <n v="5785.27"/>
    <n v="1194.82"/>
    <s v="Mobile Payment"/>
    <n v="3"/>
    <s v="December"/>
    <s v="Q4"/>
    <n v="2024"/>
    <m/>
  </r>
  <r>
    <s v="SAL-1461"/>
    <d v="2024-06-25T00:00:00"/>
    <s v="Christopher Gonzalez"/>
    <s v="South"/>
    <x v="0"/>
    <s v="Consumer"/>
    <s v="Furniture"/>
    <s v="Desk"/>
    <n v="2"/>
    <n v="86.62"/>
    <n v="0.15"/>
    <n v="147.25"/>
    <n v="89.78"/>
    <n v="57.47"/>
    <s v="Mobile Payment"/>
    <n v="4"/>
    <s v="June"/>
    <s v="Q2"/>
    <n v="2024"/>
    <m/>
  </r>
  <r>
    <s v="SAL-1462"/>
    <d v="2024-05-07T00:00:00"/>
    <s v="Beth Jones"/>
    <s v="East"/>
    <x v="0"/>
    <s v="Consumer"/>
    <s v="Electronics"/>
    <s v="Tablet"/>
    <n v="4"/>
    <n v="88.53"/>
    <n v="0"/>
    <n v="354.12"/>
    <n v="276.85000000000002"/>
    <n v="77.27"/>
    <s v="Transfer"/>
    <n v="2"/>
    <s v="May"/>
    <s v="Q2"/>
    <n v="2024"/>
    <m/>
  </r>
  <r>
    <s v="SAL-1463"/>
    <d v="2024-02-09T00:00:00"/>
    <s v="Lisa Walker"/>
    <s v="East"/>
    <x v="2"/>
    <s v="Consumer"/>
    <s v="Electronics"/>
    <s v="Phone"/>
    <n v="3"/>
    <n v="1190.57"/>
    <n v="0.15"/>
    <n v="3035.95"/>
    <n v="1649.7"/>
    <n v="1386.25"/>
    <s v="Transfer"/>
    <n v="1"/>
    <s v="February"/>
    <s v="Q1"/>
    <n v="2024"/>
    <m/>
  </r>
  <r>
    <s v="SAL-1464"/>
    <d v="2024-04-22T00:00:00"/>
    <s v="Tina Nelson"/>
    <s v="Central"/>
    <x v="1"/>
    <s v="Home Office"/>
    <s v="Office Supplies"/>
    <s v="Notebook"/>
    <n v="11"/>
    <n v="683.83"/>
    <n v="0.1"/>
    <n v="6769.92"/>
    <n v="4195.58"/>
    <n v="2574.34"/>
    <s v="Card"/>
    <n v="3"/>
    <s v="April"/>
    <s v="Q2"/>
    <n v="2024"/>
    <m/>
  </r>
  <r>
    <s v="SAL-1465"/>
    <d v="2024-04-16T00:00:00"/>
    <s v="Kristen Newman"/>
    <s v="South"/>
    <x v="1"/>
    <s v="Home Office"/>
    <s v="Furniture"/>
    <s v="Desk"/>
    <n v="2"/>
    <n v="338.9"/>
    <n v="0.05"/>
    <n v="643.91"/>
    <n v="423.74"/>
    <n v="220.17"/>
    <s v="Transfer"/>
    <n v="5"/>
    <s v="April"/>
    <s v="Q2"/>
    <n v="2024"/>
    <m/>
  </r>
  <r>
    <s v="SAL-1466"/>
    <d v="2024-12-25T00:00:00"/>
    <s v="Rebecca Stewart"/>
    <s v="Central"/>
    <x v="4"/>
    <s v="Consumer"/>
    <s v="Electronics"/>
    <s v="Phone"/>
    <n v="4"/>
    <n v="202.17"/>
    <n v="0"/>
    <n v="808.68"/>
    <n v="611.71"/>
    <n v="196.97"/>
    <s v="Transfer"/>
    <n v="2"/>
    <s v="December"/>
    <s v="Q4"/>
    <n v="2024"/>
    <m/>
  </r>
  <r>
    <s v="SAL-1467"/>
    <d v="2024-01-04T00:00:00"/>
    <s v="Andrew Gill"/>
    <s v="North"/>
    <x v="3"/>
    <s v="Corporate"/>
    <s v="Clothing"/>
    <s v="Sneakers"/>
    <n v="6"/>
    <n v="645.9"/>
    <n v="0.15"/>
    <n v="3294.09"/>
    <n v="2516.4499999999998"/>
    <n v="777.64"/>
    <s v="Mobile Payment"/>
    <n v="2"/>
    <s v="January"/>
    <s v="Q1"/>
    <n v="2024"/>
    <m/>
  </r>
  <r>
    <s v="SAL-1468"/>
    <d v="2024-12-27T00:00:00"/>
    <s v="Kelsey Page"/>
    <s v="North"/>
    <x v="1"/>
    <s v="Consumer"/>
    <s v="Office Supplies"/>
    <s v="Pen"/>
    <n v="10"/>
    <n v="336.66"/>
    <n v="0.05"/>
    <n v="3198.27"/>
    <n v="2688.05"/>
    <n v="510.22"/>
    <s v="Cash"/>
    <n v="1"/>
    <s v="December"/>
    <s v="Q4"/>
    <n v="2024"/>
    <m/>
  </r>
  <r>
    <s v="SAL-1469"/>
    <d v="2024-07-06T00:00:00"/>
    <s v="Jessica Liu"/>
    <s v="South"/>
    <x v="4"/>
    <s v="Corporate"/>
    <s v="Electronics"/>
    <s v="Phone"/>
    <n v="12"/>
    <n v="211.85"/>
    <n v="0"/>
    <n v="2542.1999999999998"/>
    <n v="1435.85"/>
    <n v="1106.3499999999999"/>
    <s v="Mobile Payment"/>
    <n v="2"/>
    <s v="July"/>
    <s v="Q3"/>
    <n v="2024"/>
    <m/>
  </r>
  <r>
    <s v="SAL-1470"/>
    <d v="2024-09-06T00:00:00"/>
    <s v="Antonio Kim"/>
    <s v="East"/>
    <x v="0"/>
    <s v="Consumer"/>
    <s v="Clothing"/>
    <s v="T-Shirt"/>
    <n v="11"/>
    <n v="866.01"/>
    <n v="0.05"/>
    <n v="9049.7999999999993"/>
    <n v="4546.6400000000003"/>
    <n v="4503.16"/>
    <s v="Transfer"/>
    <n v="5"/>
    <s v="September"/>
    <s v="Q3"/>
    <n v="2024"/>
    <m/>
  </r>
  <r>
    <s v="SAL-1471"/>
    <d v="2024-11-23T00:00:00"/>
    <s v="Dawn Torres"/>
    <s v="South"/>
    <x v="3"/>
    <s v="Consumer"/>
    <s v="Furniture"/>
    <s v="Desk"/>
    <n v="6"/>
    <n v="730.03"/>
    <n v="0.15"/>
    <n v="3723.15"/>
    <n v="2294.6"/>
    <n v="1428.55"/>
    <s v="Transfer"/>
    <n v="3"/>
    <s v="November"/>
    <s v="Q4"/>
    <n v="2024"/>
    <m/>
  </r>
  <r>
    <s v="SAL-1472"/>
    <d v="2024-08-21T00:00:00"/>
    <s v="Brandon Peterson"/>
    <s v="North"/>
    <x v="0"/>
    <s v="Home Office"/>
    <s v="Clothing"/>
    <s v="Sneakers"/>
    <n v="2"/>
    <n v="642.58000000000004"/>
    <n v="0.15"/>
    <n v="1092.3900000000001"/>
    <n v="821.81"/>
    <n v="270.58"/>
    <s v="Cash"/>
    <n v="2"/>
    <s v="August"/>
    <s v="Q3"/>
    <n v="2024"/>
    <m/>
  </r>
  <r>
    <s v="SAL-1473"/>
    <d v="2024-09-04T00:00:00"/>
    <s v="James French"/>
    <s v="Central"/>
    <x v="3"/>
    <s v="Home Office"/>
    <s v="Office Supplies"/>
    <s v="Paper"/>
    <n v="9"/>
    <n v="987.83"/>
    <n v="0.05"/>
    <n v="8445.9500000000007"/>
    <n v="6734.75"/>
    <n v="1711.2"/>
    <s v="Mobile Payment"/>
    <n v="1"/>
    <s v="September"/>
    <s v="Q3"/>
    <n v="2024"/>
    <m/>
  </r>
  <r>
    <s v="SAL-1474"/>
    <d v="2024-02-02T00:00:00"/>
    <s v="Roy Dudley"/>
    <s v="North"/>
    <x v="1"/>
    <s v="Corporate"/>
    <s v="Furniture"/>
    <s v="Cabinet"/>
    <n v="11"/>
    <n v="12.54"/>
    <n v="0.05"/>
    <n v="131.04"/>
    <n v="89.16"/>
    <n v="41.88"/>
    <s v="Transfer"/>
    <n v="1"/>
    <s v="February"/>
    <s v="Q1"/>
    <n v="2024"/>
    <m/>
  </r>
  <r>
    <s v="SAL-1475"/>
    <d v="2024-12-21T00:00:00"/>
    <s v="Courtney Ryan"/>
    <s v="East"/>
    <x v="1"/>
    <s v="Home Office"/>
    <s v="Electronics"/>
    <s v="Laptop"/>
    <n v="9"/>
    <n v="1120.54"/>
    <n v="0.1"/>
    <n v="9076.3700000000008"/>
    <n v="5918.91"/>
    <n v="3157.46"/>
    <s v="Transfer"/>
    <n v="5"/>
    <s v="December"/>
    <s v="Q4"/>
    <n v="2024"/>
    <m/>
  </r>
  <r>
    <s v="SAL-1476"/>
    <d v="2024-08-13T00:00:00"/>
    <s v="Sandra Collins"/>
    <s v="North"/>
    <x v="0"/>
    <s v="Consumer"/>
    <s v="Electronics"/>
    <s v="Tablet"/>
    <n v="5"/>
    <n v="282.73"/>
    <n v="0.15"/>
    <n v="1201.5999999999999"/>
    <n v="632.65"/>
    <n v="568.95000000000005"/>
    <s v="Card"/>
    <n v="4"/>
    <s v="August"/>
    <s v="Q3"/>
    <n v="2024"/>
    <m/>
  </r>
  <r>
    <s v="SAL-1477"/>
    <d v="2024-08-06T00:00:00"/>
    <s v="Christy Steele"/>
    <s v="West"/>
    <x v="0"/>
    <s v="Corporate"/>
    <s v="Electronics"/>
    <s v="Printer"/>
    <n v="6"/>
    <n v="696.76"/>
    <n v="0"/>
    <n v="4180.5600000000004"/>
    <n v="3492.75"/>
    <n v="687.81"/>
    <s v="Transfer"/>
    <n v="2"/>
    <s v="August"/>
    <s v="Q3"/>
    <n v="2024"/>
    <m/>
  </r>
  <r>
    <s v="SAL-1478"/>
    <d v="2024-09-01T00:00:00"/>
    <s v="Jason Cox"/>
    <s v="West"/>
    <x v="3"/>
    <s v="Corporate"/>
    <s v="Electronics"/>
    <s v="Laptop"/>
    <n v="10"/>
    <n v="340.97"/>
    <n v="0"/>
    <n v="3409.7"/>
    <n v="2747.38"/>
    <n v="662.32"/>
    <s v="Transfer"/>
    <n v="4"/>
    <s v="September"/>
    <s v="Q3"/>
    <n v="2024"/>
    <m/>
  </r>
  <r>
    <s v="SAL-1479"/>
    <d v="2024-06-11T00:00:00"/>
    <s v="Terry Cohen"/>
    <s v="South"/>
    <x v="3"/>
    <s v="Consumer"/>
    <s v="Electronics"/>
    <s v="Printer"/>
    <n v="8"/>
    <n v="343.94"/>
    <n v="0.1"/>
    <n v="2476.37"/>
    <n v="1448.92"/>
    <n v="1027.45"/>
    <s v="Mobile Payment"/>
    <n v="5"/>
    <s v="June"/>
    <s v="Q2"/>
    <n v="2024"/>
    <m/>
  </r>
  <r>
    <s v="SAL-1480"/>
    <d v="2024-08-28T00:00:00"/>
    <s v="Cynthia Graham"/>
    <s v="East"/>
    <x v="2"/>
    <s v="Corporate"/>
    <s v="Furniture"/>
    <s v="Chair"/>
    <n v="9"/>
    <n v="886.22"/>
    <n v="0"/>
    <n v="7975.98"/>
    <n v="5408"/>
    <n v="2567.98"/>
    <s v="Transfer"/>
    <n v="3"/>
    <s v="August"/>
    <s v="Q3"/>
    <n v="2024"/>
    <m/>
  </r>
  <r>
    <s v="SAL-1481"/>
    <d v="2024-06-02T00:00:00"/>
    <s v="Robert Shea"/>
    <s v="Central"/>
    <x v="4"/>
    <s v="Home Office"/>
    <s v="Office Supplies"/>
    <s v="Paper"/>
    <n v="2"/>
    <n v="593.76"/>
    <n v="0.05"/>
    <n v="1128.1400000000001"/>
    <n v="801.16"/>
    <n v="326.98"/>
    <s v="Card"/>
    <n v="5"/>
    <s v="June"/>
    <s v="Q2"/>
    <n v="2024"/>
    <m/>
  </r>
  <r>
    <s v="SAL-1482"/>
    <d v="2024-10-19T00:00:00"/>
    <s v="Alyssa Williams"/>
    <s v="South"/>
    <x v="0"/>
    <s v="Consumer"/>
    <s v="Furniture"/>
    <s v="Desk"/>
    <n v="12"/>
    <n v="313.74"/>
    <n v="0.05"/>
    <n v="3576.64"/>
    <n v="2308.4299999999998"/>
    <n v="1268.21"/>
    <s v="Card"/>
    <n v="3"/>
    <s v="October"/>
    <s v="Q4"/>
    <n v="2024"/>
    <m/>
  </r>
  <r>
    <s v="SAL-1483"/>
    <d v="2024-03-02T00:00:00"/>
    <s v="Kristina Watson"/>
    <s v="West"/>
    <x v="4"/>
    <s v="Corporate"/>
    <s v="Office Supplies"/>
    <s v="Notebook"/>
    <n v="9"/>
    <n v="969.89"/>
    <n v="0.1"/>
    <n v="7856.11"/>
    <n v="5037.8100000000004"/>
    <n v="2818.3"/>
    <s v="Mobile Payment"/>
    <n v="2"/>
    <s v="March"/>
    <s v="Q1"/>
    <n v="2024"/>
    <m/>
  </r>
  <r>
    <s v="SAL-1484"/>
    <d v="2024-01-06T00:00:00"/>
    <s v="Jennifer Williams"/>
    <s v="West"/>
    <x v="4"/>
    <s v="Home Office"/>
    <s v="Office Supplies"/>
    <s v="Notebook"/>
    <n v="4"/>
    <n v="618.28"/>
    <n v="0.05"/>
    <n v="2349.46"/>
    <n v="1921.95"/>
    <n v="427.51"/>
    <s v="Mobile Payment"/>
    <n v="5"/>
    <s v="January"/>
    <s v="Q1"/>
    <n v="2024"/>
    <m/>
  </r>
  <r>
    <s v="SAL-1485"/>
    <d v="2024-12-29T00:00:00"/>
    <s v="Karen Bennett"/>
    <s v="East"/>
    <x v="4"/>
    <s v="Home Office"/>
    <s v="Furniture"/>
    <s v="Cabinet"/>
    <n v="11"/>
    <n v="195.3"/>
    <n v="0.1"/>
    <n v="1933.47"/>
    <n v="1105.6500000000001"/>
    <n v="827.82"/>
    <s v="Transfer"/>
    <n v="4"/>
    <s v="December"/>
    <s v="Q4"/>
    <n v="2024"/>
    <m/>
  </r>
  <r>
    <s v="SAL-1486"/>
    <d v="2024-04-26T00:00:00"/>
    <s v="Terrance Schaefer"/>
    <s v="West"/>
    <x v="2"/>
    <s v="Home Office"/>
    <s v="Clothing"/>
    <s v="Sneakers"/>
    <n v="1"/>
    <n v="1087.46"/>
    <n v="0.1"/>
    <n v="978.71"/>
    <n v="808.39"/>
    <n v="170.32"/>
    <s v="Transfer"/>
    <n v="5"/>
    <s v="April"/>
    <s v="Q2"/>
    <n v="2024"/>
    <m/>
  </r>
  <r>
    <s v="SAL-1487"/>
    <d v="2024-05-26T00:00:00"/>
    <s v="Andrew Davidson"/>
    <s v="North"/>
    <x v="2"/>
    <s v="Corporate"/>
    <s v="Furniture"/>
    <s v="Chair"/>
    <n v="5"/>
    <n v="505.27"/>
    <n v="0.15"/>
    <n v="2147.4"/>
    <n v="1105.57"/>
    <n v="1041.83"/>
    <s v="Transfer"/>
    <n v="2"/>
    <s v="May"/>
    <s v="Q2"/>
    <n v="2024"/>
    <m/>
  </r>
  <r>
    <s v="SAL-1488"/>
    <d v="2024-06-10T00:00:00"/>
    <s v="Sean Walker"/>
    <s v="North"/>
    <x v="2"/>
    <s v="Home Office"/>
    <s v="Electronics"/>
    <s v="Tablet"/>
    <n v="9"/>
    <n v="505.25"/>
    <n v="0"/>
    <n v="4547.25"/>
    <n v="2493.0300000000002"/>
    <n v="2054.2199999999998"/>
    <s v="Card"/>
    <n v="1"/>
    <s v="June"/>
    <s v="Q2"/>
    <n v="2024"/>
    <m/>
  </r>
  <r>
    <s v="SAL-1489"/>
    <d v="2024-11-11T00:00:00"/>
    <s v="Kevin Harris"/>
    <s v="East"/>
    <x v="2"/>
    <s v="Corporate"/>
    <s v="Furniture"/>
    <s v="Cabinet"/>
    <n v="6"/>
    <n v="1022.4"/>
    <n v="0.15"/>
    <n v="5214.24"/>
    <n v="2792.26"/>
    <n v="2421.98"/>
    <s v="Card"/>
    <n v="1"/>
    <s v="November"/>
    <s v="Q4"/>
    <n v="2024"/>
    <m/>
  </r>
  <r>
    <s v="SAL-1490"/>
    <d v="2024-07-16T00:00:00"/>
    <s v="Mark Rice"/>
    <s v="Central"/>
    <x v="3"/>
    <s v="Consumer"/>
    <s v="Office Supplies"/>
    <s v="Paper"/>
    <n v="4"/>
    <n v="784.09"/>
    <n v="0.05"/>
    <n v="2979.54"/>
    <n v="2471.5700000000002"/>
    <n v="507.97"/>
    <s v="Card"/>
    <n v="2"/>
    <s v="July"/>
    <s v="Q3"/>
    <n v="2024"/>
    <m/>
  </r>
  <r>
    <s v="SAL-1491"/>
    <d v="2024-07-08T00:00:00"/>
    <s v="Ronald Schwartz"/>
    <s v="West"/>
    <x v="1"/>
    <s v="Consumer"/>
    <s v="Furniture"/>
    <s v="Cabinet"/>
    <n v="1"/>
    <n v="558.75"/>
    <n v="0.1"/>
    <n v="502.88"/>
    <n v="387.5"/>
    <n v="115.38"/>
    <s v="Card"/>
    <n v="4"/>
    <s v="July"/>
    <s v="Q3"/>
    <n v="2024"/>
    <m/>
  </r>
  <r>
    <s v="SAL-1492"/>
    <d v="2024-11-15T00:00:00"/>
    <s v="Ashley Alexander"/>
    <s v="East"/>
    <x v="1"/>
    <s v="Corporate"/>
    <s v="Electronics"/>
    <s v="Tablet"/>
    <n v="5"/>
    <n v="983.72"/>
    <n v="0.05"/>
    <n v="4672.67"/>
    <n v="2790.1"/>
    <n v="1882.57"/>
    <s v="Mobile Payment"/>
    <n v="3"/>
    <s v="November"/>
    <s v="Q4"/>
    <n v="2024"/>
    <m/>
  </r>
  <r>
    <s v="SAL-1493"/>
    <d v="2024-07-01T00:00:00"/>
    <s v="Mario Brown"/>
    <s v="West"/>
    <x v="1"/>
    <s v="Home Office"/>
    <s v="Electronics"/>
    <s v="Printer"/>
    <n v="3"/>
    <n v="61.21"/>
    <n v="0.15"/>
    <n v="156.09"/>
    <n v="121.84"/>
    <n v="34.25"/>
    <s v="Card"/>
    <n v="1"/>
    <s v="July"/>
    <s v="Q3"/>
    <n v="2024"/>
    <m/>
  </r>
  <r>
    <s v="SAL-1494"/>
    <d v="2024-06-11T00:00:00"/>
    <s v="Michael King"/>
    <s v="South"/>
    <x v="4"/>
    <s v="Home Office"/>
    <s v="Office Supplies"/>
    <s v="Paper"/>
    <n v="7"/>
    <n v="147.97999999999999"/>
    <n v="0.15"/>
    <n v="880.48"/>
    <n v="538.26"/>
    <n v="342.22"/>
    <s v="Transfer"/>
    <n v="3"/>
    <s v="June"/>
    <s v="Q2"/>
    <n v="2024"/>
    <m/>
  </r>
  <r>
    <s v="SAL-1495"/>
    <d v="2024-09-05T00:00:00"/>
    <s v="Jennifer Chan"/>
    <s v="North"/>
    <x v="4"/>
    <s v="Home Office"/>
    <s v="Electronics"/>
    <s v="Laptop"/>
    <n v="1"/>
    <n v="161.38999999999999"/>
    <n v="0.1"/>
    <n v="145.25"/>
    <n v="90.9"/>
    <n v="54.35"/>
    <s v="Transfer"/>
    <n v="5"/>
    <s v="September"/>
    <s v="Q3"/>
    <n v="2024"/>
    <m/>
  </r>
  <r>
    <s v="SAL-1496"/>
    <d v="2024-02-01T00:00:00"/>
    <s v="Jennifer Bailey"/>
    <s v="North"/>
    <x v="2"/>
    <s v="Consumer"/>
    <s v="Furniture"/>
    <s v="Desk"/>
    <n v="9"/>
    <n v="938.64"/>
    <n v="0"/>
    <n v="8447.76"/>
    <n v="5930.15"/>
    <n v="2517.61"/>
    <s v="Cash"/>
    <n v="3"/>
    <s v="February"/>
    <s v="Q1"/>
    <n v="2024"/>
    <m/>
  </r>
  <r>
    <s v="SAL-1497"/>
    <d v="2024-02-29T00:00:00"/>
    <s v="Rebecca Rivera"/>
    <s v="North"/>
    <x v="0"/>
    <s v="Corporate"/>
    <s v="Clothing"/>
    <s v="Jacket"/>
    <n v="9"/>
    <n v="233.66"/>
    <n v="0.1"/>
    <n v="1892.65"/>
    <n v="1327.41"/>
    <n v="565.24"/>
    <s v="Mobile Payment"/>
    <n v="3"/>
    <s v="February"/>
    <s v="Q1"/>
    <n v="2024"/>
    <m/>
  </r>
  <r>
    <s v="SAL-1498"/>
    <d v="2024-04-28T00:00:00"/>
    <s v="Steven Marshall"/>
    <s v="South"/>
    <x v="1"/>
    <s v="Consumer"/>
    <s v="Electronics"/>
    <s v="Laptop"/>
    <n v="8"/>
    <n v="817.21"/>
    <n v="0.05"/>
    <n v="6210.8"/>
    <n v="3836.84"/>
    <n v="2373.96"/>
    <s v="Card"/>
    <n v="3"/>
    <s v="April"/>
    <s v="Q2"/>
    <n v="2024"/>
    <m/>
  </r>
  <r>
    <s v="SAL-1499"/>
    <d v="2024-01-17T00:00:00"/>
    <s v="Stephen Hicks"/>
    <s v="North"/>
    <x v="1"/>
    <s v="Consumer"/>
    <s v="Office Supplies"/>
    <s v="Notebook"/>
    <n v="11"/>
    <n v="1085.49"/>
    <n v="0.1"/>
    <n v="10746.35"/>
    <n v="7932.81"/>
    <n v="2813.54"/>
    <s v="Transfer"/>
    <n v="1"/>
    <s v="January"/>
    <s v="Q1"/>
    <n v="2024"/>
    <m/>
  </r>
  <r>
    <s v="SAL-1500"/>
    <d v="2024-05-07T00:00:00"/>
    <s v="Phyllis Johnson"/>
    <s v="Central"/>
    <x v="1"/>
    <s v="Home Office"/>
    <s v="Clothing"/>
    <s v="T-Shirt"/>
    <n v="7"/>
    <n v="241.65"/>
    <n v="0"/>
    <n v="1691.55"/>
    <n v="1203.6099999999999"/>
    <n v="487.94"/>
    <s v="Mobile Payment"/>
    <n v="4"/>
    <s v="May"/>
    <s v="Q2"/>
    <n v="2024"/>
    <m/>
  </r>
  <r>
    <s v="SAL-1501"/>
    <d v="2024-07-13T00:00:00"/>
    <s v="Eric Santos"/>
    <s v="East"/>
    <x v="2"/>
    <s v="Corporate"/>
    <s v="Electronics"/>
    <s v="Laptop"/>
    <n v="12"/>
    <n v="653.55999999999995"/>
    <n v="0.05"/>
    <n v="7450.58"/>
    <n v="5106.03"/>
    <n v="2344.5500000000002"/>
    <s v="Mobile Payment"/>
    <n v="5"/>
    <s v="July"/>
    <s v="Q3"/>
    <n v="2024"/>
    <m/>
  </r>
  <r>
    <s v="SAL-1502"/>
    <d v="2024-10-04T00:00:00"/>
    <s v="Oscar Atkinson"/>
    <s v="West"/>
    <x v="2"/>
    <s v="Consumer"/>
    <s v="Office Supplies"/>
    <s v="Paper"/>
    <n v="4"/>
    <n v="223.31"/>
    <n v="0.15"/>
    <n v="759.25"/>
    <n v="402"/>
    <n v="357.25"/>
    <s v="Card"/>
    <n v="3"/>
    <s v="October"/>
    <s v="Q4"/>
    <n v="2024"/>
    <m/>
  </r>
  <r>
    <s v="SAL-1503"/>
    <d v="2024-06-16T00:00:00"/>
    <s v="James Williamson"/>
    <s v="North"/>
    <x v="0"/>
    <s v="Consumer"/>
    <s v="Electronics"/>
    <s v="Laptop"/>
    <n v="11"/>
    <n v="924.55"/>
    <n v="0.1"/>
    <n v="9153.0499999999993"/>
    <n v="6061"/>
    <n v="3092.05"/>
    <s v="Mobile Payment"/>
    <n v="3"/>
    <s v="June"/>
    <s v="Q2"/>
    <n v="2024"/>
    <m/>
  </r>
  <r>
    <s v="SAL-1504"/>
    <d v="2024-03-29T00:00:00"/>
    <s v="Katie Smith"/>
    <s v="Central"/>
    <x v="0"/>
    <s v="Consumer"/>
    <s v="Electronics"/>
    <s v="Printer"/>
    <n v="10"/>
    <n v="227.5"/>
    <n v="0.15"/>
    <n v="1933.75"/>
    <n v="1410.65"/>
    <n v="523.1"/>
    <s v="Card"/>
    <n v="2"/>
    <s v="March"/>
    <s v="Q1"/>
    <n v="2024"/>
    <m/>
  </r>
  <r>
    <s v="SAL-1505"/>
    <d v="2024-10-03T00:00:00"/>
    <s v="Jacqueline Lee"/>
    <s v="East"/>
    <x v="1"/>
    <s v="Home Office"/>
    <s v="Clothing"/>
    <s v="Sneakers"/>
    <n v="1"/>
    <n v="858.15"/>
    <n v="0.05"/>
    <n v="815.24"/>
    <n v="508.99"/>
    <n v="306.25"/>
    <s v="Mobile Payment"/>
    <n v="1"/>
    <s v="October"/>
    <s v="Q4"/>
    <n v="2024"/>
    <m/>
  </r>
  <r>
    <s v="SAL-1506"/>
    <d v="2024-11-25T00:00:00"/>
    <s v="Jesse Carr"/>
    <s v="North"/>
    <x v="0"/>
    <s v="Home Office"/>
    <s v="Furniture"/>
    <s v="Chair"/>
    <n v="11"/>
    <n v="836.67"/>
    <n v="0.05"/>
    <n v="8743.2000000000007"/>
    <n v="6658.05"/>
    <n v="2085.15"/>
    <s v="Cash"/>
    <n v="3"/>
    <s v="November"/>
    <s v="Q4"/>
    <n v="2024"/>
    <m/>
  </r>
  <r>
    <s v="SAL-1507"/>
    <d v="2024-12-19T00:00:00"/>
    <s v="Rachel Mcclain"/>
    <s v="West"/>
    <x v="3"/>
    <s v="Home Office"/>
    <s v="Clothing"/>
    <s v="Jacket"/>
    <n v="10"/>
    <n v="720.41"/>
    <n v="0.1"/>
    <n v="6483.69"/>
    <n v="5448.24"/>
    <n v="1035.45"/>
    <s v="Mobile Payment"/>
    <n v="1"/>
    <s v="December"/>
    <s v="Q4"/>
    <n v="2024"/>
    <m/>
  </r>
  <r>
    <s v="SAL-1508"/>
    <d v="2024-04-28T00:00:00"/>
    <s v="Derek Leach"/>
    <s v="North"/>
    <x v="4"/>
    <s v="Home Office"/>
    <s v="Office Supplies"/>
    <s v="Notebook"/>
    <n v="5"/>
    <n v="446.03"/>
    <n v="0"/>
    <n v="2230.15"/>
    <n v="1194.43"/>
    <n v="1035.72"/>
    <s v="Transfer"/>
    <n v="3"/>
    <s v="April"/>
    <s v="Q2"/>
    <n v="2024"/>
    <m/>
  </r>
  <r>
    <s v="SAL-1509"/>
    <d v="2024-09-03T00:00:00"/>
    <s v="Kenneth Coleman"/>
    <s v="West"/>
    <x v="4"/>
    <s v="Corporate"/>
    <s v="Furniture"/>
    <s v="Chair"/>
    <n v="1"/>
    <n v="902.06"/>
    <n v="0.15"/>
    <n v="766.75"/>
    <n v="484.4"/>
    <n v="282.35000000000002"/>
    <s v="Cash"/>
    <n v="5"/>
    <s v="September"/>
    <s v="Q3"/>
    <n v="2024"/>
    <m/>
  </r>
  <r>
    <s v="SAL-1510"/>
    <d v="2024-04-03T00:00:00"/>
    <s v="James Bass"/>
    <s v="Central"/>
    <x v="1"/>
    <s v="Consumer"/>
    <s v="Furniture"/>
    <s v="Desk"/>
    <n v="12"/>
    <n v="180.05"/>
    <n v="0"/>
    <n v="2160.6"/>
    <n v="1183.0899999999999"/>
    <n v="977.51"/>
    <s v="Transfer"/>
    <n v="1"/>
    <s v="April"/>
    <s v="Q2"/>
    <n v="2024"/>
    <m/>
  </r>
  <r>
    <s v="SAL-1511"/>
    <d v="2024-06-11T00:00:00"/>
    <s v="Keith Norton"/>
    <s v="East"/>
    <x v="4"/>
    <s v="Corporate"/>
    <s v="Electronics"/>
    <s v="Tablet"/>
    <n v="5"/>
    <n v="740.96"/>
    <n v="0.05"/>
    <n v="3519.56"/>
    <n v="1808.06"/>
    <n v="1711.5"/>
    <s v="Transfer"/>
    <n v="1"/>
    <s v="June"/>
    <s v="Q2"/>
    <n v="2024"/>
    <m/>
  </r>
  <r>
    <s v="SAL-1512"/>
    <d v="2024-07-01T00:00:00"/>
    <s v="Julie Owen"/>
    <s v="Central"/>
    <x v="3"/>
    <s v="Corporate"/>
    <s v="Furniture"/>
    <s v="Desk"/>
    <n v="2"/>
    <n v="881.99"/>
    <n v="0.15"/>
    <n v="1499.38"/>
    <n v="1075.19"/>
    <n v="424.19"/>
    <s v="Mobile Payment"/>
    <n v="4"/>
    <s v="July"/>
    <s v="Q3"/>
    <n v="2024"/>
    <m/>
  </r>
  <r>
    <s v="SAL-1513"/>
    <d v="2024-01-23T00:00:00"/>
    <s v="Christina Parker"/>
    <s v="North"/>
    <x v="4"/>
    <s v="Home Office"/>
    <s v="Clothing"/>
    <s v="T-Shirt"/>
    <n v="8"/>
    <n v="1029.78"/>
    <n v="0.15"/>
    <n v="7002.5"/>
    <n v="5869.58"/>
    <n v="1132.92"/>
    <s v="Card"/>
    <n v="2"/>
    <s v="January"/>
    <s v="Q1"/>
    <n v="2024"/>
    <m/>
  </r>
  <r>
    <s v="SAL-1514"/>
    <d v="2024-06-01T00:00:00"/>
    <s v="Joseph Gonzalez"/>
    <s v="West"/>
    <x v="0"/>
    <s v="Consumer"/>
    <s v="Clothing"/>
    <s v="Jacket"/>
    <n v="2"/>
    <n v="231.13"/>
    <n v="0.1"/>
    <n v="416.03"/>
    <n v="304.5"/>
    <n v="111.53"/>
    <s v="Mobile Payment"/>
    <n v="5"/>
    <s v="June"/>
    <s v="Q2"/>
    <n v="2024"/>
    <m/>
  </r>
  <r>
    <s v="SAL-1515"/>
    <d v="2024-05-04T00:00:00"/>
    <s v="Theresa Nguyen"/>
    <s v="North"/>
    <x v="0"/>
    <s v="Consumer"/>
    <s v="Office Supplies"/>
    <s v="Paper"/>
    <n v="7"/>
    <n v="557.85"/>
    <n v="0"/>
    <n v="3904.95"/>
    <n v="1959.53"/>
    <n v="1945.42"/>
    <s v="Cash"/>
    <n v="2"/>
    <s v="May"/>
    <s v="Q2"/>
    <n v="2024"/>
    <m/>
  </r>
  <r>
    <s v="SAL-1516"/>
    <d v="2024-04-07T00:00:00"/>
    <s v="Robert Williams"/>
    <s v="South"/>
    <x v="4"/>
    <s v="Corporate"/>
    <s v="Office Supplies"/>
    <s v="Pen"/>
    <n v="11"/>
    <n v="896.1"/>
    <n v="0.1"/>
    <n v="8871.39"/>
    <n v="5602.63"/>
    <n v="3268.76"/>
    <s v="Cash"/>
    <n v="4"/>
    <s v="April"/>
    <s v="Q2"/>
    <n v="2024"/>
    <m/>
  </r>
  <r>
    <s v="SAL-1517"/>
    <d v="2024-07-15T00:00:00"/>
    <s v="Susan Johnson"/>
    <s v="West"/>
    <x v="3"/>
    <s v="Consumer"/>
    <s v="Clothing"/>
    <s v="Sneakers"/>
    <n v="6"/>
    <n v="490.84"/>
    <n v="0.05"/>
    <n v="2797.79"/>
    <n v="1852.65"/>
    <n v="945.14"/>
    <s v="Mobile Payment"/>
    <n v="2"/>
    <s v="July"/>
    <s v="Q3"/>
    <n v="2024"/>
    <m/>
  </r>
  <r>
    <s v="SAL-1518"/>
    <d v="2024-03-31T00:00:00"/>
    <s v="Rachel Meyers"/>
    <s v="South"/>
    <x v="0"/>
    <s v="Corporate"/>
    <s v="Office Supplies"/>
    <s v="Pen"/>
    <n v="6"/>
    <n v="979.28"/>
    <n v="0"/>
    <n v="5875.68"/>
    <n v="3524.74"/>
    <n v="2350.94"/>
    <s v="Mobile Payment"/>
    <n v="5"/>
    <s v="March"/>
    <s v="Q1"/>
    <n v="2024"/>
    <m/>
  </r>
  <r>
    <s v="SAL-1519"/>
    <d v="2024-08-07T00:00:00"/>
    <s v="Ashley Arnold"/>
    <s v="North"/>
    <x v="1"/>
    <s v="Consumer"/>
    <s v="Furniture"/>
    <s v="Cabinet"/>
    <n v="2"/>
    <n v="695.23"/>
    <n v="0"/>
    <n v="1390.46"/>
    <n v="1042.5999999999999"/>
    <n v="347.86"/>
    <s v="Card"/>
    <n v="5"/>
    <s v="August"/>
    <s v="Q3"/>
    <n v="2024"/>
    <m/>
  </r>
  <r>
    <s v="SAL-1520"/>
    <d v="2024-09-23T00:00:00"/>
    <s v="Katherine Miller"/>
    <s v="North"/>
    <x v="2"/>
    <s v="Consumer"/>
    <s v="Clothing"/>
    <s v="Sneakers"/>
    <n v="11"/>
    <n v="46.24"/>
    <n v="0.05"/>
    <n v="483.21"/>
    <n v="242.12"/>
    <n v="241.09"/>
    <s v="Card"/>
    <n v="5"/>
    <s v="September"/>
    <s v="Q3"/>
    <n v="2024"/>
    <m/>
  </r>
  <r>
    <s v="SAL-1521"/>
    <d v="2024-09-14T00:00:00"/>
    <s v="Tammy Gay"/>
    <s v="North"/>
    <x v="1"/>
    <s v="Home Office"/>
    <s v="Electronics"/>
    <s v="Tablet"/>
    <n v="8"/>
    <n v="939.04"/>
    <n v="0"/>
    <n v="7512.32"/>
    <n v="4173.59"/>
    <n v="3338.73"/>
    <s v="Card"/>
    <n v="3"/>
    <s v="September"/>
    <s v="Q3"/>
    <n v="2024"/>
    <m/>
  </r>
  <r>
    <s v="SAL-1522"/>
    <d v="2024-12-02T00:00:00"/>
    <s v="Gregory Hoover"/>
    <s v="East"/>
    <x v="0"/>
    <s v="Corporate"/>
    <s v="Office Supplies"/>
    <s v="Pen"/>
    <n v="2"/>
    <n v="314.77999999999997"/>
    <n v="0.1"/>
    <n v="566.6"/>
    <n v="422.09"/>
    <n v="144.51"/>
    <s v="Card"/>
    <n v="1"/>
    <s v="December"/>
    <s v="Q4"/>
    <n v="2024"/>
    <m/>
  </r>
  <r>
    <s v="SAL-1523"/>
    <d v="2024-09-24T00:00:00"/>
    <s v="James Morales"/>
    <s v="East"/>
    <x v="1"/>
    <s v="Corporate"/>
    <s v="Clothing"/>
    <s v="Jacket"/>
    <n v="5"/>
    <n v="824.03"/>
    <n v="0.15"/>
    <n v="3502.13"/>
    <n v="2698.88"/>
    <n v="803.25"/>
    <s v="Transfer"/>
    <n v="1"/>
    <s v="September"/>
    <s v="Q3"/>
    <n v="2024"/>
    <m/>
  </r>
  <r>
    <s v="SAL-1524"/>
    <d v="2024-07-01T00:00:00"/>
    <s v="Kendra Williamson"/>
    <s v="East"/>
    <x v="1"/>
    <s v="Consumer"/>
    <s v="Office Supplies"/>
    <s v="Pen"/>
    <n v="4"/>
    <n v="46"/>
    <n v="0"/>
    <n v="184"/>
    <n v="137.91999999999999"/>
    <n v="46.08"/>
    <s v="Card"/>
    <n v="1"/>
    <s v="July"/>
    <s v="Q3"/>
    <n v="2024"/>
    <m/>
  </r>
  <r>
    <s v="SAL-1525"/>
    <d v="2024-10-03T00:00:00"/>
    <s v="Joshua Brown"/>
    <s v="South"/>
    <x v="4"/>
    <s v="Consumer"/>
    <s v="Furniture"/>
    <s v="Cabinet"/>
    <n v="8"/>
    <n v="71.489999999999995"/>
    <n v="0.1"/>
    <n v="514.73"/>
    <n v="393.68"/>
    <n v="121.05"/>
    <s v="Transfer"/>
    <n v="3"/>
    <s v="October"/>
    <s v="Q4"/>
    <n v="2024"/>
    <m/>
  </r>
  <r>
    <s v="SAL-1526"/>
    <d v="2024-06-01T00:00:00"/>
    <s v="Renee Carey"/>
    <s v="South"/>
    <x v="0"/>
    <s v="Home Office"/>
    <s v="Office Supplies"/>
    <s v="Notebook"/>
    <n v="9"/>
    <n v="743.92"/>
    <n v="0.15"/>
    <n v="5690.99"/>
    <n v="2977.02"/>
    <n v="2713.97"/>
    <s v="Card"/>
    <n v="1"/>
    <s v="June"/>
    <s v="Q2"/>
    <n v="2024"/>
    <m/>
  </r>
  <r>
    <s v="SAL-1527"/>
    <d v="2024-05-26T00:00:00"/>
    <s v="Meghan Dennis"/>
    <s v="West"/>
    <x v="1"/>
    <s v="Consumer"/>
    <s v="Office Supplies"/>
    <s v="Paper"/>
    <n v="8"/>
    <n v="806.58"/>
    <n v="0"/>
    <n v="6452.64"/>
    <n v="5428.69"/>
    <n v="1023.95"/>
    <s v="Cash"/>
    <n v="5"/>
    <s v="May"/>
    <s v="Q2"/>
    <n v="2024"/>
    <m/>
  </r>
  <r>
    <s v="SAL-1528"/>
    <d v="2024-05-08T00:00:00"/>
    <s v="Denise Moore"/>
    <s v="West"/>
    <x v="4"/>
    <s v="Consumer"/>
    <s v="Clothing"/>
    <s v="Jacket"/>
    <n v="2"/>
    <n v="766.23"/>
    <n v="0"/>
    <n v="1532.46"/>
    <n v="1293.6400000000001"/>
    <n v="238.82"/>
    <s v="Cash"/>
    <n v="3"/>
    <s v="May"/>
    <s v="Q2"/>
    <n v="2024"/>
    <m/>
  </r>
  <r>
    <s v="SAL-1529"/>
    <d v="2024-07-29T00:00:00"/>
    <s v="John Torres"/>
    <s v="North"/>
    <x v="3"/>
    <s v="Corporate"/>
    <s v="Furniture"/>
    <s v="Chair"/>
    <n v="5"/>
    <n v="457.34"/>
    <n v="0"/>
    <n v="2286.6999999999998"/>
    <n v="1145"/>
    <n v="1141.7"/>
    <s v="Card"/>
    <n v="5"/>
    <s v="July"/>
    <s v="Q3"/>
    <n v="2024"/>
    <m/>
  </r>
  <r>
    <s v="SAL-1530"/>
    <d v="2024-03-01T00:00:00"/>
    <s v="Melinda Cunningham"/>
    <s v="West"/>
    <x v="0"/>
    <s v="Corporate"/>
    <s v="Furniture"/>
    <s v="Cabinet"/>
    <n v="7"/>
    <n v="422.4"/>
    <n v="0.1"/>
    <n v="2661.12"/>
    <n v="1344.28"/>
    <n v="1316.84"/>
    <s v="Cash"/>
    <n v="5"/>
    <s v="March"/>
    <s v="Q1"/>
    <n v="2024"/>
    <m/>
  </r>
  <r>
    <s v="SAL-1531"/>
    <d v="2024-07-29T00:00:00"/>
    <s v="Kristie Alvarado"/>
    <s v="South"/>
    <x v="1"/>
    <s v="Corporate"/>
    <s v="Furniture"/>
    <s v="Desk"/>
    <n v="3"/>
    <n v="435.93"/>
    <n v="0.1"/>
    <n v="1177.01"/>
    <n v="962.62"/>
    <n v="214.39"/>
    <s v="Cash"/>
    <n v="5"/>
    <s v="July"/>
    <s v="Q3"/>
    <n v="2024"/>
    <m/>
  </r>
  <r>
    <s v="SAL-1532"/>
    <d v="2024-02-21T00:00:00"/>
    <s v="Ashley Nielsen"/>
    <s v="East"/>
    <x v="0"/>
    <s v="Corporate"/>
    <s v="Office Supplies"/>
    <s v="Paper"/>
    <n v="4"/>
    <n v="695.64"/>
    <n v="0"/>
    <n v="2782.56"/>
    <n v="2352.27"/>
    <n v="430.29"/>
    <s v="Mobile Payment"/>
    <n v="5"/>
    <s v="February"/>
    <s v="Q1"/>
    <n v="2024"/>
    <m/>
  </r>
  <r>
    <s v="SAL-1533"/>
    <d v="2024-01-03T00:00:00"/>
    <s v="Lindsey Hart"/>
    <s v="North"/>
    <x v="4"/>
    <s v="Home Office"/>
    <s v="Office Supplies"/>
    <s v="Pen"/>
    <n v="6"/>
    <n v="1188.33"/>
    <n v="0.15"/>
    <n v="6060.48"/>
    <n v="3533.5"/>
    <n v="2526.98"/>
    <s v="Mobile Payment"/>
    <n v="4"/>
    <s v="January"/>
    <s v="Q1"/>
    <n v="2024"/>
    <m/>
  </r>
  <r>
    <s v="SAL-1534"/>
    <d v="2024-11-16T00:00:00"/>
    <s v="Jesus Mercer"/>
    <s v="North"/>
    <x v="2"/>
    <s v="Home Office"/>
    <s v="Office Supplies"/>
    <s v="Paper"/>
    <n v="12"/>
    <n v="976.49"/>
    <n v="0.05"/>
    <n v="11131.99"/>
    <n v="8886.26"/>
    <n v="2245.73"/>
    <s v="Transfer"/>
    <n v="2"/>
    <s v="November"/>
    <s v="Q4"/>
    <n v="2024"/>
    <m/>
  </r>
  <r>
    <s v="SAL-1535"/>
    <d v="2024-07-25T00:00:00"/>
    <s v="Kevin Lopez"/>
    <s v="Central"/>
    <x v="1"/>
    <s v="Corporate"/>
    <s v="Office Supplies"/>
    <s v="Paper"/>
    <n v="10"/>
    <n v="500.15"/>
    <n v="0.15"/>
    <n v="4251.2700000000004"/>
    <n v="2842.8"/>
    <n v="1408.47"/>
    <s v="Transfer"/>
    <n v="4"/>
    <s v="July"/>
    <s v="Q3"/>
    <n v="2024"/>
    <m/>
  </r>
  <r>
    <s v="SAL-1536"/>
    <d v="2024-06-01T00:00:00"/>
    <s v="Lori Brown"/>
    <s v="Central"/>
    <x v="4"/>
    <s v="Home Office"/>
    <s v="Furniture"/>
    <s v="Cabinet"/>
    <n v="8"/>
    <n v="1092.3699999999999"/>
    <n v="0.1"/>
    <n v="7865.06"/>
    <n v="5827.57"/>
    <n v="2037.49"/>
    <s v="Card"/>
    <n v="4"/>
    <s v="June"/>
    <s v="Q2"/>
    <n v="2024"/>
    <m/>
  </r>
  <r>
    <s v="SAL-1537"/>
    <d v="2024-10-15T00:00:00"/>
    <s v="Robert Hopkins"/>
    <s v="North"/>
    <x v="0"/>
    <s v="Home Office"/>
    <s v="Electronics"/>
    <s v="Laptop"/>
    <n v="8"/>
    <n v="414.53"/>
    <n v="0"/>
    <n v="3316.24"/>
    <n v="2600.85"/>
    <n v="715.39"/>
    <s v="Transfer"/>
    <n v="4"/>
    <s v="October"/>
    <s v="Q4"/>
    <n v="2024"/>
    <m/>
  </r>
  <r>
    <s v="SAL-1538"/>
    <d v="2024-12-28T00:00:00"/>
    <s v="Darrell Rich"/>
    <s v="East"/>
    <x v="3"/>
    <s v="Corporate"/>
    <s v="Electronics"/>
    <s v="Phone"/>
    <n v="11"/>
    <n v="1026.3699999999999"/>
    <n v="0"/>
    <n v="11290.07"/>
    <n v="5661"/>
    <n v="5629.07"/>
    <s v="Card"/>
    <n v="2"/>
    <s v="December"/>
    <s v="Q4"/>
    <n v="2024"/>
    <m/>
  </r>
  <r>
    <s v="SAL-1539"/>
    <d v="2024-01-01T00:00:00"/>
    <s v="Heidi Bowers"/>
    <s v="South"/>
    <x v="2"/>
    <s v="Consumer"/>
    <s v="Clothing"/>
    <s v="T-Shirt"/>
    <n v="11"/>
    <n v="1035.68"/>
    <n v="0"/>
    <n v="11392.48"/>
    <n v="9277.74"/>
    <n v="2114.7399999999998"/>
    <s v="Card"/>
    <n v="5"/>
    <s v="January"/>
    <s v="Q1"/>
    <n v="2024"/>
    <m/>
  </r>
  <r>
    <s v="SAL-1540"/>
    <d v="2024-09-01T00:00:00"/>
    <s v="Steven Benson"/>
    <s v="Central"/>
    <x v="3"/>
    <s v="Consumer"/>
    <s v="Furniture"/>
    <s v="Cabinet"/>
    <n v="5"/>
    <n v="255.72"/>
    <n v="0"/>
    <n v="1278.5999999999999"/>
    <n v="803.05"/>
    <n v="475.55"/>
    <s v="Card"/>
    <n v="5"/>
    <s v="September"/>
    <s v="Q3"/>
    <n v="2024"/>
    <m/>
  </r>
  <r>
    <s v="SAL-1541"/>
    <d v="2024-11-22T00:00:00"/>
    <s v="Crystal Boyer"/>
    <s v="Central"/>
    <x v="2"/>
    <s v="Corporate"/>
    <s v="Office Supplies"/>
    <s v="Pen"/>
    <n v="11"/>
    <n v="542.23"/>
    <n v="0.15"/>
    <n v="5069.8500000000004"/>
    <n v="4217.7700000000004"/>
    <n v="852.08"/>
    <s v="Mobile Payment"/>
    <n v="5"/>
    <s v="November"/>
    <s v="Q4"/>
    <n v="2024"/>
    <m/>
  </r>
  <r>
    <s v="SAL-1542"/>
    <d v="2024-05-14T00:00:00"/>
    <s v="Omar Murphy"/>
    <s v="North"/>
    <x v="3"/>
    <s v="Consumer"/>
    <s v="Office Supplies"/>
    <s v="Paper"/>
    <n v="12"/>
    <n v="757.94"/>
    <n v="0"/>
    <n v="9095.2800000000007"/>
    <n v="5856.02"/>
    <n v="3239.26"/>
    <s v="Card"/>
    <n v="1"/>
    <s v="May"/>
    <s v="Q2"/>
    <n v="2024"/>
    <m/>
  </r>
  <r>
    <s v="SAL-1543"/>
    <d v="2024-01-13T00:00:00"/>
    <s v="Reginald Gardner"/>
    <s v="West"/>
    <x v="3"/>
    <s v="Home Office"/>
    <s v="Furniture"/>
    <s v="Desk"/>
    <n v="5"/>
    <n v="578.34"/>
    <n v="0.15"/>
    <n v="2457.9499999999998"/>
    <n v="1272.83"/>
    <n v="1185.1199999999999"/>
    <s v="Card"/>
    <n v="1"/>
    <s v="January"/>
    <s v="Q1"/>
    <n v="2024"/>
    <m/>
  </r>
  <r>
    <s v="SAL-1544"/>
    <d v="2024-03-16T00:00:00"/>
    <s v="Joshua Smith"/>
    <s v="West"/>
    <x v="4"/>
    <s v="Corporate"/>
    <s v="Office Supplies"/>
    <s v="Pen"/>
    <n v="10"/>
    <n v="382.88"/>
    <n v="0.15"/>
    <n v="3254.48"/>
    <n v="2543.8200000000002"/>
    <n v="710.66"/>
    <s v="Transfer"/>
    <n v="3"/>
    <s v="March"/>
    <s v="Q1"/>
    <n v="2024"/>
    <m/>
  </r>
  <r>
    <s v="SAL-1545"/>
    <d v="2024-07-19T00:00:00"/>
    <s v="Jessica Martin"/>
    <s v="East"/>
    <x v="4"/>
    <s v="Corporate"/>
    <s v="Office Supplies"/>
    <s v="Paper"/>
    <n v="9"/>
    <n v="1147.06"/>
    <n v="0.15"/>
    <n v="8775.01"/>
    <n v="7361.33"/>
    <n v="1413.68"/>
    <s v="Mobile Payment"/>
    <n v="4"/>
    <s v="July"/>
    <s v="Q3"/>
    <n v="2024"/>
    <m/>
  </r>
  <r>
    <s v="SAL-1546"/>
    <d v="2024-10-17T00:00:00"/>
    <s v="Chad Lopez"/>
    <s v="Central"/>
    <x v="0"/>
    <s v="Home Office"/>
    <s v="Office Supplies"/>
    <s v="Notebook"/>
    <n v="5"/>
    <n v="186.84"/>
    <n v="0"/>
    <n v="934.2"/>
    <n v="670.35"/>
    <n v="263.85000000000002"/>
    <s v="Cash"/>
    <n v="3"/>
    <s v="October"/>
    <s v="Q4"/>
    <n v="2024"/>
    <m/>
  </r>
  <r>
    <s v="SAL-1547"/>
    <d v="2024-01-22T00:00:00"/>
    <s v="Natalie Scott"/>
    <s v="South"/>
    <x v="2"/>
    <s v="Corporate"/>
    <s v="Electronics"/>
    <s v="Tablet"/>
    <n v="9"/>
    <n v="326.75"/>
    <n v="0.15"/>
    <n v="2499.64"/>
    <n v="2097.81"/>
    <n v="401.83"/>
    <s v="Card"/>
    <n v="5"/>
    <s v="January"/>
    <s v="Q1"/>
    <n v="2024"/>
    <m/>
  </r>
  <r>
    <s v="SAL-1548"/>
    <d v="2024-11-20T00:00:00"/>
    <s v="Eddie Thomas"/>
    <s v="West"/>
    <x v="1"/>
    <s v="Home Office"/>
    <s v="Office Supplies"/>
    <s v="Paper"/>
    <n v="3"/>
    <n v="200.1"/>
    <n v="0.05"/>
    <n v="570.28"/>
    <n v="458.54"/>
    <n v="111.74"/>
    <s v="Cash"/>
    <n v="3"/>
    <s v="November"/>
    <s v="Q4"/>
    <n v="2024"/>
    <m/>
  </r>
  <r>
    <s v="SAL-1549"/>
    <d v="2024-11-30T00:00:00"/>
    <s v="Kevin Parker"/>
    <s v="North"/>
    <x v="1"/>
    <s v="Corporate"/>
    <s v="Electronics"/>
    <s v="Tablet"/>
    <n v="7"/>
    <n v="291.27"/>
    <n v="0.15"/>
    <n v="1733.06"/>
    <n v="1062.8599999999999"/>
    <n v="670.2"/>
    <s v="Transfer"/>
    <n v="1"/>
    <s v="November"/>
    <s v="Q4"/>
    <n v="2024"/>
    <m/>
  </r>
  <r>
    <s v="SAL-1550"/>
    <d v="2024-02-18T00:00:00"/>
    <s v="Sylvia Griffin"/>
    <s v="Central"/>
    <x v="2"/>
    <s v="Corporate"/>
    <s v="Office Supplies"/>
    <s v="Pen"/>
    <n v="5"/>
    <n v="607.07000000000005"/>
    <n v="0.1"/>
    <n v="2731.82"/>
    <n v="1843.98"/>
    <n v="887.84"/>
    <s v="Cash"/>
    <n v="3"/>
    <s v="February"/>
    <s v="Q1"/>
    <n v="2024"/>
    <m/>
  </r>
  <r>
    <s v="SAL-1551"/>
    <d v="2024-02-24T00:00:00"/>
    <s v="Douglas Potter"/>
    <s v="East"/>
    <x v="0"/>
    <s v="Home Office"/>
    <s v="Clothing"/>
    <s v="Jacket"/>
    <n v="12"/>
    <n v="1193.76"/>
    <n v="0.05"/>
    <n v="13608.86"/>
    <n v="10086.07"/>
    <n v="3522.79"/>
    <s v="Cash"/>
    <n v="5"/>
    <s v="February"/>
    <s v="Q1"/>
    <n v="2024"/>
    <m/>
  </r>
  <r>
    <s v="SAL-1552"/>
    <d v="2024-07-21T00:00:00"/>
    <s v="Jeffrey Thompson"/>
    <s v="Central"/>
    <x v="4"/>
    <s v="Corporate"/>
    <s v="Furniture"/>
    <s v="Desk"/>
    <n v="2"/>
    <n v="25.51"/>
    <n v="0.15"/>
    <n v="43.37"/>
    <n v="21.9"/>
    <n v="21.47"/>
    <s v="Cash"/>
    <n v="1"/>
    <s v="July"/>
    <s v="Q3"/>
    <n v="2024"/>
    <m/>
  </r>
  <r>
    <s v="SAL-1553"/>
    <d v="2024-04-01T00:00:00"/>
    <s v="Sara Watson"/>
    <s v="Central"/>
    <x v="2"/>
    <s v="Consumer"/>
    <s v="Clothing"/>
    <s v="Jacket"/>
    <n v="10"/>
    <n v="601.19000000000005"/>
    <n v="0.15"/>
    <n v="5110.12"/>
    <n v="4314.22"/>
    <n v="795.9"/>
    <s v="Transfer"/>
    <n v="3"/>
    <s v="April"/>
    <s v="Q2"/>
    <n v="2024"/>
    <m/>
  </r>
  <r>
    <s v="SAL-1554"/>
    <d v="2024-02-21T00:00:00"/>
    <s v="Maria Page"/>
    <s v="East"/>
    <x v="3"/>
    <s v="Consumer"/>
    <s v="Clothing"/>
    <s v="Sneakers"/>
    <n v="5"/>
    <n v="185.09"/>
    <n v="0.15"/>
    <n v="786.63"/>
    <n v="629.01"/>
    <n v="157.62"/>
    <s v="Transfer"/>
    <n v="2"/>
    <s v="February"/>
    <s v="Q1"/>
    <n v="2024"/>
    <m/>
  </r>
  <r>
    <s v="SAL-1555"/>
    <d v="2024-10-30T00:00:00"/>
    <s v="Charles Herrera"/>
    <s v="West"/>
    <x v="2"/>
    <s v="Consumer"/>
    <s v="Furniture"/>
    <s v="Cabinet"/>
    <n v="10"/>
    <n v="701.64"/>
    <n v="0.1"/>
    <n v="6314.76"/>
    <n v="3733.32"/>
    <n v="2581.44"/>
    <s v="Card"/>
    <n v="3"/>
    <s v="October"/>
    <s v="Q4"/>
    <n v="2024"/>
    <m/>
  </r>
  <r>
    <s v="SAL-1556"/>
    <d v="2024-03-28T00:00:00"/>
    <s v="Jennifer Bullock"/>
    <s v="Central"/>
    <x v="4"/>
    <s v="Home Office"/>
    <s v="Office Supplies"/>
    <s v="Notebook"/>
    <n v="9"/>
    <n v="717.98"/>
    <n v="0"/>
    <n v="6461.82"/>
    <n v="4178.37"/>
    <n v="2283.4499999999998"/>
    <s v="Mobile Payment"/>
    <n v="5"/>
    <s v="March"/>
    <s v="Q1"/>
    <n v="2024"/>
    <m/>
  </r>
  <r>
    <s v="SAL-1557"/>
    <d v="2024-02-03T00:00:00"/>
    <s v="Teresa Stephens"/>
    <s v="East"/>
    <x v="0"/>
    <s v="Home Office"/>
    <s v="Furniture"/>
    <s v="Cabinet"/>
    <n v="11"/>
    <n v="1158.71"/>
    <n v="0"/>
    <n v="12745.81"/>
    <n v="7074.58"/>
    <n v="5671.23"/>
    <s v="Mobile Payment"/>
    <n v="3"/>
    <s v="February"/>
    <s v="Q1"/>
    <n v="2024"/>
    <m/>
  </r>
  <r>
    <s v="SAL-1558"/>
    <d v="2024-03-03T00:00:00"/>
    <s v="Billy Burns"/>
    <s v="Central"/>
    <x v="4"/>
    <s v="Corporate"/>
    <s v="Clothing"/>
    <s v="Sneakers"/>
    <n v="12"/>
    <n v="541.33000000000004"/>
    <n v="0.15"/>
    <n v="5521.57"/>
    <n v="4215.6099999999997"/>
    <n v="1305.96"/>
    <s v="Cash"/>
    <n v="2"/>
    <s v="March"/>
    <s v="Q1"/>
    <n v="2024"/>
    <m/>
  </r>
  <r>
    <s v="SAL-1559"/>
    <d v="2024-05-18T00:00:00"/>
    <s v="Jamie Li"/>
    <s v="North"/>
    <x v="4"/>
    <s v="Corporate"/>
    <s v="Furniture"/>
    <s v="Chair"/>
    <n v="6"/>
    <n v="735.88"/>
    <n v="0.05"/>
    <n v="4194.5200000000004"/>
    <n v="3094.6"/>
    <n v="1099.92"/>
    <s v="Cash"/>
    <n v="1"/>
    <s v="May"/>
    <s v="Q2"/>
    <n v="2024"/>
    <m/>
  </r>
  <r>
    <s v="SAL-1560"/>
    <d v="2024-07-20T00:00:00"/>
    <s v="Kimberly Diaz"/>
    <s v="West"/>
    <x v="3"/>
    <s v="Corporate"/>
    <s v="Furniture"/>
    <s v="Cabinet"/>
    <n v="9"/>
    <n v="979.76"/>
    <n v="0.1"/>
    <n v="7936.06"/>
    <n v="4116.87"/>
    <n v="3819.19"/>
    <s v="Cash"/>
    <n v="2"/>
    <s v="July"/>
    <s v="Q3"/>
    <n v="2024"/>
    <m/>
  </r>
  <r>
    <s v="SAL-1561"/>
    <d v="2024-01-18T00:00:00"/>
    <s v="Joseph Kane"/>
    <s v="South"/>
    <x v="3"/>
    <s v="Consumer"/>
    <s v="Electronics"/>
    <s v="Phone"/>
    <n v="5"/>
    <n v="446.04"/>
    <n v="0"/>
    <n v="2230.1999999999998"/>
    <n v="1692.84"/>
    <n v="537.36"/>
    <s v="Cash"/>
    <n v="5"/>
    <s v="January"/>
    <s v="Q1"/>
    <n v="2024"/>
    <m/>
  </r>
  <r>
    <s v="SAL-1562"/>
    <d v="2024-05-11T00:00:00"/>
    <s v="Phyllis Wilson"/>
    <s v="Central"/>
    <x v="2"/>
    <s v="Home Office"/>
    <s v="Clothing"/>
    <s v="Sneakers"/>
    <n v="4"/>
    <n v="302.42"/>
    <n v="0.1"/>
    <n v="1088.71"/>
    <n v="754.45"/>
    <n v="334.26"/>
    <s v="Mobile Payment"/>
    <n v="3"/>
    <s v="May"/>
    <s v="Q2"/>
    <n v="2024"/>
    <m/>
  </r>
  <r>
    <s v="SAL-1563"/>
    <d v="2024-10-31T00:00:00"/>
    <s v="Felicia Allen"/>
    <s v="Central"/>
    <x v="0"/>
    <s v="Home Office"/>
    <s v="Electronics"/>
    <s v="Tablet"/>
    <n v="5"/>
    <n v="36.369999999999997"/>
    <n v="0"/>
    <n v="181.85"/>
    <n v="114.57"/>
    <n v="67.28"/>
    <s v="Transfer"/>
    <n v="4"/>
    <s v="October"/>
    <s v="Q4"/>
    <n v="2024"/>
    <m/>
  </r>
  <r>
    <s v="SAL-1564"/>
    <d v="2024-11-16T00:00:00"/>
    <s v="Paula Young"/>
    <s v="North"/>
    <x v="0"/>
    <s v="Home Office"/>
    <s v="Office Supplies"/>
    <s v="Paper"/>
    <n v="6"/>
    <n v="1127.68"/>
    <n v="0.05"/>
    <n v="6427.78"/>
    <n v="3296.55"/>
    <n v="3131.23"/>
    <s v="Cash"/>
    <n v="2"/>
    <s v="November"/>
    <s v="Q4"/>
    <n v="2024"/>
    <m/>
  </r>
  <r>
    <s v="SAL-1565"/>
    <d v="2024-05-20T00:00:00"/>
    <s v="Ashley George"/>
    <s v="South"/>
    <x v="4"/>
    <s v="Corporate"/>
    <s v="Electronics"/>
    <s v="Phone"/>
    <n v="8"/>
    <n v="207.31"/>
    <n v="0.05"/>
    <n v="1575.56"/>
    <n v="829.7"/>
    <n v="745.86"/>
    <s v="Cash"/>
    <n v="1"/>
    <s v="May"/>
    <s v="Q2"/>
    <n v="2024"/>
    <m/>
  </r>
  <r>
    <s v="SAL-1566"/>
    <d v="2024-07-23T00:00:00"/>
    <s v="Christopher Vargas"/>
    <s v="South"/>
    <x v="3"/>
    <s v="Consumer"/>
    <s v="Office Supplies"/>
    <s v="Notebook"/>
    <n v="7"/>
    <n v="144.41"/>
    <n v="0.05"/>
    <n v="960.33"/>
    <n v="623.82000000000005"/>
    <n v="336.51"/>
    <s v="Card"/>
    <n v="4"/>
    <s v="July"/>
    <s v="Q3"/>
    <n v="2024"/>
    <m/>
  </r>
  <r>
    <s v="SAL-1567"/>
    <d v="2024-05-14T00:00:00"/>
    <s v="David Smith"/>
    <s v="North"/>
    <x v="0"/>
    <s v="Home Office"/>
    <s v="Clothing"/>
    <s v="Jacket"/>
    <n v="6"/>
    <n v="1153.42"/>
    <n v="0.15"/>
    <n v="5882.44"/>
    <n v="3703.59"/>
    <n v="2178.85"/>
    <s v="Mobile Payment"/>
    <n v="1"/>
    <s v="May"/>
    <s v="Q2"/>
    <n v="2024"/>
    <m/>
  </r>
  <r>
    <s v="SAL-1568"/>
    <d v="2024-12-31T00:00:00"/>
    <s v="Adam Olson"/>
    <s v="South"/>
    <x v="4"/>
    <s v="Corporate"/>
    <s v="Electronics"/>
    <s v="Tablet"/>
    <n v="11"/>
    <n v="713.11"/>
    <n v="0.05"/>
    <n v="7452"/>
    <n v="5786.04"/>
    <n v="1665.96"/>
    <s v="Transfer"/>
    <n v="1"/>
    <s v="December"/>
    <s v="Q4"/>
    <n v="2024"/>
    <m/>
  </r>
  <r>
    <s v="SAL-1569"/>
    <d v="2024-04-08T00:00:00"/>
    <s v="Sean Martin"/>
    <s v="Central"/>
    <x v="1"/>
    <s v="Home Office"/>
    <s v="Clothing"/>
    <s v="T-Shirt"/>
    <n v="5"/>
    <n v="756.37"/>
    <n v="0"/>
    <n v="3781.85"/>
    <n v="2058.79"/>
    <n v="1723.06"/>
    <s v="Cash"/>
    <n v="4"/>
    <s v="April"/>
    <s v="Q2"/>
    <n v="2024"/>
    <m/>
  </r>
  <r>
    <s v="SAL-1570"/>
    <d v="2024-02-09T00:00:00"/>
    <s v="John Castaneda"/>
    <s v="Central"/>
    <x v="0"/>
    <s v="Consumer"/>
    <s v="Clothing"/>
    <s v="T-Shirt"/>
    <n v="12"/>
    <n v="307.77"/>
    <n v="0.1"/>
    <n v="3323.92"/>
    <n v="2070.33"/>
    <n v="1253.5899999999999"/>
    <s v="Transfer"/>
    <n v="5"/>
    <s v="February"/>
    <s v="Q1"/>
    <n v="2024"/>
    <m/>
  </r>
  <r>
    <s v="SAL-1571"/>
    <d v="2024-06-13T00:00:00"/>
    <s v="Dr. Rebecca Whitaker"/>
    <s v="West"/>
    <x v="2"/>
    <s v="Corporate"/>
    <s v="Office Supplies"/>
    <s v="Paper"/>
    <n v="3"/>
    <n v="677.35"/>
    <n v="0.05"/>
    <n v="1930.45"/>
    <n v="973.93"/>
    <n v="956.52"/>
    <s v="Transfer"/>
    <n v="4"/>
    <s v="June"/>
    <s v="Q2"/>
    <n v="2024"/>
    <m/>
  </r>
  <r>
    <s v="SAL-1572"/>
    <d v="2024-04-08T00:00:00"/>
    <s v="Amy Campos"/>
    <s v="South"/>
    <x v="0"/>
    <s v="Home Office"/>
    <s v="Electronics"/>
    <s v="Printer"/>
    <n v="5"/>
    <n v="823.66"/>
    <n v="0.15"/>
    <n v="3500.55"/>
    <n v="2925.35"/>
    <n v="575.20000000000005"/>
    <s v="Transfer"/>
    <n v="4"/>
    <s v="April"/>
    <s v="Q2"/>
    <n v="2024"/>
    <m/>
  </r>
  <r>
    <s v="SAL-1573"/>
    <d v="2024-08-30T00:00:00"/>
    <s v="Heather Brooks"/>
    <s v="East"/>
    <x v="4"/>
    <s v="Consumer"/>
    <s v="Clothing"/>
    <s v="Jacket"/>
    <n v="10"/>
    <n v="849.4"/>
    <n v="0.15"/>
    <n v="7219.9"/>
    <n v="5502.1"/>
    <n v="1717.8"/>
    <s v="Mobile Payment"/>
    <n v="5"/>
    <s v="August"/>
    <s v="Q3"/>
    <n v="2024"/>
    <m/>
  </r>
  <r>
    <s v="SAL-1574"/>
    <d v="2024-10-16T00:00:00"/>
    <s v="Alicia Smith"/>
    <s v="West"/>
    <x v="1"/>
    <s v="Corporate"/>
    <s v="Furniture"/>
    <s v="Chair"/>
    <n v="3"/>
    <n v="781.39"/>
    <n v="0.1"/>
    <n v="2109.75"/>
    <n v="1107.42"/>
    <n v="1002.33"/>
    <s v="Cash"/>
    <n v="3"/>
    <s v="October"/>
    <s v="Q4"/>
    <n v="2024"/>
    <m/>
  </r>
  <r>
    <s v="SAL-1575"/>
    <d v="2024-01-17T00:00:00"/>
    <s v="Tyler Torres"/>
    <s v="North"/>
    <x v="0"/>
    <s v="Corporate"/>
    <s v="Clothing"/>
    <s v="Sneakers"/>
    <n v="7"/>
    <n v="1093.9000000000001"/>
    <n v="0"/>
    <n v="7657.3"/>
    <n v="5127.5"/>
    <n v="2529.8000000000002"/>
    <s v="Transfer"/>
    <n v="1"/>
    <s v="January"/>
    <s v="Q1"/>
    <n v="2024"/>
    <m/>
  </r>
  <r>
    <s v="SAL-1576"/>
    <d v="2024-09-09T00:00:00"/>
    <s v="Danny Boyer"/>
    <s v="West"/>
    <x v="1"/>
    <s v="Home Office"/>
    <s v="Office Supplies"/>
    <s v="Notebook"/>
    <n v="5"/>
    <n v="130.04"/>
    <n v="0.15"/>
    <n v="552.66999999999996"/>
    <n v="308.48"/>
    <n v="244.19"/>
    <s v="Cash"/>
    <n v="5"/>
    <s v="September"/>
    <s v="Q3"/>
    <n v="2024"/>
    <m/>
  </r>
  <r>
    <s v="SAL-1577"/>
    <d v="2024-08-17T00:00:00"/>
    <s v="Craig Short"/>
    <s v="West"/>
    <x v="1"/>
    <s v="Consumer"/>
    <s v="Clothing"/>
    <s v="Sneakers"/>
    <n v="11"/>
    <n v="664.45"/>
    <n v="0.05"/>
    <n v="6943.5"/>
    <n v="4631.21"/>
    <n v="2312.29"/>
    <s v="Mobile Payment"/>
    <n v="3"/>
    <s v="August"/>
    <s v="Q3"/>
    <n v="2024"/>
    <m/>
  </r>
  <r>
    <s v="SAL-1578"/>
    <d v="2024-05-27T00:00:00"/>
    <s v="Matthew Glover"/>
    <s v="East"/>
    <x v="4"/>
    <s v="Home Office"/>
    <s v="Office Supplies"/>
    <s v="Paper"/>
    <n v="4"/>
    <n v="654.29"/>
    <n v="0.05"/>
    <n v="2486.3000000000002"/>
    <n v="1723.22"/>
    <n v="763.08"/>
    <s v="Mobile Payment"/>
    <n v="5"/>
    <s v="May"/>
    <s v="Q2"/>
    <n v="2024"/>
    <m/>
  </r>
  <r>
    <s v="SAL-1579"/>
    <d v="2024-04-11T00:00:00"/>
    <s v="Gary Snyder"/>
    <s v="South"/>
    <x v="4"/>
    <s v="Corporate"/>
    <s v="Furniture"/>
    <s v="Desk"/>
    <n v="5"/>
    <n v="769.41"/>
    <n v="0.05"/>
    <n v="3654.7"/>
    <n v="2598.56"/>
    <n v="1056.1400000000001"/>
    <s v="Cash"/>
    <n v="4"/>
    <s v="April"/>
    <s v="Q2"/>
    <n v="2024"/>
    <m/>
  </r>
  <r>
    <s v="SAL-1580"/>
    <d v="2024-05-15T00:00:00"/>
    <s v="Eric Myers"/>
    <s v="East"/>
    <x v="1"/>
    <s v="Consumer"/>
    <s v="Electronics"/>
    <s v="Phone"/>
    <n v="7"/>
    <n v="1159.02"/>
    <n v="0.05"/>
    <n v="7707.48"/>
    <n v="5089.38"/>
    <n v="2618.1"/>
    <s v="Cash"/>
    <n v="4"/>
    <s v="May"/>
    <s v="Q2"/>
    <n v="2024"/>
    <m/>
  </r>
  <r>
    <s v="SAL-1581"/>
    <d v="2024-01-16T00:00:00"/>
    <s v="Kevin Bush"/>
    <s v="Central"/>
    <x v="4"/>
    <s v="Consumer"/>
    <s v="Clothing"/>
    <s v="Sneakers"/>
    <n v="9"/>
    <n v="1169.06"/>
    <n v="0.1"/>
    <n v="9469.39"/>
    <n v="6878.36"/>
    <n v="2591.0300000000002"/>
    <s v="Cash"/>
    <n v="1"/>
    <s v="January"/>
    <s v="Q1"/>
    <n v="2024"/>
    <m/>
  </r>
  <r>
    <s v="SAL-1582"/>
    <d v="2024-09-10T00:00:00"/>
    <s v="Cassandra Copeland"/>
    <s v="East"/>
    <x v="3"/>
    <s v="Home Office"/>
    <s v="Electronics"/>
    <s v="Printer"/>
    <n v="5"/>
    <n v="141.9"/>
    <n v="0.05"/>
    <n v="674.02"/>
    <n v="491.08"/>
    <n v="182.94"/>
    <s v="Transfer"/>
    <n v="4"/>
    <s v="September"/>
    <s v="Q3"/>
    <n v="2024"/>
    <m/>
  </r>
  <r>
    <s v="SAL-1583"/>
    <d v="2024-10-07T00:00:00"/>
    <s v="Jillian Hurst"/>
    <s v="West"/>
    <x v="4"/>
    <s v="Home Office"/>
    <s v="Clothing"/>
    <s v="Jacket"/>
    <n v="9"/>
    <n v="355.73"/>
    <n v="0.15"/>
    <n v="2721.33"/>
    <n v="2264.0300000000002"/>
    <n v="457.3"/>
    <s v="Card"/>
    <n v="1"/>
    <s v="October"/>
    <s v="Q4"/>
    <n v="2024"/>
    <m/>
  </r>
  <r>
    <s v="SAL-1584"/>
    <d v="2024-05-01T00:00:00"/>
    <s v="Maria Gillespie"/>
    <s v="West"/>
    <x v="2"/>
    <s v="Consumer"/>
    <s v="Furniture"/>
    <s v="Desk"/>
    <n v="11"/>
    <n v="1001.39"/>
    <n v="0"/>
    <n v="11015.29"/>
    <n v="9084.64"/>
    <n v="1930.65"/>
    <s v="Cash"/>
    <n v="3"/>
    <s v="May"/>
    <s v="Q2"/>
    <n v="2024"/>
    <m/>
  </r>
  <r>
    <s v="SAL-1585"/>
    <d v="2024-10-03T00:00:00"/>
    <s v="Garrett Ponce"/>
    <s v="East"/>
    <x v="1"/>
    <s v="Corporate"/>
    <s v="Furniture"/>
    <s v="Desk"/>
    <n v="11"/>
    <n v="636.57000000000005"/>
    <n v="0"/>
    <n v="7002.27"/>
    <n v="5656.64"/>
    <n v="1345.63"/>
    <s v="Card"/>
    <n v="4"/>
    <s v="October"/>
    <s v="Q4"/>
    <n v="2024"/>
    <m/>
  </r>
  <r>
    <s v="SAL-1586"/>
    <d v="2024-10-22T00:00:00"/>
    <s v="Kaylee Young"/>
    <s v="North"/>
    <x v="0"/>
    <s v="Corporate"/>
    <s v="Electronics"/>
    <s v="Tablet"/>
    <n v="11"/>
    <n v="1120.8"/>
    <n v="0.1"/>
    <n v="11095.92"/>
    <n v="5593.39"/>
    <n v="5502.53"/>
    <s v="Cash"/>
    <n v="5"/>
    <s v="October"/>
    <s v="Q4"/>
    <n v="2024"/>
    <m/>
  </r>
  <r>
    <s v="SAL-1587"/>
    <d v="2024-08-14T00:00:00"/>
    <s v="Wayne Cox"/>
    <s v="East"/>
    <x v="2"/>
    <s v="Home Office"/>
    <s v="Electronics"/>
    <s v="Phone"/>
    <n v="3"/>
    <n v="319.64"/>
    <n v="0"/>
    <n v="958.92"/>
    <n v="636.28"/>
    <n v="322.64"/>
    <s v="Mobile Payment"/>
    <n v="3"/>
    <s v="August"/>
    <s v="Q3"/>
    <n v="2024"/>
    <m/>
  </r>
  <r>
    <s v="SAL-1588"/>
    <d v="2024-04-26T00:00:00"/>
    <s v="Robert Young"/>
    <s v="Central"/>
    <x v="3"/>
    <s v="Corporate"/>
    <s v="Furniture"/>
    <s v="Chair"/>
    <n v="12"/>
    <n v="629.22"/>
    <n v="0.15"/>
    <n v="6418.04"/>
    <n v="3389.81"/>
    <n v="3028.23"/>
    <s v="Cash"/>
    <n v="4"/>
    <s v="April"/>
    <s v="Q2"/>
    <n v="2024"/>
    <m/>
  </r>
  <r>
    <s v="SAL-1589"/>
    <d v="2024-12-08T00:00:00"/>
    <s v="Trevor Miller"/>
    <s v="North"/>
    <x v="4"/>
    <s v="Consumer"/>
    <s v="Electronics"/>
    <s v="Laptop"/>
    <n v="4"/>
    <n v="1000.74"/>
    <n v="0.1"/>
    <n v="3602.66"/>
    <n v="2432.65"/>
    <n v="1170.01"/>
    <s v="Card"/>
    <n v="5"/>
    <s v="December"/>
    <s v="Q4"/>
    <n v="2024"/>
    <m/>
  </r>
  <r>
    <s v="SAL-1590"/>
    <d v="2024-08-30T00:00:00"/>
    <s v="Brooke Holloway"/>
    <s v="East"/>
    <x v="2"/>
    <s v="Home Office"/>
    <s v="Electronics"/>
    <s v="Tablet"/>
    <n v="10"/>
    <n v="122.32"/>
    <n v="0.1"/>
    <n v="1100.8800000000001"/>
    <n v="646.34"/>
    <n v="454.54"/>
    <s v="Card"/>
    <n v="1"/>
    <s v="August"/>
    <s v="Q3"/>
    <n v="2024"/>
    <m/>
  </r>
  <r>
    <s v="SAL-1591"/>
    <d v="2024-06-14T00:00:00"/>
    <s v="Megan Sanchez"/>
    <s v="East"/>
    <x v="0"/>
    <s v="Consumer"/>
    <s v="Clothing"/>
    <s v="T-Shirt"/>
    <n v="11"/>
    <n v="413.76"/>
    <n v="0.15"/>
    <n v="3868.66"/>
    <n v="2720.54"/>
    <n v="1148.1199999999999"/>
    <s v="Cash"/>
    <n v="1"/>
    <s v="June"/>
    <s v="Q2"/>
    <n v="2024"/>
    <m/>
  </r>
  <r>
    <s v="SAL-1592"/>
    <d v="2024-05-30T00:00:00"/>
    <s v="Scott Mata"/>
    <s v="West"/>
    <x v="2"/>
    <s v="Consumer"/>
    <s v="Office Supplies"/>
    <s v="Notebook"/>
    <n v="5"/>
    <n v="906.25"/>
    <n v="0"/>
    <n v="4531.25"/>
    <n v="3850.01"/>
    <n v="681.24"/>
    <s v="Cash"/>
    <n v="5"/>
    <s v="May"/>
    <s v="Q2"/>
    <n v="2024"/>
    <m/>
  </r>
  <r>
    <s v="SAL-1593"/>
    <d v="2024-08-26T00:00:00"/>
    <s v="Brittney Sanchez"/>
    <s v="North"/>
    <x v="2"/>
    <s v="Home Office"/>
    <s v="Electronics"/>
    <s v="Laptop"/>
    <n v="12"/>
    <n v="406.47"/>
    <n v="0.05"/>
    <n v="4633.76"/>
    <n v="3476.32"/>
    <n v="1157.44"/>
    <s v="Cash"/>
    <n v="2"/>
    <s v="August"/>
    <s v="Q3"/>
    <n v="2024"/>
    <m/>
  </r>
  <r>
    <s v="SAL-1594"/>
    <d v="2024-05-14T00:00:00"/>
    <s v="Michael Nielsen"/>
    <s v="East"/>
    <x v="1"/>
    <s v="Consumer"/>
    <s v="Electronics"/>
    <s v="Laptop"/>
    <n v="11"/>
    <n v="566.44000000000005"/>
    <n v="0.05"/>
    <n v="5919.3"/>
    <n v="4638.25"/>
    <n v="1281.05"/>
    <s v="Transfer"/>
    <n v="4"/>
    <s v="May"/>
    <s v="Q2"/>
    <n v="2024"/>
    <m/>
  </r>
  <r>
    <s v="SAL-1595"/>
    <d v="2024-12-13T00:00:00"/>
    <s v="Angela Turner"/>
    <s v="Central"/>
    <x v="3"/>
    <s v="Corporate"/>
    <s v="Office Supplies"/>
    <s v="Pen"/>
    <n v="11"/>
    <n v="115.08"/>
    <n v="0.1"/>
    <n v="1139.29"/>
    <n v="924.32"/>
    <n v="214.97"/>
    <s v="Mobile Payment"/>
    <n v="2"/>
    <s v="December"/>
    <s v="Q4"/>
    <n v="2024"/>
    <m/>
  </r>
  <r>
    <s v="SAL-1596"/>
    <d v="2024-04-15T00:00:00"/>
    <s v="Jon Edwards"/>
    <s v="Central"/>
    <x v="0"/>
    <s v="Home Office"/>
    <s v="Clothing"/>
    <s v="Sneakers"/>
    <n v="10"/>
    <n v="461.01"/>
    <n v="0"/>
    <n v="4610.1000000000004"/>
    <n v="3657.71"/>
    <n v="952.39"/>
    <s v="Card"/>
    <n v="4"/>
    <s v="April"/>
    <s v="Q2"/>
    <n v="2024"/>
    <m/>
  </r>
  <r>
    <s v="SAL-1597"/>
    <d v="2024-01-11T00:00:00"/>
    <s v="Matthew Sanchez"/>
    <s v="North"/>
    <x v="2"/>
    <s v="Corporate"/>
    <s v="Office Supplies"/>
    <s v="Pen"/>
    <n v="3"/>
    <n v="926.54"/>
    <n v="0.1"/>
    <n v="2501.66"/>
    <n v="1808.85"/>
    <n v="692.81"/>
    <s v="Cash"/>
    <n v="1"/>
    <s v="January"/>
    <s v="Q1"/>
    <n v="2024"/>
    <m/>
  </r>
  <r>
    <s v="SAL-1598"/>
    <d v="2024-07-28T00:00:00"/>
    <s v="Mr. Joel Lewis"/>
    <s v="North"/>
    <x v="1"/>
    <s v="Consumer"/>
    <s v="Electronics"/>
    <s v="Tablet"/>
    <n v="11"/>
    <n v="626.42999999999995"/>
    <n v="0"/>
    <n v="6890.73"/>
    <n v="5352.43"/>
    <n v="1538.3"/>
    <s v="Card"/>
    <n v="4"/>
    <s v="July"/>
    <s v="Q3"/>
    <n v="2024"/>
    <m/>
  </r>
  <r>
    <s v="SAL-1599"/>
    <d v="2024-07-12T00:00:00"/>
    <s v="David Reynolds DVM"/>
    <s v="South"/>
    <x v="3"/>
    <s v="Corporate"/>
    <s v="Furniture"/>
    <s v="Cabinet"/>
    <n v="3"/>
    <n v="473.19"/>
    <n v="0.15"/>
    <n v="1206.6300000000001"/>
    <n v="728.57"/>
    <n v="478.06"/>
    <s v="Transfer"/>
    <n v="5"/>
    <s v="July"/>
    <s v="Q3"/>
    <n v="2024"/>
    <m/>
  </r>
  <r>
    <s v="SAL-1600"/>
    <d v="2024-10-09T00:00:00"/>
    <s v="Billy Mitchell"/>
    <s v="West"/>
    <x v="3"/>
    <s v="Home Office"/>
    <s v="Office Supplies"/>
    <s v="Notebook"/>
    <n v="9"/>
    <n v="1001.9"/>
    <n v="0.05"/>
    <n v="8566.25"/>
    <n v="5825.85"/>
    <n v="2740.4"/>
    <s v="Card"/>
    <n v="2"/>
    <s v="October"/>
    <s v="Q4"/>
    <n v="2024"/>
    <m/>
  </r>
  <r>
    <s v="SAL-1601"/>
    <d v="2024-01-20T00:00:00"/>
    <s v="Amanda Nelson"/>
    <s v="North"/>
    <x v="4"/>
    <s v="Corporate"/>
    <s v="Electronics"/>
    <s v="Printer"/>
    <n v="10"/>
    <n v="1124.56"/>
    <n v="0.05"/>
    <n v="10683.32"/>
    <n v="9054.48"/>
    <n v="1628.84"/>
    <s v="Mobile Payment"/>
    <n v="4"/>
    <s v="January"/>
    <s v="Q1"/>
    <n v="2024"/>
    <m/>
  </r>
  <r>
    <s v="SAL-1602"/>
    <d v="2024-12-24T00:00:00"/>
    <s v="Ruben Miller"/>
    <s v="South"/>
    <x v="2"/>
    <s v="Consumer"/>
    <s v="Clothing"/>
    <s v="Sneakers"/>
    <n v="3"/>
    <n v="990.31"/>
    <n v="0.05"/>
    <n v="2822.38"/>
    <n v="2107.0300000000002"/>
    <n v="715.35"/>
    <s v="Card"/>
    <n v="4"/>
    <s v="December"/>
    <s v="Q4"/>
    <n v="2024"/>
    <m/>
  </r>
  <r>
    <s v="SAL-1603"/>
    <d v="2024-06-02T00:00:00"/>
    <s v="Kristin Petersen"/>
    <s v="South"/>
    <x v="3"/>
    <s v="Consumer"/>
    <s v="Electronics"/>
    <s v="Tablet"/>
    <n v="9"/>
    <n v="796.82"/>
    <n v="0.1"/>
    <n v="6454.24"/>
    <n v="4261.21"/>
    <n v="2193.0300000000002"/>
    <s v="Cash"/>
    <n v="4"/>
    <s v="June"/>
    <s v="Q2"/>
    <n v="2024"/>
    <m/>
  </r>
  <r>
    <s v="SAL-1604"/>
    <d v="2024-01-31T00:00:00"/>
    <s v="Jessica Nicholson"/>
    <s v="Central"/>
    <x v="4"/>
    <s v="Consumer"/>
    <s v="Furniture"/>
    <s v="Desk"/>
    <n v="7"/>
    <n v="1142.04"/>
    <n v="0"/>
    <n v="7994.28"/>
    <n v="5017.8500000000004"/>
    <n v="2976.43"/>
    <s v="Mobile Payment"/>
    <n v="2"/>
    <s v="January"/>
    <s v="Q1"/>
    <n v="2024"/>
    <m/>
  </r>
  <r>
    <s v="SAL-1605"/>
    <d v="2024-08-06T00:00:00"/>
    <s v="Timothy Hernandez"/>
    <s v="North"/>
    <x v="4"/>
    <s v="Home Office"/>
    <s v="Electronics"/>
    <s v="Laptop"/>
    <n v="11"/>
    <n v="354.73"/>
    <n v="0.1"/>
    <n v="3511.83"/>
    <n v="2526.4899999999998"/>
    <n v="985.34"/>
    <s v="Mobile Payment"/>
    <n v="5"/>
    <s v="August"/>
    <s v="Q3"/>
    <n v="2024"/>
    <m/>
  </r>
  <r>
    <s v="SAL-1606"/>
    <d v="2024-11-27T00:00:00"/>
    <s v="Alicia Walker"/>
    <s v="West"/>
    <x v="1"/>
    <s v="Consumer"/>
    <s v="Clothing"/>
    <s v="T-Shirt"/>
    <n v="1"/>
    <n v="390.41"/>
    <n v="0"/>
    <n v="390.41"/>
    <n v="228.43"/>
    <n v="161.97999999999999"/>
    <s v="Card"/>
    <n v="3"/>
    <s v="November"/>
    <s v="Q4"/>
    <n v="2024"/>
    <m/>
  </r>
  <r>
    <s v="SAL-1607"/>
    <d v="2024-02-06T00:00:00"/>
    <s v="Caitlin Liu"/>
    <s v="South"/>
    <x v="4"/>
    <s v="Corporate"/>
    <s v="Clothing"/>
    <s v="T-Shirt"/>
    <n v="11"/>
    <n v="935.03"/>
    <n v="0"/>
    <n v="10285.33"/>
    <n v="8334.18"/>
    <n v="1951.15"/>
    <s v="Cash"/>
    <n v="2"/>
    <s v="February"/>
    <s v="Q1"/>
    <n v="2024"/>
    <m/>
  </r>
  <r>
    <s v="SAL-1608"/>
    <d v="2024-05-10T00:00:00"/>
    <s v="Tracy Jones"/>
    <s v="Central"/>
    <x v="2"/>
    <s v="Corporate"/>
    <s v="Office Supplies"/>
    <s v="Pen"/>
    <n v="8"/>
    <n v="402.24"/>
    <n v="0"/>
    <n v="3217.92"/>
    <n v="2107.16"/>
    <n v="1110.76"/>
    <s v="Cash"/>
    <n v="4"/>
    <s v="May"/>
    <s v="Q2"/>
    <n v="2024"/>
    <m/>
  </r>
  <r>
    <s v="SAL-1609"/>
    <d v="2024-08-06T00:00:00"/>
    <s v="Rachael Ramirez"/>
    <s v="West"/>
    <x v="2"/>
    <s v="Home Office"/>
    <s v="Furniture"/>
    <s v="Chair"/>
    <n v="5"/>
    <n v="493.93"/>
    <n v="0.05"/>
    <n v="2346.17"/>
    <n v="1786.45"/>
    <n v="559.72"/>
    <s v="Cash"/>
    <n v="1"/>
    <s v="August"/>
    <s v="Q3"/>
    <n v="2024"/>
    <m/>
  </r>
  <r>
    <s v="SAL-1610"/>
    <d v="2024-12-13T00:00:00"/>
    <s v="Carl Ochoa"/>
    <s v="East"/>
    <x v="3"/>
    <s v="Corporate"/>
    <s v="Office Supplies"/>
    <s v="Pen"/>
    <n v="10"/>
    <n v="525.34"/>
    <n v="0"/>
    <n v="5253.4"/>
    <n v="2924.61"/>
    <n v="2328.79"/>
    <s v="Mobile Payment"/>
    <n v="2"/>
    <s v="December"/>
    <s v="Q4"/>
    <n v="2024"/>
    <m/>
  </r>
  <r>
    <s v="SAL-1611"/>
    <d v="2024-09-02T00:00:00"/>
    <s v="Alyssa Weiss"/>
    <s v="North"/>
    <x v="0"/>
    <s v="Corporate"/>
    <s v="Office Supplies"/>
    <s v="Paper"/>
    <n v="5"/>
    <n v="85.42"/>
    <n v="0"/>
    <n v="427.1"/>
    <n v="340.7"/>
    <n v="86.4"/>
    <s v="Mobile Payment"/>
    <n v="4"/>
    <s v="September"/>
    <s v="Q3"/>
    <n v="2024"/>
    <m/>
  </r>
  <r>
    <s v="SAL-1612"/>
    <d v="2024-09-07T00:00:00"/>
    <s v="Nichole Mckenzie"/>
    <s v="East"/>
    <x v="0"/>
    <s v="Corporate"/>
    <s v="Furniture"/>
    <s v="Cabinet"/>
    <n v="5"/>
    <n v="570.01"/>
    <n v="0.15"/>
    <n v="2422.54"/>
    <n v="1483.51"/>
    <n v="939.03"/>
    <s v="Cash"/>
    <n v="2"/>
    <s v="September"/>
    <s v="Q3"/>
    <n v="2024"/>
    <m/>
  </r>
  <r>
    <s v="SAL-1613"/>
    <d v="2024-09-17T00:00:00"/>
    <s v="Michelle Pham"/>
    <s v="East"/>
    <x v="4"/>
    <s v="Consumer"/>
    <s v="Electronics"/>
    <s v="Phone"/>
    <n v="11"/>
    <n v="762.06"/>
    <n v="0.1"/>
    <n v="7544.39"/>
    <n v="4395.1099999999997"/>
    <n v="3149.28"/>
    <s v="Cash"/>
    <n v="4"/>
    <s v="September"/>
    <s v="Q3"/>
    <n v="2024"/>
    <m/>
  </r>
  <r>
    <s v="SAL-1614"/>
    <d v="2024-07-11T00:00:00"/>
    <s v="Patrick Torres"/>
    <s v="West"/>
    <x v="3"/>
    <s v="Consumer"/>
    <s v="Office Supplies"/>
    <s v="Pen"/>
    <n v="8"/>
    <n v="308.98"/>
    <n v="0.15"/>
    <n v="2101.06"/>
    <n v="1705.59"/>
    <n v="395.47"/>
    <s v="Transfer"/>
    <n v="5"/>
    <s v="July"/>
    <s v="Q3"/>
    <n v="2024"/>
    <m/>
  </r>
  <r>
    <s v="SAL-1615"/>
    <d v="2024-05-27T00:00:00"/>
    <s v="Marie Collins"/>
    <s v="Central"/>
    <x v="4"/>
    <s v="Consumer"/>
    <s v="Furniture"/>
    <s v="Chair"/>
    <n v="1"/>
    <n v="671.97"/>
    <n v="0.1"/>
    <n v="604.77"/>
    <n v="449.53"/>
    <n v="155.24"/>
    <s v="Card"/>
    <n v="5"/>
    <s v="May"/>
    <s v="Q2"/>
    <n v="2024"/>
    <m/>
  </r>
  <r>
    <s v="SAL-1616"/>
    <d v="2024-04-14T00:00:00"/>
    <s v="Nicholas Zamora"/>
    <s v="South"/>
    <x v="3"/>
    <s v="Corporate"/>
    <s v="Clothing"/>
    <s v="T-Shirt"/>
    <n v="6"/>
    <n v="218.81"/>
    <n v="0"/>
    <n v="1312.86"/>
    <n v="876.5"/>
    <n v="436.36"/>
    <s v="Transfer"/>
    <n v="4"/>
    <s v="April"/>
    <s v="Q2"/>
    <n v="2024"/>
    <m/>
  </r>
  <r>
    <s v="SAL-1617"/>
    <d v="2024-09-27T00:00:00"/>
    <s v="Nicole Flores"/>
    <s v="West"/>
    <x v="4"/>
    <s v="Consumer"/>
    <s v="Clothing"/>
    <s v="T-Shirt"/>
    <n v="9"/>
    <n v="144.11000000000001"/>
    <n v="0"/>
    <n v="1296.99"/>
    <n v="904.34"/>
    <n v="392.65"/>
    <s v="Card"/>
    <n v="2"/>
    <s v="September"/>
    <s v="Q3"/>
    <n v="2024"/>
    <m/>
  </r>
  <r>
    <s v="SAL-1618"/>
    <d v="2024-06-17T00:00:00"/>
    <s v="Rebecca Bennett"/>
    <s v="Central"/>
    <x v="0"/>
    <s v="Corporate"/>
    <s v="Electronics"/>
    <s v="Phone"/>
    <n v="9"/>
    <n v="471.44"/>
    <n v="0.1"/>
    <n v="3818.66"/>
    <n v="2130.6999999999998"/>
    <n v="1687.96"/>
    <s v="Mobile Payment"/>
    <n v="3"/>
    <s v="June"/>
    <s v="Q2"/>
    <n v="2024"/>
    <m/>
  </r>
  <r>
    <s v="SAL-1619"/>
    <d v="2024-09-27T00:00:00"/>
    <s v="Daniel Kim"/>
    <s v="West"/>
    <x v="0"/>
    <s v="Home Office"/>
    <s v="Office Supplies"/>
    <s v="Pen"/>
    <n v="8"/>
    <n v="957.7"/>
    <n v="0.05"/>
    <n v="7278.52"/>
    <n v="5447.13"/>
    <n v="1831.39"/>
    <s v="Cash"/>
    <n v="4"/>
    <s v="September"/>
    <s v="Q3"/>
    <n v="2024"/>
    <m/>
  </r>
  <r>
    <s v="SAL-1620"/>
    <d v="2024-07-15T00:00:00"/>
    <s v="Margaret Thompson"/>
    <s v="Central"/>
    <x v="4"/>
    <s v="Home Office"/>
    <s v="Clothing"/>
    <s v="T-Shirt"/>
    <n v="11"/>
    <n v="694.03"/>
    <n v="0.1"/>
    <n v="6870.9"/>
    <n v="4266.37"/>
    <n v="2604.5300000000002"/>
    <s v="Cash"/>
    <n v="1"/>
    <s v="July"/>
    <s v="Q3"/>
    <n v="2024"/>
    <m/>
  </r>
  <r>
    <s v="SAL-1621"/>
    <d v="2024-12-15T00:00:00"/>
    <s v="Janet Meyer"/>
    <s v="South"/>
    <x v="4"/>
    <s v="Corporate"/>
    <s v="Furniture"/>
    <s v="Desk"/>
    <n v="10"/>
    <n v="924.77"/>
    <n v="0.15"/>
    <n v="7860.55"/>
    <n v="6249.98"/>
    <n v="1610.57"/>
    <s v="Mobile Payment"/>
    <n v="1"/>
    <s v="December"/>
    <s v="Q4"/>
    <n v="2024"/>
    <m/>
  </r>
  <r>
    <s v="SAL-1622"/>
    <d v="2024-01-23T00:00:00"/>
    <s v="Barry Diaz"/>
    <s v="Central"/>
    <x v="3"/>
    <s v="Corporate"/>
    <s v="Electronics"/>
    <s v="Laptop"/>
    <n v="2"/>
    <n v="1077.23"/>
    <n v="0.1"/>
    <n v="1939.01"/>
    <n v="1400.1"/>
    <n v="538.91"/>
    <s v="Mobile Payment"/>
    <n v="1"/>
    <s v="January"/>
    <s v="Q1"/>
    <n v="2024"/>
    <m/>
  </r>
  <r>
    <s v="SAL-1623"/>
    <d v="2024-01-22T00:00:00"/>
    <s v="Derrick Garcia"/>
    <s v="East"/>
    <x v="1"/>
    <s v="Home Office"/>
    <s v="Furniture"/>
    <s v="Chair"/>
    <n v="12"/>
    <n v="912.87"/>
    <n v="0.15"/>
    <n v="9311.27"/>
    <n v="5208.46"/>
    <n v="4102.8100000000004"/>
    <s v="Cash"/>
    <n v="4"/>
    <s v="January"/>
    <s v="Q1"/>
    <n v="2024"/>
    <m/>
  </r>
  <r>
    <s v="SAL-1624"/>
    <d v="2024-10-29T00:00:00"/>
    <s v="Stephanie Hansen"/>
    <s v="Central"/>
    <x v="2"/>
    <s v="Consumer"/>
    <s v="Office Supplies"/>
    <s v="Notebook"/>
    <n v="4"/>
    <n v="684.91"/>
    <n v="0.05"/>
    <n v="2602.66"/>
    <n v="1934.47"/>
    <n v="668.19"/>
    <s v="Transfer"/>
    <n v="5"/>
    <s v="October"/>
    <s v="Q4"/>
    <n v="2024"/>
    <m/>
  </r>
  <r>
    <s v="SAL-1625"/>
    <d v="2024-11-24T00:00:00"/>
    <s v="Justin Cox"/>
    <s v="West"/>
    <x v="2"/>
    <s v="Corporate"/>
    <s v="Furniture"/>
    <s v="Desk"/>
    <n v="8"/>
    <n v="541.37"/>
    <n v="0.1"/>
    <n v="3897.86"/>
    <n v="2106.1799999999998"/>
    <n v="1791.68"/>
    <s v="Mobile Payment"/>
    <n v="2"/>
    <s v="November"/>
    <s v="Q4"/>
    <n v="2024"/>
    <m/>
  </r>
  <r>
    <s v="SAL-1626"/>
    <d v="2024-07-28T00:00:00"/>
    <s v="Betty Zamora"/>
    <s v="South"/>
    <x v="1"/>
    <s v="Home Office"/>
    <s v="Office Supplies"/>
    <s v="Paper"/>
    <n v="11"/>
    <n v="933.83"/>
    <n v="0.05"/>
    <n v="9758.52"/>
    <n v="6101.06"/>
    <n v="3657.46"/>
    <s v="Transfer"/>
    <n v="1"/>
    <s v="July"/>
    <s v="Q3"/>
    <n v="2024"/>
    <m/>
  </r>
  <r>
    <s v="SAL-1627"/>
    <d v="2024-11-22T00:00:00"/>
    <s v="Jennifer Hall"/>
    <s v="East"/>
    <x v="4"/>
    <s v="Corporate"/>
    <s v="Furniture"/>
    <s v="Chair"/>
    <n v="7"/>
    <n v="771.44"/>
    <n v="0"/>
    <n v="5400.08"/>
    <n v="4245.0600000000004"/>
    <n v="1155.02"/>
    <s v="Cash"/>
    <n v="5"/>
    <s v="November"/>
    <s v="Q4"/>
    <n v="2024"/>
    <m/>
  </r>
  <r>
    <s v="SAL-1628"/>
    <d v="2024-08-27T00:00:00"/>
    <s v="Sean Henry"/>
    <s v="East"/>
    <x v="4"/>
    <s v="Corporate"/>
    <s v="Office Supplies"/>
    <s v="Notebook"/>
    <n v="12"/>
    <n v="854.12"/>
    <n v="0.05"/>
    <n v="9736.9699999999993"/>
    <n v="6197.32"/>
    <n v="3539.65"/>
    <s v="Cash"/>
    <n v="1"/>
    <s v="August"/>
    <s v="Q3"/>
    <n v="2024"/>
    <m/>
  </r>
  <r>
    <s v="SAL-1629"/>
    <d v="2024-03-15T00:00:00"/>
    <s v="Cory Wilson"/>
    <s v="North"/>
    <x v="3"/>
    <s v="Corporate"/>
    <s v="Office Supplies"/>
    <s v="Pen"/>
    <n v="7"/>
    <n v="141.47"/>
    <n v="0.1"/>
    <n v="891.26"/>
    <n v="507.25"/>
    <n v="384.01"/>
    <s v="Mobile Payment"/>
    <n v="3"/>
    <s v="March"/>
    <s v="Q1"/>
    <n v="2024"/>
    <m/>
  </r>
  <r>
    <s v="SAL-1630"/>
    <d v="2024-05-09T00:00:00"/>
    <s v="Mrs. Sarah King"/>
    <s v="North"/>
    <x v="3"/>
    <s v="Home Office"/>
    <s v="Furniture"/>
    <s v="Desk"/>
    <n v="6"/>
    <n v="1074.4000000000001"/>
    <n v="0.05"/>
    <n v="6124.08"/>
    <n v="4784.76"/>
    <n v="1339.32"/>
    <s v="Card"/>
    <n v="1"/>
    <s v="May"/>
    <s v="Q2"/>
    <n v="2024"/>
    <m/>
  </r>
  <r>
    <s v="SAL-1631"/>
    <d v="2024-02-20T00:00:00"/>
    <s v="Randy Andrews"/>
    <s v="West"/>
    <x v="0"/>
    <s v="Corporate"/>
    <s v="Office Supplies"/>
    <s v="Pen"/>
    <n v="6"/>
    <n v="556.45000000000005"/>
    <n v="0.15"/>
    <n v="2837.89"/>
    <n v="2292.94"/>
    <n v="544.95000000000005"/>
    <s v="Cash"/>
    <n v="1"/>
    <s v="February"/>
    <s v="Q1"/>
    <n v="2024"/>
    <m/>
  </r>
  <r>
    <s v="SAL-1632"/>
    <d v="2024-11-03T00:00:00"/>
    <s v="Steve Douglas MD"/>
    <s v="West"/>
    <x v="4"/>
    <s v="Corporate"/>
    <s v="Clothing"/>
    <s v="Jacket"/>
    <n v="10"/>
    <n v="365.69"/>
    <n v="0.15"/>
    <n v="3108.36"/>
    <n v="2122.98"/>
    <n v="985.38"/>
    <s v="Cash"/>
    <n v="5"/>
    <s v="November"/>
    <s v="Q4"/>
    <n v="2024"/>
    <m/>
  </r>
  <r>
    <s v="SAL-1633"/>
    <d v="2024-01-02T00:00:00"/>
    <s v="Andrea Jimenez"/>
    <s v="East"/>
    <x v="1"/>
    <s v="Corporate"/>
    <s v="Furniture"/>
    <s v="Desk"/>
    <n v="10"/>
    <n v="364.38"/>
    <n v="0.1"/>
    <n v="3279.42"/>
    <n v="2372.4499999999998"/>
    <n v="906.97"/>
    <s v="Mobile Payment"/>
    <n v="5"/>
    <s v="January"/>
    <s v="Q1"/>
    <n v="2024"/>
    <m/>
  </r>
  <r>
    <s v="SAL-1634"/>
    <d v="2024-08-17T00:00:00"/>
    <s v="Jonathan Rogers"/>
    <s v="South"/>
    <x v="4"/>
    <s v="Corporate"/>
    <s v="Office Supplies"/>
    <s v="Paper"/>
    <n v="11"/>
    <n v="1140.95"/>
    <n v="0.05"/>
    <n v="11922.93"/>
    <n v="7252.06"/>
    <n v="4670.87"/>
    <s v="Card"/>
    <n v="3"/>
    <s v="August"/>
    <s v="Q3"/>
    <n v="2024"/>
    <m/>
  </r>
  <r>
    <s v="SAL-1635"/>
    <d v="2024-01-24T00:00:00"/>
    <s v="Sean Logan"/>
    <s v="Central"/>
    <x v="1"/>
    <s v="Corporate"/>
    <s v="Electronics"/>
    <s v="Phone"/>
    <n v="4"/>
    <n v="886.18"/>
    <n v="0.1"/>
    <n v="3190.25"/>
    <n v="1685.57"/>
    <n v="1504.68"/>
    <s v="Transfer"/>
    <n v="2"/>
    <s v="January"/>
    <s v="Q1"/>
    <n v="2024"/>
    <m/>
  </r>
  <r>
    <s v="SAL-1636"/>
    <d v="2024-06-01T00:00:00"/>
    <s v="Don Barton"/>
    <s v="East"/>
    <x v="0"/>
    <s v="Consumer"/>
    <s v="Office Supplies"/>
    <s v="Notebook"/>
    <n v="3"/>
    <n v="1162.76"/>
    <n v="0.1"/>
    <n v="3139.45"/>
    <n v="2009.08"/>
    <n v="1130.3699999999999"/>
    <s v="Transfer"/>
    <n v="2"/>
    <s v="June"/>
    <s v="Q2"/>
    <n v="2024"/>
    <m/>
  </r>
  <r>
    <s v="SAL-1637"/>
    <d v="2024-08-12T00:00:00"/>
    <s v="Jesse Gill"/>
    <s v="Central"/>
    <x v="0"/>
    <s v="Consumer"/>
    <s v="Office Supplies"/>
    <s v="Notebook"/>
    <n v="8"/>
    <n v="441.73"/>
    <n v="0.15"/>
    <n v="3003.76"/>
    <n v="1531.68"/>
    <n v="1472.08"/>
    <s v="Transfer"/>
    <n v="3"/>
    <s v="August"/>
    <s v="Q3"/>
    <n v="2024"/>
    <m/>
  </r>
  <r>
    <s v="SAL-1638"/>
    <d v="2024-03-03T00:00:00"/>
    <s v="Andrew Smith"/>
    <s v="South"/>
    <x v="0"/>
    <s v="Corporate"/>
    <s v="Office Supplies"/>
    <s v="Pen"/>
    <n v="5"/>
    <n v="839.76"/>
    <n v="0.1"/>
    <n v="3778.92"/>
    <n v="2021.68"/>
    <n v="1757.24"/>
    <s v="Cash"/>
    <n v="4"/>
    <s v="March"/>
    <s v="Q1"/>
    <n v="2024"/>
    <m/>
  </r>
  <r>
    <s v="SAL-1639"/>
    <d v="2024-12-28T00:00:00"/>
    <s v="Olivia Garcia"/>
    <s v="South"/>
    <x v="0"/>
    <s v="Home Office"/>
    <s v="Electronics"/>
    <s v="Laptop"/>
    <n v="7"/>
    <n v="205.79"/>
    <n v="0.15"/>
    <n v="1224.45"/>
    <n v="739.48"/>
    <n v="484.97"/>
    <s v="Transfer"/>
    <n v="4"/>
    <s v="December"/>
    <s v="Q4"/>
    <n v="2024"/>
    <m/>
  </r>
  <r>
    <s v="SAL-1640"/>
    <d v="2024-12-20T00:00:00"/>
    <s v="Gloria Ward"/>
    <s v="South"/>
    <x v="0"/>
    <s v="Home Office"/>
    <s v="Furniture"/>
    <s v="Desk"/>
    <n v="4"/>
    <n v="434.46"/>
    <n v="0.15"/>
    <n v="1477.16"/>
    <n v="1210.96"/>
    <n v="266.2"/>
    <s v="Card"/>
    <n v="4"/>
    <s v="December"/>
    <s v="Q4"/>
    <n v="2024"/>
    <m/>
  </r>
  <r>
    <s v="SAL-1641"/>
    <d v="2024-12-22T00:00:00"/>
    <s v="Nathan Hernandez"/>
    <s v="North"/>
    <x v="3"/>
    <s v="Home Office"/>
    <s v="Electronics"/>
    <s v="Printer"/>
    <n v="9"/>
    <n v="666.33"/>
    <n v="0"/>
    <n v="5996.97"/>
    <n v="3602.04"/>
    <n v="2394.9299999999998"/>
    <s v="Cash"/>
    <n v="2"/>
    <s v="December"/>
    <s v="Q4"/>
    <n v="2024"/>
    <m/>
  </r>
  <r>
    <s v="SAL-1642"/>
    <d v="2024-07-05T00:00:00"/>
    <s v="Travis Ballard"/>
    <s v="North"/>
    <x v="1"/>
    <s v="Home Office"/>
    <s v="Furniture"/>
    <s v="Desk"/>
    <n v="9"/>
    <n v="717.04"/>
    <n v="0"/>
    <n v="6453.36"/>
    <n v="4298.8"/>
    <n v="2154.56"/>
    <s v="Transfer"/>
    <n v="4"/>
    <s v="July"/>
    <s v="Q3"/>
    <n v="2024"/>
    <m/>
  </r>
  <r>
    <s v="SAL-1643"/>
    <d v="2024-08-18T00:00:00"/>
    <s v="Amy Chavez"/>
    <s v="East"/>
    <x v="0"/>
    <s v="Home Office"/>
    <s v="Furniture"/>
    <s v="Cabinet"/>
    <n v="8"/>
    <n v="608.74"/>
    <n v="0.15"/>
    <n v="4139.43"/>
    <n v="2752.92"/>
    <n v="1386.51"/>
    <s v="Mobile Payment"/>
    <n v="4"/>
    <s v="August"/>
    <s v="Q3"/>
    <n v="2024"/>
    <m/>
  </r>
  <r>
    <s v="SAL-1644"/>
    <d v="2024-10-18T00:00:00"/>
    <s v="Rhonda Gomez"/>
    <s v="Central"/>
    <x v="0"/>
    <s v="Home Office"/>
    <s v="Electronics"/>
    <s v="Phone"/>
    <n v="10"/>
    <n v="618.38"/>
    <n v="0.05"/>
    <n v="5874.61"/>
    <n v="4862.24"/>
    <n v="1012.37"/>
    <s v="Mobile Payment"/>
    <n v="5"/>
    <s v="October"/>
    <s v="Q4"/>
    <n v="2024"/>
    <m/>
  </r>
  <r>
    <s v="SAL-1645"/>
    <d v="2024-07-25T00:00:00"/>
    <s v="Marissa Jones"/>
    <s v="Central"/>
    <x v="4"/>
    <s v="Corporate"/>
    <s v="Electronics"/>
    <s v="Laptop"/>
    <n v="2"/>
    <n v="120.66"/>
    <n v="0"/>
    <n v="241.32"/>
    <n v="183.17"/>
    <n v="58.15"/>
    <s v="Mobile Payment"/>
    <n v="5"/>
    <s v="July"/>
    <s v="Q3"/>
    <n v="2024"/>
    <m/>
  </r>
  <r>
    <s v="SAL-1646"/>
    <d v="2024-08-23T00:00:00"/>
    <s v="Todd Patrick"/>
    <s v="South"/>
    <x v="1"/>
    <s v="Consumer"/>
    <s v="Furniture"/>
    <s v="Cabinet"/>
    <n v="10"/>
    <n v="927.14"/>
    <n v="0.05"/>
    <n v="8807.83"/>
    <n v="4653.2299999999996"/>
    <n v="4154.6000000000004"/>
    <s v="Card"/>
    <n v="1"/>
    <s v="August"/>
    <s v="Q3"/>
    <n v="2024"/>
    <m/>
  </r>
  <r>
    <s v="SAL-1647"/>
    <d v="2024-08-17T00:00:00"/>
    <s v="Scott Robinson"/>
    <s v="West"/>
    <x v="0"/>
    <s v="Consumer"/>
    <s v="Electronics"/>
    <s v="Phone"/>
    <n v="4"/>
    <n v="644.97"/>
    <n v="0.05"/>
    <n v="2450.89"/>
    <n v="2010.48"/>
    <n v="440.41"/>
    <s v="Mobile Payment"/>
    <n v="1"/>
    <s v="August"/>
    <s v="Q3"/>
    <n v="2024"/>
    <m/>
  </r>
  <r>
    <s v="SAL-1648"/>
    <d v="2024-06-13T00:00:00"/>
    <s v="Evan Clark"/>
    <s v="North"/>
    <x v="2"/>
    <s v="Corporate"/>
    <s v="Clothing"/>
    <s v="T-Shirt"/>
    <n v="7"/>
    <n v="1045.93"/>
    <n v="0.15"/>
    <n v="6223.28"/>
    <n v="3820.85"/>
    <n v="2402.4299999999998"/>
    <s v="Transfer"/>
    <n v="5"/>
    <s v="June"/>
    <s v="Q2"/>
    <n v="2024"/>
    <m/>
  </r>
  <r>
    <s v="SAL-1649"/>
    <d v="2024-08-07T00:00:00"/>
    <s v="Shawn Hall"/>
    <s v="South"/>
    <x v="0"/>
    <s v="Home Office"/>
    <s v="Electronics"/>
    <s v="Tablet"/>
    <n v="12"/>
    <n v="358.16"/>
    <n v="0.05"/>
    <n v="4083.02"/>
    <n v="2074.27"/>
    <n v="2008.75"/>
    <s v="Transfer"/>
    <n v="2"/>
    <s v="August"/>
    <s v="Q3"/>
    <n v="2024"/>
    <m/>
  </r>
  <r>
    <s v="SAL-1650"/>
    <d v="2024-11-23T00:00:00"/>
    <s v="Mrs. Nicole Villarreal"/>
    <s v="South"/>
    <x v="3"/>
    <s v="Consumer"/>
    <s v="Electronics"/>
    <s v="Laptop"/>
    <n v="7"/>
    <n v="555.83000000000004"/>
    <n v="0.15"/>
    <n v="3307.19"/>
    <n v="2031.71"/>
    <n v="1275.48"/>
    <s v="Card"/>
    <n v="3"/>
    <s v="November"/>
    <s v="Q4"/>
    <n v="2024"/>
    <m/>
  </r>
  <r>
    <s v="SAL-1651"/>
    <d v="2024-11-10T00:00:00"/>
    <s v="Yvonne Patrick"/>
    <s v="West"/>
    <x v="0"/>
    <s v="Home Office"/>
    <s v="Furniture"/>
    <s v="Desk"/>
    <n v="9"/>
    <n v="157.82"/>
    <n v="0.15"/>
    <n v="1207.32"/>
    <n v="673.11"/>
    <n v="534.21"/>
    <s v="Mobile Payment"/>
    <n v="3"/>
    <s v="November"/>
    <s v="Q4"/>
    <n v="2024"/>
    <m/>
  </r>
  <r>
    <s v="SAL-1652"/>
    <d v="2024-02-15T00:00:00"/>
    <s v="Jon Padilla"/>
    <s v="East"/>
    <x v="1"/>
    <s v="Home Office"/>
    <s v="Clothing"/>
    <s v="T-Shirt"/>
    <n v="7"/>
    <n v="129.12"/>
    <n v="0.05"/>
    <n v="858.65"/>
    <n v="711.39"/>
    <n v="147.26"/>
    <s v="Mobile Payment"/>
    <n v="1"/>
    <s v="February"/>
    <s v="Q1"/>
    <n v="2024"/>
    <m/>
  </r>
  <r>
    <s v="SAL-1653"/>
    <d v="2024-01-17T00:00:00"/>
    <s v="Matthew Powers"/>
    <s v="Central"/>
    <x v="1"/>
    <s v="Home Office"/>
    <s v="Office Supplies"/>
    <s v="Notebook"/>
    <n v="9"/>
    <n v="48.7"/>
    <n v="0.15"/>
    <n v="372.56"/>
    <n v="282.51"/>
    <n v="90.05"/>
    <s v="Cash"/>
    <n v="5"/>
    <s v="January"/>
    <s v="Q1"/>
    <n v="2024"/>
    <m/>
  </r>
  <r>
    <s v="SAL-1654"/>
    <d v="2024-06-06T00:00:00"/>
    <s v="Alexis Hernandez"/>
    <s v="North"/>
    <x v="4"/>
    <s v="Corporate"/>
    <s v="Electronics"/>
    <s v="Printer"/>
    <n v="12"/>
    <n v="818.7"/>
    <n v="0.15"/>
    <n v="8350.74"/>
    <n v="4907.5"/>
    <n v="3443.24"/>
    <s v="Mobile Payment"/>
    <n v="4"/>
    <s v="June"/>
    <s v="Q2"/>
    <n v="2024"/>
    <m/>
  </r>
  <r>
    <s v="SAL-1655"/>
    <d v="2024-10-07T00:00:00"/>
    <s v="Samantha Richardson"/>
    <s v="East"/>
    <x v="3"/>
    <s v="Consumer"/>
    <s v="Clothing"/>
    <s v="T-Shirt"/>
    <n v="1"/>
    <n v="356.01"/>
    <n v="0.1"/>
    <n v="320.41000000000003"/>
    <n v="161.96"/>
    <n v="158.44999999999999"/>
    <s v="Mobile Payment"/>
    <n v="5"/>
    <s v="October"/>
    <s v="Q4"/>
    <n v="2024"/>
    <m/>
  </r>
  <r>
    <s v="SAL-1656"/>
    <d v="2024-08-24T00:00:00"/>
    <s v="Phillip Thomas"/>
    <s v="South"/>
    <x v="0"/>
    <s v="Consumer"/>
    <s v="Electronics"/>
    <s v="Printer"/>
    <n v="7"/>
    <n v="467.48"/>
    <n v="0"/>
    <n v="3272.36"/>
    <n v="2170.52"/>
    <n v="1101.8399999999999"/>
    <s v="Card"/>
    <n v="4"/>
    <s v="August"/>
    <s v="Q3"/>
    <n v="2024"/>
    <m/>
  </r>
  <r>
    <s v="SAL-1657"/>
    <d v="2024-06-05T00:00:00"/>
    <s v="Robin Brown"/>
    <s v="North"/>
    <x v="1"/>
    <s v="Consumer"/>
    <s v="Office Supplies"/>
    <s v="Pen"/>
    <n v="6"/>
    <n v="153.69999999999999"/>
    <n v="0.1"/>
    <n v="829.98"/>
    <n v="527.95000000000005"/>
    <n v="302.02999999999997"/>
    <s v="Mobile Payment"/>
    <n v="4"/>
    <s v="June"/>
    <s v="Q2"/>
    <n v="2024"/>
    <m/>
  </r>
  <r>
    <s v="SAL-1658"/>
    <d v="2024-09-28T00:00:00"/>
    <s v="James Dean"/>
    <s v="Central"/>
    <x v="4"/>
    <s v="Consumer"/>
    <s v="Clothing"/>
    <s v="Jacket"/>
    <n v="8"/>
    <n v="1091.3"/>
    <n v="0.05"/>
    <n v="8293.8799999999992"/>
    <n v="6238.63"/>
    <n v="2055.25"/>
    <s v="Cash"/>
    <n v="1"/>
    <s v="September"/>
    <s v="Q3"/>
    <n v="2024"/>
    <m/>
  </r>
  <r>
    <s v="SAL-1659"/>
    <d v="2024-12-21T00:00:00"/>
    <s v="Monica Lynch"/>
    <s v="West"/>
    <x v="1"/>
    <s v="Consumer"/>
    <s v="Electronics"/>
    <s v="Phone"/>
    <n v="8"/>
    <n v="55.84"/>
    <n v="0.15"/>
    <n v="379.71"/>
    <n v="218.76"/>
    <n v="160.94999999999999"/>
    <s v="Transfer"/>
    <n v="3"/>
    <s v="December"/>
    <s v="Q4"/>
    <n v="2024"/>
    <m/>
  </r>
  <r>
    <s v="SAL-1660"/>
    <d v="2024-11-23T00:00:00"/>
    <s v="Ian Drake"/>
    <s v="East"/>
    <x v="2"/>
    <s v="Home Office"/>
    <s v="Office Supplies"/>
    <s v="Paper"/>
    <n v="10"/>
    <n v="725.79"/>
    <n v="0"/>
    <n v="7257.9"/>
    <n v="3813.66"/>
    <n v="3444.24"/>
    <s v="Mobile Payment"/>
    <n v="4"/>
    <s v="November"/>
    <s v="Q4"/>
    <n v="2024"/>
    <m/>
  </r>
  <r>
    <s v="SAL-1661"/>
    <d v="2024-02-16T00:00:00"/>
    <s v="Amber Hampton"/>
    <s v="North"/>
    <x v="2"/>
    <s v="Consumer"/>
    <s v="Clothing"/>
    <s v="T-Shirt"/>
    <n v="7"/>
    <n v="252.95"/>
    <n v="0"/>
    <n v="1770.65"/>
    <n v="1372.37"/>
    <n v="398.28"/>
    <s v="Cash"/>
    <n v="3"/>
    <s v="February"/>
    <s v="Q1"/>
    <n v="2024"/>
    <m/>
  </r>
  <r>
    <s v="SAL-1662"/>
    <d v="2024-09-28T00:00:00"/>
    <s v="Theresa Walker"/>
    <s v="North"/>
    <x v="3"/>
    <s v="Home Office"/>
    <s v="Furniture"/>
    <s v="Desk"/>
    <n v="3"/>
    <n v="632.79"/>
    <n v="0.15"/>
    <n v="1613.61"/>
    <n v="1011.61"/>
    <n v="602"/>
    <s v="Transfer"/>
    <n v="2"/>
    <s v="September"/>
    <s v="Q3"/>
    <n v="2024"/>
    <m/>
  </r>
  <r>
    <s v="SAL-1663"/>
    <d v="2024-11-30T00:00:00"/>
    <s v="Megan Walsh"/>
    <s v="South"/>
    <x v="2"/>
    <s v="Corporate"/>
    <s v="Furniture"/>
    <s v="Desk"/>
    <n v="11"/>
    <n v="1085.74"/>
    <n v="0.05"/>
    <n v="11345.98"/>
    <n v="7817.97"/>
    <n v="3528.01"/>
    <s v="Transfer"/>
    <n v="1"/>
    <s v="November"/>
    <s v="Q4"/>
    <n v="2024"/>
    <m/>
  </r>
  <r>
    <s v="SAL-1664"/>
    <d v="2024-11-13T00:00:00"/>
    <s v="Tara Hall"/>
    <s v="South"/>
    <x v="3"/>
    <s v="Home Office"/>
    <s v="Office Supplies"/>
    <s v="Pen"/>
    <n v="11"/>
    <n v="440.46"/>
    <n v="0"/>
    <n v="4845.0600000000004"/>
    <n v="2712.81"/>
    <n v="2132.25"/>
    <s v="Transfer"/>
    <n v="1"/>
    <s v="November"/>
    <s v="Q4"/>
    <n v="2024"/>
    <m/>
  </r>
  <r>
    <s v="SAL-1665"/>
    <d v="2024-07-04T00:00:00"/>
    <s v="Kristin Davis"/>
    <s v="Central"/>
    <x v="0"/>
    <s v="Consumer"/>
    <s v="Clothing"/>
    <s v="Sneakers"/>
    <n v="8"/>
    <n v="1015.86"/>
    <n v="0"/>
    <n v="8126.88"/>
    <n v="4923"/>
    <n v="3203.88"/>
    <s v="Card"/>
    <n v="4"/>
    <s v="July"/>
    <s v="Q3"/>
    <n v="2024"/>
    <m/>
  </r>
  <r>
    <s v="SAL-1666"/>
    <d v="2024-12-23T00:00:00"/>
    <s v="Christopher Chavez"/>
    <s v="North"/>
    <x v="3"/>
    <s v="Home Office"/>
    <s v="Clothing"/>
    <s v="Jacket"/>
    <n v="6"/>
    <n v="375.68"/>
    <n v="0.15"/>
    <n v="1915.97"/>
    <n v="1256.76"/>
    <n v="659.21"/>
    <s v="Cash"/>
    <n v="1"/>
    <s v="December"/>
    <s v="Q4"/>
    <n v="2024"/>
    <m/>
  </r>
  <r>
    <s v="SAL-1667"/>
    <d v="2024-06-01T00:00:00"/>
    <s v="Matthew Gross"/>
    <s v="East"/>
    <x v="3"/>
    <s v="Consumer"/>
    <s v="Furniture"/>
    <s v="Desk"/>
    <n v="6"/>
    <n v="743.3"/>
    <n v="0.1"/>
    <n v="4013.82"/>
    <n v="2713.37"/>
    <n v="1300.45"/>
    <s v="Mobile Payment"/>
    <n v="3"/>
    <s v="June"/>
    <s v="Q2"/>
    <n v="2024"/>
    <m/>
  </r>
  <r>
    <s v="SAL-1668"/>
    <d v="2024-01-28T00:00:00"/>
    <s v="Zachary Vincent"/>
    <s v="East"/>
    <x v="1"/>
    <s v="Corporate"/>
    <s v="Clothing"/>
    <s v="T-Shirt"/>
    <n v="2"/>
    <n v="124.03"/>
    <n v="0.05"/>
    <n v="235.66"/>
    <n v="191.9"/>
    <n v="43.76"/>
    <s v="Cash"/>
    <n v="3"/>
    <s v="January"/>
    <s v="Q1"/>
    <n v="2024"/>
    <m/>
  </r>
  <r>
    <s v="SAL-1669"/>
    <d v="2024-04-24T00:00:00"/>
    <s v="Dr. Christopher Castillo"/>
    <s v="West"/>
    <x v="1"/>
    <s v="Home Office"/>
    <s v="Electronics"/>
    <s v="Laptop"/>
    <n v="4"/>
    <n v="1076.1300000000001"/>
    <n v="0.1"/>
    <n v="3874.07"/>
    <n v="2078.36"/>
    <n v="1795.71"/>
    <s v="Card"/>
    <n v="2"/>
    <s v="April"/>
    <s v="Q2"/>
    <n v="2024"/>
    <m/>
  </r>
  <r>
    <s v="SAL-1670"/>
    <d v="2024-04-07T00:00:00"/>
    <s v="Jeffrey Oneill"/>
    <s v="East"/>
    <x v="0"/>
    <s v="Consumer"/>
    <s v="Electronics"/>
    <s v="Phone"/>
    <n v="3"/>
    <n v="905.41"/>
    <n v="0"/>
    <n v="2716.23"/>
    <n v="2204.36"/>
    <n v="511.87"/>
    <s v="Cash"/>
    <n v="4"/>
    <s v="April"/>
    <s v="Q2"/>
    <n v="2024"/>
    <m/>
  </r>
  <r>
    <s v="SAL-1671"/>
    <d v="2024-08-12T00:00:00"/>
    <s v="Maria Martin"/>
    <s v="Central"/>
    <x v="4"/>
    <s v="Home Office"/>
    <s v="Clothing"/>
    <s v="Jacket"/>
    <n v="9"/>
    <n v="32.51"/>
    <n v="0"/>
    <n v="292.58999999999997"/>
    <n v="198.1"/>
    <n v="94.49"/>
    <s v="Card"/>
    <n v="5"/>
    <s v="August"/>
    <s v="Q3"/>
    <n v="2024"/>
    <m/>
  </r>
  <r>
    <s v="SAL-1672"/>
    <d v="2024-09-30T00:00:00"/>
    <s v="Sara Morales"/>
    <s v="West"/>
    <x v="0"/>
    <s v="Corporate"/>
    <s v="Furniture"/>
    <s v="Cabinet"/>
    <n v="8"/>
    <n v="790.43"/>
    <n v="0.1"/>
    <n v="5691.1"/>
    <n v="4746.9399999999996"/>
    <n v="944.16"/>
    <s v="Card"/>
    <n v="1"/>
    <s v="September"/>
    <s v="Q3"/>
    <n v="2024"/>
    <m/>
  </r>
  <r>
    <s v="SAL-1673"/>
    <d v="2024-04-03T00:00:00"/>
    <s v="Wanda Mclaughlin"/>
    <s v="West"/>
    <x v="0"/>
    <s v="Home Office"/>
    <s v="Clothing"/>
    <s v="Jacket"/>
    <n v="8"/>
    <n v="118.44"/>
    <n v="0.05"/>
    <n v="900.14"/>
    <n v="470.32"/>
    <n v="429.82"/>
    <s v="Transfer"/>
    <n v="1"/>
    <s v="April"/>
    <s v="Q2"/>
    <n v="2024"/>
    <m/>
  </r>
  <r>
    <s v="SAL-1674"/>
    <d v="2024-08-24T00:00:00"/>
    <s v="Nicholas Burns"/>
    <s v="Central"/>
    <x v="3"/>
    <s v="Corporate"/>
    <s v="Office Supplies"/>
    <s v="Paper"/>
    <n v="3"/>
    <n v="32.92"/>
    <n v="0"/>
    <n v="98.76"/>
    <n v="59.75"/>
    <n v="39.01"/>
    <s v="Card"/>
    <n v="2"/>
    <s v="August"/>
    <s v="Q3"/>
    <n v="2024"/>
    <m/>
  </r>
  <r>
    <s v="SAL-1675"/>
    <d v="2024-11-15T00:00:00"/>
    <s v="Christopher Burton"/>
    <s v="West"/>
    <x v="2"/>
    <s v="Corporate"/>
    <s v="Electronics"/>
    <s v="Laptop"/>
    <n v="4"/>
    <n v="282.52"/>
    <n v="0"/>
    <n v="1130.08"/>
    <n v="878.14"/>
    <n v="251.94"/>
    <s v="Cash"/>
    <n v="3"/>
    <s v="November"/>
    <s v="Q4"/>
    <n v="2024"/>
    <m/>
  </r>
  <r>
    <s v="SAL-1676"/>
    <d v="2024-04-03T00:00:00"/>
    <s v="Tamara Martinez"/>
    <s v="West"/>
    <x v="4"/>
    <s v="Corporate"/>
    <s v="Office Supplies"/>
    <s v="Notebook"/>
    <n v="1"/>
    <n v="500.5"/>
    <n v="0.1"/>
    <n v="450.45"/>
    <n v="332.6"/>
    <n v="117.85"/>
    <s v="Cash"/>
    <n v="4"/>
    <s v="April"/>
    <s v="Q2"/>
    <n v="2024"/>
    <m/>
  </r>
  <r>
    <s v="SAL-1677"/>
    <d v="2024-01-22T00:00:00"/>
    <s v="Patricia Mclaughlin"/>
    <s v="Central"/>
    <x v="2"/>
    <s v="Consumer"/>
    <s v="Office Supplies"/>
    <s v="Notebook"/>
    <n v="7"/>
    <n v="317.93"/>
    <n v="0.1"/>
    <n v="2002.96"/>
    <n v="1100.07"/>
    <n v="902.89"/>
    <s v="Cash"/>
    <n v="4"/>
    <s v="January"/>
    <s v="Q1"/>
    <n v="2024"/>
    <m/>
  </r>
  <r>
    <s v="SAL-1678"/>
    <d v="2024-06-01T00:00:00"/>
    <s v="Timothy Mccoy"/>
    <s v="North"/>
    <x v="1"/>
    <s v="Home Office"/>
    <s v="Electronics"/>
    <s v="Printer"/>
    <n v="12"/>
    <n v="593.02"/>
    <n v="0.1"/>
    <n v="6404.62"/>
    <n v="4783.37"/>
    <n v="1621.25"/>
    <s v="Cash"/>
    <n v="5"/>
    <s v="June"/>
    <s v="Q2"/>
    <n v="2024"/>
    <m/>
  </r>
  <r>
    <s v="SAL-1679"/>
    <d v="2024-05-19T00:00:00"/>
    <s v="Gwendolyn Mueller"/>
    <s v="West"/>
    <x v="0"/>
    <s v="Consumer"/>
    <s v="Furniture"/>
    <s v="Cabinet"/>
    <n v="7"/>
    <n v="681.5"/>
    <n v="0.15"/>
    <n v="4054.92"/>
    <n v="2383.0100000000002"/>
    <n v="1671.91"/>
    <s v="Mobile Payment"/>
    <n v="1"/>
    <s v="May"/>
    <s v="Q2"/>
    <n v="2024"/>
    <m/>
  </r>
  <r>
    <s v="SAL-1680"/>
    <d v="2024-06-29T00:00:00"/>
    <s v="Evan Clark"/>
    <s v="North"/>
    <x v="4"/>
    <s v="Consumer"/>
    <s v="Electronics"/>
    <s v="Printer"/>
    <n v="1"/>
    <n v="543.59"/>
    <n v="0.05"/>
    <n v="516.41"/>
    <n v="266.04000000000002"/>
    <n v="250.37"/>
    <s v="Card"/>
    <n v="4"/>
    <s v="June"/>
    <s v="Q2"/>
    <n v="2024"/>
    <m/>
  </r>
  <r>
    <s v="SAL-1681"/>
    <d v="2024-09-17T00:00:00"/>
    <s v="Bradley Brown"/>
    <s v="East"/>
    <x v="2"/>
    <s v="Consumer"/>
    <s v="Office Supplies"/>
    <s v="Paper"/>
    <n v="9"/>
    <n v="1111.93"/>
    <n v="0.05"/>
    <n v="9507"/>
    <n v="7982.56"/>
    <n v="1524.44"/>
    <s v="Mobile Payment"/>
    <n v="3"/>
    <s v="September"/>
    <s v="Q3"/>
    <n v="2024"/>
    <m/>
  </r>
  <r>
    <s v="SAL-1682"/>
    <d v="2024-02-06T00:00:00"/>
    <s v="Mary Barber"/>
    <s v="West"/>
    <x v="2"/>
    <s v="Consumer"/>
    <s v="Electronics"/>
    <s v="Laptop"/>
    <n v="12"/>
    <n v="762.84"/>
    <n v="0.05"/>
    <n v="8696.3799999999992"/>
    <n v="6753.92"/>
    <n v="1942.46"/>
    <s v="Mobile Payment"/>
    <n v="2"/>
    <s v="February"/>
    <s v="Q1"/>
    <n v="2024"/>
    <m/>
  </r>
  <r>
    <s v="SAL-1683"/>
    <d v="2024-11-22T00:00:00"/>
    <s v="Jeremy Floyd"/>
    <s v="East"/>
    <x v="2"/>
    <s v="Consumer"/>
    <s v="Clothing"/>
    <s v="Sneakers"/>
    <n v="7"/>
    <n v="295.14"/>
    <n v="0.1"/>
    <n v="1859.38"/>
    <n v="956.2"/>
    <n v="903.18"/>
    <s v="Card"/>
    <n v="2"/>
    <s v="November"/>
    <s v="Q4"/>
    <n v="2024"/>
    <m/>
  </r>
  <r>
    <s v="SAL-1684"/>
    <d v="2024-09-07T00:00:00"/>
    <s v="Erin Myers"/>
    <s v="Central"/>
    <x v="4"/>
    <s v="Corporate"/>
    <s v="Furniture"/>
    <s v="Cabinet"/>
    <n v="8"/>
    <n v="400.29"/>
    <n v="0"/>
    <n v="3202.32"/>
    <n v="1654.76"/>
    <n v="1547.56"/>
    <s v="Transfer"/>
    <n v="3"/>
    <s v="September"/>
    <s v="Q3"/>
    <n v="2024"/>
    <m/>
  </r>
  <r>
    <s v="SAL-1685"/>
    <d v="2024-10-29T00:00:00"/>
    <s v="Ashley Edwards"/>
    <s v="East"/>
    <x v="2"/>
    <s v="Consumer"/>
    <s v="Clothing"/>
    <s v="Jacket"/>
    <n v="7"/>
    <n v="409.34"/>
    <n v="0.15"/>
    <n v="2435.5700000000002"/>
    <n v="1541.92"/>
    <n v="893.65"/>
    <s v="Cash"/>
    <n v="2"/>
    <s v="October"/>
    <s v="Q4"/>
    <n v="2024"/>
    <m/>
  </r>
  <r>
    <s v="SAL-1686"/>
    <d v="2024-11-28T00:00:00"/>
    <s v="Debra Clark"/>
    <s v="North"/>
    <x v="0"/>
    <s v="Corporate"/>
    <s v="Electronics"/>
    <s v="Laptop"/>
    <n v="8"/>
    <n v="760.38"/>
    <n v="0"/>
    <n v="6083.04"/>
    <n v="3918.58"/>
    <n v="2164.46"/>
    <s v="Cash"/>
    <n v="2"/>
    <s v="November"/>
    <s v="Q4"/>
    <n v="2024"/>
    <m/>
  </r>
  <r>
    <s v="SAL-1687"/>
    <d v="2024-02-15T00:00:00"/>
    <s v="Evelyn Adams"/>
    <s v="East"/>
    <x v="3"/>
    <s v="Home Office"/>
    <s v="Clothing"/>
    <s v="Sneakers"/>
    <n v="11"/>
    <n v="868.25"/>
    <n v="0.1"/>
    <n v="8595.68"/>
    <n v="4513.8999999999996"/>
    <n v="4081.78"/>
    <s v="Cash"/>
    <n v="2"/>
    <s v="February"/>
    <s v="Q1"/>
    <n v="2024"/>
    <m/>
  </r>
  <r>
    <s v="SAL-1688"/>
    <d v="2024-12-15T00:00:00"/>
    <s v="Bobby Perez"/>
    <s v="West"/>
    <x v="0"/>
    <s v="Corporate"/>
    <s v="Electronics"/>
    <s v="Printer"/>
    <n v="9"/>
    <n v="473.84"/>
    <n v="0"/>
    <n v="4264.5600000000004"/>
    <n v="2402.14"/>
    <n v="1862.42"/>
    <s v="Mobile Payment"/>
    <n v="5"/>
    <s v="December"/>
    <s v="Q4"/>
    <n v="2024"/>
    <m/>
  </r>
  <r>
    <s v="SAL-1689"/>
    <d v="2024-07-13T00:00:00"/>
    <s v="Stephanie Madden"/>
    <s v="South"/>
    <x v="3"/>
    <s v="Consumer"/>
    <s v="Office Supplies"/>
    <s v="Notebook"/>
    <n v="12"/>
    <n v="583.94000000000005"/>
    <n v="0.1"/>
    <n v="6306.55"/>
    <n v="4053.26"/>
    <n v="2253.29"/>
    <s v="Transfer"/>
    <n v="5"/>
    <s v="July"/>
    <s v="Q3"/>
    <n v="2024"/>
    <m/>
  </r>
  <r>
    <s v="SAL-1690"/>
    <d v="2024-11-27T00:00:00"/>
    <s v="Emily Miller"/>
    <s v="South"/>
    <x v="3"/>
    <s v="Consumer"/>
    <s v="Furniture"/>
    <s v="Cabinet"/>
    <n v="2"/>
    <n v="354.86"/>
    <n v="0"/>
    <n v="709.72"/>
    <n v="572.72"/>
    <n v="137"/>
    <s v="Mobile Payment"/>
    <n v="3"/>
    <s v="November"/>
    <s v="Q4"/>
    <n v="2024"/>
    <m/>
  </r>
  <r>
    <s v="SAL-1691"/>
    <d v="2024-11-14T00:00:00"/>
    <s v="Mrs. Monica Wilson MD"/>
    <s v="North"/>
    <x v="3"/>
    <s v="Home Office"/>
    <s v="Electronics"/>
    <s v="Printer"/>
    <n v="5"/>
    <n v="460.11"/>
    <n v="0.15"/>
    <n v="1955.47"/>
    <n v="1440.3"/>
    <n v="515.16999999999996"/>
    <s v="Card"/>
    <n v="5"/>
    <s v="November"/>
    <s v="Q4"/>
    <n v="2024"/>
    <m/>
  </r>
  <r>
    <s v="SAL-1692"/>
    <d v="2024-09-14T00:00:00"/>
    <s v="Mr. Ryan Jimenez"/>
    <s v="North"/>
    <x v="3"/>
    <s v="Consumer"/>
    <s v="Electronics"/>
    <s v="Printer"/>
    <n v="8"/>
    <n v="1184.1600000000001"/>
    <n v="0.05"/>
    <n v="8999.6200000000008"/>
    <n v="5924.18"/>
    <n v="3075.44"/>
    <s v="Cash"/>
    <n v="2"/>
    <s v="September"/>
    <s v="Q3"/>
    <n v="2024"/>
    <m/>
  </r>
  <r>
    <s v="SAL-1693"/>
    <d v="2024-10-07T00:00:00"/>
    <s v="Robert Hawkins"/>
    <s v="West"/>
    <x v="3"/>
    <s v="Consumer"/>
    <s v="Clothing"/>
    <s v="Sneakers"/>
    <n v="12"/>
    <n v="64.069999999999993"/>
    <n v="0.15"/>
    <n v="653.51"/>
    <n v="541.84"/>
    <n v="111.67"/>
    <s v="Cash"/>
    <n v="5"/>
    <s v="October"/>
    <s v="Q4"/>
    <n v="2024"/>
    <m/>
  </r>
  <r>
    <s v="SAL-1694"/>
    <d v="2024-01-04T00:00:00"/>
    <s v="Natalie Wyatt"/>
    <s v="South"/>
    <x v="3"/>
    <s v="Corporate"/>
    <s v="Electronics"/>
    <s v="Tablet"/>
    <n v="7"/>
    <n v="107.62"/>
    <n v="0.15"/>
    <n v="640.34"/>
    <n v="447.75"/>
    <n v="192.59"/>
    <s v="Transfer"/>
    <n v="5"/>
    <s v="January"/>
    <s v="Q1"/>
    <n v="2024"/>
    <m/>
  </r>
  <r>
    <s v="SAL-1695"/>
    <d v="2024-08-17T00:00:00"/>
    <s v="Alex Fletcher"/>
    <s v="Central"/>
    <x v="4"/>
    <s v="Corporate"/>
    <s v="Electronics"/>
    <s v="Laptop"/>
    <n v="3"/>
    <n v="924.29"/>
    <n v="0.15"/>
    <n v="2356.94"/>
    <n v="1483.88"/>
    <n v="873.06"/>
    <s v="Transfer"/>
    <n v="2"/>
    <s v="August"/>
    <s v="Q3"/>
    <n v="2024"/>
    <m/>
  </r>
  <r>
    <s v="SAL-1696"/>
    <d v="2024-03-03T00:00:00"/>
    <s v="Katie Yang"/>
    <s v="West"/>
    <x v="1"/>
    <s v="Home Office"/>
    <s v="Office Supplies"/>
    <s v="Paper"/>
    <n v="2"/>
    <n v="489.93"/>
    <n v="0.15"/>
    <n v="832.88"/>
    <n v="651.71"/>
    <n v="181.17"/>
    <s v="Cash"/>
    <n v="3"/>
    <s v="March"/>
    <s v="Q1"/>
    <n v="2024"/>
    <m/>
  </r>
  <r>
    <s v="SAL-1697"/>
    <d v="2024-11-05T00:00:00"/>
    <s v="Terry Love"/>
    <s v="East"/>
    <x v="0"/>
    <s v="Corporate"/>
    <s v="Office Supplies"/>
    <s v="Notebook"/>
    <n v="12"/>
    <n v="300.08"/>
    <n v="0.1"/>
    <n v="3240.86"/>
    <n v="2052.0300000000002"/>
    <n v="1188.83"/>
    <s v="Card"/>
    <n v="5"/>
    <s v="November"/>
    <s v="Q4"/>
    <n v="2024"/>
    <m/>
  </r>
  <r>
    <s v="SAL-1698"/>
    <d v="2024-08-12T00:00:00"/>
    <s v="Henry Thomas"/>
    <s v="Central"/>
    <x v="2"/>
    <s v="Home Office"/>
    <s v="Office Supplies"/>
    <s v="Pen"/>
    <n v="7"/>
    <n v="609.42999999999995"/>
    <n v="0.15"/>
    <n v="3626.11"/>
    <n v="2407.9699999999998"/>
    <n v="1218.1400000000001"/>
    <s v="Card"/>
    <n v="2"/>
    <s v="August"/>
    <s v="Q3"/>
    <n v="2024"/>
    <m/>
  </r>
  <r>
    <s v="SAL-1699"/>
    <d v="2024-11-19T00:00:00"/>
    <s v="Julie Collins"/>
    <s v="West"/>
    <x v="2"/>
    <s v="Home Office"/>
    <s v="Electronics"/>
    <s v="Tablet"/>
    <n v="4"/>
    <n v="210.68"/>
    <n v="0"/>
    <n v="842.72"/>
    <n v="690.39"/>
    <n v="152.33000000000001"/>
    <s v="Cash"/>
    <n v="2"/>
    <s v="November"/>
    <s v="Q4"/>
    <n v="2024"/>
    <m/>
  </r>
  <r>
    <s v="SAL-1700"/>
    <d v="2024-09-22T00:00:00"/>
    <s v="Catherine Williams"/>
    <s v="North"/>
    <x v="0"/>
    <s v="Corporate"/>
    <s v="Electronics"/>
    <s v="Tablet"/>
    <n v="8"/>
    <n v="731.21"/>
    <n v="0.15"/>
    <n v="4972.2299999999996"/>
    <n v="2564.16"/>
    <n v="2408.0700000000002"/>
    <s v="Cash"/>
    <n v="2"/>
    <s v="September"/>
    <s v="Q3"/>
    <n v="2024"/>
    <m/>
  </r>
  <r>
    <s v="SAL-1701"/>
    <d v="2024-04-16T00:00:00"/>
    <s v="Ryan Duffy"/>
    <s v="West"/>
    <x v="1"/>
    <s v="Consumer"/>
    <s v="Office Supplies"/>
    <s v="Notebook"/>
    <n v="3"/>
    <n v="13.74"/>
    <n v="0"/>
    <n v="41.22"/>
    <n v="26.73"/>
    <n v="14.49"/>
    <s v="Cash"/>
    <n v="2"/>
    <s v="April"/>
    <s v="Q2"/>
    <n v="2024"/>
    <m/>
  </r>
  <r>
    <s v="SAL-1702"/>
    <d v="2024-10-19T00:00:00"/>
    <s v="Kelly Washington"/>
    <s v="North"/>
    <x v="0"/>
    <s v="Consumer"/>
    <s v="Office Supplies"/>
    <s v="Paper"/>
    <n v="8"/>
    <n v="217.67"/>
    <n v="0.15"/>
    <n v="1480.16"/>
    <n v="964.12"/>
    <n v="516.04"/>
    <s v="Mobile Payment"/>
    <n v="3"/>
    <s v="October"/>
    <s v="Q4"/>
    <n v="2024"/>
    <m/>
  </r>
  <r>
    <s v="SAL-1703"/>
    <d v="2024-08-18T00:00:00"/>
    <s v="Penny Vance"/>
    <s v="Central"/>
    <x v="1"/>
    <s v="Corporate"/>
    <s v="Clothing"/>
    <s v="Jacket"/>
    <n v="1"/>
    <n v="709.37"/>
    <n v="0.1"/>
    <n v="638.42999999999995"/>
    <n v="336.97"/>
    <n v="301.45999999999998"/>
    <s v="Card"/>
    <n v="5"/>
    <s v="August"/>
    <s v="Q3"/>
    <n v="2024"/>
    <m/>
  </r>
  <r>
    <s v="SAL-1704"/>
    <d v="2024-09-01T00:00:00"/>
    <s v="Susan Wright"/>
    <s v="South"/>
    <x v="2"/>
    <s v="Home Office"/>
    <s v="Clothing"/>
    <s v="Jacket"/>
    <n v="11"/>
    <n v="332.76"/>
    <n v="0.15"/>
    <n v="3111.31"/>
    <n v="2114"/>
    <n v="997.31"/>
    <s v="Cash"/>
    <n v="2"/>
    <s v="September"/>
    <s v="Q3"/>
    <n v="2024"/>
    <m/>
  </r>
  <r>
    <s v="SAL-1705"/>
    <d v="2024-12-12T00:00:00"/>
    <s v="Jacqueline Cannon"/>
    <s v="East"/>
    <x v="0"/>
    <s v="Corporate"/>
    <s v="Clothing"/>
    <s v="T-Shirt"/>
    <n v="3"/>
    <n v="720.78"/>
    <n v="0"/>
    <n v="2162.34"/>
    <n v="1616.88"/>
    <n v="545.46"/>
    <s v="Transfer"/>
    <n v="5"/>
    <s v="December"/>
    <s v="Q4"/>
    <n v="2024"/>
    <m/>
  </r>
  <r>
    <s v="SAL-1706"/>
    <d v="2024-12-24T00:00:00"/>
    <s v="Ashley Welch"/>
    <s v="East"/>
    <x v="2"/>
    <s v="Consumer"/>
    <s v="Electronics"/>
    <s v="Laptop"/>
    <n v="12"/>
    <n v="381.62"/>
    <n v="0"/>
    <n v="4579.4399999999996"/>
    <n v="3843.49"/>
    <n v="735.95"/>
    <s v="Transfer"/>
    <n v="2"/>
    <s v="December"/>
    <s v="Q4"/>
    <n v="2024"/>
    <m/>
  </r>
  <r>
    <s v="SAL-1707"/>
    <d v="2024-02-20T00:00:00"/>
    <s v="April Martin"/>
    <s v="North"/>
    <x v="0"/>
    <s v="Home Office"/>
    <s v="Clothing"/>
    <s v="Jacket"/>
    <n v="2"/>
    <n v="453"/>
    <n v="0.15"/>
    <n v="770.1"/>
    <n v="591.1"/>
    <n v="179"/>
    <s v="Mobile Payment"/>
    <n v="1"/>
    <s v="February"/>
    <s v="Q1"/>
    <n v="2024"/>
    <m/>
  </r>
  <r>
    <s v="SAL-1708"/>
    <d v="2024-06-30T00:00:00"/>
    <s v="Amy Brown"/>
    <s v="East"/>
    <x v="0"/>
    <s v="Corporate"/>
    <s v="Office Supplies"/>
    <s v="Notebook"/>
    <n v="3"/>
    <n v="683.01"/>
    <n v="0.05"/>
    <n v="1946.58"/>
    <n v="1184.54"/>
    <n v="762.04"/>
    <s v="Cash"/>
    <n v="3"/>
    <s v="June"/>
    <s v="Q2"/>
    <n v="2024"/>
    <m/>
  </r>
  <r>
    <s v="SAL-1709"/>
    <d v="2024-06-27T00:00:00"/>
    <s v="Sean Nguyen"/>
    <s v="West"/>
    <x v="3"/>
    <s v="Consumer"/>
    <s v="Electronics"/>
    <s v="Printer"/>
    <n v="10"/>
    <n v="638.55999999999995"/>
    <n v="0.1"/>
    <n v="5747.04"/>
    <n v="3949.94"/>
    <n v="1797.1"/>
    <s v="Transfer"/>
    <n v="4"/>
    <s v="June"/>
    <s v="Q2"/>
    <n v="2024"/>
    <m/>
  </r>
  <r>
    <s v="SAL-1710"/>
    <d v="2024-08-04T00:00:00"/>
    <s v="John Miller"/>
    <s v="North"/>
    <x v="0"/>
    <s v="Home Office"/>
    <s v="Furniture"/>
    <s v="Chair"/>
    <n v="7"/>
    <n v="517.97"/>
    <n v="0"/>
    <n v="3625.79"/>
    <n v="1921.8"/>
    <n v="1703.99"/>
    <s v="Mobile Payment"/>
    <n v="3"/>
    <s v="August"/>
    <s v="Q3"/>
    <n v="2024"/>
    <m/>
  </r>
  <r>
    <s v="SAL-1711"/>
    <d v="2024-08-09T00:00:00"/>
    <s v="Misty Lewis"/>
    <s v="West"/>
    <x v="1"/>
    <s v="Consumer"/>
    <s v="Furniture"/>
    <s v="Chair"/>
    <n v="8"/>
    <n v="472.21"/>
    <n v="0"/>
    <n v="3777.68"/>
    <n v="2327.9699999999998"/>
    <n v="1449.71"/>
    <s v="Cash"/>
    <n v="1"/>
    <s v="August"/>
    <s v="Q3"/>
    <n v="2024"/>
    <m/>
  </r>
  <r>
    <s v="SAL-1712"/>
    <d v="2024-08-17T00:00:00"/>
    <s v="Brandi Evans"/>
    <s v="East"/>
    <x v="3"/>
    <s v="Consumer"/>
    <s v="Electronics"/>
    <s v="Tablet"/>
    <n v="8"/>
    <n v="177.37"/>
    <n v="0"/>
    <n v="1418.96"/>
    <n v="849.61"/>
    <n v="569.35"/>
    <s v="Transfer"/>
    <n v="5"/>
    <s v="August"/>
    <s v="Q3"/>
    <n v="2024"/>
    <m/>
  </r>
  <r>
    <s v="SAL-1713"/>
    <d v="2024-11-19T00:00:00"/>
    <s v="Joseph Garcia"/>
    <s v="West"/>
    <x v="4"/>
    <s v="Home Office"/>
    <s v="Electronics"/>
    <s v="Laptop"/>
    <n v="9"/>
    <n v="1182.57"/>
    <n v="0"/>
    <n v="10643.13"/>
    <n v="7804.48"/>
    <n v="2838.65"/>
    <s v="Mobile Payment"/>
    <n v="3"/>
    <s v="November"/>
    <s v="Q4"/>
    <n v="2024"/>
    <m/>
  </r>
  <r>
    <s v="SAL-1714"/>
    <d v="2024-12-08T00:00:00"/>
    <s v="Christopher Mitchell"/>
    <s v="East"/>
    <x v="3"/>
    <s v="Home Office"/>
    <s v="Office Supplies"/>
    <s v="Paper"/>
    <n v="3"/>
    <n v="465.12"/>
    <n v="0"/>
    <n v="1395.36"/>
    <n v="850.55"/>
    <n v="544.80999999999995"/>
    <s v="Transfer"/>
    <n v="3"/>
    <s v="December"/>
    <s v="Q4"/>
    <n v="2024"/>
    <m/>
  </r>
  <r>
    <s v="SAL-1715"/>
    <d v="2024-09-05T00:00:00"/>
    <s v="Anita Jennings"/>
    <s v="East"/>
    <x v="2"/>
    <s v="Consumer"/>
    <s v="Office Supplies"/>
    <s v="Pen"/>
    <n v="8"/>
    <n v="181.93"/>
    <n v="0.15"/>
    <n v="1237.1199999999999"/>
    <n v="755.35"/>
    <n v="481.77"/>
    <s v="Card"/>
    <n v="1"/>
    <s v="September"/>
    <s v="Q3"/>
    <n v="2024"/>
    <m/>
  </r>
  <r>
    <s v="SAL-1716"/>
    <d v="2024-12-14T00:00:00"/>
    <s v="Michael Hardy"/>
    <s v="West"/>
    <x v="4"/>
    <s v="Home Office"/>
    <s v="Clothing"/>
    <s v="Sneakers"/>
    <n v="12"/>
    <n v="157.24"/>
    <n v="0.1"/>
    <n v="1698.19"/>
    <n v="1272.05"/>
    <n v="426.14"/>
    <s v="Mobile Payment"/>
    <n v="1"/>
    <s v="December"/>
    <s v="Q4"/>
    <n v="2024"/>
    <m/>
  </r>
  <r>
    <s v="SAL-1717"/>
    <d v="2024-05-16T00:00:00"/>
    <s v="Darren Brown"/>
    <s v="East"/>
    <x v="1"/>
    <s v="Home Office"/>
    <s v="Electronics"/>
    <s v="Tablet"/>
    <n v="2"/>
    <n v="1030.1099999999999"/>
    <n v="0.1"/>
    <n v="1854.2"/>
    <n v="1206.19"/>
    <n v="648.01"/>
    <s v="Card"/>
    <n v="2"/>
    <s v="May"/>
    <s v="Q2"/>
    <n v="2024"/>
    <m/>
  </r>
  <r>
    <s v="SAL-1718"/>
    <d v="2024-11-11T00:00:00"/>
    <s v="Kevin Ramirez"/>
    <s v="Central"/>
    <x v="3"/>
    <s v="Home Office"/>
    <s v="Electronics"/>
    <s v="Tablet"/>
    <n v="5"/>
    <n v="142.16"/>
    <n v="0.15"/>
    <n v="604.17999999999995"/>
    <n v="475.5"/>
    <n v="128.68"/>
    <s v="Card"/>
    <n v="5"/>
    <s v="November"/>
    <s v="Q4"/>
    <n v="2024"/>
    <m/>
  </r>
  <r>
    <s v="SAL-1719"/>
    <d v="2024-01-24T00:00:00"/>
    <s v="Jennifer Copeland"/>
    <s v="Central"/>
    <x v="4"/>
    <s v="Home Office"/>
    <s v="Electronics"/>
    <s v="Laptop"/>
    <n v="11"/>
    <n v="277.05"/>
    <n v="0.1"/>
    <n v="2742.8"/>
    <n v="2175.16"/>
    <n v="567.64"/>
    <s v="Cash"/>
    <n v="3"/>
    <s v="January"/>
    <s v="Q1"/>
    <n v="2024"/>
    <m/>
  </r>
  <r>
    <s v="SAL-1720"/>
    <d v="2024-09-28T00:00:00"/>
    <s v="Robin Aguilar"/>
    <s v="Central"/>
    <x v="3"/>
    <s v="Consumer"/>
    <s v="Furniture"/>
    <s v="Chair"/>
    <n v="7"/>
    <n v="638.08000000000004"/>
    <n v="0.05"/>
    <n v="4243.2299999999996"/>
    <n v="2685.72"/>
    <n v="1557.51"/>
    <s v="Mobile Payment"/>
    <n v="2"/>
    <s v="September"/>
    <s v="Q3"/>
    <n v="2024"/>
    <m/>
  </r>
  <r>
    <s v="SAL-1721"/>
    <d v="2024-03-09T00:00:00"/>
    <s v="Melanie Frey"/>
    <s v="West"/>
    <x v="4"/>
    <s v="Consumer"/>
    <s v="Electronics"/>
    <s v="Printer"/>
    <n v="8"/>
    <n v="67.28"/>
    <n v="0.05"/>
    <n v="511.33"/>
    <n v="301.14999999999998"/>
    <n v="210.18"/>
    <s v="Mobile Payment"/>
    <n v="2"/>
    <s v="March"/>
    <s v="Q1"/>
    <n v="2024"/>
    <m/>
  </r>
  <r>
    <s v="SAL-1722"/>
    <d v="2024-12-10T00:00:00"/>
    <s v="Mary Jensen DVM"/>
    <s v="Central"/>
    <x v="1"/>
    <s v="Home Office"/>
    <s v="Electronics"/>
    <s v="Printer"/>
    <n v="4"/>
    <n v="676"/>
    <n v="0.15"/>
    <n v="2298.4"/>
    <n v="1754.33"/>
    <n v="544.07000000000005"/>
    <s v="Mobile Payment"/>
    <n v="5"/>
    <s v="December"/>
    <s v="Q4"/>
    <n v="2024"/>
    <m/>
  </r>
  <r>
    <s v="SAL-1723"/>
    <d v="2024-08-05T00:00:00"/>
    <s v="Marcus Valencia MD"/>
    <s v="South"/>
    <x v="0"/>
    <s v="Home Office"/>
    <s v="Furniture"/>
    <s v="Cabinet"/>
    <n v="5"/>
    <n v="194.45"/>
    <n v="0.15"/>
    <n v="826.41"/>
    <n v="508.76"/>
    <n v="317.64999999999998"/>
    <s v="Transfer"/>
    <n v="2"/>
    <s v="August"/>
    <s v="Q3"/>
    <n v="2024"/>
    <m/>
  </r>
  <r>
    <s v="SAL-1724"/>
    <d v="2024-07-03T00:00:00"/>
    <s v="Wanda White"/>
    <s v="South"/>
    <x v="2"/>
    <s v="Corporate"/>
    <s v="Furniture"/>
    <s v="Desk"/>
    <n v="3"/>
    <n v="216.6"/>
    <n v="0"/>
    <n v="649.79999999999995"/>
    <n v="411.09"/>
    <n v="238.71"/>
    <s v="Transfer"/>
    <n v="4"/>
    <s v="July"/>
    <s v="Q3"/>
    <n v="2024"/>
    <m/>
  </r>
  <r>
    <s v="SAL-1725"/>
    <d v="2024-03-19T00:00:00"/>
    <s v="Fernando Rollins"/>
    <s v="West"/>
    <x v="1"/>
    <s v="Home Office"/>
    <s v="Office Supplies"/>
    <s v="Notebook"/>
    <n v="11"/>
    <n v="782.86"/>
    <n v="0.15"/>
    <n v="7319.74"/>
    <n v="4844.8"/>
    <n v="2474.94"/>
    <s v="Card"/>
    <n v="1"/>
    <s v="March"/>
    <s v="Q1"/>
    <n v="2024"/>
    <m/>
  </r>
  <r>
    <s v="SAL-1726"/>
    <d v="2024-11-23T00:00:00"/>
    <s v="Catherine Chapman"/>
    <s v="East"/>
    <x v="1"/>
    <s v="Home Office"/>
    <s v="Clothing"/>
    <s v="Jacket"/>
    <n v="12"/>
    <n v="42.01"/>
    <n v="0.15"/>
    <n v="428.5"/>
    <n v="336.73"/>
    <n v="91.77"/>
    <s v="Mobile Payment"/>
    <n v="4"/>
    <s v="November"/>
    <s v="Q4"/>
    <n v="2024"/>
    <m/>
  </r>
  <r>
    <s v="SAL-1727"/>
    <d v="2024-06-03T00:00:00"/>
    <s v="Nicole Weaver"/>
    <s v="South"/>
    <x v="2"/>
    <s v="Consumer"/>
    <s v="Electronics"/>
    <s v="Phone"/>
    <n v="4"/>
    <n v="860.91"/>
    <n v="0"/>
    <n v="3443.64"/>
    <n v="1872.44"/>
    <n v="1571.2"/>
    <s v="Transfer"/>
    <n v="1"/>
    <s v="June"/>
    <s v="Q2"/>
    <n v="2024"/>
    <m/>
  </r>
  <r>
    <s v="SAL-1728"/>
    <d v="2024-11-27T00:00:00"/>
    <s v="Sandra Jensen"/>
    <s v="North"/>
    <x v="3"/>
    <s v="Consumer"/>
    <s v="Office Supplies"/>
    <s v="Notebook"/>
    <n v="10"/>
    <n v="312.68"/>
    <n v="0.15"/>
    <n v="2657.78"/>
    <n v="1377.02"/>
    <n v="1280.76"/>
    <s v="Card"/>
    <n v="4"/>
    <s v="November"/>
    <s v="Q4"/>
    <n v="2024"/>
    <m/>
  </r>
  <r>
    <s v="SAL-1729"/>
    <d v="2024-11-04T00:00:00"/>
    <s v="Julie Allen"/>
    <s v="West"/>
    <x v="2"/>
    <s v="Consumer"/>
    <s v="Office Supplies"/>
    <s v="Notebook"/>
    <n v="12"/>
    <n v="949.12"/>
    <n v="0.15"/>
    <n v="9681.02"/>
    <n v="7880.11"/>
    <n v="1800.91"/>
    <s v="Cash"/>
    <n v="3"/>
    <s v="November"/>
    <s v="Q4"/>
    <n v="2024"/>
    <m/>
  </r>
  <r>
    <s v="SAL-1730"/>
    <d v="2024-02-14T00:00:00"/>
    <s v="Marcia Torres"/>
    <s v="South"/>
    <x v="1"/>
    <s v="Home Office"/>
    <s v="Office Supplies"/>
    <s v="Notebook"/>
    <n v="3"/>
    <n v="1136.45"/>
    <n v="0.1"/>
    <n v="3068.42"/>
    <n v="1839.39"/>
    <n v="1229.03"/>
    <s v="Cash"/>
    <n v="3"/>
    <s v="February"/>
    <s v="Q1"/>
    <n v="2024"/>
    <m/>
  </r>
  <r>
    <s v="SAL-1731"/>
    <d v="2024-03-11T00:00:00"/>
    <s v="Frederick Johnson"/>
    <s v="South"/>
    <x v="0"/>
    <s v="Corporate"/>
    <s v="Electronics"/>
    <s v="Printer"/>
    <n v="10"/>
    <n v="409.14"/>
    <n v="0.1"/>
    <n v="3682.26"/>
    <n v="2142.84"/>
    <n v="1539.42"/>
    <s v="Transfer"/>
    <n v="2"/>
    <s v="March"/>
    <s v="Q1"/>
    <n v="2024"/>
    <m/>
  </r>
  <r>
    <s v="SAL-1732"/>
    <d v="2024-08-12T00:00:00"/>
    <s v="John Robles"/>
    <s v="North"/>
    <x v="1"/>
    <s v="Home Office"/>
    <s v="Electronics"/>
    <s v="Phone"/>
    <n v="9"/>
    <n v="274.08999999999997"/>
    <n v="0"/>
    <n v="2466.81"/>
    <n v="1979.4"/>
    <n v="487.41"/>
    <s v="Transfer"/>
    <n v="1"/>
    <s v="August"/>
    <s v="Q3"/>
    <n v="2024"/>
    <m/>
  </r>
  <r>
    <s v="SAL-1733"/>
    <d v="2024-09-21T00:00:00"/>
    <s v="Barbara Parrish"/>
    <s v="West"/>
    <x v="3"/>
    <s v="Home Office"/>
    <s v="Electronics"/>
    <s v="Tablet"/>
    <n v="12"/>
    <n v="891.68"/>
    <n v="0.05"/>
    <n v="10165.15"/>
    <n v="7657.37"/>
    <n v="2507.7800000000002"/>
    <s v="Transfer"/>
    <n v="2"/>
    <s v="September"/>
    <s v="Q3"/>
    <n v="2024"/>
    <m/>
  </r>
  <r>
    <s v="SAL-1734"/>
    <d v="2024-05-26T00:00:00"/>
    <s v="Jimmy Morrison"/>
    <s v="North"/>
    <x v="2"/>
    <s v="Corporate"/>
    <s v="Office Supplies"/>
    <s v="Pen"/>
    <n v="5"/>
    <n v="456.61"/>
    <n v="0.05"/>
    <n v="2168.9"/>
    <n v="1347.45"/>
    <n v="821.45"/>
    <s v="Card"/>
    <n v="1"/>
    <s v="May"/>
    <s v="Q2"/>
    <n v="2024"/>
    <m/>
  </r>
  <r>
    <s v="SAL-1735"/>
    <d v="2024-10-26T00:00:00"/>
    <s v="Stephanie Mitchell"/>
    <s v="West"/>
    <x v="4"/>
    <s v="Consumer"/>
    <s v="Office Supplies"/>
    <s v="Notebook"/>
    <n v="8"/>
    <n v="395.25"/>
    <n v="0.15"/>
    <n v="2687.7"/>
    <n v="1759.57"/>
    <n v="928.13"/>
    <s v="Mobile Payment"/>
    <n v="2"/>
    <s v="October"/>
    <s v="Q4"/>
    <n v="2024"/>
    <m/>
  </r>
  <r>
    <s v="SAL-1736"/>
    <d v="2024-09-21T00:00:00"/>
    <s v="Thomas Barnett"/>
    <s v="Central"/>
    <x v="2"/>
    <s v="Home Office"/>
    <s v="Clothing"/>
    <s v="Sneakers"/>
    <n v="1"/>
    <n v="379.68"/>
    <n v="0.1"/>
    <n v="341.71"/>
    <n v="287.41000000000003"/>
    <n v="54.3"/>
    <s v="Transfer"/>
    <n v="5"/>
    <s v="September"/>
    <s v="Q3"/>
    <n v="2024"/>
    <m/>
  </r>
  <r>
    <s v="SAL-1737"/>
    <d v="2024-08-07T00:00:00"/>
    <s v="Tamara Watson"/>
    <s v="West"/>
    <x v="4"/>
    <s v="Consumer"/>
    <s v="Office Supplies"/>
    <s v="Notebook"/>
    <n v="5"/>
    <n v="434.24"/>
    <n v="0.15"/>
    <n v="1845.52"/>
    <n v="1151.82"/>
    <n v="693.7"/>
    <s v="Card"/>
    <n v="5"/>
    <s v="August"/>
    <s v="Q3"/>
    <n v="2024"/>
    <m/>
  </r>
  <r>
    <s v="SAL-1738"/>
    <d v="2024-06-22T00:00:00"/>
    <s v="Amanda Mays"/>
    <s v="Central"/>
    <x v="1"/>
    <s v="Consumer"/>
    <s v="Electronics"/>
    <s v="Phone"/>
    <n v="1"/>
    <n v="950.82"/>
    <n v="0.15"/>
    <n v="808.2"/>
    <n v="481.52"/>
    <n v="326.68"/>
    <s v="Mobile Payment"/>
    <n v="1"/>
    <s v="June"/>
    <s v="Q2"/>
    <n v="2024"/>
    <m/>
  </r>
  <r>
    <s v="SAL-1739"/>
    <d v="2024-12-13T00:00:00"/>
    <s v="Kimberly Wall"/>
    <s v="South"/>
    <x v="4"/>
    <s v="Home Office"/>
    <s v="Clothing"/>
    <s v="T-Shirt"/>
    <n v="9"/>
    <n v="1149.55"/>
    <n v="0.05"/>
    <n v="9828.65"/>
    <n v="6604.44"/>
    <n v="3224.21"/>
    <s v="Mobile Payment"/>
    <n v="1"/>
    <s v="December"/>
    <s v="Q4"/>
    <n v="2024"/>
    <m/>
  </r>
  <r>
    <s v="SAL-1740"/>
    <d v="2024-07-20T00:00:00"/>
    <s v="Zachary Hanna"/>
    <s v="North"/>
    <x v="3"/>
    <s v="Corporate"/>
    <s v="Office Supplies"/>
    <s v="Pen"/>
    <n v="2"/>
    <n v="138.16"/>
    <n v="0"/>
    <n v="276.32"/>
    <n v="176.69"/>
    <n v="99.63"/>
    <s v="Cash"/>
    <n v="1"/>
    <s v="July"/>
    <s v="Q3"/>
    <n v="2024"/>
    <m/>
  </r>
  <r>
    <s v="SAL-1741"/>
    <d v="2024-10-27T00:00:00"/>
    <s v="Nicholas Decker"/>
    <s v="Central"/>
    <x v="1"/>
    <s v="Home Office"/>
    <s v="Clothing"/>
    <s v="Sneakers"/>
    <n v="2"/>
    <n v="290.14999999999998"/>
    <n v="0.05"/>
    <n v="551.28"/>
    <n v="291.94"/>
    <n v="259.33999999999997"/>
    <s v="Cash"/>
    <n v="5"/>
    <s v="October"/>
    <s v="Q4"/>
    <n v="2024"/>
    <m/>
  </r>
  <r>
    <s v="SAL-1742"/>
    <d v="2024-07-28T00:00:00"/>
    <s v="Timothy Lopez"/>
    <s v="South"/>
    <x v="1"/>
    <s v="Corporate"/>
    <s v="Office Supplies"/>
    <s v="Paper"/>
    <n v="3"/>
    <n v="323.02"/>
    <n v="0"/>
    <n v="969.06"/>
    <n v="504.06"/>
    <n v="465"/>
    <s v="Mobile Payment"/>
    <n v="1"/>
    <s v="July"/>
    <s v="Q3"/>
    <n v="2024"/>
    <m/>
  </r>
  <r>
    <s v="SAL-1743"/>
    <d v="2024-06-29T00:00:00"/>
    <s v="Catherine Chapman"/>
    <s v="South"/>
    <x v="0"/>
    <s v="Corporate"/>
    <s v="Electronics"/>
    <s v="Phone"/>
    <n v="11"/>
    <n v="228.49"/>
    <n v="0.1"/>
    <n v="2262.0500000000002"/>
    <n v="1189.9000000000001"/>
    <n v="1072.1500000000001"/>
    <s v="Card"/>
    <n v="1"/>
    <s v="June"/>
    <s v="Q2"/>
    <n v="2024"/>
    <m/>
  </r>
  <r>
    <s v="SAL-1744"/>
    <d v="2024-02-07T00:00:00"/>
    <s v="Lawrence Jefferson"/>
    <s v="West"/>
    <x v="0"/>
    <s v="Corporate"/>
    <s v="Electronics"/>
    <s v="Laptop"/>
    <n v="6"/>
    <n v="677"/>
    <n v="0.15"/>
    <n v="3452.7"/>
    <n v="2171.19"/>
    <n v="1281.51"/>
    <s v="Cash"/>
    <n v="4"/>
    <s v="February"/>
    <s v="Q1"/>
    <n v="2024"/>
    <m/>
  </r>
  <r>
    <s v="SAL-1745"/>
    <d v="2024-07-12T00:00:00"/>
    <s v="Laura Hatfield"/>
    <s v="North"/>
    <x v="4"/>
    <s v="Corporate"/>
    <s v="Office Supplies"/>
    <s v="Paper"/>
    <n v="11"/>
    <n v="46.09"/>
    <n v="0"/>
    <n v="506.99"/>
    <n v="364.6"/>
    <n v="142.38999999999999"/>
    <s v="Transfer"/>
    <n v="4"/>
    <s v="July"/>
    <s v="Q3"/>
    <n v="2024"/>
    <m/>
  </r>
  <r>
    <s v="SAL-1746"/>
    <d v="2024-11-24T00:00:00"/>
    <s v="Sandra Clark"/>
    <s v="South"/>
    <x v="0"/>
    <s v="Consumer"/>
    <s v="Office Supplies"/>
    <s v="Pen"/>
    <n v="3"/>
    <n v="442.86"/>
    <n v="0.05"/>
    <n v="1262.1500000000001"/>
    <n v="944.1"/>
    <n v="318.05"/>
    <s v="Transfer"/>
    <n v="4"/>
    <s v="November"/>
    <s v="Q4"/>
    <n v="2024"/>
    <m/>
  </r>
  <r>
    <s v="SAL-1747"/>
    <d v="2024-09-05T00:00:00"/>
    <s v="Kelly Quinn"/>
    <s v="South"/>
    <x v="4"/>
    <s v="Consumer"/>
    <s v="Clothing"/>
    <s v="Sneakers"/>
    <n v="4"/>
    <n v="542.49"/>
    <n v="0.15"/>
    <n v="1844.47"/>
    <n v="1055.6400000000001"/>
    <n v="788.83"/>
    <s v="Transfer"/>
    <n v="2"/>
    <s v="September"/>
    <s v="Q3"/>
    <n v="2024"/>
    <m/>
  </r>
  <r>
    <s v="SAL-1748"/>
    <d v="2024-09-18T00:00:00"/>
    <s v="Deanna Marshall"/>
    <s v="West"/>
    <x v="1"/>
    <s v="Corporate"/>
    <s v="Clothing"/>
    <s v="T-Shirt"/>
    <n v="1"/>
    <n v="920.84"/>
    <n v="0"/>
    <n v="920.84"/>
    <n v="705.1"/>
    <n v="215.74"/>
    <s v="Card"/>
    <n v="1"/>
    <s v="September"/>
    <s v="Q3"/>
    <n v="2024"/>
    <m/>
  </r>
  <r>
    <s v="SAL-1749"/>
    <d v="2024-02-26T00:00:00"/>
    <s v="Courtney Guerrero"/>
    <s v="West"/>
    <x v="2"/>
    <s v="Corporate"/>
    <s v="Clothing"/>
    <s v="Sneakers"/>
    <n v="2"/>
    <n v="834.64"/>
    <n v="0"/>
    <n v="1669.28"/>
    <n v="1165.68"/>
    <n v="503.6"/>
    <s v="Mobile Payment"/>
    <n v="1"/>
    <s v="February"/>
    <s v="Q1"/>
    <n v="2024"/>
    <m/>
  </r>
  <r>
    <s v="SAL-1750"/>
    <d v="2024-06-25T00:00:00"/>
    <s v="Allen Meyer"/>
    <s v="North"/>
    <x v="0"/>
    <s v="Corporate"/>
    <s v="Furniture"/>
    <s v="Cabinet"/>
    <n v="9"/>
    <n v="164.1"/>
    <n v="0.15"/>
    <n v="1255.3599999999999"/>
    <n v="678.22"/>
    <n v="577.14"/>
    <s v="Transfer"/>
    <n v="4"/>
    <s v="June"/>
    <s v="Q2"/>
    <n v="2024"/>
    <m/>
  </r>
  <r>
    <s v="SAL-1751"/>
    <d v="2024-02-02T00:00:00"/>
    <s v="Mitchell Mcmillan"/>
    <s v="East"/>
    <x v="4"/>
    <s v="Consumer"/>
    <s v="Furniture"/>
    <s v="Desk"/>
    <n v="1"/>
    <n v="29.87"/>
    <n v="0"/>
    <n v="29.87"/>
    <n v="21.1"/>
    <n v="8.77"/>
    <s v="Cash"/>
    <n v="4"/>
    <s v="February"/>
    <s v="Q1"/>
    <n v="2024"/>
    <m/>
  </r>
  <r>
    <s v="SAL-1752"/>
    <d v="2024-08-31T00:00:00"/>
    <s v="Kyle Crosby"/>
    <s v="South"/>
    <x v="3"/>
    <s v="Consumer"/>
    <s v="Clothing"/>
    <s v="Sneakers"/>
    <n v="4"/>
    <n v="746.83"/>
    <n v="0.1"/>
    <n v="2688.59"/>
    <n v="1646.18"/>
    <n v="1042.4100000000001"/>
    <s v="Card"/>
    <n v="3"/>
    <s v="August"/>
    <s v="Q3"/>
    <n v="2024"/>
    <m/>
  </r>
  <r>
    <s v="SAL-1753"/>
    <d v="2024-10-04T00:00:00"/>
    <s v="Christina Brown"/>
    <s v="Central"/>
    <x v="1"/>
    <s v="Corporate"/>
    <s v="Office Supplies"/>
    <s v="Notebook"/>
    <n v="7"/>
    <n v="893.46"/>
    <n v="0.05"/>
    <n v="5941.51"/>
    <n v="4069.03"/>
    <n v="1872.48"/>
    <s v="Cash"/>
    <n v="4"/>
    <s v="October"/>
    <s v="Q4"/>
    <n v="2024"/>
    <m/>
  </r>
  <r>
    <s v="SAL-1754"/>
    <d v="2024-05-23T00:00:00"/>
    <s v="Amanda Kane"/>
    <s v="West"/>
    <x v="4"/>
    <s v="Corporate"/>
    <s v="Clothing"/>
    <s v="Jacket"/>
    <n v="5"/>
    <n v="556.89"/>
    <n v="0"/>
    <n v="2784.45"/>
    <n v="2295.11"/>
    <n v="489.34"/>
    <s v="Transfer"/>
    <n v="5"/>
    <s v="May"/>
    <s v="Q2"/>
    <n v="2024"/>
    <m/>
  </r>
  <r>
    <s v="SAL-1755"/>
    <d v="2024-11-05T00:00:00"/>
    <s v="Julian Klein"/>
    <s v="West"/>
    <x v="4"/>
    <s v="Consumer"/>
    <s v="Clothing"/>
    <s v="Sneakers"/>
    <n v="10"/>
    <n v="290.77999999999997"/>
    <n v="0"/>
    <n v="2907.8"/>
    <n v="2364.5300000000002"/>
    <n v="543.27"/>
    <s v="Card"/>
    <n v="2"/>
    <s v="November"/>
    <s v="Q4"/>
    <n v="2024"/>
    <m/>
  </r>
  <r>
    <s v="SAL-1756"/>
    <d v="2024-02-19T00:00:00"/>
    <s v="Andrew Klein"/>
    <s v="Central"/>
    <x v="1"/>
    <s v="Corporate"/>
    <s v="Electronics"/>
    <s v="Phone"/>
    <n v="10"/>
    <n v="512.87"/>
    <n v="0.1"/>
    <n v="4615.83"/>
    <n v="2423.75"/>
    <n v="2192.08"/>
    <s v="Mobile Payment"/>
    <n v="2"/>
    <s v="February"/>
    <s v="Q1"/>
    <n v="2024"/>
    <m/>
  </r>
  <r>
    <s v="SAL-1757"/>
    <d v="2024-07-16T00:00:00"/>
    <s v="David Mendoza"/>
    <s v="Central"/>
    <x v="0"/>
    <s v="Home Office"/>
    <s v="Clothing"/>
    <s v="Jacket"/>
    <n v="9"/>
    <n v="189.71"/>
    <n v="0"/>
    <n v="1707.39"/>
    <n v="1000.85"/>
    <n v="706.54"/>
    <s v="Mobile Payment"/>
    <n v="4"/>
    <s v="July"/>
    <s v="Q3"/>
    <n v="2024"/>
    <m/>
  </r>
  <r>
    <s v="SAL-1758"/>
    <d v="2024-07-04T00:00:00"/>
    <s v="Elizabeth Roberts"/>
    <s v="West"/>
    <x v="3"/>
    <s v="Home Office"/>
    <s v="Furniture"/>
    <s v="Desk"/>
    <n v="1"/>
    <n v="630.24"/>
    <n v="0.15"/>
    <n v="535.70000000000005"/>
    <n v="320.33999999999997"/>
    <n v="215.36"/>
    <s v="Transfer"/>
    <n v="4"/>
    <s v="July"/>
    <s v="Q3"/>
    <n v="2024"/>
    <m/>
  </r>
  <r>
    <s v="SAL-1759"/>
    <d v="2024-04-08T00:00:00"/>
    <s v="Michael Hughes"/>
    <s v="South"/>
    <x v="0"/>
    <s v="Home Office"/>
    <s v="Office Supplies"/>
    <s v="Pen"/>
    <n v="4"/>
    <n v="1066.06"/>
    <n v="0.1"/>
    <n v="3837.82"/>
    <n v="1974.02"/>
    <n v="1863.8"/>
    <s v="Cash"/>
    <n v="4"/>
    <s v="April"/>
    <s v="Q2"/>
    <n v="2024"/>
    <m/>
  </r>
  <r>
    <s v="SAL-1760"/>
    <d v="2024-12-15T00:00:00"/>
    <s v="Donna Reyes"/>
    <s v="North"/>
    <x v="3"/>
    <s v="Consumer"/>
    <s v="Electronics"/>
    <s v="Laptop"/>
    <n v="10"/>
    <n v="1006.44"/>
    <n v="0.05"/>
    <n v="9561.18"/>
    <n v="7743"/>
    <n v="1818.18"/>
    <s v="Cash"/>
    <n v="1"/>
    <s v="December"/>
    <s v="Q4"/>
    <n v="2024"/>
    <m/>
  </r>
  <r>
    <s v="SAL-1761"/>
    <d v="2024-03-02T00:00:00"/>
    <s v="Nicole Bennett"/>
    <s v="South"/>
    <x v="4"/>
    <s v="Home Office"/>
    <s v="Furniture"/>
    <s v="Chair"/>
    <n v="2"/>
    <n v="463.15"/>
    <n v="0.15"/>
    <n v="787.35"/>
    <n v="650.87"/>
    <n v="136.47999999999999"/>
    <s v="Card"/>
    <n v="4"/>
    <s v="March"/>
    <s v="Q1"/>
    <n v="2024"/>
    <m/>
  </r>
  <r>
    <s v="SAL-1762"/>
    <d v="2024-07-24T00:00:00"/>
    <s v="Mr. Gary Allen DVM"/>
    <s v="North"/>
    <x v="4"/>
    <s v="Corporate"/>
    <s v="Furniture"/>
    <s v="Desk"/>
    <n v="3"/>
    <n v="533.35"/>
    <n v="0.05"/>
    <n v="1520.05"/>
    <n v="937.78"/>
    <n v="582.27"/>
    <s v="Card"/>
    <n v="5"/>
    <s v="July"/>
    <s v="Q3"/>
    <n v="2024"/>
    <m/>
  </r>
  <r>
    <s v="SAL-1763"/>
    <d v="2024-02-06T00:00:00"/>
    <s v="Erin Rodriguez"/>
    <s v="West"/>
    <x v="3"/>
    <s v="Consumer"/>
    <s v="Clothing"/>
    <s v="Jacket"/>
    <n v="11"/>
    <n v="985.62"/>
    <n v="0.1"/>
    <n v="9757.64"/>
    <n v="5309.17"/>
    <n v="4448.47"/>
    <s v="Card"/>
    <n v="2"/>
    <s v="February"/>
    <s v="Q1"/>
    <n v="2024"/>
    <m/>
  </r>
  <r>
    <s v="SAL-1764"/>
    <d v="2024-09-30T00:00:00"/>
    <s v="Tonya Shelton"/>
    <s v="North"/>
    <x v="1"/>
    <s v="Home Office"/>
    <s v="Furniture"/>
    <s v="Desk"/>
    <n v="5"/>
    <n v="304.68"/>
    <n v="0.15"/>
    <n v="1294.8900000000001"/>
    <n v="805.27"/>
    <n v="489.62"/>
    <s v="Transfer"/>
    <n v="2"/>
    <s v="September"/>
    <s v="Q3"/>
    <n v="2024"/>
    <m/>
  </r>
  <r>
    <s v="SAL-1765"/>
    <d v="2024-05-29T00:00:00"/>
    <s v="Kevin Todd"/>
    <s v="South"/>
    <x v="0"/>
    <s v="Home Office"/>
    <s v="Electronics"/>
    <s v="Phone"/>
    <n v="12"/>
    <n v="563.16999999999996"/>
    <n v="0.1"/>
    <n v="6082.24"/>
    <n v="4878.5200000000004"/>
    <n v="1203.72"/>
    <s v="Mobile Payment"/>
    <n v="1"/>
    <s v="May"/>
    <s v="Q2"/>
    <n v="2024"/>
    <m/>
  </r>
  <r>
    <s v="SAL-1766"/>
    <d v="2024-05-11T00:00:00"/>
    <s v="Lisa Espinoza"/>
    <s v="South"/>
    <x v="2"/>
    <s v="Corporate"/>
    <s v="Office Supplies"/>
    <s v="Notebook"/>
    <n v="2"/>
    <n v="218.6"/>
    <n v="0"/>
    <n v="437.2"/>
    <n v="232.65"/>
    <n v="204.55"/>
    <s v="Transfer"/>
    <n v="2"/>
    <s v="May"/>
    <s v="Q2"/>
    <n v="2024"/>
    <m/>
  </r>
  <r>
    <s v="SAL-1767"/>
    <d v="2024-01-06T00:00:00"/>
    <s v="Mark Tucker"/>
    <s v="East"/>
    <x v="0"/>
    <s v="Consumer"/>
    <s v="Electronics"/>
    <s v="Laptop"/>
    <n v="3"/>
    <n v="565.08000000000004"/>
    <n v="0.05"/>
    <n v="1610.48"/>
    <n v="1340.13"/>
    <n v="270.35000000000002"/>
    <s v="Transfer"/>
    <n v="1"/>
    <s v="January"/>
    <s v="Q1"/>
    <n v="2024"/>
    <m/>
  </r>
  <r>
    <s v="SAL-1768"/>
    <d v="2024-03-14T00:00:00"/>
    <s v="Brandon Nelson"/>
    <s v="South"/>
    <x v="0"/>
    <s v="Consumer"/>
    <s v="Office Supplies"/>
    <s v="Pen"/>
    <n v="7"/>
    <n v="398.98"/>
    <n v="0.05"/>
    <n v="2653.22"/>
    <n v="2040.02"/>
    <n v="613.20000000000005"/>
    <s v="Card"/>
    <n v="4"/>
    <s v="March"/>
    <s v="Q1"/>
    <n v="2024"/>
    <m/>
  </r>
  <r>
    <s v="SAL-1769"/>
    <d v="2024-02-29T00:00:00"/>
    <s v="Brendan Davis"/>
    <s v="South"/>
    <x v="2"/>
    <s v="Consumer"/>
    <s v="Office Supplies"/>
    <s v="Pen"/>
    <n v="1"/>
    <n v="701.37"/>
    <n v="0.1"/>
    <n v="631.23"/>
    <n v="347.12"/>
    <n v="284.11"/>
    <s v="Mobile Payment"/>
    <n v="1"/>
    <s v="February"/>
    <s v="Q1"/>
    <n v="2024"/>
    <m/>
  </r>
  <r>
    <s v="SAL-1770"/>
    <d v="2024-05-26T00:00:00"/>
    <s v="Sheryl Lee"/>
    <s v="North"/>
    <x v="0"/>
    <s v="Consumer"/>
    <s v="Clothing"/>
    <s v="T-Shirt"/>
    <n v="3"/>
    <n v="912.33"/>
    <n v="0.1"/>
    <n v="2463.29"/>
    <n v="1564.57"/>
    <n v="898.72"/>
    <s v="Transfer"/>
    <n v="3"/>
    <s v="May"/>
    <s v="Q2"/>
    <n v="2024"/>
    <m/>
  </r>
  <r>
    <s v="SAL-1771"/>
    <d v="2024-06-22T00:00:00"/>
    <s v="Linda Bowman"/>
    <s v="South"/>
    <x v="4"/>
    <s v="Home Office"/>
    <s v="Clothing"/>
    <s v="T-Shirt"/>
    <n v="4"/>
    <n v="1150.31"/>
    <n v="0"/>
    <n v="4601.24"/>
    <n v="2303.83"/>
    <n v="2297.41"/>
    <s v="Transfer"/>
    <n v="5"/>
    <s v="June"/>
    <s v="Q2"/>
    <n v="2024"/>
    <m/>
  </r>
  <r>
    <s v="SAL-1772"/>
    <d v="2024-10-06T00:00:00"/>
    <s v="John Conner"/>
    <s v="Central"/>
    <x v="3"/>
    <s v="Corporate"/>
    <s v="Furniture"/>
    <s v="Cabinet"/>
    <n v="12"/>
    <n v="1018.21"/>
    <n v="0.1"/>
    <n v="10996.67"/>
    <n v="8175.08"/>
    <n v="2821.59"/>
    <s v="Mobile Payment"/>
    <n v="3"/>
    <s v="October"/>
    <s v="Q4"/>
    <n v="2024"/>
    <m/>
  </r>
  <r>
    <s v="SAL-1773"/>
    <d v="2024-01-05T00:00:00"/>
    <s v="John Garcia"/>
    <s v="Central"/>
    <x v="0"/>
    <s v="Corporate"/>
    <s v="Electronics"/>
    <s v="Laptop"/>
    <n v="3"/>
    <n v="605.55999999999995"/>
    <n v="0.15"/>
    <n v="1544.18"/>
    <n v="1203.45"/>
    <n v="340.73"/>
    <s v="Transfer"/>
    <n v="5"/>
    <s v="January"/>
    <s v="Q1"/>
    <n v="2024"/>
    <m/>
  </r>
  <r>
    <s v="SAL-1774"/>
    <d v="2024-11-23T00:00:00"/>
    <s v="Kelly Chang"/>
    <s v="Central"/>
    <x v="3"/>
    <s v="Home Office"/>
    <s v="Furniture"/>
    <s v="Desk"/>
    <n v="2"/>
    <n v="650.98"/>
    <n v="0"/>
    <n v="1301.96"/>
    <n v="957.76"/>
    <n v="344.2"/>
    <s v="Cash"/>
    <n v="4"/>
    <s v="November"/>
    <s v="Q4"/>
    <n v="2024"/>
    <m/>
  </r>
  <r>
    <s v="SAL-1775"/>
    <d v="2024-10-01T00:00:00"/>
    <s v="Linda Harvey"/>
    <s v="North"/>
    <x v="4"/>
    <s v="Corporate"/>
    <s v="Electronics"/>
    <s v="Tablet"/>
    <n v="6"/>
    <n v="758.4"/>
    <n v="0"/>
    <n v="4550.3999999999996"/>
    <n v="3272.74"/>
    <n v="1277.6600000000001"/>
    <s v="Transfer"/>
    <n v="3"/>
    <s v="October"/>
    <s v="Q4"/>
    <n v="2024"/>
    <m/>
  </r>
  <r>
    <s v="SAL-1776"/>
    <d v="2024-08-29T00:00:00"/>
    <s v="Joseph Bolton"/>
    <s v="Central"/>
    <x v="3"/>
    <s v="Consumer"/>
    <s v="Furniture"/>
    <s v="Desk"/>
    <n v="12"/>
    <n v="150.19"/>
    <n v="0.05"/>
    <n v="1712.17"/>
    <n v="1140.83"/>
    <n v="571.34"/>
    <s v="Transfer"/>
    <n v="4"/>
    <s v="August"/>
    <s v="Q3"/>
    <n v="2024"/>
    <m/>
  </r>
  <r>
    <s v="SAL-1777"/>
    <d v="2024-04-08T00:00:00"/>
    <s v="Jasmine Wells"/>
    <s v="West"/>
    <x v="0"/>
    <s v="Consumer"/>
    <s v="Electronics"/>
    <s v="Laptop"/>
    <n v="2"/>
    <n v="528.09"/>
    <n v="0.1"/>
    <n v="950.56"/>
    <n v="674.83"/>
    <n v="275.73"/>
    <s v="Mobile Payment"/>
    <n v="5"/>
    <s v="April"/>
    <s v="Q2"/>
    <n v="2024"/>
    <m/>
  </r>
  <r>
    <s v="SAL-1778"/>
    <d v="2024-11-14T00:00:00"/>
    <s v="Jeffrey Hull"/>
    <s v="Central"/>
    <x v="3"/>
    <s v="Home Office"/>
    <s v="Office Supplies"/>
    <s v="Notebook"/>
    <n v="8"/>
    <n v="579.28"/>
    <n v="0.05"/>
    <n v="4402.53"/>
    <n v="2288.94"/>
    <n v="2113.59"/>
    <s v="Cash"/>
    <n v="2"/>
    <s v="November"/>
    <s v="Q4"/>
    <n v="2024"/>
    <m/>
  </r>
  <r>
    <s v="SAL-1779"/>
    <d v="2024-08-23T00:00:00"/>
    <s v="Thomas Stephenson"/>
    <s v="West"/>
    <x v="0"/>
    <s v="Corporate"/>
    <s v="Furniture"/>
    <s v="Chair"/>
    <n v="1"/>
    <n v="850.51"/>
    <n v="0.15"/>
    <n v="722.93"/>
    <n v="511.82"/>
    <n v="211.11"/>
    <s v="Mobile Payment"/>
    <n v="3"/>
    <s v="August"/>
    <s v="Q3"/>
    <n v="2024"/>
    <m/>
  </r>
  <r>
    <s v="SAL-1780"/>
    <d v="2024-04-22T00:00:00"/>
    <s v="Jennifer Davis"/>
    <s v="North"/>
    <x v="0"/>
    <s v="Corporate"/>
    <s v="Electronics"/>
    <s v="Laptop"/>
    <n v="6"/>
    <n v="91.46"/>
    <n v="0.1"/>
    <n v="493.88"/>
    <n v="275.3"/>
    <n v="218.58"/>
    <s v="Cash"/>
    <n v="5"/>
    <s v="April"/>
    <s v="Q2"/>
    <n v="2024"/>
    <m/>
  </r>
  <r>
    <s v="SAL-1781"/>
    <d v="2024-08-13T00:00:00"/>
    <s v="Brian Daniels"/>
    <s v="Central"/>
    <x v="1"/>
    <s v="Home Office"/>
    <s v="Electronics"/>
    <s v="Laptop"/>
    <n v="11"/>
    <n v="798.16"/>
    <n v="0.1"/>
    <n v="7901.78"/>
    <n v="4039.72"/>
    <n v="3862.06"/>
    <s v="Card"/>
    <n v="4"/>
    <s v="August"/>
    <s v="Q3"/>
    <n v="2024"/>
    <m/>
  </r>
  <r>
    <s v="SAL-1782"/>
    <d v="2024-03-03T00:00:00"/>
    <s v="Jaime Villa"/>
    <s v="South"/>
    <x v="0"/>
    <s v="Corporate"/>
    <s v="Office Supplies"/>
    <s v="Pen"/>
    <n v="4"/>
    <n v="799.45"/>
    <n v="0.05"/>
    <n v="3037.91"/>
    <n v="2454.83"/>
    <n v="583.08000000000004"/>
    <s v="Card"/>
    <n v="2"/>
    <s v="March"/>
    <s v="Q1"/>
    <n v="2024"/>
    <m/>
  </r>
  <r>
    <s v="SAL-1783"/>
    <d v="2024-01-28T00:00:00"/>
    <s v="Cory Sanchez"/>
    <s v="North"/>
    <x v="1"/>
    <s v="Consumer"/>
    <s v="Clothing"/>
    <s v="Sneakers"/>
    <n v="12"/>
    <n v="586.57000000000005"/>
    <n v="0"/>
    <n v="7038.84"/>
    <n v="4482.25"/>
    <n v="2556.59"/>
    <s v="Mobile Payment"/>
    <n v="5"/>
    <s v="January"/>
    <s v="Q1"/>
    <n v="2024"/>
    <m/>
  </r>
  <r>
    <s v="SAL-1784"/>
    <d v="2024-07-08T00:00:00"/>
    <s v="Adam Scott"/>
    <s v="Central"/>
    <x v="2"/>
    <s v="Corporate"/>
    <s v="Clothing"/>
    <s v="T-Shirt"/>
    <n v="4"/>
    <n v="454.08"/>
    <n v="0.05"/>
    <n v="1725.5"/>
    <n v="887.59"/>
    <n v="837.91"/>
    <s v="Cash"/>
    <n v="2"/>
    <s v="July"/>
    <s v="Q3"/>
    <n v="2024"/>
    <m/>
  </r>
  <r>
    <s v="SAL-1785"/>
    <d v="2024-12-26T00:00:00"/>
    <s v="Michael Watson"/>
    <s v="North"/>
    <x v="1"/>
    <s v="Corporate"/>
    <s v="Furniture"/>
    <s v="Desk"/>
    <n v="11"/>
    <n v="631.44000000000005"/>
    <n v="0.1"/>
    <n v="6251.26"/>
    <n v="4385.97"/>
    <n v="1865.29"/>
    <s v="Mobile Payment"/>
    <n v="1"/>
    <s v="December"/>
    <s v="Q4"/>
    <n v="2024"/>
    <m/>
  </r>
  <r>
    <s v="SAL-1786"/>
    <d v="2024-06-02T00:00:00"/>
    <s v="Maria Parker"/>
    <s v="North"/>
    <x v="4"/>
    <s v="Consumer"/>
    <s v="Electronics"/>
    <s v="Phone"/>
    <n v="12"/>
    <n v="19.38"/>
    <n v="0.15"/>
    <n v="197.68"/>
    <n v="155.12"/>
    <n v="42.56"/>
    <s v="Mobile Payment"/>
    <n v="5"/>
    <s v="June"/>
    <s v="Q2"/>
    <n v="2024"/>
    <m/>
  </r>
  <r>
    <s v="SAL-1787"/>
    <d v="2024-03-12T00:00:00"/>
    <s v="Nicholas Brown"/>
    <s v="West"/>
    <x v="0"/>
    <s v="Corporate"/>
    <s v="Furniture"/>
    <s v="Chair"/>
    <n v="3"/>
    <n v="641.86"/>
    <n v="0"/>
    <n v="1925.58"/>
    <n v="1354.69"/>
    <n v="570.89"/>
    <s v="Mobile Payment"/>
    <n v="1"/>
    <s v="March"/>
    <s v="Q1"/>
    <n v="2024"/>
    <m/>
  </r>
  <r>
    <s v="SAL-1788"/>
    <d v="2024-03-30T00:00:00"/>
    <s v="Kevin White"/>
    <s v="West"/>
    <x v="0"/>
    <s v="Consumer"/>
    <s v="Office Supplies"/>
    <s v="Pen"/>
    <n v="2"/>
    <n v="1188.01"/>
    <n v="0.1"/>
    <n v="2138.42"/>
    <n v="1069.43"/>
    <n v="1068.99"/>
    <s v="Mobile Payment"/>
    <n v="2"/>
    <s v="March"/>
    <s v="Q1"/>
    <n v="2024"/>
    <m/>
  </r>
  <r>
    <s v="SAL-1789"/>
    <d v="2024-07-24T00:00:00"/>
    <s v="Anna Lucas"/>
    <s v="South"/>
    <x v="0"/>
    <s v="Corporate"/>
    <s v="Clothing"/>
    <s v="Jacket"/>
    <n v="7"/>
    <n v="17.13"/>
    <n v="0.1"/>
    <n v="107.92"/>
    <n v="90.92"/>
    <n v="17"/>
    <s v="Mobile Payment"/>
    <n v="2"/>
    <s v="July"/>
    <s v="Q3"/>
    <n v="2024"/>
    <m/>
  </r>
  <r>
    <s v="SAL-1790"/>
    <d v="2024-12-16T00:00:00"/>
    <s v="Angela Bailey"/>
    <s v="Central"/>
    <x v="3"/>
    <s v="Corporate"/>
    <s v="Electronics"/>
    <s v="Phone"/>
    <n v="12"/>
    <n v="830.84"/>
    <n v="0.1"/>
    <n v="8973.07"/>
    <n v="5572.77"/>
    <n v="3400.3"/>
    <s v="Card"/>
    <n v="3"/>
    <s v="December"/>
    <s v="Q4"/>
    <n v="2024"/>
    <m/>
  </r>
  <r>
    <s v="SAL-1791"/>
    <d v="2024-07-28T00:00:00"/>
    <s v="Paula Roth"/>
    <s v="Central"/>
    <x v="2"/>
    <s v="Consumer"/>
    <s v="Furniture"/>
    <s v="Cabinet"/>
    <n v="2"/>
    <n v="1061.7"/>
    <n v="0.15"/>
    <n v="1804.89"/>
    <n v="1109.45"/>
    <n v="695.44"/>
    <s v="Card"/>
    <n v="3"/>
    <s v="July"/>
    <s v="Q3"/>
    <n v="2024"/>
    <m/>
  </r>
  <r>
    <s v="SAL-1792"/>
    <d v="2024-07-12T00:00:00"/>
    <s v="Jeff Brown"/>
    <s v="South"/>
    <x v="3"/>
    <s v="Home Office"/>
    <s v="Office Supplies"/>
    <s v="Notebook"/>
    <n v="11"/>
    <n v="773.27"/>
    <n v="0.15"/>
    <n v="7230.07"/>
    <n v="4084.9"/>
    <n v="3145.17"/>
    <s v="Mobile Payment"/>
    <n v="1"/>
    <s v="July"/>
    <s v="Q3"/>
    <n v="2024"/>
    <m/>
  </r>
  <r>
    <s v="SAL-1793"/>
    <d v="2024-03-04T00:00:00"/>
    <s v="Christopher Richardson"/>
    <s v="East"/>
    <x v="1"/>
    <s v="Home Office"/>
    <s v="Clothing"/>
    <s v="Jacket"/>
    <n v="9"/>
    <n v="40.42"/>
    <n v="0"/>
    <n v="363.78"/>
    <n v="259.7"/>
    <n v="104.08"/>
    <s v="Mobile Payment"/>
    <n v="4"/>
    <s v="March"/>
    <s v="Q1"/>
    <n v="2024"/>
    <m/>
  </r>
  <r>
    <s v="SAL-1794"/>
    <d v="2024-10-08T00:00:00"/>
    <s v="Daniel Bryant"/>
    <s v="Central"/>
    <x v="4"/>
    <s v="Consumer"/>
    <s v="Clothing"/>
    <s v="Jacket"/>
    <n v="7"/>
    <n v="422.54"/>
    <n v="0.15"/>
    <n v="2514.11"/>
    <n v="1678.77"/>
    <n v="835.34"/>
    <s v="Transfer"/>
    <n v="2"/>
    <s v="October"/>
    <s v="Q4"/>
    <n v="2024"/>
    <m/>
  </r>
  <r>
    <s v="SAL-1795"/>
    <d v="2024-03-03T00:00:00"/>
    <s v="Monica Burns"/>
    <s v="West"/>
    <x v="1"/>
    <s v="Corporate"/>
    <s v="Office Supplies"/>
    <s v="Paper"/>
    <n v="2"/>
    <n v="1184.69"/>
    <n v="0.1"/>
    <n v="2132.44"/>
    <n v="1807.98"/>
    <n v="324.45999999999998"/>
    <s v="Mobile Payment"/>
    <n v="2"/>
    <s v="March"/>
    <s v="Q1"/>
    <n v="2024"/>
    <m/>
  </r>
  <r>
    <s v="SAL-1796"/>
    <d v="2024-01-21T00:00:00"/>
    <s v="Mallory Armstrong"/>
    <s v="West"/>
    <x v="2"/>
    <s v="Home Office"/>
    <s v="Clothing"/>
    <s v="T-Shirt"/>
    <n v="5"/>
    <n v="50.01"/>
    <n v="0.05"/>
    <n v="237.55"/>
    <n v="180.45"/>
    <n v="57.1"/>
    <s v="Cash"/>
    <n v="4"/>
    <s v="January"/>
    <s v="Q1"/>
    <n v="2024"/>
    <m/>
  </r>
  <r>
    <s v="SAL-1797"/>
    <d v="2024-05-16T00:00:00"/>
    <s v="Kaitlyn Dougherty"/>
    <s v="North"/>
    <x v="4"/>
    <s v="Corporate"/>
    <s v="Clothing"/>
    <s v="T-Shirt"/>
    <n v="3"/>
    <n v="740.15"/>
    <n v="0.15"/>
    <n v="1887.38"/>
    <n v="1262.94"/>
    <n v="624.44000000000005"/>
    <s v="Mobile Payment"/>
    <n v="1"/>
    <s v="May"/>
    <s v="Q2"/>
    <n v="2024"/>
    <m/>
  </r>
  <r>
    <s v="SAL-1798"/>
    <d v="2024-08-28T00:00:00"/>
    <s v="Jack Kelly II"/>
    <s v="East"/>
    <x v="0"/>
    <s v="Home Office"/>
    <s v="Electronics"/>
    <s v="Phone"/>
    <n v="7"/>
    <n v="134.91999999999999"/>
    <n v="0.15"/>
    <n v="802.77"/>
    <n v="455.62"/>
    <n v="347.15"/>
    <s v="Card"/>
    <n v="2"/>
    <s v="August"/>
    <s v="Q3"/>
    <n v="2024"/>
    <m/>
  </r>
  <r>
    <s v="SAL-1799"/>
    <d v="2024-05-09T00:00:00"/>
    <s v="Samantha Weber"/>
    <s v="South"/>
    <x v="4"/>
    <s v="Corporate"/>
    <s v="Furniture"/>
    <s v="Cabinet"/>
    <n v="1"/>
    <n v="722.7"/>
    <n v="0.15"/>
    <n v="614.29999999999995"/>
    <n v="349.97"/>
    <n v="264.33"/>
    <s v="Mobile Payment"/>
    <n v="3"/>
    <s v="May"/>
    <s v="Q2"/>
    <n v="2024"/>
    <m/>
  </r>
  <r>
    <s v="SAL-1800"/>
    <d v="2024-12-22T00:00:00"/>
    <s v="Pamela Miller"/>
    <s v="Central"/>
    <x v="3"/>
    <s v="Corporate"/>
    <s v="Office Supplies"/>
    <s v="Notebook"/>
    <n v="1"/>
    <n v="283.89"/>
    <n v="0.15"/>
    <n v="241.31"/>
    <n v="128.85"/>
    <n v="112.46"/>
    <s v="Transfer"/>
    <n v="3"/>
    <s v="December"/>
    <s v="Q4"/>
    <n v="2024"/>
    <m/>
  </r>
  <r>
    <s v="SAL-1801"/>
    <d v="2024-03-29T00:00:00"/>
    <s v="Craig Clay"/>
    <s v="North"/>
    <x v="4"/>
    <s v="Corporate"/>
    <s v="Office Supplies"/>
    <s v="Paper"/>
    <n v="5"/>
    <n v="726.78"/>
    <n v="0.05"/>
    <n v="3452.2"/>
    <n v="2448.4899999999998"/>
    <n v="1003.71"/>
    <s v="Mobile Payment"/>
    <n v="1"/>
    <s v="March"/>
    <s v="Q1"/>
    <n v="2024"/>
    <m/>
  </r>
  <r>
    <s v="SAL-1802"/>
    <d v="2024-11-08T00:00:00"/>
    <s v="Lauren Wilson"/>
    <s v="East"/>
    <x v="4"/>
    <s v="Corporate"/>
    <s v="Clothing"/>
    <s v="Jacket"/>
    <n v="6"/>
    <n v="1067.54"/>
    <n v="0.15"/>
    <n v="5444.45"/>
    <n v="2931.17"/>
    <n v="2513.2800000000002"/>
    <s v="Transfer"/>
    <n v="1"/>
    <s v="November"/>
    <s v="Q4"/>
    <n v="2024"/>
    <m/>
  </r>
  <r>
    <s v="SAL-1803"/>
    <d v="2024-10-03T00:00:00"/>
    <s v="Kathy Cantrell"/>
    <s v="East"/>
    <x v="4"/>
    <s v="Consumer"/>
    <s v="Furniture"/>
    <s v="Desk"/>
    <n v="4"/>
    <n v="348.04"/>
    <n v="0.1"/>
    <n v="1252.94"/>
    <n v="764.32"/>
    <n v="488.62"/>
    <s v="Card"/>
    <n v="4"/>
    <s v="October"/>
    <s v="Q4"/>
    <n v="2024"/>
    <m/>
  </r>
  <r>
    <s v="SAL-1804"/>
    <d v="2024-07-30T00:00:00"/>
    <s v="Gregory Gordon"/>
    <s v="North"/>
    <x v="1"/>
    <s v="Corporate"/>
    <s v="Clothing"/>
    <s v="T-Shirt"/>
    <n v="8"/>
    <n v="409.45"/>
    <n v="0.05"/>
    <n v="3111.82"/>
    <n v="2068.02"/>
    <n v="1043.8"/>
    <s v="Transfer"/>
    <n v="2"/>
    <s v="July"/>
    <s v="Q3"/>
    <n v="2024"/>
    <m/>
  </r>
  <r>
    <s v="SAL-1805"/>
    <d v="2024-11-14T00:00:00"/>
    <s v="Molly Allen"/>
    <s v="Central"/>
    <x v="3"/>
    <s v="Home Office"/>
    <s v="Office Supplies"/>
    <s v="Pen"/>
    <n v="12"/>
    <n v="935.43"/>
    <n v="0.15"/>
    <n v="9541.39"/>
    <n v="8079.17"/>
    <n v="1462.22"/>
    <s v="Mobile Payment"/>
    <n v="1"/>
    <s v="November"/>
    <s v="Q4"/>
    <n v="2024"/>
    <m/>
  </r>
  <r>
    <s v="SAL-1806"/>
    <d v="2024-12-07T00:00:00"/>
    <s v="Dylan Lopez"/>
    <s v="South"/>
    <x v="2"/>
    <s v="Corporate"/>
    <s v="Office Supplies"/>
    <s v="Notebook"/>
    <n v="4"/>
    <n v="387.31"/>
    <n v="0.1"/>
    <n v="1394.32"/>
    <n v="777.35"/>
    <n v="616.97"/>
    <s v="Cash"/>
    <n v="3"/>
    <s v="December"/>
    <s v="Q4"/>
    <n v="2024"/>
    <m/>
  </r>
  <r>
    <s v="SAL-1807"/>
    <d v="2024-08-16T00:00:00"/>
    <s v="Terri Smith"/>
    <s v="West"/>
    <x v="3"/>
    <s v="Corporate"/>
    <s v="Clothing"/>
    <s v="Sneakers"/>
    <n v="7"/>
    <n v="1020.22"/>
    <n v="0.15"/>
    <n v="6070.31"/>
    <n v="4589.47"/>
    <n v="1480.84"/>
    <s v="Card"/>
    <n v="2"/>
    <s v="August"/>
    <s v="Q3"/>
    <n v="2024"/>
    <m/>
  </r>
  <r>
    <s v="SAL-1808"/>
    <d v="2024-06-21T00:00:00"/>
    <s v="Jessica Lopez"/>
    <s v="Central"/>
    <x v="0"/>
    <s v="Consumer"/>
    <s v="Office Supplies"/>
    <s v="Notebook"/>
    <n v="4"/>
    <n v="241.73"/>
    <n v="0.1"/>
    <n v="870.23"/>
    <n v="539.33000000000004"/>
    <n v="330.9"/>
    <s v="Cash"/>
    <n v="2"/>
    <s v="June"/>
    <s v="Q2"/>
    <n v="2024"/>
    <m/>
  </r>
  <r>
    <s v="SAL-1809"/>
    <d v="2024-02-24T00:00:00"/>
    <s v="Dana Mata"/>
    <s v="West"/>
    <x v="0"/>
    <s v="Home Office"/>
    <s v="Furniture"/>
    <s v="Chair"/>
    <n v="2"/>
    <n v="481.19"/>
    <n v="0.15"/>
    <n v="818.02"/>
    <n v="672.08"/>
    <n v="145.94"/>
    <s v="Card"/>
    <n v="2"/>
    <s v="February"/>
    <s v="Q1"/>
    <n v="2024"/>
    <m/>
  </r>
  <r>
    <s v="SAL-1810"/>
    <d v="2024-10-09T00:00:00"/>
    <s v="Howard Sherman"/>
    <s v="East"/>
    <x v="1"/>
    <s v="Home Office"/>
    <s v="Office Supplies"/>
    <s v="Paper"/>
    <n v="8"/>
    <n v="310.11"/>
    <n v="0.05"/>
    <n v="2356.84"/>
    <n v="1895.11"/>
    <n v="461.73"/>
    <s v="Card"/>
    <n v="3"/>
    <s v="October"/>
    <s v="Q4"/>
    <n v="2024"/>
    <m/>
  </r>
  <r>
    <s v="SAL-1811"/>
    <d v="2024-10-27T00:00:00"/>
    <s v="Ariel Chavez"/>
    <s v="West"/>
    <x v="3"/>
    <s v="Home Office"/>
    <s v="Office Supplies"/>
    <s v="Paper"/>
    <n v="6"/>
    <n v="948.57"/>
    <n v="0"/>
    <n v="5691.42"/>
    <n v="3038.08"/>
    <n v="2653.34"/>
    <s v="Cash"/>
    <n v="2"/>
    <s v="October"/>
    <s v="Q4"/>
    <n v="2024"/>
    <m/>
  </r>
  <r>
    <s v="SAL-1812"/>
    <d v="2024-05-12T00:00:00"/>
    <s v="Daniel Miller"/>
    <s v="South"/>
    <x v="4"/>
    <s v="Consumer"/>
    <s v="Electronics"/>
    <s v="Printer"/>
    <n v="8"/>
    <n v="614.16"/>
    <n v="0.15"/>
    <n v="4176.29"/>
    <n v="2167.7800000000002"/>
    <n v="2008.51"/>
    <s v="Transfer"/>
    <n v="4"/>
    <s v="May"/>
    <s v="Q2"/>
    <n v="2024"/>
    <m/>
  </r>
  <r>
    <s v="SAL-1813"/>
    <d v="2024-09-12T00:00:00"/>
    <s v="Eric West"/>
    <s v="North"/>
    <x v="3"/>
    <s v="Home Office"/>
    <s v="Furniture"/>
    <s v="Cabinet"/>
    <n v="2"/>
    <n v="1051.08"/>
    <n v="0.05"/>
    <n v="1997.05"/>
    <n v="1103.58"/>
    <n v="893.47"/>
    <s v="Mobile Payment"/>
    <n v="5"/>
    <s v="September"/>
    <s v="Q3"/>
    <n v="2024"/>
    <m/>
  </r>
  <r>
    <s v="SAL-1814"/>
    <d v="2024-02-27T00:00:00"/>
    <s v="Jamie Parker"/>
    <s v="South"/>
    <x v="2"/>
    <s v="Consumer"/>
    <s v="Electronics"/>
    <s v="Tablet"/>
    <n v="1"/>
    <n v="558.87"/>
    <n v="0.05"/>
    <n v="530.92999999999995"/>
    <n v="373.35"/>
    <n v="157.58000000000001"/>
    <s v="Card"/>
    <n v="3"/>
    <s v="February"/>
    <s v="Q1"/>
    <n v="2024"/>
    <m/>
  </r>
  <r>
    <s v="SAL-1815"/>
    <d v="2024-12-15T00:00:00"/>
    <s v="Jeremy Kirk"/>
    <s v="East"/>
    <x v="3"/>
    <s v="Home Office"/>
    <s v="Electronics"/>
    <s v="Tablet"/>
    <n v="3"/>
    <n v="498.18"/>
    <n v="0.05"/>
    <n v="1419.81"/>
    <n v="758.41"/>
    <n v="661.4"/>
    <s v="Transfer"/>
    <n v="5"/>
    <s v="December"/>
    <s v="Q4"/>
    <n v="2024"/>
    <m/>
  </r>
  <r>
    <s v="SAL-1816"/>
    <d v="2024-12-05T00:00:00"/>
    <s v="Patricia Johnson"/>
    <s v="West"/>
    <x v="3"/>
    <s v="Corporate"/>
    <s v="Furniture"/>
    <s v="Desk"/>
    <n v="11"/>
    <n v="1011.39"/>
    <n v="0.1"/>
    <n v="10012.76"/>
    <n v="5869.97"/>
    <n v="4142.79"/>
    <s v="Transfer"/>
    <n v="5"/>
    <s v="December"/>
    <s v="Q4"/>
    <n v="2024"/>
    <m/>
  </r>
  <r>
    <s v="SAL-1817"/>
    <d v="2024-07-12T00:00:00"/>
    <s v="Chad Russell"/>
    <s v="West"/>
    <x v="4"/>
    <s v="Home Office"/>
    <s v="Electronics"/>
    <s v="Printer"/>
    <n v="1"/>
    <n v="944.86"/>
    <n v="0.15"/>
    <n v="803.13"/>
    <n v="472.57"/>
    <n v="330.56"/>
    <s v="Cash"/>
    <n v="2"/>
    <s v="July"/>
    <s v="Q3"/>
    <n v="2024"/>
    <m/>
  </r>
  <r>
    <s v="SAL-1818"/>
    <d v="2024-02-22T00:00:00"/>
    <s v="Jeffery Chen"/>
    <s v="South"/>
    <x v="2"/>
    <s v="Corporate"/>
    <s v="Electronics"/>
    <s v="Phone"/>
    <n v="8"/>
    <n v="310.89999999999998"/>
    <n v="0"/>
    <n v="2487.1999999999998"/>
    <n v="1982.78"/>
    <n v="504.42"/>
    <s v="Mobile Payment"/>
    <n v="3"/>
    <s v="February"/>
    <s v="Q1"/>
    <n v="2024"/>
    <m/>
  </r>
  <r>
    <s v="SAL-1819"/>
    <d v="2024-08-02T00:00:00"/>
    <s v="Jorge Herman"/>
    <s v="East"/>
    <x v="1"/>
    <s v="Consumer"/>
    <s v="Office Supplies"/>
    <s v="Notebook"/>
    <n v="12"/>
    <n v="462.94"/>
    <n v="0.05"/>
    <n v="5277.52"/>
    <n v="3929.55"/>
    <n v="1347.97"/>
    <s v="Mobile Payment"/>
    <n v="5"/>
    <s v="August"/>
    <s v="Q3"/>
    <n v="2024"/>
    <m/>
  </r>
  <r>
    <s v="SAL-1820"/>
    <d v="2024-06-13T00:00:00"/>
    <s v="Charles Davis"/>
    <s v="South"/>
    <x v="4"/>
    <s v="Home Office"/>
    <s v="Clothing"/>
    <s v="Sneakers"/>
    <n v="5"/>
    <n v="595.84"/>
    <n v="0.15"/>
    <n v="2532.3200000000002"/>
    <n v="1927.06"/>
    <n v="605.26"/>
    <s v="Card"/>
    <n v="3"/>
    <s v="June"/>
    <s v="Q2"/>
    <n v="2024"/>
    <m/>
  </r>
  <r>
    <s v="SAL-1821"/>
    <d v="2024-11-06T00:00:00"/>
    <s v="Molly Benson"/>
    <s v="Central"/>
    <x v="3"/>
    <s v="Corporate"/>
    <s v="Electronics"/>
    <s v="Phone"/>
    <n v="9"/>
    <n v="959.07"/>
    <n v="0.05"/>
    <n v="8200.0499999999993"/>
    <n v="6422.95"/>
    <n v="1777.1"/>
    <s v="Transfer"/>
    <n v="4"/>
    <s v="November"/>
    <s v="Q4"/>
    <n v="2024"/>
    <m/>
  </r>
  <r>
    <s v="SAL-1822"/>
    <d v="2024-07-08T00:00:00"/>
    <s v="Peter Perez"/>
    <s v="East"/>
    <x v="1"/>
    <s v="Home Office"/>
    <s v="Electronics"/>
    <s v="Laptop"/>
    <n v="9"/>
    <n v="1154.4000000000001"/>
    <n v="0"/>
    <n v="10389.6"/>
    <n v="8712.0400000000009"/>
    <n v="1677.56"/>
    <s v="Cash"/>
    <n v="2"/>
    <s v="July"/>
    <s v="Q3"/>
    <n v="2024"/>
    <m/>
  </r>
  <r>
    <s v="SAL-1823"/>
    <d v="2024-04-03T00:00:00"/>
    <s v="Stephanie Stewart"/>
    <s v="Central"/>
    <x v="2"/>
    <s v="Consumer"/>
    <s v="Clothing"/>
    <s v="Sneakers"/>
    <n v="11"/>
    <n v="459.58"/>
    <n v="0.15"/>
    <n v="4297.07"/>
    <n v="2895.73"/>
    <n v="1401.34"/>
    <s v="Mobile Payment"/>
    <n v="3"/>
    <s v="April"/>
    <s v="Q2"/>
    <n v="2024"/>
    <m/>
  </r>
  <r>
    <s v="SAL-1824"/>
    <d v="2024-09-20T00:00:00"/>
    <s v="Kevin Anderson"/>
    <s v="North"/>
    <x v="4"/>
    <s v="Consumer"/>
    <s v="Clothing"/>
    <s v="Sneakers"/>
    <n v="12"/>
    <n v="258.45999999999998"/>
    <n v="0.05"/>
    <n v="2946.44"/>
    <n v="2021.07"/>
    <n v="925.37"/>
    <s v="Cash"/>
    <n v="5"/>
    <s v="September"/>
    <s v="Q3"/>
    <n v="2024"/>
    <m/>
  </r>
  <r>
    <s v="SAL-1825"/>
    <d v="2024-02-05T00:00:00"/>
    <s v="Taylor Sanchez"/>
    <s v="West"/>
    <x v="3"/>
    <s v="Corporate"/>
    <s v="Electronics"/>
    <s v="Tablet"/>
    <n v="7"/>
    <n v="435.28"/>
    <n v="0"/>
    <n v="3046.96"/>
    <n v="2288.7800000000002"/>
    <n v="758.18"/>
    <s v="Transfer"/>
    <n v="1"/>
    <s v="February"/>
    <s v="Q1"/>
    <n v="2024"/>
    <m/>
  </r>
  <r>
    <s v="SAL-1826"/>
    <d v="2024-09-20T00:00:00"/>
    <s v="Shane Russell"/>
    <s v="North"/>
    <x v="3"/>
    <s v="Consumer"/>
    <s v="Clothing"/>
    <s v="Sneakers"/>
    <n v="5"/>
    <n v="675"/>
    <n v="0.15"/>
    <n v="2868.75"/>
    <n v="1542.88"/>
    <n v="1325.87"/>
    <s v="Card"/>
    <n v="2"/>
    <s v="September"/>
    <s v="Q3"/>
    <n v="2024"/>
    <m/>
  </r>
  <r>
    <s v="SAL-1827"/>
    <d v="2024-06-15T00:00:00"/>
    <s v="Dana Thompson"/>
    <s v="West"/>
    <x v="0"/>
    <s v="Consumer"/>
    <s v="Clothing"/>
    <s v="Sneakers"/>
    <n v="12"/>
    <n v="1035.3399999999999"/>
    <n v="0.1"/>
    <n v="11181.67"/>
    <n v="6340.16"/>
    <n v="4841.51"/>
    <s v="Transfer"/>
    <n v="4"/>
    <s v="June"/>
    <s v="Q2"/>
    <n v="2024"/>
    <m/>
  </r>
  <r>
    <s v="SAL-1828"/>
    <d v="2024-03-02T00:00:00"/>
    <s v="Lisa Lyons"/>
    <s v="Central"/>
    <x v="4"/>
    <s v="Consumer"/>
    <s v="Furniture"/>
    <s v="Chair"/>
    <n v="4"/>
    <n v="1054.78"/>
    <n v="0.1"/>
    <n v="3797.21"/>
    <n v="2564.4299999999998"/>
    <n v="1232.78"/>
    <s v="Cash"/>
    <n v="2"/>
    <s v="March"/>
    <s v="Q1"/>
    <n v="2024"/>
    <m/>
  </r>
  <r>
    <s v="SAL-1829"/>
    <d v="2024-10-09T00:00:00"/>
    <s v="Victoria Wilson"/>
    <s v="East"/>
    <x v="3"/>
    <s v="Home Office"/>
    <s v="Office Supplies"/>
    <s v="Notebook"/>
    <n v="8"/>
    <n v="74.510000000000005"/>
    <n v="0.15"/>
    <n v="506.67"/>
    <n v="254.78"/>
    <n v="251.89"/>
    <s v="Transfer"/>
    <n v="1"/>
    <s v="October"/>
    <s v="Q4"/>
    <n v="2024"/>
    <m/>
  </r>
  <r>
    <s v="SAL-1830"/>
    <d v="2024-09-09T00:00:00"/>
    <s v="Richard Perez"/>
    <s v="East"/>
    <x v="2"/>
    <s v="Consumer"/>
    <s v="Office Supplies"/>
    <s v="Pen"/>
    <n v="3"/>
    <n v="748.56"/>
    <n v="0"/>
    <n v="2245.6799999999998"/>
    <n v="1413.76"/>
    <n v="831.92"/>
    <s v="Mobile Payment"/>
    <n v="4"/>
    <s v="September"/>
    <s v="Q3"/>
    <n v="2024"/>
    <m/>
  </r>
  <r>
    <s v="SAL-1831"/>
    <d v="2024-08-25T00:00:00"/>
    <s v="Michele Douglas"/>
    <s v="North"/>
    <x v="0"/>
    <s v="Consumer"/>
    <s v="Office Supplies"/>
    <s v="Notebook"/>
    <n v="11"/>
    <n v="139.77000000000001"/>
    <n v="0.05"/>
    <n v="1460.6"/>
    <n v="775.78"/>
    <n v="684.82"/>
    <s v="Card"/>
    <n v="2"/>
    <s v="August"/>
    <s v="Q3"/>
    <n v="2024"/>
    <m/>
  </r>
  <r>
    <s v="SAL-1832"/>
    <d v="2024-07-11T00:00:00"/>
    <s v="Virginia Holmes"/>
    <s v="East"/>
    <x v="2"/>
    <s v="Consumer"/>
    <s v="Furniture"/>
    <s v="Desk"/>
    <n v="1"/>
    <n v="409.87"/>
    <n v="0.15"/>
    <n v="348.39"/>
    <n v="254.23"/>
    <n v="94.16"/>
    <s v="Mobile Payment"/>
    <n v="1"/>
    <s v="July"/>
    <s v="Q3"/>
    <n v="2024"/>
    <m/>
  </r>
  <r>
    <s v="SAL-1833"/>
    <d v="2024-05-14T00:00:00"/>
    <s v="April Shaw"/>
    <s v="East"/>
    <x v="3"/>
    <s v="Home Office"/>
    <s v="Electronics"/>
    <s v="Laptop"/>
    <n v="1"/>
    <n v="438.95"/>
    <n v="0.1"/>
    <n v="395.06"/>
    <n v="306.83999999999997"/>
    <n v="88.22"/>
    <s v="Mobile Payment"/>
    <n v="3"/>
    <s v="May"/>
    <s v="Q2"/>
    <n v="2024"/>
    <m/>
  </r>
  <r>
    <s v="SAL-1834"/>
    <d v="2024-08-12T00:00:00"/>
    <s v="Mitchell Carson"/>
    <s v="East"/>
    <x v="3"/>
    <s v="Home Office"/>
    <s v="Electronics"/>
    <s v="Printer"/>
    <n v="6"/>
    <n v="218.38"/>
    <n v="0.15"/>
    <n v="1113.74"/>
    <n v="858.24"/>
    <n v="255.5"/>
    <s v="Cash"/>
    <n v="3"/>
    <s v="August"/>
    <s v="Q3"/>
    <n v="2024"/>
    <m/>
  </r>
  <r>
    <s v="SAL-1835"/>
    <d v="2024-03-14T00:00:00"/>
    <s v="Michael Morrison"/>
    <s v="South"/>
    <x v="2"/>
    <s v="Consumer"/>
    <s v="Office Supplies"/>
    <s v="Notebook"/>
    <n v="8"/>
    <n v="456.56"/>
    <n v="0.15"/>
    <n v="3104.61"/>
    <n v="1648.15"/>
    <n v="1456.46"/>
    <s v="Card"/>
    <n v="2"/>
    <s v="March"/>
    <s v="Q1"/>
    <n v="2024"/>
    <m/>
  </r>
  <r>
    <s v="SAL-1836"/>
    <d v="2024-02-21T00:00:00"/>
    <s v="Rebecca Lopez"/>
    <s v="South"/>
    <x v="4"/>
    <s v="Consumer"/>
    <s v="Furniture"/>
    <s v="Desk"/>
    <n v="3"/>
    <n v="264.41000000000003"/>
    <n v="0"/>
    <n v="793.23"/>
    <n v="533.12"/>
    <n v="260.11"/>
    <s v="Transfer"/>
    <n v="1"/>
    <s v="February"/>
    <s v="Q1"/>
    <n v="2024"/>
    <m/>
  </r>
  <r>
    <s v="SAL-1837"/>
    <d v="2024-02-15T00:00:00"/>
    <s v="Jonathan Pineda"/>
    <s v="South"/>
    <x v="2"/>
    <s v="Corporate"/>
    <s v="Office Supplies"/>
    <s v="Paper"/>
    <n v="8"/>
    <n v="597.41"/>
    <n v="0"/>
    <n v="4779.28"/>
    <n v="3008.32"/>
    <n v="1770.96"/>
    <s v="Transfer"/>
    <n v="2"/>
    <s v="February"/>
    <s v="Q1"/>
    <n v="2024"/>
    <m/>
  </r>
  <r>
    <s v="SAL-1838"/>
    <d v="2024-12-28T00:00:00"/>
    <s v="Tina Powers"/>
    <s v="West"/>
    <x v="1"/>
    <s v="Consumer"/>
    <s v="Furniture"/>
    <s v="Cabinet"/>
    <n v="3"/>
    <n v="432.87"/>
    <n v="0.15"/>
    <n v="1103.82"/>
    <n v="582.66999999999996"/>
    <n v="521.15"/>
    <s v="Card"/>
    <n v="1"/>
    <s v="December"/>
    <s v="Q4"/>
    <n v="2024"/>
    <m/>
  </r>
  <r>
    <s v="SAL-1839"/>
    <d v="2024-09-29T00:00:00"/>
    <s v="Joshua Gonzalez"/>
    <s v="South"/>
    <x v="4"/>
    <s v="Consumer"/>
    <s v="Electronics"/>
    <s v="Laptop"/>
    <n v="4"/>
    <n v="493.51"/>
    <n v="0.05"/>
    <n v="1875.34"/>
    <n v="951.2"/>
    <n v="924.14"/>
    <s v="Transfer"/>
    <n v="3"/>
    <s v="September"/>
    <s v="Q3"/>
    <n v="2024"/>
    <m/>
  </r>
  <r>
    <s v="SAL-1840"/>
    <d v="2024-01-21T00:00:00"/>
    <s v="Emily Greene DDS"/>
    <s v="West"/>
    <x v="2"/>
    <s v="Home Office"/>
    <s v="Clothing"/>
    <s v="Sneakers"/>
    <n v="3"/>
    <n v="105.73"/>
    <n v="0"/>
    <n v="317.19"/>
    <n v="243.7"/>
    <n v="73.489999999999995"/>
    <s v="Card"/>
    <n v="1"/>
    <s v="January"/>
    <s v="Q1"/>
    <n v="2024"/>
    <m/>
  </r>
  <r>
    <s v="SAL-1841"/>
    <d v="2024-01-01T00:00:00"/>
    <s v="Kyle Giles DVM"/>
    <s v="South"/>
    <x v="3"/>
    <s v="Corporate"/>
    <s v="Furniture"/>
    <s v="Desk"/>
    <n v="11"/>
    <n v="1051.6600000000001"/>
    <n v="0.05"/>
    <n v="10989.85"/>
    <n v="7826.01"/>
    <n v="3163.84"/>
    <s v="Cash"/>
    <n v="2"/>
    <s v="January"/>
    <s v="Q1"/>
    <n v="2024"/>
    <m/>
  </r>
  <r>
    <s v="SAL-1842"/>
    <d v="2024-11-18T00:00:00"/>
    <s v="Elizabeth Alvarado"/>
    <s v="North"/>
    <x v="4"/>
    <s v="Home Office"/>
    <s v="Clothing"/>
    <s v="Sneakers"/>
    <n v="6"/>
    <n v="216.98"/>
    <n v="0.05"/>
    <n v="1236.79"/>
    <n v="826.89"/>
    <n v="409.9"/>
    <s v="Cash"/>
    <n v="2"/>
    <s v="November"/>
    <s v="Q4"/>
    <n v="2024"/>
    <m/>
  </r>
  <r>
    <s v="SAL-1843"/>
    <d v="2024-01-16T00:00:00"/>
    <s v="Mr. Christopher Johnson"/>
    <s v="South"/>
    <x v="3"/>
    <s v="Home Office"/>
    <s v="Electronics"/>
    <s v="Phone"/>
    <n v="6"/>
    <n v="794.04"/>
    <n v="0.1"/>
    <n v="4287.82"/>
    <n v="2866.28"/>
    <n v="1421.54"/>
    <s v="Cash"/>
    <n v="4"/>
    <s v="January"/>
    <s v="Q1"/>
    <n v="2024"/>
    <m/>
  </r>
  <r>
    <s v="SAL-1844"/>
    <d v="2024-11-14T00:00:00"/>
    <s v="Katherine Fisher"/>
    <s v="East"/>
    <x v="2"/>
    <s v="Corporate"/>
    <s v="Office Supplies"/>
    <s v="Paper"/>
    <n v="12"/>
    <n v="285.89999999999998"/>
    <n v="0.05"/>
    <n v="3259.26"/>
    <n v="2022.78"/>
    <n v="1236.48"/>
    <s v="Cash"/>
    <n v="5"/>
    <s v="November"/>
    <s v="Q4"/>
    <n v="2024"/>
    <m/>
  </r>
  <r>
    <s v="SAL-1845"/>
    <d v="2024-03-03T00:00:00"/>
    <s v="Makayla Riddle"/>
    <s v="Central"/>
    <x v="2"/>
    <s v="Home Office"/>
    <s v="Furniture"/>
    <s v="Cabinet"/>
    <n v="12"/>
    <n v="1125.4100000000001"/>
    <n v="0.1"/>
    <n v="12154.43"/>
    <n v="7974.06"/>
    <n v="4180.37"/>
    <s v="Cash"/>
    <n v="5"/>
    <s v="March"/>
    <s v="Q1"/>
    <n v="2024"/>
    <m/>
  </r>
  <r>
    <s v="SAL-1846"/>
    <d v="2024-05-15T00:00:00"/>
    <s v="Sheila Huffman"/>
    <s v="West"/>
    <x v="0"/>
    <s v="Home Office"/>
    <s v="Clothing"/>
    <s v="Jacket"/>
    <n v="1"/>
    <n v="1060.48"/>
    <n v="0.1"/>
    <n v="954.43"/>
    <n v="644.57000000000005"/>
    <n v="309.86"/>
    <s v="Transfer"/>
    <n v="2"/>
    <s v="May"/>
    <s v="Q2"/>
    <n v="2024"/>
    <m/>
  </r>
  <r>
    <s v="SAL-1847"/>
    <d v="2024-04-10T00:00:00"/>
    <s v="Christopher Johnson"/>
    <s v="North"/>
    <x v="0"/>
    <s v="Corporate"/>
    <s v="Clothing"/>
    <s v="T-Shirt"/>
    <n v="3"/>
    <n v="596.6"/>
    <n v="0.15"/>
    <n v="1521.33"/>
    <n v="1070.73"/>
    <n v="450.6"/>
    <s v="Transfer"/>
    <n v="1"/>
    <s v="April"/>
    <s v="Q2"/>
    <n v="2024"/>
    <m/>
  </r>
  <r>
    <s v="SAL-1848"/>
    <d v="2024-09-19T00:00:00"/>
    <s v="Matthew Nicholson"/>
    <s v="East"/>
    <x v="2"/>
    <s v="Consumer"/>
    <s v="Furniture"/>
    <s v="Cabinet"/>
    <n v="9"/>
    <n v="126.83"/>
    <n v="0.05"/>
    <n v="1084.4000000000001"/>
    <n v="904.46"/>
    <n v="179.94"/>
    <s v="Mobile Payment"/>
    <n v="2"/>
    <s v="September"/>
    <s v="Q3"/>
    <n v="2024"/>
    <m/>
  </r>
  <r>
    <s v="SAL-1849"/>
    <d v="2024-01-06T00:00:00"/>
    <s v="Sabrina Green"/>
    <s v="West"/>
    <x v="4"/>
    <s v="Home Office"/>
    <s v="Office Supplies"/>
    <s v="Notebook"/>
    <n v="10"/>
    <n v="329.59"/>
    <n v="0.1"/>
    <n v="2966.31"/>
    <n v="1902.34"/>
    <n v="1063.97"/>
    <s v="Card"/>
    <n v="3"/>
    <s v="January"/>
    <s v="Q1"/>
    <n v="2024"/>
    <m/>
  </r>
  <r>
    <s v="SAL-1850"/>
    <d v="2024-08-19T00:00:00"/>
    <s v="Patricia Brown"/>
    <s v="North"/>
    <x v="1"/>
    <s v="Corporate"/>
    <s v="Electronics"/>
    <s v="Tablet"/>
    <n v="8"/>
    <n v="749.75"/>
    <n v="0.05"/>
    <n v="5698.1"/>
    <n v="3300.92"/>
    <n v="2397.1799999999998"/>
    <s v="Mobile Payment"/>
    <n v="4"/>
    <s v="August"/>
    <s v="Q3"/>
    <n v="2024"/>
    <m/>
  </r>
  <r>
    <s v="SAL-1851"/>
    <d v="2024-11-22T00:00:00"/>
    <s v="Terry Ramos MD"/>
    <s v="Central"/>
    <x v="4"/>
    <s v="Home Office"/>
    <s v="Clothing"/>
    <s v="Jacket"/>
    <n v="3"/>
    <n v="569.11"/>
    <n v="0"/>
    <n v="1707.33"/>
    <n v="1134.2"/>
    <n v="573.13"/>
    <s v="Card"/>
    <n v="3"/>
    <s v="November"/>
    <s v="Q4"/>
    <n v="2024"/>
    <m/>
  </r>
  <r>
    <s v="SAL-1852"/>
    <d v="2024-11-19T00:00:00"/>
    <s v="Kyle Murphy"/>
    <s v="South"/>
    <x v="3"/>
    <s v="Corporate"/>
    <s v="Electronics"/>
    <s v="Laptop"/>
    <n v="4"/>
    <n v="330.08"/>
    <n v="0.15"/>
    <n v="1122.27"/>
    <n v="908.14"/>
    <n v="214.13"/>
    <s v="Mobile Payment"/>
    <n v="4"/>
    <s v="November"/>
    <s v="Q4"/>
    <n v="2024"/>
    <m/>
  </r>
  <r>
    <s v="SAL-1853"/>
    <d v="2024-09-02T00:00:00"/>
    <s v="Ryan Johnson"/>
    <s v="West"/>
    <x v="0"/>
    <s v="Home Office"/>
    <s v="Electronics"/>
    <s v="Printer"/>
    <n v="11"/>
    <n v="830.68"/>
    <n v="0.1"/>
    <n v="8223.73"/>
    <n v="4160.8999999999996"/>
    <n v="4062.83"/>
    <s v="Transfer"/>
    <n v="3"/>
    <s v="September"/>
    <s v="Q3"/>
    <n v="2024"/>
    <m/>
  </r>
  <r>
    <s v="SAL-1854"/>
    <d v="2024-08-26T00:00:00"/>
    <s v="William Bean"/>
    <s v="Central"/>
    <x v="1"/>
    <s v="Home Office"/>
    <s v="Office Supplies"/>
    <s v="Notebook"/>
    <n v="4"/>
    <n v="356.96"/>
    <n v="0.15"/>
    <n v="1213.6600000000001"/>
    <n v="623.83000000000004"/>
    <n v="589.83000000000004"/>
    <s v="Mobile Payment"/>
    <n v="4"/>
    <s v="August"/>
    <s v="Q3"/>
    <n v="2024"/>
    <m/>
  </r>
  <r>
    <s v="SAL-1855"/>
    <d v="2024-08-18T00:00:00"/>
    <s v="Christopher Rogers"/>
    <s v="North"/>
    <x v="4"/>
    <s v="Corporate"/>
    <s v="Clothing"/>
    <s v="T-Shirt"/>
    <n v="8"/>
    <n v="284.66000000000003"/>
    <n v="0"/>
    <n v="2277.2800000000002"/>
    <n v="1715.01"/>
    <n v="562.27"/>
    <s v="Mobile Payment"/>
    <n v="4"/>
    <s v="August"/>
    <s v="Q3"/>
    <n v="2024"/>
    <m/>
  </r>
  <r>
    <s v="SAL-1856"/>
    <d v="2024-09-05T00:00:00"/>
    <s v="John Montoya"/>
    <s v="Central"/>
    <x v="0"/>
    <s v="Home Office"/>
    <s v="Office Supplies"/>
    <s v="Pen"/>
    <n v="10"/>
    <n v="468.7"/>
    <n v="0.15"/>
    <n v="3983.95"/>
    <n v="2757.89"/>
    <n v="1226.06"/>
    <s v="Transfer"/>
    <n v="4"/>
    <s v="September"/>
    <s v="Q3"/>
    <n v="2024"/>
    <m/>
  </r>
  <r>
    <s v="SAL-1857"/>
    <d v="2024-06-30T00:00:00"/>
    <s v="Nathan Gutierrez"/>
    <s v="South"/>
    <x v="0"/>
    <s v="Home Office"/>
    <s v="Electronics"/>
    <s v="Tablet"/>
    <n v="2"/>
    <n v="231.37"/>
    <n v="0.05"/>
    <n v="439.6"/>
    <n v="288.06"/>
    <n v="151.54"/>
    <s v="Card"/>
    <n v="3"/>
    <s v="June"/>
    <s v="Q2"/>
    <n v="2024"/>
    <m/>
  </r>
  <r>
    <s v="SAL-1858"/>
    <d v="2024-06-27T00:00:00"/>
    <s v="Mike Ball"/>
    <s v="Central"/>
    <x v="3"/>
    <s v="Consumer"/>
    <s v="Clothing"/>
    <s v="Jacket"/>
    <n v="8"/>
    <n v="1141.32"/>
    <n v="0"/>
    <n v="9130.56"/>
    <n v="6565.11"/>
    <n v="2565.4499999999998"/>
    <s v="Cash"/>
    <n v="2"/>
    <s v="June"/>
    <s v="Q2"/>
    <n v="2024"/>
    <m/>
  </r>
  <r>
    <s v="SAL-1859"/>
    <d v="2024-05-06T00:00:00"/>
    <s v="Jessica Delgado"/>
    <s v="South"/>
    <x v="2"/>
    <s v="Corporate"/>
    <s v="Electronics"/>
    <s v="Tablet"/>
    <n v="3"/>
    <n v="409.13"/>
    <n v="0.05"/>
    <n v="1166.02"/>
    <n v="659.1"/>
    <n v="506.92"/>
    <s v="Mobile Payment"/>
    <n v="1"/>
    <s v="May"/>
    <s v="Q2"/>
    <n v="2024"/>
    <m/>
  </r>
  <r>
    <s v="SAL-1860"/>
    <d v="2024-01-24T00:00:00"/>
    <s v="Richard Carrillo"/>
    <s v="Central"/>
    <x v="1"/>
    <s v="Corporate"/>
    <s v="Electronics"/>
    <s v="Printer"/>
    <n v="5"/>
    <n v="659.15"/>
    <n v="0.05"/>
    <n v="3130.96"/>
    <n v="1991.86"/>
    <n v="1139.0999999999999"/>
    <s v="Cash"/>
    <n v="1"/>
    <s v="January"/>
    <s v="Q1"/>
    <n v="2024"/>
    <m/>
  </r>
  <r>
    <s v="SAL-1861"/>
    <d v="2024-12-22T00:00:00"/>
    <s v="Susan Lawson"/>
    <s v="South"/>
    <x v="4"/>
    <s v="Home Office"/>
    <s v="Clothing"/>
    <s v="Jacket"/>
    <n v="5"/>
    <n v="1120.57"/>
    <n v="0"/>
    <n v="5602.85"/>
    <n v="4509.4799999999996"/>
    <n v="1093.3699999999999"/>
    <s v="Mobile Payment"/>
    <n v="3"/>
    <s v="December"/>
    <s v="Q4"/>
    <n v="2024"/>
    <m/>
  </r>
  <r>
    <s v="SAL-1862"/>
    <d v="2024-10-13T00:00:00"/>
    <s v="Todd Brown"/>
    <s v="South"/>
    <x v="2"/>
    <s v="Home Office"/>
    <s v="Clothing"/>
    <s v="Sneakers"/>
    <n v="1"/>
    <n v="71.75"/>
    <n v="0.05"/>
    <n v="68.16"/>
    <n v="44.01"/>
    <n v="24.15"/>
    <s v="Mobile Payment"/>
    <n v="4"/>
    <s v="October"/>
    <s v="Q4"/>
    <n v="2024"/>
    <m/>
  </r>
  <r>
    <s v="SAL-1863"/>
    <d v="2024-04-26T00:00:00"/>
    <s v="Stephanie Coffey"/>
    <s v="North"/>
    <x v="4"/>
    <s v="Consumer"/>
    <s v="Clothing"/>
    <s v="T-Shirt"/>
    <n v="1"/>
    <n v="762.42"/>
    <n v="0.15"/>
    <n v="648.05999999999995"/>
    <n v="409.48"/>
    <n v="238.58"/>
    <s v="Mobile Payment"/>
    <n v="3"/>
    <s v="April"/>
    <s v="Q2"/>
    <n v="2024"/>
    <m/>
  </r>
  <r>
    <s v="SAL-1864"/>
    <d v="2024-10-05T00:00:00"/>
    <s v="Juan Bell"/>
    <s v="West"/>
    <x v="3"/>
    <s v="Consumer"/>
    <s v="Furniture"/>
    <s v="Desk"/>
    <n v="12"/>
    <n v="1059.67"/>
    <n v="0.1"/>
    <n v="11444.44"/>
    <n v="6289.63"/>
    <n v="5154.8100000000004"/>
    <s v="Transfer"/>
    <n v="3"/>
    <s v="October"/>
    <s v="Q4"/>
    <n v="2024"/>
    <m/>
  </r>
  <r>
    <s v="SAL-1865"/>
    <d v="2024-10-01T00:00:00"/>
    <s v="Jennifer Duran"/>
    <s v="North"/>
    <x v="4"/>
    <s v="Corporate"/>
    <s v="Electronics"/>
    <s v="Tablet"/>
    <n v="6"/>
    <n v="218.2"/>
    <n v="0"/>
    <n v="1309.2"/>
    <n v="887.65"/>
    <n v="421.55"/>
    <s v="Mobile Payment"/>
    <n v="1"/>
    <s v="October"/>
    <s v="Q4"/>
    <n v="2024"/>
    <m/>
  </r>
  <r>
    <s v="SAL-1866"/>
    <d v="2024-12-26T00:00:00"/>
    <s v="Candice Martin"/>
    <s v="South"/>
    <x v="0"/>
    <s v="Consumer"/>
    <s v="Office Supplies"/>
    <s v="Paper"/>
    <n v="2"/>
    <n v="734.88"/>
    <n v="0.15"/>
    <n v="1249.3"/>
    <n v="970.53"/>
    <n v="278.77"/>
    <s v="Mobile Payment"/>
    <n v="3"/>
    <s v="December"/>
    <s v="Q4"/>
    <n v="2024"/>
    <m/>
  </r>
  <r>
    <s v="SAL-1867"/>
    <d v="2024-04-25T00:00:00"/>
    <s v="Eddie Aguirre Jr."/>
    <s v="West"/>
    <x v="1"/>
    <s v="Home Office"/>
    <s v="Electronics"/>
    <s v="Phone"/>
    <n v="10"/>
    <n v="380.89"/>
    <n v="0.05"/>
    <n v="3618.45"/>
    <n v="2965.04"/>
    <n v="653.41"/>
    <s v="Card"/>
    <n v="5"/>
    <s v="April"/>
    <s v="Q2"/>
    <n v="2024"/>
    <m/>
  </r>
  <r>
    <s v="SAL-1868"/>
    <d v="2024-11-24T00:00:00"/>
    <s v="Mark Richmond"/>
    <s v="Central"/>
    <x v="0"/>
    <s v="Consumer"/>
    <s v="Office Supplies"/>
    <s v="Pen"/>
    <n v="10"/>
    <n v="970.75"/>
    <n v="0"/>
    <n v="9707.5"/>
    <n v="5451.31"/>
    <n v="4256.1899999999996"/>
    <s v="Transfer"/>
    <n v="5"/>
    <s v="November"/>
    <s v="Q4"/>
    <n v="2024"/>
    <m/>
  </r>
  <r>
    <s v="SAL-1869"/>
    <d v="2024-06-19T00:00:00"/>
    <s v="Sharon Gutierrez"/>
    <s v="South"/>
    <x v="3"/>
    <s v="Consumer"/>
    <s v="Furniture"/>
    <s v="Chair"/>
    <n v="4"/>
    <n v="297.58999999999997"/>
    <n v="0.15"/>
    <n v="1011.81"/>
    <n v="716.79"/>
    <n v="295.02"/>
    <s v="Mobile Payment"/>
    <n v="5"/>
    <s v="June"/>
    <s v="Q2"/>
    <n v="2024"/>
    <m/>
  </r>
  <r>
    <s v="SAL-1870"/>
    <d v="2024-03-27T00:00:00"/>
    <s v="Javier Garcia"/>
    <s v="North"/>
    <x v="4"/>
    <s v="Home Office"/>
    <s v="Office Supplies"/>
    <s v="Notebook"/>
    <n v="9"/>
    <n v="350.6"/>
    <n v="0"/>
    <n v="3155.4"/>
    <n v="1882.66"/>
    <n v="1272.74"/>
    <s v="Card"/>
    <n v="4"/>
    <s v="March"/>
    <s v="Q1"/>
    <n v="2024"/>
    <m/>
  </r>
  <r>
    <s v="SAL-1871"/>
    <d v="2024-07-30T00:00:00"/>
    <s v="Amanda Poole"/>
    <s v="South"/>
    <x v="0"/>
    <s v="Home Office"/>
    <s v="Electronics"/>
    <s v="Phone"/>
    <n v="2"/>
    <n v="578.94000000000005"/>
    <n v="0.05"/>
    <n v="1099.99"/>
    <n v="671.18"/>
    <n v="428.81"/>
    <s v="Transfer"/>
    <n v="1"/>
    <s v="July"/>
    <s v="Q3"/>
    <n v="2024"/>
    <m/>
  </r>
  <r>
    <s v="SAL-1872"/>
    <d v="2024-08-02T00:00:00"/>
    <s v="Ashley Hatfield"/>
    <s v="North"/>
    <x v="3"/>
    <s v="Corporate"/>
    <s v="Office Supplies"/>
    <s v="Pen"/>
    <n v="1"/>
    <n v="787.8"/>
    <n v="0.05"/>
    <n v="748.41"/>
    <n v="539.09"/>
    <n v="209.32"/>
    <s v="Card"/>
    <n v="3"/>
    <s v="August"/>
    <s v="Q3"/>
    <n v="2024"/>
    <m/>
  </r>
  <r>
    <s v="SAL-1873"/>
    <d v="2024-11-10T00:00:00"/>
    <s v="Lisa Phillips"/>
    <s v="North"/>
    <x v="4"/>
    <s v="Corporate"/>
    <s v="Electronics"/>
    <s v="Tablet"/>
    <n v="9"/>
    <n v="197.14"/>
    <n v="0.1"/>
    <n v="1596.83"/>
    <n v="1251.8499999999999"/>
    <n v="344.98"/>
    <s v="Cash"/>
    <n v="1"/>
    <s v="November"/>
    <s v="Q4"/>
    <n v="2024"/>
    <m/>
  </r>
  <r>
    <s v="SAL-1874"/>
    <d v="2024-06-04T00:00:00"/>
    <s v="Lindsay Duran"/>
    <s v="East"/>
    <x v="2"/>
    <s v="Consumer"/>
    <s v="Furniture"/>
    <s v="Cabinet"/>
    <n v="10"/>
    <n v="1069.98"/>
    <n v="0"/>
    <n v="10699.8"/>
    <n v="7911.24"/>
    <n v="2788.56"/>
    <s v="Card"/>
    <n v="3"/>
    <s v="June"/>
    <s v="Q2"/>
    <n v="2024"/>
    <m/>
  </r>
  <r>
    <s v="SAL-1875"/>
    <d v="2024-01-02T00:00:00"/>
    <s v="John Jennings"/>
    <s v="South"/>
    <x v="1"/>
    <s v="Corporate"/>
    <s v="Furniture"/>
    <s v="Desk"/>
    <n v="3"/>
    <n v="752.84"/>
    <n v="0.15"/>
    <n v="1919.74"/>
    <n v="1534.24"/>
    <n v="385.5"/>
    <s v="Mobile Payment"/>
    <n v="4"/>
    <s v="January"/>
    <s v="Q1"/>
    <n v="2024"/>
    <m/>
  </r>
  <r>
    <s v="SAL-1876"/>
    <d v="2024-01-05T00:00:00"/>
    <s v="Walter Randall"/>
    <s v="South"/>
    <x v="1"/>
    <s v="Consumer"/>
    <s v="Office Supplies"/>
    <s v="Notebook"/>
    <n v="6"/>
    <n v="444.27"/>
    <n v="0.15"/>
    <n v="2265.7800000000002"/>
    <n v="1707.08"/>
    <n v="558.70000000000005"/>
    <s v="Cash"/>
    <n v="1"/>
    <s v="January"/>
    <s v="Q1"/>
    <n v="2024"/>
    <m/>
  </r>
  <r>
    <s v="SAL-1877"/>
    <d v="2024-01-22T00:00:00"/>
    <s v="Connor Yang"/>
    <s v="Central"/>
    <x v="4"/>
    <s v="Corporate"/>
    <s v="Clothing"/>
    <s v="Sneakers"/>
    <n v="10"/>
    <n v="1171.31"/>
    <n v="0.15"/>
    <n v="9956.1299999999992"/>
    <n v="5858.72"/>
    <n v="4097.41"/>
    <s v="Cash"/>
    <n v="1"/>
    <s v="January"/>
    <s v="Q1"/>
    <n v="2024"/>
    <m/>
  </r>
  <r>
    <s v="SAL-1878"/>
    <d v="2024-12-11T00:00:00"/>
    <s v="Kendra Davidson"/>
    <s v="East"/>
    <x v="1"/>
    <s v="Home Office"/>
    <s v="Office Supplies"/>
    <s v="Pen"/>
    <n v="10"/>
    <n v="242.28"/>
    <n v="0"/>
    <n v="2422.8000000000002"/>
    <n v="1415.31"/>
    <n v="1007.49"/>
    <s v="Cash"/>
    <n v="4"/>
    <s v="December"/>
    <s v="Q4"/>
    <n v="2024"/>
    <m/>
  </r>
  <r>
    <s v="SAL-1879"/>
    <d v="2024-08-21T00:00:00"/>
    <s v="Kayla Ramirez"/>
    <s v="East"/>
    <x v="2"/>
    <s v="Corporate"/>
    <s v="Electronics"/>
    <s v="Tablet"/>
    <n v="5"/>
    <n v="545.45000000000005"/>
    <n v="0.15"/>
    <n v="2318.16"/>
    <n v="1366.47"/>
    <n v="951.69"/>
    <s v="Mobile Payment"/>
    <n v="4"/>
    <s v="August"/>
    <s v="Q3"/>
    <n v="2024"/>
    <m/>
  </r>
  <r>
    <s v="SAL-1880"/>
    <d v="2024-07-20T00:00:00"/>
    <s v="Elizabeth Jacobson"/>
    <s v="North"/>
    <x v="0"/>
    <s v="Consumer"/>
    <s v="Clothing"/>
    <s v="Sneakers"/>
    <n v="12"/>
    <n v="300.58"/>
    <n v="0"/>
    <n v="3606.96"/>
    <n v="2316.9499999999998"/>
    <n v="1290.01"/>
    <s v="Transfer"/>
    <n v="2"/>
    <s v="July"/>
    <s v="Q3"/>
    <n v="2024"/>
    <m/>
  </r>
  <r>
    <s v="SAL-1881"/>
    <d v="2024-11-26T00:00:00"/>
    <s v="Tiffany Summers"/>
    <s v="South"/>
    <x v="1"/>
    <s v="Corporate"/>
    <s v="Furniture"/>
    <s v="Chair"/>
    <n v="10"/>
    <n v="569.63"/>
    <n v="0.1"/>
    <n v="5126.67"/>
    <n v="3821.21"/>
    <n v="1305.46"/>
    <s v="Transfer"/>
    <n v="4"/>
    <s v="November"/>
    <s v="Q4"/>
    <n v="2024"/>
    <m/>
  </r>
  <r>
    <s v="SAL-1882"/>
    <d v="2024-07-24T00:00:00"/>
    <s v="Christina Davis"/>
    <s v="Central"/>
    <x v="3"/>
    <s v="Consumer"/>
    <s v="Furniture"/>
    <s v="Desk"/>
    <n v="7"/>
    <n v="714.43"/>
    <n v="0.1"/>
    <n v="4500.91"/>
    <n v="3094.07"/>
    <n v="1406.84"/>
    <s v="Cash"/>
    <n v="2"/>
    <s v="July"/>
    <s v="Q3"/>
    <n v="2024"/>
    <m/>
  </r>
  <r>
    <s v="SAL-1883"/>
    <d v="2024-02-09T00:00:00"/>
    <s v="Courtney Snyder"/>
    <s v="West"/>
    <x v="3"/>
    <s v="Corporate"/>
    <s v="Office Supplies"/>
    <s v="Notebook"/>
    <n v="7"/>
    <n v="591.08000000000004"/>
    <n v="0.1"/>
    <n v="3723.8"/>
    <n v="3102.9"/>
    <n v="620.9"/>
    <s v="Cash"/>
    <n v="2"/>
    <s v="February"/>
    <s v="Q1"/>
    <n v="2024"/>
    <m/>
  </r>
  <r>
    <s v="SAL-1884"/>
    <d v="2024-02-27T00:00:00"/>
    <s v="Barbara Fisher"/>
    <s v="South"/>
    <x v="0"/>
    <s v="Corporate"/>
    <s v="Furniture"/>
    <s v="Desk"/>
    <n v="3"/>
    <n v="12.49"/>
    <n v="0.15"/>
    <n v="31.85"/>
    <n v="17.27"/>
    <n v="14.58"/>
    <s v="Transfer"/>
    <n v="3"/>
    <s v="February"/>
    <s v="Q1"/>
    <n v="2024"/>
    <m/>
  </r>
  <r>
    <s v="SAL-1885"/>
    <d v="2024-10-08T00:00:00"/>
    <s v="Rebecca Perez"/>
    <s v="South"/>
    <x v="4"/>
    <s v="Home Office"/>
    <s v="Furniture"/>
    <s v="Cabinet"/>
    <n v="5"/>
    <n v="584.96"/>
    <n v="0.1"/>
    <n v="2632.32"/>
    <n v="1922.78"/>
    <n v="709.54"/>
    <s v="Card"/>
    <n v="2"/>
    <s v="October"/>
    <s v="Q4"/>
    <n v="2024"/>
    <m/>
  </r>
  <r>
    <s v="SAL-1886"/>
    <d v="2024-06-24T00:00:00"/>
    <s v="Richard Rivers"/>
    <s v="South"/>
    <x v="2"/>
    <s v="Corporate"/>
    <s v="Furniture"/>
    <s v="Chair"/>
    <n v="12"/>
    <n v="38.58"/>
    <n v="0.15"/>
    <n v="393.52"/>
    <n v="317.29000000000002"/>
    <n v="76.23"/>
    <s v="Mobile Payment"/>
    <n v="4"/>
    <s v="June"/>
    <s v="Q2"/>
    <n v="2024"/>
    <m/>
  </r>
  <r>
    <s v="SAL-1887"/>
    <d v="2024-09-15T00:00:00"/>
    <s v="Damon Avila"/>
    <s v="South"/>
    <x v="3"/>
    <s v="Corporate"/>
    <s v="Furniture"/>
    <s v="Desk"/>
    <n v="11"/>
    <n v="213.05"/>
    <n v="0.15"/>
    <n v="1992.02"/>
    <n v="1411.87"/>
    <n v="580.15"/>
    <s v="Card"/>
    <n v="5"/>
    <s v="September"/>
    <s v="Q3"/>
    <n v="2024"/>
    <m/>
  </r>
  <r>
    <s v="SAL-1888"/>
    <d v="2024-06-25T00:00:00"/>
    <s v="Paul Macias"/>
    <s v="East"/>
    <x v="4"/>
    <s v="Consumer"/>
    <s v="Clothing"/>
    <s v="T-Shirt"/>
    <n v="5"/>
    <n v="432.05"/>
    <n v="0"/>
    <n v="2160.25"/>
    <n v="1727.6"/>
    <n v="432.65"/>
    <s v="Transfer"/>
    <n v="1"/>
    <s v="June"/>
    <s v="Q2"/>
    <n v="2024"/>
    <m/>
  </r>
  <r>
    <s v="SAL-1889"/>
    <d v="2024-06-29T00:00:00"/>
    <s v="Paul Rivera"/>
    <s v="East"/>
    <x v="2"/>
    <s v="Consumer"/>
    <s v="Furniture"/>
    <s v="Chair"/>
    <n v="2"/>
    <n v="744.64"/>
    <n v="0.15"/>
    <n v="1265.8900000000001"/>
    <n v="921.12"/>
    <n v="344.77"/>
    <s v="Cash"/>
    <n v="1"/>
    <s v="June"/>
    <s v="Q2"/>
    <n v="2024"/>
    <m/>
  </r>
  <r>
    <s v="SAL-1890"/>
    <d v="2024-06-05T00:00:00"/>
    <s v="Chad Hughes"/>
    <s v="South"/>
    <x v="2"/>
    <s v="Corporate"/>
    <s v="Electronics"/>
    <s v="Printer"/>
    <n v="6"/>
    <n v="351.21"/>
    <n v="0.15"/>
    <n v="1791.17"/>
    <n v="1161.8"/>
    <n v="629.37"/>
    <s v="Mobile Payment"/>
    <n v="2"/>
    <s v="June"/>
    <s v="Q2"/>
    <n v="2024"/>
    <m/>
  </r>
  <r>
    <s v="SAL-1891"/>
    <d v="2024-01-02T00:00:00"/>
    <s v="Jeffrey Price"/>
    <s v="West"/>
    <x v="3"/>
    <s v="Corporate"/>
    <s v="Clothing"/>
    <s v="T-Shirt"/>
    <n v="1"/>
    <n v="899.39"/>
    <n v="0.05"/>
    <n v="854.42"/>
    <n v="592.88"/>
    <n v="261.54000000000002"/>
    <s v="Mobile Payment"/>
    <n v="5"/>
    <s v="January"/>
    <s v="Q1"/>
    <n v="2024"/>
    <m/>
  </r>
  <r>
    <s v="SAL-1892"/>
    <d v="2024-08-30T00:00:00"/>
    <s v="Donna Lewis"/>
    <s v="West"/>
    <x v="3"/>
    <s v="Home Office"/>
    <s v="Electronics"/>
    <s v="Phone"/>
    <n v="5"/>
    <n v="880.83"/>
    <n v="0.1"/>
    <n v="3963.74"/>
    <n v="2803.95"/>
    <n v="1159.79"/>
    <s v="Transfer"/>
    <n v="5"/>
    <s v="August"/>
    <s v="Q3"/>
    <n v="2024"/>
    <m/>
  </r>
  <r>
    <s v="SAL-1893"/>
    <d v="2024-11-15T00:00:00"/>
    <s v="Cassandra Vasquez"/>
    <s v="Central"/>
    <x v="3"/>
    <s v="Consumer"/>
    <s v="Furniture"/>
    <s v="Cabinet"/>
    <n v="9"/>
    <n v="925.91"/>
    <n v="0.15"/>
    <n v="7083.21"/>
    <n v="3953.46"/>
    <n v="3129.75"/>
    <s v="Mobile Payment"/>
    <n v="1"/>
    <s v="November"/>
    <s v="Q4"/>
    <n v="2024"/>
    <m/>
  </r>
  <r>
    <s v="SAL-1894"/>
    <d v="2024-05-02T00:00:00"/>
    <s v="Kelly Nelson"/>
    <s v="South"/>
    <x v="0"/>
    <s v="Consumer"/>
    <s v="Furniture"/>
    <s v="Desk"/>
    <n v="5"/>
    <n v="894.36"/>
    <n v="0.15"/>
    <n v="3801.03"/>
    <n v="2191.7199999999998"/>
    <n v="1609.31"/>
    <s v="Cash"/>
    <n v="4"/>
    <s v="May"/>
    <s v="Q2"/>
    <n v="2024"/>
    <m/>
  </r>
  <r>
    <s v="SAL-1895"/>
    <d v="2024-10-13T00:00:00"/>
    <s v="Stephanie Jones"/>
    <s v="East"/>
    <x v="4"/>
    <s v="Consumer"/>
    <s v="Clothing"/>
    <s v="T-Shirt"/>
    <n v="8"/>
    <n v="1132.6300000000001"/>
    <n v="0"/>
    <n v="9061.0400000000009"/>
    <n v="4861.25"/>
    <n v="4199.79"/>
    <s v="Transfer"/>
    <n v="3"/>
    <s v="October"/>
    <s v="Q4"/>
    <n v="2024"/>
    <m/>
  </r>
  <r>
    <s v="SAL-1896"/>
    <d v="2024-09-20T00:00:00"/>
    <s v="Misty Garcia"/>
    <s v="Central"/>
    <x v="2"/>
    <s v="Home Office"/>
    <s v="Clothing"/>
    <s v="T-Shirt"/>
    <n v="7"/>
    <n v="964.14"/>
    <n v="0"/>
    <n v="6748.98"/>
    <n v="3959.71"/>
    <n v="2789.27"/>
    <s v="Card"/>
    <n v="3"/>
    <s v="September"/>
    <s v="Q3"/>
    <n v="2024"/>
    <m/>
  </r>
  <r>
    <s v="SAL-1897"/>
    <d v="2024-02-24T00:00:00"/>
    <s v="Andrew Peters"/>
    <s v="East"/>
    <x v="0"/>
    <s v="Corporate"/>
    <s v="Office Supplies"/>
    <s v="Paper"/>
    <n v="8"/>
    <n v="909.2"/>
    <n v="0"/>
    <n v="7273.6"/>
    <n v="3985.86"/>
    <n v="3287.74"/>
    <s v="Card"/>
    <n v="3"/>
    <s v="February"/>
    <s v="Q1"/>
    <n v="2024"/>
    <m/>
  </r>
  <r>
    <s v="SAL-1898"/>
    <d v="2024-04-01T00:00:00"/>
    <s v="Mr. Ryan Shields Jr."/>
    <s v="South"/>
    <x v="1"/>
    <s v="Corporate"/>
    <s v="Clothing"/>
    <s v="T-Shirt"/>
    <n v="10"/>
    <n v="1171.4100000000001"/>
    <n v="0.05"/>
    <n v="11128.4"/>
    <n v="9371.36"/>
    <n v="1757.04"/>
    <s v="Cash"/>
    <n v="3"/>
    <s v="April"/>
    <s v="Q2"/>
    <n v="2024"/>
    <m/>
  </r>
  <r>
    <s v="SAL-1899"/>
    <d v="2024-08-14T00:00:00"/>
    <s v="Whitney Morton"/>
    <s v="North"/>
    <x v="1"/>
    <s v="Corporate"/>
    <s v="Office Supplies"/>
    <s v="Notebook"/>
    <n v="4"/>
    <n v="191.85"/>
    <n v="0"/>
    <n v="767.4"/>
    <n v="481.24"/>
    <n v="286.16000000000003"/>
    <s v="Mobile Payment"/>
    <n v="3"/>
    <s v="August"/>
    <s v="Q3"/>
    <n v="2024"/>
    <m/>
  </r>
  <r>
    <s v="SAL-1900"/>
    <d v="2024-02-16T00:00:00"/>
    <s v="Alexis Campbell"/>
    <s v="East"/>
    <x v="4"/>
    <s v="Consumer"/>
    <s v="Furniture"/>
    <s v="Chair"/>
    <n v="5"/>
    <n v="971.44"/>
    <n v="0.15"/>
    <n v="4128.62"/>
    <n v="2772.24"/>
    <n v="1356.38"/>
    <s v="Transfer"/>
    <n v="2"/>
    <s v="February"/>
    <s v="Q1"/>
    <n v="2024"/>
    <m/>
  </r>
  <r>
    <s v="SAL-1901"/>
    <d v="2024-07-03T00:00:00"/>
    <s v="Kelly Sanchez"/>
    <s v="South"/>
    <x v="0"/>
    <s v="Corporate"/>
    <s v="Office Supplies"/>
    <s v="Pen"/>
    <n v="2"/>
    <n v="589.14"/>
    <n v="0.05"/>
    <n v="1119.3699999999999"/>
    <n v="595.12"/>
    <n v="524.25"/>
    <s v="Cash"/>
    <n v="5"/>
    <s v="July"/>
    <s v="Q3"/>
    <n v="2024"/>
    <m/>
  </r>
  <r>
    <s v="SAL-1902"/>
    <d v="2024-02-13T00:00:00"/>
    <s v="Dawn Taylor"/>
    <s v="West"/>
    <x v="0"/>
    <s v="Home Office"/>
    <s v="Electronics"/>
    <s v="Printer"/>
    <n v="9"/>
    <n v="1118.3800000000001"/>
    <n v="0.15"/>
    <n v="8555.61"/>
    <n v="6465.78"/>
    <n v="2089.83"/>
    <s v="Card"/>
    <n v="4"/>
    <s v="February"/>
    <s v="Q1"/>
    <n v="2024"/>
    <m/>
  </r>
  <r>
    <s v="SAL-1903"/>
    <d v="2024-05-19T00:00:00"/>
    <s v="Lindsey Vaughn"/>
    <s v="Central"/>
    <x v="2"/>
    <s v="Home Office"/>
    <s v="Furniture"/>
    <s v="Cabinet"/>
    <n v="10"/>
    <n v="1083.4100000000001"/>
    <n v="0.15"/>
    <n v="9208.99"/>
    <n v="4782.2299999999996"/>
    <n v="4426.76"/>
    <s v="Transfer"/>
    <n v="1"/>
    <s v="May"/>
    <s v="Q2"/>
    <n v="2024"/>
    <m/>
  </r>
  <r>
    <s v="SAL-1904"/>
    <d v="2024-04-13T00:00:00"/>
    <s v="Austin Salazar"/>
    <s v="North"/>
    <x v="1"/>
    <s v="Home Office"/>
    <s v="Office Supplies"/>
    <s v="Pen"/>
    <n v="4"/>
    <n v="1125.8499999999999"/>
    <n v="0.05"/>
    <n v="4278.2299999999996"/>
    <n v="2380.44"/>
    <n v="1897.79"/>
    <s v="Transfer"/>
    <n v="5"/>
    <s v="April"/>
    <s v="Q2"/>
    <n v="2024"/>
    <m/>
  </r>
  <r>
    <s v="SAL-1905"/>
    <d v="2024-02-20T00:00:00"/>
    <s v="Anita Vance"/>
    <s v="South"/>
    <x v="4"/>
    <s v="Consumer"/>
    <s v="Office Supplies"/>
    <s v="Pen"/>
    <n v="10"/>
    <n v="449.99"/>
    <n v="0.1"/>
    <n v="4049.91"/>
    <n v="2975.23"/>
    <n v="1074.68"/>
    <s v="Transfer"/>
    <n v="5"/>
    <s v="February"/>
    <s v="Q1"/>
    <n v="2024"/>
    <m/>
  </r>
  <r>
    <s v="SAL-1906"/>
    <d v="2024-03-13T00:00:00"/>
    <s v="Joseph Brown"/>
    <s v="South"/>
    <x v="2"/>
    <s v="Home Office"/>
    <s v="Furniture"/>
    <s v="Desk"/>
    <n v="6"/>
    <n v="309.73"/>
    <n v="0.15"/>
    <n v="1579.62"/>
    <n v="1244.99"/>
    <n v="334.63"/>
    <s v="Mobile Payment"/>
    <n v="5"/>
    <s v="March"/>
    <s v="Q1"/>
    <n v="2024"/>
    <m/>
  </r>
  <r>
    <s v="SAL-1907"/>
    <d v="2024-03-04T00:00:00"/>
    <s v="Kelly Walton"/>
    <s v="Central"/>
    <x v="3"/>
    <s v="Consumer"/>
    <s v="Office Supplies"/>
    <s v="Pen"/>
    <n v="7"/>
    <n v="837.53"/>
    <n v="0.05"/>
    <n v="5569.57"/>
    <n v="3436.97"/>
    <n v="2132.6"/>
    <s v="Mobile Payment"/>
    <n v="2"/>
    <s v="March"/>
    <s v="Q1"/>
    <n v="2024"/>
    <m/>
  </r>
  <r>
    <s v="SAL-1908"/>
    <d v="2024-05-05T00:00:00"/>
    <s v="Mr. Steven Crawford"/>
    <s v="West"/>
    <x v="0"/>
    <s v="Home Office"/>
    <s v="Electronics"/>
    <s v="Phone"/>
    <n v="2"/>
    <n v="934.31"/>
    <n v="0.15"/>
    <n v="1588.33"/>
    <n v="971.78"/>
    <n v="616.54999999999995"/>
    <s v="Mobile Payment"/>
    <n v="5"/>
    <s v="May"/>
    <s v="Q2"/>
    <n v="2024"/>
    <m/>
  </r>
  <r>
    <s v="SAL-1909"/>
    <d v="2024-07-08T00:00:00"/>
    <s v="Kimberly Chavez"/>
    <s v="Central"/>
    <x v="1"/>
    <s v="Corporate"/>
    <s v="Furniture"/>
    <s v="Desk"/>
    <n v="11"/>
    <n v="412.73"/>
    <n v="0.15"/>
    <n v="3859.03"/>
    <n v="2148.1999999999998"/>
    <n v="1710.83"/>
    <s v="Cash"/>
    <n v="2"/>
    <s v="July"/>
    <s v="Q3"/>
    <n v="2024"/>
    <m/>
  </r>
  <r>
    <s v="SAL-1910"/>
    <d v="2024-06-30T00:00:00"/>
    <s v="Brian Hoffman"/>
    <s v="South"/>
    <x v="3"/>
    <s v="Corporate"/>
    <s v="Furniture"/>
    <s v="Desk"/>
    <n v="5"/>
    <n v="830.67"/>
    <n v="0.1"/>
    <n v="3738.01"/>
    <n v="2642.18"/>
    <n v="1095.83"/>
    <s v="Cash"/>
    <n v="1"/>
    <s v="June"/>
    <s v="Q2"/>
    <n v="2024"/>
    <m/>
  </r>
  <r>
    <s v="SAL-1911"/>
    <d v="2024-11-22T00:00:00"/>
    <s v="Clayton Berger"/>
    <s v="North"/>
    <x v="0"/>
    <s v="Consumer"/>
    <s v="Electronics"/>
    <s v="Tablet"/>
    <n v="4"/>
    <n v="1161.5"/>
    <n v="0"/>
    <n v="4646"/>
    <n v="3199.05"/>
    <n v="1446.95"/>
    <s v="Transfer"/>
    <n v="4"/>
    <s v="November"/>
    <s v="Q4"/>
    <n v="2024"/>
    <m/>
  </r>
  <r>
    <s v="SAL-1912"/>
    <d v="2024-04-28T00:00:00"/>
    <s v="Christopher Adams"/>
    <s v="Central"/>
    <x v="4"/>
    <s v="Corporate"/>
    <s v="Electronics"/>
    <s v="Printer"/>
    <n v="6"/>
    <n v="1096.71"/>
    <n v="0.05"/>
    <n v="6251.25"/>
    <n v="4446.6400000000003"/>
    <n v="1804.61"/>
    <s v="Mobile Payment"/>
    <n v="4"/>
    <s v="April"/>
    <s v="Q2"/>
    <n v="2024"/>
    <m/>
  </r>
  <r>
    <s v="SAL-1913"/>
    <d v="2024-04-24T00:00:00"/>
    <s v="Jo Davis"/>
    <s v="West"/>
    <x v="3"/>
    <s v="Corporate"/>
    <s v="Clothing"/>
    <s v="Sneakers"/>
    <n v="8"/>
    <n v="545.16999999999996"/>
    <n v="0"/>
    <n v="4361.3599999999997"/>
    <n v="2578.64"/>
    <n v="1782.72"/>
    <s v="Transfer"/>
    <n v="1"/>
    <s v="April"/>
    <s v="Q2"/>
    <n v="2024"/>
    <m/>
  </r>
  <r>
    <s v="SAL-1914"/>
    <d v="2024-01-28T00:00:00"/>
    <s v="Stephanie Greene"/>
    <s v="West"/>
    <x v="3"/>
    <s v="Consumer"/>
    <s v="Electronics"/>
    <s v="Phone"/>
    <n v="11"/>
    <n v="591.66"/>
    <n v="0"/>
    <n v="6508.26"/>
    <n v="5443.4"/>
    <n v="1064.8599999999999"/>
    <s v="Card"/>
    <n v="3"/>
    <s v="January"/>
    <s v="Q1"/>
    <n v="2024"/>
    <m/>
  </r>
  <r>
    <s v="SAL-1915"/>
    <d v="2024-01-18T00:00:00"/>
    <s v="Erin Brooks"/>
    <s v="West"/>
    <x v="3"/>
    <s v="Home Office"/>
    <s v="Clothing"/>
    <s v="T-Shirt"/>
    <n v="5"/>
    <n v="1015.47"/>
    <n v="0.15"/>
    <n v="4315.75"/>
    <n v="2299.7800000000002"/>
    <n v="2015.97"/>
    <s v="Mobile Payment"/>
    <n v="2"/>
    <s v="January"/>
    <s v="Q1"/>
    <n v="2024"/>
    <m/>
  </r>
  <r>
    <s v="SAL-1916"/>
    <d v="2024-08-13T00:00:00"/>
    <s v="Chad Webster"/>
    <s v="South"/>
    <x v="0"/>
    <s v="Home Office"/>
    <s v="Furniture"/>
    <s v="Chair"/>
    <n v="4"/>
    <n v="610.29"/>
    <n v="0"/>
    <n v="2441.16"/>
    <n v="1534.43"/>
    <n v="906.73"/>
    <s v="Mobile Payment"/>
    <n v="1"/>
    <s v="August"/>
    <s v="Q3"/>
    <n v="2024"/>
    <m/>
  </r>
  <r>
    <s v="SAL-1917"/>
    <d v="2024-03-14T00:00:00"/>
    <s v="Nancy Everett"/>
    <s v="North"/>
    <x v="2"/>
    <s v="Corporate"/>
    <s v="Furniture"/>
    <s v="Cabinet"/>
    <n v="10"/>
    <n v="895.05"/>
    <n v="0.1"/>
    <n v="8055.45"/>
    <n v="4536.6000000000004"/>
    <n v="3518.85"/>
    <s v="Cash"/>
    <n v="3"/>
    <s v="March"/>
    <s v="Q1"/>
    <n v="2024"/>
    <m/>
  </r>
  <r>
    <s v="SAL-1918"/>
    <d v="2024-08-21T00:00:00"/>
    <s v="Gary Martinez"/>
    <s v="North"/>
    <x v="1"/>
    <s v="Home Office"/>
    <s v="Clothing"/>
    <s v="Sneakers"/>
    <n v="2"/>
    <n v="326.57"/>
    <n v="0.1"/>
    <n v="587.83000000000004"/>
    <n v="494.22"/>
    <n v="93.61"/>
    <s v="Cash"/>
    <n v="5"/>
    <s v="August"/>
    <s v="Q3"/>
    <n v="2024"/>
    <m/>
  </r>
  <r>
    <s v="SAL-1919"/>
    <d v="2024-05-28T00:00:00"/>
    <s v="Mary Williams"/>
    <s v="West"/>
    <x v="1"/>
    <s v="Corporate"/>
    <s v="Clothing"/>
    <s v="Sneakers"/>
    <n v="7"/>
    <n v="963.02"/>
    <n v="0.1"/>
    <n v="6067.03"/>
    <n v="3261.6"/>
    <n v="2805.43"/>
    <s v="Transfer"/>
    <n v="3"/>
    <s v="May"/>
    <s v="Q2"/>
    <n v="2024"/>
    <m/>
  </r>
  <r>
    <s v="SAL-1920"/>
    <d v="2024-12-24T00:00:00"/>
    <s v="Miss Michelle Garcia"/>
    <s v="South"/>
    <x v="2"/>
    <s v="Consumer"/>
    <s v="Electronics"/>
    <s v="Printer"/>
    <n v="7"/>
    <n v="866.91"/>
    <n v="0.05"/>
    <n v="5764.95"/>
    <n v="4511.57"/>
    <n v="1253.3800000000001"/>
    <s v="Card"/>
    <n v="4"/>
    <s v="December"/>
    <s v="Q4"/>
    <n v="2024"/>
    <m/>
  </r>
  <r>
    <s v="SAL-1921"/>
    <d v="2024-02-07T00:00:00"/>
    <s v="Kyle Bauer"/>
    <s v="East"/>
    <x v="1"/>
    <s v="Corporate"/>
    <s v="Office Supplies"/>
    <s v="Pen"/>
    <n v="11"/>
    <n v="97.39"/>
    <n v="0.05"/>
    <n v="1017.73"/>
    <n v="523.29"/>
    <n v="494.44"/>
    <s v="Card"/>
    <n v="1"/>
    <s v="February"/>
    <s v="Q1"/>
    <n v="2024"/>
    <m/>
  </r>
  <r>
    <s v="SAL-1922"/>
    <d v="2024-02-20T00:00:00"/>
    <s v="Todd Klein"/>
    <s v="North"/>
    <x v="3"/>
    <s v="Consumer"/>
    <s v="Furniture"/>
    <s v="Cabinet"/>
    <n v="4"/>
    <n v="574.34"/>
    <n v="0"/>
    <n v="2297.36"/>
    <n v="1462.99"/>
    <n v="834.37"/>
    <s v="Card"/>
    <n v="1"/>
    <s v="February"/>
    <s v="Q1"/>
    <n v="2024"/>
    <m/>
  </r>
  <r>
    <s v="SAL-1923"/>
    <d v="2024-04-30T00:00:00"/>
    <s v="Angelica Jones"/>
    <s v="East"/>
    <x v="1"/>
    <s v="Consumer"/>
    <s v="Electronics"/>
    <s v="Printer"/>
    <n v="7"/>
    <n v="301.74"/>
    <n v="0.15"/>
    <n v="1795.35"/>
    <n v="1054.33"/>
    <n v="741.02"/>
    <s v="Card"/>
    <n v="5"/>
    <s v="April"/>
    <s v="Q2"/>
    <n v="2024"/>
    <m/>
  </r>
  <r>
    <s v="SAL-1924"/>
    <d v="2024-01-11T00:00:00"/>
    <s v="Emily Bond"/>
    <s v="South"/>
    <x v="4"/>
    <s v="Home Office"/>
    <s v="Office Supplies"/>
    <s v="Pen"/>
    <n v="1"/>
    <n v="338.9"/>
    <n v="0.15"/>
    <n v="288.06"/>
    <n v="167.17"/>
    <n v="120.89"/>
    <s v="Cash"/>
    <n v="3"/>
    <s v="January"/>
    <s v="Q1"/>
    <n v="2024"/>
    <m/>
  </r>
  <r>
    <s v="SAL-1925"/>
    <d v="2024-03-03T00:00:00"/>
    <s v="Samuel Chang"/>
    <s v="South"/>
    <x v="3"/>
    <s v="Home Office"/>
    <s v="Clothing"/>
    <s v="T-Shirt"/>
    <n v="3"/>
    <n v="195.76"/>
    <n v="0.1"/>
    <n v="528.54999999999995"/>
    <n v="368.26"/>
    <n v="160.29"/>
    <s v="Mobile Payment"/>
    <n v="4"/>
    <s v="March"/>
    <s v="Q1"/>
    <n v="2024"/>
    <m/>
  </r>
  <r>
    <s v="SAL-1926"/>
    <d v="2024-04-28T00:00:00"/>
    <s v="Kristen Savage"/>
    <s v="East"/>
    <x v="1"/>
    <s v="Home Office"/>
    <s v="Electronics"/>
    <s v="Printer"/>
    <n v="12"/>
    <n v="798.11"/>
    <n v="0.1"/>
    <n v="8619.59"/>
    <n v="5067.58"/>
    <n v="3552.01"/>
    <s v="Cash"/>
    <n v="2"/>
    <s v="April"/>
    <s v="Q2"/>
    <n v="2024"/>
    <m/>
  </r>
  <r>
    <s v="SAL-1927"/>
    <d v="2024-03-28T00:00:00"/>
    <s v="James Hall"/>
    <s v="Central"/>
    <x v="1"/>
    <s v="Home Office"/>
    <s v="Office Supplies"/>
    <s v="Notebook"/>
    <n v="2"/>
    <n v="97.87"/>
    <n v="0.15"/>
    <n v="166.38"/>
    <n v="139.83000000000001"/>
    <n v="26.55"/>
    <s v="Card"/>
    <n v="1"/>
    <s v="March"/>
    <s v="Q1"/>
    <n v="2024"/>
    <m/>
  </r>
  <r>
    <s v="SAL-1928"/>
    <d v="2024-08-22T00:00:00"/>
    <s v="Jeremy Curry"/>
    <s v="East"/>
    <x v="1"/>
    <s v="Consumer"/>
    <s v="Furniture"/>
    <s v="Desk"/>
    <n v="7"/>
    <n v="249.77"/>
    <n v="0"/>
    <n v="1748.39"/>
    <n v="945.94"/>
    <n v="802.45"/>
    <s v="Cash"/>
    <n v="3"/>
    <s v="August"/>
    <s v="Q3"/>
    <n v="2024"/>
    <m/>
  </r>
  <r>
    <s v="SAL-1929"/>
    <d v="2024-10-11T00:00:00"/>
    <s v="Zachary Roberts"/>
    <s v="East"/>
    <x v="3"/>
    <s v="Home Office"/>
    <s v="Electronics"/>
    <s v="Laptop"/>
    <n v="1"/>
    <n v="263.86"/>
    <n v="0"/>
    <n v="263.86"/>
    <n v="190.08"/>
    <n v="73.78"/>
    <s v="Transfer"/>
    <n v="2"/>
    <s v="October"/>
    <s v="Q4"/>
    <n v="2024"/>
    <m/>
  </r>
  <r>
    <s v="SAL-1930"/>
    <d v="2024-07-01T00:00:00"/>
    <s v="Dustin Davis"/>
    <s v="West"/>
    <x v="4"/>
    <s v="Consumer"/>
    <s v="Office Supplies"/>
    <s v="Pen"/>
    <n v="9"/>
    <n v="980.98"/>
    <n v="0.15"/>
    <n v="7504.5"/>
    <n v="5586.01"/>
    <n v="1918.49"/>
    <s v="Card"/>
    <n v="4"/>
    <s v="July"/>
    <s v="Q3"/>
    <n v="2024"/>
    <m/>
  </r>
  <r>
    <s v="SAL-1931"/>
    <d v="2024-06-10T00:00:00"/>
    <s v="Luke Stewart"/>
    <s v="West"/>
    <x v="4"/>
    <s v="Home Office"/>
    <s v="Electronics"/>
    <s v="Laptop"/>
    <n v="8"/>
    <n v="1073.94"/>
    <n v="0.1"/>
    <n v="7732.37"/>
    <n v="6485.5"/>
    <n v="1246.8699999999999"/>
    <s v="Card"/>
    <n v="3"/>
    <s v="June"/>
    <s v="Q2"/>
    <n v="2024"/>
    <m/>
  </r>
  <r>
    <s v="SAL-1932"/>
    <d v="2024-04-07T00:00:00"/>
    <s v="Rodney Jones"/>
    <s v="East"/>
    <x v="4"/>
    <s v="Home Office"/>
    <s v="Office Supplies"/>
    <s v="Pen"/>
    <n v="7"/>
    <n v="263.14"/>
    <n v="0.05"/>
    <n v="1749.88"/>
    <n v="950.35"/>
    <n v="799.53"/>
    <s v="Card"/>
    <n v="5"/>
    <s v="April"/>
    <s v="Q2"/>
    <n v="2024"/>
    <m/>
  </r>
  <r>
    <s v="SAL-1933"/>
    <d v="2024-06-03T00:00:00"/>
    <s v="Mindy Robbins"/>
    <s v="Central"/>
    <x v="2"/>
    <s v="Home Office"/>
    <s v="Electronics"/>
    <s v="Tablet"/>
    <n v="12"/>
    <n v="111.39"/>
    <n v="0.05"/>
    <n v="1269.8499999999999"/>
    <n v="657.02"/>
    <n v="612.83000000000004"/>
    <s v="Transfer"/>
    <n v="4"/>
    <s v="June"/>
    <s v="Q2"/>
    <n v="2024"/>
    <m/>
  </r>
  <r>
    <s v="SAL-1934"/>
    <d v="2024-08-12T00:00:00"/>
    <s v="Austin Kim"/>
    <s v="South"/>
    <x v="1"/>
    <s v="Corporate"/>
    <s v="Office Supplies"/>
    <s v="Notebook"/>
    <n v="10"/>
    <n v="787.96"/>
    <n v="0"/>
    <n v="7879.6"/>
    <n v="5796.99"/>
    <n v="2082.61"/>
    <s v="Card"/>
    <n v="1"/>
    <s v="August"/>
    <s v="Q3"/>
    <n v="2024"/>
    <m/>
  </r>
  <r>
    <s v="SAL-1935"/>
    <d v="2024-04-19T00:00:00"/>
    <s v="Michael Marks"/>
    <s v="North"/>
    <x v="1"/>
    <s v="Home Office"/>
    <s v="Clothing"/>
    <s v="T-Shirt"/>
    <n v="7"/>
    <n v="704.46"/>
    <n v="0.1"/>
    <n v="4438.1000000000004"/>
    <n v="2935.33"/>
    <n v="1502.77"/>
    <s v="Transfer"/>
    <n v="2"/>
    <s v="April"/>
    <s v="Q2"/>
    <n v="2024"/>
    <m/>
  </r>
  <r>
    <s v="SAL-1936"/>
    <d v="2024-09-30T00:00:00"/>
    <s v="Dennis Bishop"/>
    <s v="East"/>
    <x v="2"/>
    <s v="Consumer"/>
    <s v="Furniture"/>
    <s v="Cabinet"/>
    <n v="5"/>
    <n v="830.11"/>
    <n v="0"/>
    <n v="4150.55"/>
    <n v="2281.9499999999998"/>
    <n v="1868.6"/>
    <s v="Transfer"/>
    <n v="5"/>
    <s v="September"/>
    <s v="Q3"/>
    <n v="2024"/>
    <m/>
  </r>
  <r>
    <s v="SAL-1937"/>
    <d v="2024-05-29T00:00:00"/>
    <s v="Sarah Reid"/>
    <s v="East"/>
    <x v="1"/>
    <s v="Home Office"/>
    <s v="Office Supplies"/>
    <s v="Pen"/>
    <n v="5"/>
    <n v="80.680000000000007"/>
    <n v="0.05"/>
    <n v="383.23"/>
    <n v="263.10000000000002"/>
    <n v="120.13"/>
    <s v="Cash"/>
    <n v="3"/>
    <s v="May"/>
    <s v="Q2"/>
    <n v="2024"/>
    <m/>
  </r>
  <r>
    <s v="SAL-1938"/>
    <d v="2024-09-20T00:00:00"/>
    <s v="Mary Washington"/>
    <s v="Central"/>
    <x v="2"/>
    <s v="Corporate"/>
    <s v="Office Supplies"/>
    <s v="Pen"/>
    <n v="8"/>
    <n v="1154.0899999999999"/>
    <n v="0.05"/>
    <n v="8771.08"/>
    <n v="7292.15"/>
    <n v="1478.93"/>
    <s v="Transfer"/>
    <n v="3"/>
    <s v="September"/>
    <s v="Q3"/>
    <n v="2024"/>
    <m/>
  </r>
  <r>
    <s v="SAL-1939"/>
    <d v="2024-02-15T00:00:00"/>
    <s v="Terry Miller"/>
    <s v="North"/>
    <x v="0"/>
    <s v="Corporate"/>
    <s v="Furniture"/>
    <s v="Chair"/>
    <n v="10"/>
    <n v="878.36"/>
    <n v="0.05"/>
    <n v="8344.42"/>
    <n v="6409.24"/>
    <n v="1935.18"/>
    <s v="Mobile Payment"/>
    <n v="4"/>
    <s v="February"/>
    <s v="Q1"/>
    <n v="2024"/>
    <m/>
  </r>
  <r>
    <s v="SAL-1940"/>
    <d v="2024-03-24T00:00:00"/>
    <s v="Cassandra Spencer"/>
    <s v="East"/>
    <x v="4"/>
    <s v="Corporate"/>
    <s v="Clothing"/>
    <s v="Jacket"/>
    <n v="10"/>
    <n v="521.84"/>
    <n v="0.05"/>
    <n v="4957.4799999999996"/>
    <n v="2518.3200000000002"/>
    <n v="2439.16"/>
    <s v="Cash"/>
    <n v="5"/>
    <s v="March"/>
    <s v="Q1"/>
    <n v="2024"/>
    <m/>
  </r>
  <r>
    <s v="SAL-1941"/>
    <d v="2024-01-31T00:00:00"/>
    <s v="Stephanie Copeland"/>
    <s v="South"/>
    <x v="3"/>
    <s v="Consumer"/>
    <s v="Office Supplies"/>
    <s v="Notebook"/>
    <n v="1"/>
    <n v="766.41"/>
    <n v="0"/>
    <n v="766.41"/>
    <n v="393.95"/>
    <n v="372.46"/>
    <s v="Card"/>
    <n v="4"/>
    <s v="January"/>
    <s v="Q1"/>
    <n v="2024"/>
    <m/>
  </r>
  <r>
    <s v="SAL-1942"/>
    <d v="2024-10-29T00:00:00"/>
    <s v="Gabriela Lynch"/>
    <s v="West"/>
    <x v="2"/>
    <s v="Corporate"/>
    <s v="Clothing"/>
    <s v="T-Shirt"/>
    <n v="5"/>
    <n v="40.380000000000003"/>
    <n v="0.1"/>
    <n v="181.71"/>
    <n v="126.48"/>
    <n v="55.23"/>
    <s v="Mobile Payment"/>
    <n v="5"/>
    <s v="October"/>
    <s v="Q4"/>
    <n v="2024"/>
    <m/>
  </r>
  <r>
    <s v="SAL-1943"/>
    <d v="2024-09-24T00:00:00"/>
    <s v="Dana Higgins"/>
    <s v="East"/>
    <x v="0"/>
    <s v="Home Office"/>
    <s v="Office Supplies"/>
    <s v="Paper"/>
    <n v="8"/>
    <n v="705.38"/>
    <n v="0.05"/>
    <n v="5360.89"/>
    <n v="4180.04"/>
    <n v="1180.8499999999999"/>
    <s v="Transfer"/>
    <n v="4"/>
    <s v="September"/>
    <s v="Q3"/>
    <n v="2024"/>
    <m/>
  </r>
  <r>
    <s v="SAL-1944"/>
    <d v="2024-07-13T00:00:00"/>
    <s v="Dr. Peter Carson"/>
    <s v="West"/>
    <x v="1"/>
    <s v="Corporate"/>
    <s v="Electronics"/>
    <s v="Phone"/>
    <n v="1"/>
    <n v="1059.57"/>
    <n v="0.15"/>
    <n v="900.63"/>
    <n v="565.25"/>
    <n v="335.38"/>
    <s v="Mobile Payment"/>
    <n v="2"/>
    <s v="July"/>
    <s v="Q3"/>
    <n v="2024"/>
    <m/>
  </r>
  <r>
    <s v="SAL-1945"/>
    <d v="2024-03-08T00:00:00"/>
    <s v="Tina Ewing"/>
    <s v="West"/>
    <x v="1"/>
    <s v="Home Office"/>
    <s v="Furniture"/>
    <s v="Chair"/>
    <n v="6"/>
    <n v="123.69"/>
    <n v="0.05"/>
    <n v="705.03"/>
    <n v="392.28"/>
    <n v="312.75"/>
    <s v="Transfer"/>
    <n v="4"/>
    <s v="March"/>
    <s v="Q1"/>
    <n v="2024"/>
    <m/>
  </r>
  <r>
    <s v="SAL-1946"/>
    <d v="2024-10-24T00:00:00"/>
    <s v="Jessica Cooper"/>
    <s v="East"/>
    <x v="3"/>
    <s v="Home Office"/>
    <s v="Clothing"/>
    <s v="T-Shirt"/>
    <n v="1"/>
    <n v="600.09"/>
    <n v="0.05"/>
    <n v="570.09"/>
    <n v="373.35"/>
    <n v="196.74"/>
    <s v="Card"/>
    <n v="1"/>
    <s v="October"/>
    <s v="Q4"/>
    <n v="2024"/>
    <m/>
  </r>
  <r>
    <s v="SAL-1947"/>
    <d v="2024-10-20T00:00:00"/>
    <s v="Audrey Taylor"/>
    <s v="Central"/>
    <x v="3"/>
    <s v="Consumer"/>
    <s v="Clothing"/>
    <s v="T-Shirt"/>
    <n v="1"/>
    <n v="640.80999999999995"/>
    <n v="0.15"/>
    <n v="544.69000000000005"/>
    <n v="347.63"/>
    <n v="197.06"/>
    <s v="Card"/>
    <n v="4"/>
    <s v="October"/>
    <s v="Q4"/>
    <n v="2024"/>
    <m/>
  </r>
  <r>
    <s v="SAL-1948"/>
    <d v="2024-10-26T00:00:00"/>
    <s v="Danielle Cabrera"/>
    <s v="South"/>
    <x v="2"/>
    <s v="Home Office"/>
    <s v="Electronics"/>
    <s v="Tablet"/>
    <n v="8"/>
    <n v="346.78"/>
    <n v="0.05"/>
    <n v="2635.53"/>
    <n v="1607.19"/>
    <n v="1028.3399999999999"/>
    <s v="Mobile Payment"/>
    <n v="1"/>
    <s v="October"/>
    <s v="Q4"/>
    <n v="2024"/>
    <m/>
  </r>
  <r>
    <s v="SAL-1949"/>
    <d v="2024-08-11T00:00:00"/>
    <s v="Mr. Jeffery Townsend"/>
    <s v="North"/>
    <x v="4"/>
    <s v="Consumer"/>
    <s v="Furniture"/>
    <s v="Chair"/>
    <n v="3"/>
    <n v="245.96"/>
    <n v="0.15"/>
    <n v="627.20000000000005"/>
    <n v="345.9"/>
    <n v="281.3"/>
    <s v="Cash"/>
    <n v="1"/>
    <s v="August"/>
    <s v="Q3"/>
    <n v="2024"/>
    <m/>
  </r>
  <r>
    <s v="SAL-1950"/>
    <d v="2024-11-24T00:00:00"/>
    <s v="Eric Carpenter"/>
    <s v="South"/>
    <x v="1"/>
    <s v="Corporate"/>
    <s v="Furniture"/>
    <s v="Cabinet"/>
    <n v="3"/>
    <n v="1076.81"/>
    <n v="0"/>
    <n v="3230.43"/>
    <n v="2557.66"/>
    <n v="672.77"/>
    <s v="Mobile Payment"/>
    <n v="5"/>
    <s v="November"/>
    <s v="Q4"/>
    <n v="2024"/>
    <m/>
  </r>
  <r>
    <s v="SAL-1951"/>
    <d v="2024-12-09T00:00:00"/>
    <s v="Jeffrey White"/>
    <s v="Central"/>
    <x v="2"/>
    <s v="Consumer"/>
    <s v="Furniture"/>
    <s v="Cabinet"/>
    <n v="5"/>
    <n v="332.5"/>
    <n v="0.15"/>
    <n v="1413.12"/>
    <n v="1020.3"/>
    <n v="392.82"/>
    <s v="Card"/>
    <n v="2"/>
    <s v="December"/>
    <s v="Q4"/>
    <n v="2024"/>
    <m/>
  </r>
  <r>
    <s v="SAL-1952"/>
    <d v="2024-02-27T00:00:00"/>
    <s v="Kelly Miles"/>
    <s v="North"/>
    <x v="2"/>
    <s v="Consumer"/>
    <s v="Furniture"/>
    <s v="Cabinet"/>
    <n v="2"/>
    <n v="282.2"/>
    <n v="0"/>
    <n v="564.4"/>
    <n v="410.78"/>
    <n v="153.62"/>
    <s v="Card"/>
    <n v="1"/>
    <s v="February"/>
    <s v="Q1"/>
    <n v="2024"/>
    <m/>
  </r>
  <r>
    <s v="SAL-1953"/>
    <d v="2024-06-27T00:00:00"/>
    <s v="Nicholas Rogers"/>
    <s v="West"/>
    <x v="0"/>
    <s v="Consumer"/>
    <s v="Office Supplies"/>
    <s v="Notebook"/>
    <n v="7"/>
    <n v="285.54000000000002"/>
    <n v="0.05"/>
    <n v="1898.84"/>
    <n v="999.05"/>
    <n v="899.79"/>
    <s v="Mobile Payment"/>
    <n v="5"/>
    <s v="June"/>
    <s v="Q2"/>
    <n v="2024"/>
    <m/>
  </r>
  <r>
    <s v="SAL-1954"/>
    <d v="2024-11-07T00:00:00"/>
    <s v="John Whitaker"/>
    <s v="West"/>
    <x v="2"/>
    <s v="Corporate"/>
    <s v="Office Supplies"/>
    <s v="Paper"/>
    <n v="11"/>
    <n v="579.25"/>
    <n v="0.15"/>
    <n v="5415.99"/>
    <n v="3612.21"/>
    <n v="1803.78"/>
    <s v="Mobile Payment"/>
    <n v="2"/>
    <s v="November"/>
    <s v="Q4"/>
    <n v="2024"/>
    <m/>
  </r>
  <r>
    <s v="SAL-1955"/>
    <d v="2024-11-26T00:00:00"/>
    <s v="Kimberly Smith"/>
    <s v="North"/>
    <x v="3"/>
    <s v="Corporate"/>
    <s v="Office Supplies"/>
    <s v="Paper"/>
    <n v="9"/>
    <n v="839.27"/>
    <n v="0"/>
    <n v="7553.43"/>
    <n v="3958.72"/>
    <n v="3594.71"/>
    <s v="Mobile Payment"/>
    <n v="5"/>
    <s v="November"/>
    <s v="Q4"/>
    <n v="2024"/>
    <m/>
  </r>
  <r>
    <s v="SAL-1956"/>
    <d v="2024-08-13T00:00:00"/>
    <s v="Justin Mcknight"/>
    <s v="South"/>
    <x v="1"/>
    <s v="Corporate"/>
    <s v="Office Supplies"/>
    <s v="Notebook"/>
    <n v="3"/>
    <n v="785.14"/>
    <n v="0.05"/>
    <n v="2237.65"/>
    <n v="1150.5899999999999"/>
    <n v="1087.06"/>
    <s v="Transfer"/>
    <n v="3"/>
    <s v="August"/>
    <s v="Q3"/>
    <n v="2024"/>
    <m/>
  </r>
  <r>
    <s v="SAL-1957"/>
    <d v="2024-04-10T00:00:00"/>
    <s v="Sean Gutierrez"/>
    <s v="North"/>
    <x v="1"/>
    <s v="Consumer"/>
    <s v="Office Supplies"/>
    <s v="Pen"/>
    <n v="4"/>
    <n v="1025.1500000000001"/>
    <n v="0"/>
    <n v="4100.6000000000004"/>
    <n v="3212.17"/>
    <n v="888.43"/>
    <s v="Cash"/>
    <n v="3"/>
    <s v="April"/>
    <s v="Q2"/>
    <n v="2024"/>
    <m/>
  </r>
  <r>
    <s v="SAL-1958"/>
    <d v="2024-05-22T00:00:00"/>
    <s v="Benjamin Wilson"/>
    <s v="North"/>
    <x v="4"/>
    <s v="Consumer"/>
    <s v="Furniture"/>
    <s v="Cabinet"/>
    <n v="1"/>
    <n v="813.16"/>
    <n v="0.1"/>
    <n v="731.84"/>
    <n v="411.51"/>
    <n v="320.33"/>
    <s v="Mobile Payment"/>
    <n v="2"/>
    <s v="May"/>
    <s v="Q2"/>
    <n v="2024"/>
    <m/>
  </r>
  <r>
    <s v="SAL-1959"/>
    <d v="2024-12-25T00:00:00"/>
    <s v="Angela Sherman"/>
    <s v="West"/>
    <x v="1"/>
    <s v="Corporate"/>
    <s v="Furniture"/>
    <s v="Chair"/>
    <n v="5"/>
    <n v="270.94"/>
    <n v="0.05"/>
    <n v="1286.96"/>
    <n v="746.07"/>
    <n v="540.89"/>
    <s v="Mobile Payment"/>
    <n v="4"/>
    <s v="December"/>
    <s v="Q4"/>
    <n v="2024"/>
    <m/>
  </r>
  <r>
    <s v="SAL-1960"/>
    <d v="2024-04-30T00:00:00"/>
    <s v="Edwin Brown"/>
    <s v="North"/>
    <x v="0"/>
    <s v="Corporate"/>
    <s v="Office Supplies"/>
    <s v="Pen"/>
    <n v="4"/>
    <n v="143.69"/>
    <n v="0.1"/>
    <n v="517.28"/>
    <n v="327.49"/>
    <n v="189.79"/>
    <s v="Transfer"/>
    <n v="2"/>
    <s v="April"/>
    <s v="Q2"/>
    <n v="2024"/>
    <m/>
  </r>
  <r>
    <s v="SAL-1961"/>
    <d v="2024-05-18T00:00:00"/>
    <s v="Evan Calhoun"/>
    <s v="Central"/>
    <x v="0"/>
    <s v="Home Office"/>
    <s v="Electronics"/>
    <s v="Printer"/>
    <n v="8"/>
    <n v="175.28"/>
    <n v="0"/>
    <n v="1402.24"/>
    <n v="792.69"/>
    <n v="609.54999999999995"/>
    <s v="Card"/>
    <n v="2"/>
    <s v="May"/>
    <s v="Q2"/>
    <n v="2024"/>
    <m/>
  </r>
  <r>
    <s v="SAL-1962"/>
    <d v="2024-02-26T00:00:00"/>
    <s v="Mrs. Andrea Gibson"/>
    <s v="Central"/>
    <x v="0"/>
    <s v="Corporate"/>
    <s v="Electronics"/>
    <s v="Laptop"/>
    <n v="9"/>
    <n v="84.06"/>
    <n v="0.15"/>
    <n v="643.05999999999995"/>
    <n v="403.76"/>
    <n v="239.3"/>
    <s v="Transfer"/>
    <n v="5"/>
    <s v="February"/>
    <s v="Q1"/>
    <n v="2024"/>
    <m/>
  </r>
  <r>
    <s v="SAL-1963"/>
    <d v="2024-02-28T00:00:00"/>
    <s v="Reginald Wright"/>
    <s v="West"/>
    <x v="0"/>
    <s v="Consumer"/>
    <s v="Furniture"/>
    <s v="Cabinet"/>
    <n v="1"/>
    <n v="397.49"/>
    <n v="0.1"/>
    <n v="357.74"/>
    <n v="199.84"/>
    <n v="157.9"/>
    <s v="Mobile Payment"/>
    <n v="3"/>
    <s v="February"/>
    <s v="Q1"/>
    <n v="2024"/>
    <m/>
  </r>
  <r>
    <s v="SAL-1964"/>
    <d v="2024-02-26T00:00:00"/>
    <s v="Samantha Munoz"/>
    <s v="North"/>
    <x v="3"/>
    <s v="Home Office"/>
    <s v="Clothing"/>
    <s v="Jacket"/>
    <n v="11"/>
    <n v="162.41999999999999"/>
    <n v="0"/>
    <n v="1786.62"/>
    <n v="1109.3900000000001"/>
    <n v="677.23"/>
    <s v="Transfer"/>
    <n v="2"/>
    <s v="February"/>
    <s v="Q1"/>
    <n v="2024"/>
    <m/>
  </r>
  <r>
    <s v="SAL-1965"/>
    <d v="2024-08-31T00:00:00"/>
    <s v="Tracy Miller"/>
    <s v="East"/>
    <x v="2"/>
    <s v="Corporate"/>
    <s v="Clothing"/>
    <s v="Jacket"/>
    <n v="1"/>
    <n v="1117.08"/>
    <n v="0.1"/>
    <n v="1005.37"/>
    <n v="530.69000000000005"/>
    <n v="474.68"/>
    <s v="Cash"/>
    <n v="2"/>
    <s v="August"/>
    <s v="Q3"/>
    <n v="2024"/>
    <m/>
  </r>
  <r>
    <s v="SAL-1966"/>
    <d v="2024-10-04T00:00:00"/>
    <s v="Matthew Peterson"/>
    <s v="West"/>
    <x v="1"/>
    <s v="Home Office"/>
    <s v="Office Supplies"/>
    <s v="Pen"/>
    <n v="4"/>
    <n v="747.31"/>
    <n v="0.05"/>
    <n v="2839.78"/>
    <n v="2338.2600000000002"/>
    <n v="501.52"/>
    <s v="Transfer"/>
    <n v="2"/>
    <s v="October"/>
    <s v="Q4"/>
    <n v="2024"/>
    <m/>
  </r>
  <r>
    <s v="SAL-1967"/>
    <d v="2024-04-13T00:00:00"/>
    <s v="Jermaine White MD"/>
    <s v="Central"/>
    <x v="2"/>
    <s v="Corporate"/>
    <s v="Electronics"/>
    <s v="Laptop"/>
    <n v="4"/>
    <n v="635.08000000000004"/>
    <n v="0.1"/>
    <n v="2286.29"/>
    <n v="1712.73"/>
    <n v="573.55999999999995"/>
    <s v="Card"/>
    <n v="5"/>
    <s v="April"/>
    <s v="Q2"/>
    <n v="2024"/>
    <m/>
  </r>
  <r>
    <s v="SAL-1968"/>
    <d v="2024-02-06T00:00:00"/>
    <s v="Sharon Ali"/>
    <s v="East"/>
    <x v="1"/>
    <s v="Home Office"/>
    <s v="Furniture"/>
    <s v="Chair"/>
    <n v="6"/>
    <n v="886.69"/>
    <n v="0.1"/>
    <n v="4788.13"/>
    <n v="2817.55"/>
    <n v="1970.58"/>
    <s v="Transfer"/>
    <n v="1"/>
    <s v="February"/>
    <s v="Q1"/>
    <n v="2024"/>
    <m/>
  </r>
  <r>
    <s v="SAL-1969"/>
    <d v="2024-03-14T00:00:00"/>
    <s v="Christopher Atkinson"/>
    <s v="West"/>
    <x v="1"/>
    <s v="Corporate"/>
    <s v="Clothing"/>
    <s v="Sneakers"/>
    <n v="4"/>
    <n v="918.56"/>
    <n v="0.1"/>
    <n v="3306.82"/>
    <n v="1716.73"/>
    <n v="1590.09"/>
    <s v="Card"/>
    <n v="5"/>
    <s v="March"/>
    <s v="Q1"/>
    <n v="2024"/>
    <m/>
  </r>
  <r>
    <s v="SAL-1970"/>
    <d v="2024-04-27T00:00:00"/>
    <s v="Charles Smith"/>
    <s v="Central"/>
    <x v="4"/>
    <s v="Home Office"/>
    <s v="Clothing"/>
    <s v="Sneakers"/>
    <n v="11"/>
    <n v="892.94"/>
    <n v="0.05"/>
    <n v="9331.2199999999993"/>
    <n v="5113.03"/>
    <n v="4218.1899999999996"/>
    <s v="Cash"/>
    <n v="2"/>
    <s v="April"/>
    <s v="Q2"/>
    <n v="2024"/>
    <m/>
  </r>
  <r>
    <s v="SAL-1971"/>
    <d v="2024-04-17T00:00:00"/>
    <s v="Ray Mitchell"/>
    <s v="East"/>
    <x v="1"/>
    <s v="Home Office"/>
    <s v="Office Supplies"/>
    <s v="Notebook"/>
    <n v="1"/>
    <n v="1097.43"/>
    <n v="0.1"/>
    <n v="987.69"/>
    <n v="569.9"/>
    <n v="417.79"/>
    <s v="Mobile Payment"/>
    <n v="1"/>
    <s v="April"/>
    <s v="Q2"/>
    <n v="2024"/>
    <m/>
  </r>
  <r>
    <s v="SAL-1972"/>
    <d v="2024-09-23T00:00:00"/>
    <s v="Ashley Costa"/>
    <s v="Central"/>
    <x v="2"/>
    <s v="Consumer"/>
    <s v="Clothing"/>
    <s v="Jacket"/>
    <n v="6"/>
    <n v="281.92"/>
    <n v="0.05"/>
    <n v="1606.94"/>
    <n v="1123.46"/>
    <n v="483.48"/>
    <s v="Mobile Payment"/>
    <n v="2"/>
    <s v="September"/>
    <s v="Q3"/>
    <n v="2024"/>
    <m/>
  </r>
  <r>
    <s v="SAL-1973"/>
    <d v="2024-01-06T00:00:00"/>
    <s v="Matthew Shields"/>
    <s v="North"/>
    <x v="2"/>
    <s v="Corporate"/>
    <s v="Furniture"/>
    <s v="Chair"/>
    <n v="9"/>
    <n v="696.52"/>
    <n v="0"/>
    <n v="6268.68"/>
    <n v="3730.2"/>
    <n v="2538.48"/>
    <s v="Card"/>
    <n v="5"/>
    <s v="January"/>
    <s v="Q1"/>
    <n v="2024"/>
    <m/>
  </r>
  <r>
    <s v="SAL-1974"/>
    <d v="2024-07-27T00:00:00"/>
    <s v="David Carter"/>
    <s v="West"/>
    <x v="0"/>
    <s v="Corporate"/>
    <s v="Clothing"/>
    <s v="T-Shirt"/>
    <n v="5"/>
    <n v="462.06"/>
    <n v="0.15"/>
    <n v="1963.76"/>
    <n v="1054.76"/>
    <n v="909"/>
    <s v="Cash"/>
    <n v="1"/>
    <s v="July"/>
    <s v="Q3"/>
    <n v="2024"/>
    <m/>
  </r>
  <r>
    <s v="SAL-1975"/>
    <d v="2024-03-15T00:00:00"/>
    <s v="Bradley West"/>
    <s v="South"/>
    <x v="0"/>
    <s v="Home Office"/>
    <s v="Office Supplies"/>
    <s v="Notebook"/>
    <n v="3"/>
    <n v="378.45"/>
    <n v="0.1"/>
    <n v="1021.81"/>
    <n v="762.54"/>
    <n v="259.27"/>
    <s v="Transfer"/>
    <n v="2"/>
    <s v="March"/>
    <s v="Q1"/>
    <n v="2024"/>
    <m/>
  </r>
  <r>
    <s v="SAL-1976"/>
    <d v="2024-06-30T00:00:00"/>
    <s v="Yolanda Hill"/>
    <s v="East"/>
    <x v="2"/>
    <s v="Corporate"/>
    <s v="Office Supplies"/>
    <s v="Paper"/>
    <n v="11"/>
    <n v="419.97"/>
    <n v="0.1"/>
    <n v="4157.7"/>
    <n v="3173.83"/>
    <n v="983.87"/>
    <s v="Mobile Payment"/>
    <n v="5"/>
    <s v="June"/>
    <s v="Q2"/>
    <n v="2024"/>
    <m/>
  </r>
  <r>
    <s v="SAL-1977"/>
    <d v="2024-05-23T00:00:00"/>
    <s v="Melissa Walker"/>
    <s v="West"/>
    <x v="1"/>
    <s v="Home Office"/>
    <s v="Electronics"/>
    <s v="Phone"/>
    <n v="1"/>
    <n v="183.71"/>
    <n v="0.1"/>
    <n v="165.34"/>
    <n v="116.9"/>
    <n v="48.44"/>
    <s v="Mobile Payment"/>
    <n v="1"/>
    <s v="May"/>
    <s v="Q2"/>
    <n v="2024"/>
    <m/>
  </r>
  <r>
    <s v="SAL-1978"/>
    <d v="2024-11-03T00:00:00"/>
    <s v="Sue Foster"/>
    <s v="Central"/>
    <x v="3"/>
    <s v="Home Office"/>
    <s v="Office Supplies"/>
    <s v="Notebook"/>
    <n v="5"/>
    <n v="768.55"/>
    <n v="0.1"/>
    <n v="3458.47"/>
    <n v="2879.75"/>
    <n v="578.72"/>
    <s v="Cash"/>
    <n v="1"/>
    <s v="November"/>
    <s v="Q4"/>
    <n v="2024"/>
    <m/>
  </r>
  <r>
    <s v="SAL-1979"/>
    <d v="2024-03-12T00:00:00"/>
    <s v="John Kramer"/>
    <s v="East"/>
    <x v="3"/>
    <s v="Home Office"/>
    <s v="Furniture"/>
    <s v="Chair"/>
    <n v="12"/>
    <n v="813.74"/>
    <n v="0.05"/>
    <n v="9276.64"/>
    <n v="7155.26"/>
    <n v="2121.38"/>
    <s v="Mobile Payment"/>
    <n v="5"/>
    <s v="March"/>
    <s v="Q1"/>
    <n v="2024"/>
    <m/>
  </r>
  <r>
    <s v="SAL-1980"/>
    <d v="2024-12-13T00:00:00"/>
    <s v="Amber Jefferson"/>
    <s v="East"/>
    <x v="1"/>
    <s v="Corporate"/>
    <s v="Electronics"/>
    <s v="Tablet"/>
    <n v="6"/>
    <n v="1016.68"/>
    <n v="0.05"/>
    <n v="5795.08"/>
    <n v="4407.4799999999996"/>
    <n v="1387.6"/>
    <s v="Transfer"/>
    <n v="4"/>
    <s v="December"/>
    <s v="Q4"/>
    <n v="2024"/>
    <m/>
  </r>
  <r>
    <s v="SAL-1981"/>
    <d v="2024-07-31T00:00:00"/>
    <s v="Katherine Smith"/>
    <s v="Central"/>
    <x v="3"/>
    <s v="Consumer"/>
    <s v="Furniture"/>
    <s v="Cabinet"/>
    <n v="11"/>
    <n v="1057.73"/>
    <n v="0.15"/>
    <n v="9889.7800000000007"/>
    <n v="5332.66"/>
    <n v="4557.12"/>
    <s v="Card"/>
    <n v="5"/>
    <s v="July"/>
    <s v="Q3"/>
    <n v="2024"/>
    <m/>
  </r>
  <r>
    <s v="SAL-1982"/>
    <d v="2024-01-14T00:00:00"/>
    <s v="George Stephenson"/>
    <s v="West"/>
    <x v="4"/>
    <s v="Home Office"/>
    <s v="Clothing"/>
    <s v="Sneakers"/>
    <n v="6"/>
    <n v="504.15"/>
    <n v="0.05"/>
    <n v="2873.65"/>
    <n v="1639.92"/>
    <n v="1233.73"/>
    <s v="Transfer"/>
    <n v="4"/>
    <s v="January"/>
    <s v="Q1"/>
    <n v="2024"/>
    <m/>
  </r>
  <r>
    <s v="SAL-1983"/>
    <d v="2024-04-24T00:00:00"/>
    <s v="Anthony Thompson"/>
    <s v="West"/>
    <x v="2"/>
    <s v="Corporate"/>
    <s v="Electronics"/>
    <s v="Laptop"/>
    <n v="7"/>
    <n v="1160.73"/>
    <n v="0"/>
    <n v="8125.11"/>
    <n v="6255.13"/>
    <n v="1869.98"/>
    <s v="Card"/>
    <n v="3"/>
    <s v="April"/>
    <s v="Q2"/>
    <n v="2024"/>
    <m/>
  </r>
  <r>
    <s v="SAL-1984"/>
    <d v="2024-02-06T00:00:00"/>
    <s v="Zachary Whitney"/>
    <s v="East"/>
    <x v="2"/>
    <s v="Corporate"/>
    <s v="Electronics"/>
    <s v="Printer"/>
    <n v="8"/>
    <n v="148.93"/>
    <n v="0"/>
    <n v="1191.44"/>
    <n v="596.47"/>
    <n v="594.97"/>
    <s v="Transfer"/>
    <n v="3"/>
    <s v="February"/>
    <s v="Q1"/>
    <n v="2024"/>
    <m/>
  </r>
  <r>
    <s v="SAL-1985"/>
    <d v="2024-11-22T00:00:00"/>
    <s v="David Lambert"/>
    <s v="North"/>
    <x v="1"/>
    <s v="Corporate"/>
    <s v="Electronics"/>
    <s v="Laptop"/>
    <n v="5"/>
    <n v="242.78"/>
    <n v="0.05"/>
    <n v="1153.2"/>
    <n v="867.83"/>
    <n v="285.37"/>
    <s v="Transfer"/>
    <n v="2"/>
    <s v="November"/>
    <s v="Q4"/>
    <n v="2024"/>
    <m/>
  </r>
  <r>
    <s v="SAL-1986"/>
    <d v="2024-10-08T00:00:00"/>
    <s v="Duane Pena"/>
    <s v="South"/>
    <x v="0"/>
    <s v="Home Office"/>
    <s v="Office Supplies"/>
    <s v="Pen"/>
    <n v="11"/>
    <n v="1131.82"/>
    <n v="0"/>
    <n v="12450.02"/>
    <n v="7512.49"/>
    <n v="4937.53"/>
    <s v="Card"/>
    <n v="2"/>
    <s v="October"/>
    <s v="Q4"/>
    <n v="2024"/>
    <m/>
  </r>
  <r>
    <s v="SAL-1987"/>
    <d v="2024-01-04T00:00:00"/>
    <s v="Tyler West"/>
    <s v="West"/>
    <x v="1"/>
    <s v="Home Office"/>
    <s v="Furniture"/>
    <s v="Cabinet"/>
    <n v="4"/>
    <n v="520.36"/>
    <n v="0"/>
    <n v="2081.44"/>
    <n v="1736.71"/>
    <n v="344.73"/>
    <s v="Cash"/>
    <n v="2"/>
    <s v="January"/>
    <s v="Q1"/>
    <n v="2024"/>
    <m/>
  </r>
  <r>
    <s v="SAL-1988"/>
    <d v="2024-03-25T00:00:00"/>
    <s v="Alicia Bailey"/>
    <s v="South"/>
    <x v="2"/>
    <s v="Consumer"/>
    <s v="Office Supplies"/>
    <s v="Notebook"/>
    <n v="10"/>
    <n v="399.31"/>
    <n v="0.1"/>
    <n v="3593.79"/>
    <n v="3029.5"/>
    <n v="564.29"/>
    <s v="Cash"/>
    <n v="2"/>
    <s v="March"/>
    <s v="Q1"/>
    <n v="2024"/>
    <m/>
  </r>
  <r>
    <s v="SAL-1989"/>
    <d v="2024-09-14T00:00:00"/>
    <s v="Lisa Owens"/>
    <s v="South"/>
    <x v="2"/>
    <s v="Consumer"/>
    <s v="Office Supplies"/>
    <s v="Notebook"/>
    <n v="7"/>
    <n v="190.47"/>
    <n v="0"/>
    <n v="1333.29"/>
    <n v="829.28"/>
    <n v="504.01"/>
    <s v="Transfer"/>
    <n v="2"/>
    <s v="September"/>
    <s v="Q3"/>
    <n v="2024"/>
    <m/>
  </r>
  <r>
    <s v="SAL-1990"/>
    <d v="2024-08-03T00:00:00"/>
    <s v="Hannah Cooper"/>
    <s v="South"/>
    <x v="3"/>
    <s v="Consumer"/>
    <s v="Office Supplies"/>
    <s v="Pen"/>
    <n v="6"/>
    <n v="941.86"/>
    <n v="0.05"/>
    <n v="5368.6"/>
    <n v="4079.12"/>
    <n v="1289.48"/>
    <s v="Cash"/>
    <n v="3"/>
    <s v="August"/>
    <s v="Q3"/>
    <n v="2024"/>
    <m/>
  </r>
  <r>
    <s v="SAL-1991"/>
    <d v="2024-01-28T00:00:00"/>
    <s v="Terry Drake"/>
    <s v="North"/>
    <x v="3"/>
    <s v="Consumer"/>
    <s v="Electronics"/>
    <s v="Laptop"/>
    <n v="4"/>
    <n v="264.27"/>
    <n v="0.05"/>
    <n v="1004.23"/>
    <n v="851.81"/>
    <n v="152.41999999999999"/>
    <s v="Card"/>
    <n v="4"/>
    <s v="January"/>
    <s v="Q1"/>
    <n v="2024"/>
    <m/>
  </r>
  <r>
    <s v="SAL-1992"/>
    <d v="2024-09-26T00:00:00"/>
    <s v="William Mcdonald"/>
    <s v="West"/>
    <x v="4"/>
    <s v="Corporate"/>
    <s v="Office Supplies"/>
    <s v="Notebook"/>
    <n v="3"/>
    <n v="705.7"/>
    <n v="0.1"/>
    <n v="1905.39"/>
    <n v="958.25"/>
    <n v="947.14"/>
    <s v="Card"/>
    <n v="1"/>
    <s v="September"/>
    <s v="Q3"/>
    <n v="2024"/>
    <m/>
  </r>
  <r>
    <s v="SAL-1993"/>
    <d v="2024-11-25T00:00:00"/>
    <s v="Tammy Nichols"/>
    <s v="South"/>
    <x v="3"/>
    <s v="Home Office"/>
    <s v="Electronics"/>
    <s v="Laptop"/>
    <n v="2"/>
    <n v="343.74"/>
    <n v="0"/>
    <n v="687.48"/>
    <n v="479.69"/>
    <n v="207.79"/>
    <s v="Transfer"/>
    <n v="2"/>
    <s v="November"/>
    <s v="Q4"/>
    <n v="2024"/>
    <m/>
  </r>
  <r>
    <s v="SAL-1994"/>
    <d v="2024-09-28T00:00:00"/>
    <s v="Thomas Ramirez"/>
    <s v="East"/>
    <x v="2"/>
    <s v="Corporate"/>
    <s v="Office Supplies"/>
    <s v="Pen"/>
    <n v="8"/>
    <n v="121.94"/>
    <n v="0.05"/>
    <n v="926.74"/>
    <n v="724.94"/>
    <n v="201.8"/>
    <s v="Mobile Payment"/>
    <n v="2"/>
    <s v="September"/>
    <s v="Q3"/>
    <n v="2024"/>
    <m/>
  </r>
  <r>
    <s v="SAL-1995"/>
    <d v="2024-06-05T00:00:00"/>
    <s v="Andrew Harris"/>
    <s v="East"/>
    <x v="0"/>
    <s v="Consumer"/>
    <s v="Furniture"/>
    <s v="Cabinet"/>
    <n v="2"/>
    <n v="325.55"/>
    <n v="0.05"/>
    <n v="618.54"/>
    <n v="312.63"/>
    <n v="305.91000000000003"/>
    <s v="Transfer"/>
    <n v="5"/>
    <s v="June"/>
    <s v="Q2"/>
    <n v="2024"/>
    <m/>
  </r>
  <r>
    <s v="SAL-1996"/>
    <d v="2024-08-02T00:00:00"/>
    <s v="Tanya Smith"/>
    <s v="West"/>
    <x v="2"/>
    <s v="Home Office"/>
    <s v="Clothing"/>
    <s v="Jacket"/>
    <n v="7"/>
    <n v="764.96"/>
    <n v="0.05"/>
    <n v="5086.9799999999996"/>
    <n v="4302.43"/>
    <n v="784.55"/>
    <s v="Card"/>
    <n v="4"/>
    <s v="August"/>
    <s v="Q3"/>
    <n v="2024"/>
    <m/>
  </r>
  <r>
    <s v="SAL-1997"/>
    <d v="2024-06-06T00:00:00"/>
    <s v="David Maldonado"/>
    <s v="North"/>
    <x v="2"/>
    <s v="Corporate"/>
    <s v="Furniture"/>
    <s v="Cabinet"/>
    <n v="7"/>
    <n v="900.81"/>
    <n v="0.05"/>
    <n v="5990.39"/>
    <n v="3744.5"/>
    <n v="2245.89"/>
    <s v="Mobile Payment"/>
    <n v="2"/>
    <s v="June"/>
    <s v="Q2"/>
    <n v="2024"/>
    <m/>
  </r>
  <r>
    <s v="SAL-1998"/>
    <d v="2024-06-09T00:00:00"/>
    <s v="Hannah Dawson"/>
    <s v="Central"/>
    <x v="1"/>
    <s v="Home Office"/>
    <s v="Electronics"/>
    <s v="Phone"/>
    <n v="3"/>
    <n v="776.64"/>
    <n v="0.1"/>
    <n v="2096.9299999999998"/>
    <n v="1410.12"/>
    <n v="686.81"/>
    <s v="Mobile Payment"/>
    <n v="1"/>
    <s v="June"/>
    <s v="Q2"/>
    <n v="2024"/>
    <m/>
  </r>
  <r>
    <s v="SAL-1999"/>
    <d v="2024-05-09T00:00:00"/>
    <s v="Charles Castillo"/>
    <s v="East"/>
    <x v="2"/>
    <s v="Consumer"/>
    <s v="Clothing"/>
    <s v="Sneakers"/>
    <n v="6"/>
    <n v="93.07"/>
    <n v="0.15"/>
    <n v="474.66"/>
    <n v="391.66"/>
    <n v="83"/>
    <s v="Transfer"/>
    <n v="3"/>
    <s v="May"/>
    <s v="Q2"/>
    <n v="2024"/>
    <m/>
  </r>
  <r>
    <s v="SAL-2000"/>
    <d v="2024-05-04T00:00:00"/>
    <s v="Christine Leonard"/>
    <s v="South"/>
    <x v="4"/>
    <s v="Consumer"/>
    <s v="Office Supplies"/>
    <s v="Paper"/>
    <n v="6"/>
    <n v="680"/>
    <n v="0.05"/>
    <n v="3876"/>
    <n v="2648.82"/>
    <n v="1227.18"/>
    <s v="Cash"/>
    <n v="5"/>
    <s v="May"/>
    <s v="Q2"/>
    <n v="202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">
  <r>
    <x v="0"/>
    <d v="2024-01-20T00:00:00"/>
    <s v="Toni Watson"/>
    <x v="0"/>
    <x v="0"/>
    <s v="Home Office"/>
    <x v="0"/>
    <x v="0"/>
    <n v="2"/>
    <n v="925.06"/>
    <n v="0.1"/>
    <x v="0"/>
    <n v="895.32"/>
    <x v="0"/>
    <s v="Transfer"/>
    <n v="3"/>
    <x v="0"/>
    <x v="0"/>
    <n v="2024"/>
    <m/>
  </r>
  <r>
    <x v="1"/>
    <d v="2024-03-24T00:00:00"/>
    <s v="Richard Green"/>
    <x v="1"/>
    <x v="1"/>
    <s v="Consumer"/>
    <x v="0"/>
    <x v="1"/>
    <n v="3"/>
    <n v="411.29"/>
    <n v="0.1"/>
    <x v="1"/>
    <n v="827.96"/>
    <x v="1"/>
    <s v="Mobile Payment"/>
    <n v="1"/>
    <x v="1"/>
    <x v="0"/>
    <n v="2024"/>
    <m/>
  </r>
  <r>
    <x v="2"/>
    <d v="2024-03-13T00:00:00"/>
    <s v="Richard Baker"/>
    <x v="2"/>
    <x v="2"/>
    <s v="Corporate"/>
    <x v="0"/>
    <x v="0"/>
    <n v="12"/>
    <n v="543.5"/>
    <n v="0"/>
    <x v="2"/>
    <n v="3472.75"/>
    <x v="2"/>
    <s v="Mobile Payment"/>
    <n v="5"/>
    <x v="1"/>
    <x v="0"/>
    <n v="2024"/>
    <m/>
  </r>
  <r>
    <x v="3"/>
    <d v="2024-09-04T00:00:00"/>
    <s v="Marcus Goodman"/>
    <x v="2"/>
    <x v="0"/>
    <s v="Home Office"/>
    <x v="1"/>
    <x v="2"/>
    <n v="8"/>
    <n v="1007.03"/>
    <n v="0.1"/>
    <x v="3"/>
    <n v="4496.92"/>
    <x v="3"/>
    <s v="Transfer"/>
    <n v="1"/>
    <x v="2"/>
    <x v="1"/>
    <n v="2024"/>
    <m/>
  </r>
  <r>
    <x v="4"/>
    <d v="2024-08-02T00:00:00"/>
    <s v="Ronald Nelson"/>
    <x v="3"/>
    <x v="0"/>
    <s v="Consumer"/>
    <x v="1"/>
    <x v="3"/>
    <n v="9"/>
    <n v="526.91999999999996"/>
    <n v="0.15"/>
    <x v="4"/>
    <n v="2749.96"/>
    <x v="4"/>
    <s v="Card"/>
    <n v="1"/>
    <x v="3"/>
    <x v="1"/>
    <n v="2024"/>
    <m/>
  </r>
  <r>
    <x v="5"/>
    <d v="2024-02-07T00:00:00"/>
    <s v="Jennifer Levy"/>
    <x v="0"/>
    <x v="1"/>
    <s v="Home Office"/>
    <x v="1"/>
    <x v="3"/>
    <n v="5"/>
    <n v="212.45"/>
    <n v="0.1"/>
    <x v="5"/>
    <n v="663.45"/>
    <x v="5"/>
    <s v="Transfer"/>
    <n v="1"/>
    <x v="4"/>
    <x v="0"/>
    <n v="2024"/>
    <m/>
  </r>
  <r>
    <x v="6"/>
    <d v="2024-06-29T00:00:00"/>
    <s v="Rebekah Jones"/>
    <x v="2"/>
    <x v="1"/>
    <s v="Home Office"/>
    <x v="2"/>
    <x v="4"/>
    <n v="2"/>
    <n v="999.61"/>
    <n v="0.1"/>
    <x v="6"/>
    <n v="907.73"/>
    <x v="6"/>
    <s v="Cash"/>
    <n v="3"/>
    <x v="5"/>
    <x v="2"/>
    <n v="2024"/>
    <m/>
  </r>
  <r>
    <x v="7"/>
    <d v="2024-03-19T00:00:00"/>
    <s v="Thomas Perez"/>
    <x v="4"/>
    <x v="1"/>
    <s v="Corporate"/>
    <x v="1"/>
    <x v="3"/>
    <n v="12"/>
    <n v="287.70999999999998"/>
    <n v="0.15"/>
    <x v="7"/>
    <n v="2474.59"/>
    <x v="7"/>
    <s v="Mobile Payment"/>
    <n v="1"/>
    <x v="1"/>
    <x v="0"/>
    <n v="2024"/>
    <m/>
  </r>
  <r>
    <x v="8"/>
    <d v="2024-12-16T00:00:00"/>
    <s v="Lisa Johnson"/>
    <x v="3"/>
    <x v="1"/>
    <s v="Home Office"/>
    <x v="0"/>
    <x v="1"/>
    <n v="8"/>
    <n v="239.88"/>
    <n v="0.1"/>
    <x v="8"/>
    <n v="1346.5"/>
    <x v="8"/>
    <s v="Mobile Payment"/>
    <n v="1"/>
    <x v="6"/>
    <x v="3"/>
    <n v="2024"/>
    <m/>
  </r>
  <r>
    <x v="9"/>
    <d v="2024-01-05T00:00:00"/>
    <s v="Eric Myers"/>
    <x v="4"/>
    <x v="1"/>
    <s v="Consumer"/>
    <x v="0"/>
    <x v="5"/>
    <n v="9"/>
    <n v="432.52"/>
    <n v="0"/>
    <x v="9"/>
    <n v="2059.29"/>
    <x v="9"/>
    <s v="Mobile Payment"/>
    <n v="1"/>
    <x v="0"/>
    <x v="0"/>
    <n v="2024"/>
    <m/>
  </r>
  <r>
    <x v="10"/>
    <d v="2024-01-13T00:00:00"/>
    <s v="Kyle Ellis"/>
    <x v="2"/>
    <x v="1"/>
    <s v="Consumer"/>
    <x v="3"/>
    <x v="6"/>
    <n v="8"/>
    <n v="49.31"/>
    <n v="0.1"/>
    <x v="10"/>
    <n v="228.97"/>
    <x v="10"/>
    <s v="Card"/>
    <n v="3"/>
    <x v="0"/>
    <x v="0"/>
    <n v="2024"/>
    <m/>
  </r>
  <r>
    <x v="11"/>
    <d v="2024-07-17T00:00:00"/>
    <s v="Scott Nguyen"/>
    <x v="4"/>
    <x v="3"/>
    <s v="Consumer"/>
    <x v="2"/>
    <x v="4"/>
    <n v="2"/>
    <n v="991.46"/>
    <n v="0"/>
    <x v="11"/>
    <n v="1517.57"/>
    <x v="11"/>
    <s v="Transfer"/>
    <n v="4"/>
    <x v="7"/>
    <x v="1"/>
    <n v="2024"/>
    <m/>
  </r>
  <r>
    <x v="12"/>
    <d v="2024-10-28T00:00:00"/>
    <s v="Daniel Rogers"/>
    <x v="0"/>
    <x v="1"/>
    <s v="Consumer"/>
    <x v="3"/>
    <x v="7"/>
    <n v="9"/>
    <n v="1170.17"/>
    <n v="0"/>
    <x v="12"/>
    <n v="7586.56"/>
    <x v="12"/>
    <s v="Card"/>
    <n v="4"/>
    <x v="8"/>
    <x v="3"/>
    <n v="2024"/>
    <m/>
  </r>
  <r>
    <x v="13"/>
    <d v="2024-01-15T00:00:00"/>
    <s v="Jessica Garcia"/>
    <x v="2"/>
    <x v="0"/>
    <s v="Corporate"/>
    <x v="0"/>
    <x v="0"/>
    <n v="8"/>
    <n v="1046.58"/>
    <n v="0.15"/>
    <x v="13"/>
    <n v="4315.1099999999997"/>
    <x v="13"/>
    <s v="Card"/>
    <n v="3"/>
    <x v="0"/>
    <x v="0"/>
    <n v="2024"/>
    <m/>
  </r>
  <r>
    <x v="14"/>
    <d v="2024-09-16T00:00:00"/>
    <s v="Jane Nguyen"/>
    <x v="2"/>
    <x v="4"/>
    <s v="Corporate"/>
    <x v="0"/>
    <x v="0"/>
    <n v="4"/>
    <n v="1073.19"/>
    <n v="0.1"/>
    <x v="14"/>
    <n v="2057.3000000000002"/>
    <x v="14"/>
    <s v="Transfer"/>
    <n v="4"/>
    <x v="2"/>
    <x v="1"/>
    <n v="2024"/>
    <m/>
  </r>
  <r>
    <x v="15"/>
    <d v="2024-10-16T00:00:00"/>
    <s v="Jeremy Matthews"/>
    <x v="2"/>
    <x v="2"/>
    <s v="Home Office"/>
    <x v="0"/>
    <x v="5"/>
    <n v="4"/>
    <n v="611.11"/>
    <n v="0"/>
    <x v="15"/>
    <n v="1388.34"/>
    <x v="15"/>
    <s v="Transfer"/>
    <n v="1"/>
    <x v="8"/>
    <x v="3"/>
    <n v="2024"/>
    <m/>
  </r>
  <r>
    <x v="16"/>
    <d v="2024-09-04T00:00:00"/>
    <s v="Wendy Scott"/>
    <x v="0"/>
    <x v="1"/>
    <s v="Consumer"/>
    <x v="3"/>
    <x v="8"/>
    <n v="9"/>
    <n v="168.83"/>
    <n v="0.05"/>
    <x v="16"/>
    <n v="1118.9000000000001"/>
    <x v="16"/>
    <s v="Transfer"/>
    <n v="5"/>
    <x v="2"/>
    <x v="1"/>
    <n v="2024"/>
    <m/>
  </r>
  <r>
    <x v="17"/>
    <d v="2024-01-04T00:00:00"/>
    <s v="Mike Lloyd"/>
    <x v="4"/>
    <x v="0"/>
    <s v="Corporate"/>
    <x v="1"/>
    <x v="2"/>
    <n v="7"/>
    <n v="1098.25"/>
    <n v="0.05"/>
    <x v="17"/>
    <n v="5210.3100000000004"/>
    <x v="17"/>
    <s v="Transfer"/>
    <n v="5"/>
    <x v="0"/>
    <x v="0"/>
    <n v="2024"/>
    <m/>
  </r>
  <r>
    <x v="18"/>
    <d v="2024-08-03T00:00:00"/>
    <s v="Joseph Ramirez"/>
    <x v="3"/>
    <x v="3"/>
    <s v="Consumer"/>
    <x v="0"/>
    <x v="5"/>
    <n v="6"/>
    <n v="1035.3599999999999"/>
    <n v="0.1"/>
    <x v="18"/>
    <n v="4669.49"/>
    <x v="18"/>
    <s v="Mobile Payment"/>
    <n v="3"/>
    <x v="3"/>
    <x v="1"/>
    <n v="2024"/>
    <m/>
  </r>
  <r>
    <x v="19"/>
    <d v="2024-07-11T00:00:00"/>
    <s v="Joseph Hutchinson"/>
    <x v="4"/>
    <x v="3"/>
    <s v="Consumer"/>
    <x v="2"/>
    <x v="9"/>
    <n v="7"/>
    <n v="1172.9000000000001"/>
    <n v="0"/>
    <x v="19"/>
    <n v="6523.65"/>
    <x v="19"/>
    <s v="Mobile Payment"/>
    <n v="3"/>
    <x v="7"/>
    <x v="1"/>
    <n v="2024"/>
    <m/>
  </r>
  <r>
    <x v="20"/>
    <d v="2024-07-13T00:00:00"/>
    <s v="James Villanueva"/>
    <x v="1"/>
    <x v="0"/>
    <s v="Corporate"/>
    <x v="0"/>
    <x v="0"/>
    <n v="2"/>
    <n v="1090.77"/>
    <n v="0.1"/>
    <x v="20"/>
    <n v="1019.43"/>
    <x v="20"/>
    <s v="Transfer"/>
    <n v="1"/>
    <x v="7"/>
    <x v="1"/>
    <n v="2024"/>
    <m/>
  </r>
  <r>
    <x v="21"/>
    <d v="2024-08-12T00:00:00"/>
    <s v="David Lopez"/>
    <x v="4"/>
    <x v="0"/>
    <s v="Corporate"/>
    <x v="1"/>
    <x v="3"/>
    <n v="12"/>
    <n v="396.39"/>
    <n v="0.15"/>
    <x v="21"/>
    <n v="2397.89"/>
    <x v="21"/>
    <s v="Card"/>
    <n v="4"/>
    <x v="3"/>
    <x v="1"/>
    <n v="2024"/>
    <m/>
  </r>
  <r>
    <x v="22"/>
    <d v="2024-09-11T00:00:00"/>
    <s v="Kaitlyn Williams"/>
    <x v="2"/>
    <x v="1"/>
    <s v="Home Office"/>
    <x v="3"/>
    <x v="6"/>
    <n v="1"/>
    <n v="226.82"/>
    <n v="0"/>
    <x v="22"/>
    <n v="147.4"/>
    <x v="22"/>
    <s v="Cash"/>
    <n v="4"/>
    <x v="2"/>
    <x v="1"/>
    <n v="2024"/>
    <m/>
  </r>
  <r>
    <x v="23"/>
    <d v="2024-01-17T00:00:00"/>
    <s v="Lori Simon"/>
    <x v="0"/>
    <x v="0"/>
    <s v="Home Office"/>
    <x v="2"/>
    <x v="10"/>
    <n v="6"/>
    <n v="1070.92"/>
    <n v="0.05"/>
    <x v="23"/>
    <n v="4329.08"/>
    <x v="23"/>
    <s v="Transfer"/>
    <n v="5"/>
    <x v="0"/>
    <x v="0"/>
    <n v="2024"/>
    <m/>
  </r>
  <r>
    <x v="24"/>
    <d v="2024-05-25T00:00:00"/>
    <s v="Kendra Boyd"/>
    <x v="2"/>
    <x v="1"/>
    <s v="Corporate"/>
    <x v="0"/>
    <x v="0"/>
    <n v="12"/>
    <n v="469.94"/>
    <n v="0"/>
    <x v="24"/>
    <n v="4539.93"/>
    <x v="24"/>
    <s v="Mobile Payment"/>
    <n v="1"/>
    <x v="9"/>
    <x v="2"/>
    <n v="2024"/>
    <m/>
  </r>
  <r>
    <x v="25"/>
    <d v="2024-03-25T00:00:00"/>
    <s v="Tammy Henry"/>
    <x v="4"/>
    <x v="4"/>
    <s v="Corporate"/>
    <x v="0"/>
    <x v="11"/>
    <n v="11"/>
    <n v="206.08"/>
    <n v="0"/>
    <x v="25"/>
    <n v="1347.22"/>
    <x v="25"/>
    <s v="Mobile Payment"/>
    <n v="4"/>
    <x v="1"/>
    <x v="0"/>
    <n v="2024"/>
    <m/>
  </r>
  <r>
    <x v="26"/>
    <d v="2024-10-12T00:00:00"/>
    <s v="Jose Weeks"/>
    <x v="3"/>
    <x v="4"/>
    <s v="Home Office"/>
    <x v="2"/>
    <x v="10"/>
    <n v="9"/>
    <n v="119.67"/>
    <n v="0.15"/>
    <x v="26"/>
    <n v="654.11"/>
    <x v="26"/>
    <s v="Cash"/>
    <n v="4"/>
    <x v="8"/>
    <x v="3"/>
    <n v="2024"/>
    <m/>
  </r>
  <r>
    <x v="27"/>
    <d v="2024-08-11T00:00:00"/>
    <s v="Sara Lara"/>
    <x v="4"/>
    <x v="3"/>
    <s v="Consumer"/>
    <x v="1"/>
    <x v="2"/>
    <n v="2"/>
    <n v="81.58"/>
    <n v="0.15"/>
    <x v="27"/>
    <n v="106.32"/>
    <x v="27"/>
    <s v="Mobile Payment"/>
    <n v="2"/>
    <x v="3"/>
    <x v="1"/>
    <n v="2024"/>
    <m/>
  </r>
  <r>
    <x v="28"/>
    <d v="2024-02-07T00:00:00"/>
    <s v="Matthew Small"/>
    <x v="0"/>
    <x v="2"/>
    <s v="Consumer"/>
    <x v="2"/>
    <x v="9"/>
    <n v="4"/>
    <n v="1167.1500000000001"/>
    <n v="0.05"/>
    <x v="28"/>
    <n v="3630.22"/>
    <x v="28"/>
    <s v="Mobile Payment"/>
    <n v="3"/>
    <x v="4"/>
    <x v="0"/>
    <n v="2024"/>
    <m/>
  </r>
  <r>
    <x v="29"/>
    <d v="2024-04-05T00:00:00"/>
    <s v="Wanda Goodman"/>
    <x v="3"/>
    <x v="2"/>
    <s v="Corporate"/>
    <x v="0"/>
    <x v="5"/>
    <n v="4"/>
    <n v="879.62"/>
    <n v="0.15"/>
    <x v="29"/>
    <n v="2226.85"/>
    <x v="29"/>
    <s v="Transfer"/>
    <n v="2"/>
    <x v="10"/>
    <x v="2"/>
    <n v="2024"/>
    <m/>
  </r>
  <r>
    <x v="30"/>
    <d v="2024-12-05T00:00:00"/>
    <s v="Teresa Herrera"/>
    <x v="0"/>
    <x v="1"/>
    <s v="Home Office"/>
    <x v="0"/>
    <x v="0"/>
    <n v="3"/>
    <n v="564.41999999999996"/>
    <n v="0.15"/>
    <x v="30"/>
    <n v="831.49"/>
    <x v="30"/>
    <s v="Card"/>
    <n v="4"/>
    <x v="6"/>
    <x v="3"/>
    <n v="2024"/>
    <m/>
  </r>
  <r>
    <x v="31"/>
    <d v="2024-02-24T00:00:00"/>
    <s v="Jessica Townsend"/>
    <x v="2"/>
    <x v="2"/>
    <s v="Corporate"/>
    <x v="0"/>
    <x v="11"/>
    <n v="1"/>
    <n v="351.28"/>
    <n v="0.15"/>
    <x v="31"/>
    <n v="225.71"/>
    <x v="31"/>
    <s v="Transfer"/>
    <n v="5"/>
    <x v="4"/>
    <x v="0"/>
    <n v="2024"/>
    <m/>
  </r>
  <r>
    <x v="32"/>
    <d v="2024-01-25T00:00:00"/>
    <s v="Melissa Eaton"/>
    <x v="1"/>
    <x v="0"/>
    <s v="Consumer"/>
    <x v="0"/>
    <x v="11"/>
    <n v="9"/>
    <n v="430.08"/>
    <n v="0.1"/>
    <x v="32"/>
    <n v="2001.99"/>
    <x v="32"/>
    <s v="Transfer"/>
    <n v="1"/>
    <x v="0"/>
    <x v="0"/>
    <n v="2024"/>
    <m/>
  </r>
  <r>
    <x v="33"/>
    <d v="2024-01-03T00:00:00"/>
    <s v="Kathy Harris"/>
    <x v="2"/>
    <x v="2"/>
    <s v="Corporate"/>
    <x v="2"/>
    <x v="10"/>
    <n v="3"/>
    <n v="508.36"/>
    <n v="0.15"/>
    <x v="33"/>
    <n v="711.94"/>
    <x v="33"/>
    <s v="Cash"/>
    <n v="1"/>
    <x v="0"/>
    <x v="0"/>
    <n v="2024"/>
    <m/>
  </r>
  <r>
    <x v="34"/>
    <d v="2024-01-31T00:00:00"/>
    <s v="Kelsey Craig"/>
    <x v="1"/>
    <x v="4"/>
    <s v="Consumer"/>
    <x v="2"/>
    <x v="9"/>
    <n v="8"/>
    <n v="521.94000000000005"/>
    <n v="0.05"/>
    <x v="34"/>
    <n v="2901.5"/>
    <x v="34"/>
    <s v="Mobile Payment"/>
    <n v="1"/>
    <x v="0"/>
    <x v="0"/>
    <n v="2024"/>
    <m/>
  </r>
  <r>
    <x v="35"/>
    <d v="2024-04-30T00:00:00"/>
    <s v="Nicole Young"/>
    <x v="0"/>
    <x v="3"/>
    <s v="Home Office"/>
    <x v="2"/>
    <x v="4"/>
    <n v="1"/>
    <n v="437.13"/>
    <n v="0.05"/>
    <x v="35"/>
    <n v="326.37"/>
    <x v="35"/>
    <s v="Card"/>
    <n v="1"/>
    <x v="10"/>
    <x v="2"/>
    <n v="2024"/>
    <m/>
  </r>
  <r>
    <x v="36"/>
    <d v="2024-02-01T00:00:00"/>
    <s v="Maria Johns"/>
    <x v="1"/>
    <x v="0"/>
    <s v="Consumer"/>
    <x v="0"/>
    <x v="0"/>
    <n v="6"/>
    <n v="806.29"/>
    <n v="0.1"/>
    <x v="36"/>
    <n v="3376.12"/>
    <x v="36"/>
    <s v="Cash"/>
    <n v="2"/>
    <x v="4"/>
    <x v="0"/>
    <n v="2024"/>
    <m/>
  </r>
  <r>
    <x v="37"/>
    <d v="2024-11-05T00:00:00"/>
    <s v="Shannon Williams"/>
    <x v="4"/>
    <x v="3"/>
    <s v="Corporate"/>
    <x v="3"/>
    <x v="7"/>
    <n v="3"/>
    <n v="673.23"/>
    <n v="0"/>
    <x v="37"/>
    <n v="1564.75"/>
    <x v="37"/>
    <s v="Transfer"/>
    <n v="3"/>
    <x v="11"/>
    <x v="3"/>
    <n v="2024"/>
    <m/>
  </r>
  <r>
    <x v="38"/>
    <d v="2024-01-02T00:00:00"/>
    <s v="Colton Harris"/>
    <x v="3"/>
    <x v="0"/>
    <s v="Consumer"/>
    <x v="2"/>
    <x v="10"/>
    <n v="1"/>
    <n v="727.16"/>
    <n v="0.1"/>
    <x v="38"/>
    <n v="399.02"/>
    <x v="38"/>
    <s v="Transfer"/>
    <n v="1"/>
    <x v="0"/>
    <x v="0"/>
    <n v="2024"/>
    <m/>
  </r>
  <r>
    <x v="39"/>
    <d v="2024-11-01T00:00:00"/>
    <s v="Jennifer Nolan"/>
    <x v="4"/>
    <x v="4"/>
    <s v="Corporate"/>
    <x v="1"/>
    <x v="3"/>
    <n v="3"/>
    <n v="735.91"/>
    <n v="0.15"/>
    <x v="39"/>
    <n v="1503.2"/>
    <x v="39"/>
    <s v="Cash"/>
    <n v="2"/>
    <x v="11"/>
    <x v="3"/>
    <n v="2024"/>
    <m/>
  </r>
  <r>
    <x v="40"/>
    <d v="2024-10-10T00:00:00"/>
    <s v="Megan Sullivan"/>
    <x v="4"/>
    <x v="4"/>
    <s v="Corporate"/>
    <x v="2"/>
    <x v="4"/>
    <n v="6"/>
    <n v="518.57000000000005"/>
    <n v="0.15"/>
    <x v="40"/>
    <n v="1584.59"/>
    <x v="40"/>
    <s v="Cash"/>
    <n v="3"/>
    <x v="8"/>
    <x v="3"/>
    <n v="2024"/>
    <m/>
  </r>
  <r>
    <x v="41"/>
    <d v="2024-12-31T00:00:00"/>
    <s v="Patricia Peters"/>
    <x v="4"/>
    <x v="2"/>
    <s v="Corporate"/>
    <x v="0"/>
    <x v="1"/>
    <n v="4"/>
    <n v="444.97"/>
    <n v="0"/>
    <x v="41"/>
    <n v="974.9"/>
    <x v="41"/>
    <s v="Cash"/>
    <n v="1"/>
    <x v="6"/>
    <x v="3"/>
    <n v="2024"/>
    <m/>
  </r>
  <r>
    <x v="42"/>
    <d v="2024-11-13T00:00:00"/>
    <s v="Dustin Henderson"/>
    <x v="3"/>
    <x v="0"/>
    <s v="Home Office"/>
    <x v="3"/>
    <x v="7"/>
    <n v="5"/>
    <n v="439.77"/>
    <n v="0.1"/>
    <x v="42"/>
    <n v="1273.98"/>
    <x v="42"/>
    <s v="Cash"/>
    <n v="5"/>
    <x v="11"/>
    <x v="3"/>
    <n v="2024"/>
    <m/>
  </r>
  <r>
    <x v="43"/>
    <d v="2024-04-30T00:00:00"/>
    <s v="George Kent"/>
    <x v="1"/>
    <x v="2"/>
    <s v="Consumer"/>
    <x v="0"/>
    <x v="0"/>
    <n v="5"/>
    <n v="961.1"/>
    <n v="0.1"/>
    <x v="43"/>
    <n v="2827.77"/>
    <x v="43"/>
    <s v="Cash"/>
    <n v="4"/>
    <x v="10"/>
    <x v="2"/>
    <n v="2024"/>
    <m/>
  </r>
  <r>
    <x v="44"/>
    <d v="2024-07-31T00:00:00"/>
    <s v="Margaret Franklin"/>
    <x v="2"/>
    <x v="4"/>
    <s v="Consumer"/>
    <x v="1"/>
    <x v="2"/>
    <n v="11"/>
    <n v="224.55"/>
    <n v="0.05"/>
    <x v="44"/>
    <n v="1491.46"/>
    <x v="44"/>
    <s v="Mobile Payment"/>
    <n v="2"/>
    <x v="7"/>
    <x v="1"/>
    <n v="2024"/>
    <m/>
  </r>
  <r>
    <x v="45"/>
    <d v="2024-07-18T00:00:00"/>
    <s v="Renee Marshall"/>
    <x v="3"/>
    <x v="2"/>
    <s v="Consumer"/>
    <x v="0"/>
    <x v="1"/>
    <n v="9"/>
    <n v="327.35000000000002"/>
    <n v="0.05"/>
    <x v="45"/>
    <n v="2160.9499999999998"/>
    <x v="45"/>
    <s v="Cash"/>
    <n v="5"/>
    <x v="7"/>
    <x v="1"/>
    <n v="2024"/>
    <m/>
  </r>
  <r>
    <x v="46"/>
    <d v="2024-06-08T00:00:00"/>
    <s v="Tracy Garza"/>
    <x v="4"/>
    <x v="0"/>
    <s v="Home Office"/>
    <x v="1"/>
    <x v="2"/>
    <n v="10"/>
    <n v="73.739999999999995"/>
    <n v="0.05"/>
    <x v="46"/>
    <n v="564.80999999999995"/>
    <x v="46"/>
    <s v="Transfer"/>
    <n v="1"/>
    <x v="5"/>
    <x v="2"/>
    <n v="2024"/>
    <m/>
  </r>
  <r>
    <x v="47"/>
    <d v="2024-09-11T00:00:00"/>
    <s v="Logan Nelson"/>
    <x v="1"/>
    <x v="1"/>
    <s v="Consumer"/>
    <x v="2"/>
    <x v="10"/>
    <n v="5"/>
    <n v="1057.47"/>
    <n v="0.05"/>
    <x v="47"/>
    <n v="3262.13"/>
    <x v="47"/>
    <s v="Card"/>
    <n v="2"/>
    <x v="2"/>
    <x v="1"/>
    <n v="2024"/>
    <m/>
  </r>
  <r>
    <x v="48"/>
    <d v="2024-08-10T00:00:00"/>
    <s v="Robin Foster"/>
    <x v="4"/>
    <x v="3"/>
    <s v="Consumer"/>
    <x v="0"/>
    <x v="1"/>
    <n v="2"/>
    <n v="544.28"/>
    <n v="0.05"/>
    <x v="48"/>
    <n v="662.1"/>
    <x v="48"/>
    <s v="Card"/>
    <n v="1"/>
    <x v="3"/>
    <x v="1"/>
    <n v="2024"/>
    <m/>
  </r>
  <r>
    <x v="49"/>
    <d v="2024-01-19T00:00:00"/>
    <s v="Vincent Daniels"/>
    <x v="2"/>
    <x v="0"/>
    <s v="Consumer"/>
    <x v="1"/>
    <x v="12"/>
    <n v="9"/>
    <n v="1111.72"/>
    <n v="0"/>
    <x v="49"/>
    <n v="5731.95"/>
    <x v="49"/>
    <s v="Cash"/>
    <n v="4"/>
    <x v="0"/>
    <x v="0"/>
    <n v="2024"/>
    <m/>
  </r>
  <r>
    <x v="50"/>
    <d v="2024-07-26T00:00:00"/>
    <s v="Michael Gonzalez"/>
    <x v="0"/>
    <x v="2"/>
    <s v="Consumer"/>
    <x v="1"/>
    <x v="3"/>
    <n v="7"/>
    <n v="407.17"/>
    <n v="0.05"/>
    <x v="50"/>
    <n v="1963.13"/>
    <x v="50"/>
    <s v="Cash"/>
    <n v="2"/>
    <x v="7"/>
    <x v="1"/>
    <n v="2024"/>
    <m/>
  </r>
  <r>
    <x v="51"/>
    <d v="2024-08-03T00:00:00"/>
    <s v="Jennifer Kim"/>
    <x v="3"/>
    <x v="3"/>
    <s v="Corporate"/>
    <x v="2"/>
    <x v="4"/>
    <n v="11"/>
    <n v="171.77"/>
    <n v="0.1"/>
    <x v="51"/>
    <n v="1067.3800000000001"/>
    <x v="51"/>
    <s v="Card"/>
    <n v="5"/>
    <x v="3"/>
    <x v="1"/>
    <n v="2024"/>
    <m/>
  </r>
  <r>
    <x v="52"/>
    <d v="2024-11-01T00:00:00"/>
    <s v="Janet Cuevas"/>
    <x v="4"/>
    <x v="2"/>
    <s v="Corporate"/>
    <x v="0"/>
    <x v="5"/>
    <n v="10"/>
    <n v="728.65"/>
    <n v="0.05"/>
    <x v="52"/>
    <n v="4720.3"/>
    <x v="52"/>
    <s v="Card"/>
    <n v="5"/>
    <x v="11"/>
    <x v="3"/>
    <n v="2024"/>
    <m/>
  </r>
  <r>
    <x v="53"/>
    <d v="2024-05-25T00:00:00"/>
    <s v="Deanna Freeman"/>
    <x v="4"/>
    <x v="0"/>
    <s v="Home Office"/>
    <x v="1"/>
    <x v="12"/>
    <n v="6"/>
    <n v="362.55"/>
    <n v="0.15"/>
    <x v="53"/>
    <n v="1166.2"/>
    <x v="53"/>
    <s v="Transfer"/>
    <n v="2"/>
    <x v="9"/>
    <x v="2"/>
    <n v="2024"/>
    <m/>
  </r>
  <r>
    <x v="54"/>
    <d v="2024-07-09T00:00:00"/>
    <s v="Jimmy Thomas"/>
    <x v="0"/>
    <x v="4"/>
    <s v="Consumer"/>
    <x v="2"/>
    <x v="9"/>
    <n v="6"/>
    <n v="72.34"/>
    <n v="0"/>
    <x v="54"/>
    <n v="291.58"/>
    <x v="54"/>
    <s v="Cash"/>
    <n v="2"/>
    <x v="7"/>
    <x v="1"/>
    <n v="2024"/>
    <m/>
  </r>
  <r>
    <x v="55"/>
    <d v="2024-09-06T00:00:00"/>
    <s v="Nicholas Massey"/>
    <x v="4"/>
    <x v="4"/>
    <s v="Home Office"/>
    <x v="1"/>
    <x v="12"/>
    <n v="9"/>
    <n v="818.76"/>
    <n v="0"/>
    <x v="55"/>
    <n v="5653.66"/>
    <x v="55"/>
    <s v="Mobile Payment"/>
    <n v="3"/>
    <x v="2"/>
    <x v="1"/>
    <n v="2024"/>
    <m/>
  </r>
  <r>
    <x v="56"/>
    <d v="2024-09-03T00:00:00"/>
    <s v="Stephanie Webster"/>
    <x v="2"/>
    <x v="4"/>
    <s v="Consumer"/>
    <x v="3"/>
    <x v="8"/>
    <n v="11"/>
    <n v="1014.57"/>
    <n v="0.1"/>
    <x v="56"/>
    <n v="6209.8"/>
    <x v="56"/>
    <s v="Cash"/>
    <n v="5"/>
    <x v="2"/>
    <x v="1"/>
    <n v="2024"/>
    <m/>
  </r>
  <r>
    <x v="57"/>
    <d v="2024-07-23T00:00:00"/>
    <s v="Whitney Holt"/>
    <x v="2"/>
    <x v="0"/>
    <s v="Consumer"/>
    <x v="2"/>
    <x v="10"/>
    <n v="1"/>
    <n v="176.96"/>
    <n v="0.05"/>
    <x v="57"/>
    <n v="124.39"/>
    <x v="57"/>
    <s v="Card"/>
    <n v="4"/>
    <x v="7"/>
    <x v="1"/>
    <n v="2024"/>
    <m/>
  </r>
  <r>
    <x v="58"/>
    <d v="2024-08-06T00:00:00"/>
    <s v="Kenneth Werner"/>
    <x v="0"/>
    <x v="1"/>
    <s v="Corporate"/>
    <x v="0"/>
    <x v="11"/>
    <n v="3"/>
    <n v="339.26"/>
    <n v="0.15"/>
    <x v="58"/>
    <n v="500.62"/>
    <x v="58"/>
    <s v="Cash"/>
    <n v="4"/>
    <x v="3"/>
    <x v="1"/>
    <n v="2024"/>
    <m/>
  </r>
  <r>
    <x v="59"/>
    <d v="2024-02-27T00:00:00"/>
    <s v="James Lam"/>
    <x v="1"/>
    <x v="3"/>
    <s v="Corporate"/>
    <x v="1"/>
    <x v="3"/>
    <n v="2"/>
    <n v="1176.56"/>
    <n v="0.15"/>
    <x v="59"/>
    <n v="1324.79"/>
    <x v="59"/>
    <s v="Transfer"/>
    <n v="2"/>
    <x v="4"/>
    <x v="0"/>
    <n v="2024"/>
    <m/>
  </r>
  <r>
    <x v="60"/>
    <d v="2024-03-05T00:00:00"/>
    <s v="Karl Newman"/>
    <x v="0"/>
    <x v="4"/>
    <s v="Home Office"/>
    <x v="1"/>
    <x v="3"/>
    <n v="10"/>
    <n v="837.27"/>
    <n v="0.05"/>
    <x v="60"/>
    <n v="4067.96"/>
    <x v="60"/>
    <s v="Mobile Payment"/>
    <n v="4"/>
    <x v="1"/>
    <x v="0"/>
    <n v="2024"/>
    <m/>
  </r>
  <r>
    <x v="61"/>
    <d v="2024-07-01T00:00:00"/>
    <s v="Ricardo Wallace"/>
    <x v="4"/>
    <x v="3"/>
    <s v="Home Office"/>
    <x v="0"/>
    <x v="0"/>
    <n v="11"/>
    <n v="1115.67"/>
    <n v="0.1"/>
    <x v="61"/>
    <n v="9212.4"/>
    <x v="61"/>
    <s v="Cash"/>
    <n v="3"/>
    <x v="7"/>
    <x v="1"/>
    <n v="2024"/>
    <m/>
  </r>
  <r>
    <x v="62"/>
    <d v="2024-09-20T00:00:00"/>
    <s v="Francisco Eaton"/>
    <x v="0"/>
    <x v="1"/>
    <s v="Home Office"/>
    <x v="2"/>
    <x v="9"/>
    <n v="2"/>
    <n v="674.5"/>
    <n v="0"/>
    <x v="62"/>
    <n v="957.76"/>
    <x v="62"/>
    <s v="Mobile Payment"/>
    <n v="1"/>
    <x v="2"/>
    <x v="1"/>
    <n v="2024"/>
    <m/>
  </r>
  <r>
    <x v="63"/>
    <d v="2024-02-29T00:00:00"/>
    <s v="Troy Brock"/>
    <x v="0"/>
    <x v="2"/>
    <s v="Corporate"/>
    <x v="2"/>
    <x v="9"/>
    <n v="6"/>
    <n v="282.37"/>
    <n v="0.15"/>
    <x v="63"/>
    <n v="1091.57"/>
    <x v="63"/>
    <s v="Mobile Payment"/>
    <n v="1"/>
    <x v="4"/>
    <x v="0"/>
    <n v="2024"/>
    <m/>
  </r>
  <r>
    <x v="64"/>
    <d v="2024-02-12T00:00:00"/>
    <s v="Megan Mckee"/>
    <x v="1"/>
    <x v="1"/>
    <s v="Home Office"/>
    <x v="2"/>
    <x v="10"/>
    <n v="2"/>
    <n v="833.98"/>
    <n v="0.1"/>
    <x v="64"/>
    <n v="842.48"/>
    <x v="64"/>
    <s v="Mobile Payment"/>
    <n v="4"/>
    <x v="4"/>
    <x v="0"/>
    <n v="2024"/>
    <m/>
  </r>
  <r>
    <x v="65"/>
    <d v="2024-09-16T00:00:00"/>
    <s v="Wendy Robinson"/>
    <x v="0"/>
    <x v="1"/>
    <s v="Home Office"/>
    <x v="1"/>
    <x v="3"/>
    <n v="1"/>
    <n v="503.39"/>
    <n v="0"/>
    <x v="65"/>
    <n v="416.64"/>
    <x v="65"/>
    <s v="Transfer"/>
    <n v="3"/>
    <x v="2"/>
    <x v="1"/>
    <n v="2024"/>
    <m/>
  </r>
  <r>
    <x v="66"/>
    <d v="2024-07-19T00:00:00"/>
    <s v="Marc Munoz"/>
    <x v="4"/>
    <x v="3"/>
    <s v="Consumer"/>
    <x v="3"/>
    <x v="7"/>
    <n v="6"/>
    <n v="730.77"/>
    <n v="0"/>
    <x v="66"/>
    <n v="2233.69"/>
    <x v="66"/>
    <s v="Card"/>
    <n v="3"/>
    <x v="7"/>
    <x v="1"/>
    <n v="2024"/>
    <m/>
  </r>
  <r>
    <x v="67"/>
    <d v="2024-09-30T00:00:00"/>
    <s v="Steven Brown"/>
    <x v="1"/>
    <x v="0"/>
    <s v="Corporate"/>
    <x v="3"/>
    <x v="8"/>
    <n v="5"/>
    <n v="190.53"/>
    <n v="0.15"/>
    <x v="67"/>
    <n v="507.1"/>
    <x v="67"/>
    <s v="Card"/>
    <n v="2"/>
    <x v="2"/>
    <x v="1"/>
    <n v="2024"/>
    <m/>
  </r>
  <r>
    <x v="68"/>
    <d v="2024-03-24T00:00:00"/>
    <s v="Jessica Miller"/>
    <x v="2"/>
    <x v="1"/>
    <s v="Corporate"/>
    <x v="3"/>
    <x v="7"/>
    <n v="12"/>
    <n v="576.28"/>
    <n v="0.05"/>
    <x v="68"/>
    <n v="5236.5200000000004"/>
    <x v="68"/>
    <s v="Transfer"/>
    <n v="4"/>
    <x v="1"/>
    <x v="0"/>
    <n v="2024"/>
    <m/>
  </r>
  <r>
    <x v="69"/>
    <d v="2024-07-20T00:00:00"/>
    <s v="Nicole Jimenez"/>
    <x v="0"/>
    <x v="2"/>
    <s v="Home Office"/>
    <x v="1"/>
    <x v="2"/>
    <n v="5"/>
    <n v="529.27"/>
    <n v="0.1"/>
    <x v="69"/>
    <n v="1256.99"/>
    <x v="69"/>
    <s v="Transfer"/>
    <n v="4"/>
    <x v="7"/>
    <x v="1"/>
    <n v="2024"/>
    <m/>
  </r>
  <r>
    <x v="70"/>
    <d v="2024-08-15T00:00:00"/>
    <s v="Victor Barnett"/>
    <x v="4"/>
    <x v="3"/>
    <s v="Home Office"/>
    <x v="2"/>
    <x v="9"/>
    <n v="1"/>
    <n v="201.61"/>
    <n v="0.15"/>
    <x v="70"/>
    <n v="133.07"/>
    <x v="70"/>
    <s v="Card"/>
    <n v="3"/>
    <x v="3"/>
    <x v="1"/>
    <n v="2024"/>
    <m/>
  </r>
  <r>
    <x v="71"/>
    <d v="2024-02-12T00:00:00"/>
    <s v="Scott Robinson"/>
    <x v="4"/>
    <x v="1"/>
    <s v="Home Office"/>
    <x v="2"/>
    <x v="4"/>
    <n v="4"/>
    <n v="1090.57"/>
    <n v="0.15"/>
    <x v="71"/>
    <n v="2902.58"/>
    <x v="71"/>
    <s v="Cash"/>
    <n v="3"/>
    <x v="4"/>
    <x v="0"/>
    <n v="2024"/>
    <m/>
  </r>
  <r>
    <x v="72"/>
    <d v="2024-10-28T00:00:00"/>
    <s v="Megan Rivera"/>
    <x v="2"/>
    <x v="4"/>
    <s v="Corporate"/>
    <x v="1"/>
    <x v="3"/>
    <n v="11"/>
    <n v="1125.3900000000001"/>
    <n v="0.05"/>
    <x v="72"/>
    <n v="7297.31"/>
    <x v="72"/>
    <s v="Mobile Payment"/>
    <n v="2"/>
    <x v="8"/>
    <x v="3"/>
    <n v="2024"/>
    <m/>
  </r>
  <r>
    <x v="73"/>
    <d v="2024-10-28T00:00:00"/>
    <s v="Angela Byrd"/>
    <x v="4"/>
    <x v="2"/>
    <s v="Corporate"/>
    <x v="2"/>
    <x v="10"/>
    <n v="5"/>
    <n v="744.05"/>
    <n v="0.05"/>
    <x v="73"/>
    <n v="2134.14"/>
    <x v="73"/>
    <s v="Card"/>
    <n v="5"/>
    <x v="8"/>
    <x v="3"/>
    <n v="2024"/>
    <m/>
  </r>
  <r>
    <x v="74"/>
    <d v="2024-03-23T00:00:00"/>
    <s v="Christina Vaughn"/>
    <x v="3"/>
    <x v="2"/>
    <s v="Consumer"/>
    <x v="1"/>
    <x v="12"/>
    <n v="3"/>
    <n v="198.57"/>
    <n v="0.1"/>
    <x v="74"/>
    <n v="384.91"/>
    <x v="74"/>
    <s v="Card"/>
    <n v="1"/>
    <x v="1"/>
    <x v="0"/>
    <n v="2024"/>
    <m/>
  </r>
  <r>
    <x v="75"/>
    <d v="2024-02-18T00:00:00"/>
    <s v="Lawrence Medina"/>
    <x v="4"/>
    <x v="0"/>
    <s v="Consumer"/>
    <x v="3"/>
    <x v="7"/>
    <n v="2"/>
    <n v="217.96"/>
    <n v="0.15"/>
    <x v="75"/>
    <n v="241.69"/>
    <x v="75"/>
    <s v="Card"/>
    <n v="1"/>
    <x v="4"/>
    <x v="0"/>
    <n v="2024"/>
    <m/>
  </r>
  <r>
    <x v="76"/>
    <d v="2024-03-06T00:00:00"/>
    <s v="Joseph Johnston"/>
    <x v="4"/>
    <x v="3"/>
    <s v="Home Office"/>
    <x v="1"/>
    <x v="12"/>
    <n v="4"/>
    <n v="809.56"/>
    <n v="0.05"/>
    <x v="76"/>
    <n v="2023.3"/>
    <x v="76"/>
    <s v="Mobile Payment"/>
    <n v="1"/>
    <x v="1"/>
    <x v="0"/>
    <n v="2024"/>
    <m/>
  </r>
  <r>
    <x v="77"/>
    <d v="2024-03-14T00:00:00"/>
    <s v="Tammy Baker"/>
    <x v="2"/>
    <x v="4"/>
    <s v="Corporate"/>
    <x v="1"/>
    <x v="2"/>
    <n v="7"/>
    <n v="523.92999999999995"/>
    <n v="0.05"/>
    <x v="77"/>
    <n v="2857.16"/>
    <x v="77"/>
    <s v="Mobile Payment"/>
    <n v="5"/>
    <x v="1"/>
    <x v="0"/>
    <n v="2024"/>
    <m/>
  </r>
  <r>
    <x v="78"/>
    <d v="2024-03-27T00:00:00"/>
    <s v="Sarah Rojas"/>
    <x v="2"/>
    <x v="1"/>
    <s v="Home Office"/>
    <x v="2"/>
    <x v="4"/>
    <n v="10"/>
    <n v="845.81"/>
    <n v="0.05"/>
    <x v="78"/>
    <n v="4464.3500000000004"/>
    <x v="78"/>
    <s v="Cash"/>
    <n v="1"/>
    <x v="1"/>
    <x v="0"/>
    <n v="2024"/>
    <m/>
  </r>
  <r>
    <x v="79"/>
    <d v="2024-11-17T00:00:00"/>
    <s v="Alicia Combs"/>
    <x v="0"/>
    <x v="4"/>
    <s v="Home Office"/>
    <x v="3"/>
    <x v="8"/>
    <n v="3"/>
    <n v="843.94"/>
    <n v="0.15"/>
    <x v="79"/>
    <n v="1617.6"/>
    <x v="79"/>
    <s v="Card"/>
    <n v="5"/>
    <x v="11"/>
    <x v="3"/>
    <n v="2024"/>
    <m/>
  </r>
  <r>
    <x v="80"/>
    <d v="2024-05-16T00:00:00"/>
    <s v="Andre Choi"/>
    <x v="2"/>
    <x v="4"/>
    <s v="Home Office"/>
    <x v="1"/>
    <x v="3"/>
    <n v="2"/>
    <n v="950.79"/>
    <n v="0.1"/>
    <x v="80"/>
    <n v="1192.1400000000001"/>
    <x v="80"/>
    <s v="Card"/>
    <n v="2"/>
    <x v="9"/>
    <x v="2"/>
    <n v="2024"/>
    <m/>
  </r>
  <r>
    <x v="81"/>
    <d v="2024-08-26T00:00:00"/>
    <s v="Paul Reed"/>
    <x v="3"/>
    <x v="0"/>
    <s v="Consumer"/>
    <x v="0"/>
    <x v="5"/>
    <n v="7"/>
    <n v="620.39"/>
    <n v="0.15"/>
    <x v="81"/>
    <n v="1937.39"/>
    <x v="81"/>
    <s v="Mobile Payment"/>
    <n v="5"/>
    <x v="3"/>
    <x v="1"/>
    <n v="2024"/>
    <m/>
  </r>
  <r>
    <x v="82"/>
    <d v="2024-03-06T00:00:00"/>
    <s v="Justin Chen"/>
    <x v="0"/>
    <x v="1"/>
    <s v="Corporate"/>
    <x v="3"/>
    <x v="7"/>
    <n v="8"/>
    <n v="768.16"/>
    <n v="0.05"/>
    <x v="82"/>
    <n v="3460.62"/>
    <x v="82"/>
    <s v="Cash"/>
    <n v="4"/>
    <x v="1"/>
    <x v="0"/>
    <n v="2024"/>
    <m/>
  </r>
  <r>
    <x v="83"/>
    <d v="2024-12-25T00:00:00"/>
    <s v="Michelle Williams"/>
    <x v="3"/>
    <x v="3"/>
    <s v="Home Office"/>
    <x v="1"/>
    <x v="2"/>
    <n v="6"/>
    <n v="1022.86"/>
    <n v="0.05"/>
    <x v="83"/>
    <n v="4903.7700000000004"/>
    <x v="83"/>
    <s v="Cash"/>
    <n v="1"/>
    <x v="6"/>
    <x v="3"/>
    <n v="2024"/>
    <m/>
  </r>
  <r>
    <x v="84"/>
    <d v="2024-04-01T00:00:00"/>
    <s v="Ricardo Miller"/>
    <x v="2"/>
    <x v="4"/>
    <s v="Home Office"/>
    <x v="0"/>
    <x v="0"/>
    <n v="6"/>
    <n v="1002.32"/>
    <n v="0.15"/>
    <x v="84"/>
    <n v="3249.03"/>
    <x v="84"/>
    <s v="Transfer"/>
    <n v="2"/>
    <x v="10"/>
    <x v="2"/>
    <n v="2024"/>
    <m/>
  </r>
  <r>
    <x v="85"/>
    <d v="2024-03-23T00:00:00"/>
    <s v="David Chavez"/>
    <x v="3"/>
    <x v="0"/>
    <s v="Corporate"/>
    <x v="1"/>
    <x v="12"/>
    <n v="11"/>
    <n v="662.6"/>
    <n v="0.15"/>
    <x v="85"/>
    <n v="3904.07"/>
    <x v="85"/>
    <s v="Mobile Payment"/>
    <n v="5"/>
    <x v="1"/>
    <x v="0"/>
    <n v="2024"/>
    <m/>
  </r>
  <r>
    <x v="86"/>
    <d v="2024-04-25T00:00:00"/>
    <s v="Stephanie Graham"/>
    <x v="4"/>
    <x v="4"/>
    <s v="Consumer"/>
    <x v="1"/>
    <x v="3"/>
    <n v="11"/>
    <n v="16.739999999999998"/>
    <n v="0.05"/>
    <x v="86"/>
    <n v="147.69999999999999"/>
    <x v="86"/>
    <s v="Transfer"/>
    <n v="4"/>
    <x v="10"/>
    <x v="2"/>
    <n v="2024"/>
    <m/>
  </r>
  <r>
    <x v="87"/>
    <d v="2024-12-08T00:00:00"/>
    <s v="John Stevens"/>
    <x v="1"/>
    <x v="4"/>
    <s v="Consumer"/>
    <x v="3"/>
    <x v="8"/>
    <n v="1"/>
    <n v="786.58"/>
    <n v="0.1"/>
    <x v="87"/>
    <n v="466.48"/>
    <x v="87"/>
    <s v="Transfer"/>
    <n v="2"/>
    <x v="6"/>
    <x v="3"/>
    <n v="2024"/>
    <m/>
  </r>
  <r>
    <x v="88"/>
    <d v="2024-03-05T00:00:00"/>
    <s v="Larry Perez"/>
    <x v="2"/>
    <x v="3"/>
    <s v="Corporate"/>
    <x v="3"/>
    <x v="7"/>
    <n v="8"/>
    <n v="226.94"/>
    <n v="0.05"/>
    <x v="88"/>
    <n v="1008.43"/>
    <x v="88"/>
    <s v="Mobile Payment"/>
    <n v="1"/>
    <x v="1"/>
    <x v="0"/>
    <n v="2024"/>
    <m/>
  </r>
  <r>
    <x v="89"/>
    <d v="2024-02-08T00:00:00"/>
    <s v="James Benson"/>
    <x v="2"/>
    <x v="1"/>
    <s v="Home Office"/>
    <x v="1"/>
    <x v="3"/>
    <n v="7"/>
    <n v="318.98"/>
    <n v="0.1"/>
    <x v="89"/>
    <n v="1563.05"/>
    <x v="89"/>
    <s v="Transfer"/>
    <n v="1"/>
    <x v="4"/>
    <x v="0"/>
    <n v="2024"/>
    <m/>
  </r>
  <r>
    <x v="90"/>
    <d v="2024-09-03T00:00:00"/>
    <s v="William Watson"/>
    <x v="4"/>
    <x v="2"/>
    <s v="Consumer"/>
    <x v="3"/>
    <x v="7"/>
    <n v="7"/>
    <n v="340.54"/>
    <n v="0.15"/>
    <x v="90"/>
    <n v="1398.51"/>
    <x v="90"/>
    <s v="Card"/>
    <n v="2"/>
    <x v="2"/>
    <x v="1"/>
    <n v="2024"/>
    <m/>
  </r>
  <r>
    <x v="91"/>
    <d v="2024-11-14T00:00:00"/>
    <s v="Michael Stephens"/>
    <x v="4"/>
    <x v="3"/>
    <s v="Consumer"/>
    <x v="1"/>
    <x v="2"/>
    <n v="4"/>
    <n v="132.49"/>
    <n v="0.15"/>
    <x v="91"/>
    <n v="231.66"/>
    <x v="91"/>
    <s v="Card"/>
    <n v="2"/>
    <x v="11"/>
    <x v="3"/>
    <n v="2024"/>
    <m/>
  </r>
  <r>
    <x v="92"/>
    <d v="2024-09-11T00:00:00"/>
    <s v="Andrea Sims"/>
    <x v="3"/>
    <x v="4"/>
    <s v="Corporate"/>
    <x v="0"/>
    <x v="5"/>
    <n v="2"/>
    <n v="617.49"/>
    <n v="0.15"/>
    <x v="92"/>
    <n v="722.36"/>
    <x v="92"/>
    <s v="Mobile Payment"/>
    <n v="2"/>
    <x v="2"/>
    <x v="1"/>
    <n v="2024"/>
    <m/>
  </r>
  <r>
    <x v="93"/>
    <d v="2024-06-02T00:00:00"/>
    <s v="Pamela Benson"/>
    <x v="3"/>
    <x v="1"/>
    <s v="Corporate"/>
    <x v="2"/>
    <x v="9"/>
    <n v="1"/>
    <n v="799.79"/>
    <n v="0.05"/>
    <x v="93"/>
    <n v="546.46"/>
    <x v="93"/>
    <s v="Card"/>
    <n v="5"/>
    <x v="5"/>
    <x v="2"/>
    <n v="2024"/>
    <m/>
  </r>
  <r>
    <x v="94"/>
    <d v="2024-11-20T00:00:00"/>
    <s v="Mario Moore"/>
    <x v="2"/>
    <x v="3"/>
    <s v="Consumer"/>
    <x v="1"/>
    <x v="2"/>
    <n v="3"/>
    <n v="304.24"/>
    <n v="0"/>
    <x v="94"/>
    <n v="759.77"/>
    <x v="94"/>
    <s v="Mobile Payment"/>
    <n v="1"/>
    <x v="11"/>
    <x v="3"/>
    <n v="2024"/>
    <m/>
  </r>
  <r>
    <x v="95"/>
    <d v="2024-07-19T00:00:00"/>
    <s v="Kenneth Lopez"/>
    <x v="3"/>
    <x v="2"/>
    <s v="Consumer"/>
    <x v="0"/>
    <x v="0"/>
    <n v="10"/>
    <n v="911.86"/>
    <n v="0"/>
    <x v="95"/>
    <n v="6627.81"/>
    <x v="95"/>
    <s v="Card"/>
    <n v="3"/>
    <x v="7"/>
    <x v="1"/>
    <n v="2024"/>
    <m/>
  </r>
  <r>
    <x v="96"/>
    <d v="2024-06-18T00:00:00"/>
    <s v="Kim Levine"/>
    <x v="3"/>
    <x v="1"/>
    <s v="Home Office"/>
    <x v="1"/>
    <x v="12"/>
    <n v="8"/>
    <n v="710.07"/>
    <n v="0.1"/>
    <x v="96"/>
    <n v="2918.91"/>
    <x v="96"/>
    <s v="Transfer"/>
    <n v="4"/>
    <x v="5"/>
    <x v="2"/>
    <n v="2024"/>
    <m/>
  </r>
  <r>
    <x v="97"/>
    <d v="2024-02-03T00:00:00"/>
    <s v="Tammy Wallace"/>
    <x v="2"/>
    <x v="4"/>
    <s v="Home Office"/>
    <x v="3"/>
    <x v="8"/>
    <n v="10"/>
    <n v="446.88"/>
    <n v="0.15"/>
    <x v="97"/>
    <n v="2560.08"/>
    <x v="97"/>
    <s v="Mobile Payment"/>
    <n v="1"/>
    <x v="4"/>
    <x v="0"/>
    <n v="2024"/>
    <m/>
  </r>
  <r>
    <x v="98"/>
    <d v="2024-01-13T00:00:00"/>
    <s v="Jamie Herrera"/>
    <x v="2"/>
    <x v="4"/>
    <s v="Consumer"/>
    <x v="3"/>
    <x v="6"/>
    <n v="11"/>
    <n v="596.69000000000005"/>
    <n v="0.05"/>
    <x v="98"/>
    <n v="3574.24"/>
    <x v="98"/>
    <s v="Card"/>
    <n v="3"/>
    <x v="0"/>
    <x v="0"/>
    <n v="2024"/>
    <m/>
  </r>
  <r>
    <x v="99"/>
    <d v="2024-04-07T00:00:00"/>
    <s v="Robyn Gilbert"/>
    <x v="1"/>
    <x v="2"/>
    <s v="Home Office"/>
    <x v="2"/>
    <x v="10"/>
    <n v="3"/>
    <n v="1103.1600000000001"/>
    <n v="0.15"/>
    <x v="99"/>
    <n v="1779.22"/>
    <x v="99"/>
    <s v="Card"/>
    <n v="2"/>
    <x v="10"/>
    <x v="2"/>
    <n v="2024"/>
    <m/>
  </r>
  <r>
    <x v="100"/>
    <d v="2024-07-22T00:00:00"/>
    <s v="Tina Ibarra"/>
    <x v="4"/>
    <x v="2"/>
    <s v="Home Office"/>
    <x v="2"/>
    <x v="9"/>
    <n v="8"/>
    <n v="416.16"/>
    <n v="0.05"/>
    <x v="100"/>
    <n v="2325.37"/>
    <x v="100"/>
    <s v="Transfer"/>
    <n v="4"/>
    <x v="7"/>
    <x v="1"/>
    <n v="2024"/>
    <m/>
  </r>
  <r>
    <x v="101"/>
    <d v="2024-10-25T00:00:00"/>
    <s v="Debbie Walker"/>
    <x v="4"/>
    <x v="2"/>
    <s v="Consumer"/>
    <x v="2"/>
    <x v="4"/>
    <n v="7"/>
    <n v="217.95"/>
    <n v="0.05"/>
    <x v="101"/>
    <n v="906.18"/>
    <x v="101"/>
    <s v="Mobile Payment"/>
    <n v="3"/>
    <x v="8"/>
    <x v="3"/>
    <n v="2024"/>
    <m/>
  </r>
  <r>
    <x v="102"/>
    <d v="2024-12-21T00:00:00"/>
    <s v="Joseph Jordan"/>
    <x v="1"/>
    <x v="1"/>
    <s v="Consumer"/>
    <x v="1"/>
    <x v="3"/>
    <n v="2"/>
    <n v="31.95"/>
    <n v="0"/>
    <x v="102"/>
    <n v="45.93"/>
    <x v="102"/>
    <s v="Card"/>
    <n v="1"/>
    <x v="6"/>
    <x v="3"/>
    <n v="2024"/>
    <m/>
  </r>
  <r>
    <x v="103"/>
    <d v="2024-05-06T00:00:00"/>
    <s v="Steven Villegas"/>
    <x v="0"/>
    <x v="2"/>
    <s v="Consumer"/>
    <x v="2"/>
    <x v="10"/>
    <n v="11"/>
    <n v="236.56"/>
    <n v="0.1"/>
    <x v="103"/>
    <n v="1369.37"/>
    <x v="103"/>
    <s v="Cash"/>
    <n v="5"/>
    <x v="9"/>
    <x v="2"/>
    <n v="2024"/>
    <m/>
  </r>
  <r>
    <x v="104"/>
    <d v="2024-09-11T00:00:00"/>
    <s v="Stephanie Spears"/>
    <x v="0"/>
    <x v="0"/>
    <s v="Home Office"/>
    <x v="2"/>
    <x v="10"/>
    <n v="6"/>
    <n v="667.66"/>
    <n v="0.05"/>
    <x v="104"/>
    <n v="2882.5"/>
    <x v="104"/>
    <s v="Card"/>
    <n v="1"/>
    <x v="2"/>
    <x v="1"/>
    <n v="2024"/>
    <m/>
  </r>
  <r>
    <x v="105"/>
    <d v="2024-12-04T00:00:00"/>
    <s v="Kristen Olsen"/>
    <x v="1"/>
    <x v="4"/>
    <s v="Corporate"/>
    <x v="1"/>
    <x v="12"/>
    <n v="8"/>
    <n v="85.63"/>
    <n v="0.1"/>
    <x v="105"/>
    <n v="491.12"/>
    <x v="105"/>
    <s v="Card"/>
    <n v="5"/>
    <x v="6"/>
    <x v="3"/>
    <n v="2024"/>
    <m/>
  </r>
  <r>
    <x v="106"/>
    <d v="2024-05-16T00:00:00"/>
    <s v="David Norris"/>
    <x v="4"/>
    <x v="3"/>
    <s v="Consumer"/>
    <x v="2"/>
    <x v="9"/>
    <n v="4"/>
    <n v="301.85000000000002"/>
    <n v="0"/>
    <x v="106"/>
    <n v="971.68"/>
    <x v="106"/>
    <s v="Card"/>
    <n v="2"/>
    <x v="9"/>
    <x v="2"/>
    <n v="2024"/>
    <m/>
  </r>
  <r>
    <x v="107"/>
    <d v="2024-06-08T00:00:00"/>
    <s v="Lynn Heath"/>
    <x v="1"/>
    <x v="2"/>
    <s v="Home Office"/>
    <x v="0"/>
    <x v="0"/>
    <n v="6"/>
    <n v="1101.74"/>
    <n v="0"/>
    <x v="107"/>
    <n v="3858.32"/>
    <x v="107"/>
    <s v="Transfer"/>
    <n v="1"/>
    <x v="5"/>
    <x v="2"/>
    <n v="2024"/>
    <m/>
  </r>
  <r>
    <x v="108"/>
    <d v="2024-04-17T00:00:00"/>
    <s v="Melanie Carlson"/>
    <x v="4"/>
    <x v="1"/>
    <s v="Corporate"/>
    <x v="1"/>
    <x v="12"/>
    <n v="6"/>
    <n v="1022.72"/>
    <n v="0.15"/>
    <x v="108"/>
    <n v="4178.28"/>
    <x v="108"/>
    <s v="Cash"/>
    <n v="1"/>
    <x v="10"/>
    <x v="2"/>
    <n v="2024"/>
    <m/>
  </r>
  <r>
    <x v="109"/>
    <d v="2024-12-24T00:00:00"/>
    <s v="Kathleen Mason"/>
    <x v="4"/>
    <x v="2"/>
    <s v="Home Office"/>
    <x v="0"/>
    <x v="5"/>
    <n v="2"/>
    <n v="1081.27"/>
    <n v="0.15"/>
    <x v="109"/>
    <n v="1045.79"/>
    <x v="109"/>
    <s v="Card"/>
    <n v="3"/>
    <x v="6"/>
    <x v="3"/>
    <n v="2024"/>
    <m/>
  </r>
  <r>
    <x v="110"/>
    <d v="2024-10-23T00:00:00"/>
    <s v="Anthony Gray"/>
    <x v="3"/>
    <x v="3"/>
    <s v="Consumer"/>
    <x v="2"/>
    <x v="9"/>
    <n v="12"/>
    <n v="1030.02"/>
    <n v="0.05"/>
    <x v="110"/>
    <n v="8431.7000000000007"/>
    <x v="110"/>
    <s v="Mobile Payment"/>
    <n v="1"/>
    <x v="8"/>
    <x v="3"/>
    <n v="2024"/>
    <m/>
  </r>
  <r>
    <x v="111"/>
    <d v="2024-12-07T00:00:00"/>
    <s v="Jonathan Davis"/>
    <x v="0"/>
    <x v="3"/>
    <s v="Consumer"/>
    <x v="0"/>
    <x v="0"/>
    <n v="9"/>
    <n v="101.9"/>
    <n v="0.15"/>
    <x v="111"/>
    <n v="571.4"/>
    <x v="111"/>
    <s v="Card"/>
    <n v="4"/>
    <x v="6"/>
    <x v="3"/>
    <n v="2024"/>
    <m/>
  </r>
  <r>
    <x v="112"/>
    <d v="2024-10-14T00:00:00"/>
    <s v="Jay Allen"/>
    <x v="3"/>
    <x v="1"/>
    <s v="Home Office"/>
    <x v="2"/>
    <x v="4"/>
    <n v="9"/>
    <n v="1108.27"/>
    <n v="0.1"/>
    <x v="112"/>
    <n v="6163.86"/>
    <x v="112"/>
    <s v="Transfer"/>
    <n v="2"/>
    <x v="8"/>
    <x v="3"/>
    <n v="2024"/>
    <m/>
  </r>
  <r>
    <x v="113"/>
    <d v="2024-05-07T00:00:00"/>
    <s v="Alyssa Bush"/>
    <x v="0"/>
    <x v="1"/>
    <s v="Consumer"/>
    <x v="2"/>
    <x v="9"/>
    <n v="11"/>
    <n v="551.15"/>
    <n v="0"/>
    <x v="113"/>
    <n v="3229.86"/>
    <x v="113"/>
    <s v="Mobile Payment"/>
    <n v="3"/>
    <x v="9"/>
    <x v="2"/>
    <n v="2024"/>
    <m/>
  </r>
  <r>
    <x v="114"/>
    <d v="2024-10-08T00:00:00"/>
    <s v="Yolanda Fernandez"/>
    <x v="4"/>
    <x v="0"/>
    <s v="Home Office"/>
    <x v="3"/>
    <x v="8"/>
    <n v="9"/>
    <n v="849.04"/>
    <n v="0.1"/>
    <x v="114"/>
    <n v="5048.58"/>
    <x v="114"/>
    <s v="Cash"/>
    <n v="5"/>
    <x v="8"/>
    <x v="3"/>
    <n v="2024"/>
    <m/>
  </r>
  <r>
    <x v="115"/>
    <d v="2024-03-12T00:00:00"/>
    <s v="Cynthia Cochran"/>
    <x v="0"/>
    <x v="2"/>
    <s v="Corporate"/>
    <x v="0"/>
    <x v="11"/>
    <n v="11"/>
    <n v="161.6"/>
    <n v="0.15"/>
    <x v="115"/>
    <n v="1224.06"/>
    <x v="115"/>
    <s v="Card"/>
    <n v="2"/>
    <x v="1"/>
    <x v="0"/>
    <n v="2024"/>
    <m/>
  </r>
  <r>
    <x v="116"/>
    <d v="2024-06-10T00:00:00"/>
    <s v="Ashley Munoz"/>
    <x v="0"/>
    <x v="3"/>
    <s v="Consumer"/>
    <x v="0"/>
    <x v="5"/>
    <n v="10"/>
    <n v="1155.72"/>
    <n v="0.1"/>
    <x v="116"/>
    <n v="6430.75"/>
    <x v="116"/>
    <s v="Card"/>
    <n v="5"/>
    <x v="5"/>
    <x v="2"/>
    <n v="2024"/>
    <m/>
  </r>
  <r>
    <x v="117"/>
    <d v="2024-04-24T00:00:00"/>
    <s v="Edward White"/>
    <x v="3"/>
    <x v="1"/>
    <s v="Home Office"/>
    <x v="0"/>
    <x v="11"/>
    <n v="6"/>
    <n v="516.13"/>
    <n v="0"/>
    <x v="117"/>
    <n v="1832.29"/>
    <x v="117"/>
    <s v="Card"/>
    <n v="4"/>
    <x v="10"/>
    <x v="2"/>
    <n v="2024"/>
    <m/>
  </r>
  <r>
    <x v="118"/>
    <d v="2024-12-16T00:00:00"/>
    <s v="Marc Ali"/>
    <x v="3"/>
    <x v="4"/>
    <s v="Corporate"/>
    <x v="0"/>
    <x v="1"/>
    <n v="4"/>
    <n v="1048.02"/>
    <n v="0.05"/>
    <x v="118"/>
    <n v="2705.23"/>
    <x v="118"/>
    <s v="Card"/>
    <n v="3"/>
    <x v="6"/>
    <x v="3"/>
    <n v="2024"/>
    <m/>
  </r>
  <r>
    <x v="119"/>
    <d v="2024-08-17T00:00:00"/>
    <s v="Richard Rodriguez"/>
    <x v="2"/>
    <x v="2"/>
    <s v="Corporate"/>
    <x v="0"/>
    <x v="11"/>
    <n v="6"/>
    <n v="988.31"/>
    <n v="0.15"/>
    <x v="119"/>
    <n v="4197.9399999999996"/>
    <x v="119"/>
    <s v="Cash"/>
    <n v="2"/>
    <x v="3"/>
    <x v="1"/>
    <n v="2024"/>
    <m/>
  </r>
  <r>
    <x v="120"/>
    <d v="2024-01-29T00:00:00"/>
    <s v="Tony Vasquez"/>
    <x v="2"/>
    <x v="1"/>
    <s v="Consumer"/>
    <x v="1"/>
    <x v="2"/>
    <n v="3"/>
    <n v="978.46"/>
    <n v="0.1"/>
    <x v="120"/>
    <n v="1597.77"/>
    <x v="120"/>
    <s v="Cash"/>
    <n v="1"/>
    <x v="0"/>
    <x v="0"/>
    <n v="2024"/>
    <m/>
  </r>
  <r>
    <x v="121"/>
    <d v="2024-12-07T00:00:00"/>
    <s v="Dennis Watts"/>
    <x v="4"/>
    <x v="2"/>
    <s v="Consumer"/>
    <x v="3"/>
    <x v="6"/>
    <n v="3"/>
    <n v="1051.57"/>
    <n v="0.15"/>
    <x v="121"/>
    <n v="2178.94"/>
    <x v="121"/>
    <s v="Mobile Payment"/>
    <n v="2"/>
    <x v="6"/>
    <x v="3"/>
    <n v="2024"/>
    <m/>
  </r>
  <r>
    <x v="122"/>
    <d v="2024-02-16T00:00:00"/>
    <s v="Chase Contreras"/>
    <x v="2"/>
    <x v="1"/>
    <s v="Corporate"/>
    <x v="0"/>
    <x v="1"/>
    <n v="2"/>
    <n v="182.86"/>
    <n v="0"/>
    <x v="122"/>
    <n v="190.44"/>
    <x v="122"/>
    <s v="Transfer"/>
    <n v="2"/>
    <x v="4"/>
    <x v="0"/>
    <n v="2024"/>
    <m/>
  </r>
  <r>
    <x v="123"/>
    <d v="2024-11-21T00:00:00"/>
    <s v="Jeffrey Nunez"/>
    <x v="0"/>
    <x v="0"/>
    <s v="Home Office"/>
    <x v="1"/>
    <x v="2"/>
    <n v="2"/>
    <n v="39.479999999999997"/>
    <n v="0.1"/>
    <x v="123"/>
    <n v="40.82"/>
    <x v="123"/>
    <s v="Transfer"/>
    <n v="5"/>
    <x v="11"/>
    <x v="3"/>
    <n v="2024"/>
    <m/>
  </r>
  <r>
    <x v="124"/>
    <d v="2024-09-12T00:00:00"/>
    <s v="Luis Martinez"/>
    <x v="1"/>
    <x v="1"/>
    <s v="Consumer"/>
    <x v="0"/>
    <x v="1"/>
    <n v="3"/>
    <n v="248.07"/>
    <n v="0.1"/>
    <x v="124"/>
    <n v="519.16"/>
    <x v="124"/>
    <s v="Transfer"/>
    <n v="5"/>
    <x v="2"/>
    <x v="1"/>
    <n v="2024"/>
    <m/>
  </r>
  <r>
    <x v="125"/>
    <d v="2024-04-25T00:00:00"/>
    <s v="Jeffrey Watson"/>
    <x v="4"/>
    <x v="1"/>
    <s v="Home Office"/>
    <x v="1"/>
    <x v="3"/>
    <n v="8"/>
    <n v="866.11"/>
    <n v="0.05"/>
    <x v="125"/>
    <n v="5140.09"/>
    <x v="125"/>
    <s v="Transfer"/>
    <n v="1"/>
    <x v="10"/>
    <x v="2"/>
    <n v="2024"/>
    <m/>
  </r>
  <r>
    <x v="126"/>
    <d v="2024-12-04T00:00:00"/>
    <s v="Adam Warren"/>
    <x v="0"/>
    <x v="2"/>
    <s v="Home Office"/>
    <x v="2"/>
    <x v="10"/>
    <n v="11"/>
    <n v="869.33"/>
    <n v="0.05"/>
    <x v="126"/>
    <n v="5487.37"/>
    <x v="126"/>
    <s v="Mobile Payment"/>
    <n v="4"/>
    <x v="6"/>
    <x v="3"/>
    <n v="2024"/>
    <m/>
  </r>
  <r>
    <x v="127"/>
    <d v="2024-11-30T00:00:00"/>
    <s v="Elizabeth Kennedy"/>
    <x v="2"/>
    <x v="4"/>
    <s v="Consumer"/>
    <x v="2"/>
    <x v="9"/>
    <n v="7"/>
    <n v="153.30000000000001"/>
    <n v="0.15"/>
    <x v="127"/>
    <n v="566.48"/>
    <x v="127"/>
    <s v="Card"/>
    <n v="5"/>
    <x v="11"/>
    <x v="3"/>
    <n v="2024"/>
    <m/>
  </r>
  <r>
    <x v="128"/>
    <d v="2024-01-03T00:00:00"/>
    <s v="Heather Williams"/>
    <x v="3"/>
    <x v="0"/>
    <s v="Corporate"/>
    <x v="2"/>
    <x v="9"/>
    <n v="5"/>
    <n v="500.74"/>
    <n v="0.05"/>
    <x v="128"/>
    <n v="1675.88"/>
    <x v="128"/>
    <s v="Mobile Payment"/>
    <n v="1"/>
    <x v="0"/>
    <x v="0"/>
    <n v="2024"/>
    <m/>
  </r>
  <r>
    <x v="129"/>
    <d v="2024-08-27T00:00:00"/>
    <s v="Renee Flynn"/>
    <x v="0"/>
    <x v="1"/>
    <s v="Consumer"/>
    <x v="0"/>
    <x v="0"/>
    <n v="11"/>
    <n v="476.45"/>
    <n v="0.1"/>
    <x v="129"/>
    <n v="3296.85"/>
    <x v="129"/>
    <s v="Card"/>
    <n v="1"/>
    <x v="3"/>
    <x v="1"/>
    <n v="2024"/>
    <m/>
  </r>
  <r>
    <x v="130"/>
    <d v="2024-01-03T00:00:00"/>
    <s v="Sierra Santiago"/>
    <x v="0"/>
    <x v="4"/>
    <s v="Home Office"/>
    <x v="1"/>
    <x v="3"/>
    <n v="2"/>
    <n v="442.01"/>
    <n v="0"/>
    <x v="130"/>
    <n v="659.45"/>
    <x v="130"/>
    <s v="Cash"/>
    <n v="2"/>
    <x v="0"/>
    <x v="0"/>
    <n v="2024"/>
    <m/>
  </r>
  <r>
    <x v="131"/>
    <d v="2024-06-06T00:00:00"/>
    <s v="John Smith"/>
    <x v="4"/>
    <x v="4"/>
    <s v="Home Office"/>
    <x v="3"/>
    <x v="8"/>
    <n v="6"/>
    <n v="711.1"/>
    <n v="0.1"/>
    <x v="131"/>
    <n v="2687.45"/>
    <x v="131"/>
    <s v="Mobile Payment"/>
    <n v="5"/>
    <x v="5"/>
    <x v="2"/>
    <n v="2024"/>
    <m/>
  </r>
  <r>
    <x v="132"/>
    <d v="2024-10-03T00:00:00"/>
    <s v="Randy Young"/>
    <x v="1"/>
    <x v="3"/>
    <s v="Home Office"/>
    <x v="0"/>
    <x v="0"/>
    <n v="5"/>
    <n v="348.14"/>
    <n v="0"/>
    <x v="132"/>
    <n v="1268.55"/>
    <x v="132"/>
    <s v="Cash"/>
    <n v="3"/>
    <x v="8"/>
    <x v="3"/>
    <n v="2024"/>
    <m/>
  </r>
  <r>
    <x v="133"/>
    <d v="2024-03-06T00:00:00"/>
    <s v="Brenda Bruce"/>
    <x v="3"/>
    <x v="3"/>
    <s v="Corporate"/>
    <x v="0"/>
    <x v="1"/>
    <n v="1"/>
    <n v="643.79"/>
    <n v="0.15"/>
    <x v="133"/>
    <n v="372.9"/>
    <x v="133"/>
    <s v="Mobile Payment"/>
    <n v="3"/>
    <x v="1"/>
    <x v="0"/>
    <n v="2024"/>
    <m/>
  </r>
  <r>
    <x v="134"/>
    <d v="2024-08-22T00:00:00"/>
    <s v="Seth Williams"/>
    <x v="0"/>
    <x v="4"/>
    <s v="Consumer"/>
    <x v="2"/>
    <x v="4"/>
    <n v="4"/>
    <n v="1074.33"/>
    <n v="0.05"/>
    <x v="134"/>
    <n v="3376.47"/>
    <x v="134"/>
    <s v="Card"/>
    <n v="3"/>
    <x v="3"/>
    <x v="1"/>
    <n v="2024"/>
    <m/>
  </r>
  <r>
    <x v="135"/>
    <d v="2024-01-17T00:00:00"/>
    <s v="Peggy Foster"/>
    <x v="2"/>
    <x v="1"/>
    <s v="Consumer"/>
    <x v="1"/>
    <x v="3"/>
    <n v="8"/>
    <n v="72.31"/>
    <n v="0.1"/>
    <x v="135"/>
    <n v="312.19"/>
    <x v="135"/>
    <s v="Transfer"/>
    <n v="3"/>
    <x v="0"/>
    <x v="0"/>
    <n v="2024"/>
    <m/>
  </r>
  <r>
    <x v="136"/>
    <d v="2024-12-10T00:00:00"/>
    <s v="Roger Morales"/>
    <x v="4"/>
    <x v="4"/>
    <s v="Corporate"/>
    <x v="3"/>
    <x v="6"/>
    <n v="9"/>
    <n v="1180.46"/>
    <n v="0"/>
    <x v="136"/>
    <n v="5742.88"/>
    <x v="136"/>
    <s v="Transfer"/>
    <n v="2"/>
    <x v="6"/>
    <x v="3"/>
    <n v="2024"/>
    <m/>
  </r>
  <r>
    <x v="137"/>
    <d v="2024-10-03T00:00:00"/>
    <s v="Brittany Tucker"/>
    <x v="4"/>
    <x v="0"/>
    <s v="Consumer"/>
    <x v="3"/>
    <x v="8"/>
    <n v="12"/>
    <n v="797.5"/>
    <n v="0.15"/>
    <x v="137"/>
    <n v="4880.34"/>
    <x v="137"/>
    <s v="Transfer"/>
    <n v="4"/>
    <x v="8"/>
    <x v="3"/>
    <n v="2024"/>
    <m/>
  </r>
  <r>
    <x v="138"/>
    <d v="2024-01-29T00:00:00"/>
    <s v="Ricky Reynolds"/>
    <x v="4"/>
    <x v="0"/>
    <s v="Home Office"/>
    <x v="3"/>
    <x v="8"/>
    <n v="7"/>
    <n v="841.3"/>
    <n v="0.15"/>
    <x v="138"/>
    <n v="3358.95"/>
    <x v="138"/>
    <s v="Cash"/>
    <n v="4"/>
    <x v="0"/>
    <x v="0"/>
    <n v="2024"/>
    <m/>
  </r>
  <r>
    <x v="139"/>
    <d v="2024-05-26T00:00:00"/>
    <s v="Frank Martinez"/>
    <x v="1"/>
    <x v="2"/>
    <s v="Consumer"/>
    <x v="2"/>
    <x v="4"/>
    <n v="5"/>
    <n v="1149.07"/>
    <n v="0.15"/>
    <x v="139"/>
    <n v="2559.12"/>
    <x v="139"/>
    <s v="Mobile Payment"/>
    <n v="3"/>
    <x v="9"/>
    <x v="2"/>
    <n v="2024"/>
    <m/>
  </r>
  <r>
    <x v="140"/>
    <d v="2024-12-06T00:00:00"/>
    <s v="Anna Mccann"/>
    <x v="2"/>
    <x v="3"/>
    <s v="Consumer"/>
    <x v="2"/>
    <x v="4"/>
    <n v="11"/>
    <n v="439.88"/>
    <n v="0"/>
    <x v="140"/>
    <n v="3487.51"/>
    <x v="140"/>
    <s v="Mobile Payment"/>
    <n v="1"/>
    <x v="6"/>
    <x v="3"/>
    <n v="2024"/>
    <m/>
  </r>
  <r>
    <x v="141"/>
    <d v="2024-05-02T00:00:00"/>
    <s v="Christopher Gutierrez"/>
    <x v="1"/>
    <x v="4"/>
    <s v="Home Office"/>
    <x v="1"/>
    <x v="12"/>
    <n v="12"/>
    <n v="533.51"/>
    <n v="0.05"/>
    <x v="141"/>
    <n v="4137.59"/>
    <x v="141"/>
    <s v="Card"/>
    <n v="2"/>
    <x v="9"/>
    <x v="2"/>
    <n v="2024"/>
    <m/>
  </r>
  <r>
    <x v="142"/>
    <d v="2024-01-19T00:00:00"/>
    <s v="Jennifer Rodgers MD"/>
    <x v="4"/>
    <x v="4"/>
    <s v="Corporate"/>
    <x v="0"/>
    <x v="5"/>
    <n v="9"/>
    <n v="1186.7"/>
    <n v="0"/>
    <x v="142"/>
    <n v="6258.4"/>
    <x v="142"/>
    <s v="Mobile Payment"/>
    <n v="3"/>
    <x v="0"/>
    <x v="0"/>
    <n v="2024"/>
    <m/>
  </r>
  <r>
    <x v="143"/>
    <d v="2024-03-04T00:00:00"/>
    <s v="Ethan Mclean"/>
    <x v="3"/>
    <x v="0"/>
    <s v="Consumer"/>
    <x v="2"/>
    <x v="10"/>
    <n v="1"/>
    <n v="176.14"/>
    <n v="0.05"/>
    <x v="143"/>
    <n v="133.97999999999999"/>
    <x v="143"/>
    <s v="Cash"/>
    <n v="1"/>
    <x v="1"/>
    <x v="0"/>
    <n v="2024"/>
    <m/>
  </r>
  <r>
    <x v="144"/>
    <d v="2024-07-28T00:00:00"/>
    <s v="Alexander Gray"/>
    <x v="0"/>
    <x v="2"/>
    <s v="Consumer"/>
    <x v="0"/>
    <x v="0"/>
    <n v="3"/>
    <n v="816.6"/>
    <n v="0.15"/>
    <x v="144"/>
    <n v="1638.63"/>
    <x v="144"/>
    <s v="Card"/>
    <n v="1"/>
    <x v="7"/>
    <x v="1"/>
    <n v="2024"/>
    <m/>
  </r>
  <r>
    <x v="145"/>
    <d v="2024-02-12T00:00:00"/>
    <s v="Dr. Julia Wilson"/>
    <x v="3"/>
    <x v="0"/>
    <s v="Consumer"/>
    <x v="2"/>
    <x v="9"/>
    <n v="7"/>
    <n v="925.37"/>
    <n v="0.05"/>
    <x v="145"/>
    <n v="3527.58"/>
    <x v="145"/>
    <s v="Mobile Payment"/>
    <n v="4"/>
    <x v="4"/>
    <x v="0"/>
    <n v="2024"/>
    <m/>
  </r>
  <r>
    <x v="146"/>
    <d v="2024-04-30T00:00:00"/>
    <s v="Logan Goodwin"/>
    <x v="1"/>
    <x v="0"/>
    <s v="Corporate"/>
    <x v="1"/>
    <x v="2"/>
    <n v="5"/>
    <n v="1180.1199999999999"/>
    <n v="0.05"/>
    <x v="146"/>
    <n v="3628.41"/>
    <x v="146"/>
    <s v="Transfer"/>
    <n v="5"/>
    <x v="10"/>
    <x v="2"/>
    <n v="2024"/>
    <m/>
  </r>
  <r>
    <x v="147"/>
    <d v="2024-02-01T00:00:00"/>
    <s v="William Wilkerson"/>
    <x v="0"/>
    <x v="2"/>
    <s v="Corporate"/>
    <x v="2"/>
    <x v="10"/>
    <n v="6"/>
    <n v="429.16"/>
    <n v="0.1"/>
    <x v="147"/>
    <n v="1241.83"/>
    <x v="147"/>
    <s v="Transfer"/>
    <n v="5"/>
    <x v="4"/>
    <x v="0"/>
    <n v="2024"/>
    <m/>
  </r>
  <r>
    <x v="148"/>
    <d v="2024-01-16T00:00:00"/>
    <s v="Robert Jacobs"/>
    <x v="2"/>
    <x v="1"/>
    <s v="Corporate"/>
    <x v="3"/>
    <x v="6"/>
    <n v="12"/>
    <n v="593.41999999999996"/>
    <n v="0"/>
    <x v="148"/>
    <n v="4942.33"/>
    <x v="148"/>
    <s v="Mobile Payment"/>
    <n v="4"/>
    <x v="0"/>
    <x v="0"/>
    <n v="2024"/>
    <m/>
  </r>
  <r>
    <x v="149"/>
    <d v="2024-10-22T00:00:00"/>
    <s v="Andrea Williams"/>
    <x v="0"/>
    <x v="3"/>
    <s v="Home Office"/>
    <x v="3"/>
    <x v="6"/>
    <n v="6"/>
    <n v="1098.8499999999999"/>
    <n v="0.15"/>
    <x v="149"/>
    <n v="4547.3999999999996"/>
    <x v="149"/>
    <s v="Mobile Payment"/>
    <n v="1"/>
    <x v="8"/>
    <x v="3"/>
    <n v="2024"/>
    <m/>
  </r>
  <r>
    <x v="150"/>
    <d v="2024-12-28T00:00:00"/>
    <s v="Tyler Woodward"/>
    <x v="4"/>
    <x v="3"/>
    <s v="Home Office"/>
    <x v="3"/>
    <x v="6"/>
    <n v="4"/>
    <n v="250.99"/>
    <n v="0"/>
    <x v="150"/>
    <n v="827.42"/>
    <x v="150"/>
    <s v="Mobile Payment"/>
    <n v="1"/>
    <x v="6"/>
    <x v="3"/>
    <n v="2024"/>
    <m/>
  </r>
  <r>
    <x v="151"/>
    <d v="2024-01-24T00:00:00"/>
    <s v="Michael Torres"/>
    <x v="3"/>
    <x v="2"/>
    <s v="Corporate"/>
    <x v="1"/>
    <x v="12"/>
    <n v="8"/>
    <n v="1112.3699999999999"/>
    <n v="0"/>
    <x v="151"/>
    <n v="4458.62"/>
    <x v="151"/>
    <s v="Card"/>
    <n v="3"/>
    <x v="0"/>
    <x v="0"/>
    <n v="2024"/>
    <m/>
  </r>
  <r>
    <x v="152"/>
    <d v="2024-03-18T00:00:00"/>
    <s v="Paige Rivera"/>
    <x v="4"/>
    <x v="2"/>
    <s v="Corporate"/>
    <x v="2"/>
    <x v="10"/>
    <n v="11"/>
    <n v="1113.8699999999999"/>
    <n v="0"/>
    <x v="152"/>
    <n v="9331.39"/>
    <x v="152"/>
    <s v="Transfer"/>
    <n v="5"/>
    <x v="1"/>
    <x v="0"/>
    <n v="2024"/>
    <m/>
  </r>
  <r>
    <x v="153"/>
    <d v="2024-04-18T00:00:00"/>
    <s v="Jordan Johnson"/>
    <x v="4"/>
    <x v="2"/>
    <s v="Corporate"/>
    <x v="2"/>
    <x v="4"/>
    <n v="10"/>
    <n v="460.92"/>
    <n v="0.15"/>
    <x v="153"/>
    <n v="2382.69"/>
    <x v="153"/>
    <s v="Transfer"/>
    <n v="2"/>
    <x v="10"/>
    <x v="2"/>
    <n v="2024"/>
    <m/>
  </r>
  <r>
    <x v="154"/>
    <d v="2024-04-24T00:00:00"/>
    <s v="Dr. Rebekah Medina DVM"/>
    <x v="4"/>
    <x v="1"/>
    <s v="Consumer"/>
    <x v="1"/>
    <x v="2"/>
    <n v="10"/>
    <n v="993.99"/>
    <n v="0"/>
    <x v="154"/>
    <n v="5305.88"/>
    <x v="154"/>
    <s v="Card"/>
    <n v="2"/>
    <x v="10"/>
    <x v="2"/>
    <n v="2024"/>
    <m/>
  </r>
  <r>
    <x v="155"/>
    <d v="2024-05-28T00:00:00"/>
    <s v="Dennis Simmons"/>
    <x v="1"/>
    <x v="2"/>
    <s v="Home Office"/>
    <x v="1"/>
    <x v="3"/>
    <n v="11"/>
    <n v="746.02"/>
    <n v="0.1"/>
    <x v="155"/>
    <n v="4798.93"/>
    <x v="155"/>
    <s v="Card"/>
    <n v="2"/>
    <x v="9"/>
    <x v="2"/>
    <n v="2024"/>
    <m/>
  </r>
  <r>
    <x v="156"/>
    <d v="2024-06-22T00:00:00"/>
    <s v="Adam Yang"/>
    <x v="0"/>
    <x v="0"/>
    <s v="Corporate"/>
    <x v="3"/>
    <x v="8"/>
    <n v="9"/>
    <n v="333.49"/>
    <n v="0.1"/>
    <x v="156"/>
    <n v="1687.31"/>
    <x v="156"/>
    <s v="Transfer"/>
    <n v="5"/>
    <x v="5"/>
    <x v="2"/>
    <n v="2024"/>
    <m/>
  </r>
  <r>
    <x v="157"/>
    <d v="2024-05-09T00:00:00"/>
    <s v="Jacqueline Hodges"/>
    <x v="0"/>
    <x v="4"/>
    <s v="Corporate"/>
    <x v="0"/>
    <x v="5"/>
    <n v="7"/>
    <n v="362.76"/>
    <n v="0.05"/>
    <x v="157"/>
    <n v="1770.79"/>
    <x v="157"/>
    <s v="Transfer"/>
    <n v="4"/>
    <x v="9"/>
    <x v="2"/>
    <n v="2024"/>
    <m/>
  </r>
  <r>
    <x v="158"/>
    <d v="2024-07-30T00:00:00"/>
    <s v="Jacqueline Spencer"/>
    <x v="0"/>
    <x v="0"/>
    <s v="Corporate"/>
    <x v="2"/>
    <x v="9"/>
    <n v="3"/>
    <n v="744.33"/>
    <n v="0.1"/>
    <x v="158"/>
    <n v="1138.49"/>
    <x v="158"/>
    <s v="Transfer"/>
    <n v="3"/>
    <x v="7"/>
    <x v="1"/>
    <n v="2024"/>
    <m/>
  </r>
  <r>
    <x v="159"/>
    <d v="2024-03-30T00:00:00"/>
    <s v="Kenneth Brown"/>
    <x v="0"/>
    <x v="2"/>
    <s v="Consumer"/>
    <x v="3"/>
    <x v="8"/>
    <n v="9"/>
    <n v="297.56"/>
    <n v="0.1"/>
    <x v="159"/>
    <n v="1775.36"/>
    <x v="159"/>
    <s v="Cash"/>
    <n v="1"/>
    <x v="1"/>
    <x v="0"/>
    <n v="2024"/>
    <m/>
  </r>
  <r>
    <x v="160"/>
    <d v="2024-04-28T00:00:00"/>
    <s v="William Martinez"/>
    <x v="4"/>
    <x v="0"/>
    <s v="Consumer"/>
    <x v="2"/>
    <x v="9"/>
    <n v="4"/>
    <n v="861.71"/>
    <n v="0.05"/>
    <x v="160"/>
    <n v="1746.07"/>
    <x v="160"/>
    <s v="Cash"/>
    <n v="5"/>
    <x v="10"/>
    <x v="2"/>
    <n v="2024"/>
    <m/>
  </r>
  <r>
    <x v="161"/>
    <d v="2024-09-11T00:00:00"/>
    <s v="Kelly Rivas"/>
    <x v="2"/>
    <x v="2"/>
    <s v="Consumer"/>
    <x v="2"/>
    <x v="9"/>
    <n v="11"/>
    <n v="142.61000000000001"/>
    <n v="0.05"/>
    <x v="161"/>
    <n v="1064.6300000000001"/>
    <x v="161"/>
    <s v="Mobile Payment"/>
    <n v="3"/>
    <x v="2"/>
    <x v="1"/>
    <n v="2024"/>
    <m/>
  </r>
  <r>
    <x v="162"/>
    <d v="2024-07-06T00:00:00"/>
    <s v="Sarah Richards"/>
    <x v="3"/>
    <x v="0"/>
    <s v="Consumer"/>
    <x v="2"/>
    <x v="4"/>
    <n v="12"/>
    <n v="121.32"/>
    <n v="0.15"/>
    <x v="162"/>
    <n v="977.78"/>
    <x v="162"/>
    <s v="Cash"/>
    <n v="1"/>
    <x v="7"/>
    <x v="1"/>
    <n v="2024"/>
    <m/>
  </r>
  <r>
    <x v="163"/>
    <d v="2024-09-01T00:00:00"/>
    <s v="Annette Young"/>
    <x v="4"/>
    <x v="0"/>
    <s v="Corporate"/>
    <x v="3"/>
    <x v="8"/>
    <n v="9"/>
    <n v="1104.55"/>
    <n v="0.15"/>
    <x v="163"/>
    <n v="5014.49"/>
    <x v="163"/>
    <s v="Mobile Payment"/>
    <n v="1"/>
    <x v="2"/>
    <x v="1"/>
    <n v="2024"/>
    <m/>
  </r>
  <r>
    <x v="164"/>
    <d v="2024-01-16T00:00:00"/>
    <s v="Douglas Bates"/>
    <x v="0"/>
    <x v="2"/>
    <s v="Consumer"/>
    <x v="3"/>
    <x v="6"/>
    <n v="4"/>
    <n v="547.54"/>
    <n v="0.1"/>
    <x v="164"/>
    <n v="1567.82"/>
    <x v="164"/>
    <s v="Mobile Payment"/>
    <n v="1"/>
    <x v="0"/>
    <x v="0"/>
    <n v="2024"/>
    <m/>
  </r>
  <r>
    <x v="165"/>
    <d v="2024-07-20T00:00:00"/>
    <s v="John Riley"/>
    <x v="4"/>
    <x v="3"/>
    <s v="Home Office"/>
    <x v="1"/>
    <x v="3"/>
    <n v="11"/>
    <n v="552.65"/>
    <n v="0.05"/>
    <x v="165"/>
    <n v="3738.02"/>
    <x v="165"/>
    <s v="Mobile Payment"/>
    <n v="5"/>
    <x v="7"/>
    <x v="1"/>
    <n v="2024"/>
    <m/>
  </r>
  <r>
    <x v="166"/>
    <d v="2024-06-14T00:00:00"/>
    <s v="Jennifer Brown"/>
    <x v="4"/>
    <x v="3"/>
    <s v="Home Office"/>
    <x v="3"/>
    <x v="6"/>
    <n v="6"/>
    <n v="861.6"/>
    <n v="0.1"/>
    <x v="166"/>
    <n v="3766.38"/>
    <x v="166"/>
    <s v="Transfer"/>
    <n v="4"/>
    <x v="5"/>
    <x v="2"/>
    <n v="2024"/>
    <m/>
  </r>
  <r>
    <x v="167"/>
    <d v="2024-04-04T00:00:00"/>
    <s v="Tammy Oneal"/>
    <x v="3"/>
    <x v="2"/>
    <s v="Home Office"/>
    <x v="2"/>
    <x v="4"/>
    <n v="3"/>
    <n v="717.64"/>
    <n v="0"/>
    <x v="167"/>
    <n v="1630.86"/>
    <x v="167"/>
    <s v="Mobile Payment"/>
    <n v="3"/>
    <x v="10"/>
    <x v="2"/>
    <n v="2024"/>
    <m/>
  </r>
  <r>
    <x v="168"/>
    <d v="2024-03-22T00:00:00"/>
    <s v="Rebecca Lopez"/>
    <x v="4"/>
    <x v="3"/>
    <s v="Corporate"/>
    <x v="0"/>
    <x v="0"/>
    <n v="6"/>
    <n v="930.47"/>
    <n v="0"/>
    <x v="168"/>
    <n v="3303.17"/>
    <x v="168"/>
    <s v="Cash"/>
    <n v="4"/>
    <x v="1"/>
    <x v="0"/>
    <n v="2024"/>
    <m/>
  </r>
  <r>
    <x v="169"/>
    <d v="2024-07-28T00:00:00"/>
    <s v="Kent Hernandez"/>
    <x v="1"/>
    <x v="2"/>
    <s v="Home Office"/>
    <x v="3"/>
    <x v="7"/>
    <n v="9"/>
    <n v="914.07"/>
    <n v="0.1"/>
    <x v="169"/>
    <n v="4077.18"/>
    <x v="169"/>
    <s v="Mobile Payment"/>
    <n v="1"/>
    <x v="7"/>
    <x v="1"/>
    <n v="2024"/>
    <m/>
  </r>
  <r>
    <x v="170"/>
    <d v="2024-08-31T00:00:00"/>
    <s v="Jessica Gallagher"/>
    <x v="1"/>
    <x v="3"/>
    <s v="Consumer"/>
    <x v="3"/>
    <x v="7"/>
    <n v="11"/>
    <n v="169.99"/>
    <n v="0.05"/>
    <x v="170"/>
    <n v="1508.08"/>
    <x v="170"/>
    <s v="Cash"/>
    <n v="4"/>
    <x v="3"/>
    <x v="1"/>
    <n v="2024"/>
    <m/>
  </r>
  <r>
    <x v="171"/>
    <d v="2024-11-26T00:00:00"/>
    <s v="Joseph Garrett"/>
    <x v="3"/>
    <x v="4"/>
    <s v="Corporate"/>
    <x v="3"/>
    <x v="6"/>
    <n v="11"/>
    <n v="141.86000000000001"/>
    <n v="0.15"/>
    <x v="171"/>
    <n v="940.73"/>
    <x v="171"/>
    <s v="Cash"/>
    <n v="3"/>
    <x v="11"/>
    <x v="3"/>
    <n v="2024"/>
    <m/>
  </r>
  <r>
    <x v="172"/>
    <d v="2024-09-14T00:00:00"/>
    <s v="Peter Cole"/>
    <x v="3"/>
    <x v="3"/>
    <s v="Home Office"/>
    <x v="1"/>
    <x v="2"/>
    <n v="12"/>
    <n v="282.55"/>
    <n v="0.05"/>
    <x v="172"/>
    <n v="1725"/>
    <x v="172"/>
    <s v="Transfer"/>
    <n v="2"/>
    <x v="2"/>
    <x v="1"/>
    <n v="2024"/>
    <m/>
  </r>
  <r>
    <x v="173"/>
    <d v="2024-03-14T00:00:00"/>
    <s v="David Perkins"/>
    <x v="1"/>
    <x v="0"/>
    <s v="Corporate"/>
    <x v="3"/>
    <x v="7"/>
    <n v="3"/>
    <n v="584.77"/>
    <n v="0"/>
    <x v="173"/>
    <n v="1455.34"/>
    <x v="173"/>
    <s v="Cash"/>
    <n v="4"/>
    <x v="1"/>
    <x v="0"/>
    <n v="2024"/>
    <m/>
  </r>
  <r>
    <x v="174"/>
    <d v="2024-10-17T00:00:00"/>
    <s v="Michele Pitts"/>
    <x v="3"/>
    <x v="3"/>
    <s v="Corporate"/>
    <x v="0"/>
    <x v="1"/>
    <n v="8"/>
    <n v="456.58"/>
    <n v="0"/>
    <x v="174"/>
    <n v="2069.62"/>
    <x v="174"/>
    <s v="Cash"/>
    <n v="5"/>
    <x v="8"/>
    <x v="3"/>
    <n v="2024"/>
    <m/>
  </r>
  <r>
    <x v="175"/>
    <d v="2024-08-06T00:00:00"/>
    <s v="Gabriel Morrison"/>
    <x v="3"/>
    <x v="1"/>
    <s v="Corporate"/>
    <x v="2"/>
    <x v="10"/>
    <n v="8"/>
    <n v="588.41"/>
    <n v="0.15"/>
    <x v="175"/>
    <n v="3379.78"/>
    <x v="175"/>
    <s v="Cash"/>
    <n v="4"/>
    <x v="3"/>
    <x v="1"/>
    <n v="2024"/>
    <m/>
  </r>
  <r>
    <x v="176"/>
    <d v="2024-08-27T00:00:00"/>
    <s v="Jenny Perez"/>
    <x v="4"/>
    <x v="1"/>
    <s v="Corporate"/>
    <x v="1"/>
    <x v="2"/>
    <n v="4"/>
    <n v="159.41"/>
    <n v="0.15"/>
    <x v="176"/>
    <n v="392.7"/>
    <x v="176"/>
    <s v="Cash"/>
    <n v="4"/>
    <x v="3"/>
    <x v="1"/>
    <n v="2024"/>
    <m/>
  </r>
  <r>
    <x v="177"/>
    <d v="2024-10-30T00:00:00"/>
    <s v="Jacob Black"/>
    <x v="3"/>
    <x v="2"/>
    <s v="Consumer"/>
    <x v="3"/>
    <x v="6"/>
    <n v="10"/>
    <n v="140.77000000000001"/>
    <n v="0.15"/>
    <x v="177"/>
    <n v="627.82000000000005"/>
    <x v="177"/>
    <s v="Cash"/>
    <n v="1"/>
    <x v="8"/>
    <x v="3"/>
    <n v="2024"/>
    <m/>
  </r>
  <r>
    <x v="178"/>
    <d v="2024-09-15T00:00:00"/>
    <s v="Sandy Gilbert"/>
    <x v="1"/>
    <x v="4"/>
    <s v="Home Office"/>
    <x v="3"/>
    <x v="7"/>
    <n v="4"/>
    <n v="643.5"/>
    <n v="0"/>
    <x v="178"/>
    <n v="1418.82"/>
    <x v="178"/>
    <s v="Mobile Payment"/>
    <n v="1"/>
    <x v="2"/>
    <x v="1"/>
    <n v="2024"/>
    <m/>
  </r>
  <r>
    <x v="179"/>
    <d v="2024-03-29T00:00:00"/>
    <s v="Anne Garcia"/>
    <x v="1"/>
    <x v="2"/>
    <s v="Consumer"/>
    <x v="1"/>
    <x v="2"/>
    <n v="2"/>
    <n v="983.55"/>
    <n v="0.1"/>
    <x v="179"/>
    <n v="1158.31"/>
    <x v="179"/>
    <s v="Cash"/>
    <n v="3"/>
    <x v="1"/>
    <x v="0"/>
    <n v="2024"/>
    <m/>
  </r>
  <r>
    <x v="180"/>
    <d v="2024-02-06T00:00:00"/>
    <s v="Dr. Sydney Mueller DDS"/>
    <x v="3"/>
    <x v="1"/>
    <s v="Consumer"/>
    <x v="2"/>
    <x v="4"/>
    <n v="1"/>
    <n v="330.49"/>
    <n v="0"/>
    <x v="180"/>
    <n v="187.48"/>
    <x v="180"/>
    <s v="Cash"/>
    <n v="2"/>
    <x v="4"/>
    <x v="0"/>
    <n v="2024"/>
    <m/>
  </r>
  <r>
    <x v="181"/>
    <d v="2024-04-11T00:00:00"/>
    <s v="Mary Houston"/>
    <x v="1"/>
    <x v="3"/>
    <s v="Consumer"/>
    <x v="3"/>
    <x v="8"/>
    <n v="7"/>
    <n v="561.27"/>
    <n v="0.15"/>
    <x v="181"/>
    <n v="2827.02"/>
    <x v="181"/>
    <s v="Card"/>
    <n v="5"/>
    <x v="10"/>
    <x v="2"/>
    <n v="2024"/>
    <m/>
  </r>
  <r>
    <x v="182"/>
    <d v="2024-12-20T00:00:00"/>
    <s v="Amanda Oconnor"/>
    <x v="0"/>
    <x v="4"/>
    <s v="Corporate"/>
    <x v="2"/>
    <x v="10"/>
    <n v="2"/>
    <n v="176.88"/>
    <n v="0"/>
    <x v="182"/>
    <n v="229.24"/>
    <x v="182"/>
    <s v="Transfer"/>
    <n v="3"/>
    <x v="6"/>
    <x v="3"/>
    <n v="2024"/>
    <m/>
  </r>
  <r>
    <x v="183"/>
    <d v="2024-05-12T00:00:00"/>
    <s v="Oscar Johnson"/>
    <x v="0"/>
    <x v="3"/>
    <s v="Corporate"/>
    <x v="1"/>
    <x v="3"/>
    <n v="6"/>
    <n v="707.17"/>
    <n v="0.15"/>
    <x v="183"/>
    <n v="2036.57"/>
    <x v="183"/>
    <s v="Cash"/>
    <n v="4"/>
    <x v="9"/>
    <x v="2"/>
    <n v="2024"/>
    <m/>
  </r>
  <r>
    <x v="184"/>
    <d v="2024-09-17T00:00:00"/>
    <s v="Larry Hernandez"/>
    <x v="2"/>
    <x v="4"/>
    <s v="Consumer"/>
    <x v="3"/>
    <x v="8"/>
    <n v="10"/>
    <n v="334.06"/>
    <n v="0.1"/>
    <x v="184"/>
    <n v="1920.88"/>
    <x v="184"/>
    <s v="Mobile Payment"/>
    <n v="1"/>
    <x v="2"/>
    <x v="1"/>
    <n v="2024"/>
    <m/>
  </r>
  <r>
    <x v="185"/>
    <d v="2024-09-04T00:00:00"/>
    <s v="Jeffrey Sheppard"/>
    <x v="3"/>
    <x v="3"/>
    <s v="Corporate"/>
    <x v="2"/>
    <x v="4"/>
    <n v="4"/>
    <n v="209.97"/>
    <n v="0.1"/>
    <x v="185"/>
    <n v="534.25"/>
    <x v="185"/>
    <s v="Transfer"/>
    <n v="2"/>
    <x v="2"/>
    <x v="1"/>
    <n v="2024"/>
    <m/>
  </r>
  <r>
    <x v="186"/>
    <d v="2024-03-02T00:00:00"/>
    <s v="Brian Kim"/>
    <x v="4"/>
    <x v="4"/>
    <s v="Home Office"/>
    <x v="1"/>
    <x v="2"/>
    <n v="8"/>
    <n v="969.14"/>
    <n v="0"/>
    <x v="186"/>
    <n v="4600.1499999999996"/>
    <x v="186"/>
    <s v="Card"/>
    <n v="1"/>
    <x v="1"/>
    <x v="0"/>
    <n v="2024"/>
    <m/>
  </r>
  <r>
    <x v="187"/>
    <d v="2024-12-22T00:00:00"/>
    <s v="Michael Solomon"/>
    <x v="0"/>
    <x v="2"/>
    <s v="Home Office"/>
    <x v="2"/>
    <x v="9"/>
    <n v="4"/>
    <n v="865.66"/>
    <n v="0"/>
    <x v="187"/>
    <n v="2613.65"/>
    <x v="187"/>
    <s v="Mobile Payment"/>
    <n v="3"/>
    <x v="6"/>
    <x v="3"/>
    <n v="2024"/>
    <m/>
  </r>
  <r>
    <x v="188"/>
    <d v="2024-06-30T00:00:00"/>
    <s v="Stephanie Duncan"/>
    <x v="2"/>
    <x v="3"/>
    <s v="Home Office"/>
    <x v="2"/>
    <x v="4"/>
    <n v="12"/>
    <n v="315.32"/>
    <n v="0"/>
    <x v="188"/>
    <n v="2842.95"/>
    <x v="188"/>
    <s v="Cash"/>
    <n v="4"/>
    <x v="5"/>
    <x v="2"/>
    <n v="2024"/>
    <m/>
  </r>
  <r>
    <x v="189"/>
    <d v="2024-05-22T00:00:00"/>
    <s v="Audrey Wright"/>
    <x v="4"/>
    <x v="4"/>
    <s v="Consumer"/>
    <x v="3"/>
    <x v="8"/>
    <n v="5"/>
    <n v="456.22"/>
    <n v="0.15"/>
    <x v="189"/>
    <n v="999.8"/>
    <x v="189"/>
    <s v="Transfer"/>
    <n v="1"/>
    <x v="9"/>
    <x v="2"/>
    <n v="2024"/>
    <m/>
  </r>
  <r>
    <x v="190"/>
    <d v="2024-05-05T00:00:00"/>
    <s v="Patrick Francis"/>
    <x v="4"/>
    <x v="4"/>
    <s v="Home Office"/>
    <x v="0"/>
    <x v="11"/>
    <n v="8"/>
    <n v="844.9"/>
    <n v="0.1"/>
    <x v="190"/>
    <n v="3393.44"/>
    <x v="190"/>
    <s v="Mobile Payment"/>
    <n v="5"/>
    <x v="9"/>
    <x v="2"/>
    <n v="2024"/>
    <m/>
  </r>
  <r>
    <x v="191"/>
    <d v="2024-01-15T00:00:00"/>
    <s v="Kimberly Knight"/>
    <x v="2"/>
    <x v="1"/>
    <s v="Consumer"/>
    <x v="0"/>
    <x v="5"/>
    <n v="11"/>
    <n v="763.65"/>
    <n v="0.15"/>
    <x v="191"/>
    <n v="4703.41"/>
    <x v="191"/>
    <s v="Transfer"/>
    <n v="2"/>
    <x v="0"/>
    <x v="0"/>
    <n v="2024"/>
    <m/>
  </r>
  <r>
    <x v="192"/>
    <d v="2024-12-14T00:00:00"/>
    <s v="Nicholas Leach"/>
    <x v="2"/>
    <x v="4"/>
    <s v="Corporate"/>
    <x v="3"/>
    <x v="6"/>
    <n v="12"/>
    <n v="938.58"/>
    <n v="0.15"/>
    <x v="192"/>
    <n v="8126.08"/>
    <x v="192"/>
    <s v="Cash"/>
    <n v="1"/>
    <x v="6"/>
    <x v="3"/>
    <n v="2024"/>
    <m/>
  </r>
  <r>
    <x v="193"/>
    <d v="2024-11-06T00:00:00"/>
    <s v="Nicholas Rodriguez"/>
    <x v="1"/>
    <x v="2"/>
    <s v="Home Office"/>
    <x v="3"/>
    <x v="8"/>
    <n v="2"/>
    <n v="82.34"/>
    <n v="0.15"/>
    <x v="193"/>
    <n v="112.38"/>
    <x v="193"/>
    <s v="Cash"/>
    <n v="2"/>
    <x v="11"/>
    <x v="3"/>
    <n v="2024"/>
    <m/>
  </r>
  <r>
    <x v="194"/>
    <d v="2024-04-05T00:00:00"/>
    <s v="Michael Brown"/>
    <x v="4"/>
    <x v="3"/>
    <s v="Consumer"/>
    <x v="1"/>
    <x v="3"/>
    <n v="3"/>
    <n v="1001.92"/>
    <n v="0.15"/>
    <x v="194"/>
    <n v="1517.96"/>
    <x v="194"/>
    <s v="Transfer"/>
    <n v="5"/>
    <x v="10"/>
    <x v="2"/>
    <n v="2024"/>
    <m/>
  </r>
  <r>
    <x v="195"/>
    <d v="2024-08-07T00:00:00"/>
    <s v="Elizabeth Osborne"/>
    <x v="2"/>
    <x v="3"/>
    <s v="Consumer"/>
    <x v="3"/>
    <x v="7"/>
    <n v="11"/>
    <n v="942.38"/>
    <n v="0.1"/>
    <x v="195"/>
    <n v="7374.7"/>
    <x v="195"/>
    <s v="Cash"/>
    <n v="4"/>
    <x v="3"/>
    <x v="1"/>
    <n v="2024"/>
    <m/>
  </r>
  <r>
    <x v="196"/>
    <d v="2024-11-02T00:00:00"/>
    <s v="Terry Martinez"/>
    <x v="4"/>
    <x v="0"/>
    <s v="Corporate"/>
    <x v="3"/>
    <x v="7"/>
    <n v="10"/>
    <n v="174.23"/>
    <n v="0.05"/>
    <x v="196"/>
    <n v="1390.28"/>
    <x v="196"/>
    <s v="Cash"/>
    <n v="5"/>
    <x v="11"/>
    <x v="3"/>
    <n v="2024"/>
    <m/>
  </r>
  <r>
    <x v="197"/>
    <d v="2024-04-23T00:00:00"/>
    <s v="Jeremy Bennett"/>
    <x v="0"/>
    <x v="0"/>
    <s v="Consumer"/>
    <x v="3"/>
    <x v="8"/>
    <n v="1"/>
    <n v="520.79"/>
    <n v="0.15"/>
    <x v="197"/>
    <n v="339.16"/>
    <x v="197"/>
    <s v="Cash"/>
    <n v="3"/>
    <x v="10"/>
    <x v="2"/>
    <n v="2024"/>
    <m/>
  </r>
  <r>
    <x v="198"/>
    <d v="2024-11-22T00:00:00"/>
    <s v="Kara Blanchard"/>
    <x v="3"/>
    <x v="4"/>
    <s v="Home Office"/>
    <x v="1"/>
    <x v="2"/>
    <n v="3"/>
    <n v="943.9"/>
    <n v="0.1"/>
    <x v="198"/>
    <n v="1992.2"/>
    <x v="198"/>
    <s v="Transfer"/>
    <n v="2"/>
    <x v="11"/>
    <x v="3"/>
    <n v="2024"/>
    <m/>
  </r>
  <r>
    <x v="199"/>
    <d v="2024-02-18T00:00:00"/>
    <s v="Joseph Simpson"/>
    <x v="1"/>
    <x v="3"/>
    <s v="Home Office"/>
    <x v="0"/>
    <x v="11"/>
    <n v="2"/>
    <n v="1095.21"/>
    <n v="0.05"/>
    <x v="199"/>
    <n v="1385.45"/>
    <x v="199"/>
    <s v="Transfer"/>
    <n v="4"/>
    <x v="4"/>
    <x v="0"/>
    <n v="2024"/>
    <m/>
  </r>
  <r>
    <x v="200"/>
    <d v="2024-09-08T00:00:00"/>
    <s v="Wendy Smith"/>
    <x v="2"/>
    <x v="2"/>
    <s v="Home Office"/>
    <x v="2"/>
    <x v="9"/>
    <n v="9"/>
    <n v="64.45"/>
    <n v="0.05"/>
    <x v="200"/>
    <n v="431.06"/>
    <x v="200"/>
    <s v="Card"/>
    <n v="2"/>
    <x v="2"/>
    <x v="1"/>
    <n v="2024"/>
    <m/>
  </r>
  <r>
    <x v="201"/>
    <d v="2024-02-08T00:00:00"/>
    <s v="Melanie Swanson"/>
    <x v="4"/>
    <x v="3"/>
    <s v="Consumer"/>
    <x v="2"/>
    <x v="9"/>
    <n v="10"/>
    <n v="400.83"/>
    <n v="0.05"/>
    <x v="201"/>
    <n v="2731.49"/>
    <x v="201"/>
    <s v="Cash"/>
    <n v="2"/>
    <x v="4"/>
    <x v="0"/>
    <n v="2024"/>
    <m/>
  </r>
  <r>
    <x v="202"/>
    <d v="2024-03-17T00:00:00"/>
    <s v="Laura Gutierrez"/>
    <x v="3"/>
    <x v="4"/>
    <s v="Consumer"/>
    <x v="1"/>
    <x v="3"/>
    <n v="12"/>
    <n v="879.94"/>
    <n v="0.1"/>
    <x v="202"/>
    <n v="8051.07"/>
    <x v="202"/>
    <s v="Mobile Payment"/>
    <n v="4"/>
    <x v="1"/>
    <x v="0"/>
    <n v="2024"/>
    <m/>
  </r>
  <r>
    <x v="203"/>
    <d v="2024-07-08T00:00:00"/>
    <s v="April Hoffman"/>
    <x v="4"/>
    <x v="1"/>
    <s v="Consumer"/>
    <x v="1"/>
    <x v="12"/>
    <n v="9"/>
    <n v="825.69"/>
    <n v="0"/>
    <x v="203"/>
    <n v="4969.3100000000004"/>
    <x v="203"/>
    <s v="Cash"/>
    <n v="3"/>
    <x v="7"/>
    <x v="1"/>
    <n v="2024"/>
    <m/>
  </r>
  <r>
    <x v="204"/>
    <d v="2024-03-01T00:00:00"/>
    <s v="Jason Parker"/>
    <x v="4"/>
    <x v="4"/>
    <s v="Corporate"/>
    <x v="0"/>
    <x v="11"/>
    <n v="3"/>
    <n v="1065.44"/>
    <n v="0.05"/>
    <x v="204"/>
    <n v="2134.69"/>
    <x v="204"/>
    <s v="Transfer"/>
    <n v="3"/>
    <x v="1"/>
    <x v="0"/>
    <n v="2024"/>
    <m/>
  </r>
  <r>
    <x v="205"/>
    <d v="2024-05-27T00:00:00"/>
    <s v="Dillon Evans"/>
    <x v="3"/>
    <x v="4"/>
    <s v="Consumer"/>
    <x v="0"/>
    <x v="5"/>
    <n v="10"/>
    <n v="410.39"/>
    <n v="0"/>
    <x v="205"/>
    <n v="2358.6799999999998"/>
    <x v="205"/>
    <s v="Cash"/>
    <n v="5"/>
    <x v="9"/>
    <x v="2"/>
    <n v="2024"/>
    <m/>
  </r>
  <r>
    <x v="206"/>
    <d v="2024-03-07T00:00:00"/>
    <s v="Vicki Lee"/>
    <x v="2"/>
    <x v="0"/>
    <s v="Corporate"/>
    <x v="3"/>
    <x v="6"/>
    <n v="12"/>
    <n v="255.77"/>
    <n v="0"/>
    <x v="206"/>
    <n v="1630.88"/>
    <x v="206"/>
    <s v="Mobile Payment"/>
    <n v="1"/>
    <x v="1"/>
    <x v="0"/>
    <n v="2024"/>
    <m/>
  </r>
  <r>
    <x v="207"/>
    <d v="2024-07-25T00:00:00"/>
    <s v="Bradley Velez"/>
    <x v="1"/>
    <x v="0"/>
    <s v="Home Office"/>
    <x v="1"/>
    <x v="12"/>
    <n v="8"/>
    <n v="80.319999999999993"/>
    <n v="0.05"/>
    <x v="207"/>
    <n v="331.71"/>
    <x v="207"/>
    <s v="Transfer"/>
    <n v="1"/>
    <x v="7"/>
    <x v="1"/>
    <n v="2024"/>
    <m/>
  </r>
  <r>
    <x v="208"/>
    <d v="2024-09-23T00:00:00"/>
    <s v="Jacqueline Watkins"/>
    <x v="4"/>
    <x v="1"/>
    <s v="Consumer"/>
    <x v="2"/>
    <x v="4"/>
    <n v="3"/>
    <n v="187.83"/>
    <n v="0.15"/>
    <x v="208"/>
    <n v="261.56"/>
    <x v="208"/>
    <s v="Card"/>
    <n v="2"/>
    <x v="2"/>
    <x v="1"/>
    <n v="2024"/>
    <m/>
  </r>
  <r>
    <x v="209"/>
    <d v="2024-03-11T00:00:00"/>
    <s v="John Park"/>
    <x v="1"/>
    <x v="4"/>
    <s v="Consumer"/>
    <x v="3"/>
    <x v="8"/>
    <n v="4"/>
    <n v="500.37"/>
    <n v="0.1"/>
    <x v="209"/>
    <n v="1270.76"/>
    <x v="209"/>
    <s v="Card"/>
    <n v="2"/>
    <x v="1"/>
    <x v="0"/>
    <n v="2024"/>
    <m/>
  </r>
  <r>
    <x v="210"/>
    <d v="2024-07-28T00:00:00"/>
    <s v="Alexandra Wagner"/>
    <x v="2"/>
    <x v="0"/>
    <s v="Corporate"/>
    <x v="2"/>
    <x v="9"/>
    <n v="2"/>
    <n v="72.25"/>
    <n v="0.05"/>
    <x v="210"/>
    <n v="92.8"/>
    <x v="210"/>
    <s v="Card"/>
    <n v="5"/>
    <x v="7"/>
    <x v="1"/>
    <n v="2024"/>
    <m/>
  </r>
  <r>
    <x v="211"/>
    <d v="2024-07-02T00:00:00"/>
    <s v="Deborah Conley"/>
    <x v="0"/>
    <x v="4"/>
    <s v="Consumer"/>
    <x v="1"/>
    <x v="3"/>
    <n v="12"/>
    <n v="82.99"/>
    <n v="0"/>
    <x v="211"/>
    <n v="524.41"/>
    <x v="211"/>
    <s v="Card"/>
    <n v="4"/>
    <x v="7"/>
    <x v="1"/>
    <n v="2024"/>
    <m/>
  </r>
  <r>
    <x v="212"/>
    <d v="2024-07-26T00:00:00"/>
    <s v="Carl Hayes"/>
    <x v="3"/>
    <x v="3"/>
    <s v="Home Office"/>
    <x v="0"/>
    <x v="0"/>
    <n v="4"/>
    <n v="1130.0899999999999"/>
    <n v="0.05"/>
    <x v="212"/>
    <n v="3564.75"/>
    <x v="212"/>
    <s v="Cash"/>
    <n v="1"/>
    <x v="7"/>
    <x v="1"/>
    <n v="2024"/>
    <m/>
  </r>
  <r>
    <x v="213"/>
    <d v="2024-01-30T00:00:00"/>
    <s v="Scott James"/>
    <x v="2"/>
    <x v="3"/>
    <s v="Home Office"/>
    <x v="2"/>
    <x v="10"/>
    <n v="5"/>
    <n v="970.28"/>
    <n v="0.05"/>
    <x v="213"/>
    <n v="2943.96"/>
    <x v="213"/>
    <s v="Transfer"/>
    <n v="3"/>
    <x v="0"/>
    <x v="0"/>
    <n v="2024"/>
    <m/>
  </r>
  <r>
    <x v="214"/>
    <d v="2024-01-26T00:00:00"/>
    <s v="Elaine Jimenez"/>
    <x v="1"/>
    <x v="1"/>
    <s v="Home Office"/>
    <x v="3"/>
    <x v="8"/>
    <n v="9"/>
    <n v="586.1"/>
    <n v="0"/>
    <x v="214"/>
    <n v="2706.42"/>
    <x v="214"/>
    <s v="Transfer"/>
    <n v="1"/>
    <x v="0"/>
    <x v="0"/>
    <n v="2024"/>
    <m/>
  </r>
  <r>
    <x v="215"/>
    <d v="2024-04-20T00:00:00"/>
    <s v="Tracey Williams"/>
    <x v="0"/>
    <x v="4"/>
    <s v="Home Office"/>
    <x v="2"/>
    <x v="4"/>
    <n v="2"/>
    <n v="183.64"/>
    <n v="0.1"/>
    <x v="215"/>
    <n v="171"/>
    <x v="215"/>
    <s v="Transfer"/>
    <n v="4"/>
    <x v="10"/>
    <x v="2"/>
    <n v="2024"/>
    <m/>
  </r>
  <r>
    <x v="216"/>
    <d v="2024-07-24T00:00:00"/>
    <s v="Julia Garrison"/>
    <x v="1"/>
    <x v="0"/>
    <s v="Home Office"/>
    <x v="0"/>
    <x v="11"/>
    <n v="8"/>
    <n v="599.29999999999995"/>
    <n v="0"/>
    <x v="216"/>
    <n v="4006.5"/>
    <x v="216"/>
    <s v="Card"/>
    <n v="3"/>
    <x v="7"/>
    <x v="1"/>
    <n v="2024"/>
    <m/>
  </r>
  <r>
    <x v="217"/>
    <d v="2024-03-03T00:00:00"/>
    <s v="Michelle Phillips"/>
    <x v="4"/>
    <x v="3"/>
    <s v="Home Office"/>
    <x v="3"/>
    <x v="7"/>
    <n v="9"/>
    <n v="1186.71"/>
    <n v="0.15"/>
    <x v="217"/>
    <n v="5422.6"/>
    <x v="217"/>
    <s v="Mobile Payment"/>
    <n v="2"/>
    <x v="1"/>
    <x v="0"/>
    <n v="2024"/>
    <m/>
  </r>
  <r>
    <x v="218"/>
    <d v="2024-08-02T00:00:00"/>
    <s v="Kelly Koch"/>
    <x v="0"/>
    <x v="1"/>
    <s v="Corporate"/>
    <x v="2"/>
    <x v="10"/>
    <n v="7"/>
    <n v="940.25"/>
    <n v="0"/>
    <x v="218"/>
    <n v="3381.86"/>
    <x v="218"/>
    <s v="Transfer"/>
    <n v="4"/>
    <x v="3"/>
    <x v="1"/>
    <n v="2024"/>
    <m/>
  </r>
  <r>
    <x v="219"/>
    <d v="2024-02-01T00:00:00"/>
    <s v="Dan French"/>
    <x v="3"/>
    <x v="4"/>
    <s v="Consumer"/>
    <x v="3"/>
    <x v="6"/>
    <n v="3"/>
    <n v="624.1"/>
    <n v="0.05"/>
    <x v="219"/>
    <n v="904.8"/>
    <x v="219"/>
    <s v="Mobile Payment"/>
    <n v="4"/>
    <x v="4"/>
    <x v="0"/>
    <n v="2024"/>
    <m/>
  </r>
  <r>
    <x v="220"/>
    <d v="2024-04-30T00:00:00"/>
    <s v="Michael Mason"/>
    <x v="2"/>
    <x v="0"/>
    <s v="Consumer"/>
    <x v="3"/>
    <x v="6"/>
    <n v="6"/>
    <n v="328.63"/>
    <n v="0.1"/>
    <x v="220"/>
    <n v="889.96"/>
    <x v="220"/>
    <s v="Card"/>
    <n v="5"/>
    <x v="10"/>
    <x v="2"/>
    <n v="2024"/>
    <m/>
  </r>
  <r>
    <x v="221"/>
    <d v="2024-11-30T00:00:00"/>
    <s v="Angel Sanchez"/>
    <x v="3"/>
    <x v="2"/>
    <s v="Consumer"/>
    <x v="1"/>
    <x v="3"/>
    <n v="1"/>
    <n v="48.47"/>
    <n v="0.1"/>
    <x v="221"/>
    <n v="30.03"/>
    <x v="221"/>
    <s v="Card"/>
    <n v="5"/>
    <x v="11"/>
    <x v="3"/>
    <n v="2024"/>
    <m/>
  </r>
  <r>
    <x v="222"/>
    <d v="2024-05-18T00:00:00"/>
    <s v="Teresa Nelson"/>
    <x v="4"/>
    <x v="0"/>
    <s v="Consumer"/>
    <x v="3"/>
    <x v="6"/>
    <n v="2"/>
    <n v="954.46"/>
    <n v="0.15"/>
    <x v="222"/>
    <n v="1334.95"/>
    <x v="222"/>
    <s v="Cash"/>
    <n v="3"/>
    <x v="9"/>
    <x v="2"/>
    <n v="2024"/>
    <m/>
  </r>
  <r>
    <x v="223"/>
    <d v="2024-02-05T00:00:00"/>
    <s v="John Lozano"/>
    <x v="0"/>
    <x v="4"/>
    <s v="Consumer"/>
    <x v="2"/>
    <x v="10"/>
    <n v="1"/>
    <n v="617.24"/>
    <n v="0.1"/>
    <x v="223"/>
    <n v="283.79000000000002"/>
    <x v="223"/>
    <s v="Mobile Payment"/>
    <n v="3"/>
    <x v="4"/>
    <x v="0"/>
    <n v="2024"/>
    <m/>
  </r>
  <r>
    <x v="224"/>
    <d v="2024-01-08T00:00:00"/>
    <s v="Michael Smith"/>
    <x v="3"/>
    <x v="1"/>
    <s v="Corporate"/>
    <x v="0"/>
    <x v="1"/>
    <n v="8"/>
    <n v="924.25"/>
    <n v="0.1"/>
    <x v="224"/>
    <n v="4875.3999999999996"/>
    <x v="224"/>
    <s v="Mobile Payment"/>
    <n v="5"/>
    <x v="0"/>
    <x v="0"/>
    <n v="2024"/>
    <m/>
  </r>
  <r>
    <x v="225"/>
    <d v="2024-02-24T00:00:00"/>
    <s v="Jessica Shaffer"/>
    <x v="1"/>
    <x v="4"/>
    <s v="Corporate"/>
    <x v="0"/>
    <x v="5"/>
    <n v="11"/>
    <n v="876.37"/>
    <n v="0.05"/>
    <x v="225"/>
    <n v="6713.59"/>
    <x v="225"/>
    <s v="Cash"/>
    <n v="3"/>
    <x v="4"/>
    <x v="0"/>
    <n v="2024"/>
    <m/>
  </r>
  <r>
    <x v="226"/>
    <d v="2024-06-13T00:00:00"/>
    <s v="Julia Curtis"/>
    <x v="1"/>
    <x v="1"/>
    <s v="Consumer"/>
    <x v="1"/>
    <x v="12"/>
    <n v="4"/>
    <n v="1134.33"/>
    <n v="0"/>
    <x v="226"/>
    <n v="2455.9"/>
    <x v="226"/>
    <s v="Mobile Payment"/>
    <n v="2"/>
    <x v="5"/>
    <x v="2"/>
    <n v="2024"/>
    <m/>
  </r>
  <r>
    <x v="227"/>
    <d v="2024-01-12T00:00:00"/>
    <s v="Rhonda Lester"/>
    <x v="4"/>
    <x v="4"/>
    <s v="Consumer"/>
    <x v="2"/>
    <x v="4"/>
    <n v="3"/>
    <n v="193.88"/>
    <n v="0"/>
    <x v="227"/>
    <n v="491.89"/>
    <x v="227"/>
    <s v="Transfer"/>
    <n v="1"/>
    <x v="0"/>
    <x v="0"/>
    <n v="2024"/>
    <m/>
  </r>
  <r>
    <x v="228"/>
    <d v="2024-06-05T00:00:00"/>
    <s v="Cheryl Perez"/>
    <x v="4"/>
    <x v="3"/>
    <s v="Home Office"/>
    <x v="0"/>
    <x v="1"/>
    <n v="11"/>
    <n v="1047.6600000000001"/>
    <n v="0.05"/>
    <x v="228"/>
    <n v="6324.64"/>
    <x v="228"/>
    <s v="Transfer"/>
    <n v="1"/>
    <x v="5"/>
    <x v="2"/>
    <n v="2024"/>
    <m/>
  </r>
  <r>
    <x v="229"/>
    <d v="2024-05-23T00:00:00"/>
    <s v="Robert Nichols"/>
    <x v="0"/>
    <x v="2"/>
    <s v="Corporate"/>
    <x v="2"/>
    <x v="4"/>
    <n v="9"/>
    <n v="817.3"/>
    <n v="0.05"/>
    <x v="229"/>
    <n v="4980.47"/>
    <x v="229"/>
    <s v="Transfer"/>
    <n v="5"/>
    <x v="9"/>
    <x v="2"/>
    <n v="2024"/>
    <m/>
  </r>
  <r>
    <x v="230"/>
    <d v="2024-01-11T00:00:00"/>
    <s v="Marvin Torres"/>
    <x v="1"/>
    <x v="2"/>
    <s v="Home Office"/>
    <x v="0"/>
    <x v="5"/>
    <n v="10"/>
    <n v="406.97"/>
    <n v="0.15"/>
    <x v="230"/>
    <n v="2576.3000000000002"/>
    <x v="230"/>
    <s v="Transfer"/>
    <n v="4"/>
    <x v="0"/>
    <x v="0"/>
    <n v="2024"/>
    <m/>
  </r>
  <r>
    <x v="231"/>
    <d v="2024-01-11T00:00:00"/>
    <s v="Edgar English"/>
    <x v="1"/>
    <x v="1"/>
    <s v="Consumer"/>
    <x v="0"/>
    <x v="1"/>
    <n v="11"/>
    <n v="463.96"/>
    <n v="0.05"/>
    <x v="231"/>
    <n v="3475.31"/>
    <x v="231"/>
    <s v="Transfer"/>
    <n v="3"/>
    <x v="0"/>
    <x v="0"/>
    <n v="2024"/>
    <m/>
  </r>
  <r>
    <x v="232"/>
    <d v="2024-07-26T00:00:00"/>
    <s v="Brianna Hart"/>
    <x v="0"/>
    <x v="2"/>
    <s v="Corporate"/>
    <x v="0"/>
    <x v="11"/>
    <n v="1"/>
    <n v="985.15"/>
    <n v="0.15"/>
    <x v="232"/>
    <n v="659.22"/>
    <x v="232"/>
    <s v="Card"/>
    <n v="1"/>
    <x v="7"/>
    <x v="1"/>
    <n v="2024"/>
    <m/>
  </r>
  <r>
    <x v="233"/>
    <d v="2024-06-15T00:00:00"/>
    <s v="Jessica Robinson"/>
    <x v="3"/>
    <x v="3"/>
    <s v="Consumer"/>
    <x v="1"/>
    <x v="2"/>
    <n v="3"/>
    <n v="616.14"/>
    <n v="0.1"/>
    <x v="233"/>
    <n v="1252.18"/>
    <x v="233"/>
    <s v="Mobile Payment"/>
    <n v="3"/>
    <x v="5"/>
    <x v="2"/>
    <n v="2024"/>
    <m/>
  </r>
  <r>
    <x v="234"/>
    <d v="2024-01-08T00:00:00"/>
    <s v="Charles Craig"/>
    <x v="4"/>
    <x v="2"/>
    <s v="Corporate"/>
    <x v="2"/>
    <x v="9"/>
    <n v="2"/>
    <n v="29.23"/>
    <n v="0.05"/>
    <x v="234"/>
    <n v="38.799999999999997"/>
    <x v="234"/>
    <s v="Cash"/>
    <n v="4"/>
    <x v="0"/>
    <x v="0"/>
    <n v="2024"/>
    <m/>
  </r>
  <r>
    <x v="235"/>
    <d v="2024-04-22T00:00:00"/>
    <s v="Rickey Todd"/>
    <x v="1"/>
    <x v="2"/>
    <s v="Corporate"/>
    <x v="2"/>
    <x v="4"/>
    <n v="7"/>
    <n v="77.209999999999994"/>
    <n v="0"/>
    <x v="235"/>
    <n v="404.86"/>
    <x v="235"/>
    <s v="Cash"/>
    <n v="2"/>
    <x v="10"/>
    <x v="2"/>
    <n v="2024"/>
    <m/>
  </r>
  <r>
    <x v="236"/>
    <d v="2024-10-06T00:00:00"/>
    <s v="Jody Suarez"/>
    <x v="2"/>
    <x v="0"/>
    <s v="Corporate"/>
    <x v="2"/>
    <x v="10"/>
    <n v="7"/>
    <n v="780.58"/>
    <n v="0.1"/>
    <x v="236"/>
    <n v="4130.74"/>
    <x v="236"/>
    <s v="Mobile Payment"/>
    <n v="4"/>
    <x v="8"/>
    <x v="3"/>
    <n v="2024"/>
    <m/>
  </r>
  <r>
    <x v="237"/>
    <d v="2024-07-17T00:00:00"/>
    <s v="Tony Russell"/>
    <x v="2"/>
    <x v="2"/>
    <s v="Corporate"/>
    <x v="1"/>
    <x v="2"/>
    <n v="11"/>
    <n v="724.28"/>
    <n v="0.15"/>
    <x v="237"/>
    <n v="3404.31"/>
    <x v="237"/>
    <s v="Mobile Payment"/>
    <n v="1"/>
    <x v="7"/>
    <x v="1"/>
    <n v="2024"/>
    <m/>
  </r>
  <r>
    <x v="238"/>
    <d v="2024-12-14T00:00:00"/>
    <s v="Cynthia Chavez"/>
    <x v="2"/>
    <x v="2"/>
    <s v="Home Office"/>
    <x v="3"/>
    <x v="8"/>
    <n v="5"/>
    <n v="714.95"/>
    <n v="0"/>
    <x v="238"/>
    <n v="3021.5"/>
    <x v="238"/>
    <s v="Card"/>
    <n v="1"/>
    <x v="6"/>
    <x v="3"/>
    <n v="2024"/>
    <m/>
  </r>
  <r>
    <x v="239"/>
    <d v="2024-02-17T00:00:00"/>
    <s v="Mariah Dudley"/>
    <x v="0"/>
    <x v="4"/>
    <s v="Corporate"/>
    <x v="3"/>
    <x v="6"/>
    <n v="4"/>
    <n v="304.88"/>
    <n v="0.1"/>
    <x v="239"/>
    <n v="869.49"/>
    <x v="239"/>
    <s v="Cash"/>
    <n v="4"/>
    <x v="4"/>
    <x v="0"/>
    <n v="2024"/>
    <m/>
  </r>
  <r>
    <x v="240"/>
    <d v="2024-12-07T00:00:00"/>
    <s v="Terry Williams"/>
    <x v="2"/>
    <x v="1"/>
    <s v="Home Office"/>
    <x v="2"/>
    <x v="9"/>
    <n v="3"/>
    <n v="55.05"/>
    <n v="0.05"/>
    <x v="240"/>
    <n v="125.64"/>
    <x v="240"/>
    <s v="Mobile Payment"/>
    <n v="5"/>
    <x v="6"/>
    <x v="3"/>
    <n v="2024"/>
    <m/>
  </r>
  <r>
    <x v="241"/>
    <d v="2024-09-09T00:00:00"/>
    <s v="Holly Vance"/>
    <x v="1"/>
    <x v="3"/>
    <s v="Home Office"/>
    <x v="1"/>
    <x v="3"/>
    <n v="2"/>
    <n v="238.23"/>
    <n v="0.15"/>
    <x v="241"/>
    <n v="280.56"/>
    <x v="241"/>
    <s v="Mobile Payment"/>
    <n v="2"/>
    <x v="2"/>
    <x v="1"/>
    <n v="2024"/>
    <m/>
  </r>
  <r>
    <x v="242"/>
    <d v="2024-05-30T00:00:00"/>
    <s v="Shari Rivera"/>
    <x v="0"/>
    <x v="3"/>
    <s v="Corporate"/>
    <x v="3"/>
    <x v="6"/>
    <n v="6"/>
    <n v="187.72"/>
    <n v="0"/>
    <x v="242"/>
    <n v="752.63"/>
    <x v="242"/>
    <s v="Mobile Payment"/>
    <n v="4"/>
    <x v="9"/>
    <x v="2"/>
    <n v="2024"/>
    <m/>
  </r>
  <r>
    <x v="243"/>
    <d v="2024-05-17T00:00:00"/>
    <s v="Lauren Smith"/>
    <x v="2"/>
    <x v="3"/>
    <s v="Corporate"/>
    <x v="0"/>
    <x v="5"/>
    <n v="4"/>
    <n v="656.91"/>
    <n v="0.05"/>
    <x v="243"/>
    <n v="1905.09"/>
    <x v="243"/>
    <s v="Transfer"/>
    <n v="2"/>
    <x v="9"/>
    <x v="2"/>
    <n v="2024"/>
    <m/>
  </r>
  <r>
    <x v="244"/>
    <d v="2024-03-13T00:00:00"/>
    <s v="Chad Lee"/>
    <x v="1"/>
    <x v="3"/>
    <s v="Corporate"/>
    <x v="0"/>
    <x v="0"/>
    <n v="12"/>
    <n v="885.09"/>
    <n v="0.1"/>
    <x v="244"/>
    <n v="7779.3"/>
    <x v="244"/>
    <s v="Transfer"/>
    <n v="4"/>
    <x v="1"/>
    <x v="0"/>
    <n v="2024"/>
    <m/>
  </r>
  <r>
    <x v="245"/>
    <d v="2024-03-05T00:00:00"/>
    <s v="Edward Whitaker"/>
    <x v="2"/>
    <x v="2"/>
    <s v="Corporate"/>
    <x v="3"/>
    <x v="6"/>
    <n v="2"/>
    <n v="222.08"/>
    <n v="0.1"/>
    <x v="245"/>
    <n v="322.74"/>
    <x v="245"/>
    <s v="Transfer"/>
    <n v="3"/>
    <x v="1"/>
    <x v="0"/>
    <n v="2024"/>
    <m/>
  </r>
  <r>
    <x v="246"/>
    <d v="2024-04-13T00:00:00"/>
    <s v="Rebecca Bryant"/>
    <x v="4"/>
    <x v="4"/>
    <s v="Corporate"/>
    <x v="2"/>
    <x v="9"/>
    <n v="1"/>
    <n v="473.41"/>
    <n v="0.1"/>
    <x v="246"/>
    <n v="226.24"/>
    <x v="246"/>
    <s v="Transfer"/>
    <n v="2"/>
    <x v="10"/>
    <x v="2"/>
    <n v="2024"/>
    <m/>
  </r>
  <r>
    <x v="247"/>
    <d v="2024-12-04T00:00:00"/>
    <s v="Sherri Butler"/>
    <x v="0"/>
    <x v="4"/>
    <s v="Home Office"/>
    <x v="2"/>
    <x v="9"/>
    <n v="9"/>
    <n v="135.27000000000001"/>
    <n v="0.05"/>
    <x v="247"/>
    <n v="733.25"/>
    <x v="247"/>
    <s v="Mobile Payment"/>
    <n v="1"/>
    <x v="6"/>
    <x v="3"/>
    <n v="2024"/>
    <m/>
  </r>
  <r>
    <x v="248"/>
    <d v="2024-09-12T00:00:00"/>
    <s v="William Evans"/>
    <x v="2"/>
    <x v="3"/>
    <s v="Corporate"/>
    <x v="1"/>
    <x v="2"/>
    <n v="1"/>
    <n v="840.05"/>
    <n v="0.15"/>
    <x v="248"/>
    <n v="368.25"/>
    <x v="248"/>
    <s v="Transfer"/>
    <n v="5"/>
    <x v="2"/>
    <x v="1"/>
    <n v="2024"/>
    <m/>
  </r>
  <r>
    <x v="249"/>
    <d v="2024-12-03T00:00:00"/>
    <s v="Lisa Warner"/>
    <x v="0"/>
    <x v="3"/>
    <s v="Consumer"/>
    <x v="2"/>
    <x v="10"/>
    <n v="5"/>
    <n v="96.2"/>
    <n v="0.15"/>
    <x v="249"/>
    <n v="233.77"/>
    <x v="249"/>
    <s v="Transfer"/>
    <n v="4"/>
    <x v="6"/>
    <x v="3"/>
    <n v="2024"/>
    <m/>
  </r>
  <r>
    <x v="250"/>
    <d v="2024-08-26T00:00:00"/>
    <s v="Ana Avila"/>
    <x v="3"/>
    <x v="2"/>
    <s v="Home Office"/>
    <x v="3"/>
    <x v="8"/>
    <n v="11"/>
    <n v="449.17"/>
    <n v="0.1"/>
    <x v="250"/>
    <n v="2875.7"/>
    <x v="250"/>
    <s v="Transfer"/>
    <n v="3"/>
    <x v="3"/>
    <x v="1"/>
    <n v="2024"/>
    <m/>
  </r>
  <r>
    <x v="251"/>
    <d v="2024-12-13T00:00:00"/>
    <s v="Cesar Acosta"/>
    <x v="2"/>
    <x v="0"/>
    <s v="Home Office"/>
    <x v="0"/>
    <x v="1"/>
    <n v="5"/>
    <n v="61.98"/>
    <n v="0.15"/>
    <x v="251"/>
    <n v="191.33"/>
    <x v="251"/>
    <s v="Transfer"/>
    <n v="5"/>
    <x v="6"/>
    <x v="3"/>
    <n v="2024"/>
    <m/>
  </r>
  <r>
    <x v="252"/>
    <d v="2024-07-12T00:00:00"/>
    <s v="Tonya Ross"/>
    <x v="4"/>
    <x v="4"/>
    <s v="Corporate"/>
    <x v="0"/>
    <x v="1"/>
    <n v="9"/>
    <n v="278.94"/>
    <n v="0"/>
    <x v="252"/>
    <n v="1359.15"/>
    <x v="252"/>
    <s v="Card"/>
    <n v="1"/>
    <x v="7"/>
    <x v="1"/>
    <n v="2024"/>
    <m/>
  </r>
  <r>
    <x v="253"/>
    <d v="2024-03-02T00:00:00"/>
    <s v="Kelly Cross"/>
    <x v="0"/>
    <x v="1"/>
    <s v="Consumer"/>
    <x v="0"/>
    <x v="11"/>
    <n v="3"/>
    <n v="718.69"/>
    <n v="0.05"/>
    <x v="253"/>
    <n v="1269.1099999999999"/>
    <x v="253"/>
    <s v="Mobile Payment"/>
    <n v="1"/>
    <x v="1"/>
    <x v="0"/>
    <n v="2024"/>
    <m/>
  </r>
  <r>
    <x v="254"/>
    <d v="2024-04-09T00:00:00"/>
    <s v="Michael Jennings"/>
    <x v="0"/>
    <x v="3"/>
    <s v="Consumer"/>
    <x v="1"/>
    <x v="2"/>
    <n v="10"/>
    <n v="557.75"/>
    <n v="0.1"/>
    <x v="254"/>
    <n v="3826.67"/>
    <x v="254"/>
    <s v="Cash"/>
    <n v="5"/>
    <x v="10"/>
    <x v="2"/>
    <n v="2024"/>
    <m/>
  </r>
  <r>
    <x v="255"/>
    <d v="2024-05-29T00:00:00"/>
    <s v="Frank Payne"/>
    <x v="4"/>
    <x v="0"/>
    <s v="Home Office"/>
    <x v="0"/>
    <x v="0"/>
    <n v="1"/>
    <n v="29.24"/>
    <n v="0.05"/>
    <x v="255"/>
    <n v="21.78"/>
    <x v="255"/>
    <s v="Transfer"/>
    <n v="5"/>
    <x v="9"/>
    <x v="2"/>
    <n v="2024"/>
    <m/>
  </r>
  <r>
    <x v="256"/>
    <d v="2024-12-24T00:00:00"/>
    <s v="Sarah Morales"/>
    <x v="0"/>
    <x v="1"/>
    <s v="Consumer"/>
    <x v="1"/>
    <x v="12"/>
    <n v="10"/>
    <n v="789.96"/>
    <n v="0.1"/>
    <x v="256"/>
    <n v="5953.99"/>
    <x v="256"/>
    <s v="Mobile Payment"/>
    <n v="3"/>
    <x v="6"/>
    <x v="3"/>
    <n v="2024"/>
    <m/>
  </r>
  <r>
    <x v="257"/>
    <d v="2024-08-20T00:00:00"/>
    <s v="Meghan Lucas"/>
    <x v="0"/>
    <x v="3"/>
    <s v="Consumer"/>
    <x v="2"/>
    <x v="4"/>
    <n v="8"/>
    <n v="1007.76"/>
    <n v="0"/>
    <x v="257"/>
    <n v="5607.92"/>
    <x v="257"/>
    <s v="Card"/>
    <n v="5"/>
    <x v="3"/>
    <x v="1"/>
    <n v="2024"/>
    <m/>
  </r>
  <r>
    <x v="258"/>
    <d v="2024-08-23T00:00:00"/>
    <s v="Aaron Williams"/>
    <x v="4"/>
    <x v="3"/>
    <s v="Consumer"/>
    <x v="0"/>
    <x v="1"/>
    <n v="8"/>
    <n v="25.76"/>
    <n v="0.1"/>
    <x v="258"/>
    <n v="113.19"/>
    <x v="258"/>
    <s v="Transfer"/>
    <n v="2"/>
    <x v="3"/>
    <x v="1"/>
    <n v="2024"/>
    <m/>
  </r>
  <r>
    <x v="259"/>
    <d v="2024-03-15T00:00:00"/>
    <s v="Linda Watson"/>
    <x v="4"/>
    <x v="3"/>
    <s v="Home Office"/>
    <x v="1"/>
    <x v="3"/>
    <n v="8"/>
    <n v="817.47"/>
    <n v="0"/>
    <x v="259"/>
    <n v="5447.3"/>
    <x v="259"/>
    <s v="Mobile Payment"/>
    <n v="1"/>
    <x v="1"/>
    <x v="0"/>
    <n v="2024"/>
    <m/>
  </r>
  <r>
    <x v="260"/>
    <d v="2024-06-06T00:00:00"/>
    <s v="Jeffrey Torres"/>
    <x v="0"/>
    <x v="0"/>
    <s v="Consumer"/>
    <x v="1"/>
    <x v="3"/>
    <n v="10"/>
    <n v="417.43"/>
    <n v="0.05"/>
    <x v="260"/>
    <n v="3126.64"/>
    <x v="260"/>
    <s v="Mobile Payment"/>
    <n v="1"/>
    <x v="5"/>
    <x v="2"/>
    <n v="2024"/>
    <m/>
  </r>
  <r>
    <x v="261"/>
    <d v="2024-12-20T00:00:00"/>
    <s v="Dr. Andrew Mcmillan"/>
    <x v="4"/>
    <x v="1"/>
    <s v="Consumer"/>
    <x v="3"/>
    <x v="8"/>
    <n v="9"/>
    <n v="575.1"/>
    <n v="0"/>
    <x v="261"/>
    <n v="4348.78"/>
    <x v="261"/>
    <s v="Cash"/>
    <n v="4"/>
    <x v="6"/>
    <x v="3"/>
    <n v="2024"/>
    <m/>
  </r>
  <r>
    <x v="262"/>
    <d v="2024-07-30T00:00:00"/>
    <s v="Anna Hayden"/>
    <x v="1"/>
    <x v="2"/>
    <s v="Consumer"/>
    <x v="1"/>
    <x v="12"/>
    <n v="11"/>
    <n v="303.20999999999998"/>
    <n v="0.1"/>
    <x v="262"/>
    <n v="1622.6"/>
    <x v="262"/>
    <s v="Card"/>
    <n v="3"/>
    <x v="7"/>
    <x v="1"/>
    <n v="2024"/>
    <m/>
  </r>
  <r>
    <x v="263"/>
    <d v="2024-06-21T00:00:00"/>
    <s v="Katie Lyons"/>
    <x v="0"/>
    <x v="0"/>
    <s v="Corporate"/>
    <x v="0"/>
    <x v="5"/>
    <n v="8"/>
    <n v="808.84"/>
    <n v="0.1"/>
    <x v="263"/>
    <n v="3329.85"/>
    <x v="263"/>
    <s v="Cash"/>
    <n v="5"/>
    <x v="5"/>
    <x v="2"/>
    <n v="2024"/>
    <m/>
  </r>
  <r>
    <x v="264"/>
    <d v="2024-11-24T00:00:00"/>
    <s v="William Thomas"/>
    <x v="2"/>
    <x v="1"/>
    <s v="Consumer"/>
    <x v="2"/>
    <x v="10"/>
    <n v="11"/>
    <n v="818.01"/>
    <n v="0"/>
    <x v="264"/>
    <n v="6885.6"/>
    <x v="264"/>
    <s v="Card"/>
    <n v="5"/>
    <x v="11"/>
    <x v="3"/>
    <n v="2024"/>
    <m/>
  </r>
  <r>
    <x v="265"/>
    <d v="2024-03-17T00:00:00"/>
    <s v="Tara Price"/>
    <x v="3"/>
    <x v="2"/>
    <s v="Home Office"/>
    <x v="2"/>
    <x v="4"/>
    <n v="2"/>
    <n v="426.27"/>
    <n v="0.1"/>
    <x v="265"/>
    <n v="437.65"/>
    <x v="265"/>
    <s v="Mobile Payment"/>
    <n v="3"/>
    <x v="1"/>
    <x v="0"/>
    <n v="2024"/>
    <m/>
  </r>
  <r>
    <x v="266"/>
    <d v="2024-02-22T00:00:00"/>
    <s v="David Berry"/>
    <x v="0"/>
    <x v="2"/>
    <s v="Home Office"/>
    <x v="0"/>
    <x v="1"/>
    <n v="9"/>
    <n v="29.81"/>
    <n v="0.1"/>
    <x v="266"/>
    <n v="174.03"/>
    <x v="266"/>
    <s v="Mobile Payment"/>
    <n v="5"/>
    <x v="4"/>
    <x v="0"/>
    <n v="2024"/>
    <m/>
  </r>
  <r>
    <x v="267"/>
    <d v="2024-10-03T00:00:00"/>
    <s v="Melissa Smith"/>
    <x v="3"/>
    <x v="0"/>
    <s v="Consumer"/>
    <x v="3"/>
    <x v="8"/>
    <n v="2"/>
    <n v="147.16"/>
    <n v="0"/>
    <x v="267"/>
    <n v="181.72"/>
    <x v="267"/>
    <s v="Card"/>
    <n v="2"/>
    <x v="8"/>
    <x v="3"/>
    <n v="2024"/>
    <m/>
  </r>
  <r>
    <x v="268"/>
    <d v="2024-04-13T00:00:00"/>
    <s v="Yolanda Allen"/>
    <x v="4"/>
    <x v="1"/>
    <s v="Corporate"/>
    <x v="2"/>
    <x v="10"/>
    <n v="2"/>
    <n v="1103.4100000000001"/>
    <n v="0.05"/>
    <x v="268"/>
    <n v="1442.94"/>
    <x v="268"/>
    <s v="Cash"/>
    <n v="1"/>
    <x v="10"/>
    <x v="2"/>
    <n v="2024"/>
    <m/>
  </r>
  <r>
    <x v="269"/>
    <d v="2024-07-11T00:00:00"/>
    <s v="Michael Harrington"/>
    <x v="2"/>
    <x v="1"/>
    <s v="Home Office"/>
    <x v="2"/>
    <x v="4"/>
    <n v="1"/>
    <n v="206.79"/>
    <n v="0"/>
    <x v="269"/>
    <n v="170.43"/>
    <x v="269"/>
    <s v="Cash"/>
    <n v="1"/>
    <x v="7"/>
    <x v="1"/>
    <n v="2024"/>
    <m/>
  </r>
  <r>
    <x v="270"/>
    <d v="2024-06-30T00:00:00"/>
    <s v="Nicole Nelson"/>
    <x v="1"/>
    <x v="3"/>
    <s v="Home Office"/>
    <x v="1"/>
    <x v="2"/>
    <n v="10"/>
    <n v="648.89"/>
    <n v="0.05"/>
    <x v="270"/>
    <n v="3901.15"/>
    <x v="270"/>
    <s v="Transfer"/>
    <n v="3"/>
    <x v="5"/>
    <x v="2"/>
    <n v="2024"/>
    <m/>
  </r>
  <r>
    <x v="271"/>
    <d v="2024-08-30T00:00:00"/>
    <s v="Kelly Ross"/>
    <x v="4"/>
    <x v="0"/>
    <s v="Consumer"/>
    <x v="0"/>
    <x v="5"/>
    <n v="8"/>
    <n v="1159.08"/>
    <n v="0"/>
    <x v="271"/>
    <n v="6716.05"/>
    <x v="271"/>
    <s v="Cash"/>
    <n v="3"/>
    <x v="3"/>
    <x v="1"/>
    <n v="2024"/>
    <m/>
  </r>
  <r>
    <x v="272"/>
    <d v="2024-04-04T00:00:00"/>
    <s v="Robert Gutierrez"/>
    <x v="3"/>
    <x v="4"/>
    <s v="Corporate"/>
    <x v="3"/>
    <x v="6"/>
    <n v="8"/>
    <n v="518.03"/>
    <n v="0.05"/>
    <x v="272"/>
    <n v="3199.71"/>
    <x v="272"/>
    <s v="Cash"/>
    <n v="2"/>
    <x v="10"/>
    <x v="2"/>
    <n v="2024"/>
    <m/>
  </r>
  <r>
    <x v="273"/>
    <d v="2024-06-06T00:00:00"/>
    <s v="Danielle Brown"/>
    <x v="1"/>
    <x v="3"/>
    <s v="Consumer"/>
    <x v="3"/>
    <x v="7"/>
    <n v="3"/>
    <n v="297.7"/>
    <n v="0.15"/>
    <x v="273"/>
    <n v="436.91"/>
    <x v="273"/>
    <s v="Transfer"/>
    <n v="3"/>
    <x v="5"/>
    <x v="2"/>
    <n v="2024"/>
    <m/>
  </r>
  <r>
    <x v="274"/>
    <d v="2024-03-22T00:00:00"/>
    <s v="Aaron Pierce"/>
    <x v="3"/>
    <x v="0"/>
    <s v="Corporate"/>
    <x v="1"/>
    <x v="3"/>
    <n v="3"/>
    <n v="803.54"/>
    <n v="0.15"/>
    <x v="274"/>
    <n v="1589.11"/>
    <x v="274"/>
    <s v="Transfer"/>
    <n v="4"/>
    <x v="1"/>
    <x v="0"/>
    <n v="2024"/>
    <m/>
  </r>
  <r>
    <x v="275"/>
    <d v="2024-10-14T00:00:00"/>
    <s v="Cynthia King"/>
    <x v="3"/>
    <x v="2"/>
    <s v="Corporate"/>
    <x v="2"/>
    <x v="9"/>
    <n v="8"/>
    <n v="896.58"/>
    <n v="0.05"/>
    <x v="275"/>
    <n v="4129.5600000000004"/>
    <x v="275"/>
    <s v="Mobile Payment"/>
    <n v="5"/>
    <x v="8"/>
    <x v="3"/>
    <n v="2024"/>
    <m/>
  </r>
  <r>
    <x v="276"/>
    <d v="2024-12-16T00:00:00"/>
    <s v="Renee White"/>
    <x v="1"/>
    <x v="4"/>
    <s v="Corporate"/>
    <x v="0"/>
    <x v="0"/>
    <n v="1"/>
    <n v="359.85"/>
    <n v="0.05"/>
    <x v="276"/>
    <n v="224.8"/>
    <x v="276"/>
    <s v="Cash"/>
    <n v="2"/>
    <x v="6"/>
    <x v="3"/>
    <n v="2024"/>
    <m/>
  </r>
  <r>
    <x v="277"/>
    <d v="2024-12-14T00:00:00"/>
    <s v="Mrs. Stephanie King"/>
    <x v="3"/>
    <x v="0"/>
    <s v="Home Office"/>
    <x v="3"/>
    <x v="7"/>
    <n v="8"/>
    <n v="1188.52"/>
    <n v="0.05"/>
    <x v="277"/>
    <n v="6870.5"/>
    <x v="277"/>
    <s v="Mobile Payment"/>
    <n v="5"/>
    <x v="6"/>
    <x v="3"/>
    <n v="2024"/>
    <m/>
  </r>
  <r>
    <x v="278"/>
    <d v="2024-04-03T00:00:00"/>
    <s v="Stephen Thompson"/>
    <x v="0"/>
    <x v="1"/>
    <s v="Home Office"/>
    <x v="1"/>
    <x v="2"/>
    <n v="2"/>
    <n v="62.18"/>
    <n v="0"/>
    <x v="278"/>
    <n v="98.79"/>
    <x v="278"/>
    <s v="Mobile Payment"/>
    <n v="1"/>
    <x v="10"/>
    <x v="2"/>
    <n v="2024"/>
    <m/>
  </r>
  <r>
    <x v="279"/>
    <d v="2024-10-25T00:00:00"/>
    <s v="Brent Turner"/>
    <x v="1"/>
    <x v="1"/>
    <s v="Home Office"/>
    <x v="0"/>
    <x v="11"/>
    <n v="4"/>
    <n v="603.96"/>
    <n v="0.15"/>
    <x v="279"/>
    <n v="1391.35"/>
    <x v="279"/>
    <s v="Mobile Payment"/>
    <n v="5"/>
    <x v="8"/>
    <x v="3"/>
    <n v="2024"/>
    <m/>
  </r>
  <r>
    <x v="280"/>
    <d v="2024-02-02T00:00:00"/>
    <s v="Ryan Jones"/>
    <x v="4"/>
    <x v="3"/>
    <s v="Corporate"/>
    <x v="3"/>
    <x v="8"/>
    <n v="6"/>
    <n v="863.53"/>
    <n v="0.15"/>
    <x v="280"/>
    <n v="3414.16"/>
    <x v="280"/>
    <s v="Mobile Payment"/>
    <n v="2"/>
    <x v="4"/>
    <x v="0"/>
    <n v="2024"/>
    <m/>
  </r>
  <r>
    <x v="281"/>
    <d v="2024-11-07T00:00:00"/>
    <s v="Nancy Dickerson"/>
    <x v="3"/>
    <x v="1"/>
    <s v="Home Office"/>
    <x v="2"/>
    <x v="9"/>
    <n v="9"/>
    <n v="1199.6600000000001"/>
    <n v="0.1"/>
    <x v="281"/>
    <n v="5775.37"/>
    <x v="281"/>
    <s v="Cash"/>
    <n v="4"/>
    <x v="11"/>
    <x v="3"/>
    <n v="2024"/>
    <m/>
  </r>
  <r>
    <x v="282"/>
    <d v="2024-11-04T00:00:00"/>
    <s v="Charles Wilson"/>
    <x v="0"/>
    <x v="2"/>
    <s v="Corporate"/>
    <x v="3"/>
    <x v="7"/>
    <n v="8"/>
    <n v="220.88"/>
    <n v="0.15"/>
    <x v="282"/>
    <n v="955.85"/>
    <x v="282"/>
    <s v="Cash"/>
    <n v="2"/>
    <x v="11"/>
    <x v="3"/>
    <n v="2024"/>
    <m/>
  </r>
  <r>
    <x v="283"/>
    <d v="2024-09-19T00:00:00"/>
    <s v="Beth Evans"/>
    <x v="2"/>
    <x v="2"/>
    <s v="Consumer"/>
    <x v="1"/>
    <x v="2"/>
    <n v="7"/>
    <n v="950.51"/>
    <n v="0"/>
    <x v="283"/>
    <n v="4589.1099999999997"/>
    <x v="283"/>
    <s v="Card"/>
    <n v="5"/>
    <x v="2"/>
    <x v="1"/>
    <n v="2024"/>
    <m/>
  </r>
  <r>
    <x v="284"/>
    <d v="2024-10-03T00:00:00"/>
    <s v="Brent Carey"/>
    <x v="1"/>
    <x v="2"/>
    <s v="Corporate"/>
    <x v="1"/>
    <x v="2"/>
    <n v="8"/>
    <n v="542.28"/>
    <n v="0.15"/>
    <x v="284"/>
    <n v="2369.9899999999998"/>
    <x v="284"/>
    <s v="Card"/>
    <n v="2"/>
    <x v="8"/>
    <x v="3"/>
    <n v="2024"/>
    <m/>
  </r>
  <r>
    <x v="285"/>
    <d v="2024-11-30T00:00:00"/>
    <s v="Courtney Thomas"/>
    <x v="0"/>
    <x v="2"/>
    <s v="Home Office"/>
    <x v="2"/>
    <x v="10"/>
    <n v="8"/>
    <n v="764.27"/>
    <n v="0.1"/>
    <x v="285"/>
    <n v="3791.17"/>
    <x v="285"/>
    <s v="Transfer"/>
    <n v="4"/>
    <x v="11"/>
    <x v="3"/>
    <n v="2024"/>
    <m/>
  </r>
  <r>
    <x v="286"/>
    <d v="2024-04-29T00:00:00"/>
    <s v="Shelley Powers"/>
    <x v="4"/>
    <x v="3"/>
    <s v="Consumer"/>
    <x v="0"/>
    <x v="5"/>
    <n v="5"/>
    <n v="492.7"/>
    <n v="0.15"/>
    <x v="286"/>
    <n v="1356.93"/>
    <x v="286"/>
    <s v="Mobile Payment"/>
    <n v="5"/>
    <x v="10"/>
    <x v="2"/>
    <n v="2024"/>
    <m/>
  </r>
  <r>
    <x v="287"/>
    <d v="2024-11-28T00:00:00"/>
    <s v="Mitchell Ortega"/>
    <x v="3"/>
    <x v="4"/>
    <s v="Consumer"/>
    <x v="3"/>
    <x v="8"/>
    <n v="7"/>
    <n v="1018.39"/>
    <n v="0.1"/>
    <x v="287"/>
    <n v="3700.82"/>
    <x v="287"/>
    <s v="Cash"/>
    <n v="2"/>
    <x v="11"/>
    <x v="3"/>
    <n v="2024"/>
    <m/>
  </r>
  <r>
    <x v="288"/>
    <d v="2024-11-12T00:00:00"/>
    <s v="Nicole Lawson"/>
    <x v="2"/>
    <x v="3"/>
    <s v="Consumer"/>
    <x v="3"/>
    <x v="7"/>
    <n v="12"/>
    <n v="246.65"/>
    <n v="0"/>
    <x v="288"/>
    <n v="1896.66"/>
    <x v="288"/>
    <s v="Cash"/>
    <n v="2"/>
    <x v="11"/>
    <x v="3"/>
    <n v="2024"/>
    <m/>
  </r>
  <r>
    <x v="289"/>
    <d v="2024-10-15T00:00:00"/>
    <s v="Karen Flowers"/>
    <x v="3"/>
    <x v="0"/>
    <s v="Home Office"/>
    <x v="1"/>
    <x v="2"/>
    <n v="12"/>
    <n v="304.45"/>
    <n v="0.05"/>
    <x v="289"/>
    <n v="2049.98"/>
    <x v="289"/>
    <s v="Cash"/>
    <n v="1"/>
    <x v="8"/>
    <x v="3"/>
    <n v="2024"/>
    <m/>
  </r>
  <r>
    <x v="290"/>
    <d v="2024-02-14T00:00:00"/>
    <s v="Bruce Hall"/>
    <x v="1"/>
    <x v="4"/>
    <s v="Home Office"/>
    <x v="1"/>
    <x v="3"/>
    <n v="5"/>
    <n v="1064.1199999999999"/>
    <n v="0"/>
    <x v="290"/>
    <n v="2776.45"/>
    <x v="290"/>
    <s v="Mobile Payment"/>
    <n v="3"/>
    <x v="4"/>
    <x v="0"/>
    <n v="2024"/>
    <m/>
  </r>
  <r>
    <x v="291"/>
    <d v="2024-12-30T00:00:00"/>
    <s v="Brittany Park"/>
    <x v="1"/>
    <x v="4"/>
    <s v="Home Office"/>
    <x v="2"/>
    <x v="9"/>
    <n v="5"/>
    <n v="113.57"/>
    <n v="0.05"/>
    <x v="291"/>
    <n v="434.86"/>
    <x v="291"/>
    <s v="Transfer"/>
    <n v="1"/>
    <x v="6"/>
    <x v="3"/>
    <n v="2024"/>
    <m/>
  </r>
  <r>
    <x v="292"/>
    <d v="2024-03-21T00:00:00"/>
    <s v="Tina White"/>
    <x v="4"/>
    <x v="4"/>
    <s v="Corporate"/>
    <x v="0"/>
    <x v="5"/>
    <n v="9"/>
    <n v="1116.23"/>
    <n v="0.05"/>
    <x v="292"/>
    <n v="7260.44"/>
    <x v="292"/>
    <s v="Cash"/>
    <n v="5"/>
    <x v="1"/>
    <x v="0"/>
    <n v="2024"/>
    <m/>
  </r>
  <r>
    <x v="293"/>
    <d v="2024-04-19T00:00:00"/>
    <s v="William Pineda"/>
    <x v="1"/>
    <x v="0"/>
    <s v="Consumer"/>
    <x v="1"/>
    <x v="3"/>
    <n v="6"/>
    <n v="1032.31"/>
    <n v="0.15"/>
    <x v="293"/>
    <n v="4329.47"/>
    <x v="293"/>
    <s v="Mobile Payment"/>
    <n v="2"/>
    <x v="10"/>
    <x v="2"/>
    <n v="2024"/>
    <m/>
  </r>
  <r>
    <x v="294"/>
    <d v="2024-12-08T00:00:00"/>
    <s v="Carolyn Sanchez"/>
    <x v="2"/>
    <x v="4"/>
    <s v="Consumer"/>
    <x v="1"/>
    <x v="2"/>
    <n v="10"/>
    <n v="127.78"/>
    <n v="0.15"/>
    <x v="294"/>
    <n v="583.07000000000005"/>
    <x v="294"/>
    <s v="Cash"/>
    <n v="4"/>
    <x v="6"/>
    <x v="3"/>
    <n v="2024"/>
    <m/>
  </r>
  <r>
    <x v="295"/>
    <d v="2024-07-24T00:00:00"/>
    <s v="Amanda Faulkner"/>
    <x v="0"/>
    <x v="4"/>
    <s v="Consumer"/>
    <x v="1"/>
    <x v="12"/>
    <n v="7"/>
    <n v="462.1"/>
    <n v="0.05"/>
    <x v="295"/>
    <n v="1950.55"/>
    <x v="295"/>
    <s v="Card"/>
    <n v="2"/>
    <x v="7"/>
    <x v="1"/>
    <n v="2024"/>
    <m/>
  </r>
  <r>
    <x v="296"/>
    <d v="2024-08-09T00:00:00"/>
    <s v="Ann Hale"/>
    <x v="3"/>
    <x v="4"/>
    <s v="Consumer"/>
    <x v="3"/>
    <x v="7"/>
    <n v="2"/>
    <n v="778.79"/>
    <n v="0"/>
    <x v="296"/>
    <n v="1196.31"/>
    <x v="296"/>
    <s v="Mobile Payment"/>
    <n v="4"/>
    <x v="3"/>
    <x v="1"/>
    <n v="2024"/>
    <m/>
  </r>
  <r>
    <x v="297"/>
    <d v="2024-05-17T00:00:00"/>
    <s v="Richard Parker"/>
    <x v="1"/>
    <x v="2"/>
    <s v="Corporate"/>
    <x v="2"/>
    <x v="4"/>
    <n v="9"/>
    <n v="672.8"/>
    <n v="0"/>
    <x v="297"/>
    <n v="4011.46"/>
    <x v="297"/>
    <s v="Transfer"/>
    <n v="3"/>
    <x v="9"/>
    <x v="2"/>
    <n v="2024"/>
    <m/>
  </r>
  <r>
    <x v="298"/>
    <d v="2024-09-25T00:00:00"/>
    <s v="Kevin Yates"/>
    <x v="1"/>
    <x v="4"/>
    <s v="Corporate"/>
    <x v="2"/>
    <x v="9"/>
    <n v="10"/>
    <n v="28.65"/>
    <n v="0.1"/>
    <x v="298"/>
    <n v="156.72999999999999"/>
    <x v="298"/>
    <s v="Mobile Payment"/>
    <n v="5"/>
    <x v="2"/>
    <x v="1"/>
    <n v="2024"/>
    <m/>
  </r>
  <r>
    <x v="299"/>
    <d v="2024-06-22T00:00:00"/>
    <s v="Molly Vasquez"/>
    <x v="4"/>
    <x v="2"/>
    <s v="Home Office"/>
    <x v="3"/>
    <x v="6"/>
    <n v="2"/>
    <n v="911.13"/>
    <n v="0.15"/>
    <x v="299"/>
    <n v="1272.9100000000001"/>
    <x v="299"/>
    <s v="Card"/>
    <n v="1"/>
    <x v="5"/>
    <x v="2"/>
    <n v="2024"/>
    <m/>
  </r>
  <r>
    <x v="300"/>
    <d v="2024-12-22T00:00:00"/>
    <s v="Michael Clark"/>
    <x v="0"/>
    <x v="2"/>
    <s v="Corporate"/>
    <x v="2"/>
    <x v="9"/>
    <n v="2"/>
    <n v="106.02"/>
    <n v="0.1"/>
    <x v="300"/>
    <n v="120.79"/>
    <x v="300"/>
    <s v="Transfer"/>
    <n v="3"/>
    <x v="6"/>
    <x v="3"/>
    <n v="2024"/>
    <m/>
  </r>
  <r>
    <x v="301"/>
    <d v="2024-10-11T00:00:00"/>
    <s v="Ashley Garner"/>
    <x v="0"/>
    <x v="1"/>
    <s v="Home Office"/>
    <x v="0"/>
    <x v="1"/>
    <n v="7"/>
    <n v="1130.3"/>
    <n v="0.05"/>
    <x v="301"/>
    <n v="4743.8500000000004"/>
    <x v="301"/>
    <s v="Transfer"/>
    <n v="5"/>
    <x v="8"/>
    <x v="3"/>
    <n v="2024"/>
    <m/>
  </r>
  <r>
    <x v="302"/>
    <d v="2024-08-04T00:00:00"/>
    <s v="Daniel Bennett"/>
    <x v="3"/>
    <x v="0"/>
    <s v="Corporate"/>
    <x v="1"/>
    <x v="2"/>
    <n v="8"/>
    <n v="1033.3399999999999"/>
    <n v="0.15"/>
    <x v="302"/>
    <n v="5267.02"/>
    <x v="302"/>
    <s v="Transfer"/>
    <n v="3"/>
    <x v="3"/>
    <x v="1"/>
    <n v="2024"/>
    <m/>
  </r>
  <r>
    <x v="303"/>
    <d v="2024-04-27T00:00:00"/>
    <s v="Matthew Tanner"/>
    <x v="4"/>
    <x v="3"/>
    <s v="Home Office"/>
    <x v="2"/>
    <x v="10"/>
    <n v="3"/>
    <n v="1111.68"/>
    <n v="0.05"/>
    <x v="303"/>
    <n v="1826.17"/>
    <x v="303"/>
    <s v="Transfer"/>
    <n v="2"/>
    <x v="10"/>
    <x v="2"/>
    <n v="2024"/>
    <m/>
  </r>
  <r>
    <x v="304"/>
    <d v="2024-12-11T00:00:00"/>
    <s v="Cynthia Kline"/>
    <x v="4"/>
    <x v="3"/>
    <s v="Corporate"/>
    <x v="1"/>
    <x v="3"/>
    <n v="2"/>
    <n v="1135.8399999999999"/>
    <n v="0"/>
    <x v="304"/>
    <n v="1484.31"/>
    <x v="304"/>
    <s v="Transfer"/>
    <n v="4"/>
    <x v="6"/>
    <x v="3"/>
    <n v="2024"/>
    <m/>
  </r>
  <r>
    <x v="305"/>
    <d v="2024-12-21T00:00:00"/>
    <s v="Kevin Olsen"/>
    <x v="2"/>
    <x v="0"/>
    <s v="Corporate"/>
    <x v="0"/>
    <x v="0"/>
    <n v="10"/>
    <n v="598.21"/>
    <n v="0.05"/>
    <x v="305"/>
    <n v="4714.3"/>
    <x v="305"/>
    <s v="Transfer"/>
    <n v="4"/>
    <x v="6"/>
    <x v="3"/>
    <n v="2024"/>
    <m/>
  </r>
  <r>
    <x v="306"/>
    <d v="2024-04-18T00:00:00"/>
    <s v="Jennifer Thomas"/>
    <x v="1"/>
    <x v="0"/>
    <s v="Consumer"/>
    <x v="3"/>
    <x v="6"/>
    <n v="3"/>
    <n v="694.37"/>
    <n v="0"/>
    <x v="306"/>
    <n v="1099.79"/>
    <x v="306"/>
    <s v="Card"/>
    <n v="1"/>
    <x v="10"/>
    <x v="2"/>
    <n v="2024"/>
    <m/>
  </r>
  <r>
    <x v="307"/>
    <d v="2024-07-08T00:00:00"/>
    <s v="Christopher Roberts"/>
    <x v="2"/>
    <x v="1"/>
    <s v="Home Office"/>
    <x v="0"/>
    <x v="0"/>
    <n v="8"/>
    <n v="81.47"/>
    <n v="0"/>
    <x v="307"/>
    <n v="380.9"/>
    <x v="307"/>
    <s v="Card"/>
    <n v="4"/>
    <x v="7"/>
    <x v="1"/>
    <n v="2024"/>
    <m/>
  </r>
  <r>
    <x v="308"/>
    <d v="2024-05-25T00:00:00"/>
    <s v="Dr. David Perry"/>
    <x v="4"/>
    <x v="2"/>
    <s v="Corporate"/>
    <x v="0"/>
    <x v="5"/>
    <n v="12"/>
    <n v="96.31"/>
    <n v="0.15"/>
    <x v="308"/>
    <n v="606.77"/>
    <x v="308"/>
    <s v="Transfer"/>
    <n v="3"/>
    <x v="9"/>
    <x v="2"/>
    <n v="2024"/>
    <m/>
  </r>
  <r>
    <x v="309"/>
    <d v="2024-05-27T00:00:00"/>
    <s v="Joseph Hill"/>
    <x v="0"/>
    <x v="2"/>
    <s v="Home Office"/>
    <x v="3"/>
    <x v="8"/>
    <n v="11"/>
    <n v="603.08000000000004"/>
    <n v="0.05"/>
    <x v="309"/>
    <n v="4911.4399999999996"/>
    <x v="309"/>
    <s v="Cash"/>
    <n v="5"/>
    <x v="9"/>
    <x v="2"/>
    <n v="2024"/>
    <m/>
  </r>
  <r>
    <x v="310"/>
    <d v="2024-12-13T00:00:00"/>
    <s v="Diana Vazquez"/>
    <x v="1"/>
    <x v="3"/>
    <s v="Consumer"/>
    <x v="3"/>
    <x v="8"/>
    <n v="5"/>
    <n v="1148.3699999999999"/>
    <n v="0"/>
    <x v="310"/>
    <n v="3222.26"/>
    <x v="310"/>
    <s v="Mobile Payment"/>
    <n v="1"/>
    <x v="6"/>
    <x v="3"/>
    <n v="2024"/>
    <m/>
  </r>
  <r>
    <x v="311"/>
    <d v="2024-09-26T00:00:00"/>
    <s v="William Brown"/>
    <x v="3"/>
    <x v="1"/>
    <s v="Consumer"/>
    <x v="1"/>
    <x v="12"/>
    <n v="9"/>
    <n v="273.52999999999997"/>
    <n v="0.05"/>
    <x v="311"/>
    <n v="1659.84"/>
    <x v="311"/>
    <s v="Card"/>
    <n v="5"/>
    <x v="2"/>
    <x v="1"/>
    <n v="2024"/>
    <m/>
  </r>
  <r>
    <x v="312"/>
    <d v="2024-10-24T00:00:00"/>
    <s v="Raymond White"/>
    <x v="4"/>
    <x v="1"/>
    <s v="Home Office"/>
    <x v="1"/>
    <x v="12"/>
    <n v="7"/>
    <n v="657.69"/>
    <n v="0.15"/>
    <x v="312"/>
    <n v="2954.82"/>
    <x v="312"/>
    <s v="Mobile Payment"/>
    <n v="5"/>
    <x v="8"/>
    <x v="3"/>
    <n v="2024"/>
    <m/>
  </r>
  <r>
    <x v="313"/>
    <d v="2024-04-22T00:00:00"/>
    <s v="Patrick Hill"/>
    <x v="4"/>
    <x v="1"/>
    <s v="Consumer"/>
    <x v="0"/>
    <x v="0"/>
    <n v="3"/>
    <n v="37.94"/>
    <n v="0"/>
    <x v="313"/>
    <n v="85.17"/>
    <x v="313"/>
    <s v="Transfer"/>
    <n v="4"/>
    <x v="10"/>
    <x v="2"/>
    <n v="2024"/>
    <m/>
  </r>
  <r>
    <x v="314"/>
    <d v="2024-05-23T00:00:00"/>
    <s v="Heather Kramer"/>
    <x v="0"/>
    <x v="1"/>
    <s v="Consumer"/>
    <x v="2"/>
    <x v="9"/>
    <n v="3"/>
    <n v="296.14999999999998"/>
    <n v="0.1"/>
    <x v="314"/>
    <n v="510.95"/>
    <x v="314"/>
    <s v="Card"/>
    <n v="5"/>
    <x v="9"/>
    <x v="2"/>
    <n v="2024"/>
    <m/>
  </r>
  <r>
    <x v="315"/>
    <d v="2024-04-20T00:00:00"/>
    <s v="Andrew Stevens"/>
    <x v="3"/>
    <x v="4"/>
    <s v="Consumer"/>
    <x v="3"/>
    <x v="6"/>
    <n v="11"/>
    <n v="689.66"/>
    <n v="0.15"/>
    <x v="315"/>
    <n v="5180.42"/>
    <x v="315"/>
    <s v="Cash"/>
    <n v="4"/>
    <x v="10"/>
    <x v="2"/>
    <n v="2024"/>
    <m/>
  </r>
  <r>
    <x v="316"/>
    <d v="2024-03-05T00:00:00"/>
    <s v="Jennifer Smith"/>
    <x v="2"/>
    <x v="0"/>
    <s v="Corporate"/>
    <x v="3"/>
    <x v="7"/>
    <n v="3"/>
    <n v="1190.23"/>
    <n v="0"/>
    <x v="316"/>
    <n v="1801.49"/>
    <x v="316"/>
    <s v="Transfer"/>
    <n v="3"/>
    <x v="1"/>
    <x v="0"/>
    <n v="2024"/>
    <m/>
  </r>
  <r>
    <x v="317"/>
    <d v="2024-03-29T00:00:00"/>
    <s v="William Jackson"/>
    <x v="1"/>
    <x v="4"/>
    <s v="Corporate"/>
    <x v="3"/>
    <x v="6"/>
    <n v="12"/>
    <n v="220.55"/>
    <n v="0.1"/>
    <x v="317"/>
    <n v="1233.02"/>
    <x v="317"/>
    <s v="Card"/>
    <n v="5"/>
    <x v="1"/>
    <x v="0"/>
    <n v="2024"/>
    <m/>
  </r>
  <r>
    <x v="318"/>
    <d v="2024-03-15T00:00:00"/>
    <s v="Tracy Ferguson"/>
    <x v="4"/>
    <x v="2"/>
    <s v="Consumer"/>
    <x v="0"/>
    <x v="11"/>
    <n v="7"/>
    <n v="923.89"/>
    <n v="0.1"/>
    <x v="318"/>
    <n v="4641.13"/>
    <x v="318"/>
    <s v="Cash"/>
    <n v="3"/>
    <x v="1"/>
    <x v="0"/>
    <n v="2024"/>
    <m/>
  </r>
  <r>
    <x v="319"/>
    <d v="2024-06-08T00:00:00"/>
    <s v="Aaron Hartman"/>
    <x v="1"/>
    <x v="1"/>
    <s v="Home Office"/>
    <x v="2"/>
    <x v="10"/>
    <n v="7"/>
    <n v="257.95"/>
    <n v="0.15"/>
    <x v="319"/>
    <n v="809.34"/>
    <x v="319"/>
    <s v="Card"/>
    <n v="5"/>
    <x v="5"/>
    <x v="2"/>
    <n v="2024"/>
    <m/>
  </r>
  <r>
    <x v="320"/>
    <d v="2024-02-05T00:00:00"/>
    <s v="Diana Martinez"/>
    <x v="2"/>
    <x v="1"/>
    <s v="Corporate"/>
    <x v="3"/>
    <x v="8"/>
    <n v="3"/>
    <n v="48.27"/>
    <n v="0.15"/>
    <x v="320"/>
    <n v="94.23"/>
    <x v="320"/>
    <s v="Cash"/>
    <n v="3"/>
    <x v="4"/>
    <x v="0"/>
    <n v="2024"/>
    <m/>
  </r>
  <r>
    <x v="321"/>
    <d v="2024-10-08T00:00:00"/>
    <s v="Louis Taylor"/>
    <x v="0"/>
    <x v="4"/>
    <s v="Consumer"/>
    <x v="2"/>
    <x v="4"/>
    <n v="12"/>
    <n v="1048.7"/>
    <n v="0.1"/>
    <x v="321"/>
    <n v="9574.42"/>
    <x v="321"/>
    <s v="Mobile Payment"/>
    <n v="3"/>
    <x v="8"/>
    <x v="3"/>
    <n v="2024"/>
    <m/>
  </r>
  <r>
    <x v="322"/>
    <d v="2024-11-01T00:00:00"/>
    <s v="Shannon Maxwell"/>
    <x v="4"/>
    <x v="4"/>
    <s v="Home Office"/>
    <x v="2"/>
    <x v="10"/>
    <n v="3"/>
    <n v="431.23"/>
    <n v="0.1"/>
    <x v="322"/>
    <n v="661.2"/>
    <x v="322"/>
    <s v="Transfer"/>
    <n v="5"/>
    <x v="11"/>
    <x v="3"/>
    <n v="2024"/>
    <m/>
  </r>
  <r>
    <x v="323"/>
    <d v="2024-02-20T00:00:00"/>
    <s v="Hannah Davidson"/>
    <x v="2"/>
    <x v="4"/>
    <s v="Corporate"/>
    <x v="3"/>
    <x v="7"/>
    <n v="6"/>
    <n v="1084.4100000000001"/>
    <n v="0.05"/>
    <x v="323"/>
    <n v="3941.18"/>
    <x v="323"/>
    <s v="Cash"/>
    <n v="5"/>
    <x v="4"/>
    <x v="0"/>
    <n v="2024"/>
    <m/>
  </r>
  <r>
    <x v="324"/>
    <d v="2024-06-10T00:00:00"/>
    <s v="Kyle Clark"/>
    <x v="2"/>
    <x v="2"/>
    <s v="Consumer"/>
    <x v="3"/>
    <x v="7"/>
    <n v="5"/>
    <n v="142.41999999999999"/>
    <n v="0"/>
    <x v="324"/>
    <n v="449.79"/>
    <x v="324"/>
    <s v="Transfer"/>
    <n v="1"/>
    <x v="5"/>
    <x v="2"/>
    <n v="2024"/>
    <m/>
  </r>
  <r>
    <x v="325"/>
    <d v="2024-09-12T00:00:00"/>
    <s v="Mrs. Maria Rivera MD"/>
    <x v="3"/>
    <x v="1"/>
    <s v="Home Office"/>
    <x v="0"/>
    <x v="1"/>
    <n v="8"/>
    <n v="1034.6600000000001"/>
    <n v="0.15"/>
    <x v="325"/>
    <n v="4020.33"/>
    <x v="325"/>
    <s v="Transfer"/>
    <n v="1"/>
    <x v="2"/>
    <x v="1"/>
    <n v="2024"/>
    <m/>
  </r>
  <r>
    <x v="326"/>
    <d v="2024-09-06T00:00:00"/>
    <s v="George Wood"/>
    <x v="3"/>
    <x v="3"/>
    <s v="Home Office"/>
    <x v="2"/>
    <x v="9"/>
    <n v="12"/>
    <n v="893.79"/>
    <n v="0"/>
    <x v="326"/>
    <n v="6637.05"/>
    <x v="326"/>
    <s v="Cash"/>
    <n v="1"/>
    <x v="2"/>
    <x v="1"/>
    <n v="2024"/>
    <m/>
  </r>
  <r>
    <x v="327"/>
    <d v="2024-01-02T00:00:00"/>
    <s v="Casey Doyle"/>
    <x v="3"/>
    <x v="4"/>
    <s v="Home Office"/>
    <x v="1"/>
    <x v="12"/>
    <n v="5"/>
    <n v="508.01"/>
    <n v="0"/>
    <x v="327"/>
    <n v="1447.99"/>
    <x v="327"/>
    <s v="Card"/>
    <n v="1"/>
    <x v="0"/>
    <x v="0"/>
    <n v="2024"/>
    <m/>
  </r>
  <r>
    <x v="328"/>
    <d v="2024-10-21T00:00:00"/>
    <s v="Kelly Rivera"/>
    <x v="2"/>
    <x v="3"/>
    <s v="Corporate"/>
    <x v="2"/>
    <x v="9"/>
    <n v="7"/>
    <n v="312.57"/>
    <n v="0.05"/>
    <x v="328"/>
    <n v="1688.37"/>
    <x v="328"/>
    <s v="Cash"/>
    <n v="1"/>
    <x v="8"/>
    <x v="3"/>
    <n v="2024"/>
    <m/>
  </r>
  <r>
    <x v="329"/>
    <d v="2024-04-30T00:00:00"/>
    <s v="Chad Ferguson"/>
    <x v="3"/>
    <x v="4"/>
    <s v="Home Office"/>
    <x v="1"/>
    <x v="12"/>
    <n v="6"/>
    <n v="670.04"/>
    <n v="0.1"/>
    <x v="329"/>
    <n v="1987.22"/>
    <x v="329"/>
    <s v="Transfer"/>
    <n v="5"/>
    <x v="10"/>
    <x v="2"/>
    <n v="2024"/>
    <m/>
  </r>
  <r>
    <x v="330"/>
    <d v="2024-12-10T00:00:00"/>
    <s v="Jamie Beasley"/>
    <x v="3"/>
    <x v="0"/>
    <s v="Home Office"/>
    <x v="2"/>
    <x v="4"/>
    <n v="4"/>
    <n v="69.69"/>
    <n v="0"/>
    <x v="330"/>
    <n v="233.31"/>
    <x v="330"/>
    <s v="Mobile Payment"/>
    <n v="1"/>
    <x v="6"/>
    <x v="3"/>
    <n v="2024"/>
    <m/>
  </r>
  <r>
    <x v="331"/>
    <d v="2024-08-18T00:00:00"/>
    <s v="George Jenkins"/>
    <x v="1"/>
    <x v="2"/>
    <s v="Consumer"/>
    <x v="1"/>
    <x v="2"/>
    <n v="10"/>
    <n v="275.64999999999998"/>
    <n v="0.05"/>
    <x v="331"/>
    <n v="1379.05"/>
    <x v="331"/>
    <s v="Transfer"/>
    <n v="3"/>
    <x v="3"/>
    <x v="1"/>
    <n v="2024"/>
    <m/>
  </r>
  <r>
    <x v="332"/>
    <d v="2024-03-21T00:00:00"/>
    <s v="Natalie Lee"/>
    <x v="2"/>
    <x v="2"/>
    <s v="Consumer"/>
    <x v="3"/>
    <x v="6"/>
    <n v="10"/>
    <n v="932.99"/>
    <n v="0"/>
    <x v="332"/>
    <n v="6265.8"/>
    <x v="332"/>
    <s v="Transfer"/>
    <n v="4"/>
    <x v="1"/>
    <x v="0"/>
    <n v="2024"/>
    <m/>
  </r>
  <r>
    <x v="333"/>
    <d v="2024-07-10T00:00:00"/>
    <s v="Justin Shaffer"/>
    <x v="3"/>
    <x v="3"/>
    <s v="Consumer"/>
    <x v="1"/>
    <x v="3"/>
    <n v="6"/>
    <n v="106.64"/>
    <n v="0.15"/>
    <x v="333"/>
    <n v="419.52"/>
    <x v="333"/>
    <s v="Cash"/>
    <n v="2"/>
    <x v="7"/>
    <x v="1"/>
    <n v="2024"/>
    <m/>
  </r>
  <r>
    <x v="334"/>
    <d v="2024-05-01T00:00:00"/>
    <s v="Anna Barker"/>
    <x v="0"/>
    <x v="2"/>
    <s v="Consumer"/>
    <x v="1"/>
    <x v="3"/>
    <n v="5"/>
    <n v="984.48"/>
    <n v="0.1"/>
    <x v="334"/>
    <n v="3583.85"/>
    <x v="334"/>
    <s v="Transfer"/>
    <n v="1"/>
    <x v="9"/>
    <x v="2"/>
    <n v="2024"/>
    <m/>
  </r>
  <r>
    <x v="335"/>
    <d v="2024-03-21T00:00:00"/>
    <s v="Taylor Bishop"/>
    <x v="1"/>
    <x v="2"/>
    <s v="Home Office"/>
    <x v="2"/>
    <x v="10"/>
    <n v="8"/>
    <n v="1047.6400000000001"/>
    <n v="0.05"/>
    <x v="335"/>
    <n v="6198.95"/>
    <x v="335"/>
    <s v="Card"/>
    <n v="5"/>
    <x v="1"/>
    <x v="0"/>
    <n v="2024"/>
    <m/>
  </r>
  <r>
    <x v="336"/>
    <d v="2024-04-26T00:00:00"/>
    <s v="Caleb Herman"/>
    <x v="2"/>
    <x v="2"/>
    <s v="Corporate"/>
    <x v="0"/>
    <x v="5"/>
    <n v="12"/>
    <n v="349.6"/>
    <n v="0.15"/>
    <x v="336"/>
    <n v="2051.7600000000002"/>
    <x v="336"/>
    <s v="Cash"/>
    <n v="2"/>
    <x v="10"/>
    <x v="2"/>
    <n v="2024"/>
    <m/>
  </r>
  <r>
    <x v="337"/>
    <d v="2024-03-20T00:00:00"/>
    <s v="Sarah Deleon"/>
    <x v="1"/>
    <x v="2"/>
    <s v="Home Office"/>
    <x v="3"/>
    <x v="7"/>
    <n v="8"/>
    <n v="1126.8800000000001"/>
    <n v="0.05"/>
    <x v="337"/>
    <n v="7136.33"/>
    <x v="337"/>
    <s v="Cash"/>
    <n v="4"/>
    <x v="1"/>
    <x v="0"/>
    <n v="2024"/>
    <m/>
  </r>
  <r>
    <x v="338"/>
    <d v="2024-07-09T00:00:00"/>
    <s v="Amber Luna"/>
    <x v="3"/>
    <x v="4"/>
    <s v="Home Office"/>
    <x v="3"/>
    <x v="8"/>
    <n v="5"/>
    <n v="237.12"/>
    <n v="0.1"/>
    <x v="338"/>
    <n v="587.70000000000005"/>
    <x v="338"/>
    <s v="Card"/>
    <n v="2"/>
    <x v="7"/>
    <x v="1"/>
    <n v="2024"/>
    <m/>
  </r>
  <r>
    <x v="339"/>
    <d v="2024-05-13T00:00:00"/>
    <s v="Sheryl Young"/>
    <x v="0"/>
    <x v="2"/>
    <s v="Corporate"/>
    <x v="2"/>
    <x v="10"/>
    <n v="3"/>
    <n v="435.31"/>
    <n v="0"/>
    <x v="339"/>
    <n v="805.21"/>
    <x v="339"/>
    <s v="Transfer"/>
    <n v="2"/>
    <x v="9"/>
    <x v="2"/>
    <n v="2024"/>
    <m/>
  </r>
  <r>
    <x v="340"/>
    <d v="2024-12-01T00:00:00"/>
    <s v="Lisa Stevenson"/>
    <x v="3"/>
    <x v="4"/>
    <s v="Home Office"/>
    <x v="2"/>
    <x v="9"/>
    <n v="7"/>
    <n v="432.81"/>
    <n v="0.05"/>
    <x v="340"/>
    <n v="2056.34"/>
    <x v="340"/>
    <s v="Transfer"/>
    <n v="2"/>
    <x v="6"/>
    <x v="3"/>
    <n v="2024"/>
    <m/>
  </r>
  <r>
    <x v="341"/>
    <d v="2024-12-04T00:00:00"/>
    <s v="Natalie Williams"/>
    <x v="0"/>
    <x v="3"/>
    <s v="Corporate"/>
    <x v="3"/>
    <x v="6"/>
    <n v="11"/>
    <n v="215.77"/>
    <n v="0.05"/>
    <x v="341"/>
    <n v="1730.53"/>
    <x v="341"/>
    <s v="Transfer"/>
    <n v="2"/>
    <x v="6"/>
    <x v="3"/>
    <n v="2024"/>
    <m/>
  </r>
  <r>
    <x v="342"/>
    <d v="2024-05-26T00:00:00"/>
    <s v="Richard Mason"/>
    <x v="3"/>
    <x v="0"/>
    <s v="Home Office"/>
    <x v="1"/>
    <x v="2"/>
    <n v="7"/>
    <n v="1121.82"/>
    <n v="0"/>
    <x v="342"/>
    <n v="4118.76"/>
    <x v="342"/>
    <s v="Card"/>
    <n v="5"/>
    <x v="9"/>
    <x v="2"/>
    <n v="2024"/>
    <m/>
  </r>
  <r>
    <x v="343"/>
    <d v="2024-08-29T00:00:00"/>
    <s v="Bethany Ritter"/>
    <x v="2"/>
    <x v="2"/>
    <s v="Corporate"/>
    <x v="3"/>
    <x v="8"/>
    <n v="9"/>
    <n v="1138.51"/>
    <n v="0"/>
    <x v="343"/>
    <n v="5900.19"/>
    <x v="343"/>
    <s v="Transfer"/>
    <n v="3"/>
    <x v="3"/>
    <x v="1"/>
    <n v="2024"/>
    <m/>
  </r>
  <r>
    <x v="344"/>
    <d v="2024-07-02T00:00:00"/>
    <s v="Stacey Mitchell"/>
    <x v="1"/>
    <x v="4"/>
    <s v="Home Office"/>
    <x v="1"/>
    <x v="12"/>
    <n v="10"/>
    <n v="476.66"/>
    <n v="0.05"/>
    <x v="344"/>
    <n v="2922.57"/>
    <x v="344"/>
    <s v="Card"/>
    <n v="1"/>
    <x v="7"/>
    <x v="1"/>
    <n v="2024"/>
    <m/>
  </r>
  <r>
    <x v="345"/>
    <d v="2024-06-14T00:00:00"/>
    <s v="Antonio Moreno"/>
    <x v="3"/>
    <x v="3"/>
    <s v="Corporate"/>
    <x v="0"/>
    <x v="11"/>
    <n v="5"/>
    <n v="264.27"/>
    <n v="0.1"/>
    <x v="345"/>
    <n v="714.73"/>
    <x v="345"/>
    <s v="Card"/>
    <n v="4"/>
    <x v="5"/>
    <x v="2"/>
    <n v="2024"/>
    <m/>
  </r>
  <r>
    <x v="346"/>
    <d v="2024-12-26T00:00:00"/>
    <s v="Stephen Richards"/>
    <x v="0"/>
    <x v="0"/>
    <s v="Consumer"/>
    <x v="1"/>
    <x v="2"/>
    <n v="8"/>
    <n v="1159.1500000000001"/>
    <n v="0.15"/>
    <x v="346"/>
    <n v="4579.8900000000003"/>
    <x v="346"/>
    <s v="Mobile Payment"/>
    <n v="3"/>
    <x v="6"/>
    <x v="3"/>
    <n v="2024"/>
    <m/>
  </r>
  <r>
    <x v="347"/>
    <d v="2024-11-02T00:00:00"/>
    <s v="Jennifer Sherman"/>
    <x v="0"/>
    <x v="4"/>
    <s v="Corporate"/>
    <x v="0"/>
    <x v="5"/>
    <n v="1"/>
    <n v="1078.3"/>
    <n v="0.15"/>
    <x v="347"/>
    <n v="554.54999999999995"/>
    <x v="347"/>
    <s v="Card"/>
    <n v="4"/>
    <x v="11"/>
    <x v="3"/>
    <n v="2024"/>
    <m/>
  </r>
  <r>
    <x v="348"/>
    <d v="2024-08-20T00:00:00"/>
    <s v="April Ramos"/>
    <x v="3"/>
    <x v="4"/>
    <s v="Home Office"/>
    <x v="0"/>
    <x v="1"/>
    <n v="3"/>
    <n v="430.26"/>
    <n v="0.15"/>
    <x v="348"/>
    <n v="613.74"/>
    <x v="348"/>
    <s v="Mobile Payment"/>
    <n v="4"/>
    <x v="3"/>
    <x v="1"/>
    <n v="2024"/>
    <m/>
  </r>
  <r>
    <x v="349"/>
    <d v="2024-04-26T00:00:00"/>
    <s v="Barry Morris"/>
    <x v="3"/>
    <x v="1"/>
    <s v="Home Office"/>
    <x v="1"/>
    <x v="2"/>
    <n v="3"/>
    <n v="936.78"/>
    <n v="0.1"/>
    <x v="349"/>
    <n v="1486.99"/>
    <x v="349"/>
    <s v="Card"/>
    <n v="2"/>
    <x v="10"/>
    <x v="2"/>
    <n v="2024"/>
    <m/>
  </r>
  <r>
    <x v="350"/>
    <d v="2024-10-12T00:00:00"/>
    <s v="Christopher Sullivan"/>
    <x v="3"/>
    <x v="0"/>
    <s v="Home Office"/>
    <x v="3"/>
    <x v="6"/>
    <n v="9"/>
    <n v="547.11"/>
    <n v="0.05"/>
    <x v="350"/>
    <n v="2972.56"/>
    <x v="350"/>
    <s v="Transfer"/>
    <n v="4"/>
    <x v="8"/>
    <x v="3"/>
    <n v="2024"/>
    <m/>
  </r>
  <r>
    <x v="351"/>
    <d v="2024-11-29T00:00:00"/>
    <s v="Timothy Perry"/>
    <x v="4"/>
    <x v="2"/>
    <s v="Corporate"/>
    <x v="2"/>
    <x v="4"/>
    <n v="4"/>
    <n v="890.88"/>
    <n v="0"/>
    <x v="351"/>
    <n v="2712.25"/>
    <x v="351"/>
    <s v="Cash"/>
    <n v="5"/>
    <x v="11"/>
    <x v="3"/>
    <n v="2024"/>
    <m/>
  </r>
  <r>
    <x v="352"/>
    <d v="2024-12-03T00:00:00"/>
    <s v="Collin Mendez"/>
    <x v="2"/>
    <x v="0"/>
    <s v="Corporate"/>
    <x v="0"/>
    <x v="1"/>
    <n v="11"/>
    <n v="733.94"/>
    <n v="0.05"/>
    <x v="352"/>
    <n v="6174.04"/>
    <x v="352"/>
    <s v="Mobile Payment"/>
    <n v="1"/>
    <x v="6"/>
    <x v="3"/>
    <n v="2024"/>
    <m/>
  </r>
  <r>
    <x v="353"/>
    <d v="2024-10-01T00:00:00"/>
    <s v="Kevin Gentry"/>
    <x v="4"/>
    <x v="1"/>
    <s v="Consumer"/>
    <x v="1"/>
    <x v="3"/>
    <n v="8"/>
    <n v="815.66"/>
    <n v="0"/>
    <x v="353"/>
    <n v="5428.64"/>
    <x v="353"/>
    <s v="Card"/>
    <n v="4"/>
    <x v="8"/>
    <x v="3"/>
    <n v="2024"/>
    <m/>
  </r>
  <r>
    <x v="354"/>
    <d v="2024-05-14T00:00:00"/>
    <s v="Lucas Greene"/>
    <x v="3"/>
    <x v="2"/>
    <s v="Corporate"/>
    <x v="1"/>
    <x v="2"/>
    <n v="4"/>
    <n v="589.51"/>
    <n v="0.1"/>
    <x v="354"/>
    <n v="1625.86"/>
    <x v="354"/>
    <s v="Cash"/>
    <n v="4"/>
    <x v="9"/>
    <x v="2"/>
    <n v="2024"/>
    <m/>
  </r>
  <r>
    <x v="355"/>
    <d v="2024-03-07T00:00:00"/>
    <s v="Cameron Garcia II"/>
    <x v="1"/>
    <x v="0"/>
    <s v="Corporate"/>
    <x v="2"/>
    <x v="4"/>
    <n v="1"/>
    <n v="402.11"/>
    <n v="0"/>
    <x v="355"/>
    <n v="224.35"/>
    <x v="355"/>
    <s v="Cash"/>
    <n v="1"/>
    <x v="1"/>
    <x v="0"/>
    <n v="2024"/>
    <m/>
  </r>
  <r>
    <x v="356"/>
    <d v="2024-01-18T00:00:00"/>
    <s v="Mr. Nicholas Hughes MD"/>
    <x v="1"/>
    <x v="3"/>
    <s v="Consumer"/>
    <x v="0"/>
    <x v="11"/>
    <n v="5"/>
    <n v="512.53"/>
    <n v="0.15"/>
    <x v="356"/>
    <n v="1179.49"/>
    <x v="356"/>
    <s v="Card"/>
    <n v="1"/>
    <x v="0"/>
    <x v="0"/>
    <n v="2024"/>
    <m/>
  </r>
  <r>
    <x v="357"/>
    <d v="2024-07-08T00:00:00"/>
    <s v="Amber Morgan"/>
    <x v="2"/>
    <x v="2"/>
    <s v="Corporate"/>
    <x v="3"/>
    <x v="7"/>
    <n v="9"/>
    <n v="738.05"/>
    <n v="0.15"/>
    <x v="357"/>
    <n v="3781.66"/>
    <x v="357"/>
    <s v="Transfer"/>
    <n v="4"/>
    <x v="7"/>
    <x v="1"/>
    <n v="2024"/>
    <m/>
  </r>
  <r>
    <x v="358"/>
    <d v="2024-07-30T00:00:00"/>
    <s v="Mary Lloyd"/>
    <x v="3"/>
    <x v="2"/>
    <s v="Home Office"/>
    <x v="1"/>
    <x v="12"/>
    <n v="3"/>
    <n v="224.04"/>
    <n v="0.05"/>
    <x v="358"/>
    <n v="417.09"/>
    <x v="358"/>
    <s v="Transfer"/>
    <n v="4"/>
    <x v="7"/>
    <x v="1"/>
    <n v="2024"/>
    <m/>
  </r>
  <r>
    <x v="359"/>
    <d v="2024-11-23T00:00:00"/>
    <s v="John Fisher DVM"/>
    <x v="2"/>
    <x v="0"/>
    <s v="Consumer"/>
    <x v="1"/>
    <x v="2"/>
    <n v="12"/>
    <n v="343.93"/>
    <n v="0.1"/>
    <x v="359"/>
    <n v="2531.33"/>
    <x v="359"/>
    <s v="Card"/>
    <n v="2"/>
    <x v="11"/>
    <x v="3"/>
    <n v="2024"/>
    <m/>
  </r>
  <r>
    <x v="360"/>
    <d v="2024-08-24T00:00:00"/>
    <s v="Michael Walsh"/>
    <x v="3"/>
    <x v="0"/>
    <s v="Home Office"/>
    <x v="2"/>
    <x v="10"/>
    <n v="8"/>
    <n v="1040.07"/>
    <n v="0.05"/>
    <x v="360"/>
    <n v="5574.55"/>
    <x v="360"/>
    <s v="Card"/>
    <n v="2"/>
    <x v="3"/>
    <x v="1"/>
    <n v="2024"/>
    <m/>
  </r>
  <r>
    <x v="361"/>
    <d v="2024-04-11T00:00:00"/>
    <s v="Patricia Rodgers"/>
    <x v="4"/>
    <x v="3"/>
    <s v="Consumer"/>
    <x v="2"/>
    <x v="4"/>
    <n v="12"/>
    <n v="397.65"/>
    <n v="0.1"/>
    <x v="361"/>
    <n v="2291.71"/>
    <x v="361"/>
    <s v="Cash"/>
    <n v="3"/>
    <x v="10"/>
    <x v="2"/>
    <n v="2024"/>
    <m/>
  </r>
  <r>
    <x v="362"/>
    <d v="2024-01-25T00:00:00"/>
    <s v="Robert Hernandez"/>
    <x v="4"/>
    <x v="2"/>
    <s v="Corporate"/>
    <x v="2"/>
    <x v="4"/>
    <n v="9"/>
    <n v="1111.68"/>
    <n v="0.05"/>
    <x v="362"/>
    <n v="4876.62"/>
    <x v="362"/>
    <s v="Mobile Payment"/>
    <n v="4"/>
    <x v="0"/>
    <x v="0"/>
    <n v="2024"/>
    <m/>
  </r>
  <r>
    <x v="363"/>
    <d v="2024-12-24T00:00:00"/>
    <s v="Mary Woods MD"/>
    <x v="1"/>
    <x v="1"/>
    <s v="Home Office"/>
    <x v="3"/>
    <x v="8"/>
    <n v="10"/>
    <n v="853.52"/>
    <n v="0.15"/>
    <x v="363"/>
    <n v="4407.01"/>
    <x v="363"/>
    <s v="Transfer"/>
    <n v="2"/>
    <x v="6"/>
    <x v="3"/>
    <n v="2024"/>
    <m/>
  </r>
  <r>
    <x v="364"/>
    <d v="2024-11-19T00:00:00"/>
    <s v="Jesus Weber"/>
    <x v="3"/>
    <x v="4"/>
    <s v="Home Office"/>
    <x v="0"/>
    <x v="0"/>
    <n v="4"/>
    <n v="872.01"/>
    <n v="0.15"/>
    <x v="364"/>
    <n v="1814.62"/>
    <x v="364"/>
    <s v="Cash"/>
    <n v="2"/>
    <x v="11"/>
    <x v="3"/>
    <n v="2024"/>
    <m/>
  </r>
  <r>
    <x v="365"/>
    <d v="2024-08-16T00:00:00"/>
    <s v="Rachel Walls"/>
    <x v="1"/>
    <x v="4"/>
    <s v="Corporate"/>
    <x v="3"/>
    <x v="8"/>
    <n v="2"/>
    <n v="972.36"/>
    <n v="0"/>
    <x v="365"/>
    <n v="1290.01"/>
    <x v="365"/>
    <s v="Cash"/>
    <n v="3"/>
    <x v="3"/>
    <x v="1"/>
    <n v="2024"/>
    <m/>
  </r>
  <r>
    <x v="366"/>
    <d v="2024-10-14T00:00:00"/>
    <s v="Mr. Christopher Mccann"/>
    <x v="1"/>
    <x v="3"/>
    <s v="Corporate"/>
    <x v="2"/>
    <x v="4"/>
    <n v="12"/>
    <n v="360.81"/>
    <n v="0.1"/>
    <x v="366"/>
    <n v="2871.74"/>
    <x v="366"/>
    <s v="Cash"/>
    <n v="4"/>
    <x v="8"/>
    <x v="3"/>
    <n v="2024"/>
    <m/>
  </r>
  <r>
    <x v="367"/>
    <d v="2024-08-09T00:00:00"/>
    <s v="Glenn Austin"/>
    <x v="4"/>
    <x v="3"/>
    <s v="Consumer"/>
    <x v="1"/>
    <x v="3"/>
    <n v="12"/>
    <n v="565.41999999999996"/>
    <n v="0.1"/>
    <x v="367"/>
    <n v="3384.86"/>
    <x v="367"/>
    <s v="Mobile Payment"/>
    <n v="2"/>
    <x v="3"/>
    <x v="1"/>
    <n v="2024"/>
    <m/>
  </r>
  <r>
    <x v="368"/>
    <d v="2024-12-08T00:00:00"/>
    <s v="Nancy Espinoza"/>
    <x v="4"/>
    <x v="1"/>
    <s v="Corporate"/>
    <x v="3"/>
    <x v="8"/>
    <n v="4"/>
    <n v="168.8"/>
    <n v="0.1"/>
    <x v="368"/>
    <n v="390.12"/>
    <x v="368"/>
    <s v="Cash"/>
    <n v="1"/>
    <x v="6"/>
    <x v="3"/>
    <n v="2024"/>
    <m/>
  </r>
  <r>
    <x v="369"/>
    <d v="2024-06-27T00:00:00"/>
    <s v="Allen Strong"/>
    <x v="2"/>
    <x v="1"/>
    <s v="Corporate"/>
    <x v="2"/>
    <x v="4"/>
    <n v="6"/>
    <n v="300.60000000000002"/>
    <n v="0.15"/>
    <x v="369"/>
    <n v="805.23"/>
    <x v="369"/>
    <s v="Mobile Payment"/>
    <n v="2"/>
    <x v="5"/>
    <x v="2"/>
    <n v="2024"/>
    <m/>
  </r>
  <r>
    <x v="370"/>
    <d v="2024-03-13T00:00:00"/>
    <s v="Yvonne Park"/>
    <x v="1"/>
    <x v="4"/>
    <s v="Consumer"/>
    <x v="3"/>
    <x v="8"/>
    <n v="8"/>
    <n v="346.14"/>
    <n v="0.15"/>
    <x v="370"/>
    <n v="1853.38"/>
    <x v="370"/>
    <s v="Cash"/>
    <n v="2"/>
    <x v="1"/>
    <x v="0"/>
    <n v="2024"/>
    <m/>
  </r>
  <r>
    <x v="371"/>
    <d v="2024-03-04T00:00:00"/>
    <s v="Teresa Salazar"/>
    <x v="4"/>
    <x v="2"/>
    <s v="Consumer"/>
    <x v="2"/>
    <x v="9"/>
    <n v="10"/>
    <n v="459.99"/>
    <n v="0.1"/>
    <x v="371"/>
    <n v="2406.65"/>
    <x v="371"/>
    <s v="Cash"/>
    <n v="1"/>
    <x v="1"/>
    <x v="0"/>
    <n v="2024"/>
    <m/>
  </r>
  <r>
    <x v="372"/>
    <d v="2024-12-13T00:00:00"/>
    <s v="Marcus Wood"/>
    <x v="3"/>
    <x v="0"/>
    <s v="Consumer"/>
    <x v="3"/>
    <x v="8"/>
    <n v="7"/>
    <n v="313.97000000000003"/>
    <n v="0.05"/>
    <x v="372"/>
    <n v="1514.08"/>
    <x v="372"/>
    <s v="Transfer"/>
    <n v="1"/>
    <x v="6"/>
    <x v="3"/>
    <n v="2024"/>
    <m/>
  </r>
  <r>
    <x v="373"/>
    <d v="2024-04-10T00:00:00"/>
    <s v="Robert Bradshaw"/>
    <x v="0"/>
    <x v="0"/>
    <s v="Corporate"/>
    <x v="3"/>
    <x v="6"/>
    <n v="9"/>
    <n v="968.89"/>
    <n v="0"/>
    <x v="373"/>
    <n v="4891.1499999999996"/>
    <x v="373"/>
    <s v="Mobile Payment"/>
    <n v="1"/>
    <x v="10"/>
    <x v="2"/>
    <n v="2024"/>
    <m/>
  </r>
  <r>
    <x v="374"/>
    <d v="2024-01-30T00:00:00"/>
    <s v="Karen Garcia"/>
    <x v="2"/>
    <x v="4"/>
    <s v="Corporate"/>
    <x v="2"/>
    <x v="9"/>
    <n v="1"/>
    <n v="436.53"/>
    <n v="0.05"/>
    <x v="374"/>
    <n v="222.32"/>
    <x v="374"/>
    <s v="Cash"/>
    <n v="4"/>
    <x v="0"/>
    <x v="0"/>
    <n v="2024"/>
    <m/>
  </r>
  <r>
    <x v="375"/>
    <d v="2024-08-23T00:00:00"/>
    <s v="Katherine Young"/>
    <x v="0"/>
    <x v="2"/>
    <s v="Consumer"/>
    <x v="2"/>
    <x v="10"/>
    <n v="10"/>
    <n v="775.11"/>
    <n v="0.1"/>
    <x v="375"/>
    <n v="3503.63"/>
    <x v="375"/>
    <s v="Transfer"/>
    <n v="5"/>
    <x v="3"/>
    <x v="1"/>
    <n v="2024"/>
    <m/>
  </r>
  <r>
    <x v="376"/>
    <d v="2024-03-24T00:00:00"/>
    <s v="Michael Garrett"/>
    <x v="4"/>
    <x v="1"/>
    <s v="Consumer"/>
    <x v="1"/>
    <x v="12"/>
    <n v="1"/>
    <n v="250.61"/>
    <n v="0.05"/>
    <x v="376"/>
    <n v="154.22"/>
    <x v="376"/>
    <s v="Transfer"/>
    <n v="4"/>
    <x v="1"/>
    <x v="0"/>
    <n v="2024"/>
    <m/>
  </r>
  <r>
    <x v="377"/>
    <d v="2024-10-01T00:00:00"/>
    <s v="Kathy Vasquez"/>
    <x v="3"/>
    <x v="1"/>
    <s v="Corporate"/>
    <x v="2"/>
    <x v="9"/>
    <n v="1"/>
    <n v="335.9"/>
    <n v="0"/>
    <x v="377"/>
    <n v="260.54000000000002"/>
    <x v="377"/>
    <s v="Transfer"/>
    <n v="1"/>
    <x v="8"/>
    <x v="3"/>
    <n v="2024"/>
    <m/>
  </r>
  <r>
    <x v="378"/>
    <d v="2024-12-16T00:00:00"/>
    <s v="Mark Edwards"/>
    <x v="3"/>
    <x v="0"/>
    <s v="Consumer"/>
    <x v="3"/>
    <x v="8"/>
    <n v="3"/>
    <n v="749.37"/>
    <n v="0.05"/>
    <x v="378"/>
    <n v="1618.54"/>
    <x v="378"/>
    <s v="Mobile Payment"/>
    <n v="2"/>
    <x v="6"/>
    <x v="3"/>
    <n v="2024"/>
    <m/>
  </r>
  <r>
    <x v="379"/>
    <d v="2024-07-30T00:00:00"/>
    <s v="Gabriela Dean"/>
    <x v="1"/>
    <x v="2"/>
    <s v="Home Office"/>
    <x v="3"/>
    <x v="6"/>
    <n v="12"/>
    <n v="1087.43"/>
    <n v="0.05"/>
    <x v="379"/>
    <n v="9828.2099999999991"/>
    <x v="379"/>
    <s v="Mobile Payment"/>
    <n v="3"/>
    <x v="7"/>
    <x v="1"/>
    <n v="2024"/>
    <m/>
  </r>
  <r>
    <x v="380"/>
    <d v="2024-08-20T00:00:00"/>
    <s v="David Rodriguez"/>
    <x v="4"/>
    <x v="4"/>
    <s v="Consumer"/>
    <x v="1"/>
    <x v="12"/>
    <n v="4"/>
    <n v="929.13"/>
    <n v="0.1"/>
    <x v="380"/>
    <n v="2454.66"/>
    <x v="380"/>
    <s v="Mobile Payment"/>
    <n v="2"/>
    <x v="3"/>
    <x v="1"/>
    <n v="2024"/>
    <m/>
  </r>
  <r>
    <x v="381"/>
    <d v="2024-02-19T00:00:00"/>
    <s v="Christine Wilson"/>
    <x v="4"/>
    <x v="4"/>
    <s v="Home Office"/>
    <x v="2"/>
    <x v="10"/>
    <n v="11"/>
    <n v="476.03"/>
    <n v="0"/>
    <x v="381"/>
    <n v="3252.71"/>
    <x v="381"/>
    <s v="Cash"/>
    <n v="3"/>
    <x v="4"/>
    <x v="0"/>
    <n v="2024"/>
    <m/>
  </r>
  <r>
    <x v="382"/>
    <d v="2024-10-17T00:00:00"/>
    <s v="Miguel Sexton"/>
    <x v="3"/>
    <x v="2"/>
    <s v="Home Office"/>
    <x v="2"/>
    <x v="4"/>
    <n v="6"/>
    <n v="436.05"/>
    <n v="0.05"/>
    <x v="382"/>
    <n v="1385.81"/>
    <x v="382"/>
    <s v="Transfer"/>
    <n v="1"/>
    <x v="8"/>
    <x v="3"/>
    <n v="2024"/>
    <m/>
  </r>
  <r>
    <x v="383"/>
    <d v="2024-12-10T00:00:00"/>
    <s v="Michael Trevino"/>
    <x v="4"/>
    <x v="2"/>
    <s v="Consumer"/>
    <x v="1"/>
    <x v="2"/>
    <n v="1"/>
    <n v="494.67"/>
    <n v="0.05"/>
    <x v="383"/>
    <n v="298.93"/>
    <x v="383"/>
    <s v="Mobile Payment"/>
    <n v="2"/>
    <x v="6"/>
    <x v="3"/>
    <n v="2024"/>
    <m/>
  </r>
  <r>
    <x v="384"/>
    <d v="2024-01-23T00:00:00"/>
    <s v="Gary Mccormick"/>
    <x v="2"/>
    <x v="0"/>
    <s v="Consumer"/>
    <x v="3"/>
    <x v="7"/>
    <n v="9"/>
    <n v="283.01"/>
    <n v="0.15"/>
    <x v="384"/>
    <n v="1538.07"/>
    <x v="384"/>
    <s v="Mobile Payment"/>
    <n v="3"/>
    <x v="0"/>
    <x v="0"/>
    <n v="2024"/>
    <m/>
  </r>
  <r>
    <x v="385"/>
    <d v="2024-06-02T00:00:00"/>
    <s v="Taylor Rodriguez"/>
    <x v="0"/>
    <x v="4"/>
    <s v="Corporate"/>
    <x v="2"/>
    <x v="4"/>
    <n v="2"/>
    <n v="241.58"/>
    <n v="0.05"/>
    <x v="385"/>
    <n v="319.58"/>
    <x v="385"/>
    <s v="Cash"/>
    <n v="4"/>
    <x v="5"/>
    <x v="2"/>
    <n v="2024"/>
    <m/>
  </r>
  <r>
    <x v="386"/>
    <d v="2024-08-11T00:00:00"/>
    <s v="Jason Houston"/>
    <x v="0"/>
    <x v="2"/>
    <s v="Corporate"/>
    <x v="3"/>
    <x v="6"/>
    <n v="11"/>
    <n v="1087.4100000000001"/>
    <n v="0"/>
    <x v="386"/>
    <n v="6648.31"/>
    <x v="386"/>
    <s v="Transfer"/>
    <n v="1"/>
    <x v="3"/>
    <x v="1"/>
    <n v="2024"/>
    <m/>
  </r>
  <r>
    <x v="387"/>
    <d v="2024-06-12T00:00:00"/>
    <s v="Andrea Barnes"/>
    <x v="0"/>
    <x v="4"/>
    <s v="Home Office"/>
    <x v="1"/>
    <x v="2"/>
    <n v="10"/>
    <n v="593.35"/>
    <n v="0.15"/>
    <x v="387"/>
    <n v="3994.18"/>
    <x v="387"/>
    <s v="Transfer"/>
    <n v="5"/>
    <x v="5"/>
    <x v="2"/>
    <n v="2024"/>
    <m/>
  </r>
  <r>
    <x v="388"/>
    <d v="2024-11-04T00:00:00"/>
    <s v="Jennifer Hall"/>
    <x v="2"/>
    <x v="0"/>
    <s v="Corporate"/>
    <x v="3"/>
    <x v="7"/>
    <n v="12"/>
    <n v="164.85"/>
    <n v="0.15"/>
    <x v="388"/>
    <n v="911.2"/>
    <x v="388"/>
    <s v="Mobile Payment"/>
    <n v="4"/>
    <x v="11"/>
    <x v="3"/>
    <n v="2024"/>
    <m/>
  </r>
  <r>
    <x v="389"/>
    <d v="2024-06-08T00:00:00"/>
    <s v="Julie Ferrell"/>
    <x v="0"/>
    <x v="4"/>
    <s v="Corporate"/>
    <x v="0"/>
    <x v="11"/>
    <n v="2"/>
    <n v="256.77"/>
    <n v="0.05"/>
    <x v="389"/>
    <n v="248.32"/>
    <x v="389"/>
    <s v="Card"/>
    <n v="5"/>
    <x v="5"/>
    <x v="2"/>
    <n v="2024"/>
    <m/>
  </r>
  <r>
    <x v="390"/>
    <d v="2024-07-09T00:00:00"/>
    <s v="Andrew Wilson"/>
    <x v="2"/>
    <x v="0"/>
    <s v="Corporate"/>
    <x v="2"/>
    <x v="4"/>
    <n v="3"/>
    <n v="165.18"/>
    <n v="0"/>
    <x v="390"/>
    <n v="380.03"/>
    <x v="390"/>
    <s v="Mobile Payment"/>
    <n v="2"/>
    <x v="7"/>
    <x v="1"/>
    <n v="2024"/>
    <m/>
  </r>
  <r>
    <x v="391"/>
    <d v="2024-11-03T00:00:00"/>
    <s v="Robert Leonard"/>
    <x v="0"/>
    <x v="2"/>
    <s v="Home Office"/>
    <x v="0"/>
    <x v="0"/>
    <n v="4"/>
    <n v="669.57"/>
    <n v="0.1"/>
    <x v="391"/>
    <n v="1718.34"/>
    <x v="391"/>
    <s v="Mobile Payment"/>
    <n v="5"/>
    <x v="11"/>
    <x v="3"/>
    <n v="2024"/>
    <m/>
  </r>
  <r>
    <x v="392"/>
    <d v="2024-12-18T00:00:00"/>
    <s v="Stephanie Yang"/>
    <x v="0"/>
    <x v="1"/>
    <s v="Home Office"/>
    <x v="1"/>
    <x v="2"/>
    <n v="2"/>
    <n v="1023.07"/>
    <n v="0.15"/>
    <x v="392"/>
    <n v="1389.49"/>
    <x v="392"/>
    <s v="Mobile Payment"/>
    <n v="1"/>
    <x v="6"/>
    <x v="3"/>
    <n v="2024"/>
    <m/>
  </r>
  <r>
    <x v="393"/>
    <d v="2024-12-05T00:00:00"/>
    <s v="Frank Reed"/>
    <x v="2"/>
    <x v="1"/>
    <s v="Home Office"/>
    <x v="0"/>
    <x v="1"/>
    <n v="5"/>
    <n v="31.16"/>
    <n v="0.1"/>
    <x v="393"/>
    <n v="105.73"/>
    <x v="393"/>
    <s v="Mobile Payment"/>
    <n v="4"/>
    <x v="6"/>
    <x v="3"/>
    <n v="2024"/>
    <m/>
  </r>
  <r>
    <x v="394"/>
    <d v="2024-01-21T00:00:00"/>
    <s v="Pamela Hanna"/>
    <x v="4"/>
    <x v="0"/>
    <s v="Home Office"/>
    <x v="0"/>
    <x v="0"/>
    <n v="1"/>
    <n v="370.51"/>
    <n v="0.1"/>
    <x v="394"/>
    <n v="226.06"/>
    <x v="394"/>
    <s v="Mobile Payment"/>
    <n v="3"/>
    <x v="0"/>
    <x v="0"/>
    <n v="2024"/>
    <m/>
  </r>
  <r>
    <x v="395"/>
    <d v="2024-12-23T00:00:00"/>
    <s v="Kent Allen"/>
    <x v="3"/>
    <x v="1"/>
    <s v="Consumer"/>
    <x v="3"/>
    <x v="6"/>
    <n v="11"/>
    <n v="952.69"/>
    <n v="0.15"/>
    <x v="395"/>
    <n v="6388.62"/>
    <x v="395"/>
    <s v="Mobile Payment"/>
    <n v="4"/>
    <x v="6"/>
    <x v="3"/>
    <n v="2024"/>
    <m/>
  </r>
  <r>
    <x v="396"/>
    <d v="2024-01-16T00:00:00"/>
    <s v="John Wilson"/>
    <x v="4"/>
    <x v="4"/>
    <s v="Consumer"/>
    <x v="3"/>
    <x v="8"/>
    <n v="6"/>
    <n v="134.38"/>
    <n v="0"/>
    <x v="396"/>
    <n v="541.32000000000005"/>
    <x v="396"/>
    <s v="Card"/>
    <n v="3"/>
    <x v="0"/>
    <x v="0"/>
    <n v="2024"/>
    <m/>
  </r>
  <r>
    <x v="397"/>
    <d v="2024-08-02T00:00:00"/>
    <s v="Scott Gibson"/>
    <x v="4"/>
    <x v="3"/>
    <s v="Home Office"/>
    <x v="2"/>
    <x v="9"/>
    <n v="10"/>
    <n v="1032.3900000000001"/>
    <n v="0.1"/>
    <x v="397"/>
    <n v="7607.4"/>
    <x v="397"/>
    <s v="Transfer"/>
    <n v="1"/>
    <x v="3"/>
    <x v="1"/>
    <n v="2024"/>
    <m/>
  </r>
  <r>
    <x v="398"/>
    <d v="2024-06-22T00:00:00"/>
    <s v="Martha Parker"/>
    <x v="4"/>
    <x v="2"/>
    <s v="Home Office"/>
    <x v="1"/>
    <x v="3"/>
    <n v="3"/>
    <n v="226.34"/>
    <n v="0"/>
    <x v="398"/>
    <n v="394.14"/>
    <x v="398"/>
    <s v="Cash"/>
    <n v="1"/>
    <x v="5"/>
    <x v="2"/>
    <n v="2024"/>
    <m/>
  </r>
  <r>
    <x v="399"/>
    <d v="2024-05-19T00:00:00"/>
    <s v="Amanda Combs"/>
    <x v="2"/>
    <x v="2"/>
    <s v="Corporate"/>
    <x v="3"/>
    <x v="7"/>
    <n v="1"/>
    <n v="46.43"/>
    <n v="0.05"/>
    <x v="399"/>
    <n v="23.92"/>
    <x v="399"/>
    <s v="Transfer"/>
    <n v="1"/>
    <x v="9"/>
    <x v="2"/>
    <n v="2024"/>
    <m/>
  </r>
  <r>
    <x v="400"/>
    <d v="2024-07-18T00:00:00"/>
    <s v="Amy Wilson"/>
    <x v="2"/>
    <x v="3"/>
    <s v="Consumer"/>
    <x v="3"/>
    <x v="6"/>
    <n v="3"/>
    <n v="839.53"/>
    <n v="0.05"/>
    <x v="400"/>
    <n v="1781.11"/>
    <x v="400"/>
    <s v="Cash"/>
    <n v="1"/>
    <x v="7"/>
    <x v="1"/>
    <n v="2024"/>
    <m/>
  </r>
  <r>
    <x v="401"/>
    <d v="2024-09-08T00:00:00"/>
    <s v="Catherine Brown"/>
    <x v="2"/>
    <x v="2"/>
    <s v="Home Office"/>
    <x v="1"/>
    <x v="12"/>
    <n v="7"/>
    <n v="435.94"/>
    <n v="0"/>
    <x v="401"/>
    <n v="1895.05"/>
    <x v="401"/>
    <s v="Transfer"/>
    <n v="1"/>
    <x v="2"/>
    <x v="1"/>
    <n v="2024"/>
    <m/>
  </r>
  <r>
    <x v="402"/>
    <d v="2024-12-26T00:00:00"/>
    <s v="Kristen Garcia"/>
    <x v="2"/>
    <x v="0"/>
    <s v="Corporate"/>
    <x v="1"/>
    <x v="2"/>
    <n v="8"/>
    <n v="1110.76"/>
    <n v="0.1"/>
    <x v="402"/>
    <n v="5371.8"/>
    <x v="402"/>
    <s v="Cash"/>
    <n v="1"/>
    <x v="6"/>
    <x v="3"/>
    <n v="2024"/>
    <m/>
  </r>
  <r>
    <x v="403"/>
    <d v="2024-03-06T00:00:00"/>
    <s v="Angela Harrison"/>
    <x v="1"/>
    <x v="2"/>
    <s v="Consumer"/>
    <x v="2"/>
    <x v="4"/>
    <n v="7"/>
    <n v="975.82"/>
    <n v="0"/>
    <x v="403"/>
    <n v="5429.42"/>
    <x v="403"/>
    <s v="Card"/>
    <n v="2"/>
    <x v="1"/>
    <x v="0"/>
    <n v="2024"/>
    <m/>
  </r>
  <r>
    <x v="404"/>
    <d v="2024-10-13T00:00:00"/>
    <s v="Mark Spears"/>
    <x v="3"/>
    <x v="2"/>
    <s v="Home Office"/>
    <x v="1"/>
    <x v="12"/>
    <n v="5"/>
    <n v="1093.97"/>
    <n v="0"/>
    <x v="404"/>
    <n v="2831.49"/>
    <x v="404"/>
    <s v="Card"/>
    <n v="2"/>
    <x v="8"/>
    <x v="3"/>
    <n v="2024"/>
    <m/>
  </r>
  <r>
    <x v="405"/>
    <d v="2024-10-12T00:00:00"/>
    <s v="Dr. Yvonne Wright"/>
    <x v="4"/>
    <x v="3"/>
    <s v="Consumer"/>
    <x v="0"/>
    <x v="5"/>
    <n v="11"/>
    <n v="65.42"/>
    <n v="0"/>
    <x v="405"/>
    <n v="483.59"/>
    <x v="405"/>
    <s v="Cash"/>
    <n v="2"/>
    <x v="8"/>
    <x v="3"/>
    <n v="2024"/>
    <m/>
  </r>
  <r>
    <x v="406"/>
    <d v="2024-08-25T00:00:00"/>
    <s v="Mario Wood"/>
    <x v="4"/>
    <x v="4"/>
    <s v="Consumer"/>
    <x v="0"/>
    <x v="11"/>
    <n v="10"/>
    <n v="640.23"/>
    <n v="0.1"/>
    <x v="406"/>
    <n v="2946.94"/>
    <x v="406"/>
    <s v="Mobile Payment"/>
    <n v="3"/>
    <x v="3"/>
    <x v="1"/>
    <n v="2024"/>
    <m/>
  </r>
  <r>
    <x v="407"/>
    <d v="2024-03-12T00:00:00"/>
    <s v="Michael White"/>
    <x v="4"/>
    <x v="3"/>
    <s v="Home Office"/>
    <x v="3"/>
    <x v="8"/>
    <n v="12"/>
    <n v="1157.8800000000001"/>
    <n v="0.1"/>
    <x v="407"/>
    <n v="8772.99"/>
    <x v="407"/>
    <s v="Card"/>
    <n v="2"/>
    <x v="1"/>
    <x v="0"/>
    <n v="2024"/>
    <m/>
  </r>
  <r>
    <x v="408"/>
    <d v="2024-09-15T00:00:00"/>
    <s v="Angela Shannon"/>
    <x v="4"/>
    <x v="0"/>
    <s v="Home Office"/>
    <x v="3"/>
    <x v="8"/>
    <n v="7"/>
    <n v="364.07"/>
    <n v="0.15"/>
    <x v="408"/>
    <n v="1172.51"/>
    <x v="408"/>
    <s v="Card"/>
    <n v="5"/>
    <x v="2"/>
    <x v="1"/>
    <n v="2024"/>
    <m/>
  </r>
  <r>
    <x v="409"/>
    <d v="2024-03-26T00:00:00"/>
    <s v="Rachel Garrison"/>
    <x v="4"/>
    <x v="1"/>
    <s v="Home Office"/>
    <x v="1"/>
    <x v="2"/>
    <n v="8"/>
    <n v="605.54"/>
    <n v="0.05"/>
    <x v="409"/>
    <n v="3245.8"/>
    <x v="409"/>
    <s v="Transfer"/>
    <n v="1"/>
    <x v="1"/>
    <x v="0"/>
    <n v="2024"/>
    <m/>
  </r>
  <r>
    <x v="410"/>
    <d v="2024-05-30T00:00:00"/>
    <s v="Sheila Richardson"/>
    <x v="3"/>
    <x v="0"/>
    <s v="Consumer"/>
    <x v="1"/>
    <x v="3"/>
    <n v="6"/>
    <n v="1158.9100000000001"/>
    <n v="0.1"/>
    <x v="410"/>
    <n v="5263.98"/>
    <x v="410"/>
    <s v="Mobile Payment"/>
    <n v="1"/>
    <x v="9"/>
    <x v="2"/>
    <n v="2024"/>
    <m/>
  </r>
  <r>
    <x v="411"/>
    <d v="2024-05-26T00:00:00"/>
    <s v="Steven Castillo"/>
    <x v="1"/>
    <x v="2"/>
    <s v="Corporate"/>
    <x v="0"/>
    <x v="5"/>
    <n v="10"/>
    <n v="250.46"/>
    <n v="0.15"/>
    <x v="411"/>
    <n v="1166.1099999999999"/>
    <x v="411"/>
    <s v="Cash"/>
    <n v="2"/>
    <x v="9"/>
    <x v="2"/>
    <n v="2024"/>
    <m/>
  </r>
  <r>
    <x v="412"/>
    <d v="2024-03-25T00:00:00"/>
    <s v="Amber Obrien"/>
    <x v="1"/>
    <x v="4"/>
    <s v="Corporate"/>
    <x v="2"/>
    <x v="4"/>
    <n v="7"/>
    <n v="315.85000000000002"/>
    <n v="0.1"/>
    <x v="412"/>
    <n v="1642.33"/>
    <x v="412"/>
    <s v="Transfer"/>
    <n v="5"/>
    <x v="1"/>
    <x v="0"/>
    <n v="2024"/>
    <m/>
  </r>
  <r>
    <x v="413"/>
    <d v="2024-02-15T00:00:00"/>
    <s v="Kimberly Klein"/>
    <x v="3"/>
    <x v="4"/>
    <s v="Home Office"/>
    <x v="0"/>
    <x v="11"/>
    <n v="12"/>
    <n v="933.37"/>
    <n v="0.05"/>
    <x v="413"/>
    <n v="7172.83"/>
    <x v="413"/>
    <s v="Transfer"/>
    <n v="1"/>
    <x v="4"/>
    <x v="0"/>
    <n v="2024"/>
    <m/>
  </r>
  <r>
    <x v="414"/>
    <d v="2024-09-11T00:00:00"/>
    <s v="Robert Beck"/>
    <x v="2"/>
    <x v="0"/>
    <s v="Home Office"/>
    <x v="1"/>
    <x v="12"/>
    <n v="6"/>
    <n v="840.76"/>
    <n v="0"/>
    <x v="414"/>
    <n v="2972.28"/>
    <x v="414"/>
    <s v="Transfer"/>
    <n v="5"/>
    <x v="2"/>
    <x v="1"/>
    <n v="2024"/>
    <m/>
  </r>
  <r>
    <x v="415"/>
    <d v="2024-05-01T00:00:00"/>
    <s v="Julie Mcfarland"/>
    <x v="1"/>
    <x v="2"/>
    <s v="Consumer"/>
    <x v="1"/>
    <x v="3"/>
    <n v="10"/>
    <n v="220.08"/>
    <n v="0.1"/>
    <x v="415"/>
    <n v="1133.0899999999999"/>
    <x v="415"/>
    <s v="Transfer"/>
    <n v="4"/>
    <x v="9"/>
    <x v="2"/>
    <n v="2024"/>
    <m/>
  </r>
  <r>
    <x v="416"/>
    <d v="2024-09-07T00:00:00"/>
    <s v="Teresa Garcia"/>
    <x v="3"/>
    <x v="3"/>
    <s v="Consumer"/>
    <x v="0"/>
    <x v="0"/>
    <n v="2"/>
    <n v="855.81"/>
    <n v="0.1"/>
    <x v="416"/>
    <n v="814.27"/>
    <x v="416"/>
    <s v="Cash"/>
    <n v="1"/>
    <x v="2"/>
    <x v="1"/>
    <n v="2024"/>
    <m/>
  </r>
  <r>
    <x v="417"/>
    <d v="2024-06-16T00:00:00"/>
    <s v="Mrs. Tiffany Woods"/>
    <x v="0"/>
    <x v="2"/>
    <s v="Home Office"/>
    <x v="1"/>
    <x v="3"/>
    <n v="9"/>
    <n v="438.58"/>
    <n v="0.05"/>
    <x v="417"/>
    <n v="2484.04"/>
    <x v="417"/>
    <s v="Cash"/>
    <n v="1"/>
    <x v="5"/>
    <x v="2"/>
    <n v="2024"/>
    <m/>
  </r>
  <r>
    <x v="418"/>
    <d v="2024-12-10T00:00:00"/>
    <s v="Sonya Anderson"/>
    <x v="0"/>
    <x v="3"/>
    <s v="Consumer"/>
    <x v="0"/>
    <x v="0"/>
    <n v="2"/>
    <n v="721.84"/>
    <n v="0.15"/>
    <x v="418"/>
    <n v="1029.77"/>
    <x v="418"/>
    <s v="Card"/>
    <n v="1"/>
    <x v="6"/>
    <x v="3"/>
    <n v="2024"/>
    <m/>
  </r>
  <r>
    <x v="419"/>
    <d v="2024-05-06T00:00:00"/>
    <s v="Ann Riggs"/>
    <x v="3"/>
    <x v="3"/>
    <s v="Home Office"/>
    <x v="2"/>
    <x v="10"/>
    <n v="2"/>
    <n v="582.73"/>
    <n v="0.05"/>
    <x v="419"/>
    <n v="702.22"/>
    <x v="419"/>
    <s v="Mobile Payment"/>
    <n v="1"/>
    <x v="9"/>
    <x v="2"/>
    <n v="2024"/>
    <m/>
  </r>
  <r>
    <x v="420"/>
    <d v="2024-03-11T00:00:00"/>
    <s v="Mark Hall"/>
    <x v="4"/>
    <x v="3"/>
    <s v="Consumer"/>
    <x v="0"/>
    <x v="0"/>
    <n v="2"/>
    <n v="109.03"/>
    <n v="0.15"/>
    <x v="420"/>
    <n v="103.06"/>
    <x v="420"/>
    <s v="Cash"/>
    <n v="3"/>
    <x v="1"/>
    <x v="0"/>
    <n v="2024"/>
    <m/>
  </r>
  <r>
    <x v="421"/>
    <d v="2024-11-07T00:00:00"/>
    <s v="Kelly Dixon"/>
    <x v="4"/>
    <x v="0"/>
    <s v="Home Office"/>
    <x v="0"/>
    <x v="1"/>
    <n v="3"/>
    <n v="184.44"/>
    <n v="0.05"/>
    <x v="421"/>
    <n v="329.79"/>
    <x v="421"/>
    <s v="Mobile Payment"/>
    <n v="5"/>
    <x v="11"/>
    <x v="3"/>
    <n v="2024"/>
    <m/>
  </r>
  <r>
    <x v="422"/>
    <d v="2024-10-25T00:00:00"/>
    <s v="Ann Phillips"/>
    <x v="4"/>
    <x v="1"/>
    <s v="Consumer"/>
    <x v="3"/>
    <x v="8"/>
    <n v="1"/>
    <n v="750.97"/>
    <n v="0.05"/>
    <x v="422"/>
    <n v="411.9"/>
    <x v="422"/>
    <s v="Mobile Payment"/>
    <n v="5"/>
    <x v="8"/>
    <x v="3"/>
    <n v="2024"/>
    <m/>
  </r>
  <r>
    <x v="423"/>
    <d v="2024-05-24T00:00:00"/>
    <s v="Jennifer Ramirez"/>
    <x v="4"/>
    <x v="4"/>
    <s v="Home Office"/>
    <x v="0"/>
    <x v="11"/>
    <n v="6"/>
    <n v="177.42"/>
    <n v="0.15"/>
    <x v="423"/>
    <n v="562.1"/>
    <x v="423"/>
    <s v="Card"/>
    <n v="3"/>
    <x v="9"/>
    <x v="2"/>
    <n v="2024"/>
    <m/>
  </r>
  <r>
    <x v="424"/>
    <d v="2024-12-23T00:00:00"/>
    <s v="Daniel Walker"/>
    <x v="2"/>
    <x v="4"/>
    <s v="Consumer"/>
    <x v="1"/>
    <x v="12"/>
    <n v="12"/>
    <n v="992.54"/>
    <n v="0.05"/>
    <x v="424"/>
    <n v="8829.1299999999992"/>
    <x v="424"/>
    <s v="Card"/>
    <n v="2"/>
    <x v="6"/>
    <x v="3"/>
    <n v="2024"/>
    <m/>
  </r>
  <r>
    <x v="425"/>
    <d v="2024-11-26T00:00:00"/>
    <s v="Angel Parker"/>
    <x v="0"/>
    <x v="0"/>
    <s v="Corporate"/>
    <x v="2"/>
    <x v="9"/>
    <n v="11"/>
    <n v="735.79"/>
    <n v="0"/>
    <x v="425"/>
    <n v="5875.53"/>
    <x v="425"/>
    <s v="Cash"/>
    <n v="1"/>
    <x v="11"/>
    <x v="3"/>
    <n v="2024"/>
    <m/>
  </r>
  <r>
    <x v="426"/>
    <d v="2024-03-06T00:00:00"/>
    <s v="Margaret Robbins"/>
    <x v="2"/>
    <x v="4"/>
    <s v="Corporate"/>
    <x v="2"/>
    <x v="4"/>
    <n v="5"/>
    <n v="264.74"/>
    <n v="0.05"/>
    <x v="426"/>
    <n v="647.39"/>
    <x v="426"/>
    <s v="Mobile Payment"/>
    <n v="2"/>
    <x v="1"/>
    <x v="0"/>
    <n v="2024"/>
    <m/>
  </r>
  <r>
    <x v="427"/>
    <d v="2024-12-21T00:00:00"/>
    <s v="Eric Molina"/>
    <x v="2"/>
    <x v="1"/>
    <s v="Consumer"/>
    <x v="1"/>
    <x v="2"/>
    <n v="2"/>
    <n v="141.49"/>
    <n v="0.05"/>
    <x v="427"/>
    <n v="188.15"/>
    <x v="427"/>
    <s v="Cash"/>
    <n v="5"/>
    <x v="6"/>
    <x v="3"/>
    <n v="2024"/>
    <m/>
  </r>
  <r>
    <x v="428"/>
    <d v="2024-10-16T00:00:00"/>
    <s v="John Robbins"/>
    <x v="2"/>
    <x v="3"/>
    <s v="Home Office"/>
    <x v="1"/>
    <x v="12"/>
    <n v="12"/>
    <n v="858.3"/>
    <n v="0.1"/>
    <x v="428"/>
    <n v="7518.02"/>
    <x v="428"/>
    <s v="Transfer"/>
    <n v="3"/>
    <x v="8"/>
    <x v="3"/>
    <n v="2024"/>
    <m/>
  </r>
  <r>
    <x v="429"/>
    <d v="2024-11-26T00:00:00"/>
    <s v="Grace Thomas"/>
    <x v="4"/>
    <x v="4"/>
    <s v="Corporate"/>
    <x v="3"/>
    <x v="7"/>
    <n v="2"/>
    <n v="529.42999999999995"/>
    <n v="0"/>
    <x v="429"/>
    <n v="875.2"/>
    <x v="429"/>
    <s v="Cash"/>
    <n v="1"/>
    <x v="11"/>
    <x v="3"/>
    <n v="2024"/>
    <m/>
  </r>
  <r>
    <x v="430"/>
    <d v="2024-07-20T00:00:00"/>
    <s v="Alexander Wilson"/>
    <x v="0"/>
    <x v="0"/>
    <s v="Home Office"/>
    <x v="0"/>
    <x v="5"/>
    <n v="8"/>
    <n v="795.68"/>
    <n v="0"/>
    <x v="430"/>
    <n v="4996.1099999999997"/>
    <x v="430"/>
    <s v="Transfer"/>
    <n v="2"/>
    <x v="7"/>
    <x v="1"/>
    <n v="2024"/>
    <m/>
  </r>
  <r>
    <x v="431"/>
    <d v="2024-02-16T00:00:00"/>
    <s v="James Mitchell"/>
    <x v="2"/>
    <x v="3"/>
    <s v="Home Office"/>
    <x v="2"/>
    <x v="10"/>
    <n v="3"/>
    <n v="871.56"/>
    <n v="0.1"/>
    <x v="431"/>
    <n v="1499.73"/>
    <x v="431"/>
    <s v="Cash"/>
    <n v="5"/>
    <x v="4"/>
    <x v="0"/>
    <n v="2024"/>
    <m/>
  </r>
  <r>
    <x v="432"/>
    <d v="2024-03-17T00:00:00"/>
    <s v="Rebecca Lopez"/>
    <x v="3"/>
    <x v="2"/>
    <s v="Corporate"/>
    <x v="3"/>
    <x v="6"/>
    <n v="2"/>
    <n v="409.59"/>
    <n v="0.1"/>
    <x v="432"/>
    <n v="473.39"/>
    <x v="432"/>
    <s v="Cash"/>
    <n v="2"/>
    <x v="1"/>
    <x v="0"/>
    <n v="2024"/>
    <m/>
  </r>
  <r>
    <x v="433"/>
    <d v="2024-09-02T00:00:00"/>
    <s v="Diane Knight"/>
    <x v="3"/>
    <x v="0"/>
    <s v="Consumer"/>
    <x v="0"/>
    <x v="0"/>
    <n v="8"/>
    <n v="1020.91"/>
    <n v="0"/>
    <x v="433"/>
    <n v="5892.83"/>
    <x v="433"/>
    <s v="Card"/>
    <n v="5"/>
    <x v="2"/>
    <x v="1"/>
    <n v="2024"/>
    <m/>
  </r>
  <r>
    <x v="434"/>
    <d v="2024-11-26T00:00:00"/>
    <s v="Andrew Harris"/>
    <x v="3"/>
    <x v="1"/>
    <s v="Corporate"/>
    <x v="2"/>
    <x v="4"/>
    <n v="2"/>
    <n v="328.9"/>
    <n v="0.1"/>
    <x v="434"/>
    <n v="437.98"/>
    <x v="434"/>
    <s v="Mobile Payment"/>
    <n v="5"/>
    <x v="11"/>
    <x v="3"/>
    <n v="2024"/>
    <m/>
  </r>
  <r>
    <x v="435"/>
    <d v="2024-11-14T00:00:00"/>
    <s v="Joshua Mcbride"/>
    <x v="3"/>
    <x v="3"/>
    <s v="Home Office"/>
    <x v="3"/>
    <x v="8"/>
    <n v="8"/>
    <n v="209.65"/>
    <n v="0"/>
    <x v="435"/>
    <n v="1362.99"/>
    <x v="435"/>
    <s v="Card"/>
    <n v="5"/>
    <x v="11"/>
    <x v="3"/>
    <n v="2024"/>
    <m/>
  </r>
  <r>
    <x v="436"/>
    <d v="2024-09-04T00:00:00"/>
    <s v="Martin Sandoval"/>
    <x v="4"/>
    <x v="3"/>
    <s v="Consumer"/>
    <x v="0"/>
    <x v="0"/>
    <n v="5"/>
    <n v="1180.44"/>
    <n v="0.1"/>
    <x v="436"/>
    <n v="3370.63"/>
    <x v="436"/>
    <s v="Transfer"/>
    <n v="4"/>
    <x v="2"/>
    <x v="1"/>
    <n v="2024"/>
    <m/>
  </r>
  <r>
    <x v="437"/>
    <d v="2024-08-04T00:00:00"/>
    <s v="Jared Brown"/>
    <x v="2"/>
    <x v="0"/>
    <s v="Home Office"/>
    <x v="1"/>
    <x v="12"/>
    <n v="3"/>
    <n v="1109.76"/>
    <n v="0"/>
    <x v="437"/>
    <n v="2468.6999999999998"/>
    <x v="437"/>
    <s v="Card"/>
    <n v="1"/>
    <x v="3"/>
    <x v="1"/>
    <n v="2024"/>
    <m/>
  </r>
  <r>
    <x v="438"/>
    <d v="2024-03-19T00:00:00"/>
    <s v="Andrea Williams"/>
    <x v="2"/>
    <x v="2"/>
    <s v="Corporate"/>
    <x v="1"/>
    <x v="3"/>
    <n v="9"/>
    <n v="356.52"/>
    <n v="0"/>
    <x v="438"/>
    <n v="2567.19"/>
    <x v="438"/>
    <s v="Transfer"/>
    <n v="4"/>
    <x v="1"/>
    <x v="0"/>
    <n v="2024"/>
    <m/>
  </r>
  <r>
    <x v="439"/>
    <d v="2024-07-15T00:00:00"/>
    <s v="Julia Moore"/>
    <x v="0"/>
    <x v="1"/>
    <s v="Consumer"/>
    <x v="1"/>
    <x v="2"/>
    <n v="9"/>
    <n v="22.19"/>
    <n v="0.15"/>
    <x v="439"/>
    <n v="137.88"/>
    <x v="439"/>
    <s v="Cash"/>
    <n v="1"/>
    <x v="7"/>
    <x v="1"/>
    <n v="2024"/>
    <m/>
  </r>
  <r>
    <x v="440"/>
    <d v="2024-05-11T00:00:00"/>
    <s v="Aaron Washington"/>
    <x v="3"/>
    <x v="0"/>
    <s v="Consumer"/>
    <x v="0"/>
    <x v="0"/>
    <n v="12"/>
    <n v="54.05"/>
    <n v="0.05"/>
    <x v="440"/>
    <n v="443.6"/>
    <x v="440"/>
    <s v="Mobile Payment"/>
    <n v="1"/>
    <x v="9"/>
    <x v="2"/>
    <n v="2024"/>
    <m/>
  </r>
  <r>
    <x v="441"/>
    <d v="2024-04-18T00:00:00"/>
    <s v="Mr. Wayne Ortiz"/>
    <x v="4"/>
    <x v="0"/>
    <s v="Corporate"/>
    <x v="3"/>
    <x v="6"/>
    <n v="1"/>
    <n v="764.28"/>
    <n v="0.15"/>
    <x v="441"/>
    <n v="539.84"/>
    <x v="441"/>
    <s v="Transfer"/>
    <n v="4"/>
    <x v="10"/>
    <x v="2"/>
    <n v="2024"/>
    <m/>
  </r>
  <r>
    <x v="442"/>
    <d v="2024-04-12T00:00:00"/>
    <s v="Jill Morris"/>
    <x v="2"/>
    <x v="0"/>
    <s v="Corporate"/>
    <x v="2"/>
    <x v="4"/>
    <n v="5"/>
    <n v="409.53"/>
    <n v="0.1"/>
    <x v="442"/>
    <n v="1079.3499999999999"/>
    <x v="442"/>
    <s v="Card"/>
    <n v="2"/>
    <x v="10"/>
    <x v="2"/>
    <n v="2024"/>
    <m/>
  </r>
  <r>
    <x v="443"/>
    <d v="2024-01-05T00:00:00"/>
    <s v="Keith Clark"/>
    <x v="1"/>
    <x v="2"/>
    <s v="Corporate"/>
    <x v="0"/>
    <x v="0"/>
    <n v="7"/>
    <n v="1046.33"/>
    <n v="0.05"/>
    <x v="443"/>
    <n v="5530.77"/>
    <x v="443"/>
    <s v="Mobile Payment"/>
    <n v="5"/>
    <x v="0"/>
    <x v="0"/>
    <n v="2024"/>
    <m/>
  </r>
  <r>
    <x v="444"/>
    <d v="2024-12-23T00:00:00"/>
    <s v="Danielle Moran"/>
    <x v="1"/>
    <x v="2"/>
    <s v="Corporate"/>
    <x v="2"/>
    <x v="9"/>
    <n v="9"/>
    <n v="1087.6199999999999"/>
    <n v="0.1"/>
    <x v="444"/>
    <n v="6858.35"/>
    <x v="444"/>
    <s v="Mobile Payment"/>
    <n v="4"/>
    <x v="6"/>
    <x v="3"/>
    <n v="2024"/>
    <m/>
  </r>
  <r>
    <x v="445"/>
    <d v="2024-03-31T00:00:00"/>
    <s v="Patricia Rivera"/>
    <x v="1"/>
    <x v="4"/>
    <s v="Corporate"/>
    <x v="1"/>
    <x v="12"/>
    <n v="8"/>
    <n v="692.66"/>
    <n v="0.15"/>
    <x v="445"/>
    <n v="2919.26"/>
    <x v="445"/>
    <s v="Cash"/>
    <n v="5"/>
    <x v="1"/>
    <x v="0"/>
    <n v="2024"/>
    <m/>
  </r>
  <r>
    <x v="446"/>
    <d v="2024-06-22T00:00:00"/>
    <s v="Christopher Phelps"/>
    <x v="1"/>
    <x v="1"/>
    <s v="Consumer"/>
    <x v="0"/>
    <x v="11"/>
    <n v="9"/>
    <n v="603.76"/>
    <n v="0.15"/>
    <x v="446"/>
    <n v="2888.75"/>
    <x v="446"/>
    <s v="Card"/>
    <n v="4"/>
    <x v="5"/>
    <x v="2"/>
    <n v="2024"/>
    <m/>
  </r>
  <r>
    <x v="447"/>
    <d v="2024-03-18T00:00:00"/>
    <s v="Michelle Moore"/>
    <x v="3"/>
    <x v="3"/>
    <s v="Consumer"/>
    <x v="0"/>
    <x v="5"/>
    <n v="10"/>
    <n v="884.51"/>
    <n v="0.05"/>
    <x v="447"/>
    <n v="6189.16"/>
    <x v="447"/>
    <s v="Card"/>
    <n v="2"/>
    <x v="1"/>
    <x v="0"/>
    <n v="2024"/>
    <m/>
  </r>
  <r>
    <x v="448"/>
    <d v="2024-09-25T00:00:00"/>
    <s v="Richard Yang"/>
    <x v="1"/>
    <x v="4"/>
    <s v="Corporate"/>
    <x v="0"/>
    <x v="0"/>
    <n v="1"/>
    <n v="646.87"/>
    <n v="0.15"/>
    <x v="448"/>
    <n v="391.69"/>
    <x v="448"/>
    <s v="Transfer"/>
    <n v="4"/>
    <x v="2"/>
    <x v="1"/>
    <n v="2024"/>
    <m/>
  </r>
  <r>
    <x v="449"/>
    <d v="2024-11-06T00:00:00"/>
    <s v="Elizabeth Cardenas"/>
    <x v="4"/>
    <x v="2"/>
    <s v="Consumer"/>
    <x v="3"/>
    <x v="6"/>
    <n v="5"/>
    <n v="881.74"/>
    <n v="0.15"/>
    <x v="449"/>
    <n v="2489.61"/>
    <x v="449"/>
    <s v="Transfer"/>
    <n v="2"/>
    <x v="11"/>
    <x v="3"/>
    <n v="2024"/>
    <m/>
  </r>
  <r>
    <x v="450"/>
    <d v="2024-04-25T00:00:00"/>
    <s v="Travis Fischer"/>
    <x v="0"/>
    <x v="1"/>
    <s v="Corporate"/>
    <x v="0"/>
    <x v="1"/>
    <n v="4"/>
    <n v="258.38"/>
    <n v="0"/>
    <x v="450"/>
    <n v="557.49"/>
    <x v="450"/>
    <s v="Mobile Payment"/>
    <n v="3"/>
    <x v="10"/>
    <x v="2"/>
    <n v="2024"/>
    <m/>
  </r>
  <r>
    <x v="451"/>
    <d v="2024-01-16T00:00:00"/>
    <s v="Brandon Flores"/>
    <x v="4"/>
    <x v="1"/>
    <s v="Corporate"/>
    <x v="0"/>
    <x v="1"/>
    <n v="10"/>
    <n v="784.73"/>
    <n v="0"/>
    <x v="451"/>
    <n v="5451.56"/>
    <x v="451"/>
    <s v="Cash"/>
    <n v="3"/>
    <x v="0"/>
    <x v="0"/>
    <n v="2024"/>
    <m/>
  </r>
  <r>
    <x v="452"/>
    <d v="2024-03-17T00:00:00"/>
    <s v="Kenneth Hernandez"/>
    <x v="3"/>
    <x v="0"/>
    <s v="Home Office"/>
    <x v="2"/>
    <x v="4"/>
    <n v="11"/>
    <n v="675.43"/>
    <n v="0.1"/>
    <x v="452"/>
    <n v="3640.29"/>
    <x v="452"/>
    <s v="Card"/>
    <n v="5"/>
    <x v="1"/>
    <x v="0"/>
    <n v="2024"/>
    <m/>
  </r>
  <r>
    <x v="453"/>
    <d v="2024-09-19T00:00:00"/>
    <s v="Amy King"/>
    <x v="2"/>
    <x v="3"/>
    <s v="Consumer"/>
    <x v="3"/>
    <x v="6"/>
    <n v="8"/>
    <n v="756.03"/>
    <n v="0.15"/>
    <x v="453"/>
    <n v="3070.01"/>
    <x v="453"/>
    <s v="Mobile Payment"/>
    <n v="3"/>
    <x v="2"/>
    <x v="1"/>
    <n v="2024"/>
    <m/>
  </r>
  <r>
    <x v="454"/>
    <d v="2024-01-23T00:00:00"/>
    <s v="Valerie Rose"/>
    <x v="3"/>
    <x v="2"/>
    <s v="Consumer"/>
    <x v="0"/>
    <x v="11"/>
    <n v="3"/>
    <n v="59.7"/>
    <n v="0.15"/>
    <x v="454"/>
    <n v="82.49"/>
    <x v="454"/>
    <s v="Card"/>
    <n v="3"/>
    <x v="0"/>
    <x v="0"/>
    <n v="2024"/>
    <m/>
  </r>
  <r>
    <x v="455"/>
    <d v="2024-07-28T00:00:00"/>
    <s v="Gregory Mccullough"/>
    <x v="2"/>
    <x v="2"/>
    <s v="Consumer"/>
    <x v="0"/>
    <x v="1"/>
    <n v="9"/>
    <n v="1103.96"/>
    <n v="0"/>
    <x v="455"/>
    <n v="8185.98"/>
    <x v="455"/>
    <s v="Cash"/>
    <n v="4"/>
    <x v="7"/>
    <x v="1"/>
    <n v="2024"/>
    <m/>
  </r>
  <r>
    <x v="456"/>
    <d v="2024-06-09T00:00:00"/>
    <s v="James Vazquez"/>
    <x v="2"/>
    <x v="0"/>
    <s v="Home Office"/>
    <x v="2"/>
    <x v="4"/>
    <n v="7"/>
    <n v="774.47"/>
    <n v="0.05"/>
    <x v="456"/>
    <n v="3165.14"/>
    <x v="456"/>
    <s v="Transfer"/>
    <n v="3"/>
    <x v="5"/>
    <x v="2"/>
    <n v="2024"/>
    <m/>
  </r>
  <r>
    <x v="457"/>
    <d v="2024-01-29T00:00:00"/>
    <s v="Anthony Bird"/>
    <x v="2"/>
    <x v="3"/>
    <s v="Home Office"/>
    <x v="3"/>
    <x v="7"/>
    <n v="8"/>
    <n v="586.15"/>
    <n v="0.15"/>
    <x v="457"/>
    <n v="3184.38"/>
    <x v="457"/>
    <s v="Card"/>
    <n v="1"/>
    <x v="0"/>
    <x v="0"/>
    <n v="2024"/>
    <m/>
  </r>
  <r>
    <x v="458"/>
    <d v="2024-10-28T00:00:00"/>
    <s v="George Jones"/>
    <x v="4"/>
    <x v="4"/>
    <s v="Corporate"/>
    <x v="0"/>
    <x v="1"/>
    <n v="3"/>
    <n v="748.4"/>
    <n v="0.05"/>
    <x v="458"/>
    <n v="1556.96"/>
    <x v="458"/>
    <s v="Cash"/>
    <n v="2"/>
    <x v="8"/>
    <x v="3"/>
    <n v="2024"/>
    <m/>
  </r>
  <r>
    <x v="459"/>
    <d v="2024-12-31T00:00:00"/>
    <s v="Jessica Silva"/>
    <x v="0"/>
    <x v="2"/>
    <s v="Corporate"/>
    <x v="2"/>
    <x v="9"/>
    <n v="11"/>
    <n v="705.06"/>
    <n v="0.1"/>
    <x v="459"/>
    <n v="5785.27"/>
    <x v="459"/>
    <s v="Mobile Payment"/>
    <n v="3"/>
    <x v="6"/>
    <x v="3"/>
    <n v="2024"/>
    <m/>
  </r>
  <r>
    <x v="460"/>
    <d v="2024-06-25T00:00:00"/>
    <s v="Christopher Gonzalez"/>
    <x v="2"/>
    <x v="0"/>
    <s v="Consumer"/>
    <x v="2"/>
    <x v="9"/>
    <n v="2"/>
    <n v="86.62"/>
    <n v="0.15"/>
    <x v="460"/>
    <n v="89.78"/>
    <x v="460"/>
    <s v="Mobile Payment"/>
    <n v="4"/>
    <x v="5"/>
    <x v="2"/>
    <n v="2024"/>
    <m/>
  </r>
  <r>
    <x v="461"/>
    <d v="2024-05-07T00:00:00"/>
    <s v="Beth Jones"/>
    <x v="3"/>
    <x v="0"/>
    <s v="Consumer"/>
    <x v="0"/>
    <x v="0"/>
    <n v="4"/>
    <n v="88.53"/>
    <n v="0"/>
    <x v="461"/>
    <n v="276.85000000000002"/>
    <x v="461"/>
    <s v="Transfer"/>
    <n v="2"/>
    <x v="9"/>
    <x v="2"/>
    <n v="2024"/>
    <m/>
  </r>
  <r>
    <x v="462"/>
    <d v="2024-02-09T00:00:00"/>
    <s v="Lisa Walker"/>
    <x v="3"/>
    <x v="2"/>
    <s v="Consumer"/>
    <x v="0"/>
    <x v="1"/>
    <n v="3"/>
    <n v="1190.57"/>
    <n v="0.15"/>
    <x v="462"/>
    <n v="1649.7"/>
    <x v="462"/>
    <s v="Transfer"/>
    <n v="1"/>
    <x v="4"/>
    <x v="0"/>
    <n v="2024"/>
    <m/>
  </r>
  <r>
    <x v="463"/>
    <d v="2024-04-22T00:00:00"/>
    <s v="Tina Nelson"/>
    <x v="4"/>
    <x v="1"/>
    <s v="Home Office"/>
    <x v="3"/>
    <x v="7"/>
    <n v="11"/>
    <n v="683.83"/>
    <n v="0.1"/>
    <x v="463"/>
    <n v="4195.58"/>
    <x v="463"/>
    <s v="Card"/>
    <n v="3"/>
    <x v="10"/>
    <x v="2"/>
    <n v="2024"/>
    <m/>
  </r>
  <r>
    <x v="464"/>
    <d v="2024-04-16T00:00:00"/>
    <s v="Kristen Newman"/>
    <x v="2"/>
    <x v="1"/>
    <s v="Home Office"/>
    <x v="2"/>
    <x v="9"/>
    <n v="2"/>
    <n v="338.9"/>
    <n v="0.05"/>
    <x v="464"/>
    <n v="423.74"/>
    <x v="464"/>
    <s v="Transfer"/>
    <n v="5"/>
    <x v="10"/>
    <x v="2"/>
    <n v="2024"/>
    <m/>
  </r>
  <r>
    <x v="465"/>
    <d v="2024-12-25T00:00:00"/>
    <s v="Rebecca Stewart"/>
    <x v="4"/>
    <x v="4"/>
    <s v="Consumer"/>
    <x v="0"/>
    <x v="1"/>
    <n v="4"/>
    <n v="202.17"/>
    <n v="0"/>
    <x v="465"/>
    <n v="611.71"/>
    <x v="465"/>
    <s v="Transfer"/>
    <n v="2"/>
    <x v="6"/>
    <x v="3"/>
    <n v="2024"/>
    <m/>
  </r>
  <r>
    <x v="466"/>
    <d v="2024-01-04T00:00:00"/>
    <s v="Andrew Gill"/>
    <x v="1"/>
    <x v="3"/>
    <s v="Corporate"/>
    <x v="1"/>
    <x v="2"/>
    <n v="6"/>
    <n v="645.9"/>
    <n v="0.15"/>
    <x v="466"/>
    <n v="2516.4499999999998"/>
    <x v="466"/>
    <s v="Mobile Payment"/>
    <n v="2"/>
    <x v="0"/>
    <x v="0"/>
    <n v="2024"/>
    <m/>
  </r>
  <r>
    <x v="467"/>
    <d v="2024-12-27T00:00:00"/>
    <s v="Kelsey Page"/>
    <x v="1"/>
    <x v="1"/>
    <s v="Consumer"/>
    <x v="3"/>
    <x v="6"/>
    <n v="10"/>
    <n v="336.66"/>
    <n v="0.05"/>
    <x v="467"/>
    <n v="2688.05"/>
    <x v="467"/>
    <s v="Cash"/>
    <n v="1"/>
    <x v="6"/>
    <x v="3"/>
    <n v="2024"/>
    <m/>
  </r>
  <r>
    <x v="468"/>
    <d v="2024-07-06T00:00:00"/>
    <s v="Jessica Liu"/>
    <x v="2"/>
    <x v="4"/>
    <s v="Corporate"/>
    <x v="0"/>
    <x v="1"/>
    <n v="12"/>
    <n v="211.85"/>
    <n v="0"/>
    <x v="468"/>
    <n v="1435.85"/>
    <x v="468"/>
    <s v="Mobile Payment"/>
    <n v="2"/>
    <x v="7"/>
    <x v="1"/>
    <n v="2024"/>
    <m/>
  </r>
  <r>
    <x v="469"/>
    <d v="2024-09-06T00:00:00"/>
    <s v="Antonio Kim"/>
    <x v="3"/>
    <x v="0"/>
    <s v="Consumer"/>
    <x v="1"/>
    <x v="12"/>
    <n v="11"/>
    <n v="866.01"/>
    <n v="0.05"/>
    <x v="469"/>
    <n v="4546.6400000000003"/>
    <x v="469"/>
    <s v="Transfer"/>
    <n v="5"/>
    <x v="2"/>
    <x v="1"/>
    <n v="2024"/>
    <m/>
  </r>
  <r>
    <x v="470"/>
    <d v="2024-11-23T00:00:00"/>
    <s v="Dawn Torres"/>
    <x v="2"/>
    <x v="3"/>
    <s v="Consumer"/>
    <x v="2"/>
    <x v="9"/>
    <n v="6"/>
    <n v="730.03"/>
    <n v="0.15"/>
    <x v="470"/>
    <n v="2294.6"/>
    <x v="470"/>
    <s v="Transfer"/>
    <n v="3"/>
    <x v="11"/>
    <x v="3"/>
    <n v="2024"/>
    <m/>
  </r>
  <r>
    <x v="471"/>
    <d v="2024-08-21T00:00:00"/>
    <s v="Brandon Peterson"/>
    <x v="1"/>
    <x v="0"/>
    <s v="Home Office"/>
    <x v="1"/>
    <x v="2"/>
    <n v="2"/>
    <n v="642.58000000000004"/>
    <n v="0.15"/>
    <x v="471"/>
    <n v="821.81"/>
    <x v="471"/>
    <s v="Cash"/>
    <n v="2"/>
    <x v="3"/>
    <x v="1"/>
    <n v="2024"/>
    <m/>
  </r>
  <r>
    <x v="472"/>
    <d v="2024-09-04T00:00:00"/>
    <s v="James French"/>
    <x v="4"/>
    <x v="3"/>
    <s v="Home Office"/>
    <x v="3"/>
    <x v="8"/>
    <n v="9"/>
    <n v="987.83"/>
    <n v="0.05"/>
    <x v="472"/>
    <n v="6734.75"/>
    <x v="472"/>
    <s v="Mobile Payment"/>
    <n v="1"/>
    <x v="2"/>
    <x v="1"/>
    <n v="2024"/>
    <m/>
  </r>
  <r>
    <x v="473"/>
    <d v="2024-02-02T00:00:00"/>
    <s v="Roy Dudley"/>
    <x v="1"/>
    <x v="1"/>
    <s v="Corporate"/>
    <x v="2"/>
    <x v="4"/>
    <n v="11"/>
    <n v="12.54"/>
    <n v="0.05"/>
    <x v="473"/>
    <n v="89.16"/>
    <x v="473"/>
    <s v="Transfer"/>
    <n v="1"/>
    <x v="4"/>
    <x v="0"/>
    <n v="2024"/>
    <m/>
  </r>
  <r>
    <x v="474"/>
    <d v="2024-12-21T00:00:00"/>
    <s v="Courtney Ryan"/>
    <x v="3"/>
    <x v="1"/>
    <s v="Home Office"/>
    <x v="0"/>
    <x v="5"/>
    <n v="9"/>
    <n v="1120.54"/>
    <n v="0.1"/>
    <x v="474"/>
    <n v="5918.91"/>
    <x v="474"/>
    <s v="Transfer"/>
    <n v="5"/>
    <x v="6"/>
    <x v="3"/>
    <n v="2024"/>
    <m/>
  </r>
  <r>
    <x v="475"/>
    <d v="2024-08-13T00:00:00"/>
    <s v="Sandra Collins"/>
    <x v="1"/>
    <x v="0"/>
    <s v="Consumer"/>
    <x v="0"/>
    <x v="0"/>
    <n v="5"/>
    <n v="282.73"/>
    <n v="0.15"/>
    <x v="475"/>
    <n v="632.65"/>
    <x v="475"/>
    <s v="Card"/>
    <n v="4"/>
    <x v="3"/>
    <x v="1"/>
    <n v="2024"/>
    <m/>
  </r>
  <r>
    <x v="476"/>
    <d v="2024-08-06T00:00:00"/>
    <s v="Christy Steele"/>
    <x v="0"/>
    <x v="0"/>
    <s v="Corporate"/>
    <x v="0"/>
    <x v="11"/>
    <n v="6"/>
    <n v="696.76"/>
    <n v="0"/>
    <x v="476"/>
    <n v="3492.75"/>
    <x v="476"/>
    <s v="Transfer"/>
    <n v="2"/>
    <x v="3"/>
    <x v="1"/>
    <n v="2024"/>
    <m/>
  </r>
  <r>
    <x v="477"/>
    <d v="2024-09-01T00:00:00"/>
    <s v="Jason Cox"/>
    <x v="0"/>
    <x v="3"/>
    <s v="Corporate"/>
    <x v="0"/>
    <x v="5"/>
    <n v="10"/>
    <n v="340.97"/>
    <n v="0"/>
    <x v="477"/>
    <n v="2747.38"/>
    <x v="477"/>
    <s v="Transfer"/>
    <n v="4"/>
    <x v="2"/>
    <x v="1"/>
    <n v="2024"/>
    <m/>
  </r>
  <r>
    <x v="478"/>
    <d v="2024-06-11T00:00:00"/>
    <s v="Terry Cohen"/>
    <x v="2"/>
    <x v="3"/>
    <s v="Consumer"/>
    <x v="0"/>
    <x v="11"/>
    <n v="8"/>
    <n v="343.94"/>
    <n v="0.1"/>
    <x v="478"/>
    <n v="1448.92"/>
    <x v="478"/>
    <s v="Mobile Payment"/>
    <n v="5"/>
    <x v="5"/>
    <x v="2"/>
    <n v="2024"/>
    <m/>
  </r>
  <r>
    <x v="479"/>
    <d v="2024-08-28T00:00:00"/>
    <s v="Cynthia Graham"/>
    <x v="3"/>
    <x v="2"/>
    <s v="Corporate"/>
    <x v="2"/>
    <x v="10"/>
    <n v="9"/>
    <n v="886.22"/>
    <n v="0"/>
    <x v="479"/>
    <n v="5408"/>
    <x v="479"/>
    <s v="Transfer"/>
    <n v="3"/>
    <x v="3"/>
    <x v="1"/>
    <n v="2024"/>
    <m/>
  </r>
  <r>
    <x v="480"/>
    <d v="2024-06-02T00:00:00"/>
    <s v="Robert Shea"/>
    <x v="4"/>
    <x v="4"/>
    <s v="Home Office"/>
    <x v="3"/>
    <x v="8"/>
    <n v="2"/>
    <n v="593.76"/>
    <n v="0.05"/>
    <x v="480"/>
    <n v="801.16"/>
    <x v="480"/>
    <s v="Card"/>
    <n v="5"/>
    <x v="5"/>
    <x v="2"/>
    <n v="2024"/>
    <m/>
  </r>
  <r>
    <x v="481"/>
    <d v="2024-10-19T00:00:00"/>
    <s v="Alyssa Williams"/>
    <x v="2"/>
    <x v="0"/>
    <s v="Consumer"/>
    <x v="2"/>
    <x v="9"/>
    <n v="12"/>
    <n v="313.74"/>
    <n v="0.05"/>
    <x v="481"/>
    <n v="2308.4299999999998"/>
    <x v="481"/>
    <s v="Card"/>
    <n v="3"/>
    <x v="8"/>
    <x v="3"/>
    <n v="2024"/>
    <m/>
  </r>
  <r>
    <x v="482"/>
    <d v="2024-03-02T00:00:00"/>
    <s v="Kristina Watson"/>
    <x v="0"/>
    <x v="4"/>
    <s v="Corporate"/>
    <x v="3"/>
    <x v="7"/>
    <n v="9"/>
    <n v="969.89"/>
    <n v="0.1"/>
    <x v="482"/>
    <n v="5037.8100000000004"/>
    <x v="482"/>
    <s v="Mobile Payment"/>
    <n v="2"/>
    <x v="1"/>
    <x v="0"/>
    <n v="2024"/>
    <m/>
  </r>
  <r>
    <x v="483"/>
    <d v="2024-01-06T00:00:00"/>
    <s v="Jennifer Williams"/>
    <x v="0"/>
    <x v="4"/>
    <s v="Home Office"/>
    <x v="3"/>
    <x v="7"/>
    <n v="4"/>
    <n v="618.28"/>
    <n v="0.05"/>
    <x v="483"/>
    <n v="1921.95"/>
    <x v="483"/>
    <s v="Mobile Payment"/>
    <n v="5"/>
    <x v="0"/>
    <x v="0"/>
    <n v="2024"/>
    <m/>
  </r>
  <r>
    <x v="484"/>
    <d v="2024-12-29T00:00:00"/>
    <s v="Karen Bennett"/>
    <x v="3"/>
    <x v="4"/>
    <s v="Home Office"/>
    <x v="2"/>
    <x v="4"/>
    <n v="11"/>
    <n v="195.3"/>
    <n v="0.1"/>
    <x v="484"/>
    <n v="1105.6500000000001"/>
    <x v="484"/>
    <s v="Transfer"/>
    <n v="4"/>
    <x v="6"/>
    <x v="3"/>
    <n v="2024"/>
    <m/>
  </r>
  <r>
    <x v="485"/>
    <d v="2024-04-26T00:00:00"/>
    <s v="Terrance Schaefer"/>
    <x v="0"/>
    <x v="2"/>
    <s v="Home Office"/>
    <x v="1"/>
    <x v="2"/>
    <n v="1"/>
    <n v="1087.46"/>
    <n v="0.1"/>
    <x v="485"/>
    <n v="808.39"/>
    <x v="485"/>
    <s v="Transfer"/>
    <n v="5"/>
    <x v="10"/>
    <x v="2"/>
    <n v="2024"/>
    <m/>
  </r>
  <r>
    <x v="486"/>
    <d v="2024-05-26T00:00:00"/>
    <s v="Andrew Davidson"/>
    <x v="1"/>
    <x v="2"/>
    <s v="Corporate"/>
    <x v="2"/>
    <x v="10"/>
    <n v="5"/>
    <n v="505.27"/>
    <n v="0.15"/>
    <x v="486"/>
    <n v="1105.57"/>
    <x v="486"/>
    <s v="Transfer"/>
    <n v="2"/>
    <x v="9"/>
    <x v="2"/>
    <n v="2024"/>
    <m/>
  </r>
  <r>
    <x v="487"/>
    <d v="2024-06-10T00:00:00"/>
    <s v="Sean Walker"/>
    <x v="1"/>
    <x v="2"/>
    <s v="Home Office"/>
    <x v="0"/>
    <x v="0"/>
    <n v="9"/>
    <n v="505.25"/>
    <n v="0"/>
    <x v="487"/>
    <n v="2493.0300000000002"/>
    <x v="487"/>
    <s v="Card"/>
    <n v="1"/>
    <x v="5"/>
    <x v="2"/>
    <n v="2024"/>
    <m/>
  </r>
  <r>
    <x v="488"/>
    <d v="2024-11-11T00:00:00"/>
    <s v="Kevin Harris"/>
    <x v="3"/>
    <x v="2"/>
    <s v="Corporate"/>
    <x v="2"/>
    <x v="4"/>
    <n v="6"/>
    <n v="1022.4"/>
    <n v="0.15"/>
    <x v="488"/>
    <n v="2792.26"/>
    <x v="488"/>
    <s v="Card"/>
    <n v="1"/>
    <x v="11"/>
    <x v="3"/>
    <n v="2024"/>
    <m/>
  </r>
  <r>
    <x v="489"/>
    <d v="2024-07-16T00:00:00"/>
    <s v="Mark Rice"/>
    <x v="4"/>
    <x v="3"/>
    <s v="Consumer"/>
    <x v="3"/>
    <x v="8"/>
    <n v="4"/>
    <n v="784.09"/>
    <n v="0.05"/>
    <x v="489"/>
    <n v="2471.5700000000002"/>
    <x v="489"/>
    <s v="Card"/>
    <n v="2"/>
    <x v="7"/>
    <x v="1"/>
    <n v="2024"/>
    <m/>
  </r>
  <r>
    <x v="490"/>
    <d v="2024-07-08T00:00:00"/>
    <s v="Ronald Schwartz"/>
    <x v="0"/>
    <x v="1"/>
    <s v="Consumer"/>
    <x v="2"/>
    <x v="4"/>
    <n v="1"/>
    <n v="558.75"/>
    <n v="0.1"/>
    <x v="490"/>
    <n v="387.5"/>
    <x v="490"/>
    <s v="Card"/>
    <n v="4"/>
    <x v="7"/>
    <x v="1"/>
    <n v="2024"/>
    <m/>
  </r>
  <r>
    <x v="491"/>
    <d v="2024-11-15T00:00:00"/>
    <s v="Ashley Alexander"/>
    <x v="3"/>
    <x v="1"/>
    <s v="Corporate"/>
    <x v="0"/>
    <x v="0"/>
    <n v="5"/>
    <n v="983.72"/>
    <n v="0.05"/>
    <x v="491"/>
    <n v="2790.1"/>
    <x v="491"/>
    <s v="Mobile Payment"/>
    <n v="3"/>
    <x v="11"/>
    <x v="3"/>
    <n v="2024"/>
    <m/>
  </r>
  <r>
    <x v="492"/>
    <d v="2024-07-01T00:00:00"/>
    <s v="Mario Brown"/>
    <x v="0"/>
    <x v="1"/>
    <s v="Home Office"/>
    <x v="0"/>
    <x v="11"/>
    <n v="3"/>
    <n v="61.21"/>
    <n v="0.15"/>
    <x v="492"/>
    <n v="121.84"/>
    <x v="492"/>
    <s v="Card"/>
    <n v="1"/>
    <x v="7"/>
    <x v="1"/>
    <n v="2024"/>
    <m/>
  </r>
  <r>
    <x v="493"/>
    <d v="2024-06-11T00:00:00"/>
    <s v="Michael King"/>
    <x v="2"/>
    <x v="4"/>
    <s v="Home Office"/>
    <x v="3"/>
    <x v="8"/>
    <n v="7"/>
    <n v="147.97999999999999"/>
    <n v="0.15"/>
    <x v="493"/>
    <n v="538.26"/>
    <x v="493"/>
    <s v="Transfer"/>
    <n v="3"/>
    <x v="5"/>
    <x v="2"/>
    <n v="2024"/>
    <m/>
  </r>
  <r>
    <x v="494"/>
    <d v="2024-09-05T00:00:00"/>
    <s v="Jennifer Chan"/>
    <x v="1"/>
    <x v="4"/>
    <s v="Home Office"/>
    <x v="0"/>
    <x v="5"/>
    <n v="1"/>
    <n v="161.38999999999999"/>
    <n v="0.1"/>
    <x v="494"/>
    <n v="90.9"/>
    <x v="494"/>
    <s v="Transfer"/>
    <n v="5"/>
    <x v="2"/>
    <x v="1"/>
    <n v="2024"/>
    <m/>
  </r>
  <r>
    <x v="495"/>
    <d v="2024-02-01T00:00:00"/>
    <s v="Jennifer Bailey"/>
    <x v="1"/>
    <x v="2"/>
    <s v="Consumer"/>
    <x v="2"/>
    <x v="9"/>
    <n v="9"/>
    <n v="938.64"/>
    <n v="0"/>
    <x v="495"/>
    <n v="5930.15"/>
    <x v="495"/>
    <s v="Cash"/>
    <n v="3"/>
    <x v="4"/>
    <x v="0"/>
    <n v="2024"/>
    <m/>
  </r>
  <r>
    <x v="496"/>
    <d v="2024-02-29T00:00:00"/>
    <s v="Rebecca Rivera"/>
    <x v="1"/>
    <x v="0"/>
    <s v="Corporate"/>
    <x v="1"/>
    <x v="3"/>
    <n v="9"/>
    <n v="233.66"/>
    <n v="0.1"/>
    <x v="496"/>
    <n v="1327.41"/>
    <x v="496"/>
    <s v="Mobile Payment"/>
    <n v="3"/>
    <x v="4"/>
    <x v="0"/>
    <n v="2024"/>
    <m/>
  </r>
  <r>
    <x v="497"/>
    <d v="2024-04-28T00:00:00"/>
    <s v="Steven Marshall"/>
    <x v="2"/>
    <x v="1"/>
    <s v="Consumer"/>
    <x v="0"/>
    <x v="5"/>
    <n v="8"/>
    <n v="817.21"/>
    <n v="0.05"/>
    <x v="497"/>
    <n v="3836.84"/>
    <x v="497"/>
    <s v="Card"/>
    <n v="3"/>
    <x v="10"/>
    <x v="2"/>
    <n v="2024"/>
    <m/>
  </r>
  <r>
    <x v="498"/>
    <d v="2024-01-17T00:00:00"/>
    <s v="Stephen Hicks"/>
    <x v="1"/>
    <x v="1"/>
    <s v="Consumer"/>
    <x v="3"/>
    <x v="7"/>
    <n v="11"/>
    <n v="1085.49"/>
    <n v="0.1"/>
    <x v="498"/>
    <n v="7932.81"/>
    <x v="498"/>
    <s v="Transfer"/>
    <n v="1"/>
    <x v="0"/>
    <x v="0"/>
    <n v="2024"/>
    <m/>
  </r>
  <r>
    <x v="499"/>
    <d v="2024-05-07T00:00:00"/>
    <s v="Phyllis Johnson"/>
    <x v="4"/>
    <x v="1"/>
    <s v="Home Office"/>
    <x v="1"/>
    <x v="12"/>
    <n v="7"/>
    <n v="241.65"/>
    <n v="0"/>
    <x v="499"/>
    <n v="1203.6099999999999"/>
    <x v="499"/>
    <s v="Mobile Payment"/>
    <n v="4"/>
    <x v="9"/>
    <x v="2"/>
    <n v="2024"/>
    <m/>
  </r>
  <r>
    <x v="500"/>
    <d v="2024-07-13T00:00:00"/>
    <s v="Eric Santos"/>
    <x v="3"/>
    <x v="2"/>
    <s v="Corporate"/>
    <x v="0"/>
    <x v="5"/>
    <n v="12"/>
    <n v="653.55999999999995"/>
    <n v="0.05"/>
    <x v="500"/>
    <n v="5106.03"/>
    <x v="500"/>
    <s v="Mobile Payment"/>
    <n v="5"/>
    <x v="7"/>
    <x v="1"/>
    <n v="2024"/>
    <m/>
  </r>
  <r>
    <x v="501"/>
    <d v="2024-10-04T00:00:00"/>
    <s v="Oscar Atkinson"/>
    <x v="0"/>
    <x v="2"/>
    <s v="Consumer"/>
    <x v="3"/>
    <x v="8"/>
    <n v="4"/>
    <n v="223.31"/>
    <n v="0.15"/>
    <x v="501"/>
    <n v="402"/>
    <x v="501"/>
    <s v="Card"/>
    <n v="3"/>
    <x v="8"/>
    <x v="3"/>
    <n v="2024"/>
    <m/>
  </r>
  <r>
    <x v="502"/>
    <d v="2024-06-16T00:00:00"/>
    <s v="James Williamson"/>
    <x v="1"/>
    <x v="0"/>
    <s v="Consumer"/>
    <x v="0"/>
    <x v="5"/>
    <n v="11"/>
    <n v="924.55"/>
    <n v="0.1"/>
    <x v="502"/>
    <n v="6061"/>
    <x v="502"/>
    <s v="Mobile Payment"/>
    <n v="3"/>
    <x v="5"/>
    <x v="2"/>
    <n v="2024"/>
    <m/>
  </r>
  <r>
    <x v="503"/>
    <d v="2024-03-29T00:00:00"/>
    <s v="Katie Smith"/>
    <x v="4"/>
    <x v="0"/>
    <s v="Consumer"/>
    <x v="0"/>
    <x v="11"/>
    <n v="10"/>
    <n v="227.5"/>
    <n v="0.15"/>
    <x v="503"/>
    <n v="1410.65"/>
    <x v="503"/>
    <s v="Card"/>
    <n v="2"/>
    <x v="1"/>
    <x v="0"/>
    <n v="2024"/>
    <m/>
  </r>
  <r>
    <x v="504"/>
    <d v="2024-10-03T00:00:00"/>
    <s v="Jacqueline Lee"/>
    <x v="3"/>
    <x v="1"/>
    <s v="Home Office"/>
    <x v="1"/>
    <x v="2"/>
    <n v="1"/>
    <n v="858.15"/>
    <n v="0.05"/>
    <x v="504"/>
    <n v="508.99"/>
    <x v="504"/>
    <s v="Mobile Payment"/>
    <n v="1"/>
    <x v="8"/>
    <x v="3"/>
    <n v="2024"/>
    <m/>
  </r>
  <r>
    <x v="505"/>
    <d v="2024-11-25T00:00:00"/>
    <s v="Jesse Carr"/>
    <x v="1"/>
    <x v="0"/>
    <s v="Home Office"/>
    <x v="2"/>
    <x v="10"/>
    <n v="11"/>
    <n v="836.67"/>
    <n v="0.05"/>
    <x v="505"/>
    <n v="6658.05"/>
    <x v="505"/>
    <s v="Cash"/>
    <n v="3"/>
    <x v="11"/>
    <x v="3"/>
    <n v="2024"/>
    <m/>
  </r>
  <r>
    <x v="506"/>
    <d v="2024-12-19T00:00:00"/>
    <s v="Rachel Mcclain"/>
    <x v="0"/>
    <x v="3"/>
    <s v="Home Office"/>
    <x v="1"/>
    <x v="3"/>
    <n v="10"/>
    <n v="720.41"/>
    <n v="0.1"/>
    <x v="506"/>
    <n v="5448.24"/>
    <x v="506"/>
    <s v="Mobile Payment"/>
    <n v="1"/>
    <x v="6"/>
    <x v="3"/>
    <n v="2024"/>
    <m/>
  </r>
  <r>
    <x v="507"/>
    <d v="2024-04-28T00:00:00"/>
    <s v="Derek Leach"/>
    <x v="1"/>
    <x v="4"/>
    <s v="Home Office"/>
    <x v="3"/>
    <x v="7"/>
    <n v="5"/>
    <n v="446.03"/>
    <n v="0"/>
    <x v="507"/>
    <n v="1194.43"/>
    <x v="507"/>
    <s v="Transfer"/>
    <n v="3"/>
    <x v="10"/>
    <x v="2"/>
    <n v="2024"/>
    <m/>
  </r>
  <r>
    <x v="508"/>
    <d v="2024-09-03T00:00:00"/>
    <s v="Kenneth Coleman"/>
    <x v="0"/>
    <x v="4"/>
    <s v="Corporate"/>
    <x v="2"/>
    <x v="10"/>
    <n v="1"/>
    <n v="902.06"/>
    <n v="0.15"/>
    <x v="508"/>
    <n v="484.4"/>
    <x v="508"/>
    <s v="Cash"/>
    <n v="5"/>
    <x v="2"/>
    <x v="1"/>
    <n v="2024"/>
    <m/>
  </r>
  <r>
    <x v="509"/>
    <d v="2024-04-03T00:00:00"/>
    <s v="James Bass"/>
    <x v="4"/>
    <x v="1"/>
    <s v="Consumer"/>
    <x v="2"/>
    <x v="9"/>
    <n v="12"/>
    <n v="180.05"/>
    <n v="0"/>
    <x v="509"/>
    <n v="1183.0899999999999"/>
    <x v="509"/>
    <s v="Transfer"/>
    <n v="1"/>
    <x v="10"/>
    <x v="2"/>
    <n v="2024"/>
    <m/>
  </r>
  <r>
    <x v="510"/>
    <d v="2024-06-11T00:00:00"/>
    <s v="Keith Norton"/>
    <x v="3"/>
    <x v="4"/>
    <s v="Corporate"/>
    <x v="0"/>
    <x v="0"/>
    <n v="5"/>
    <n v="740.96"/>
    <n v="0.05"/>
    <x v="510"/>
    <n v="1808.06"/>
    <x v="510"/>
    <s v="Transfer"/>
    <n v="1"/>
    <x v="5"/>
    <x v="2"/>
    <n v="2024"/>
    <m/>
  </r>
  <r>
    <x v="511"/>
    <d v="2024-07-01T00:00:00"/>
    <s v="Julie Owen"/>
    <x v="4"/>
    <x v="3"/>
    <s v="Corporate"/>
    <x v="2"/>
    <x v="9"/>
    <n v="2"/>
    <n v="881.99"/>
    <n v="0.15"/>
    <x v="511"/>
    <n v="1075.19"/>
    <x v="511"/>
    <s v="Mobile Payment"/>
    <n v="4"/>
    <x v="7"/>
    <x v="1"/>
    <n v="2024"/>
    <m/>
  </r>
  <r>
    <x v="512"/>
    <d v="2024-01-23T00:00:00"/>
    <s v="Christina Parker"/>
    <x v="1"/>
    <x v="4"/>
    <s v="Home Office"/>
    <x v="1"/>
    <x v="12"/>
    <n v="8"/>
    <n v="1029.78"/>
    <n v="0.15"/>
    <x v="512"/>
    <n v="5869.58"/>
    <x v="512"/>
    <s v="Card"/>
    <n v="2"/>
    <x v="0"/>
    <x v="0"/>
    <n v="2024"/>
    <m/>
  </r>
  <r>
    <x v="513"/>
    <d v="2024-06-01T00:00:00"/>
    <s v="Joseph Gonzalez"/>
    <x v="0"/>
    <x v="0"/>
    <s v="Consumer"/>
    <x v="1"/>
    <x v="3"/>
    <n v="2"/>
    <n v="231.13"/>
    <n v="0.1"/>
    <x v="513"/>
    <n v="304.5"/>
    <x v="513"/>
    <s v="Mobile Payment"/>
    <n v="5"/>
    <x v="5"/>
    <x v="2"/>
    <n v="2024"/>
    <m/>
  </r>
  <r>
    <x v="514"/>
    <d v="2024-05-04T00:00:00"/>
    <s v="Theresa Nguyen"/>
    <x v="1"/>
    <x v="0"/>
    <s v="Consumer"/>
    <x v="3"/>
    <x v="8"/>
    <n v="7"/>
    <n v="557.85"/>
    <n v="0"/>
    <x v="514"/>
    <n v="1959.53"/>
    <x v="514"/>
    <s v="Cash"/>
    <n v="2"/>
    <x v="9"/>
    <x v="2"/>
    <n v="2024"/>
    <m/>
  </r>
  <r>
    <x v="515"/>
    <d v="2024-04-07T00:00:00"/>
    <s v="Robert Williams"/>
    <x v="2"/>
    <x v="4"/>
    <s v="Corporate"/>
    <x v="3"/>
    <x v="6"/>
    <n v="11"/>
    <n v="896.1"/>
    <n v="0.1"/>
    <x v="515"/>
    <n v="5602.63"/>
    <x v="515"/>
    <s v="Cash"/>
    <n v="4"/>
    <x v="10"/>
    <x v="2"/>
    <n v="2024"/>
    <m/>
  </r>
  <r>
    <x v="516"/>
    <d v="2024-07-15T00:00:00"/>
    <s v="Susan Johnson"/>
    <x v="0"/>
    <x v="3"/>
    <s v="Consumer"/>
    <x v="1"/>
    <x v="2"/>
    <n v="6"/>
    <n v="490.84"/>
    <n v="0.05"/>
    <x v="516"/>
    <n v="1852.65"/>
    <x v="516"/>
    <s v="Mobile Payment"/>
    <n v="2"/>
    <x v="7"/>
    <x v="1"/>
    <n v="2024"/>
    <m/>
  </r>
  <r>
    <x v="517"/>
    <d v="2024-03-31T00:00:00"/>
    <s v="Rachel Meyers"/>
    <x v="2"/>
    <x v="0"/>
    <s v="Corporate"/>
    <x v="3"/>
    <x v="6"/>
    <n v="6"/>
    <n v="979.28"/>
    <n v="0"/>
    <x v="517"/>
    <n v="3524.74"/>
    <x v="517"/>
    <s v="Mobile Payment"/>
    <n v="5"/>
    <x v="1"/>
    <x v="0"/>
    <n v="2024"/>
    <m/>
  </r>
  <r>
    <x v="518"/>
    <d v="2024-08-07T00:00:00"/>
    <s v="Ashley Arnold"/>
    <x v="1"/>
    <x v="1"/>
    <s v="Consumer"/>
    <x v="2"/>
    <x v="4"/>
    <n v="2"/>
    <n v="695.23"/>
    <n v="0"/>
    <x v="518"/>
    <n v="1042.5999999999999"/>
    <x v="518"/>
    <s v="Card"/>
    <n v="5"/>
    <x v="3"/>
    <x v="1"/>
    <n v="2024"/>
    <m/>
  </r>
  <r>
    <x v="519"/>
    <d v="2024-09-23T00:00:00"/>
    <s v="Katherine Miller"/>
    <x v="1"/>
    <x v="2"/>
    <s v="Consumer"/>
    <x v="1"/>
    <x v="2"/>
    <n v="11"/>
    <n v="46.24"/>
    <n v="0.05"/>
    <x v="519"/>
    <n v="242.12"/>
    <x v="519"/>
    <s v="Card"/>
    <n v="5"/>
    <x v="2"/>
    <x v="1"/>
    <n v="2024"/>
    <m/>
  </r>
  <r>
    <x v="520"/>
    <d v="2024-09-14T00:00:00"/>
    <s v="Tammy Gay"/>
    <x v="1"/>
    <x v="1"/>
    <s v="Home Office"/>
    <x v="0"/>
    <x v="0"/>
    <n v="8"/>
    <n v="939.04"/>
    <n v="0"/>
    <x v="520"/>
    <n v="4173.59"/>
    <x v="520"/>
    <s v="Card"/>
    <n v="3"/>
    <x v="2"/>
    <x v="1"/>
    <n v="2024"/>
    <m/>
  </r>
  <r>
    <x v="521"/>
    <d v="2024-12-02T00:00:00"/>
    <s v="Gregory Hoover"/>
    <x v="3"/>
    <x v="0"/>
    <s v="Corporate"/>
    <x v="3"/>
    <x v="6"/>
    <n v="2"/>
    <n v="314.77999999999997"/>
    <n v="0.1"/>
    <x v="521"/>
    <n v="422.09"/>
    <x v="521"/>
    <s v="Card"/>
    <n v="1"/>
    <x v="6"/>
    <x v="3"/>
    <n v="2024"/>
    <m/>
  </r>
  <r>
    <x v="522"/>
    <d v="2024-09-24T00:00:00"/>
    <s v="James Morales"/>
    <x v="3"/>
    <x v="1"/>
    <s v="Corporate"/>
    <x v="1"/>
    <x v="3"/>
    <n v="5"/>
    <n v="824.03"/>
    <n v="0.15"/>
    <x v="522"/>
    <n v="2698.88"/>
    <x v="522"/>
    <s v="Transfer"/>
    <n v="1"/>
    <x v="2"/>
    <x v="1"/>
    <n v="2024"/>
    <m/>
  </r>
  <r>
    <x v="523"/>
    <d v="2024-07-01T00:00:00"/>
    <s v="Kendra Williamson"/>
    <x v="3"/>
    <x v="1"/>
    <s v="Consumer"/>
    <x v="3"/>
    <x v="6"/>
    <n v="4"/>
    <n v="46"/>
    <n v="0"/>
    <x v="523"/>
    <n v="137.91999999999999"/>
    <x v="523"/>
    <s v="Card"/>
    <n v="1"/>
    <x v="7"/>
    <x v="1"/>
    <n v="2024"/>
    <m/>
  </r>
  <r>
    <x v="524"/>
    <d v="2024-10-03T00:00:00"/>
    <s v="Joshua Brown"/>
    <x v="2"/>
    <x v="4"/>
    <s v="Consumer"/>
    <x v="2"/>
    <x v="4"/>
    <n v="8"/>
    <n v="71.489999999999995"/>
    <n v="0.1"/>
    <x v="524"/>
    <n v="393.68"/>
    <x v="524"/>
    <s v="Transfer"/>
    <n v="3"/>
    <x v="8"/>
    <x v="3"/>
    <n v="2024"/>
    <m/>
  </r>
  <r>
    <x v="525"/>
    <d v="2024-06-01T00:00:00"/>
    <s v="Renee Carey"/>
    <x v="2"/>
    <x v="0"/>
    <s v="Home Office"/>
    <x v="3"/>
    <x v="7"/>
    <n v="9"/>
    <n v="743.92"/>
    <n v="0.15"/>
    <x v="525"/>
    <n v="2977.02"/>
    <x v="525"/>
    <s v="Card"/>
    <n v="1"/>
    <x v="5"/>
    <x v="2"/>
    <n v="2024"/>
    <m/>
  </r>
  <r>
    <x v="526"/>
    <d v="2024-05-26T00:00:00"/>
    <s v="Meghan Dennis"/>
    <x v="0"/>
    <x v="1"/>
    <s v="Consumer"/>
    <x v="3"/>
    <x v="8"/>
    <n v="8"/>
    <n v="806.58"/>
    <n v="0"/>
    <x v="526"/>
    <n v="5428.69"/>
    <x v="526"/>
    <s v="Cash"/>
    <n v="5"/>
    <x v="9"/>
    <x v="2"/>
    <n v="2024"/>
    <m/>
  </r>
  <r>
    <x v="527"/>
    <d v="2024-05-08T00:00:00"/>
    <s v="Denise Moore"/>
    <x v="0"/>
    <x v="4"/>
    <s v="Consumer"/>
    <x v="1"/>
    <x v="3"/>
    <n v="2"/>
    <n v="766.23"/>
    <n v="0"/>
    <x v="527"/>
    <n v="1293.6400000000001"/>
    <x v="527"/>
    <s v="Cash"/>
    <n v="3"/>
    <x v="9"/>
    <x v="2"/>
    <n v="2024"/>
    <m/>
  </r>
  <r>
    <x v="528"/>
    <d v="2024-07-29T00:00:00"/>
    <s v="John Torres"/>
    <x v="1"/>
    <x v="3"/>
    <s v="Corporate"/>
    <x v="2"/>
    <x v="10"/>
    <n v="5"/>
    <n v="457.34"/>
    <n v="0"/>
    <x v="528"/>
    <n v="1145"/>
    <x v="528"/>
    <s v="Card"/>
    <n v="5"/>
    <x v="7"/>
    <x v="1"/>
    <n v="2024"/>
    <m/>
  </r>
  <r>
    <x v="529"/>
    <d v="2024-03-01T00:00:00"/>
    <s v="Melinda Cunningham"/>
    <x v="0"/>
    <x v="0"/>
    <s v="Corporate"/>
    <x v="2"/>
    <x v="4"/>
    <n v="7"/>
    <n v="422.4"/>
    <n v="0.1"/>
    <x v="529"/>
    <n v="1344.28"/>
    <x v="529"/>
    <s v="Cash"/>
    <n v="5"/>
    <x v="1"/>
    <x v="0"/>
    <n v="2024"/>
    <m/>
  </r>
  <r>
    <x v="530"/>
    <d v="2024-07-29T00:00:00"/>
    <s v="Kristie Alvarado"/>
    <x v="2"/>
    <x v="1"/>
    <s v="Corporate"/>
    <x v="2"/>
    <x v="9"/>
    <n v="3"/>
    <n v="435.93"/>
    <n v="0.1"/>
    <x v="530"/>
    <n v="962.62"/>
    <x v="530"/>
    <s v="Cash"/>
    <n v="5"/>
    <x v="7"/>
    <x v="1"/>
    <n v="2024"/>
    <m/>
  </r>
  <r>
    <x v="531"/>
    <d v="2024-02-21T00:00:00"/>
    <s v="Ashley Nielsen"/>
    <x v="3"/>
    <x v="0"/>
    <s v="Corporate"/>
    <x v="3"/>
    <x v="8"/>
    <n v="4"/>
    <n v="695.64"/>
    <n v="0"/>
    <x v="531"/>
    <n v="2352.27"/>
    <x v="531"/>
    <s v="Mobile Payment"/>
    <n v="5"/>
    <x v="4"/>
    <x v="0"/>
    <n v="2024"/>
    <m/>
  </r>
  <r>
    <x v="532"/>
    <d v="2024-01-03T00:00:00"/>
    <s v="Lindsey Hart"/>
    <x v="1"/>
    <x v="4"/>
    <s v="Home Office"/>
    <x v="3"/>
    <x v="6"/>
    <n v="6"/>
    <n v="1188.33"/>
    <n v="0.15"/>
    <x v="532"/>
    <n v="3533.5"/>
    <x v="532"/>
    <s v="Mobile Payment"/>
    <n v="4"/>
    <x v="0"/>
    <x v="0"/>
    <n v="2024"/>
    <m/>
  </r>
  <r>
    <x v="533"/>
    <d v="2024-11-16T00:00:00"/>
    <s v="Jesus Mercer"/>
    <x v="1"/>
    <x v="2"/>
    <s v="Home Office"/>
    <x v="3"/>
    <x v="8"/>
    <n v="12"/>
    <n v="976.49"/>
    <n v="0.05"/>
    <x v="533"/>
    <n v="8886.26"/>
    <x v="533"/>
    <s v="Transfer"/>
    <n v="2"/>
    <x v="11"/>
    <x v="3"/>
    <n v="2024"/>
    <m/>
  </r>
  <r>
    <x v="534"/>
    <d v="2024-07-25T00:00:00"/>
    <s v="Kevin Lopez"/>
    <x v="4"/>
    <x v="1"/>
    <s v="Corporate"/>
    <x v="3"/>
    <x v="8"/>
    <n v="10"/>
    <n v="500.15"/>
    <n v="0.15"/>
    <x v="534"/>
    <n v="2842.8"/>
    <x v="534"/>
    <s v="Transfer"/>
    <n v="4"/>
    <x v="7"/>
    <x v="1"/>
    <n v="2024"/>
    <m/>
  </r>
  <r>
    <x v="535"/>
    <d v="2024-06-01T00:00:00"/>
    <s v="Lori Brown"/>
    <x v="4"/>
    <x v="4"/>
    <s v="Home Office"/>
    <x v="2"/>
    <x v="4"/>
    <n v="8"/>
    <n v="1092.3699999999999"/>
    <n v="0.1"/>
    <x v="535"/>
    <n v="5827.57"/>
    <x v="535"/>
    <s v="Card"/>
    <n v="4"/>
    <x v="5"/>
    <x v="2"/>
    <n v="2024"/>
    <m/>
  </r>
  <r>
    <x v="536"/>
    <d v="2024-10-15T00:00:00"/>
    <s v="Robert Hopkins"/>
    <x v="1"/>
    <x v="0"/>
    <s v="Home Office"/>
    <x v="0"/>
    <x v="5"/>
    <n v="8"/>
    <n v="414.53"/>
    <n v="0"/>
    <x v="536"/>
    <n v="2600.85"/>
    <x v="536"/>
    <s v="Transfer"/>
    <n v="4"/>
    <x v="8"/>
    <x v="3"/>
    <n v="2024"/>
    <m/>
  </r>
  <r>
    <x v="537"/>
    <d v="2024-12-28T00:00:00"/>
    <s v="Darrell Rich"/>
    <x v="3"/>
    <x v="3"/>
    <s v="Corporate"/>
    <x v="0"/>
    <x v="1"/>
    <n v="11"/>
    <n v="1026.3699999999999"/>
    <n v="0"/>
    <x v="537"/>
    <n v="5661"/>
    <x v="537"/>
    <s v="Card"/>
    <n v="2"/>
    <x v="6"/>
    <x v="3"/>
    <n v="2024"/>
    <m/>
  </r>
  <r>
    <x v="538"/>
    <d v="2024-01-01T00:00:00"/>
    <s v="Heidi Bowers"/>
    <x v="2"/>
    <x v="2"/>
    <s v="Consumer"/>
    <x v="1"/>
    <x v="12"/>
    <n v="11"/>
    <n v="1035.68"/>
    <n v="0"/>
    <x v="538"/>
    <n v="9277.74"/>
    <x v="538"/>
    <s v="Card"/>
    <n v="5"/>
    <x v="0"/>
    <x v="0"/>
    <n v="2024"/>
    <m/>
  </r>
  <r>
    <x v="539"/>
    <d v="2024-09-01T00:00:00"/>
    <s v="Steven Benson"/>
    <x v="4"/>
    <x v="3"/>
    <s v="Consumer"/>
    <x v="2"/>
    <x v="4"/>
    <n v="5"/>
    <n v="255.72"/>
    <n v="0"/>
    <x v="539"/>
    <n v="803.05"/>
    <x v="539"/>
    <s v="Card"/>
    <n v="5"/>
    <x v="2"/>
    <x v="1"/>
    <n v="2024"/>
    <m/>
  </r>
  <r>
    <x v="540"/>
    <d v="2024-11-22T00:00:00"/>
    <s v="Crystal Boyer"/>
    <x v="4"/>
    <x v="2"/>
    <s v="Corporate"/>
    <x v="3"/>
    <x v="6"/>
    <n v="11"/>
    <n v="542.23"/>
    <n v="0.15"/>
    <x v="540"/>
    <n v="4217.7700000000004"/>
    <x v="540"/>
    <s v="Mobile Payment"/>
    <n v="5"/>
    <x v="11"/>
    <x v="3"/>
    <n v="2024"/>
    <m/>
  </r>
  <r>
    <x v="541"/>
    <d v="2024-05-14T00:00:00"/>
    <s v="Omar Murphy"/>
    <x v="1"/>
    <x v="3"/>
    <s v="Consumer"/>
    <x v="3"/>
    <x v="8"/>
    <n v="12"/>
    <n v="757.94"/>
    <n v="0"/>
    <x v="541"/>
    <n v="5856.02"/>
    <x v="541"/>
    <s v="Card"/>
    <n v="1"/>
    <x v="9"/>
    <x v="2"/>
    <n v="2024"/>
    <m/>
  </r>
  <r>
    <x v="542"/>
    <d v="2024-01-13T00:00:00"/>
    <s v="Reginald Gardner"/>
    <x v="0"/>
    <x v="3"/>
    <s v="Home Office"/>
    <x v="2"/>
    <x v="9"/>
    <n v="5"/>
    <n v="578.34"/>
    <n v="0.15"/>
    <x v="542"/>
    <n v="1272.83"/>
    <x v="542"/>
    <s v="Card"/>
    <n v="1"/>
    <x v="0"/>
    <x v="0"/>
    <n v="2024"/>
    <m/>
  </r>
  <r>
    <x v="543"/>
    <d v="2024-03-16T00:00:00"/>
    <s v="Joshua Smith"/>
    <x v="0"/>
    <x v="4"/>
    <s v="Corporate"/>
    <x v="3"/>
    <x v="6"/>
    <n v="10"/>
    <n v="382.88"/>
    <n v="0.15"/>
    <x v="543"/>
    <n v="2543.8200000000002"/>
    <x v="543"/>
    <s v="Transfer"/>
    <n v="3"/>
    <x v="1"/>
    <x v="0"/>
    <n v="2024"/>
    <m/>
  </r>
  <r>
    <x v="544"/>
    <d v="2024-07-19T00:00:00"/>
    <s v="Jessica Martin"/>
    <x v="3"/>
    <x v="4"/>
    <s v="Corporate"/>
    <x v="3"/>
    <x v="8"/>
    <n v="9"/>
    <n v="1147.06"/>
    <n v="0.15"/>
    <x v="544"/>
    <n v="7361.33"/>
    <x v="544"/>
    <s v="Mobile Payment"/>
    <n v="4"/>
    <x v="7"/>
    <x v="1"/>
    <n v="2024"/>
    <m/>
  </r>
  <r>
    <x v="545"/>
    <d v="2024-10-17T00:00:00"/>
    <s v="Chad Lopez"/>
    <x v="4"/>
    <x v="0"/>
    <s v="Home Office"/>
    <x v="3"/>
    <x v="7"/>
    <n v="5"/>
    <n v="186.84"/>
    <n v="0"/>
    <x v="545"/>
    <n v="670.35"/>
    <x v="545"/>
    <s v="Cash"/>
    <n v="3"/>
    <x v="8"/>
    <x v="3"/>
    <n v="2024"/>
    <m/>
  </r>
  <r>
    <x v="546"/>
    <d v="2024-01-22T00:00:00"/>
    <s v="Natalie Scott"/>
    <x v="2"/>
    <x v="2"/>
    <s v="Corporate"/>
    <x v="0"/>
    <x v="0"/>
    <n v="9"/>
    <n v="326.75"/>
    <n v="0.15"/>
    <x v="546"/>
    <n v="2097.81"/>
    <x v="546"/>
    <s v="Card"/>
    <n v="5"/>
    <x v="0"/>
    <x v="0"/>
    <n v="2024"/>
    <m/>
  </r>
  <r>
    <x v="547"/>
    <d v="2024-11-20T00:00:00"/>
    <s v="Eddie Thomas"/>
    <x v="0"/>
    <x v="1"/>
    <s v="Home Office"/>
    <x v="3"/>
    <x v="8"/>
    <n v="3"/>
    <n v="200.1"/>
    <n v="0.05"/>
    <x v="547"/>
    <n v="458.54"/>
    <x v="547"/>
    <s v="Cash"/>
    <n v="3"/>
    <x v="11"/>
    <x v="3"/>
    <n v="2024"/>
    <m/>
  </r>
  <r>
    <x v="548"/>
    <d v="2024-11-30T00:00:00"/>
    <s v="Kevin Parker"/>
    <x v="1"/>
    <x v="1"/>
    <s v="Corporate"/>
    <x v="0"/>
    <x v="0"/>
    <n v="7"/>
    <n v="291.27"/>
    <n v="0.15"/>
    <x v="548"/>
    <n v="1062.8599999999999"/>
    <x v="548"/>
    <s v="Transfer"/>
    <n v="1"/>
    <x v="11"/>
    <x v="3"/>
    <n v="2024"/>
    <m/>
  </r>
  <r>
    <x v="549"/>
    <d v="2024-02-18T00:00:00"/>
    <s v="Sylvia Griffin"/>
    <x v="4"/>
    <x v="2"/>
    <s v="Corporate"/>
    <x v="3"/>
    <x v="6"/>
    <n v="5"/>
    <n v="607.07000000000005"/>
    <n v="0.1"/>
    <x v="549"/>
    <n v="1843.98"/>
    <x v="549"/>
    <s v="Cash"/>
    <n v="3"/>
    <x v="4"/>
    <x v="0"/>
    <n v="2024"/>
    <m/>
  </r>
  <r>
    <x v="550"/>
    <d v="2024-02-24T00:00:00"/>
    <s v="Douglas Potter"/>
    <x v="3"/>
    <x v="0"/>
    <s v="Home Office"/>
    <x v="1"/>
    <x v="3"/>
    <n v="12"/>
    <n v="1193.76"/>
    <n v="0.05"/>
    <x v="550"/>
    <n v="10086.07"/>
    <x v="550"/>
    <s v="Cash"/>
    <n v="5"/>
    <x v="4"/>
    <x v="0"/>
    <n v="2024"/>
    <m/>
  </r>
  <r>
    <x v="551"/>
    <d v="2024-07-21T00:00:00"/>
    <s v="Jeffrey Thompson"/>
    <x v="4"/>
    <x v="4"/>
    <s v="Corporate"/>
    <x v="2"/>
    <x v="9"/>
    <n v="2"/>
    <n v="25.51"/>
    <n v="0.15"/>
    <x v="551"/>
    <n v="21.9"/>
    <x v="551"/>
    <s v="Cash"/>
    <n v="1"/>
    <x v="7"/>
    <x v="1"/>
    <n v="2024"/>
    <m/>
  </r>
  <r>
    <x v="552"/>
    <d v="2024-04-01T00:00:00"/>
    <s v="Sara Watson"/>
    <x v="4"/>
    <x v="2"/>
    <s v="Consumer"/>
    <x v="1"/>
    <x v="3"/>
    <n v="10"/>
    <n v="601.19000000000005"/>
    <n v="0.15"/>
    <x v="552"/>
    <n v="4314.22"/>
    <x v="552"/>
    <s v="Transfer"/>
    <n v="3"/>
    <x v="10"/>
    <x v="2"/>
    <n v="2024"/>
    <m/>
  </r>
  <r>
    <x v="553"/>
    <d v="2024-02-21T00:00:00"/>
    <s v="Maria Page"/>
    <x v="3"/>
    <x v="3"/>
    <s v="Consumer"/>
    <x v="1"/>
    <x v="2"/>
    <n v="5"/>
    <n v="185.09"/>
    <n v="0.15"/>
    <x v="553"/>
    <n v="629.01"/>
    <x v="553"/>
    <s v="Transfer"/>
    <n v="2"/>
    <x v="4"/>
    <x v="0"/>
    <n v="2024"/>
    <m/>
  </r>
  <r>
    <x v="554"/>
    <d v="2024-10-30T00:00:00"/>
    <s v="Charles Herrera"/>
    <x v="0"/>
    <x v="2"/>
    <s v="Consumer"/>
    <x v="2"/>
    <x v="4"/>
    <n v="10"/>
    <n v="701.64"/>
    <n v="0.1"/>
    <x v="554"/>
    <n v="3733.32"/>
    <x v="554"/>
    <s v="Card"/>
    <n v="3"/>
    <x v="8"/>
    <x v="3"/>
    <n v="2024"/>
    <m/>
  </r>
  <r>
    <x v="555"/>
    <d v="2024-03-28T00:00:00"/>
    <s v="Jennifer Bullock"/>
    <x v="4"/>
    <x v="4"/>
    <s v="Home Office"/>
    <x v="3"/>
    <x v="7"/>
    <n v="9"/>
    <n v="717.98"/>
    <n v="0"/>
    <x v="555"/>
    <n v="4178.37"/>
    <x v="555"/>
    <s v="Mobile Payment"/>
    <n v="5"/>
    <x v="1"/>
    <x v="0"/>
    <n v="2024"/>
    <m/>
  </r>
  <r>
    <x v="556"/>
    <d v="2024-02-03T00:00:00"/>
    <s v="Teresa Stephens"/>
    <x v="3"/>
    <x v="0"/>
    <s v="Home Office"/>
    <x v="2"/>
    <x v="4"/>
    <n v="11"/>
    <n v="1158.71"/>
    <n v="0"/>
    <x v="556"/>
    <n v="7074.58"/>
    <x v="556"/>
    <s v="Mobile Payment"/>
    <n v="3"/>
    <x v="4"/>
    <x v="0"/>
    <n v="2024"/>
    <m/>
  </r>
  <r>
    <x v="557"/>
    <d v="2024-03-03T00:00:00"/>
    <s v="Billy Burns"/>
    <x v="4"/>
    <x v="4"/>
    <s v="Corporate"/>
    <x v="1"/>
    <x v="2"/>
    <n v="12"/>
    <n v="541.33000000000004"/>
    <n v="0.15"/>
    <x v="557"/>
    <n v="4215.6099999999997"/>
    <x v="557"/>
    <s v="Cash"/>
    <n v="2"/>
    <x v="1"/>
    <x v="0"/>
    <n v="2024"/>
    <m/>
  </r>
  <r>
    <x v="558"/>
    <d v="2024-05-18T00:00:00"/>
    <s v="Jamie Li"/>
    <x v="1"/>
    <x v="4"/>
    <s v="Corporate"/>
    <x v="2"/>
    <x v="10"/>
    <n v="6"/>
    <n v="735.88"/>
    <n v="0.05"/>
    <x v="558"/>
    <n v="3094.6"/>
    <x v="558"/>
    <s v="Cash"/>
    <n v="1"/>
    <x v="9"/>
    <x v="2"/>
    <n v="2024"/>
    <m/>
  </r>
  <r>
    <x v="559"/>
    <d v="2024-07-20T00:00:00"/>
    <s v="Kimberly Diaz"/>
    <x v="0"/>
    <x v="3"/>
    <s v="Corporate"/>
    <x v="2"/>
    <x v="4"/>
    <n v="9"/>
    <n v="979.76"/>
    <n v="0.1"/>
    <x v="559"/>
    <n v="4116.87"/>
    <x v="559"/>
    <s v="Cash"/>
    <n v="2"/>
    <x v="7"/>
    <x v="1"/>
    <n v="2024"/>
    <m/>
  </r>
  <r>
    <x v="560"/>
    <d v="2024-01-18T00:00:00"/>
    <s v="Joseph Kane"/>
    <x v="2"/>
    <x v="3"/>
    <s v="Consumer"/>
    <x v="0"/>
    <x v="1"/>
    <n v="5"/>
    <n v="446.04"/>
    <n v="0"/>
    <x v="560"/>
    <n v="1692.84"/>
    <x v="560"/>
    <s v="Cash"/>
    <n v="5"/>
    <x v="0"/>
    <x v="0"/>
    <n v="2024"/>
    <m/>
  </r>
  <r>
    <x v="561"/>
    <d v="2024-05-11T00:00:00"/>
    <s v="Phyllis Wilson"/>
    <x v="4"/>
    <x v="2"/>
    <s v="Home Office"/>
    <x v="1"/>
    <x v="2"/>
    <n v="4"/>
    <n v="302.42"/>
    <n v="0.1"/>
    <x v="561"/>
    <n v="754.45"/>
    <x v="561"/>
    <s v="Mobile Payment"/>
    <n v="3"/>
    <x v="9"/>
    <x v="2"/>
    <n v="2024"/>
    <m/>
  </r>
  <r>
    <x v="562"/>
    <d v="2024-10-31T00:00:00"/>
    <s v="Felicia Allen"/>
    <x v="4"/>
    <x v="0"/>
    <s v="Home Office"/>
    <x v="0"/>
    <x v="0"/>
    <n v="5"/>
    <n v="36.369999999999997"/>
    <n v="0"/>
    <x v="562"/>
    <n v="114.57"/>
    <x v="562"/>
    <s v="Transfer"/>
    <n v="4"/>
    <x v="8"/>
    <x v="3"/>
    <n v="2024"/>
    <m/>
  </r>
  <r>
    <x v="563"/>
    <d v="2024-11-16T00:00:00"/>
    <s v="Paula Young"/>
    <x v="1"/>
    <x v="0"/>
    <s v="Home Office"/>
    <x v="3"/>
    <x v="8"/>
    <n v="6"/>
    <n v="1127.68"/>
    <n v="0.05"/>
    <x v="563"/>
    <n v="3296.55"/>
    <x v="563"/>
    <s v="Cash"/>
    <n v="2"/>
    <x v="11"/>
    <x v="3"/>
    <n v="2024"/>
    <m/>
  </r>
  <r>
    <x v="564"/>
    <d v="2024-05-20T00:00:00"/>
    <s v="Ashley George"/>
    <x v="2"/>
    <x v="4"/>
    <s v="Corporate"/>
    <x v="0"/>
    <x v="1"/>
    <n v="8"/>
    <n v="207.31"/>
    <n v="0.05"/>
    <x v="564"/>
    <n v="829.7"/>
    <x v="564"/>
    <s v="Cash"/>
    <n v="1"/>
    <x v="9"/>
    <x v="2"/>
    <n v="2024"/>
    <m/>
  </r>
  <r>
    <x v="565"/>
    <d v="2024-07-23T00:00:00"/>
    <s v="Christopher Vargas"/>
    <x v="2"/>
    <x v="3"/>
    <s v="Consumer"/>
    <x v="3"/>
    <x v="7"/>
    <n v="7"/>
    <n v="144.41"/>
    <n v="0.05"/>
    <x v="565"/>
    <n v="623.82000000000005"/>
    <x v="565"/>
    <s v="Card"/>
    <n v="4"/>
    <x v="7"/>
    <x v="1"/>
    <n v="2024"/>
    <m/>
  </r>
  <r>
    <x v="566"/>
    <d v="2024-05-14T00:00:00"/>
    <s v="David Smith"/>
    <x v="1"/>
    <x v="0"/>
    <s v="Home Office"/>
    <x v="1"/>
    <x v="3"/>
    <n v="6"/>
    <n v="1153.42"/>
    <n v="0.15"/>
    <x v="566"/>
    <n v="3703.59"/>
    <x v="566"/>
    <s v="Mobile Payment"/>
    <n v="1"/>
    <x v="9"/>
    <x v="2"/>
    <n v="2024"/>
    <m/>
  </r>
  <r>
    <x v="567"/>
    <d v="2024-12-31T00:00:00"/>
    <s v="Adam Olson"/>
    <x v="2"/>
    <x v="4"/>
    <s v="Corporate"/>
    <x v="0"/>
    <x v="0"/>
    <n v="11"/>
    <n v="713.11"/>
    <n v="0.05"/>
    <x v="567"/>
    <n v="5786.04"/>
    <x v="567"/>
    <s v="Transfer"/>
    <n v="1"/>
    <x v="6"/>
    <x v="3"/>
    <n v="2024"/>
    <m/>
  </r>
  <r>
    <x v="568"/>
    <d v="2024-04-08T00:00:00"/>
    <s v="Sean Martin"/>
    <x v="4"/>
    <x v="1"/>
    <s v="Home Office"/>
    <x v="1"/>
    <x v="12"/>
    <n v="5"/>
    <n v="756.37"/>
    <n v="0"/>
    <x v="568"/>
    <n v="2058.79"/>
    <x v="568"/>
    <s v="Cash"/>
    <n v="4"/>
    <x v="10"/>
    <x v="2"/>
    <n v="2024"/>
    <m/>
  </r>
  <r>
    <x v="569"/>
    <d v="2024-02-09T00:00:00"/>
    <s v="John Castaneda"/>
    <x v="4"/>
    <x v="0"/>
    <s v="Consumer"/>
    <x v="1"/>
    <x v="12"/>
    <n v="12"/>
    <n v="307.77"/>
    <n v="0.1"/>
    <x v="569"/>
    <n v="2070.33"/>
    <x v="569"/>
    <s v="Transfer"/>
    <n v="5"/>
    <x v="4"/>
    <x v="0"/>
    <n v="2024"/>
    <m/>
  </r>
  <r>
    <x v="570"/>
    <d v="2024-06-13T00:00:00"/>
    <s v="Dr. Rebecca Whitaker"/>
    <x v="0"/>
    <x v="2"/>
    <s v="Corporate"/>
    <x v="3"/>
    <x v="8"/>
    <n v="3"/>
    <n v="677.35"/>
    <n v="0.05"/>
    <x v="570"/>
    <n v="973.93"/>
    <x v="570"/>
    <s v="Transfer"/>
    <n v="4"/>
    <x v="5"/>
    <x v="2"/>
    <n v="2024"/>
    <m/>
  </r>
  <r>
    <x v="571"/>
    <d v="2024-04-08T00:00:00"/>
    <s v="Amy Campos"/>
    <x v="2"/>
    <x v="0"/>
    <s v="Home Office"/>
    <x v="0"/>
    <x v="11"/>
    <n v="5"/>
    <n v="823.66"/>
    <n v="0.15"/>
    <x v="571"/>
    <n v="2925.35"/>
    <x v="571"/>
    <s v="Transfer"/>
    <n v="4"/>
    <x v="10"/>
    <x v="2"/>
    <n v="2024"/>
    <m/>
  </r>
  <r>
    <x v="572"/>
    <d v="2024-08-30T00:00:00"/>
    <s v="Heather Brooks"/>
    <x v="3"/>
    <x v="4"/>
    <s v="Consumer"/>
    <x v="1"/>
    <x v="3"/>
    <n v="10"/>
    <n v="849.4"/>
    <n v="0.15"/>
    <x v="572"/>
    <n v="5502.1"/>
    <x v="572"/>
    <s v="Mobile Payment"/>
    <n v="5"/>
    <x v="3"/>
    <x v="1"/>
    <n v="2024"/>
    <m/>
  </r>
  <r>
    <x v="573"/>
    <d v="2024-10-16T00:00:00"/>
    <s v="Alicia Smith"/>
    <x v="0"/>
    <x v="1"/>
    <s v="Corporate"/>
    <x v="2"/>
    <x v="10"/>
    <n v="3"/>
    <n v="781.39"/>
    <n v="0.1"/>
    <x v="573"/>
    <n v="1107.42"/>
    <x v="573"/>
    <s v="Cash"/>
    <n v="3"/>
    <x v="8"/>
    <x v="3"/>
    <n v="2024"/>
    <m/>
  </r>
  <r>
    <x v="574"/>
    <d v="2024-01-17T00:00:00"/>
    <s v="Tyler Torres"/>
    <x v="1"/>
    <x v="0"/>
    <s v="Corporate"/>
    <x v="1"/>
    <x v="2"/>
    <n v="7"/>
    <n v="1093.9000000000001"/>
    <n v="0"/>
    <x v="574"/>
    <n v="5127.5"/>
    <x v="574"/>
    <s v="Transfer"/>
    <n v="1"/>
    <x v="0"/>
    <x v="0"/>
    <n v="2024"/>
    <m/>
  </r>
  <r>
    <x v="575"/>
    <d v="2024-09-09T00:00:00"/>
    <s v="Danny Boyer"/>
    <x v="0"/>
    <x v="1"/>
    <s v="Home Office"/>
    <x v="3"/>
    <x v="7"/>
    <n v="5"/>
    <n v="130.04"/>
    <n v="0.15"/>
    <x v="575"/>
    <n v="308.48"/>
    <x v="575"/>
    <s v="Cash"/>
    <n v="5"/>
    <x v="2"/>
    <x v="1"/>
    <n v="2024"/>
    <m/>
  </r>
  <r>
    <x v="576"/>
    <d v="2024-08-17T00:00:00"/>
    <s v="Craig Short"/>
    <x v="0"/>
    <x v="1"/>
    <s v="Consumer"/>
    <x v="1"/>
    <x v="2"/>
    <n v="11"/>
    <n v="664.45"/>
    <n v="0.05"/>
    <x v="576"/>
    <n v="4631.21"/>
    <x v="576"/>
    <s v="Mobile Payment"/>
    <n v="3"/>
    <x v="3"/>
    <x v="1"/>
    <n v="2024"/>
    <m/>
  </r>
  <r>
    <x v="577"/>
    <d v="2024-05-27T00:00:00"/>
    <s v="Matthew Glover"/>
    <x v="3"/>
    <x v="4"/>
    <s v="Home Office"/>
    <x v="3"/>
    <x v="8"/>
    <n v="4"/>
    <n v="654.29"/>
    <n v="0.05"/>
    <x v="577"/>
    <n v="1723.22"/>
    <x v="577"/>
    <s v="Mobile Payment"/>
    <n v="5"/>
    <x v="9"/>
    <x v="2"/>
    <n v="2024"/>
    <m/>
  </r>
  <r>
    <x v="578"/>
    <d v="2024-04-11T00:00:00"/>
    <s v="Gary Snyder"/>
    <x v="2"/>
    <x v="4"/>
    <s v="Corporate"/>
    <x v="2"/>
    <x v="9"/>
    <n v="5"/>
    <n v="769.41"/>
    <n v="0.05"/>
    <x v="578"/>
    <n v="2598.56"/>
    <x v="578"/>
    <s v="Cash"/>
    <n v="4"/>
    <x v="10"/>
    <x v="2"/>
    <n v="2024"/>
    <m/>
  </r>
  <r>
    <x v="579"/>
    <d v="2024-05-15T00:00:00"/>
    <s v="Eric Myers"/>
    <x v="3"/>
    <x v="1"/>
    <s v="Consumer"/>
    <x v="0"/>
    <x v="1"/>
    <n v="7"/>
    <n v="1159.02"/>
    <n v="0.05"/>
    <x v="579"/>
    <n v="5089.38"/>
    <x v="579"/>
    <s v="Cash"/>
    <n v="4"/>
    <x v="9"/>
    <x v="2"/>
    <n v="2024"/>
    <m/>
  </r>
  <r>
    <x v="580"/>
    <d v="2024-01-16T00:00:00"/>
    <s v="Kevin Bush"/>
    <x v="4"/>
    <x v="4"/>
    <s v="Consumer"/>
    <x v="1"/>
    <x v="2"/>
    <n v="9"/>
    <n v="1169.06"/>
    <n v="0.1"/>
    <x v="580"/>
    <n v="6878.36"/>
    <x v="580"/>
    <s v="Cash"/>
    <n v="1"/>
    <x v="0"/>
    <x v="0"/>
    <n v="2024"/>
    <m/>
  </r>
  <r>
    <x v="581"/>
    <d v="2024-09-10T00:00:00"/>
    <s v="Cassandra Copeland"/>
    <x v="3"/>
    <x v="3"/>
    <s v="Home Office"/>
    <x v="0"/>
    <x v="11"/>
    <n v="5"/>
    <n v="141.9"/>
    <n v="0.05"/>
    <x v="581"/>
    <n v="491.08"/>
    <x v="581"/>
    <s v="Transfer"/>
    <n v="4"/>
    <x v="2"/>
    <x v="1"/>
    <n v="2024"/>
    <m/>
  </r>
  <r>
    <x v="582"/>
    <d v="2024-10-07T00:00:00"/>
    <s v="Jillian Hurst"/>
    <x v="0"/>
    <x v="4"/>
    <s v="Home Office"/>
    <x v="1"/>
    <x v="3"/>
    <n v="9"/>
    <n v="355.73"/>
    <n v="0.15"/>
    <x v="582"/>
    <n v="2264.0300000000002"/>
    <x v="582"/>
    <s v="Card"/>
    <n v="1"/>
    <x v="8"/>
    <x v="3"/>
    <n v="2024"/>
    <m/>
  </r>
  <r>
    <x v="583"/>
    <d v="2024-05-01T00:00:00"/>
    <s v="Maria Gillespie"/>
    <x v="0"/>
    <x v="2"/>
    <s v="Consumer"/>
    <x v="2"/>
    <x v="9"/>
    <n v="11"/>
    <n v="1001.39"/>
    <n v="0"/>
    <x v="583"/>
    <n v="9084.64"/>
    <x v="583"/>
    <s v="Cash"/>
    <n v="3"/>
    <x v="9"/>
    <x v="2"/>
    <n v="2024"/>
    <m/>
  </r>
  <r>
    <x v="584"/>
    <d v="2024-10-03T00:00:00"/>
    <s v="Garrett Ponce"/>
    <x v="3"/>
    <x v="1"/>
    <s v="Corporate"/>
    <x v="2"/>
    <x v="9"/>
    <n v="11"/>
    <n v="636.57000000000005"/>
    <n v="0"/>
    <x v="584"/>
    <n v="5656.64"/>
    <x v="584"/>
    <s v="Card"/>
    <n v="4"/>
    <x v="8"/>
    <x v="3"/>
    <n v="2024"/>
    <m/>
  </r>
  <r>
    <x v="585"/>
    <d v="2024-10-22T00:00:00"/>
    <s v="Kaylee Young"/>
    <x v="1"/>
    <x v="0"/>
    <s v="Corporate"/>
    <x v="0"/>
    <x v="0"/>
    <n v="11"/>
    <n v="1120.8"/>
    <n v="0.1"/>
    <x v="585"/>
    <n v="5593.39"/>
    <x v="585"/>
    <s v="Cash"/>
    <n v="5"/>
    <x v="8"/>
    <x v="3"/>
    <n v="2024"/>
    <m/>
  </r>
  <r>
    <x v="586"/>
    <d v="2024-08-14T00:00:00"/>
    <s v="Wayne Cox"/>
    <x v="3"/>
    <x v="2"/>
    <s v="Home Office"/>
    <x v="0"/>
    <x v="1"/>
    <n v="3"/>
    <n v="319.64"/>
    <n v="0"/>
    <x v="586"/>
    <n v="636.28"/>
    <x v="586"/>
    <s v="Mobile Payment"/>
    <n v="3"/>
    <x v="3"/>
    <x v="1"/>
    <n v="2024"/>
    <m/>
  </r>
  <r>
    <x v="587"/>
    <d v="2024-04-26T00:00:00"/>
    <s v="Robert Young"/>
    <x v="4"/>
    <x v="3"/>
    <s v="Corporate"/>
    <x v="2"/>
    <x v="10"/>
    <n v="12"/>
    <n v="629.22"/>
    <n v="0.15"/>
    <x v="587"/>
    <n v="3389.81"/>
    <x v="587"/>
    <s v="Cash"/>
    <n v="4"/>
    <x v="10"/>
    <x v="2"/>
    <n v="2024"/>
    <m/>
  </r>
  <r>
    <x v="588"/>
    <d v="2024-12-08T00:00:00"/>
    <s v="Trevor Miller"/>
    <x v="1"/>
    <x v="4"/>
    <s v="Consumer"/>
    <x v="0"/>
    <x v="5"/>
    <n v="4"/>
    <n v="1000.74"/>
    <n v="0.1"/>
    <x v="588"/>
    <n v="2432.65"/>
    <x v="588"/>
    <s v="Card"/>
    <n v="5"/>
    <x v="6"/>
    <x v="3"/>
    <n v="2024"/>
    <m/>
  </r>
  <r>
    <x v="589"/>
    <d v="2024-08-30T00:00:00"/>
    <s v="Brooke Holloway"/>
    <x v="3"/>
    <x v="2"/>
    <s v="Home Office"/>
    <x v="0"/>
    <x v="0"/>
    <n v="10"/>
    <n v="122.32"/>
    <n v="0.1"/>
    <x v="589"/>
    <n v="646.34"/>
    <x v="589"/>
    <s v="Card"/>
    <n v="1"/>
    <x v="3"/>
    <x v="1"/>
    <n v="2024"/>
    <m/>
  </r>
  <r>
    <x v="590"/>
    <d v="2024-06-14T00:00:00"/>
    <s v="Megan Sanchez"/>
    <x v="3"/>
    <x v="0"/>
    <s v="Consumer"/>
    <x v="1"/>
    <x v="12"/>
    <n v="11"/>
    <n v="413.76"/>
    <n v="0.15"/>
    <x v="590"/>
    <n v="2720.54"/>
    <x v="590"/>
    <s v="Cash"/>
    <n v="1"/>
    <x v="5"/>
    <x v="2"/>
    <n v="2024"/>
    <m/>
  </r>
  <r>
    <x v="591"/>
    <d v="2024-05-30T00:00:00"/>
    <s v="Scott Mata"/>
    <x v="0"/>
    <x v="2"/>
    <s v="Consumer"/>
    <x v="3"/>
    <x v="7"/>
    <n v="5"/>
    <n v="906.25"/>
    <n v="0"/>
    <x v="591"/>
    <n v="3850.01"/>
    <x v="591"/>
    <s v="Cash"/>
    <n v="5"/>
    <x v="9"/>
    <x v="2"/>
    <n v="2024"/>
    <m/>
  </r>
  <r>
    <x v="592"/>
    <d v="2024-08-26T00:00:00"/>
    <s v="Brittney Sanchez"/>
    <x v="1"/>
    <x v="2"/>
    <s v="Home Office"/>
    <x v="0"/>
    <x v="5"/>
    <n v="12"/>
    <n v="406.47"/>
    <n v="0.05"/>
    <x v="592"/>
    <n v="3476.32"/>
    <x v="592"/>
    <s v="Cash"/>
    <n v="2"/>
    <x v="3"/>
    <x v="1"/>
    <n v="2024"/>
    <m/>
  </r>
  <r>
    <x v="593"/>
    <d v="2024-05-14T00:00:00"/>
    <s v="Michael Nielsen"/>
    <x v="3"/>
    <x v="1"/>
    <s v="Consumer"/>
    <x v="0"/>
    <x v="5"/>
    <n v="11"/>
    <n v="566.44000000000005"/>
    <n v="0.05"/>
    <x v="593"/>
    <n v="4638.25"/>
    <x v="593"/>
    <s v="Transfer"/>
    <n v="4"/>
    <x v="9"/>
    <x v="2"/>
    <n v="2024"/>
    <m/>
  </r>
  <r>
    <x v="594"/>
    <d v="2024-12-13T00:00:00"/>
    <s v="Angela Turner"/>
    <x v="4"/>
    <x v="3"/>
    <s v="Corporate"/>
    <x v="3"/>
    <x v="6"/>
    <n v="11"/>
    <n v="115.08"/>
    <n v="0.1"/>
    <x v="594"/>
    <n v="924.32"/>
    <x v="594"/>
    <s v="Mobile Payment"/>
    <n v="2"/>
    <x v="6"/>
    <x v="3"/>
    <n v="2024"/>
    <m/>
  </r>
  <r>
    <x v="595"/>
    <d v="2024-04-15T00:00:00"/>
    <s v="Jon Edwards"/>
    <x v="4"/>
    <x v="0"/>
    <s v="Home Office"/>
    <x v="1"/>
    <x v="2"/>
    <n v="10"/>
    <n v="461.01"/>
    <n v="0"/>
    <x v="595"/>
    <n v="3657.71"/>
    <x v="595"/>
    <s v="Card"/>
    <n v="4"/>
    <x v="10"/>
    <x v="2"/>
    <n v="2024"/>
    <m/>
  </r>
  <r>
    <x v="596"/>
    <d v="2024-01-11T00:00:00"/>
    <s v="Matthew Sanchez"/>
    <x v="1"/>
    <x v="2"/>
    <s v="Corporate"/>
    <x v="3"/>
    <x v="6"/>
    <n v="3"/>
    <n v="926.54"/>
    <n v="0.1"/>
    <x v="596"/>
    <n v="1808.85"/>
    <x v="596"/>
    <s v="Cash"/>
    <n v="1"/>
    <x v="0"/>
    <x v="0"/>
    <n v="2024"/>
    <m/>
  </r>
  <r>
    <x v="597"/>
    <d v="2024-07-28T00:00:00"/>
    <s v="Mr. Joel Lewis"/>
    <x v="1"/>
    <x v="1"/>
    <s v="Consumer"/>
    <x v="0"/>
    <x v="0"/>
    <n v="11"/>
    <n v="626.42999999999995"/>
    <n v="0"/>
    <x v="597"/>
    <n v="5352.43"/>
    <x v="597"/>
    <s v="Card"/>
    <n v="4"/>
    <x v="7"/>
    <x v="1"/>
    <n v="2024"/>
    <m/>
  </r>
  <r>
    <x v="598"/>
    <d v="2024-07-12T00:00:00"/>
    <s v="David Reynolds DVM"/>
    <x v="2"/>
    <x v="3"/>
    <s v="Corporate"/>
    <x v="2"/>
    <x v="4"/>
    <n v="3"/>
    <n v="473.19"/>
    <n v="0.15"/>
    <x v="598"/>
    <n v="728.57"/>
    <x v="598"/>
    <s v="Transfer"/>
    <n v="5"/>
    <x v="7"/>
    <x v="1"/>
    <n v="2024"/>
    <m/>
  </r>
  <r>
    <x v="599"/>
    <d v="2024-10-09T00:00:00"/>
    <s v="Billy Mitchell"/>
    <x v="0"/>
    <x v="3"/>
    <s v="Home Office"/>
    <x v="3"/>
    <x v="7"/>
    <n v="9"/>
    <n v="1001.9"/>
    <n v="0.05"/>
    <x v="599"/>
    <n v="5825.85"/>
    <x v="599"/>
    <s v="Card"/>
    <n v="2"/>
    <x v="8"/>
    <x v="3"/>
    <n v="2024"/>
    <m/>
  </r>
  <r>
    <x v="600"/>
    <d v="2024-01-20T00:00:00"/>
    <s v="Amanda Nelson"/>
    <x v="1"/>
    <x v="4"/>
    <s v="Corporate"/>
    <x v="0"/>
    <x v="11"/>
    <n v="10"/>
    <n v="1124.56"/>
    <n v="0.05"/>
    <x v="600"/>
    <n v="9054.48"/>
    <x v="600"/>
    <s v="Mobile Payment"/>
    <n v="4"/>
    <x v="0"/>
    <x v="0"/>
    <n v="2024"/>
    <m/>
  </r>
  <r>
    <x v="601"/>
    <d v="2024-12-24T00:00:00"/>
    <s v="Ruben Miller"/>
    <x v="2"/>
    <x v="2"/>
    <s v="Consumer"/>
    <x v="1"/>
    <x v="2"/>
    <n v="3"/>
    <n v="990.31"/>
    <n v="0.05"/>
    <x v="601"/>
    <n v="2107.0300000000002"/>
    <x v="601"/>
    <s v="Card"/>
    <n v="4"/>
    <x v="6"/>
    <x v="3"/>
    <n v="2024"/>
    <m/>
  </r>
  <r>
    <x v="602"/>
    <d v="2024-06-02T00:00:00"/>
    <s v="Kristin Petersen"/>
    <x v="2"/>
    <x v="3"/>
    <s v="Consumer"/>
    <x v="0"/>
    <x v="0"/>
    <n v="9"/>
    <n v="796.82"/>
    <n v="0.1"/>
    <x v="602"/>
    <n v="4261.21"/>
    <x v="602"/>
    <s v="Cash"/>
    <n v="4"/>
    <x v="5"/>
    <x v="2"/>
    <n v="2024"/>
    <m/>
  </r>
  <r>
    <x v="603"/>
    <d v="2024-01-31T00:00:00"/>
    <s v="Jessica Nicholson"/>
    <x v="4"/>
    <x v="4"/>
    <s v="Consumer"/>
    <x v="2"/>
    <x v="9"/>
    <n v="7"/>
    <n v="1142.04"/>
    <n v="0"/>
    <x v="603"/>
    <n v="5017.8500000000004"/>
    <x v="603"/>
    <s v="Mobile Payment"/>
    <n v="2"/>
    <x v="0"/>
    <x v="0"/>
    <n v="2024"/>
    <m/>
  </r>
  <r>
    <x v="604"/>
    <d v="2024-08-06T00:00:00"/>
    <s v="Timothy Hernandez"/>
    <x v="1"/>
    <x v="4"/>
    <s v="Home Office"/>
    <x v="0"/>
    <x v="5"/>
    <n v="11"/>
    <n v="354.73"/>
    <n v="0.1"/>
    <x v="604"/>
    <n v="2526.4899999999998"/>
    <x v="604"/>
    <s v="Mobile Payment"/>
    <n v="5"/>
    <x v="3"/>
    <x v="1"/>
    <n v="2024"/>
    <m/>
  </r>
  <r>
    <x v="605"/>
    <d v="2024-11-27T00:00:00"/>
    <s v="Alicia Walker"/>
    <x v="0"/>
    <x v="1"/>
    <s v="Consumer"/>
    <x v="1"/>
    <x v="12"/>
    <n v="1"/>
    <n v="390.41"/>
    <n v="0"/>
    <x v="605"/>
    <n v="228.43"/>
    <x v="605"/>
    <s v="Card"/>
    <n v="3"/>
    <x v="11"/>
    <x v="3"/>
    <n v="2024"/>
    <m/>
  </r>
  <r>
    <x v="606"/>
    <d v="2024-02-06T00:00:00"/>
    <s v="Caitlin Liu"/>
    <x v="2"/>
    <x v="4"/>
    <s v="Corporate"/>
    <x v="1"/>
    <x v="12"/>
    <n v="11"/>
    <n v="935.03"/>
    <n v="0"/>
    <x v="606"/>
    <n v="8334.18"/>
    <x v="606"/>
    <s v="Cash"/>
    <n v="2"/>
    <x v="4"/>
    <x v="0"/>
    <n v="2024"/>
    <m/>
  </r>
  <r>
    <x v="607"/>
    <d v="2024-05-10T00:00:00"/>
    <s v="Tracy Jones"/>
    <x v="4"/>
    <x v="2"/>
    <s v="Corporate"/>
    <x v="3"/>
    <x v="6"/>
    <n v="8"/>
    <n v="402.24"/>
    <n v="0"/>
    <x v="607"/>
    <n v="2107.16"/>
    <x v="607"/>
    <s v="Cash"/>
    <n v="4"/>
    <x v="9"/>
    <x v="2"/>
    <n v="2024"/>
    <m/>
  </r>
  <r>
    <x v="608"/>
    <d v="2024-08-06T00:00:00"/>
    <s v="Rachael Ramirez"/>
    <x v="0"/>
    <x v="2"/>
    <s v="Home Office"/>
    <x v="2"/>
    <x v="10"/>
    <n v="5"/>
    <n v="493.93"/>
    <n v="0.05"/>
    <x v="608"/>
    <n v="1786.45"/>
    <x v="608"/>
    <s v="Cash"/>
    <n v="1"/>
    <x v="3"/>
    <x v="1"/>
    <n v="2024"/>
    <m/>
  </r>
  <r>
    <x v="609"/>
    <d v="2024-12-13T00:00:00"/>
    <s v="Carl Ochoa"/>
    <x v="3"/>
    <x v="3"/>
    <s v="Corporate"/>
    <x v="3"/>
    <x v="6"/>
    <n v="10"/>
    <n v="525.34"/>
    <n v="0"/>
    <x v="609"/>
    <n v="2924.61"/>
    <x v="609"/>
    <s v="Mobile Payment"/>
    <n v="2"/>
    <x v="6"/>
    <x v="3"/>
    <n v="2024"/>
    <m/>
  </r>
  <r>
    <x v="610"/>
    <d v="2024-09-02T00:00:00"/>
    <s v="Alyssa Weiss"/>
    <x v="1"/>
    <x v="0"/>
    <s v="Corporate"/>
    <x v="3"/>
    <x v="8"/>
    <n v="5"/>
    <n v="85.42"/>
    <n v="0"/>
    <x v="610"/>
    <n v="340.7"/>
    <x v="610"/>
    <s v="Mobile Payment"/>
    <n v="4"/>
    <x v="2"/>
    <x v="1"/>
    <n v="2024"/>
    <m/>
  </r>
  <r>
    <x v="611"/>
    <d v="2024-09-07T00:00:00"/>
    <s v="Nichole Mckenzie"/>
    <x v="3"/>
    <x v="0"/>
    <s v="Corporate"/>
    <x v="2"/>
    <x v="4"/>
    <n v="5"/>
    <n v="570.01"/>
    <n v="0.15"/>
    <x v="611"/>
    <n v="1483.51"/>
    <x v="611"/>
    <s v="Cash"/>
    <n v="2"/>
    <x v="2"/>
    <x v="1"/>
    <n v="2024"/>
    <m/>
  </r>
  <r>
    <x v="612"/>
    <d v="2024-09-17T00:00:00"/>
    <s v="Michelle Pham"/>
    <x v="3"/>
    <x v="4"/>
    <s v="Consumer"/>
    <x v="0"/>
    <x v="1"/>
    <n v="11"/>
    <n v="762.06"/>
    <n v="0.1"/>
    <x v="612"/>
    <n v="4395.1099999999997"/>
    <x v="612"/>
    <s v="Cash"/>
    <n v="4"/>
    <x v="2"/>
    <x v="1"/>
    <n v="2024"/>
    <m/>
  </r>
  <r>
    <x v="613"/>
    <d v="2024-07-11T00:00:00"/>
    <s v="Patrick Torres"/>
    <x v="0"/>
    <x v="3"/>
    <s v="Consumer"/>
    <x v="3"/>
    <x v="6"/>
    <n v="8"/>
    <n v="308.98"/>
    <n v="0.15"/>
    <x v="613"/>
    <n v="1705.59"/>
    <x v="613"/>
    <s v="Transfer"/>
    <n v="5"/>
    <x v="7"/>
    <x v="1"/>
    <n v="2024"/>
    <m/>
  </r>
  <r>
    <x v="614"/>
    <d v="2024-05-27T00:00:00"/>
    <s v="Marie Collins"/>
    <x v="4"/>
    <x v="4"/>
    <s v="Consumer"/>
    <x v="2"/>
    <x v="10"/>
    <n v="1"/>
    <n v="671.97"/>
    <n v="0.1"/>
    <x v="614"/>
    <n v="449.53"/>
    <x v="614"/>
    <s v="Card"/>
    <n v="5"/>
    <x v="9"/>
    <x v="2"/>
    <n v="2024"/>
    <m/>
  </r>
  <r>
    <x v="615"/>
    <d v="2024-04-14T00:00:00"/>
    <s v="Nicholas Zamora"/>
    <x v="2"/>
    <x v="3"/>
    <s v="Corporate"/>
    <x v="1"/>
    <x v="12"/>
    <n v="6"/>
    <n v="218.81"/>
    <n v="0"/>
    <x v="615"/>
    <n v="876.5"/>
    <x v="615"/>
    <s v="Transfer"/>
    <n v="4"/>
    <x v="10"/>
    <x v="2"/>
    <n v="2024"/>
    <m/>
  </r>
  <r>
    <x v="616"/>
    <d v="2024-09-27T00:00:00"/>
    <s v="Nicole Flores"/>
    <x v="0"/>
    <x v="4"/>
    <s v="Consumer"/>
    <x v="1"/>
    <x v="12"/>
    <n v="9"/>
    <n v="144.11000000000001"/>
    <n v="0"/>
    <x v="616"/>
    <n v="904.34"/>
    <x v="616"/>
    <s v="Card"/>
    <n v="2"/>
    <x v="2"/>
    <x v="1"/>
    <n v="2024"/>
    <m/>
  </r>
  <r>
    <x v="617"/>
    <d v="2024-06-17T00:00:00"/>
    <s v="Rebecca Bennett"/>
    <x v="4"/>
    <x v="0"/>
    <s v="Corporate"/>
    <x v="0"/>
    <x v="1"/>
    <n v="9"/>
    <n v="471.44"/>
    <n v="0.1"/>
    <x v="617"/>
    <n v="2130.6999999999998"/>
    <x v="617"/>
    <s v="Mobile Payment"/>
    <n v="3"/>
    <x v="5"/>
    <x v="2"/>
    <n v="2024"/>
    <m/>
  </r>
  <r>
    <x v="618"/>
    <d v="2024-09-27T00:00:00"/>
    <s v="Daniel Kim"/>
    <x v="0"/>
    <x v="0"/>
    <s v="Home Office"/>
    <x v="3"/>
    <x v="6"/>
    <n v="8"/>
    <n v="957.7"/>
    <n v="0.05"/>
    <x v="618"/>
    <n v="5447.13"/>
    <x v="618"/>
    <s v="Cash"/>
    <n v="4"/>
    <x v="2"/>
    <x v="1"/>
    <n v="2024"/>
    <m/>
  </r>
  <r>
    <x v="619"/>
    <d v="2024-07-15T00:00:00"/>
    <s v="Margaret Thompson"/>
    <x v="4"/>
    <x v="4"/>
    <s v="Home Office"/>
    <x v="1"/>
    <x v="12"/>
    <n v="11"/>
    <n v="694.03"/>
    <n v="0.1"/>
    <x v="619"/>
    <n v="4266.37"/>
    <x v="619"/>
    <s v="Cash"/>
    <n v="1"/>
    <x v="7"/>
    <x v="1"/>
    <n v="2024"/>
    <m/>
  </r>
  <r>
    <x v="620"/>
    <d v="2024-12-15T00:00:00"/>
    <s v="Janet Meyer"/>
    <x v="2"/>
    <x v="4"/>
    <s v="Corporate"/>
    <x v="2"/>
    <x v="9"/>
    <n v="10"/>
    <n v="924.77"/>
    <n v="0.15"/>
    <x v="620"/>
    <n v="6249.98"/>
    <x v="620"/>
    <s v="Mobile Payment"/>
    <n v="1"/>
    <x v="6"/>
    <x v="3"/>
    <n v="2024"/>
    <m/>
  </r>
  <r>
    <x v="621"/>
    <d v="2024-01-23T00:00:00"/>
    <s v="Barry Diaz"/>
    <x v="4"/>
    <x v="3"/>
    <s v="Corporate"/>
    <x v="0"/>
    <x v="5"/>
    <n v="2"/>
    <n v="1077.23"/>
    <n v="0.1"/>
    <x v="621"/>
    <n v="1400.1"/>
    <x v="621"/>
    <s v="Mobile Payment"/>
    <n v="1"/>
    <x v="0"/>
    <x v="0"/>
    <n v="2024"/>
    <m/>
  </r>
  <r>
    <x v="622"/>
    <d v="2024-01-22T00:00:00"/>
    <s v="Derrick Garcia"/>
    <x v="3"/>
    <x v="1"/>
    <s v="Home Office"/>
    <x v="2"/>
    <x v="10"/>
    <n v="12"/>
    <n v="912.87"/>
    <n v="0.15"/>
    <x v="622"/>
    <n v="5208.46"/>
    <x v="622"/>
    <s v="Cash"/>
    <n v="4"/>
    <x v="0"/>
    <x v="0"/>
    <n v="2024"/>
    <m/>
  </r>
  <r>
    <x v="623"/>
    <d v="2024-10-29T00:00:00"/>
    <s v="Stephanie Hansen"/>
    <x v="4"/>
    <x v="2"/>
    <s v="Consumer"/>
    <x v="3"/>
    <x v="7"/>
    <n v="4"/>
    <n v="684.91"/>
    <n v="0.05"/>
    <x v="623"/>
    <n v="1934.47"/>
    <x v="623"/>
    <s v="Transfer"/>
    <n v="5"/>
    <x v="8"/>
    <x v="3"/>
    <n v="2024"/>
    <m/>
  </r>
  <r>
    <x v="624"/>
    <d v="2024-11-24T00:00:00"/>
    <s v="Justin Cox"/>
    <x v="0"/>
    <x v="2"/>
    <s v="Corporate"/>
    <x v="2"/>
    <x v="9"/>
    <n v="8"/>
    <n v="541.37"/>
    <n v="0.1"/>
    <x v="624"/>
    <n v="2106.1799999999998"/>
    <x v="624"/>
    <s v="Mobile Payment"/>
    <n v="2"/>
    <x v="11"/>
    <x v="3"/>
    <n v="2024"/>
    <m/>
  </r>
  <r>
    <x v="625"/>
    <d v="2024-07-28T00:00:00"/>
    <s v="Betty Zamora"/>
    <x v="2"/>
    <x v="1"/>
    <s v="Home Office"/>
    <x v="3"/>
    <x v="8"/>
    <n v="11"/>
    <n v="933.83"/>
    <n v="0.05"/>
    <x v="625"/>
    <n v="6101.06"/>
    <x v="625"/>
    <s v="Transfer"/>
    <n v="1"/>
    <x v="7"/>
    <x v="1"/>
    <n v="2024"/>
    <m/>
  </r>
  <r>
    <x v="626"/>
    <d v="2024-11-22T00:00:00"/>
    <s v="Jennifer Hall"/>
    <x v="3"/>
    <x v="4"/>
    <s v="Corporate"/>
    <x v="2"/>
    <x v="10"/>
    <n v="7"/>
    <n v="771.44"/>
    <n v="0"/>
    <x v="626"/>
    <n v="4245.0600000000004"/>
    <x v="626"/>
    <s v="Cash"/>
    <n v="5"/>
    <x v="11"/>
    <x v="3"/>
    <n v="2024"/>
    <m/>
  </r>
  <r>
    <x v="627"/>
    <d v="2024-08-27T00:00:00"/>
    <s v="Sean Henry"/>
    <x v="3"/>
    <x v="4"/>
    <s v="Corporate"/>
    <x v="3"/>
    <x v="7"/>
    <n v="12"/>
    <n v="854.12"/>
    <n v="0.05"/>
    <x v="627"/>
    <n v="6197.32"/>
    <x v="627"/>
    <s v="Cash"/>
    <n v="1"/>
    <x v="3"/>
    <x v="1"/>
    <n v="2024"/>
    <m/>
  </r>
  <r>
    <x v="628"/>
    <d v="2024-03-15T00:00:00"/>
    <s v="Cory Wilson"/>
    <x v="1"/>
    <x v="3"/>
    <s v="Corporate"/>
    <x v="3"/>
    <x v="6"/>
    <n v="7"/>
    <n v="141.47"/>
    <n v="0.1"/>
    <x v="628"/>
    <n v="507.25"/>
    <x v="628"/>
    <s v="Mobile Payment"/>
    <n v="3"/>
    <x v="1"/>
    <x v="0"/>
    <n v="2024"/>
    <m/>
  </r>
  <r>
    <x v="629"/>
    <d v="2024-05-09T00:00:00"/>
    <s v="Mrs. Sarah King"/>
    <x v="1"/>
    <x v="3"/>
    <s v="Home Office"/>
    <x v="2"/>
    <x v="9"/>
    <n v="6"/>
    <n v="1074.4000000000001"/>
    <n v="0.05"/>
    <x v="629"/>
    <n v="4784.76"/>
    <x v="629"/>
    <s v="Card"/>
    <n v="1"/>
    <x v="9"/>
    <x v="2"/>
    <n v="2024"/>
    <m/>
  </r>
  <r>
    <x v="630"/>
    <d v="2024-02-20T00:00:00"/>
    <s v="Randy Andrews"/>
    <x v="0"/>
    <x v="0"/>
    <s v="Corporate"/>
    <x v="3"/>
    <x v="6"/>
    <n v="6"/>
    <n v="556.45000000000005"/>
    <n v="0.15"/>
    <x v="630"/>
    <n v="2292.94"/>
    <x v="630"/>
    <s v="Cash"/>
    <n v="1"/>
    <x v="4"/>
    <x v="0"/>
    <n v="2024"/>
    <m/>
  </r>
  <r>
    <x v="631"/>
    <d v="2024-11-03T00:00:00"/>
    <s v="Steve Douglas MD"/>
    <x v="0"/>
    <x v="4"/>
    <s v="Corporate"/>
    <x v="1"/>
    <x v="3"/>
    <n v="10"/>
    <n v="365.69"/>
    <n v="0.15"/>
    <x v="631"/>
    <n v="2122.98"/>
    <x v="631"/>
    <s v="Cash"/>
    <n v="5"/>
    <x v="11"/>
    <x v="3"/>
    <n v="2024"/>
    <m/>
  </r>
  <r>
    <x v="632"/>
    <d v="2024-01-02T00:00:00"/>
    <s v="Andrea Jimenez"/>
    <x v="3"/>
    <x v="1"/>
    <s v="Corporate"/>
    <x v="2"/>
    <x v="9"/>
    <n v="10"/>
    <n v="364.38"/>
    <n v="0.1"/>
    <x v="632"/>
    <n v="2372.4499999999998"/>
    <x v="632"/>
    <s v="Mobile Payment"/>
    <n v="5"/>
    <x v="0"/>
    <x v="0"/>
    <n v="2024"/>
    <m/>
  </r>
  <r>
    <x v="633"/>
    <d v="2024-08-17T00:00:00"/>
    <s v="Jonathan Rogers"/>
    <x v="2"/>
    <x v="4"/>
    <s v="Corporate"/>
    <x v="3"/>
    <x v="8"/>
    <n v="11"/>
    <n v="1140.95"/>
    <n v="0.05"/>
    <x v="633"/>
    <n v="7252.06"/>
    <x v="633"/>
    <s v="Card"/>
    <n v="3"/>
    <x v="3"/>
    <x v="1"/>
    <n v="2024"/>
    <m/>
  </r>
  <r>
    <x v="634"/>
    <d v="2024-01-24T00:00:00"/>
    <s v="Sean Logan"/>
    <x v="4"/>
    <x v="1"/>
    <s v="Corporate"/>
    <x v="0"/>
    <x v="1"/>
    <n v="4"/>
    <n v="886.18"/>
    <n v="0.1"/>
    <x v="634"/>
    <n v="1685.57"/>
    <x v="634"/>
    <s v="Transfer"/>
    <n v="2"/>
    <x v="0"/>
    <x v="0"/>
    <n v="2024"/>
    <m/>
  </r>
  <r>
    <x v="635"/>
    <d v="2024-06-01T00:00:00"/>
    <s v="Don Barton"/>
    <x v="3"/>
    <x v="0"/>
    <s v="Consumer"/>
    <x v="3"/>
    <x v="7"/>
    <n v="3"/>
    <n v="1162.76"/>
    <n v="0.1"/>
    <x v="635"/>
    <n v="2009.08"/>
    <x v="635"/>
    <s v="Transfer"/>
    <n v="2"/>
    <x v="5"/>
    <x v="2"/>
    <n v="2024"/>
    <m/>
  </r>
  <r>
    <x v="636"/>
    <d v="2024-08-12T00:00:00"/>
    <s v="Jesse Gill"/>
    <x v="4"/>
    <x v="0"/>
    <s v="Consumer"/>
    <x v="3"/>
    <x v="7"/>
    <n v="8"/>
    <n v="441.73"/>
    <n v="0.15"/>
    <x v="636"/>
    <n v="1531.68"/>
    <x v="636"/>
    <s v="Transfer"/>
    <n v="3"/>
    <x v="3"/>
    <x v="1"/>
    <n v="2024"/>
    <m/>
  </r>
  <r>
    <x v="637"/>
    <d v="2024-03-03T00:00:00"/>
    <s v="Andrew Smith"/>
    <x v="2"/>
    <x v="0"/>
    <s v="Corporate"/>
    <x v="3"/>
    <x v="6"/>
    <n v="5"/>
    <n v="839.76"/>
    <n v="0.1"/>
    <x v="637"/>
    <n v="2021.68"/>
    <x v="637"/>
    <s v="Cash"/>
    <n v="4"/>
    <x v="1"/>
    <x v="0"/>
    <n v="2024"/>
    <m/>
  </r>
  <r>
    <x v="638"/>
    <d v="2024-12-28T00:00:00"/>
    <s v="Olivia Garcia"/>
    <x v="2"/>
    <x v="0"/>
    <s v="Home Office"/>
    <x v="0"/>
    <x v="5"/>
    <n v="7"/>
    <n v="205.79"/>
    <n v="0.15"/>
    <x v="638"/>
    <n v="739.48"/>
    <x v="638"/>
    <s v="Transfer"/>
    <n v="4"/>
    <x v="6"/>
    <x v="3"/>
    <n v="2024"/>
    <m/>
  </r>
  <r>
    <x v="639"/>
    <d v="2024-12-20T00:00:00"/>
    <s v="Gloria Ward"/>
    <x v="2"/>
    <x v="0"/>
    <s v="Home Office"/>
    <x v="2"/>
    <x v="9"/>
    <n v="4"/>
    <n v="434.46"/>
    <n v="0.15"/>
    <x v="639"/>
    <n v="1210.96"/>
    <x v="639"/>
    <s v="Card"/>
    <n v="4"/>
    <x v="6"/>
    <x v="3"/>
    <n v="2024"/>
    <m/>
  </r>
  <r>
    <x v="640"/>
    <d v="2024-12-22T00:00:00"/>
    <s v="Nathan Hernandez"/>
    <x v="1"/>
    <x v="3"/>
    <s v="Home Office"/>
    <x v="0"/>
    <x v="11"/>
    <n v="9"/>
    <n v="666.33"/>
    <n v="0"/>
    <x v="640"/>
    <n v="3602.04"/>
    <x v="640"/>
    <s v="Cash"/>
    <n v="2"/>
    <x v="6"/>
    <x v="3"/>
    <n v="2024"/>
    <m/>
  </r>
  <r>
    <x v="641"/>
    <d v="2024-07-05T00:00:00"/>
    <s v="Travis Ballard"/>
    <x v="1"/>
    <x v="1"/>
    <s v="Home Office"/>
    <x v="2"/>
    <x v="9"/>
    <n v="9"/>
    <n v="717.04"/>
    <n v="0"/>
    <x v="641"/>
    <n v="4298.8"/>
    <x v="641"/>
    <s v="Transfer"/>
    <n v="4"/>
    <x v="7"/>
    <x v="1"/>
    <n v="2024"/>
    <m/>
  </r>
  <r>
    <x v="642"/>
    <d v="2024-08-18T00:00:00"/>
    <s v="Amy Chavez"/>
    <x v="3"/>
    <x v="0"/>
    <s v="Home Office"/>
    <x v="2"/>
    <x v="4"/>
    <n v="8"/>
    <n v="608.74"/>
    <n v="0.15"/>
    <x v="642"/>
    <n v="2752.92"/>
    <x v="642"/>
    <s v="Mobile Payment"/>
    <n v="4"/>
    <x v="3"/>
    <x v="1"/>
    <n v="2024"/>
    <m/>
  </r>
  <r>
    <x v="643"/>
    <d v="2024-10-18T00:00:00"/>
    <s v="Rhonda Gomez"/>
    <x v="4"/>
    <x v="0"/>
    <s v="Home Office"/>
    <x v="0"/>
    <x v="1"/>
    <n v="10"/>
    <n v="618.38"/>
    <n v="0.05"/>
    <x v="643"/>
    <n v="4862.24"/>
    <x v="643"/>
    <s v="Mobile Payment"/>
    <n v="5"/>
    <x v="8"/>
    <x v="3"/>
    <n v="2024"/>
    <m/>
  </r>
  <r>
    <x v="644"/>
    <d v="2024-07-25T00:00:00"/>
    <s v="Marissa Jones"/>
    <x v="4"/>
    <x v="4"/>
    <s v="Corporate"/>
    <x v="0"/>
    <x v="5"/>
    <n v="2"/>
    <n v="120.66"/>
    <n v="0"/>
    <x v="644"/>
    <n v="183.17"/>
    <x v="644"/>
    <s v="Mobile Payment"/>
    <n v="5"/>
    <x v="7"/>
    <x v="1"/>
    <n v="2024"/>
    <m/>
  </r>
  <r>
    <x v="645"/>
    <d v="2024-08-23T00:00:00"/>
    <s v="Todd Patrick"/>
    <x v="2"/>
    <x v="1"/>
    <s v="Consumer"/>
    <x v="2"/>
    <x v="4"/>
    <n v="10"/>
    <n v="927.14"/>
    <n v="0.05"/>
    <x v="645"/>
    <n v="4653.2299999999996"/>
    <x v="645"/>
    <s v="Card"/>
    <n v="1"/>
    <x v="3"/>
    <x v="1"/>
    <n v="2024"/>
    <m/>
  </r>
  <r>
    <x v="646"/>
    <d v="2024-08-17T00:00:00"/>
    <s v="Scott Robinson"/>
    <x v="0"/>
    <x v="0"/>
    <s v="Consumer"/>
    <x v="0"/>
    <x v="1"/>
    <n v="4"/>
    <n v="644.97"/>
    <n v="0.05"/>
    <x v="646"/>
    <n v="2010.48"/>
    <x v="646"/>
    <s v="Mobile Payment"/>
    <n v="1"/>
    <x v="3"/>
    <x v="1"/>
    <n v="2024"/>
    <m/>
  </r>
  <r>
    <x v="647"/>
    <d v="2024-06-13T00:00:00"/>
    <s v="Evan Clark"/>
    <x v="1"/>
    <x v="2"/>
    <s v="Corporate"/>
    <x v="1"/>
    <x v="12"/>
    <n v="7"/>
    <n v="1045.93"/>
    <n v="0.15"/>
    <x v="647"/>
    <n v="3820.85"/>
    <x v="647"/>
    <s v="Transfer"/>
    <n v="5"/>
    <x v="5"/>
    <x v="2"/>
    <n v="2024"/>
    <m/>
  </r>
  <r>
    <x v="648"/>
    <d v="2024-08-07T00:00:00"/>
    <s v="Shawn Hall"/>
    <x v="2"/>
    <x v="0"/>
    <s v="Home Office"/>
    <x v="0"/>
    <x v="0"/>
    <n v="12"/>
    <n v="358.16"/>
    <n v="0.05"/>
    <x v="648"/>
    <n v="2074.27"/>
    <x v="648"/>
    <s v="Transfer"/>
    <n v="2"/>
    <x v="3"/>
    <x v="1"/>
    <n v="2024"/>
    <m/>
  </r>
  <r>
    <x v="649"/>
    <d v="2024-11-23T00:00:00"/>
    <s v="Mrs. Nicole Villarreal"/>
    <x v="2"/>
    <x v="3"/>
    <s v="Consumer"/>
    <x v="0"/>
    <x v="5"/>
    <n v="7"/>
    <n v="555.83000000000004"/>
    <n v="0.15"/>
    <x v="649"/>
    <n v="2031.71"/>
    <x v="649"/>
    <s v="Card"/>
    <n v="3"/>
    <x v="11"/>
    <x v="3"/>
    <n v="2024"/>
    <m/>
  </r>
  <r>
    <x v="650"/>
    <d v="2024-11-10T00:00:00"/>
    <s v="Yvonne Patrick"/>
    <x v="0"/>
    <x v="0"/>
    <s v="Home Office"/>
    <x v="2"/>
    <x v="9"/>
    <n v="9"/>
    <n v="157.82"/>
    <n v="0.15"/>
    <x v="650"/>
    <n v="673.11"/>
    <x v="650"/>
    <s v="Mobile Payment"/>
    <n v="3"/>
    <x v="11"/>
    <x v="3"/>
    <n v="2024"/>
    <m/>
  </r>
  <r>
    <x v="651"/>
    <d v="2024-02-15T00:00:00"/>
    <s v="Jon Padilla"/>
    <x v="3"/>
    <x v="1"/>
    <s v="Home Office"/>
    <x v="1"/>
    <x v="12"/>
    <n v="7"/>
    <n v="129.12"/>
    <n v="0.05"/>
    <x v="651"/>
    <n v="711.39"/>
    <x v="651"/>
    <s v="Mobile Payment"/>
    <n v="1"/>
    <x v="4"/>
    <x v="0"/>
    <n v="2024"/>
    <m/>
  </r>
  <r>
    <x v="652"/>
    <d v="2024-01-17T00:00:00"/>
    <s v="Matthew Powers"/>
    <x v="4"/>
    <x v="1"/>
    <s v="Home Office"/>
    <x v="3"/>
    <x v="7"/>
    <n v="9"/>
    <n v="48.7"/>
    <n v="0.15"/>
    <x v="652"/>
    <n v="282.51"/>
    <x v="652"/>
    <s v="Cash"/>
    <n v="5"/>
    <x v="0"/>
    <x v="0"/>
    <n v="2024"/>
    <m/>
  </r>
  <r>
    <x v="653"/>
    <d v="2024-06-06T00:00:00"/>
    <s v="Alexis Hernandez"/>
    <x v="1"/>
    <x v="4"/>
    <s v="Corporate"/>
    <x v="0"/>
    <x v="11"/>
    <n v="12"/>
    <n v="818.7"/>
    <n v="0.15"/>
    <x v="653"/>
    <n v="4907.5"/>
    <x v="653"/>
    <s v="Mobile Payment"/>
    <n v="4"/>
    <x v="5"/>
    <x v="2"/>
    <n v="2024"/>
    <m/>
  </r>
  <r>
    <x v="654"/>
    <d v="2024-10-07T00:00:00"/>
    <s v="Samantha Richardson"/>
    <x v="3"/>
    <x v="3"/>
    <s v="Consumer"/>
    <x v="1"/>
    <x v="12"/>
    <n v="1"/>
    <n v="356.01"/>
    <n v="0.1"/>
    <x v="654"/>
    <n v="161.96"/>
    <x v="654"/>
    <s v="Mobile Payment"/>
    <n v="5"/>
    <x v="8"/>
    <x v="3"/>
    <n v="2024"/>
    <m/>
  </r>
  <r>
    <x v="655"/>
    <d v="2024-08-24T00:00:00"/>
    <s v="Phillip Thomas"/>
    <x v="2"/>
    <x v="0"/>
    <s v="Consumer"/>
    <x v="0"/>
    <x v="11"/>
    <n v="7"/>
    <n v="467.48"/>
    <n v="0"/>
    <x v="655"/>
    <n v="2170.52"/>
    <x v="655"/>
    <s v="Card"/>
    <n v="4"/>
    <x v="3"/>
    <x v="1"/>
    <n v="2024"/>
    <m/>
  </r>
  <r>
    <x v="656"/>
    <d v="2024-06-05T00:00:00"/>
    <s v="Robin Brown"/>
    <x v="1"/>
    <x v="1"/>
    <s v="Consumer"/>
    <x v="3"/>
    <x v="6"/>
    <n v="6"/>
    <n v="153.69999999999999"/>
    <n v="0.1"/>
    <x v="656"/>
    <n v="527.95000000000005"/>
    <x v="656"/>
    <s v="Mobile Payment"/>
    <n v="4"/>
    <x v="5"/>
    <x v="2"/>
    <n v="2024"/>
    <m/>
  </r>
  <r>
    <x v="657"/>
    <d v="2024-09-28T00:00:00"/>
    <s v="James Dean"/>
    <x v="4"/>
    <x v="4"/>
    <s v="Consumer"/>
    <x v="1"/>
    <x v="3"/>
    <n v="8"/>
    <n v="1091.3"/>
    <n v="0.05"/>
    <x v="657"/>
    <n v="6238.63"/>
    <x v="657"/>
    <s v="Cash"/>
    <n v="1"/>
    <x v="2"/>
    <x v="1"/>
    <n v="2024"/>
    <m/>
  </r>
  <r>
    <x v="658"/>
    <d v="2024-12-21T00:00:00"/>
    <s v="Monica Lynch"/>
    <x v="0"/>
    <x v="1"/>
    <s v="Consumer"/>
    <x v="0"/>
    <x v="1"/>
    <n v="8"/>
    <n v="55.84"/>
    <n v="0.15"/>
    <x v="658"/>
    <n v="218.76"/>
    <x v="658"/>
    <s v="Transfer"/>
    <n v="3"/>
    <x v="6"/>
    <x v="3"/>
    <n v="2024"/>
    <m/>
  </r>
  <r>
    <x v="659"/>
    <d v="2024-11-23T00:00:00"/>
    <s v="Ian Drake"/>
    <x v="3"/>
    <x v="2"/>
    <s v="Home Office"/>
    <x v="3"/>
    <x v="8"/>
    <n v="10"/>
    <n v="725.79"/>
    <n v="0"/>
    <x v="659"/>
    <n v="3813.66"/>
    <x v="659"/>
    <s v="Mobile Payment"/>
    <n v="4"/>
    <x v="11"/>
    <x v="3"/>
    <n v="2024"/>
    <m/>
  </r>
  <r>
    <x v="660"/>
    <d v="2024-02-16T00:00:00"/>
    <s v="Amber Hampton"/>
    <x v="1"/>
    <x v="2"/>
    <s v="Consumer"/>
    <x v="1"/>
    <x v="12"/>
    <n v="7"/>
    <n v="252.95"/>
    <n v="0"/>
    <x v="660"/>
    <n v="1372.37"/>
    <x v="660"/>
    <s v="Cash"/>
    <n v="3"/>
    <x v="4"/>
    <x v="0"/>
    <n v="2024"/>
    <m/>
  </r>
  <r>
    <x v="661"/>
    <d v="2024-09-28T00:00:00"/>
    <s v="Theresa Walker"/>
    <x v="1"/>
    <x v="3"/>
    <s v="Home Office"/>
    <x v="2"/>
    <x v="9"/>
    <n v="3"/>
    <n v="632.79"/>
    <n v="0.15"/>
    <x v="661"/>
    <n v="1011.61"/>
    <x v="661"/>
    <s v="Transfer"/>
    <n v="2"/>
    <x v="2"/>
    <x v="1"/>
    <n v="2024"/>
    <m/>
  </r>
  <r>
    <x v="662"/>
    <d v="2024-11-30T00:00:00"/>
    <s v="Megan Walsh"/>
    <x v="2"/>
    <x v="2"/>
    <s v="Corporate"/>
    <x v="2"/>
    <x v="9"/>
    <n v="11"/>
    <n v="1085.74"/>
    <n v="0.05"/>
    <x v="662"/>
    <n v="7817.97"/>
    <x v="662"/>
    <s v="Transfer"/>
    <n v="1"/>
    <x v="11"/>
    <x v="3"/>
    <n v="2024"/>
    <m/>
  </r>
  <r>
    <x v="663"/>
    <d v="2024-11-13T00:00:00"/>
    <s v="Tara Hall"/>
    <x v="2"/>
    <x v="3"/>
    <s v="Home Office"/>
    <x v="3"/>
    <x v="6"/>
    <n v="11"/>
    <n v="440.46"/>
    <n v="0"/>
    <x v="663"/>
    <n v="2712.81"/>
    <x v="663"/>
    <s v="Transfer"/>
    <n v="1"/>
    <x v="11"/>
    <x v="3"/>
    <n v="2024"/>
    <m/>
  </r>
  <r>
    <x v="664"/>
    <d v="2024-07-04T00:00:00"/>
    <s v="Kristin Davis"/>
    <x v="4"/>
    <x v="0"/>
    <s v="Consumer"/>
    <x v="1"/>
    <x v="2"/>
    <n v="8"/>
    <n v="1015.86"/>
    <n v="0"/>
    <x v="664"/>
    <n v="4923"/>
    <x v="664"/>
    <s v="Card"/>
    <n v="4"/>
    <x v="7"/>
    <x v="1"/>
    <n v="2024"/>
    <m/>
  </r>
  <r>
    <x v="665"/>
    <d v="2024-12-23T00:00:00"/>
    <s v="Christopher Chavez"/>
    <x v="1"/>
    <x v="3"/>
    <s v="Home Office"/>
    <x v="1"/>
    <x v="3"/>
    <n v="6"/>
    <n v="375.68"/>
    <n v="0.15"/>
    <x v="665"/>
    <n v="1256.76"/>
    <x v="665"/>
    <s v="Cash"/>
    <n v="1"/>
    <x v="6"/>
    <x v="3"/>
    <n v="2024"/>
    <m/>
  </r>
  <r>
    <x v="666"/>
    <d v="2024-06-01T00:00:00"/>
    <s v="Matthew Gross"/>
    <x v="3"/>
    <x v="3"/>
    <s v="Consumer"/>
    <x v="2"/>
    <x v="9"/>
    <n v="6"/>
    <n v="743.3"/>
    <n v="0.1"/>
    <x v="666"/>
    <n v="2713.37"/>
    <x v="666"/>
    <s v="Mobile Payment"/>
    <n v="3"/>
    <x v="5"/>
    <x v="2"/>
    <n v="2024"/>
    <m/>
  </r>
  <r>
    <x v="667"/>
    <d v="2024-01-28T00:00:00"/>
    <s v="Zachary Vincent"/>
    <x v="3"/>
    <x v="1"/>
    <s v="Corporate"/>
    <x v="1"/>
    <x v="12"/>
    <n v="2"/>
    <n v="124.03"/>
    <n v="0.05"/>
    <x v="667"/>
    <n v="191.9"/>
    <x v="667"/>
    <s v="Cash"/>
    <n v="3"/>
    <x v="0"/>
    <x v="0"/>
    <n v="2024"/>
    <m/>
  </r>
  <r>
    <x v="668"/>
    <d v="2024-04-24T00:00:00"/>
    <s v="Dr. Christopher Castillo"/>
    <x v="0"/>
    <x v="1"/>
    <s v="Home Office"/>
    <x v="0"/>
    <x v="5"/>
    <n v="4"/>
    <n v="1076.1300000000001"/>
    <n v="0.1"/>
    <x v="668"/>
    <n v="2078.36"/>
    <x v="668"/>
    <s v="Card"/>
    <n v="2"/>
    <x v="10"/>
    <x v="2"/>
    <n v="2024"/>
    <m/>
  </r>
  <r>
    <x v="669"/>
    <d v="2024-04-07T00:00:00"/>
    <s v="Jeffrey Oneill"/>
    <x v="3"/>
    <x v="0"/>
    <s v="Consumer"/>
    <x v="0"/>
    <x v="1"/>
    <n v="3"/>
    <n v="905.41"/>
    <n v="0"/>
    <x v="669"/>
    <n v="2204.36"/>
    <x v="669"/>
    <s v="Cash"/>
    <n v="4"/>
    <x v="10"/>
    <x v="2"/>
    <n v="2024"/>
    <m/>
  </r>
  <r>
    <x v="670"/>
    <d v="2024-08-12T00:00:00"/>
    <s v="Maria Martin"/>
    <x v="4"/>
    <x v="4"/>
    <s v="Home Office"/>
    <x v="1"/>
    <x v="3"/>
    <n v="9"/>
    <n v="32.51"/>
    <n v="0"/>
    <x v="670"/>
    <n v="198.1"/>
    <x v="670"/>
    <s v="Card"/>
    <n v="5"/>
    <x v="3"/>
    <x v="1"/>
    <n v="2024"/>
    <m/>
  </r>
  <r>
    <x v="671"/>
    <d v="2024-09-30T00:00:00"/>
    <s v="Sara Morales"/>
    <x v="0"/>
    <x v="0"/>
    <s v="Corporate"/>
    <x v="2"/>
    <x v="4"/>
    <n v="8"/>
    <n v="790.43"/>
    <n v="0.1"/>
    <x v="671"/>
    <n v="4746.9399999999996"/>
    <x v="671"/>
    <s v="Card"/>
    <n v="1"/>
    <x v="2"/>
    <x v="1"/>
    <n v="2024"/>
    <m/>
  </r>
  <r>
    <x v="672"/>
    <d v="2024-04-03T00:00:00"/>
    <s v="Wanda Mclaughlin"/>
    <x v="0"/>
    <x v="0"/>
    <s v="Home Office"/>
    <x v="1"/>
    <x v="3"/>
    <n v="8"/>
    <n v="118.44"/>
    <n v="0.05"/>
    <x v="672"/>
    <n v="470.32"/>
    <x v="672"/>
    <s v="Transfer"/>
    <n v="1"/>
    <x v="10"/>
    <x v="2"/>
    <n v="2024"/>
    <m/>
  </r>
  <r>
    <x v="673"/>
    <d v="2024-08-24T00:00:00"/>
    <s v="Nicholas Burns"/>
    <x v="4"/>
    <x v="3"/>
    <s v="Corporate"/>
    <x v="3"/>
    <x v="8"/>
    <n v="3"/>
    <n v="32.92"/>
    <n v="0"/>
    <x v="673"/>
    <n v="59.75"/>
    <x v="673"/>
    <s v="Card"/>
    <n v="2"/>
    <x v="3"/>
    <x v="1"/>
    <n v="2024"/>
    <m/>
  </r>
  <r>
    <x v="674"/>
    <d v="2024-11-15T00:00:00"/>
    <s v="Christopher Burton"/>
    <x v="0"/>
    <x v="2"/>
    <s v="Corporate"/>
    <x v="0"/>
    <x v="5"/>
    <n v="4"/>
    <n v="282.52"/>
    <n v="0"/>
    <x v="674"/>
    <n v="878.14"/>
    <x v="674"/>
    <s v="Cash"/>
    <n v="3"/>
    <x v="11"/>
    <x v="3"/>
    <n v="2024"/>
    <m/>
  </r>
  <r>
    <x v="675"/>
    <d v="2024-04-03T00:00:00"/>
    <s v="Tamara Martinez"/>
    <x v="0"/>
    <x v="4"/>
    <s v="Corporate"/>
    <x v="3"/>
    <x v="7"/>
    <n v="1"/>
    <n v="500.5"/>
    <n v="0.1"/>
    <x v="675"/>
    <n v="332.6"/>
    <x v="675"/>
    <s v="Cash"/>
    <n v="4"/>
    <x v="10"/>
    <x v="2"/>
    <n v="2024"/>
    <m/>
  </r>
  <r>
    <x v="676"/>
    <d v="2024-01-22T00:00:00"/>
    <s v="Patricia Mclaughlin"/>
    <x v="4"/>
    <x v="2"/>
    <s v="Consumer"/>
    <x v="3"/>
    <x v="7"/>
    <n v="7"/>
    <n v="317.93"/>
    <n v="0.1"/>
    <x v="676"/>
    <n v="1100.07"/>
    <x v="676"/>
    <s v="Cash"/>
    <n v="4"/>
    <x v="0"/>
    <x v="0"/>
    <n v="2024"/>
    <m/>
  </r>
  <r>
    <x v="677"/>
    <d v="2024-06-01T00:00:00"/>
    <s v="Timothy Mccoy"/>
    <x v="1"/>
    <x v="1"/>
    <s v="Home Office"/>
    <x v="0"/>
    <x v="11"/>
    <n v="12"/>
    <n v="593.02"/>
    <n v="0.1"/>
    <x v="677"/>
    <n v="4783.37"/>
    <x v="677"/>
    <s v="Cash"/>
    <n v="5"/>
    <x v="5"/>
    <x v="2"/>
    <n v="2024"/>
    <m/>
  </r>
  <r>
    <x v="678"/>
    <d v="2024-05-19T00:00:00"/>
    <s v="Gwendolyn Mueller"/>
    <x v="0"/>
    <x v="0"/>
    <s v="Consumer"/>
    <x v="2"/>
    <x v="4"/>
    <n v="7"/>
    <n v="681.5"/>
    <n v="0.15"/>
    <x v="678"/>
    <n v="2383.0100000000002"/>
    <x v="678"/>
    <s v="Mobile Payment"/>
    <n v="1"/>
    <x v="9"/>
    <x v="2"/>
    <n v="2024"/>
    <m/>
  </r>
  <r>
    <x v="679"/>
    <d v="2024-06-29T00:00:00"/>
    <s v="Evan Clark"/>
    <x v="1"/>
    <x v="4"/>
    <s v="Consumer"/>
    <x v="0"/>
    <x v="11"/>
    <n v="1"/>
    <n v="543.59"/>
    <n v="0.05"/>
    <x v="679"/>
    <n v="266.04000000000002"/>
    <x v="679"/>
    <s v="Card"/>
    <n v="4"/>
    <x v="5"/>
    <x v="2"/>
    <n v="2024"/>
    <m/>
  </r>
  <r>
    <x v="680"/>
    <d v="2024-09-17T00:00:00"/>
    <s v="Bradley Brown"/>
    <x v="3"/>
    <x v="2"/>
    <s v="Consumer"/>
    <x v="3"/>
    <x v="8"/>
    <n v="9"/>
    <n v="1111.93"/>
    <n v="0.05"/>
    <x v="680"/>
    <n v="7982.56"/>
    <x v="680"/>
    <s v="Mobile Payment"/>
    <n v="3"/>
    <x v="2"/>
    <x v="1"/>
    <n v="2024"/>
    <m/>
  </r>
  <r>
    <x v="681"/>
    <d v="2024-02-06T00:00:00"/>
    <s v="Mary Barber"/>
    <x v="0"/>
    <x v="2"/>
    <s v="Consumer"/>
    <x v="0"/>
    <x v="5"/>
    <n v="12"/>
    <n v="762.84"/>
    <n v="0.05"/>
    <x v="681"/>
    <n v="6753.92"/>
    <x v="681"/>
    <s v="Mobile Payment"/>
    <n v="2"/>
    <x v="4"/>
    <x v="0"/>
    <n v="2024"/>
    <m/>
  </r>
  <r>
    <x v="682"/>
    <d v="2024-11-22T00:00:00"/>
    <s v="Jeremy Floyd"/>
    <x v="3"/>
    <x v="2"/>
    <s v="Consumer"/>
    <x v="1"/>
    <x v="2"/>
    <n v="7"/>
    <n v="295.14"/>
    <n v="0.1"/>
    <x v="682"/>
    <n v="956.2"/>
    <x v="682"/>
    <s v="Card"/>
    <n v="2"/>
    <x v="11"/>
    <x v="3"/>
    <n v="2024"/>
    <m/>
  </r>
  <r>
    <x v="683"/>
    <d v="2024-09-07T00:00:00"/>
    <s v="Erin Myers"/>
    <x v="4"/>
    <x v="4"/>
    <s v="Corporate"/>
    <x v="2"/>
    <x v="4"/>
    <n v="8"/>
    <n v="400.29"/>
    <n v="0"/>
    <x v="683"/>
    <n v="1654.76"/>
    <x v="683"/>
    <s v="Transfer"/>
    <n v="3"/>
    <x v="2"/>
    <x v="1"/>
    <n v="2024"/>
    <m/>
  </r>
  <r>
    <x v="684"/>
    <d v="2024-10-29T00:00:00"/>
    <s v="Ashley Edwards"/>
    <x v="3"/>
    <x v="2"/>
    <s v="Consumer"/>
    <x v="1"/>
    <x v="3"/>
    <n v="7"/>
    <n v="409.34"/>
    <n v="0.15"/>
    <x v="684"/>
    <n v="1541.92"/>
    <x v="684"/>
    <s v="Cash"/>
    <n v="2"/>
    <x v="8"/>
    <x v="3"/>
    <n v="2024"/>
    <m/>
  </r>
  <r>
    <x v="685"/>
    <d v="2024-11-28T00:00:00"/>
    <s v="Debra Clark"/>
    <x v="1"/>
    <x v="0"/>
    <s v="Corporate"/>
    <x v="0"/>
    <x v="5"/>
    <n v="8"/>
    <n v="760.38"/>
    <n v="0"/>
    <x v="685"/>
    <n v="3918.58"/>
    <x v="685"/>
    <s v="Cash"/>
    <n v="2"/>
    <x v="11"/>
    <x v="3"/>
    <n v="2024"/>
    <m/>
  </r>
  <r>
    <x v="686"/>
    <d v="2024-02-15T00:00:00"/>
    <s v="Evelyn Adams"/>
    <x v="3"/>
    <x v="3"/>
    <s v="Home Office"/>
    <x v="1"/>
    <x v="2"/>
    <n v="11"/>
    <n v="868.25"/>
    <n v="0.1"/>
    <x v="686"/>
    <n v="4513.8999999999996"/>
    <x v="686"/>
    <s v="Cash"/>
    <n v="2"/>
    <x v="4"/>
    <x v="0"/>
    <n v="2024"/>
    <m/>
  </r>
  <r>
    <x v="687"/>
    <d v="2024-12-15T00:00:00"/>
    <s v="Bobby Perez"/>
    <x v="0"/>
    <x v="0"/>
    <s v="Corporate"/>
    <x v="0"/>
    <x v="11"/>
    <n v="9"/>
    <n v="473.84"/>
    <n v="0"/>
    <x v="687"/>
    <n v="2402.14"/>
    <x v="687"/>
    <s v="Mobile Payment"/>
    <n v="5"/>
    <x v="6"/>
    <x v="3"/>
    <n v="2024"/>
    <m/>
  </r>
  <r>
    <x v="688"/>
    <d v="2024-07-13T00:00:00"/>
    <s v="Stephanie Madden"/>
    <x v="2"/>
    <x v="3"/>
    <s v="Consumer"/>
    <x v="3"/>
    <x v="7"/>
    <n v="12"/>
    <n v="583.94000000000005"/>
    <n v="0.1"/>
    <x v="688"/>
    <n v="4053.26"/>
    <x v="688"/>
    <s v="Transfer"/>
    <n v="5"/>
    <x v="7"/>
    <x v="1"/>
    <n v="2024"/>
    <m/>
  </r>
  <r>
    <x v="689"/>
    <d v="2024-11-27T00:00:00"/>
    <s v="Emily Miller"/>
    <x v="2"/>
    <x v="3"/>
    <s v="Consumer"/>
    <x v="2"/>
    <x v="4"/>
    <n v="2"/>
    <n v="354.86"/>
    <n v="0"/>
    <x v="689"/>
    <n v="572.72"/>
    <x v="689"/>
    <s v="Mobile Payment"/>
    <n v="3"/>
    <x v="11"/>
    <x v="3"/>
    <n v="2024"/>
    <m/>
  </r>
  <r>
    <x v="690"/>
    <d v="2024-11-14T00:00:00"/>
    <s v="Mrs. Monica Wilson MD"/>
    <x v="1"/>
    <x v="3"/>
    <s v="Home Office"/>
    <x v="0"/>
    <x v="11"/>
    <n v="5"/>
    <n v="460.11"/>
    <n v="0.15"/>
    <x v="690"/>
    <n v="1440.3"/>
    <x v="690"/>
    <s v="Card"/>
    <n v="5"/>
    <x v="11"/>
    <x v="3"/>
    <n v="2024"/>
    <m/>
  </r>
  <r>
    <x v="691"/>
    <d v="2024-09-14T00:00:00"/>
    <s v="Mr. Ryan Jimenez"/>
    <x v="1"/>
    <x v="3"/>
    <s v="Consumer"/>
    <x v="0"/>
    <x v="11"/>
    <n v="8"/>
    <n v="1184.1600000000001"/>
    <n v="0.05"/>
    <x v="691"/>
    <n v="5924.18"/>
    <x v="691"/>
    <s v="Cash"/>
    <n v="2"/>
    <x v="2"/>
    <x v="1"/>
    <n v="2024"/>
    <m/>
  </r>
  <r>
    <x v="692"/>
    <d v="2024-10-07T00:00:00"/>
    <s v="Robert Hawkins"/>
    <x v="0"/>
    <x v="3"/>
    <s v="Consumer"/>
    <x v="1"/>
    <x v="2"/>
    <n v="12"/>
    <n v="64.069999999999993"/>
    <n v="0.15"/>
    <x v="692"/>
    <n v="541.84"/>
    <x v="692"/>
    <s v="Cash"/>
    <n v="5"/>
    <x v="8"/>
    <x v="3"/>
    <n v="2024"/>
    <m/>
  </r>
  <r>
    <x v="693"/>
    <d v="2024-01-04T00:00:00"/>
    <s v="Natalie Wyatt"/>
    <x v="2"/>
    <x v="3"/>
    <s v="Corporate"/>
    <x v="0"/>
    <x v="0"/>
    <n v="7"/>
    <n v="107.62"/>
    <n v="0.15"/>
    <x v="693"/>
    <n v="447.75"/>
    <x v="693"/>
    <s v="Transfer"/>
    <n v="5"/>
    <x v="0"/>
    <x v="0"/>
    <n v="2024"/>
    <m/>
  </r>
  <r>
    <x v="694"/>
    <d v="2024-08-17T00:00:00"/>
    <s v="Alex Fletcher"/>
    <x v="4"/>
    <x v="4"/>
    <s v="Corporate"/>
    <x v="0"/>
    <x v="5"/>
    <n v="3"/>
    <n v="924.29"/>
    <n v="0.15"/>
    <x v="694"/>
    <n v="1483.88"/>
    <x v="694"/>
    <s v="Transfer"/>
    <n v="2"/>
    <x v="3"/>
    <x v="1"/>
    <n v="2024"/>
    <m/>
  </r>
  <r>
    <x v="695"/>
    <d v="2024-03-03T00:00:00"/>
    <s v="Katie Yang"/>
    <x v="0"/>
    <x v="1"/>
    <s v="Home Office"/>
    <x v="3"/>
    <x v="8"/>
    <n v="2"/>
    <n v="489.93"/>
    <n v="0.15"/>
    <x v="695"/>
    <n v="651.71"/>
    <x v="695"/>
    <s v="Cash"/>
    <n v="3"/>
    <x v="1"/>
    <x v="0"/>
    <n v="2024"/>
    <m/>
  </r>
  <r>
    <x v="696"/>
    <d v="2024-11-05T00:00:00"/>
    <s v="Terry Love"/>
    <x v="3"/>
    <x v="0"/>
    <s v="Corporate"/>
    <x v="3"/>
    <x v="7"/>
    <n v="12"/>
    <n v="300.08"/>
    <n v="0.1"/>
    <x v="696"/>
    <n v="2052.0300000000002"/>
    <x v="696"/>
    <s v="Card"/>
    <n v="5"/>
    <x v="11"/>
    <x v="3"/>
    <n v="2024"/>
    <m/>
  </r>
  <r>
    <x v="697"/>
    <d v="2024-08-12T00:00:00"/>
    <s v="Henry Thomas"/>
    <x v="4"/>
    <x v="2"/>
    <s v="Home Office"/>
    <x v="3"/>
    <x v="6"/>
    <n v="7"/>
    <n v="609.42999999999995"/>
    <n v="0.15"/>
    <x v="697"/>
    <n v="2407.9699999999998"/>
    <x v="697"/>
    <s v="Card"/>
    <n v="2"/>
    <x v="3"/>
    <x v="1"/>
    <n v="2024"/>
    <m/>
  </r>
  <r>
    <x v="698"/>
    <d v="2024-11-19T00:00:00"/>
    <s v="Julie Collins"/>
    <x v="0"/>
    <x v="2"/>
    <s v="Home Office"/>
    <x v="0"/>
    <x v="0"/>
    <n v="4"/>
    <n v="210.68"/>
    <n v="0"/>
    <x v="698"/>
    <n v="690.39"/>
    <x v="698"/>
    <s v="Cash"/>
    <n v="2"/>
    <x v="11"/>
    <x v="3"/>
    <n v="2024"/>
    <m/>
  </r>
  <r>
    <x v="699"/>
    <d v="2024-09-22T00:00:00"/>
    <s v="Catherine Williams"/>
    <x v="1"/>
    <x v="0"/>
    <s v="Corporate"/>
    <x v="0"/>
    <x v="0"/>
    <n v="8"/>
    <n v="731.21"/>
    <n v="0.15"/>
    <x v="699"/>
    <n v="2564.16"/>
    <x v="699"/>
    <s v="Cash"/>
    <n v="2"/>
    <x v="2"/>
    <x v="1"/>
    <n v="2024"/>
    <m/>
  </r>
  <r>
    <x v="700"/>
    <d v="2024-04-16T00:00:00"/>
    <s v="Ryan Duffy"/>
    <x v="0"/>
    <x v="1"/>
    <s v="Consumer"/>
    <x v="3"/>
    <x v="7"/>
    <n v="3"/>
    <n v="13.74"/>
    <n v="0"/>
    <x v="700"/>
    <n v="26.73"/>
    <x v="700"/>
    <s v="Cash"/>
    <n v="2"/>
    <x v="10"/>
    <x v="2"/>
    <n v="2024"/>
    <m/>
  </r>
  <r>
    <x v="701"/>
    <d v="2024-10-19T00:00:00"/>
    <s v="Kelly Washington"/>
    <x v="1"/>
    <x v="0"/>
    <s v="Consumer"/>
    <x v="3"/>
    <x v="8"/>
    <n v="8"/>
    <n v="217.67"/>
    <n v="0.15"/>
    <x v="701"/>
    <n v="964.12"/>
    <x v="701"/>
    <s v="Mobile Payment"/>
    <n v="3"/>
    <x v="8"/>
    <x v="3"/>
    <n v="2024"/>
    <m/>
  </r>
  <r>
    <x v="702"/>
    <d v="2024-08-18T00:00:00"/>
    <s v="Penny Vance"/>
    <x v="4"/>
    <x v="1"/>
    <s v="Corporate"/>
    <x v="1"/>
    <x v="3"/>
    <n v="1"/>
    <n v="709.37"/>
    <n v="0.1"/>
    <x v="702"/>
    <n v="336.97"/>
    <x v="702"/>
    <s v="Card"/>
    <n v="5"/>
    <x v="3"/>
    <x v="1"/>
    <n v="2024"/>
    <m/>
  </r>
  <r>
    <x v="703"/>
    <d v="2024-09-01T00:00:00"/>
    <s v="Susan Wright"/>
    <x v="2"/>
    <x v="2"/>
    <s v="Home Office"/>
    <x v="1"/>
    <x v="3"/>
    <n v="11"/>
    <n v="332.76"/>
    <n v="0.15"/>
    <x v="703"/>
    <n v="2114"/>
    <x v="703"/>
    <s v="Cash"/>
    <n v="2"/>
    <x v="2"/>
    <x v="1"/>
    <n v="2024"/>
    <m/>
  </r>
  <r>
    <x v="704"/>
    <d v="2024-12-12T00:00:00"/>
    <s v="Jacqueline Cannon"/>
    <x v="3"/>
    <x v="0"/>
    <s v="Corporate"/>
    <x v="1"/>
    <x v="12"/>
    <n v="3"/>
    <n v="720.78"/>
    <n v="0"/>
    <x v="704"/>
    <n v="1616.88"/>
    <x v="704"/>
    <s v="Transfer"/>
    <n v="5"/>
    <x v="6"/>
    <x v="3"/>
    <n v="2024"/>
    <m/>
  </r>
  <r>
    <x v="705"/>
    <d v="2024-12-24T00:00:00"/>
    <s v="Ashley Welch"/>
    <x v="3"/>
    <x v="2"/>
    <s v="Consumer"/>
    <x v="0"/>
    <x v="5"/>
    <n v="12"/>
    <n v="381.62"/>
    <n v="0"/>
    <x v="705"/>
    <n v="3843.49"/>
    <x v="705"/>
    <s v="Transfer"/>
    <n v="2"/>
    <x v="6"/>
    <x v="3"/>
    <n v="2024"/>
    <m/>
  </r>
  <r>
    <x v="706"/>
    <d v="2024-02-20T00:00:00"/>
    <s v="April Martin"/>
    <x v="1"/>
    <x v="0"/>
    <s v="Home Office"/>
    <x v="1"/>
    <x v="3"/>
    <n v="2"/>
    <n v="453"/>
    <n v="0.15"/>
    <x v="706"/>
    <n v="591.1"/>
    <x v="706"/>
    <s v="Mobile Payment"/>
    <n v="1"/>
    <x v="4"/>
    <x v="0"/>
    <n v="2024"/>
    <m/>
  </r>
  <r>
    <x v="707"/>
    <d v="2024-06-30T00:00:00"/>
    <s v="Amy Brown"/>
    <x v="3"/>
    <x v="0"/>
    <s v="Corporate"/>
    <x v="3"/>
    <x v="7"/>
    <n v="3"/>
    <n v="683.01"/>
    <n v="0.05"/>
    <x v="707"/>
    <n v="1184.54"/>
    <x v="707"/>
    <s v="Cash"/>
    <n v="3"/>
    <x v="5"/>
    <x v="2"/>
    <n v="2024"/>
    <m/>
  </r>
  <r>
    <x v="708"/>
    <d v="2024-06-27T00:00:00"/>
    <s v="Sean Nguyen"/>
    <x v="0"/>
    <x v="3"/>
    <s v="Consumer"/>
    <x v="0"/>
    <x v="11"/>
    <n v="10"/>
    <n v="638.55999999999995"/>
    <n v="0.1"/>
    <x v="708"/>
    <n v="3949.94"/>
    <x v="708"/>
    <s v="Transfer"/>
    <n v="4"/>
    <x v="5"/>
    <x v="2"/>
    <n v="2024"/>
    <m/>
  </r>
  <r>
    <x v="709"/>
    <d v="2024-08-04T00:00:00"/>
    <s v="John Miller"/>
    <x v="1"/>
    <x v="0"/>
    <s v="Home Office"/>
    <x v="2"/>
    <x v="10"/>
    <n v="7"/>
    <n v="517.97"/>
    <n v="0"/>
    <x v="709"/>
    <n v="1921.8"/>
    <x v="709"/>
    <s v="Mobile Payment"/>
    <n v="3"/>
    <x v="3"/>
    <x v="1"/>
    <n v="2024"/>
    <m/>
  </r>
  <r>
    <x v="710"/>
    <d v="2024-08-09T00:00:00"/>
    <s v="Misty Lewis"/>
    <x v="0"/>
    <x v="1"/>
    <s v="Consumer"/>
    <x v="2"/>
    <x v="10"/>
    <n v="8"/>
    <n v="472.21"/>
    <n v="0"/>
    <x v="710"/>
    <n v="2327.9699999999998"/>
    <x v="710"/>
    <s v="Cash"/>
    <n v="1"/>
    <x v="3"/>
    <x v="1"/>
    <n v="2024"/>
    <m/>
  </r>
  <r>
    <x v="711"/>
    <d v="2024-08-17T00:00:00"/>
    <s v="Brandi Evans"/>
    <x v="3"/>
    <x v="3"/>
    <s v="Consumer"/>
    <x v="0"/>
    <x v="0"/>
    <n v="8"/>
    <n v="177.37"/>
    <n v="0"/>
    <x v="711"/>
    <n v="849.61"/>
    <x v="711"/>
    <s v="Transfer"/>
    <n v="5"/>
    <x v="3"/>
    <x v="1"/>
    <n v="2024"/>
    <m/>
  </r>
  <r>
    <x v="712"/>
    <d v="2024-11-19T00:00:00"/>
    <s v="Joseph Garcia"/>
    <x v="0"/>
    <x v="4"/>
    <s v="Home Office"/>
    <x v="0"/>
    <x v="5"/>
    <n v="9"/>
    <n v="1182.57"/>
    <n v="0"/>
    <x v="712"/>
    <n v="7804.48"/>
    <x v="712"/>
    <s v="Mobile Payment"/>
    <n v="3"/>
    <x v="11"/>
    <x v="3"/>
    <n v="2024"/>
    <m/>
  </r>
  <r>
    <x v="713"/>
    <d v="2024-12-08T00:00:00"/>
    <s v="Christopher Mitchell"/>
    <x v="3"/>
    <x v="3"/>
    <s v="Home Office"/>
    <x v="3"/>
    <x v="8"/>
    <n v="3"/>
    <n v="465.12"/>
    <n v="0"/>
    <x v="713"/>
    <n v="850.55"/>
    <x v="713"/>
    <s v="Transfer"/>
    <n v="3"/>
    <x v="6"/>
    <x v="3"/>
    <n v="2024"/>
    <m/>
  </r>
  <r>
    <x v="714"/>
    <d v="2024-09-05T00:00:00"/>
    <s v="Anita Jennings"/>
    <x v="3"/>
    <x v="2"/>
    <s v="Consumer"/>
    <x v="3"/>
    <x v="6"/>
    <n v="8"/>
    <n v="181.93"/>
    <n v="0.15"/>
    <x v="714"/>
    <n v="755.35"/>
    <x v="714"/>
    <s v="Card"/>
    <n v="1"/>
    <x v="2"/>
    <x v="1"/>
    <n v="2024"/>
    <m/>
  </r>
  <r>
    <x v="715"/>
    <d v="2024-12-14T00:00:00"/>
    <s v="Michael Hardy"/>
    <x v="0"/>
    <x v="4"/>
    <s v="Home Office"/>
    <x v="1"/>
    <x v="2"/>
    <n v="12"/>
    <n v="157.24"/>
    <n v="0.1"/>
    <x v="715"/>
    <n v="1272.05"/>
    <x v="715"/>
    <s v="Mobile Payment"/>
    <n v="1"/>
    <x v="6"/>
    <x v="3"/>
    <n v="2024"/>
    <m/>
  </r>
  <r>
    <x v="716"/>
    <d v="2024-05-16T00:00:00"/>
    <s v="Darren Brown"/>
    <x v="3"/>
    <x v="1"/>
    <s v="Home Office"/>
    <x v="0"/>
    <x v="0"/>
    <n v="2"/>
    <n v="1030.1099999999999"/>
    <n v="0.1"/>
    <x v="716"/>
    <n v="1206.19"/>
    <x v="716"/>
    <s v="Card"/>
    <n v="2"/>
    <x v="9"/>
    <x v="2"/>
    <n v="2024"/>
    <m/>
  </r>
  <r>
    <x v="717"/>
    <d v="2024-11-11T00:00:00"/>
    <s v="Kevin Ramirez"/>
    <x v="4"/>
    <x v="3"/>
    <s v="Home Office"/>
    <x v="0"/>
    <x v="0"/>
    <n v="5"/>
    <n v="142.16"/>
    <n v="0.15"/>
    <x v="717"/>
    <n v="475.5"/>
    <x v="717"/>
    <s v="Card"/>
    <n v="5"/>
    <x v="11"/>
    <x v="3"/>
    <n v="2024"/>
    <m/>
  </r>
  <r>
    <x v="718"/>
    <d v="2024-01-24T00:00:00"/>
    <s v="Jennifer Copeland"/>
    <x v="4"/>
    <x v="4"/>
    <s v="Home Office"/>
    <x v="0"/>
    <x v="5"/>
    <n v="11"/>
    <n v="277.05"/>
    <n v="0.1"/>
    <x v="718"/>
    <n v="2175.16"/>
    <x v="718"/>
    <s v="Cash"/>
    <n v="3"/>
    <x v="0"/>
    <x v="0"/>
    <n v="2024"/>
    <m/>
  </r>
  <r>
    <x v="719"/>
    <d v="2024-09-28T00:00:00"/>
    <s v="Robin Aguilar"/>
    <x v="4"/>
    <x v="3"/>
    <s v="Consumer"/>
    <x v="2"/>
    <x v="10"/>
    <n v="7"/>
    <n v="638.08000000000004"/>
    <n v="0.05"/>
    <x v="719"/>
    <n v="2685.72"/>
    <x v="719"/>
    <s v="Mobile Payment"/>
    <n v="2"/>
    <x v="2"/>
    <x v="1"/>
    <n v="2024"/>
    <m/>
  </r>
  <r>
    <x v="720"/>
    <d v="2024-03-09T00:00:00"/>
    <s v="Melanie Frey"/>
    <x v="0"/>
    <x v="4"/>
    <s v="Consumer"/>
    <x v="0"/>
    <x v="11"/>
    <n v="8"/>
    <n v="67.28"/>
    <n v="0.05"/>
    <x v="720"/>
    <n v="301.14999999999998"/>
    <x v="720"/>
    <s v="Mobile Payment"/>
    <n v="2"/>
    <x v="1"/>
    <x v="0"/>
    <n v="2024"/>
    <m/>
  </r>
  <r>
    <x v="721"/>
    <d v="2024-12-10T00:00:00"/>
    <s v="Mary Jensen DVM"/>
    <x v="4"/>
    <x v="1"/>
    <s v="Home Office"/>
    <x v="0"/>
    <x v="11"/>
    <n v="4"/>
    <n v="676"/>
    <n v="0.15"/>
    <x v="721"/>
    <n v="1754.33"/>
    <x v="721"/>
    <s v="Mobile Payment"/>
    <n v="5"/>
    <x v="6"/>
    <x v="3"/>
    <n v="2024"/>
    <m/>
  </r>
  <r>
    <x v="722"/>
    <d v="2024-08-05T00:00:00"/>
    <s v="Marcus Valencia MD"/>
    <x v="2"/>
    <x v="0"/>
    <s v="Home Office"/>
    <x v="2"/>
    <x v="4"/>
    <n v="5"/>
    <n v="194.45"/>
    <n v="0.15"/>
    <x v="722"/>
    <n v="508.76"/>
    <x v="722"/>
    <s v="Transfer"/>
    <n v="2"/>
    <x v="3"/>
    <x v="1"/>
    <n v="2024"/>
    <m/>
  </r>
  <r>
    <x v="723"/>
    <d v="2024-07-03T00:00:00"/>
    <s v="Wanda White"/>
    <x v="2"/>
    <x v="2"/>
    <s v="Corporate"/>
    <x v="2"/>
    <x v="9"/>
    <n v="3"/>
    <n v="216.6"/>
    <n v="0"/>
    <x v="723"/>
    <n v="411.09"/>
    <x v="723"/>
    <s v="Transfer"/>
    <n v="4"/>
    <x v="7"/>
    <x v="1"/>
    <n v="2024"/>
    <m/>
  </r>
  <r>
    <x v="724"/>
    <d v="2024-03-19T00:00:00"/>
    <s v="Fernando Rollins"/>
    <x v="0"/>
    <x v="1"/>
    <s v="Home Office"/>
    <x v="3"/>
    <x v="7"/>
    <n v="11"/>
    <n v="782.86"/>
    <n v="0.15"/>
    <x v="724"/>
    <n v="4844.8"/>
    <x v="724"/>
    <s v="Card"/>
    <n v="1"/>
    <x v="1"/>
    <x v="0"/>
    <n v="2024"/>
    <m/>
  </r>
  <r>
    <x v="725"/>
    <d v="2024-11-23T00:00:00"/>
    <s v="Catherine Chapman"/>
    <x v="3"/>
    <x v="1"/>
    <s v="Home Office"/>
    <x v="1"/>
    <x v="3"/>
    <n v="12"/>
    <n v="42.01"/>
    <n v="0.15"/>
    <x v="725"/>
    <n v="336.73"/>
    <x v="725"/>
    <s v="Mobile Payment"/>
    <n v="4"/>
    <x v="11"/>
    <x v="3"/>
    <n v="2024"/>
    <m/>
  </r>
  <r>
    <x v="726"/>
    <d v="2024-06-03T00:00:00"/>
    <s v="Nicole Weaver"/>
    <x v="2"/>
    <x v="2"/>
    <s v="Consumer"/>
    <x v="0"/>
    <x v="1"/>
    <n v="4"/>
    <n v="860.91"/>
    <n v="0"/>
    <x v="726"/>
    <n v="1872.44"/>
    <x v="726"/>
    <s v="Transfer"/>
    <n v="1"/>
    <x v="5"/>
    <x v="2"/>
    <n v="2024"/>
    <m/>
  </r>
  <r>
    <x v="727"/>
    <d v="2024-11-27T00:00:00"/>
    <s v="Sandra Jensen"/>
    <x v="1"/>
    <x v="3"/>
    <s v="Consumer"/>
    <x v="3"/>
    <x v="7"/>
    <n v="10"/>
    <n v="312.68"/>
    <n v="0.15"/>
    <x v="727"/>
    <n v="1377.02"/>
    <x v="727"/>
    <s v="Card"/>
    <n v="4"/>
    <x v="11"/>
    <x v="3"/>
    <n v="2024"/>
    <m/>
  </r>
  <r>
    <x v="728"/>
    <d v="2024-11-04T00:00:00"/>
    <s v="Julie Allen"/>
    <x v="0"/>
    <x v="2"/>
    <s v="Consumer"/>
    <x v="3"/>
    <x v="7"/>
    <n v="12"/>
    <n v="949.12"/>
    <n v="0.15"/>
    <x v="728"/>
    <n v="7880.11"/>
    <x v="728"/>
    <s v="Cash"/>
    <n v="3"/>
    <x v="11"/>
    <x v="3"/>
    <n v="2024"/>
    <m/>
  </r>
  <r>
    <x v="729"/>
    <d v="2024-02-14T00:00:00"/>
    <s v="Marcia Torres"/>
    <x v="2"/>
    <x v="1"/>
    <s v="Home Office"/>
    <x v="3"/>
    <x v="7"/>
    <n v="3"/>
    <n v="1136.45"/>
    <n v="0.1"/>
    <x v="729"/>
    <n v="1839.39"/>
    <x v="729"/>
    <s v="Cash"/>
    <n v="3"/>
    <x v="4"/>
    <x v="0"/>
    <n v="2024"/>
    <m/>
  </r>
  <r>
    <x v="730"/>
    <d v="2024-03-11T00:00:00"/>
    <s v="Frederick Johnson"/>
    <x v="2"/>
    <x v="0"/>
    <s v="Corporate"/>
    <x v="0"/>
    <x v="11"/>
    <n v="10"/>
    <n v="409.14"/>
    <n v="0.1"/>
    <x v="730"/>
    <n v="2142.84"/>
    <x v="730"/>
    <s v="Transfer"/>
    <n v="2"/>
    <x v="1"/>
    <x v="0"/>
    <n v="2024"/>
    <m/>
  </r>
  <r>
    <x v="731"/>
    <d v="2024-08-12T00:00:00"/>
    <s v="John Robles"/>
    <x v="1"/>
    <x v="1"/>
    <s v="Home Office"/>
    <x v="0"/>
    <x v="1"/>
    <n v="9"/>
    <n v="274.08999999999997"/>
    <n v="0"/>
    <x v="731"/>
    <n v="1979.4"/>
    <x v="731"/>
    <s v="Transfer"/>
    <n v="1"/>
    <x v="3"/>
    <x v="1"/>
    <n v="2024"/>
    <m/>
  </r>
  <r>
    <x v="732"/>
    <d v="2024-09-21T00:00:00"/>
    <s v="Barbara Parrish"/>
    <x v="0"/>
    <x v="3"/>
    <s v="Home Office"/>
    <x v="0"/>
    <x v="0"/>
    <n v="12"/>
    <n v="891.68"/>
    <n v="0.05"/>
    <x v="732"/>
    <n v="7657.37"/>
    <x v="732"/>
    <s v="Transfer"/>
    <n v="2"/>
    <x v="2"/>
    <x v="1"/>
    <n v="2024"/>
    <m/>
  </r>
  <r>
    <x v="733"/>
    <d v="2024-05-26T00:00:00"/>
    <s v="Jimmy Morrison"/>
    <x v="1"/>
    <x v="2"/>
    <s v="Corporate"/>
    <x v="3"/>
    <x v="6"/>
    <n v="5"/>
    <n v="456.61"/>
    <n v="0.05"/>
    <x v="733"/>
    <n v="1347.45"/>
    <x v="733"/>
    <s v="Card"/>
    <n v="1"/>
    <x v="9"/>
    <x v="2"/>
    <n v="2024"/>
    <m/>
  </r>
  <r>
    <x v="734"/>
    <d v="2024-10-26T00:00:00"/>
    <s v="Stephanie Mitchell"/>
    <x v="0"/>
    <x v="4"/>
    <s v="Consumer"/>
    <x v="3"/>
    <x v="7"/>
    <n v="8"/>
    <n v="395.25"/>
    <n v="0.15"/>
    <x v="734"/>
    <n v="1759.57"/>
    <x v="734"/>
    <s v="Mobile Payment"/>
    <n v="2"/>
    <x v="8"/>
    <x v="3"/>
    <n v="2024"/>
    <m/>
  </r>
  <r>
    <x v="735"/>
    <d v="2024-09-21T00:00:00"/>
    <s v="Thomas Barnett"/>
    <x v="4"/>
    <x v="2"/>
    <s v="Home Office"/>
    <x v="1"/>
    <x v="2"/>
    <n v="1"/>
    <n v="379.68"/>
    <n v="0.1"/>
    <x v="735"/>
    <n v="287.41000000000003"/>
    <x v="735"/>
    <s v="Transfer"/>
    <n v="5"/>
    <x v="2"/>
    <x v="1"/>
    <n v="2024"/>
    <m/>
  </r>
  <r>
    <x v="736"/>
    <d v="2024-08-07T00:00:00"/>
    <s v="Tamara Watson"/>
    <x v="0"/>
    <x v="4"/>
    <s v="Consumer"/>
    <x v="3"/>
    <x v="7"/>
    <n v="5"/>
    <n v="434.24"/>
    <n v="0.15"/>
    <x v="736"/>
    <n v="1151.82"/>
    <x v="736"/>
    <s v="Card"/>
    <n v="5"/>
    <x v="3"/>
    <x v="1"/>
    <n v="2024"/>
    <m/>
  </r>
  <r>
    <x v="737"/>
    <d v="2024-06-22T00:00:00"/>
    <s v="Amanda Mays"/>
    <x v="4"/>
    <x v="1"/>
    <s v="Consumer"/>
    <x v="0"/>
    <x v="1"/>
    <n v="1"/>
    <n v="950.82"/>
    <n v="0.15"/>
    <x v="737"/>
    <n v="481.52"/>
    <x v="737"/>
    <s v="Mobile Payment"/>
    <n v="1"/>
    <x v="5"/>
    <x v="2"/>
    <n v="2024"/>
    <m/>
  </r>
  <r>
    <x v="738"/>
    <d v="2024-12-13T00:00:00"/>
    <s v="Kimberly Wall"/>
    <x v="2"/>
    <x v="4"/>
    <s v="Home Office"/>
    <x v="1"/>
    <x v="12"/>
    <n v="9"/>
    <n v="1149.55"/>
    <n v="0.05"/>
    <x v="738"/>
    <n v="6604.44"/>
    <x v="738"/>
    <s v="Mobile Payment"/>
    <n v="1"/>
    <x v="6"/>
    <x v="3"/>
    <n v="2024"/>
    <m/>
  </r>
  <r>
    <x v="739"/>
    <d v="2024-07-20T00:00:00"/>
    <s v="Zachary Hanna"/>
    <x v="1"/>
    <x v="3"/>
    <s v="Corporate"/>
    <x v="3"/>
    <x v="6"/>
    <n v="2"/>
    <n v="138.16"/>
    <n v="0"/>
    <x v="739"/>
    <n v="176.69"/>
    <x v="739"/>
    <s v="Cash"/>
    <n v="1"/>
    <x v="7"/>
    <x v="1"/>
    <n v="2024"/>
    <m/>
  </r>
  <r>
    <x v="740"/>
    <d v="2024-10-27T00:00:00"/>
    <s v="Nicholas Decker"/>
    <x v="4"/>
    <x v="1"/>
    <s v="Home Office"/>
    <x v="1"/>
    <x v="2"/>
    <n v="2"/>
    <n v="290.14999999999998"/>
    <n v="0.05"/>
    <x v="740"/>
    <n v="291.94"/>
    <x v="740"/>
    <s v="Cash"/>
    <n v="5"/>
    <x v="8"/>
    <x v="3"/>
    <n v="2024"/>
    <m/>
  </r>
  <r>
    <x v="741"/>
    <d v="2024-07-28T00:00:00"/>
    <s v="Timothy Lopez"/>
    <x v="2"/>
    <x v="1"/>
    <s v="Corporate"/>
    <x v="3"/>
    <x v="8"/>
    <n v="3"/>
    <n v="323.02"/>
    <n v="0"/>
    <x v="741"/>
    <n v="504.06"/>
    <x v="741"/>
    <s v="Mobile Payment"/>
    <n v="1"/>
    <x v="7"/>
    <x v="1"/>
    <n v="2024"/>
    <m/>
  </r>
  <r>
    <x v="742"/>
    <d v="2024-06-29T00:00:00"/>
    <s v="Catherine Chapman"/>
    <x v="2"/>
    <x v="0"/>
    <s v="Corporate"/>
    <x v="0"/>
    <x v="1"/>
    <n v="11"/>
    <n v="228.49"/>
    <n v="0.1"/>
    <x v="742"/>
    <n v="1189.9000000000001"/>
    <x v="742"/>
    <s v="Card"/>
    <n v="1"/>
    <x v="5"/>
    <x v="2"/>
    <n v="2024"/>
    <m/>
  </r>
  <r>
    <x v="743"/>
    <d v="2024-02-07T00:00:00"/>
    <s v="Lawrence Jefferson"/>
    <x v="0"/>
    <x v="0"/>
    <s v="Corporate"/>
    <x v="0"/>
    <x v="5"/>
    <n v="6"/>
    <n v="677"/>
    <n v="0.15"/>
    <x v="743"/>
    <n v="2171.19"/>
    <x v="743"/>
    <s v="Cash"/>
    <n v="4"/>
    <x v="4"/>
    <x v="0"/>
    <n v="2024"/>
    <m/>
  </r>
  <r>
    <x v="744"/>
    <d v="2024-07-12T00:00:00"/>
    <s v="Laura Hatfield"/>
    <x v="1"/>
    <x v="4"/>
    <s v="Corporate"/>
    <x v="3"/>
    <x v="8"/>
    <n v="11"/>
    <n v="46.09"/>
    <n v="0"/>
    <x v="744"/>
    <n v="364.6"/>
    <x v="744"/>
    <s v="Transfer"/>
    <n v="4"/>
    <x v="7"/>
    <x v="1"/>
    <n v="2024"/>
    <m/>
  </r>
  <r>
    <x v="745"/>
    <d v="2024-11-24T00:00:00"/>
    <s v="Sandra Clark"/>
    <x v="2"/>
    <x v="0"/>
    <s v="Consumer"/>
    <x v="3"/>
    <x v="6"/>
    <n v="3"/>
    <n v="442.86"/>
    <n v="0.05"/>
    <x v="745"/>
    <n v="944.1"/>
    <x v="745"/>
    <s v="Transfer"/>
    <n v="4"/>
    <x v="11"/>
    <x v="3"/>
    <n v="2024"/>
    <m/>
  </r>
  <r>
    <x v="746"/>
    <d v="2024-09-05T00:00:00"/>
    <s v="Kelly Quinn"/>
    <x v="2"/>
    <x v="4"/>
    <s v="Consumer"/>
    <x v="1"/>
    <x v="2"/>
    <n v="4"/>
    <n v="542.49"/>
    <n v="0.15"/>
    <x v="746"/>
    <n v="1055.6400000000001"/>
    <x v="746"/>
    <s v="Transfer"/>
    <n v="2"/>
    <x v="2"/>
    <x v="1"/>
    <n v="2024"/>
    <m/>
  </r>
  <r>
    <x v="747"/>
    <d v="2024-09-18T00:00:00"/>
    <s v="Deanna Marshall"/>
    <x v="0"/>
    <x v="1"/>
    <s v="Corporate"/>
    <x v="1"/>
    <x v="12"/>
    <n v="1"/>
    <n v="920.84"/>
    <n v="0"/>
    <x v="747"/>
    <n v="705.1"/>
    <x v="747"/>
    <s v="Card"/>
    <n v="1"/>
    <x v="2"/>
    <x v="1"/>
    <n v="2024"/>
    <m/>
  </r>
  <r>
    <x v="748"/>
    <d v="2024-02-26T00:00:00"/>
    <s v="Courtney Guerrero"/>
    <x v="0"/>
    <x v="2"/>
    <s v="Corporate"/>
    <x v="1"/>
    <x v="2"/>
    <n v="2"/>
    <n v="834.64"/>
    <n v="0"/>
    <x v="748"/>
    <n v="1165.68"/>
    <x v="748"/>
    <s v="Mobile Payment"/>
    <n v="1"/>
    <x v="4"/>
    <x v="0"/>
    <n v="2024"/>
    <m/>
  </r>
  <r>
    <x v="749"/>
    <d v="2024-06-25T00:00:00"/>
    <s v="Allen Meyer"/>
    <x v="1"/>
    <x v="0"/>
    <s v="Corporate"/>
    <x v="2"/>
    <x v="4"/>
    <n v="9"/>
    <n v="164.1"/>
    <n v="0.15"/>
    <x v="749"/>
    <n v="678.22"/>
    <x v="749"/>
    <s v="Transfer"/>
    <n v="4"/>
    <x v="5"/>
    <x v="2"/>
    <n v="2024"/>
    <m/>
  </r>
  <r>
    <x v="750"/>
    <d v="2024-02-02T00:00:00"/>
    <s v="Mitchell Mcmillan"/>
    <x v="3"/>
    <x v="4"/>
    <s v="Consumer"/>
    <x v="2"/>
    <x v="9"/>
    <n v="1"/>
    <n v="29.87"/>
    <n v="0"/>
    <x v="750"/>
    <n v="21.1"/>
    <x v="750"/>
    <s v="Cash"/>
    <n v="4"/>
    <x v="4"/>
    <x v="0"/>
    <n v="2024"/>
    <m/>
  </r>
  <r>
    <x v="751"/>
    <d v="2024-08-31T00:00:00"/>
    <s v="Kyle Crosby"/>
    <x v="2"/>
    <x v="3"/>
    <s v="Consumer"/>
    <x v="1"/>
    <x v="2"/>
    <n v="4"/>
    <n v="746.83"/>
    <n v="0.1"/>
    <x v="751"/>
    <n v="1646.18"/>
    <x v="751"/>
    <s v="Card"/>
    <n v="3"/>
    <x v="3"/>
    <x v="1"/>
    <n v="2024"/>
    <m/>
  </r>
  <r>
    <x v="752"/>
    <d v="2024-10-04T00:00:00"/>
    <s v="Christina Brown"/>
    <x v="4"/>
    <x v="1"/>
    <s v="Corporate"/>
    <x v="3"/>
    <x v="7"/>
    <n v="7"/>
    <n v="893.46"/>
    <n v="0.05"/>
    <x v="752"/>
    <n v="4069.03"/>
    <x v="752"/>
    <s v="Cash"/>
    <n v="4"/>
    <x v="8"/>
    <x v="3"/>
    <n v="2024"/>
    <m/>
  </r>
  <r>
    <x v="753"/>
    <d v="2024-05-23T00:00:00"/>
    <s v="Amanda Kane"/>
    <x v="0"/>
    <x v="4"/>
    <s v="Corporate"/>
    <x v="1"/>
    <x v="3"/>
    <n v="5"/>
    <n v="556.89"/>
    <n v="0"/>
    <x v="753"/>
    <n v="2295.11"/>
    <x v="753"/>
    <s v="Transfer"/>
    <n v="5"/>
    <x v="9"/>
    <x v="2"/>
    <n v="2024"/>
    <m/>
  </r>
  <r>
    <x v="754"/>
    <d v="2024-11-05T00:00:00"/>
    <s v="Julian Klein"/>
    <x v="0"/>
    <x v="4"/>
    <s v="Consumer"/>
    <x v="1"/>
    <x v="2"/>
    <n v="10"/>
    <n v="290.77999999999997"/>
    <n v="0"/>
    <x v="754"/>
    <n v="2364.5300000000002"/>
    <x v="754"/>
    <s v="Card"/>
    <n v="2"/>
    <x v="11"/>
    <x v="3"/>
    <n v="2024"/>
    <m/>
  </r>
  <r>
    <x v="755"/>
    <d v="2024-02-19T00:00:00"/>
    <s v="Andrew Klein"/>
    <x v="4"/>
    <x v="1"/>
    <s v="Corporate"/>
    <x v="0"/>
    <x v="1"/>
    <n v="10"/>
    <n v="512.87"/>
    <n v="0.1"/>
    <x v="755"/>
    <n v="2423.75"/>
    <x v="755"/>
    <s v="Mobile Payment"/>
    <n v="2"/>
    <x v="4"/>
    <x v="0"/>
    <n v="2024"/>
    <m/>
  </r>
  <r>
    <x v="756"/>
    <d v="2024-07-16T00:00:00"/>
    <s v="David Mendoza"/>
    <x v="4"/>
    <x v="0"/>
    <s v="Home Office"/>
    <x v="1"/>
    <x v="3"/>
    <n v="9"/>
    <n v="189.71"/>
    <n v="0"/>
    <x v="756"/>
    <n v="1000.85"/>
    <x v="756"/>
    <s v="Mobile Payment"/>
    <n v="4"/>
    <x v="7"/>
    <x v="1"/>
    <n v="2024"/>
    <m/>
  </r>
  <r>
    <x v="757"/>
    <d v="2024-07-04T00:00:00"/>
    <s v="Elizabeth Roberts"/>
    <x v="0"/>
    <x v="3"/>
    <s v="Home Office"/>
    <x v="2"/>
    <x v="9"/>
    <n v="1"/>
    <n v="630.24"/>
    <n v="0.15"/>
    <x v="757"/>
    <n v="320.33999999999997"/>
    <x v="757"/>
    <s v="Transfer"/>
    <n v="4"/>
    <x v="7"/>
    <x v="1"/>
    <n v="2024"/>
    <m/>
  </r>
  <r>
    <x v="758"/>
    <d v="2024-04-08T00:00:00"/>
    <s v="Michael Hughes"/>
    <x v="2"/>
    <x v="0"/>
    <s v="Home Office"/>
    <x v="3"/>
    <x v="6"/>
    <n v="4"/>
    <n v="1066.06"/>
    <n v="0.1"/>
    <x v="758"/>
    <n v="1974.02"/>
    <x v="758"/>
    <s v="Cash"/>
    <n v="4"/>
    <x v="10"/>
    <x v="2"/>
    <n v="2024"/>
    <m/>
  </r>
  <r>
    <x v="759"/>
    <d v="2024-12-15T00:00:00"/>
    <s v="Donna Reyes"/>
    <x v="1"/>
    <x v="3"/>
    <s v="Consumer"/>
    <x v="0"/>
    <x v="5"/>
    <n v="10"/>
    <n v="1006.44"/>
    <n v="0.05"/>
    <x v="759"/>
    <n v="7743"/>
    <x v="759"/>
    <s v="Cash"/>
    <n v="1"/>
    <x v="6"/>
    <x v="3"/>
    <n v="2024"/>
    <m/>
  </r>
  <r>
    <x v="760"/>
    <d v="2024-03-02T00:00:00"/>
    <s v="Nicole Bennett"/>
    <x v="2"/>
    <x v="4"/>
    <s v="Home Office"/>
    <x v="2"/>
    <x v="10"/>
    <n v="2"/>
    <n v="463.15"/>
    <n v="0.15"/>
    <x v="760"/>
    <n v="650.87"/>
    <x v="760"/>
    <s v="Card"/>
    <n v="4"/>
    <x v="1"/>
    <x v="0"/>
    <n v="2024"/>
    <m/>
  </r>
  <r>
    <x v="761"/>
    <d v="2024-07-24T00:00:00"/>
    <s v="Mr. Gary Allen DVM"/>
    <x v="1"/>
    <x v="4"/>
    <s v="Corporate"/>
    <x v="2"/>
    <x v="9"/>
    <n v="3"/>
    <n v="533.35"/>
    <n v="0.05"/>
    <x v="761"/>
    <n v="937.78"/>
    <x v="761"/>
    <s v="Card"/>
    <n v="5"/>
    <x v="7"/>
    <x v="1"/>
    <n v="2024"/>
    <m/>
  </r>
  <r>
    <x v="762"/>
    <d v="2024-02-06T00:00:00"/>
    <s v="Erin Rodriguez"/>
    <x v="0"/>
    <x v="3"/>
    <s v="Consumer"/>
    <x v="1"/>
    <x v="3"/>
    <n v="11"/>
    <n v="985.62"/>
    <n v="0.1"/>
    <x v="762"/>
    <n v="5309.17"/>
    <x v="762"/>
    <s v="Card"/>
    <n v="2"/>
    <x v="4"/>
    <x v="0"/>
    <n v="2024"/>
    <m/>
  </r>
  <r>
    <x v="763"/>
    <d v="2024-09-30T00:00:00"/>
    <s v="Tonya Shelton"/>
    <x v="1"/>
    <x v="1"/>
    <s v="Home Office"/>
    <x v="2"/>
    <x v="9"/>
    <n v="5"/>
    <n v="304.68"/>
    <n v="0.15"/>
    <x v="763"/>
    <n v="805.27"/>
    <x v="763"/>
    <s v="Transfer"/>
    <n v="2"/>
    <x v="2"/>
    <x v="1"/>
    <n v="2024"/>
    <m/>
  </r>
  <r>
    <x v="764"/>
    <d v="2024-05-29T00:00:00"/>
    <s v="Kevin Todd"/>
    <x v="2"/>
    <x v="0"/>
    <s v="Home Office"/>
    <x v="0"/>
    <x v="1"/>
    <n v="12"/>
    <n v="563.16999999999996"/>
    <n v="0.1"/>
    <x v="764"/>
    <n v="4878.5200000000004"/>
    <x v="764"/>
    <s v="Mobile Payment"/>
    <n v="1"/>
    <x v="9"/>
    <x v="2"/>
    <n v="2024"/>
    <m/>
  </r>
  <r>
    <x v="765"/>
    <d v="2024-05-11T00:00:00"/>
    <s v="Lisa Espinoza"/>
    <x v="2"/>
    <x v="2"/>
    <s v="Corporate"/>
    <x v="3"/>
    <x v="7"/>
    <n v="2"/>
    <n v="218.6"/>
    <n v="0"/>
    <x v="765"/>
    <n v="232.65"/>
    <x v="765"/>
    <s v="Transfer"/>
    <n v="2"/>
    <x v="9"/>
    <x v="2"/>
    <n v="2024"/>
    <m/>
  </r>
  <r>
    <x v="766"/>
    <d v="2024-01-06T00:00:00"/>
    <s v="Mark Tucker"/>
    <x v="3"/>
    <x v="0"/>
    <s v="Consumer"/>
    <x v="0"/>
    <x v="5"/>
    <n v="3"/>
    <n v="565.08000000000004"/>
    <n v="0.05"/>
    <x v="766"/>
    <n v="1340.13"/>
    <x v="766"/>
    <s v="Transfer"/>
    <n v="1"/>
    <x v="0"/>
    <x v="0"/>
    <n v="2024"/>
    <m/>
  </r>
  <r>
    <x v="767"/>
    <d v="2024-03-14T00:00:00"/>
    <s v="Brandon Nelson"/>
    <x v="2"/>
    <x v="0"/>
    <s v="Consumer"/>
    <x v="3"/>
    <x v="6"/>
    <n v="7"/>
    <n v="398.98"/>
    <n v="0.05"/>
    <x v="767"/>
    <n v="2040.02"/>
    <x v="767"/>
    <s v="Card"/>
    <n v="4"/>
    <x v="1"/>
    <x v="0"/>
    <n v="2024"/>
    <m/>
  </r>
  <r>
    <x v="768"/>
    <d v="2024-02-29T00:00:00"/>
    <s v="Brendan Davis"/>
    <x v="2"/>
    <x v="2"/>
    <s v="Consumer"/>
    <x v="3"/>
    <x v="6"/>
    <n v="1"/>
    <n v="701.37"/>
    <n v="0.1"/>
    <x v="768"/>
    <n v="347.12"/>
    <x v="768"/>
    <s v="Mobile Payment"/>
    <n v="1"/>
    <x v="4"/>
    <x v="0"/>
    <n v="2024"/>
    <m/>
  </r>
  <r>
    <x v="769"/>
    <d v="2024-05-26T00:00:00"/>
    <s v="Sheryl Lee"/>
    <x v="1"/>
    <x v="0"/>
    <s v="Consumer"/>
    <x v="1"/>
    <x v="12"/>
    <n v="3"/>
    <n v="912.33"/>
    <n v="0.1"/>
    <x v="769"/>
    <n v="1564.57"/>
    <x v="769"/>
    <s v="Transfer"/>
    <n v="3"/>
    <x v="9"/>
    <x v="2"/>
    <n v="2024"/>
    <m/>
  </r>
  <r>
    <x v="770"/>
    <d v="2024-06-22T00:00:00"/>
    <s v="Linda Bowman"/>
    <x v="2"/>
    <x v="4"/>
    <s v="Home Office"/>
    <x v="1"/>
    <x v="12"/>
    <n v="4"/>
    <n v="1150.31"/>
    <n v="0"/>
    <x v="770"/>
    <n v="2303.83"/>
    <x v="770"/>
    <s v="Transfer"/>
    <n v="5"/>
    <x v="5"/>
    <x v="2"/>
    <n v="2024"/>
    <m/>
  </r>
  <r>
    <x v="771"/>
    <d v="2024-10-06T00:00:00"/>
    <s v="John Conner"/>
    <x v="4"/>
    <x v="3"/>
    <s v="Corporate"/>
    <x v="2"/>
    <x v="4"/>
    <n v="12"/>
    <n v="1018.21"/>
    <n v="0.1"/>
    <x v="771"/>
    <n v="8175.08"/>
    <x v="771"/>
    <s v="Mobile Payment"/>
    <n v="3"/>
    <x v="8"/>
    <x v="3"/>
    <n v="2024"/>
    <m/>
  </r>
  <r>
    <x v="772"/>
    <d v="2024-01-05T00:00:00"/>
    <s v="John Garcia"/>
    <x v="4"/>
    <x v="0"/>
    <s v="Corporate"/>
    <x v="0"/>
    <x v="5"/>
    <n v="3"/>
    <n v="605.55999999999995"/>
    <n v="0.15"/>
    <x v="772"/>
    <n v="1203.45"/>
    <x v="772"/>
    <s v="Transfer"/>
    <n v="5"/>
    <x v="0"/>
    <x v="0"/>
    <n v="2024"/>
    <m/>
  </r>
  <r>
    <x v="773"/>
    <d v="2024-11-23T00:00:00"/>
    <s v="Kelly Chang"/>
    <x v="4"/>
    <x v="3"/>
    <s v="Home Office"/>
    <x v="2"/>
    <x v="9"/>
    <n v="2"/>
    <n v="650.98"/>
    <n v="0"/>
    <x v="773"/>
    <n v="957.76"/>
    <x v="773"/>
    <s v="Cash"/>
    <n v="4"/>
    <x v="11"/>
    <x v="3"/>
    <n v="2024"/>
    <m/>
  </r>
  <r>
    <x v="774"/>
    <d v="2024-10-01T00:00:00"/>
    <s v="Linda Harvey"/>
    <x v="1"/>
    <x v="4"/>
    <s v="Corporate"/>
    <x v="0"/>
    <x v="0"/>
    <n v="6"/>
    <n v="758.4"/>
    <n v="0"/>
    <x v="774"/>
    <n v="3272.74"/>
    <x v="774"/>
    <s v="Transfer"/>
    <n v="3"/>
    <x v="8"/>
    <x v="3"/>
    <n v="2024"/>
    <m/>
  </r>
  <r>
    <x v="775"/>
    <d v="2024-08-29T00:00:00"/>
    <s v="Joseph Bolton"/>
    <x v="4"/>
    <x v="3"/>
    <s v="Consumer"/>
    <x v="2"/>
    <x v="9"/>
    <n v="12"/>
    <n v="150.19"/>
    <n v="0.05"/>
    <x v="775"/>
    <n v="1140.83"/>
    <x v="775"/>
    <s v="Transfer"/>
    <n v="4"/>
    <x v="3"/>
    <x v="1"/>
    <n v="2024"/>
    <m/>
  </r>
  <r>
    <x v="776"/>
    <d v="2024-04-08T00:00:00"/>
    <s v="Jasmine Wells"/>
    <x v="0"/>
    <x v="0"/>
    <s v="Consumer"/>
    <x v="0"/>
    <x v="5"/>
    <n v="2"/>
    <n v="528.09"/>
    <n v="0.1"/>
    <x v="776"/>
    <n v="674.83"/>
    <x v="776"/>
    <s v="Mobile Payment"/>
    <n v="5"/>
    <x v="10"/>
    <x v="2"/>
    <n v="2024"/>
    <m/>
  </r>
  <r>
    <x v="777"/>
    <d v="2024-11-14T00:00:00"/>
    <s v="Jeffrey Hull"/>
    <x v="4"/>
    <x v="3"/>
    <s v="Home Office"/>
    <x v="3"/>
    <x v="7"/>
    <n v="8"/>
    <n v="579.28"/>
    <n v="0.05"/>
    <x v="777"/>
    <n v="2288.94"/>
    <x v="777"/>
    <s v="Cash"/>
    <n v="2"/>
    <x v="11"/>
    <x v="3"/>
    <n v="2024"/>
    <m/>
  </r>
  <r>
    <x v="778"/>
    <d v="2024-08-23T00:00:00"/>
    <s v="Thomas Stephenson"/>
    <x v="0"/>
    <x v="0"/>
    <s v="Corporate"/>
    <x v="2"/>
    <x v="10"/>
    <n v="1"/>
    <n v="850.51"/>
    <n v="0.15"/>
    <x v="778"/>
    <n v="511.82"/>
    <x v="778"/>
    <s v="Mobile Payment"/>
    <n v="3"/>
    <x v="3"/>
    <x v="1"/>
    <n v="2024"/>
    <m/>
  </r>
  <r>
    <x v="779"/>
    <d v="2024-04-22T00:00:00"/>
    <s v="Jennifer Davis"/>
    <x v="1"/>
    <x v="0"/>
    <s v="Corporate"/>
    <x v="0"/>
    <x v="5"/>
    <n v="6"/>
    <n v="91.46"/>
    <n v="0.1"/>
    <x v="779"/>
    <n v="275.3"/>
    <x v="779"/>
    <s v="Cash"/>
    <n v="5"/>
    <x v="10"/>
    <x v="2"/>
    <n v="2024"/>
    <m/>
  </r>
  <r>
    <x v="780"/>
    <d v="2024-08-13T00:00:00"/>
    <s v="Brian Daniels"/>
    <x v="4"/>
    <x v="1"/>
    <s v="Home Office"/>
    <x v="0"/>
    <x v="5"/>
    <n v="11"/>
    <n v="798.16"/>
    <n v="0.1"/>
    <x v="780"/>
    <n v="4039.72"/>
    <x v="780"/>
    <s v="Card"/>
    <n v="4"/>
    <x v="3"/>
    <x v="1"/>
    <n v="2024"/>
    <m/>
  </r>
  <r>
    <x v="781"/>
    <d v="2024-03-03T00:00:00"/>
    <s v="Jaime Villa"/>
    <x v="2"/>
    <x v="0"/>
    <s v="Corporate"/>
    <x v="3"/>
    <x v="6"/>
    <n v="4"/>
    <n v="799.45"/>
    <n v="0.05"/>
    <x v="781"/>
    <n v="2454.83"/>
    <x v="781"/>
    <s v="Card"/>
    <n v="2"/>
    <x v="1"/>
    <x v="0"/>
    <n v="2024"/>
    <m/>
  </r>
  <r>
    <x v="782"/>
    <d v="2024-01-28T00:00:00"/>
    <s v="Cory Sanchez"/>
    <x v="1"/>
    <x v="1"/>
    <s v="Consumer"/>
    <x v="1"/>
    <x v="2"/>
    <n v="12"/>
    <n v="586.57000000000005"/>
    <n v="0"/>
    <x v="782"/>
    <n v="4482.25"/>
    <x v="271"/>
    <s v="Mobile Payment"/>
    <n v="5"/>
    <x v="0"/>
    <x v="0"/>
    <n v="2024"/>
    <m/>
  </r>
  <r>
    <x v="783"/>
    <d v="2024-07-08T00:00:00"/>
    <s v="Adam Scott"/>
    <x v="4"/>
    <x v="2"/>
    <s v="Corporate"/>
    <x v="1"/>
    <x v="12"/>
    <n v="4"/>
    <n v="454.08"/>
    <n v="0.05"/>
    <x v="783"/>
    <n v="887.59"/>
    <x v="782"/>
    <s v="Cash"/>
    <n v="2"/>
    <x v="7"/>
    <x v="1"/>
    <n v="2024"/>
    <m/>
  </r>
  <r>
    <x v="784"/>
    <d v="2024-12-26T00:00:00"/>
    <s v="Michael Watson"/>
    <x v="1"/>
    <x v="1"/>
    <s v="Corporate"/>
    <x v="2"/>
    <x v="9"/>
    <n v="11"/>
    <n v="631.44000000000005"/>
    <n v="0.1"/>
    <x v="784"/>
    <n v="4385.97"/>
    <x v="783"/>
    <s v="Mobile Payment"/>
    <n v="1"/>
    <x v="6"/>
    <x v="3"/>
    <n v="2024"/>
    <m/>
  </r>
  <r>
    <x v="785"/>
    <d v="2024-06-02T00:00:00"/>
    <s v="Maria Parker"/>
    <x v="1"/>
    <x v="4"/>
    <s v="Consumer"/>
    <x v="0"/>
    <x v="1"/>
    <n v="12"/>
    <n v="19.38"/>
    <n v="0.15"/>
    <x v="785"/>
    <n v="155.12"/>
    <x v="784"/>
    <s v="Mobile Payment"/>
    <n v="5"/>
    <x v="5"/>
    <x v="2"/>
    <n v="2024"/>
    <m/>
  </r>
  <r>
    <x v="786"/>
    <d v="2024-03-12T00:00:00"/>
    <s v="Nicholas Brown"/>
    <x v="0"/>
    <x v="0"/>
    <s v="Corporate"/>
    <x v="2"/>
    <x v="10"/>
    <n v="3"/>
    <n v="641.86"/>
    <n v="0"/>
    <x v="786"/>
    <n v="1354.69"/>
    <x v="785"/>
    <s v="Mobile Payment"/>
    <n v="1"/>
    <x v="1"/>
    <x v="0"/>
    <n v="2024"/>
    <m/>
  </r>
  <r>
    <x v="787"/>
    <d v="2024-03-30T00:00:00"/>
    <s v="Kevin White"/>
    <x v="0"/>
    <x v="0"/>
    <s v="Consumer"/>
    <x v="3"/>
    <x v="6"/>
    <n v="2"/>
    <n v="1188.01"/>
    <n v="0.1"/>
    <x v="787"/>
    <n v="1069.43"/>
    <x v="786"/>
    <s v="Mobile Payment"/>
    <n v="2"/>
    <x v="1"/>
    <x v="0"/>
    <n v="2024"/>
    <m/>
  </r>
  <r>
    <x v="788"/>
    <d v="2024-07-24T00:00:00"/>
    <s v="Anna Lucas"/>
    <x v="2"/>
    <x v="0"/>
    <s v="Corporate"/>
    <x v="1"/>
    <x v="3"/>
    <n v="7"/>
    <n v="17.13"/>
    <n v="0.1"/>
    <x v="788"/>
    <n v="90.92"/>
    <x v="787"/>
    <s v="Mobile Payment"/>
    <n v="2"/>
    <x v="7"/>
    <x v="1"/>
    <n v="2024"/>
    <m/>
  </r>
  <r>
    <x v="789"/>
    <d v="2024-12-16T00:00:00"/>
    <s v="Angela Bailey"/>
    <x v="4"/>
    <x v="3"/>
    <s v="Corporate"/>
    <x v="0"/>
    <x v="1"/>
    <n v="12"/>
    <n v="830.84"/>
    <n v="0.1"/>
    <x v="789"/>
    <n v="5572.77"/>
    <x v="788"/>
    <s v="Card"/>
    <n v="3"/>
    <x v="6"/>
    <x v="3"/>
    <n v="2024"/>
    <m/>
  </r>
  <r>
    <x v="790"/>
    <d v="2024-07-28T00:00:00"/>
    <s v="Paula Roth"/>
    <x v="4"/>
    <x v="2"/>
    <s v="Consumer"/>
    <x v="2"/>
    <x v="4"/>
    <n v="2"/>
    <n v="1061.7"/>
    <n v="0.15"/>
    <x v="790"/>
    <n v="1109.45"/>
    <x v="789"/>
    <s v="Card"/>
    <n v="3"/>
    <x v="7"/>
    <x v="1"/>
    <n v="2024"/>
    <m/>
  </r>
  <r>
    <x v="791"/>
    <d v="2024-07-12T00:00:00"/>
    <s v="Jeff Brown"/>
    <x v="2"/>
    <x v="3"/>
    <s v="Home Office"/>
    <x v="3"/>
    <x v="7"/>
    <n v="11"/>
    <n v="773.27"/>
    <n v="0.15"/>
    <x v="791"/>
    <n v="4084.9"/>
    <x v="790"/>
    <s v="Mobile Payment"/>
    <n v="1"/>
    <x v="7"/>
    <x v="1"/>
    <n v="2024"/>
    <m/>
  </r>
  <r>
    <x v="792"/>
    <d v="2024-03-04T00:00:00"/>
    <s v="Christopher Richardson"/>
    <x v="3"/>
    <x v="1"/>
    <s v="Home Office"/>
    <x v="1"/>
    <x v="3"/>
    <n v="9"/>
    <n v="40.42"/>
    <n v="0"/>
    <x v="792"/>
    <n v="259.7"/>
    <x v="791"/>
    <s v="Mobile Payment"/>
    <n v="4"/>
    <x v="1"/>
    <x v="0"/>
    <n v="2024"/>
    <m/>
  </r>
  <r>
    <x v="793"/>
    <d v="2024-10-08T00:00:00"/>
    <s v="Daniel Bryant"/>
    <x v="4"/>
    <x v="4"/>
    <s v="Consumer"/>
    <x v="1"/>
    <x v="3"/>
    <n v="7"/>
    <n v="422.54"/>
    <n v="0.15"/>
    <x v="793"/>
    <n v="1678.77"/>
    <x v="792"/>
    <s v="Transfer"/>
    <n v="2"/>
    <x v="8"/>
    <x v="3"/>
    <n v="2024"/>
    <m/>
  </r>
  <r>
    <x v="794"/>
    <d v="2024-03-03T00:00:00"/>
    <s v="Monica Burns"/>
    <x v="0"/>
    <x v="1"/>
    <s v="Corporate"/>
    <x v="3"/>
    <x v="8"/>
    <n v="2"/>
    <n v="1184.69"/>
    <n v="0.1"/>
    <x v="794"/>
    <n v="1807.98"/>
    <x v="793"/>
    <s v="Mobile Payment"/>
    <n v="2"/>
    <x v="1"/>
    <x v="0"/>
    <n v="2024"/>
    <m/>
  </r>
  <r>
    <x v="795"/>
    <d v="2024-01-21T00:00:00"/>
    <s v="Mallory Armstrong"/>
    <x v="0"/>
    <x v="2"/>
    <s v="Home Office"/>
    <x v="1"/>
    <x v="12"/>
    <n v="5"/>
    <n v="50.01"/>
    <n v="0.05"/>
    <x v="795"/>
    <n v="180.45"/>
    <x v="794"/>
    <s v="Cash"/>
    <n v="4"/>
    <x v="0"/>
    <x v="0"/>
    <n v="2024"/>
    <m/>
  </r>
  <r>
    <x v="796"/>
    <d v="2024-05-16T00:00:00"/>
    <s v="Kaitlyn Dougherty"/>
    <x v="1"/>
    <x v="4"/>
    <s v="Corporate"/>
    <x v="1"/>
    <x v="12"/>
    <n v="3"/>
    <n v="740.15"/>
    <n v="0.15"/>
    <x v="796"/>
    <n v="1262.94"/>
    <x v="795"/>
    <s v="Mobile Payment"/>
    <n v="1"/>
    <x v="9"/>
    <x v="2"/>
    <n v="2024"/>
    <m/>
  </r>
  <r>
    <x v="797"/>
    <d v="2024-08-28T00:00:00"/>
    <s v="Jack Kelly II"/>
    <x v="3"/>
    <x v="0"/>
    <s v="Home Office"/>
    <x v="0"/>
    <x v="1"/>
    <n v="7"/>
    <n v="134.91999999999999"/>
    <n v="0.15"/>
    <x v="797"/>
    <n v="455.62"/>
    <x v="796"/>
    <s v="Card"/>
    <n v="2"/>
    <x v="3"/>
    <x v="1"/>
    <n v="2024"/>
    <m/>
  </r>
  <r>
    <x v="798"/>
    <d v="2024-05-09T00:00:00"/>
    <s v="Samantha Weber"/>
    <x v="2"/>
    <x v="4"/>
    <s v="Corporate"/>
    <x v="2"/>
    <x v="4"/>
    <n v="1"/>
    <n v="722.7"/>
    <n v="0.15"/>
    <x v="798"/>
    <n v="349.97"/>
    <x v="797"/>
    <s v="Mobile Payment"/>
    <n v="3"/>
    <x v="9"/>
    <x v="2"/>
    <n v="2024"/>
    <m/>
  </r>
  <r>
    <x v="799"/>
    <d v="2024-12-22T00:00:00"/>
    <s v="Pamela Miller"/>
    <x v="4"/>
    <x v="3"/>
    <s v="Corporate"/>
    <x v="3"/>
    <x v="7"/>
    <n v="1"/>
    <n v="283.89"/>
    <n v="0.15"/>
    <x v="799"/>
    <n v="128.85"/>
    <x v="798"/>
    <s v="Transfer"/>
    <n v="3"/>
    <x v="6"/>
    <x v="3"/>
    <n v="2024"/>
    <m/>
  </r>
  <r>
    <x v="800"/>
    <d v="2024-03-29T00:00:00"/>
    <s v="Craig Clay"/>
    <x v="1"/>
    <x v="4"/>
    <s v="Corporate"/>
    <x v="3"/>
    <x v="8"/>
    <n v="5"/>
    <n v="726.78"/>
    <n v="0.05"/>
    <x v="800"/>
    <n v="2448.4899999999998"/>
    <x v="799"/>
    <s v="Mobile Payment"/>
    <n v="1"/>
    <x v="1"/>
    <x v="0"/>
    <n v="2024"/>
    <m/>
  </r>
  <r>
    <x v="801"/>
    <d v="2024-11-08T00:00:00"/>
    <s v="Lauren Wilson"/>
    <x v="3"/>
    <x v="4"/>
    <s v="Corporate"/>
    <x v="1"/>
    <x v="3"/>
    <n v="6"/>
    <n v="1067.54"/>
    <n v="0.15"/>
    <x v="801"/>
    <n v="2931.17"/>
    <x v="800"/>
    <s v="Transfer"/>
    <n v="1"/>
    <x v="11"/>
    <x v="3"/>
    <n v="2024"/>
    <m/>
  </r>
  <r>
    <x v="802"/>
    <d v="2024-10-03T00:00:00"/>
    <s v="Kathy Cantrell"/>
    <x v="3"/>
    <x v="4"/>
    <s v="Consumer"/>
    <x v="2"/>
    <x v="9"/>
    <n v="4"/>
    <n v="348.04"/>
    <n v="0.1"/>
    <x v="802"/>
    <n v="764.32"/>
    <x v="801"/>
    <s v="Card"/>
    <n v="4"/>
    <x v="8"/>
    <x v="3"/>
    <n v="2024"/>
    <m/>
  </r>
  <r>
    <x v="803"/>
    <d v="2024-07-30T00:00:00"/>
    <s v="Gregory Gordon"/>
    <x v="1"/>
    <x v="1"/>
    <s v="Corporate"/>
    <x v="1"/>
    <x v="12"/>
    <n v="8"/>
    <n v="409.45"/>
    <n v="0.05"/>
    <x v="803"/>
    <n v="2068.02"/>
    <x v="802"/>
    <s v="Transfer"/>
    <n v="2"/>
    <x v="7"/>
    <x v="1"/>
    <n v="2024"/>
    <m/>
  </r>
  <r>
    <x v="804"/>
    <d v="2024-11-14T00:00:00"/>
    <s v="Molly Allen"/>
    <x v="4"/>
    <x v="3"/>
    <s v="Home Office"/>
    <x v="3"/>
    <x v="6"/>
    <n v="12"/>
    <n v="935.43"/>
    <n v="0.15"/>
    <x v="804"/>
    <n v="8079.17"/>
    <x v="803"/>
    <s v="Mobile Payment"/>
    <n v="1"/>
    <x v="11"/>
    <x v="3"/>
    <n v="2024"/>
    <m/>
  </r>
  <r>
    <x v="805"/>
    <d v="2024-12-07T00:00:00"/>
    <s v="Dylan Lopez"/>
    <x v="2"/>
    <x v="2"/>
    <s v="Corporate"/>
    <x v="3"/>
    <x v="7"/>
    <n v="4"/>
    <n v="387.31"/>
    <n v="0.1"/>
    <x v="805"/>
    <n v="777.35"/>
    <x v="804"/>
    <s v="Cash"/>
    <n v="3"/>
    <x v="6"/>
    <x v="3"/>
    <n v="2024"/>
    <m/>
  </r>
  <r>
    <x v="806"/>
    <d v="2024-08-16T00:00:00"/>
    <s v="Terri Smith"/>
    <x v="0"/>
    <x v="3"/>
    <s v="Corporate"/>
    <x v="1"/>
    <x v="2"/>
    <n v="7"/>
    <n v="1020.22"/>
    <n v="0.15"/>
    <x v="806"/>
    <n v="4589.47"/>
    <x v="805"/>
    <s v="Card"/>
    <n v="2"/>
    <x v="3"/>
    <x v="1"/>
    <n v="2024"/>
    <m/>
  </r>
  <r>
    <x v="807"/>
    <d v="2024-06-21T00:00:00"/>
    <s v="Jessica Lopez"/>
    <x v="4"/>
    <x v="0"/>
    <s v="Consumer"/>
    <x v="3"/>
    <x v="7"/>
    <n v="4"/>
    <n v="241.73"/>
    <n v="0.1"/>
    <x v="807"/>
    <n v="539.33000000000004"/>
    <x v="806"/>
    <s v="Cash"/>
    <n v="2"/>
    <x v="5"/>
    <x v="2"/>
    <n v="2024"/>
    <m/>
  </r>
  <r>
    <x v="808"/>
    <d v="2024-02-24T00:00:00"/>
    <s v="Dana Mata"/>
    <x v="0"/>
    <x v="0"/>
    <s v="Home Office"/>
    <x v="2"/>
    <x v="10"/>
    <n v="2"/>
    <n v="481.19"/>
    <n v="0.15"/>
    <x v="808"/>
    <n v="672.08"/>
    <x v="807"/>
    <s v="Card"/>
    <n v="2"/>
    <x v="4"/>
    <x v="0"/>
    <n v="2024"/>
    <m/>
  </r>
  <r>
    <x v="809"/>
    <d v="2024-10-09T00:00:00"/>
    <s v="Howard Sherman"/>
    <x v="3"/>
    <x v="1"/>
    <s v="Home Office"/>
    <x v="3"/>
    <x v="8"/>
    <n v="8"/>
    <n v="310.11"/>
    <n v="0.05"/>
    <x v="809"/>
    <n v="1895.11"/>
    <x v="808"/>
    <s v="Card"/>
    <n v="3"/>
    <x v="8"/>
    <x v="3"/>
    <n v="2024"/>
    <m/>
  </r>
  <r>
    <x v="810"/>
    <d v="2024-10-27T00:00:00"/>
    <s v="Ariel Chavez"/>
    <x v="0"/>
    <x v="3"/>
    <s v="Home Office"/>
    <x v="3"/>
    <x v="8"/>
    <n v="6"/>
    <n v="948.57"/>
    <n v="0"/>
    <x v="810"/>
    <n v="3038.08"/>
    <x v="809"/>
    <s v="Cash"/>
    <n v="2"/>
    <x v="8"/>
    <x v="3"/>
    <n v="2024"/>
    <m/>
  </r>
  <r>
    <x v="811"/>
    <d v="2024-05-12T00:00:00"/>
    <s v="Daniel Miller"/>
    <x v="2"/>
    <x v="4"/>
    <s v="Consumer"/>
    <x v="0"/>
    <x v="11"/>
    <n v="8"/>
    <n v="614.16"/>
    <n v="0.15"/>
    <x v="811"/>
    <n v="2167.7800000000002"/>
    <x v="810"/>
    <s v="Transfer"/>
    <n v="4"/>
    <x v="9"/>
    <x v="2"/>
    <n v="2024"/>
    <m/>
  </r>
  <r>
    <x v="812"/>
    <d v="2024-09-12T00:00:00"/>
    <s v="Eric West"/>
    <x v="1"/>
    <x v="3"/>
    <s v="Home Office"/>
    <x v="2"/>
    <x v="4"/>
    <n v="2"/>
    <n v="1051.08"/>
    <n v="0.05"/>
    <x v="812"/>
    <n v="1103.58"/>
    <x v="811"/>
    <s v="Mobile Payment"/>
    <n v="5"/>
    <x v="2"/>
    <x v="1"/>
    <n v="2024"/>
    <m/>
  </r>
  <r>
    <x v="813"/>
    <d v="2024-02-27T00:00:00"/>
    <s v="Jamie Parker"/>
    <x v="2"/>
    <x v="2"/>
    <s v="Consumer"/>
    <x v="0"/>
    <x v="0"/>
    <n v="1"/>
    <n v="558.87"/>
    <n v="0.05"/>
    <x v="813"/>
    <n v="373.35"/>
    <x v="812"/>
    <s v="Card"/>
    <n v="3"/>
    <x v="4"/>
    <x v="0"/>
    <n v="2024"/>
    <m/>
  </r>
  <r>
    <x v="814"/>
    <d v="2024-12-15T00:00:00"/>
    <s v="Jeremy Kirk"/>
    <x v="3"/>
    <x v="3"/>
    <s v="Home Office"/>
    <x v="0"/>
    <x v="0"/>
    <n v="3"/>
    <n v="498.18"/>
    <n v="0.05"/>
    <x v="814"/>
    <n v="758.41"/>
    <x v="813"/>
    <s v="Transfer"/>
    <n v="5"/>
    <x v="6"/>
    <x v="3"/>
    <n v="2024"/>
    <m/>
  </r>
  <r>
    <x v="815"/>
    <d v="2024-12-05T00:00:00"/>
    <s v="Patricia Johnson"/>
    <x v="0"/>
    <x v="3"/>
    <s v="Corporate"/>
    <x v="2"/>
    <x v="9"/>
    <n v="11"/>
    <n v="1011.39"/>
    <n v="0.1"/>
    <x v="815"/>
    <n v="5869.97"/>
    <x v="814"/>
    <s v="Transfer"/>
    <n v="5"/>
    <x v="6"/>
    <x v="3"/>
    <n v="2024"/>
    <m/>
  </r>
  <r>
    <x v="816"/>
    <d v="2024-07-12T00:00:00"/>
    <s v="Chad Russell"/>
    <x v="0"/>
    <x v="4"/>
    <s v="Home Office"/>
    <x v="0"/>
    <x v="11"/>
    <n v="1"/>
    <n v="944.86"/>
    <n v="0.15"/>
    <x v="816"/>
    <n v="472.57"/>
    <x v="815"/>
    <s v="Cash"/>
    <n v="2"/>
    <x v="7"/>
    <x v="1"/>
    <n v="2024"/>
    <m/>
  </r>
  <r>
    <x v="817"/>
    <d v="2024-02-22T00:00:00"/>
    <s v="Jeffery Chen"/>
    <x v="2"/>
    <x v="2"/>
    <s v="Corporate"/>
    <x v="0"/>
    <x v="1"/>
    <n v="8"/>
    <n v="310.89999999999998"/>
    <n v="0"/>
    <x v="817"/>
    <n v="1982.78"/>
    <x v="816"/>
    <s v="Mobile Payment"/>
    <n v="3"/>
    <x v="4"/>
    <x v="0"/>
    <n v="2024"/>
    <m/>
  </r>
  <r>
    <x v="818"/>
    <d v="2024-08-02T00:00:00"/>
    <s v="Jorge Herman"/>
    <x v="3"/>
    <x v="1"/>
    <s v="Consumer"/>
    <x v="3"/>
    <x v="7"/>
    <n v="12"/>
    <n v="462.94"/>
    <n v="0.05"/>
    <x v="818"/>
    <n v="3929.55"/>
    <x v="817"/>
    <s v="Mobile Payment"/>
    <n v="5"/>
    <x v="3"/>
    <x v="1"/>
    <n v="2024"/>
    <m/>
  </r>
  <r>
    <x v="819"/>
    <d v="2024-06-13T00:00:00"/>
    <s v="Charles Davis"/>
    <x v="2"/>
    <x v="4"/>
    <s v="Home Office"/>
    <x v="1"/>
    <x v="2"/>
    <n v="5"/>
    <n v="595.84"/>
    <n v="0.15"/>
    <x v="819"/>
    <n v="1927.06"/>
    <x v="818"/>
    <s v="Card"/>
    <n v="3"/>
    <x v="5"/>
    <x v="2"/>
    <n v="2024"/>
    <m/>
  </r>
  <r>
    <x v="820"/>
    <d v="2024-11-06T00:00:00"/>
    <s v="Molly Benson"/>
    <x v="4"/>
    <x v="3"/>
    <s v="Corporate"/>
    <x v="0"/>
    <x v="1"/>
    <n v="9"/>
    <n v="959.07"/>
    <n v="0.05"/>
    <x v="820"/>
    <n v="6422.95"/>
    <x v="819"/>
    <s v="Transfer"/>
    <n v="4"/>
    <x v="11"/>
    <x v="3"/>
    <n v="2024"/>
    <m/>
  </r>
  <r>
    <x v="821"/>
    <d v="2024-07-08T00:00:00"/>
    <s v="Peter Perez"/>
    <x v="3"/>
    <x v="1"/>
    <s v="Home Office"/>
    <x v="0"/>
    <x v="5"/>
    <n v="9"/>
    <n v="1154.4000000000001"/>
    <n v="0"/>
    <x v="821"/>
    <n v="8712.0400000000009"/>
    <x v="820"/>
    <s v="Cash"/>
    <n v="2"/>
    <x v="7"/>
    <x v="1"/>
    <n v="2024"/>
    <m/>
  </r>
  <r>
    <x v="822"/>
    <d v="2024-04-03T00:00:00"/>
    <s v="Stephanie Stewart"/>
    <x v="4"/>
    <x v="2"/>
    <s v="Consumer"/>
    <x v="1"/>
    <x v="2"/>
    <n v="11"/>
    <n v="459.58"/>
    <n v="0.15"/>
    <x v="822"/>
    <n v="2895.73"/>
    <x v="821"/>
    <s v="Mobile Payment"/>
    <n v="3"/>
    <x v="10"/>
    <x v="2"/>
    <n v="2024"/>
    <m/>
  </r>
  <r>
    <x v="823"/>
    <d v="2024-09-20T00:00:00"/>
    <s v="Kevin Anderson"/>
    <x v="1"/>
    <x v="4"/>
    <s v="Consumer"/>
    <x v="1"/>
    <x v="2"/>
    <n v="12"/>
    <n v="258.45999999999998"/>
    <n v="0.05"/>
    <x v="823"/>
    <n v="2021.07"/>
    <x v="822"/>
    <s v="Cash"/>
    <n v="5"/>
    <x v="2"/>
    <x v="1"/>
    <n v="2024"/>
    <m/>
  </r>
  <r>
    <x v="824"/>
    <d v="2024-02-05T00:00:00"/>
    <s v="Taylor Sanchez"/>
    <x v="0"/>
    <x v="3"/>
    <s v="Corporate"/>
    <x v="0"/>
    <x v="0"/>
    <n v="7"/>
    <n v="435.28"/>
    <n v="0"/>
    <x v="824"/>
    <n v="2288.7800000000002"/>
    <x v="823"/>
    <s v="Transfer"/>
    <n v="1"/>
    <x v="4"/>
    <x v="0"/>
    <n v="2024"/>
    <m/>
  </r>
  <r>
    <x v="825"/>
    <d v="2024-09-20T00:00:00"/>
    <s v="Shane Russell"/>
    <x v="1"/>
    <x v="3"/>
    <s v="Consumer"/>
    <x v="1"/>
    <x v="2"/>
    <n v="5"/>
    <n v="675"/>
    <n v="0.15"/>
    <x v="825"/>
    <n v="1542.88"/>
    <x v="824"/>
    <s v="Card"/>
    <n v="2"/>
    <x v="2"/>
    <x v="1"/>
    <n v="2024"/>
    <m/>
  </r>
  <r>
    <x v="826"/>
    <d v="2024-06-15T00:00:00"/>
    <s v="Dana Thompson"/>
    <x v="0"/>
    <x v="0"/>
    <s v="Consumer"/>
    <x v="1"/>
    <x v="2"/>
    <n v="12"/>
    <n v="1035.3399999999999"/>
    <n v="0.1"/>
    <x v="826"/>
    <n v="6340.16"/>
    <x v="825"/>
    <s v="Transfer"/>
    <n v="4"/>
    <x v="5"/>
    <x v="2"/>
    <n v="2024"/>
    <m/>
  </r>
  <r>
    <x v="827"/>
    <d v="2024-03-02T00:00:00"/>
    <s v="Lisa Lyons"/>
    <x v="4"/>
    <x v="4"/>
    <s v="Consumer"/>
    <x v="2"/>
    <x v="10"/>
    <n v="4"/>
    <n v="1054.78"/>
    <n v="0.1"/>
    <x v="827"/>
    <n v="2564.4299999999998"/>
    <x v="826"/>
    <s v="Cash"/>
    <n v="2"/>
    <x v="1"/>
    <x v="0"/>
    <n v="2024"/>
    <m/>
  </r>
  <r>
    <x v="828"/>
    <d v="2024-10-09T00:00:00"/>
    <s v="Victoria Wilson"/>
    <x v="3"/>
    <x v="3"/>
    <s v="Home Office"/>
    <x v="3"/>
    <x v="7"/>
    <n v="8"/>
    <n v="74.510000000000005"/>
    <n v="0.15"/>
    <x v="828"/>
    <n v="254.78"/>
    <x v="827"/>
    <s v="Transfer"/>
    <n v="1"/>
    <x v="8"/>
    <x v="3"/>
    <n v="2024"/>
    <m/>
  </r>
  <r>
    <x v="829"/>
    <d v="2024-09-09T00:00:00"/>
    <s v="Richard Perez"/>
    <x v="3"/>
    <x v="2"/>
    <s v="Consumer"/>
    <x v="3"/>
    <x v="6"/>
    <n v="3"/>
    <n v="748.56"/>
    <n v="0"/>
    <x v="829"/>
    <n v="1413.76"/>
    <x v="828"/>
    <s v="Mobile Payment"/>
    <n v="4"/>
    <x v="2"/>
    <x v="1"/>
    <n v="2024"/>
    <m/>
  </r>
  <r>
    <x v="830"/>
    <d v="2024-08-25T00:00:00"/>
    <s v="Michele Douglas"/>
    <x v="1"/>
    <x v="0"/>
    <s v="Consumer"/>
    <x v="3"/>
    <x v="7"/>
    <n v="11"/>
    <n v="139.77000000000001"/>
    <n v="0.05"/>
    <x v="830"/>
    <n v="775.78"/>
    <x v="829"/>
    <s v="Card"/>
    <n v="2"/>
    <x v="3"/>
    <x v="1"/>
    <n v="2024"/>
    <m/>
  </r>
  <r>
    <x v="831"/>
    <d v="2024-07-11T00:00:00"/>
    <s v="Virginia Holmes"/>
    <x v="3"/>
    <x v="2"/>
    <s v="Consumer"/>
    <x v="2"/>
    <x v="9"/>
    <n v="1"/>
    <n v="409.87"/>
    <n v="0.15"/>
    <x v="831"/>
    <n v="254.23"/>
    <x v="830"/>
    <s v="Mobile Payment"/>
    <n v="1"/>
    <x v="7"/>
    <x v="1"/>
    <n v="2024"/>
    <m/>
  </r>
  <r>
    <x v="832"/>
    <d v="2024-05-14T00:00:00"/>
    <s v="April Shaw"/>
    <x v="3"/>
    <x v="3"/>
    <s v="Home Office"/>
    <x v="0"/>
    <x v="5"/>
    <n v="1"/>
    <n v="438.95"/>
    <n v="0.1"/>
    <x v="832"/>
    <n v="306.83999999999997"/>
    <x v="831"/>
    <s v="Mobile Payment"/>
    <n v="3"/>
    <x v="9"/>
    <x v="2"/>
    <n v="2024"/>
    <m/>
  </r>
  <r>
    <x v="833"/>
    <d v="2024-08-12T00:00:00"/>
    <s v="Mitchell Carson"/>
    <x v="3"/>
    <x v="3"/>
    <s v="Home Office"/>
    <x v="0"/>
    <x v="11"/>
    <n v="6"/>
    <n v="218.38"/>
    <n v="0.15"/>
    <x v="833"/>
    <n v="858.24"/>
    <x v="832"/>
    <s v="Cash"/>
    <n v="3"/>
    <x v="3"/>
    <x v="1"/>
    <n v="2024"/>
    <m/>
  </r>
  <r>
    <x v="834"/>
    <d v="2024-03-14T00:00:00"/>
    <s v="Michael Morrison"/>
    <x v="2"/>
    <x v="2"/>
    <s v="Consumer"/>
    <x v="3"/>
    <x v="7"/>
    <n v="8"/>
    <n v="456.56"/>
    <n v="0.15"/>
    <x v="834"/>
    <n v="1648.15"/>
    <x v="833"/>
    <s v="Card"/>
    <n v="2"/>
    <x v="1"/>
    <x v="0"/>
    <n v="2024"/>
    <m/>
  </r>
  <r>
    <x v="835"/>
    <d v="2024-02-21T00:00:00"/>
    <s v="Rebecca Lopez"/>
    <x v="2"/>
    <x v="4"/>
    <s v="Consumer"/>
    <x v="2"/>
    <x v="9"/>
    <n v="3"/>
    <n v="264.41000000000003"/>
    <n v="0"/>
    <x v="835"/>
    <n v="533.12"/>
    <x v="834"/>
    <s v="Transfer"/>
    <n v="1"/>
    <x v="4"/>
    <x v="0"/>
    <n v="2024"/>
    <m/>
  </r>
  <r>
    <x v="836"/>
    <d v="2024-02-15T00:00:00"/>
    <s v="Jonathan Pineda"/>
    <x v="2"/>
    <x v="2"/>
    <s v="Corporate"/>
    <x v="3"/>
    <x v="8"/>
    <n v="8"/>
    <n v="597.41"/>
    <n v="0"/>
    <x v="836"/>
    <n v="3008.32"/>
    <x v="835"/>
    <s v="Transfer"/>
    <n v="2"/>
    <x v="4"/>
    <x v="0"/>
    <n v="2024"/>
    <m/>
  </r>
  <r>
    <x v="837"/>
    <d v="2024-12-28T00:00:00"/>
    <s v="Tina Powers"/>
    <x v="0"/>
    <x v="1"/>
    <s v="Consumer"/>
    <x v="2"/>
    <x v="4"/>
    <n v="3"/>
    <n v="432.87"/>
    <n v="0.15"/>
    <x v="837"/>
    <n v="582.66999999999996"/>
    <x v="836"/>
    <s v="Card"/>
    <n v="1"/>
    <x v="6"/>
    <x v="3"/>
    <n v="2024"/>
    <m/>
  </r>
  <r>
    <x v="838"/>
    <d v="2024-09-29T00:00:00"/>
    <s v="Joshua Gonzalez"/>
    <x v="2"/>
    <x v="4"/>
    <s v="Consumer"/>
    <x v="0"/>
    <x v="5"/>
    <n v="4"/>
    <n v="493.51"/>
    <n v="0.05"/>
    <x v="838"/>
    <n v="951.2"/>
    <x v="837"/>
    <s v="Transfer"/>
    <n v="3"/>
    <x v="2"/>
    <x v="1"/>
    <n v="2024"/>
    <m/>
  </r>
  <r>
    <x v="839"/>
    <d v="2024-01-21T00:00:00"/>
    <s v="Emily Greene DDS"/>
    <x v="0"/>
    <x v="2"/>
    <s v="Home Office"/>
    <x v="1"/>
    <x v="2"/>
    <n v="3"/>
    <n v="105.73"/>
    <n v="0"/>
    <x v="839"/>
    <n v="243.7"/>
    <x v="838"/>
    <s v="Card"/>
    <n v="1"/>
    <x v="0"/>
    <x v="0"/>
    <n v="2024"/>
    <m/>
  </r>
  <r>
    <x v="840"/>
    <d v="2024-01-01T00:00:00"/>
    <s v="Kyle Giles DVM"/>
    <x v="2"/>
    <x v="3"/>
    <s v="Corporate"/>
    <x v="2"/>
    <x v="9"/>
    <n v="11"/>
    <n v="1051.6600000000001"/>
    <n v="0.05"/>
    <x v="840"/>
    <n v="7826.01"/>
    <x v="839"/>
    <s v="Cash"/>
    <n v="2"/>
    <x v="0"/>
    <x v="0"/>
    <n v="2024"/>
    <m/>
  </r>
  <r>
    <x v="841"/>
    <d v="2024-11-18T00:00:00"/>
    <s v="Elizabeth Alvarado"/>
    <x v="1"/>
    <x v="4"/>
    <s v="Home Office"/>
    <x v="1"/>
    <x v="2"/>
    <n v="6"/>
    <n v="216.98"/>
    <n v="0.05"/>
    <x v="841"/>
    <n v="826.89"/>
    <x v="840"/>
    <s v="Cash"/>
    <n v="2"/>
    <x v="11"/>
    <x v="3"/>
    <n v="2024"/>
    <m/>
  </r>
  <r>
    <x v="842"/>
    <d v="2024-01-16T00:00:00"/>
    <s v="Mr. Christopher Johnson"/>
    <x v="2"/>
    <x v="3"/>
    <s v="Home Office"/>
    <x v="0"/>
    <x v="1"/>
    <n v="6"/>
    <n v="794.04"/>
    <n v="0.1"/>
    <x v="842"/>
    <n v="2866.28"/>
    <x v="841"/>
    <s v="Cash"/>
    <n v="4"/>
    <x v="0"/>
    <x v="0"/>
    <n v="2024"/>
    <m/>
  </r>
  <r>
    <x v="843"/>
    <d v="2024-11-14T00:00:00"/>
    <s v="Katherine Fisher"/>
    <x v="3"/>
    <x v="2"/>
    <s v="Corporate"/>
    <x v="3"/>
    <x v="8"/>
    <n v="12"/>
    <n v="285.89999999999998"/>
    <n v="0.05"/>
    <x v="843"/>
    <n v="2022.78"/>
    <x v="842"/>
    <s v="Cash"/>
    <n v="5"/>
    <x v="11"/>
    <x v="3"/>
    <n v="2024"/>
    <m/>
  </r>
  <r>
    <x v="844"/>
    <d v="2024-03-03T00:00:00"/>
    <s v="Makayla Riddle"/>
    <x v="4"/>
    <x v="2"/>
    <s v="Home Office"/>
    <x v="2"/>
    <x v="4"/>
    <n v="12"/>
    <n v="1125.4100000000001"/>
    <n v="0.1"/>
    <x v="844"/>
    <n v="7974.06"/>
    <x v="843"/>
    <s v="Cash"/>
    <n v="5"/>
    <x v="1"/>
    <x v="0"/>
    <n v="2024"/>
    <m/>
  </r>
  <r>
    <x v="845"/>
    <d v="2024-05-15T00:00:00"/>
    <s v="Sheila Huffman"/>
    <x v="0"/>
    <x v="0"/>
    <s v="Home Office"/>
    <x v="1"/>
    <x v="3"/>
    <n v="1"/>
    <n v="1060.48"/>
    <n v="0.1"/>
    <x v="845"/>
    <n v="644.57000000000005"/>
    <x v="844"/>
    <s v="Transfer"/>
    <n v="2"/>
    <x v="9"/>
    <x v="2"/>
    <n v="2024"/>
    <m/>
  </r>
  <r>
    <x v="846"/>
    <d v="2024-04-10T00:00:00"/>
    <s v="Christopher Johnson"/>
    <x v="1"/>
    <x v="0"/>
    <s v="Corporate"/>
    <x v="1"/>
    <x v="12"/>
    <n v="3"/>
    <n v="596.6"/>
    <n v="0.15"/>
    <x v="846"/>
    <n v="1070.73"/>
    <x v="845"/>
    <s v="Transfer"/>
    <n v="1"/>
    <x v="10"/>
    <x v="2"/>
    <n v="2024"/>
    <m/>
  </r>
  <r>
    <x v="847"/>
    <d v="2024-09-19T00:00:00"/>
    <s v="Matthew Nicholson"/>
    <x v="3"/>
    <x v="2"/>
    <s v="Consumer"/>
    <x v="2"/>
    <x v="4"/>
    <n v="9"/>
    <n v="126.83"/>
    <n v="0.05"/>
    <x v="847"/>
    <n v="904.46"/>
    <x v="846"/>
    <s v="Mobile Payment"/>
    <n v="2"/>
    <x v="2"/>
    <x v="1"/>
    <n v="2024"/>
    <m/>
  </r>
  <r>
    <x v="848"/>
    <d v="2024-01-06T00:00:00"/>
    <s v="Sabrina Green"/>
    <x v="0"/>
    <x v="4"/>
    <s v="Home Office"/>
    <x v="3"/>
    <x v="7"/>
    <n v="10"/>
    <n v="329.59"/>
    <n v="0.1"/>
    <x v="848"/>
    <n v="1902.34"/>
    <x v="847"/>
    <s v="Card"/>
    <n v="3"/>
    <x v="0"/>
    <x v="0"/>
    <n v="2024"/>
    <m/>
  </r>
  <r>
    <x v="849"/>
    <d v="2024-08-19T00:00:00"/>
    <s v="Patricia Brown"/>
    <x v="1"/>
    <x v="1"/>
    <s v="Corporate"/>
    <x v="0"/>
    <x v="0"/>
    <n v="8"/>
    <n v="749.75"/>
    <n v="0.05"/>
    <x v="849"/>
    <n v="3300.92"/>
    <x v="848"/>
    <s v="Mobile Payment"/>
    <n v="4"/>
    <x v="3"/>
    <x v="1"/>
    <n v="2024"/>
    <m/>
  </r>
  <r>
    <x v="850"/>
    <d v="2024-11-22T00:00:00"/>
    <s v="Terry Ramos MD"/>
    <x v="4"/>
    <x v="4"/>
    <s v="Home Office"/>
    <x v="1"/>
    <x v="3"/>
    <n v="3"/>
    <n v="569.11"/>
    <n v="0"/>
    <x v="850"/>
    <n v="1134.2"/>
    <x v="849"/>
    <s v="Card"/>
    <n v="3"/>
    <x v="11"/>
    <x v="3"/>
    <n v="2024"/>
    <m/>
  </r>
  <r>
    <x v="851"/>
    <d v="2024-11-19T00:00:00"/>
    <s v="Kyle Murphy"/>
    <x v="2"/>
    <x v="3"/>
    <s v="Corporate"/>
    <x v="0"/>
    <x v="5"/>
    <n v="4"/>
    <n v="330.08"/>
    <n v="0.15"/>
    <x v="851"/>
    <n v="908.14"/>
    <x v="850"/>
    <s v="Mobile Payment"/>
    <n v="4"/>
    <x v="11"/>
    <x v="3"/>
    <n v="2024"/>
    <m/>
  </r>
  <r>
    <x v="852"/>
    <d v="2024-09-02T00:00:00"/>
    <s v="Ryan Johnson"/>
    <x v="0"/>
    <x v="0"/>
    <s v="Home Office"/>
    <x v="0"/>
    <x v="11"/>
    <n v="11"/>
    <n v="830.68"/>
    <n v="0.1"/>
    <x v="852"/>
    <n v="4160.8999999999996"/>
    <x v="851"/>
    <s v="Transfer"/>
    <n v="3"/>
    <x v="2"/>
    <x v="1"/>
    <n v="2024"/>
    <m/>
  </r>
  <r>
    <x v="853"/>
    <d v="2024-08-26T00:00:00"/>
    <s v="William Bean"/>
    <x v="4"/>
    <x v="1"/>
    <s v="Home Office"/>
    <x v="3"/>
    <x v="7"/>
    <n v="4"/>
    <n v="356.96"/>
    <n v="0.15"/>
    <x v="853"/>
    <n v="623.83000000000004"/>
    <x v="852"/>
    <s v="Mobile Payment"/>
    <n v="4"/>
    <x v="3"/>
    <x v="1"/>
    <n v="2024"/>
    <m/>
  </r>
  <r>
    <x v="854"/>
    <d v="2024-08-18T00:00:00"/>
    <s v="Christopher Rogers"/>
    <x v="1"/>
    <x v="4"/>
    <s v="Corporate"/>
    <x v="1"/>
    <x v="12"/>
    <n v="8"/>
    <n v="284.66000000000003"/>
    <n v="0"/>
    <x v="854"/>
    <n v="1715.01"/>
    <x v="853"/>
    <s v="Mobile Payment"/>
    <n v="4"/>
    <x v="3"/>
    <x v="1"/>
    <n v="2024"/>
    <m/>
  </r>
  <r>
    <x v="855"/>
    <d v="2024-09-05T00:00:00"/>
    <s v="John Montoya"/>
    <x v="4"/>
    <x v="0"/>
    <s v="Home Office"/>
    <x v="3"/>
    <x v="6"/>
    <n v="10"/>
    <n v="468.7"/>
    <n v="0.15"/>
    <x v="855"/>
    <n v="2757.89"/>
    <x v="854"/>
    <s v="Transfer"/>
    <n v="4"/>
    <x v="2"/>
    <x v="1"/>
    <n v="2024"/>
    <m/>
  </r>
  <r>
    <x v="856"/>
    <d v="2024-06-30T00:00:00"/>
    <s v="Nathan Gutierrez"/>
    <x v="2"/>
    <x v="0"/>
    <s v="Home Office"/>
    <x v="0"/>
    <x v="0"/>
    <n v="2"/>
    <n v="231.37"/>
    <n v="0.05"/>
    <x v="856"/>
    <n v="288.06"/>
    <x v="855"/>
    <s v="Card"/>
    <n v="3"/>
    <x v="5"/>
    <x v="2"/>
    <n v="2024"/>
    <m/>
  </r>
  <r>
    <x v="857"/>
    <d v="2024-06-27T00:00:00"/>
    <s v="Mike Ball"/>
    <x v="4"/>
    <x v="3"/>
    <s v="Consumer"/>
    <x v="1"/>
    <x v="3"/>
    <n v="8"/>
    <n v="1141.32"/>
    <n v="0"/>
    <x v="857"/>
    <n v="6565.11"/>
    <x v="856"/>
    <s v="Cash"/>
    <n v="2"/>
    <x v="5"/>
    <x v="2"/>
    <n v="2024"/>
    <m/>
  </r>
  <r>
    <x v="858"/>
    <d v="2024-05-06T00:00:00"/>
    <s v="Jessica Delgado"/>
    <x v="2"/>
    <x v="2"/>
    <s v="Corporate"/>
    <x v="0"/>
    <x v="0"/>
    <n v="3"/>
    <n v="409.13"/>
    <n v="0.05"/>
    <x v="858"/>
    <n v="659.1"/>
    <x v="857"/>
    <s v="Mobile Payment"/>
    <n v="1"/>
    <x v="9"/>
    <x v="2"/>
    <n v="2024"/>
    <m/>
  </r>
  <r>
    <x v="859"/>
    <d v="2024-01-24T00:00:00"/>
    <s v="Richard Carrillo"/>
    <x v="4"/>
    <x v="1"/>
    <s v="Corporate"/>
    <x v="0"/>
    <x v="11"/>
    <n v="5"/>
    <n v="659.15"/>
    <n v="0.05"/>
    <x v="859"/>
    <n v="1991.86"/>
    <x v="858"/>
    <s v="Cash"/>
    <n v="1"/>
    <x v="0"/>
    <x v="0"/>
    <n v="2024"/>
    <m/>
  </r>
  <r>
    <x v="860"/>
    <d v="2024-12-22T00:00:00"/>
    <s v="Susan Lawson"/>
    <x v="2"/>
    <x v="4"/>
    <s v="Home Office"/>
    <x v="1"/>
    <x v="3"/>
    <n v="5"/>
    <n v="1120.57"/>
    <n v="0"/>
    <x v="860"/>
    <n v="4509.4799999999996"/>
    <x v="859"/>
    <s v="Mobile Payment"/>
    <n v="3"/>
    <x v="6"/>
    <x v="3"/>
    <n v="2024"/>
    <m/>
  </r>
  <r>
    <x v="861"/>
    <d v="2024-10-13T00:00:00"/>
    <s v="Todd Brown"/>
    <x v="2"/>
    <x v="2"/>
    <s v="Home Office"/>
    <x v="1"/>
    <x v="2"/>
    <n v="1"/>
    <n v="71.75"/>
    <n v="0.05"/>
    <x v="861"/>
    <n v="44.01"/>
    <x v="860"/>
    <s v="Mobile Payment"/>
    <n v="4"/>
    <x v="8"/>
    <x v="3"/>
    <n v="2024"/>
    <m/>
  </r>
  <r>
    <x v="862"/>
    <d v="2024-04-26T00:00:00"/>
    <s v="Stephanie Coffey"/>
    <x v="1"/>
    <x v="4"/>
    <s v="Consumer"/>
    <x v="1"/>
    <x v="12"/>
    <n v="1"/>
    <n v="762.42"/>
    <n v="0.15"/>
    <x v="862"/>
    <n v="409.48"/>
    <x v="861"/>
    <s v="Mobile Payment"/>
    <n v="3"/>
    <x v="10"/>
    <x v="2"/>
    <n v="2024"/>
    <m/>
  </r>
  <r>
    <x v="863"/>
    <d v="2024-10-05T00:00:00"/>
    <s v="Juan Bell"/>
    <x v="0"/>
    <x v="3"/>
    <s v="Consumer"/>
    <x v="2"/>
    <x v="9"/>
    <n v="12"/>
    <n v="1059.67"/>
    <n v="0.1"/>
    <x v="863"/>
    <n v="6289.63"/>
    <x v="862"/>
    <s v="Transfer"/>
    <n v="3"/>
    <x v="8"/>
    <x v="3"/>
    <n v="2024"/>
    <m/>
  </r>
  <r>
    <x v="864"/>
    <d v="2024-10-01T00:00:00"/>
    <s v="Jennifer Duran"/>
    <x v="1"/>
    <x v="4"/>
    <s v="Corporate"/>
    <x v="0"/>
    <x v="0"/>
    <n v="6"/>
    <n v="218.2"/>
    <n v="0"/>
    <x v="864"/>
    <n v="887.65"/>
    <x v="863"/>
    <s v="Mobile Payment"/>
    <n v="1"/>
    <x v="8"/>
    <x v="3"/>
    <n v="2024"/>
    <m/>
  </r>
  <r>
    <x v="865"/>
    <d v="2024-12-26T00:00:00"/>
    <s v="Candice Martin"/>
    <x v="2"/>
    <x v="0"/>
    <s v="Consumer"/>
    <x v="3"/>
    <x v="8"/>
    <n v="2"/>
    <n v="734.88"/>
    <n v="0.15"/>
    <x v="865"/>
    <n v="970.53"/>
    <x v="864"/>
    <s v="Mobile Payment"/>
    <n v="3"/>
    <x v="6"/>
    <x v="3"/>
    <n v="2024"/>
    <m/>
  </r>
  <r>
    <x v="866"/>
    <d v="2024-04-25T00:00:00"/>
    <s v="Eddie Aguirre Jr."/>
    <x v="0"/>
    <x v="1"/>
    <s v="Home Office"/>
    <x v="0"/>
    <x v="1"/>
    <n v="10"/>
    <n v="380.89"/>
    <n v="0.05"/>
    <x v="866"/>
    <n v="2965.04"/>
    <x v="865"/>
    <s v="Card"/>
    <n v="5"/>
    <x v="10"/>
    <x v="2"/>
    <n v="2024"/>
    <m/>
  </r>
  <r>
    <x v="867"/>
    <d v="2024-11-24T00:00:00"/>
    <s v="Mark Richmond"/>
    <x v="4"/>
    <x v="0"/>
    <s v="Consumer"/>
    <x v="3"/>
    <x v="6"/>
    <n v="10"/>
    <n v="970.75"/>
    <n v="0"/>
    <x v="867"/>
    <n v="5451.31"/>
    <x v="866"/>
    <s v="Transfer"/>
    <n v="5"/>
    <x v="11"/>
    <x v="3"/>
    <n v="2024"/>
    <m/>
  </r>
  <r>
    <x v="868"/>
    <d v="2024-06-19T00:00:00"/>
    <s v="Sharon Gutierrez"/>
    <x v="2"/>
    <x v="3"/>
    <s v="Consumer"/>
    <x v="2"/>
    <x v="10"/>
    <n v="4"/>
    <n v="297.58999999999997"/>
    <n v="0.15"/>
    <x v="868"/>
    <n v="716.79"/>
    <x v="867"/>
    <s v="Mobile Payment"/>
    <n v="5"/>
    <x v="5"/>
    <x v="2"/>
    <n v="2024"/>
    <m/>
  </r>
  <r>
    <x v="869"/>
    <d v="2024-03-27T00:00:00"/>
    <s v="Javier Garcia"/>
    <x v="1"/>
    <x v="4"/>
    <s v="Home Office"/>
    <x v="3"/>
    <x v="7"/>
    <n v="9"/>
    <n v="350.6"/>
    <n v="0"/>
    <x v="869"/>
    <n v="1882.66"/>
    <x v="868"/>
    <s v="Card"/>
    <n v="4"/>
    <x v="1"/>
    <x v="0"/>
    <n v="2024"/>
    <m/>
  </r>
  <r>
    <x v="870"/>
    <d v="2024-07-30T00:00:00"/>
    <s v="Amanda Poole"/>
    <x v="2"/>
    <x v="0"/>
    <s v="Home Office"/>
    <x v="0"/>
    <x v="1"/>
    <n v="2"/>
    <n v="578.94000000000005"/>
    <n v="0.05"/>
    <x v="870"/>
    <n v="671.18"/>
    <x v="869"/>
    <s v="Transfer"/>
    <n v="1"/>
    <x v="7"/>
    <x v="1"/>
    <n v="2024"/>
    <m/>
  </r>
  <r>
    <x v="871"/>
    <d v="2024-08-02T00:00:00"/>
    <s v="Ashley Hatfield"/>
    <x v="1"/>
    <x v="3"/>
    <s v="Corporate"/>
    <x v="3"/>
    <x v="6"/>
    <n v="1"/>
    <n v="787.8"/>
    <n v="0.05"/>
    <x v="871"/>
    <n v="539.09"/>
    <x v="870"/>
    <s v="Card"/>
    <n v="3"/>
    <x v="3"/>
    <x v="1"/>
    <n v="2024"/>
    <m/>
  </r>
  <r>
    <x v="872"/>
    <d v="2024-11-10T00:00:00"/>
    <s v="Lisa Phillips"/>
    <x v="1"/>
    <x v="4"/>
    <s v="Corporate"/>
    <x v="0"/>
    <x v="0"/>
    <n v="9"/>
    <n v="197.14"/>
    <n v="0.1"/>
    <x v="872"/>
    <n v="1251.8499999999999"/>
    <x v="871"/>
    <s v="Cash"/>
    <n v="1"/>
    <x v="11"/>
    <x v="3"/>
    <n v="2024"/>
    <m/>
  </r>
  <r>
    <x v="873"/>
    <d v="2024-06-04T00:00:00"/>
    <s v="Lindsay Duran"/>
    <x v="3"/>
    <x v="2"/>
    <s v="Consumer"/>
    <x v="2"/>
    <x v="4"/>
    <n v="10"/>
    <n v="1069.98"/>
    <n v="0"/>
    <x v="873"/>
    <n v="7911.24"/>
    <x v="872"/>
    <s v="Card"/>
    <n v="3"/>
    <x v="5"/>
    <x v="2"/>
    <n v="2024"/>
    <m/>
  </r>
  <r>
    <x v="874"/>
    <d v="2024-01-02T00:00:00"/>
    <s v="John Jennings"/>
    <x v="2"/>
    <x v="1"/>
    <s v="Corporate"/>
    <x v="2"/>
    <x v="9"/>
    <n v="3"/>
    <n v="752.84"/>
    <n v="0.15"/>
    <x v="874"/>
    <n v="1534.24"/>
    <x v="873"/>
    <s v="Mobile Payment"/>
    <n v="4"/>
    <x v="0"/>
    <x v="0"/>
    <n v="2024"/>
    <m/>
  </r>
  <r>
    <x v="875"/>
    <d v="2024-01-05T00:00:00"/>
    <s v="Walter Randall"/>
    <x v="2"/>
    <x v="1"/>
    <s v="Consumer"/>
    <x v="3"/>
    <x v="7"/>
    <n v="6"/>
    <n v="444.27"/>
    <n v="0.15"/>
    <x v="875"/>
    <n v="1707.08"/>
    <x v="874"/>
    <s v="Cash"/>
    <n v="1"/>
    <x v="0"/>
    <x v="0"/>
    <n v="2024"/>
    <m/>
  </r>
  <r>
    <x v="876"/>
    <d v="2024-01-22T00:00:00"/>
    <s v="Connor Yang"/>
    <x v="4"/>
    <x v="4"/>
    <s v="Corporate"/>
    <x v="1"/>
    <x v="2"/>
    <n v="10"/>
    <n v="1171.31"/>
    <n v="0.15"/>
    <x v="876"/>
    <n v="5858.72"/>
    <x v="875"/>
    <s v="Cash"/>
    <n v="1"/>
    <x v="0"/>
    <x v="0"/>
    <n v="2024"/>
    <m/>
  </r>
  <r>
    <x v="877"/>
    <d v="2024-12-11T00:00:00"/>
    <s v="Kendra Davidson"/>
    <x v="3"/>
    <x v="1"/>
    <s v="Home Office"/>
    <x v="3"/>
    <x v="6"/>
    <n v="10"/>
    <n v="242.28"/>
    <n v="0"/>
    <x v="877"/>
    <n v="1415.31"/>
    <x v="876"/>
    <s v="Cash"/>
    <n v="4"/>
    <x v="6"/>
    <x v="3"/>
    <n v="2024"/>
    <m/>
  </r>
  <r>
    <x v="878"/>
    <d v="2024-08-21T00:00:00"/>
    <s v="Kayla Ramirez"/>
    <x v="3"/>
    <x v="2"/>
    <s v="Corporate"/>
    <x v="0"/>
    <x v="0"/>
    <n v="5"/>
    <n v="545.45000000000005"/>
    <n v="0.15"/>
    <x v="878"/>
    <n v="1366.47"/>
    <x v="877"/>
    <s v="Mobile Payment"/>
    <n v="4"/>
    <x v="3"/>
    <x v="1"/>
    <n v="2024"/>
    <m/>
  </r>
  <r>
    <x v="879"/>
    <d v="2024-07-20T00:00:00"/>
    <s v="Elizabeth Jacobson"/>
    <x v="1"/>
    <x v="0"/>
    <s v="Consumer"/>
    <x v="1"/>
    <x v="2"/>
    <n v="12"/>
    <n v="300.58"/>
    <n v="0"/>
    <x v="879"/>
    <n v="2316.9499999999998"/>
    <x v="878"/>
    <s v="Transfer"/>
    <n v="2"/>
    <x v="7"/>
    <x v="1"/>
    <n v="2024"/>
    <m/>
  </r>
  <r>
    <x v="880"/>
    <d v="2024-11-26T00:00:00"/>
    <s v="Tiffany Summers"/>
    <x v="2"/>
    <x v="1"/>
    <s v="Corporate"/>
    <x v="2"/>
    <x v="10"/>
    <n v="10"/>
    <n v="569.63"/>
    <n v="0.1"/>
    <x v="880"/>
    <n v="3821.21"/>
    <x v="879"/>
    <s v="Transfer"/>
    <n v="4"/>
    <x v="11"/>
    <x v="3"/>
    <n v="2024"/>
    <m/>
  </r>
  <r>
    <x v="881"/>
    <d v="2024-07-24T00:00:00"/>
    <s v="Christina Davis"/>
    <x v="4"/>
    <x v="3"/>
    <s v="Consumer"/>
    <x v="2"/>
    <x v="9"/>
    <n v="7"/>
    <n v="714.43"/>
    <n v="0.1"/>
    <x v="881"/>
    <n v="3094.07"/>
    <x v="880"/>
    <s v="Cash"/>
    <n v="2"/>
    <x v="7"/>
    <x v="1"/>
    <n v="2024"/>
    <m/>
  </r>
  <r>
    <x v="882"/>
    <d v="2024-02-09T00:00:00"/>
    <s v="Courtney Snyder"/>
    <x v="0"/>
    <x v="3"/>
    <s v="Corporate"/>
    <x v="3"/>
    <x v="7"/>
    <n v="7"/>
    <n v="591.08000000000004"/>
    <n v="0.1"/>
    <x v="882"/>
    <n v="3102.9"/>
    <x v="881"/>
    <s v="Cash"/>
    <n v="2"/>
    <x v="4"/>
    <x v="0"/>
    <n v="2024"/>
    <m/>
  </r>
  <r>
    <x v="883"/>
    <d v="2024-02-27T00:00:00"/>
    <s v="Barbara Fisher"/>
    <x v="2"/>
    <x v="0"/>
    <s v="Corporate"/>
    <x v="2"/>
    <x v="9"/>
    <n v="3"/>
    <n v="12.49"/>
    <n v="0.15"/>
    <x v="883"/>
    <n v="17.27"/>
    <x v="882"/>
    <s v="Transfer"/>
    <n v="3"/>
    <x v="4"/>
    <x v="0"/>
    <n v="2024"/>
    <m/>
  </r>
  <r>
    <x v="884"/>
    <d v="2024-10-08T00:00:00"/>
    <s v="Rebecca Perez"/>
    <x v="2"/>
    <x v="4"/>
    <s v="Home Office"/>
    <x v="2"/>
    <x v="4"/>
    <n v="5"/>
    <n v="584.96"/>
    <n v="0.1"/>
    <x v="884"/>
    <n v="1922.78"/>
    <x v="883"/>
    <s v="Card"/>
    <n v="2"/>
    <x v="8"/>
    <x v="3"/>
    <n v="2024"/>
    <m/>
  </r>
  <r>
    <x v="885"/>
    <d v="2024-06-24T00:00:00"/>
    <s v="Richard Rivers"/>
    <x v="2"/>
    <x v="2"/>
    <s v="Corporate"/>
    <x v="2"/>
    <x v="10"/>
    <n v="12"/>
    <n v="38.58"/>
    <n v="0.15"/>
    <x v="885"/>
    <n v="317.29000000000002"/>
    <x v="884"/>
    <s v="Mobile Payment"/>
    <n v="4"/>
    <x v="5"/>
    <x v="2"/>
    <n v="2024"/>
    <m/>
  </r>
  <r>
    <x v="886"/>
    <d v="2024-09-15T00:00:00"/>
    <s v="Damon Avila"/>
    <x v="2"/>
    <x v="3"/>
    <s v="Corporate"/>
    <x v="2"/>
    <x v="9"/>
    <n v="11"/>
    <n v="213.05"/>
    <n v="0.15"/>
    <x v="886"/>
    <n v="1411.87"/>
    <x v="885"/>
    <s v="Card"/>
    <n v="5"/>
    <x v="2"/>
    <x v="1"/>
    <n v="2024"/>
    <m/>
  </r>
  <r>
    <x v="887"/>
    <d v="2024-06-25T00:00:00"/>
    <s v="Paul Macias"/>
    <x v="3"/>
    <x v="4"/>
    <s v="Consumer"/>
    <x v="1"/>
    <x v="12"/>
    <n v="5"/>
    <n v="432.05"/>
    <n v="0"/>
    <x v="887"/>
    <n v="1727.6"/>
    <x v="886"/>
    <s v="Transfer"/>
    <n v="1"/>
    <x v="5"/>
    <x v="2"/>
    <n v="2024"/>
    <m/>
  </r>
  <r>
    <x v="888"/>
    <d v="2024-06-29T00:00:00"/>
    <s v="Paul Rivera"/>
    <x v="3"/>
    <x v="2"/>
    <s v="Consumer"/>
    <x v="2"/>
    <x v="10"/>
    <n v="2"/>
    <n v="744.64"/>
    <n v="0.15"/>
    <x v="888"/>
    <n v="921.12"/>
    <x v="887"/>
    <s v="Cash"/>
    <n v="1"/>
    <x v="5"/>
    <x v="2"/>
    <n v="2024"/>
    <m/>
  </r>
  <r>
    <x v="889"/>
    <d v="2024-06-05T00:00:00"/>
    <s v="Chad Hughes"/>
    <x v="2"/>
    <x v="2"/>
    <s v="Corporate"/>
    <x v="0"/>
    <x v="11"/>
    <n v="6"/>
    <n v="351.21"/>
    <n v="0.15"/>
    <x v="889"/>
    <n v="1161.8"/>
    <x v="888"/>
    <s v="Mobile Payment"/>
    <n v="2"/>
    <x v="5"/>
    <x v="2"/>
    <n v="2024"/>
    <m/>
  </r>
  <r>
    <x v="890"/>
    <d v="2024-01-02T00:00:00"/>
    <s v="Jeffrey Price"/>
    <x v="0"/>
    <x v="3"/>
    <s v="Corporate"/>
    <x v="1"/>
    <x v="12"/>
    <n v="1"/>
    <n v="899.39"/>
    <n v="0.05"/>
    <x v="890"/>
    <n v="592.88"/>
    <x v="889"/>
    <s v="Mobile Payment"/>
    <n v="5"/>
    <x v="0"/>
    <x v="0"/>
    <n v="2024"/>
    <m/>
  </r>
  <r>
    <x v="891"/>
    <d v="2024-08-30T00:00:00"/>
    <s v="Donna Lewis"/>
    <x v="0"/>
    <x v="3"/>
    <s v="Home Office"/>
    <x v="0"/>
    <x v="1"/>
    <n v="5"/>
    <n v="880.83"/>
    <n v="0.1"/>
    <x v="891"/>
    <n v="2803.95"/>
    <x v="890"/>
    <s v="Transfer"/>
    <n v="5"/>
    <x v="3"/>
    <x v="1"/>
    <n v="2024"/>
    <m/>
  </r>
  <r>
    <x v="892"/>
    <d v="2024-11-15T00:00:00"/>
    <s v="Cassandra Vasquez"/>
    <x v="4"/>
    <x v="3"/>
    <s v="Consumer"/>
    <x v="2"/>
    <x v="4"/>
    <n v="9"/>
    <n v="925.91"/>
    <n v="0.15"/>
    <x v="892"/>
    <n v="3953.46"/>
    <x v="891"/>
    <s v="Mobile Payment"/>
    <n v="1"/>
    <x v="11"/>
    <x v="3"/>
    <n v="2024"/>
    <m/>
  </r>
  <r>
    <x v="893"/>
    <d v="2024-05-02T00:00:00"/>
    <s v="Kelly Nelson"/>
    <x v="2"/>
    <x v="0"/>
    <s v="Consumer"/>
    <x v="2"/>
    <x v="9"/>
    <n v="5"/>
    <n v="894.36"/>
    <n v="0.15"/>
    <x v="893"/>
    <n v="2191.7199999999998"/>
    <x v="892"/>
    <s v="Cash"/>
    <n v="4"/>
    <x v="9"/>
    <x v="2"/>
    <n v="2024"/>
    <m/>
  </r>
  <r>
    <x v="894"/>
    <d v="2024-10-13T00:00:00"/>
    <s v="Stephanie Jones"/>
    <x v="3"/>
    <x v="4"/>
    <s v="Consumer"/>
    <x v="1"/>
    <x v="12"/>
    <n v="8"/>
    <n v="1132.6300000000001"/>
    <n v="0"/>
    <x v="894"/>
    <n v="4861.25"/>
    <x v="893"/>
    <s v="Transfer"/>
    <n v="3"/>
    <x v="8"/>
    <x v="3"/>
    <n v="2024"/>
    <m/>
  </r>
  <r>
    <x v="895"/>
    <d v="2024-09-20T00:00:00"/>
    <s v="Misty Garcia"/>
    <x v="4"/>
    <x v="2"/>
    <s v="Home Office"/>
    <x v="1"/>
    <x v="12"/>
    <n v="7"/>
    <n v="964.14"/>
    <n v="0"/>
    <x v="895"/>
    <n v="3959.71"/>
    <x v="894"/>
    <s v="Card"/>
    <n v="3"/>
    <x v="2"/>
    <x v="1"/>
    <n v="2024"/>
    <m/>
  </r>
  <r>
    <x v="896"/>
    <d v="2024-02-24T00:00:00"/>
    <s v="Andrew Peters"/>
    <x v="3"/>
    <x v="0"/>
    <s v="Corporate"/>
    <x v="3"/>
    <x v="8"/>
    <n v="8"/>
    <n v="909.2"/>
    <n v="0"/>
    <x v="896"/>
    <n v="3985.86"/>
    <x v="895"/>
    <s v="Card"/>
    <n v="3"/>
    <x v="4"/>
    <x v="0"/>
    <n v="2024"/>
    <m/>
  </r>
  <r>
    <x v="897"/>
    <d v="2024-04-01T00:00:00"/>
    <s v="Mr. Ryan Shields Jr."/>
    <x v="2"/>
    <x v="1"/>
    <s v="Corporate"/>
    <x v="1"/>
    <x v="12"/>
    <n v="10"/>
    <n v="1171.4100000000001"/>
    <n v="0.05"/>
    <x v="897"/>
    <n v="9371.36"/>
    <x v="896"/>
    <s v="Cash"/>
    <n v="3"/>
    <x v="10"/>
    <x v="2"/>
    <n v="2024"/>
    <m/>
  </r>
  <r>
    <x v="898"/>
    <d v="2024-08-14T00:00:00"/>
    <s v="Whitney Morton"/>
    <x v="1"/>
    <x v="1"/>
    <s v="Corporate"/>
    <x v="3"/>
    <x v="7"/>
    <n v="4"/>
    <n v="191.85"/>
    <n v="0"/>
    <x v="898"/>
    <n v="481.24"/>
    <x v="897"/>
    <s v="Mobile Payment"/>
    <n v="3"/>
    <x v="3"/>
    <x v="1"/>
    <n v="2024"/>
    <m/>
  </r>
  <r>
    <x v="899"/>
    <d v="2024-02-16T00:00:00"/>
    <s v="Alexis Campbell"/>
    <x v="3"/>
    <x v="4"/>
    <s v="Consumer"/>
    <x v="2"/>
    <x v="10"/>
    <n v="5"/>
    <n v="971.44"/>
    <n v="0.15"/>
    <x v="899"/>
    <n v="2772.24"/>
    <x v="898"/>
    <s v="Transfer"/>
    <n v="2"/>
    <x v="4"/>
    <x v="0"/>
    <n v="2024"/>
    <m/>
  </r>
  <r>
    <x v="900"/>
    <d v="2024-07-03T00:00:00"/>
    <s v="Kelly Sanchez"/>
    <x v="2"/>
    <x v="0"/>
    <s v="Corporate"/>
    <x v="3"/>
    <x v="6"/>
    <n v="2"/>
    <n v="589.14"/>
    <n v="0.05"/>
    <x v="900"/>
    <n v="595.12"/>
    <x v="899"/>
    <s v="Cash"/>
    <n v="5"/>
    <x v="7"/>
    <x v="1"/>
    <n v="2024"/>
    <m/>
  </r>
  <r>
    <x v="901"/>
    <d v="2024-02-13T00:00:00"/>
    <s v="Dawn Taylor"/>
    <x v="0"/>
    <x v="0"/>
    <s v="Home Office"/>
    <x v="0"/>
    <x v="11"/>
    <n v="9"/>
    <n v="1118.3800000000001"/>
    <n v="0.15"/>
    <x v="901"/>
    <n v="6465.78"/>
    <x v="900"/>
    <s v="Card"/>
    <n v="4"/>
    <x v="4"/>
    <x v="0"/>
    <n v="2024"/>
    <m/>
  </r>
  <r>
    <x v="902"/>
    <d v="2024-05-19T00:00:00"/>
    <s v="Lindsey Vaughn"/>
    <x v="4"/>
    <x v="2"/>
    <s v="Home Office"/>
    <x v="2"/>
    <x v="4"/>
    <n v="10"/>
    <n v="1083.4100000000001"/>
    <n v="0.15"/>
    <x v="902"/>
    <n v="4782.2299999999996"/>
    <x v="901"/>
    <s v="Transfer"/>
    <n v="1"/>
    <x v="9"/>
    <x v="2"/>
    <n v="2024"/>
    <m/>
  </r>
  <r>
    <x v="903"/>
    <d v="2024-04-13T00:00:00"/>
    <s v="Austin Salazar"/>
    <x v="1"/>
    <x v="1"/>
    <s v="Home Office"/>
    <x v="3"/>
    <x v="6"/>
    <n v="4"/>
    <n v="1125.8499999999999"/>
    <n v="0.05"/>
    <x v="903"/>
    <n v="2380.44"/>
    <x v="902"/>
    <s v="Transfer"/>
    <n v="5"/>
    <x v="10"/>
    <x v="2"/>
    <n v="2024"/>
    <m/>
  </r>
  <r>
    <x v="904"/>
    <d v="2024-02-20T00:00:00"/>
    <s v="Anita Vance"/>
    <x v="2"/>
    <x v="4"/>
    <s v="Consumer"/>
    <x v="3"/>
    <x v="6"/>
    <n v="10"/>
    <n v="449.99"/>
    <n v="0.1"/>
    <x v="904"/>
    <n v="2975.23"/>
    <x v="903"/>
    <s v="Transfer"/>
    <n v="5"/>
    <x v="4"/>
    <x v="0"/>
    <n v="2024"/>
    <m/>
  </r>
  <r>
    <x v="905"/>
    <d v="2024-03-13T00:00:00"/>
    <s v="Joseph Brown"/>
    <x v="2"/>
    <x v="2"/>
    <s v="Home Office"/>
    <x v="2"/>
    <x v="9"/>
    <n v="6"/>
    <n v="309.73"/>
    <n v="0.15"/>
    <x v="905"/>
    <n v="1244.99"/>
    <x v="904"/>
    <s v="Mobile Payment"/>
    <n v="5"/>
    <x v="1"/>
    <x v="0"/>
    <n v="2024"/>
    <m/>
  </r>
  <r>
    <x v="906"/>
    <d v="2024-03-04T00:00:00"/>
    <s v="Kelly Walton"/>
    <x v="4"/>
    <x v="3"/>
    <s v="Consumer"/>
    <x v="3"/>
    <x v="6"/>
    <n v="7"/>
    <n v="837.53"/>
    <n v="0.05"/>
    <x v="906"/>
    <n v="3436.97"/>
    <x v="905"/>
    <s v="Mobile Payment"/>
    <n v="2"/>
    <x v="1"/>
    <x v="0"/>
    <n v="2024"/>
    <m/>
  </r>
  <r>
    <x v="907"/>
    <d v="2024-05-05T00:00:00"/>
    <s v="Mr. Steven Crawford"/>
    <x v="0"/>
    <x v="0"/>
    <s v="Home Office"/>
    <x v="0"/>
    <x v="1"/>
    <n v="2"/>
    <n v="934.31"/>
    <n v="0.15"/>
    <x v="907"/>
    <n v="971.78"/>
    <x v="906"/>
    <s v="Mobile Payment"/>
    <n v="5"/>
    <x v="9"/>
    <x v="2"/>
    <n v="2024"/>
    <m/>
  </r>
  <r>
    <x v="908"/>
    <d v="2024-07-08T00:00:00"/>
    <s v="Kimberly Chavez"/>
    <x v="4"/>
    <x v="1"/>
    <s v="Corporate"/>
    <x v="2"/>
    <x v="9"/>
    <n v="11"/>
    <n v="412.73"/>
    <n v="0.15"/>
    <x v="908"/>
    <n v="2148.1999999999998"/>
    <x v="907"/>
    <s v="Cash"/>
    <n v="2"/>
    <x v="7"/>
    <x v="1"/>
    <n v="2024"/>
    <m/>
  </r>
  <r>
    <x v="909"/>
    <d v="2024-06-30T00:00:00"/>
    <s v="Brian Hoffman"/>
    <x v="2"/>
    <x v="3"/>
    <s v="Corporate"/>
    <x v="2"/>
    <x v="9"/>
    <n v="5"/>
    <n v="830.67"/>
    <n v="0.1"/>
    <x v="909"/>
    <n v="2642.18"/>
    <x v="908"/>
    <s v="Cash"/>
    <n v="1"/>
    <x v="5"/>
    <x v="2"/>
    <n v="2024"/>
    <m/>
  </r>
  <r>
    <x v="910"/>
    <d v="2024-11-22T00:00:00"/>
    <s v="Clayton Berger"/>
    <x v="1"/>
    <x v="0"/>
    <s v="Consumer"/>
    <x v="0"/>
    <x v="0"/>
    <n v="4"/>
    <n v="1161.5"/>
    <n v="0"/>
    <x v="910"/>
    <n v="3199.05"/>
    <x v="909"/>
    <s v="Transfer"/>
    <n v="4"/>
    <x v="11"/>
    <x v="3"/>
    <n v="2024"/>
    <m/>
  </r>
  <r>
    <x v="911"/>
    <d v="2024-04-28T00:00:00"/>
    <s v="Christopher Adams"/>
    <x v="4"/>
    <x v="4"/>
    <s v="Corporate"/>
    <x v="0"/>
    <x v="11"/>
    <n v="6"/>
    <n v="1096.71"/>
    <n v="0.05"/>
    <x v="911"/>
    <n v="4446.6400000000003"/>
    <x v="910"/>
    <s v="Mobile Payment"/>
    <n v="4"/>
    <x v="10"/>
    <x v="2"/>
    <n v="2024"/>
    <m/>
  </r>
  <r>
    <x v="912"/>
    <d v="2024-04-24T00:00:00"/>
    <s v="Jo Davis"/>
    <x v="0"/>
    <x v="3"/>
    <s v="Corporate"/>
    <x v="1"/>
    <x v="2"/>
    <n v="8"/>
    <n v="545.16999999999996"/>
    <n v="0"/>
    <x v="912"/>
    <n v="2578.64"/>
    <x v="911"/>
    <s v="Transfer"/>
    <n v="1"/>
    <x v="10"/>
    <x v="2"/>
    <n v="2024"/>
    <m/>
  </r>
  <r>
    <x v="913"/>
    <d v="2024-01-28T00:00:00"/>
    <s v="Stephanie Greene"/>
    <x v="0"/>
    <x v="3"/>
    <s v="Consumer"/>
    <x v="0"/>
    <x v="1"/>
    <n v="11"/>
    <n v="591.66"/>
    <n v="0"/>
    <x v="913"/>
    <n v="5443.4"/>
    <x v="912"/>
    <s v="Card"/>
    <n v="3"/>
    <x v="0"/>
    <x v="0"/>
    <n v="2024"/>
    <m/>
  </r>
  <r>
    <x v="914"/>
    <d v="2024-01-18T00:00:00"/>
    <s v="Erin Brooks"/>
    <x v="0"/>
    <x v="3"/>
    <s v="Home Office"/>
    <x v="1"/>
    <x v="12"/>
    <n v="5"/>
    <n v="1015.47"/>
    <n v="0.15"/>
    <x v="914"/>
    <n v="2299.7800000000002"/>
    <x v="913"/>
    <s v="Mobile Payment"/>
    <n v="2"/>
    <x v="0"/>
    <x v="0"/>
    <n v="2024"/>
    <m/>
  </r>
  <r>
    <x v="915"/>
    <d v="2024-08-13T00:00:00"/>
    <s v="Chad Webster"/>
    <x v="2"/>
    <x v="0"/>
    <s v="Home Office"/>
    <x v="2"/>
    <x v="10"/>
    <n v="4"/>
    <n v="610.29"/>
    <n v="0"/>
    <x v="915"/>
    <n v="1534.43"/>
    <x v="914"/>
    <s v="Mobile Payment"/>
    <n v="1"/>
    <x v="3"/>
    <x v="1"/>
    <n v="2024"/>
    <m/>
  </r>
  <r>
    <x v="916"/>
    <d v="2024-03-14T00:00:00"/>
    <s v="Nancy Everett"/>
    <x v="1"/>
    <x v="2"/>
    <s v="Corporate"/>
    <x v="2"/>
    <x v="4"/>
    <n v="10"/>
    <n v="895.05"/>
    <n v="0.1"/>
    <x v="916"/>
    <n v="4536.6000000000004"/>
    <x v="915"/>
    <s v="Cash"/>
    <n v="3"/>
    <x v="1"/>
    <x v="0"/>
    <n v="2024"/>
    <m/>
  </r>
  <r>
    <x v="917"/>
    <d v="2024-08-21T00:00:00"/>
    <s v="Gary Martinez"/>
    <x v="1"/>
    <x v="1"/>
    <s v="Home Office"/>
    <x v="1"/>
    <x v="2"/>
    <n v="2"/>
    <n v="326.57"/>
    <n v="0.1"/>
    <x v="917"/>
    <n v="494.22"/>
    <x v="916"/>
    <s v="Cash"/>
    <n v="5"/>
    <x v="3"/>
    <x v="1"/>
    <n v="2024"/>
    <m/>
  </r>
  <r>
    <x v="918"/>
    <d v="2024-05-28T00:00:00"/>
    <s v="Mary Williams"/>
    <x v="0"/>
    <x v="1"/>
    <s v="Corporate"/>
    <x v="1"/>
    <x v="2"/>
    <n v="7"/>
    <n v="963.02"/>
    <n v="0.1"/>
    <x v="918"/>
    <n v="3261.6"/>
    <x v="917"/>
    <s v="Transfer"/>
    <n v="3"/>
    <x v="9"/>
    <x v="2"/>
    <n v="2024"/>
    <m/>
  </r>
  <r>
    <x v="919"/>
    <d v="2024-12-24T00:00:00"/>
    <s v="Miss Michelle Garcia"/>
    <x v="2"/>
    <x v="2"/>
    <s v="Consumer"/>
    <x v="0"/>
    <x v="11"/>
    <n v="7"/>
    <n v="866.91"/>
    <n v="0.05"/>
    <x v="919"/>
    <n v="4511.57"/>
    <x v="918"/>
    <s v="Card"/>
    <n v="4"/>
    <x v="6"/>
    <x v="3"/>
    <n v="2024"/>
    <m/>
  </r>
  <r>
    <x v="920"/>
    <d v="2024-02-07T00:00:00"/>
    <s v="Kyle Bauer"/>
    <x v="3"/>
    <x v="1"/>
    <s v="Corporate"/>
    <x v="3"/>
    <x v="6"/>
    <n v="11"/>
    <n v="97.39"/>
    <n v="0.05"/>
    <x v="920"/>
    <n v="523.29"/>
    <x v="919"/>
    <s v="Card"/>
    <n v="1"/>
    <x v="4"/>
    <x v="0"/>
    <n v="2024"/>
    <m/>
  </r>
  <r>
    <x v="921"/>
    <d v="2024-02-20T00:00:00"/>
    <s v="Todd Klein"/>
    <x v="1"/>
    <x v="3"/>
    <s v="Consumer"/>
    <x v="2"/>
    <x v="4"/>
    <n v="4"/>
    <n v="574.34"/>
    <n v="0"/>
    <x v="921"/>
    <n v="1462.99"/>
    <x v="920"/>
    <s v="Card"/>
    <n v="1"/>
    <x v="4"/>
    <x v="0"/>
    <n v="2024"/>
    <m/>
  </r>
  <r>
    <x v="922"/>
    <d v="2024-04-30T00:00:00"/>
    <s v="Angelica Jones"/>
    <x v="3"/>
    <x v="1"/>
    <s v="Consumer"/>
    <x v="0"/>
    <x v="11"/>
    <n v="7"/>
    <n v="301.74"/>
    <n v="0.15"/>
    <x v="922"/>
    <n v="1054.33"/>
    <x v="921"/>
    <s v="Card"/>
    <n v="5"/>
    <x v="10"/>
    <x v="2"/>
    <n v="2024"/>
    <m/>
  </r>
  <r>
    <x v="923"/>
    <d v="2024-01-11T00:00:00"/>
    <s v="Emily Bond"/>
    <x v="2"/>
    <x v="4"/>
    <s v="Home Office"/>
    <x v="3"/>
    <x v="6"/>
    <n v="1"/>
    <n v="338.9"/>
    <n v="0.15"/>
    <x v="923"/>
    <n v="167.17"/>
    <x v="922"/>
    <s v="Cash"/>
    <n v="3"/>
    <x v="0"/>
    <x v="0"/>
    <n v="2024"/>
    <m/>
  </r>
  <r>
    <x v="924"/>
    <d v="2024-03-03T00:00:00"/>
    <s v="Samuel Chang"/>
    <x v="2"/>
    <x v="3"/>
    <s v="Home Office"/>
    <x v="1"/>
    <x v="12"/>
    <n v="3"/>
    <n v="195.76"/>
    <n v="0.1"/>
    <x v="924"/>
    <n v="368.26"/>
    <x v="923"/>
    <s v="Mobile Payment"/>
    <n v="4"/>
    <x v="1"/>
    <x v="0"/>
    <n v="2024"/>
    <m/>
  </r>
  <r>
    <x v="925"/>
    <d v="2024-04-28T00:00:00"/>
    <s v="Kristen Savage"/>
    <x v="3"/>
    <x v="1"/>
    <s v="Home Office"/>
    <x v="0"/>
    <x v="11"/>
    <n v="12"/>
    <n v="798.11"/>
    <n v="0.1"/>
    <x v="925"/>
    <n v="5067.58"/>
    <x v="924"/>
    <s v="Cash"/>
    <n v="2"/>
    <x v="10"/>
    <x v="2"/>
    <n v="2024"/>
    <m/>
  </r>
  <r>
    <x v="926"/>
    <d v="2024-03-28T00:00:00"/>
    <s v="James Hall"/>
    <x v="4"/>
    <x v="1"/>
    <s v="Home Office"/>
    <x v="3"/>
    <x v="7"/>
    <n v="2"/>
    <n v="97.87"/>
    <n v="0.15"/>
    <x v="926"/>
    <n v="139.83000000000001"/>
    <x v="925"/>
    <s v="Card"/>
    <n v="1"/>
    <x v="1"/>
    <x v="0"/>
    <n v="2024"/>
    <m/>
  </r>
  <r>
    <x v="927"/>
    <d v="2024-08-22T00:00:00"/>
    <s v="Jeremy Curry"/>
    <x v="3"/>
    <x v="1"/>
    <s v="Consumer"/>
    <x v="2"/>
    <x v="9"/>
    <n v="7"/>
    <n v="249.77"/>
    <n v="0"/>
    <x v="927"/>
    <n v="945.94"/>
    <x v="926"/>
    <s v="Cash"/>
    <n v="3"/>
    <x v="3"/>
    <x v="1"/>
    <n v="2024"/>
    <m/>
  </r>
  <r>
    <x v="928"/>
    <d v="2024-10-11T00:00:00"/>
    <s v="Zachary Roberts"/>
    <x v="3"/>
    <x v="3"/>
    <s v="Home Office"/>
    <x v="0"/>
    <x v="5"/>
    <n v="1"/>
    <n v="263.86"/>
    <n v="0"/>
    <x v="928"/>
    <n v="190.08"/>
    <x v="927"/>
    <s v="Transfer"/>
    <n v="2"/>
    <x v="8"/>
    <x v="3"/>
    <n v="2024"/>
    <m/>
  </r>
  <r>
    <x v="929"/>
    <d v="2024-07-01T00:00:00"/>
    <s v="Dustin Davis"/>
    <x v="0"/>
    <x v="4"/>
    <s v="Consumer"/>
    <x v="3"/>
    <x v="6"/>
    <n v="9"/>
    <n v="980.98"/>
    <n v="0.15"/>
    <x v="929"/>
    <n v="5586.01"/>
    <x v="928"/>
    <s v="Card"/>
    <n v="4"/>
    <x v="7"/>
    <x v="1"/>
    <n v="2024"/>
    <m/>
  </r>
  <r>
    <x v="930"/>
    <d v="2024-06-10T00:00:00"/>
    <s v="Luke Stewart"/>
    <x v="0"/>
    <x v="4"/>
    <s v="Home Office"/>
    <x v="0"/>
    <x v="5"/>
    <n v="8"/>
    <n v="1073.94"/>
    <n v="0.1"/>
    <x v="930"/>
    <n v="6485.5"/>
    <x v="929"/>
    <s v="Card"/>
    <n v="3"/>
    <x v="5"/>
    <x v="2"/>
    <n v="2024"/>
    <m/>
  </r>
  <r>
    <x v="931"/>
    <d v="2024-04-07T00:00:00"/>
    <s v="Rodney Jones"/>
    <x v="3"/>
    <x v="4"/>
    <s v="Home Office"/>
    <x v="3"/>
    <x v="6"/>
    <n v="7"/>
    <n v="263.14"/>
    <n v="0.05"/>
    <x v="931"/>
    <n v="950.35"/>
    <x v="930"/>
    <s v="Card"/>
    <n v="5"/>
    <x v="10"/>
    <x v="2"/>
    <n v="2024"/>
    <m/>
  </r>
  <r>
    <x v="932"/>
    <d v="2024-06-03T00:00:00"/>
    <s v="Mindy Robbins"/>
    <x v="4"/>
    <x v="2"/>
    <s v="Home Office"/>
    <x v="0"/>
    <x v="0"/>
    <n v="12"/>
    <n v="111.39"/>
    <n v="0.05"/>
    <x v="932"/>
    <n v="657.02"/>
    <x v="931"/>
    <s v="Transfer"/>
    <n v="4"/>
    <x v="5"/>
    <x v="2"/>
    <n v="2024"/>
    <m/>
  </r>
  <r>
    <x v="933"/>
    <d v="2024-08-12T00:00:00"/>
    <s v="Austin Kim"/>
    <x v="2"/>
    <x v="1"/>
    <s v="Corporate"/>
    <x v="3"/>
    <x v="7"/>
    <n v="10"/>
    <n v="787.96"/>
    <n v="0"/>
    <x v="933"/>
    <n v="5796.99"/>
    <x v="932"/>
    <s v="Card"/>
    <n v="1"/>
    <x v="3"/>
    <x v="1"/>
    <n v="2024"/>
    <m/>
  </r>
  <r>
    <x v="934"/>
    <d v="2024-04-19T00:00:00"/>
    <s v="Michael Marks"/>
    <x v="1"/>
    <x v="1"/>
    <s v="Home Office"/>
    <x v="1"/>
    <x v="12"/>
    <n v="7"/>
    <n v="704.46"/>
    <n v="0.1"/>
    <x v="934"/>
    <n v="2935.33"/>
    <x v="933"/>
    <s v="Transfer"/>
    <n v="2"/>
    <x v="10"/>
    <x v="2"/>
    <n v="2024"/>
    <m/>
  </r>
  <r>
    <x v="935"/>
    <d v="2024-09-30T00:00:00"/>
    <s v="Dennis Bishop"/>
    <x v="3"/>
    <x v="2"/>
    <s v="Consumer"/>
    <x v="2"/>
    <x v="4"/>
    <n v="5"/>
    <n v="830.11"/>
    <n v="0"/>
    <x v="935"/>
    <n v="2281.9499999999998"/>
    <x v="934"/>
    <s v="Transfer"/>
    <n v="5"/>
    <x v="2"/>
    <x v="1"/>
    <n v="2024"/>
    <m/>
  </r>
  <r>
    <x v="936"/>
    <d v="2024-05-29T00:00:00"/>
    <s v="Sarah Reid"/>
    <x v="3"/>
    <x v="1"/>
    <s v="Home Office"/>
    <x v="3"/>
    <x v="6"/>
    <n v="5"/>
    <n v="80.680000000000007"/>
    <n v="0.05"/>
    <x v="936"/>
    <n v="263.10000000000002"/>
    <x v="935"/>
    <s v="Cash"/>
    <n v="3"/>
    <x v="9"/>
    <x v="2"/>
    <n v="2024"/>
    <m/>
  </r>
  <r>
    <x v="937"/>
    <d v="2024-09-20T00:00:00"/>
    <s v="Mary Washington"/>
    <x v="4"/>
    <x v="2"/>
    <s v="Corporate"/>
    <x v="3"/>
    <x v="6"/>
    <n v="8"/>
    <n v="1154.0899999999999"/>
    <n v="0.05"/>
    <x v="937"/>
    <n v="7292.15"/>
    <x v="936"/>
    <s v="Transfer"/>
    <n v="3"/>
    <x v="2"/>
    <x v="1"/>
    <n v="2024"/>
    <m/>
  </r>
  <r>
    <x v="938"/>
    <d v="2024-02-15T00:00:00"/>
    <s v="Terry Miller"/>
    <x v="1"/>
    <x v="0"/>
    <s v="Corporate"/>
    <x v="2"/>
    <x v="10"/>
    <n v="10"/>
    <n v="878.36"/>
    <n v="0.05"/>
    <x v="938"/>
    <n v="6409.24"/>
    <x v="937"/>
    <s v="Mobile Payment"/>
    <n v="4"/>
    <x v="4"/>
    <x v="0"/>
    <n v="2024"/>
    <m/>
  </r>
  <r>
    <x v="939"/>
    <d v="2024-03-24T00:00:00"/>
    <s v="Cassandra Spencer"/>
    <x v="3"/>
    <x v="4"/>
    <s v="Corporate"/>
    <x v="1"/>
    <x v="3"/>
    <n v="10"/>
    <n v="521.84"/>
    <n v="0.05"/>
    <x v="939"/>
    <n v="2518.3200000000002"/>
    <x v="938"/>
    <s v="Cash"/>
    <n v="5"/>
    <x v="1"/>
    <x v="0"/>
    <n v="2024"/>
    <m/>
  </r>
  <r>
    <x v="940"/>
    <d v="2024-01-31T00:00:00"/>
    <s v="Stephanie Copeland"/>
    <x v="2"/>
    <x v="3"/>
    <s v="Consumer"/>
    <x v="3"/>
    <x v="7"/>
    <n v="1"/>
    <n v="766.41"/>
    <n v="0"/>
    <x v="940"/>
    <n v="393.95"/>
    <x v="939"/>
    <s v="Card"/>
    <n v="4"/>
    <x v="0"/>
    <x v="0"/>
    <n v="2024"/>
    <m/>
  </r>
  <r>
    <x v="941"/>
    <d v="2024-10-29T00:00:00"/>
    <s v="Gabriela Lynch"/>
    <x v="0"/>
    <x v="2"/>
    <s v="Corporate"/>
    <x v="1"/>
    <x v="12"/>
    <n v="5"/>
    <n v="40.380000000000003"/>
    <n v="0.1"/>
    <x v="941"/>
    <n v="126.48"/>
    <x v="940"/>
    <s v="Mobile Payment"/>
    <n v="5"/>
    <x v="8"/>
    <x v="3"/>
    <n v="2024"/>
    <m/>
  </r>
  <r>
    <x v="942"/>
    <d v="2024-09-24T00:00:00"/>
    <s v="Dana Higgins"/>
    <x v="3"/>
    <x v="0"/>
    <s v="Home Office"/>
    <x v="3"/>
    <x v="8"/>
    <n v="8"/>
    <n v="705.38"/>
    <n v="0.05"/>
    <x v="942"/>
    <n v="4180.04"/>
    <x v="941"/>
    <s v="Transfer"/>
    <n v="4"/>
    <x v="2"/>
    <x v="1"/>
    <n v="2024"/>
    <m/>
  </r>
  <r>
    <x v="943"/>
    <d v="2024-07-13T00:00:00"/>
    <s v="Dr. Peter Carson"/>
    <x v="0"/>
    <x v="1"/>
    <s v="Corporate"/>
    <x v="0"/>
    <x v="1"/>
    <n v="1"/>
    <n v="1059.57"/>
    <n v="0.15"/>
    <x v="943"/>
    <n v="565.25"/>
    <x v="942"/>
    <s v="Mobile Payment"/>
    <n v="2"/>
    <x v="7"/>
    <x v="1"/>
    <n v="2024"/>
    <m/>
  </r>
  <r>
    <x v="944"/>
    <d v="2024-03-08T00:00:00"/>
    <s v="Tina Ewing"/>
    <x v="0"/>
    <x v="1"/>
    <s v="Home Office"/>
    <x v="2"/>
    <x v="10"/>
    <n v="6"/>
    <n v="123.69"/>
    <n v="0.05"/>
    <x v="944"/>
    <n v="392.28"/>
    <x v="943"/>
    <s v="Transfer"/>
    <n v="4"/>
    <x v="1"/>
    <x v="0"/>
    <n v="2024"/>
    <m/>
  </r>
  <r>
    <x v="945"/>
    <d v="2024-10-24T00:00:00"/>
    <s v="Jessica Cooper"/>
    <x v="3"/>
    <x v="3"/>
    <s v="Home Office"/>
    <x v="1"/>
    <x v="12"/>
    <n v="1"/>
    <n v="600.09"/>
    <n v="0.05"/>
    <x v="945"/>
    <n v="373.35"/>
    <x v="944"/>
    <s v="Card"/>
    <n v="1"/>
    <x v="8"/>
    <x v="3"/>
    <n v="2024"/>
    <m/>
  </r>
  <r>
    <x v="946"/>
    <d v="2024-10-20T00:00:00"/>
    <s v="Audrey Taylor"/>
    <x v="4"/>
    <x v="3"/>
    <s v="Consumer"/>
    <x v="1"/>
    <x v="12"/>
    <n v="1"/>
    <n v="640.80999999999995"/>
    <n v="0.15"/>
    <x v="946"/>
    <n v="347.63"/>
    <x v="945"/>
    <s v="Card"/>
    <n v="4"/>
    <x v="8"/>
    <x v="3"/>
    <n v="2024"/>
    <m/>
  </r>
  <r>
    <x v="947"/>
    <d v="2024-10-26T00:00:00"/>
    <s v="Danielle Cabrera"/>
    <x v="2"/>
    <x v="2"/>
    <s v="Home Office"/>
    <x v="0"/>
    <x v="0"/>
    <n v="8"/>
    <n v="346.78"/>
    <n v="0.05"/>
    <x v="947"/>
    <n v="1607.19"/>
    <x v="946"/>
    <s v="Mobile Payment"/>
    <n v="1"/>
    <x v="8"/>
    <x v="3"/>
    <n v="2024"/>
    <m/>
  </r>
  <r>
    <x v="948"/>
    <d v="2024-08-11T00:00:00"/>
    <s v="Mr. Jeffery Townsend"/>
    <x v="1"/>
    <x v="4"/>
    <s v="Consumer"/>
    <x v="2"/>
    <x v="10"/>
    <n v="3"/>
    <n v="245.96"/>
    <n v="0.15"/>
    <x v="948"/>
    <n v="345.9"/>
    <x v="947"/>
    <s v="Cash"/>
    <n v="1"/>
    <x v="3"/>
    <x v="1"/>
    <n v="2024"/>
    <m/>
  </r>
  <r>
    <x v="949"/>
    <d v="2024-11-24T00:00:00"/>
    <s v="Eric Carpenter"/>
    <x v="2"/>
    <x v="1"/>
    <s v="Corporate"/>
    <x v="2"/>
    <x v="4"/>
    <n v="3"/>
    <n v="1076.81"/>
    <n v="0"/>
    <x v="949"/>
    <n v="2557.66"/>
    <x v="948"/>
    <s v="Mobile Payment"/>
    <n v="5"/>
    <x v="11"/>
    <x v="3"/>
    <n v="2024"/>
    <m/>
  </r>
  <r>
    <x v="950"/>
    <d v="2024-12-09T00:00:00"/>
    <s v="Jeffrey White"/>
    <x v="4"/>
    <x v="2"/>
    <s v="Consumer"/>
    <x v="2"/>
    <x v="4"/>
    <n v="5"/>
    <n v="332.5"/>
    <n v="0.15"/>
    <x v="950"/>
    <n v="1020.3"/>
    <x v="949"/>
    <s v="Card"/>
    <n v="2"/>
    <x v="6"/>
    <x v="3"/>
    <n v="2024"/>
    <m/>
  </r>
  <r>
    <x v="951"/>
    <d v="2024-02-27T00:00:00"/>
    <s v="Kelly Miles"/>
    <x v="1"/>
    <x v="2"/>
    <s v="Consumer"/>
    <x v="2"/>
    <x v="4"/>
    <n v="2"/>
    <n v="282.2"/>
    <n v="0"/>
    <x v="951"/>
    <n v="410.78"/>
    <x v="950"/>
    <s v="Card"/>
    <n v="1"/>
    <x v="4"/>
    <x v="0"/>
    <n v="2024"/>
    <m/>
  </r>
  <r>
    <x v="952"/>
    <d v="2024-06-27T00:00:00"/>
    <s v="Nicholas Rogers"/>
    <x v="0"/>
    <x v="0"/>
    <s v="Consumer"/>
    <x v="3"/>
    <x v="7"/>
    <n v="7"/>
    <n v="285.54000000000002"/>
    <n v="0.05"/>
    <x v="952"/>
    <n v="999.05"/>
    <x v="951"/>
    <s v="Mobile Payment"/>
    <n v="5"/>
    <x v="5"/>
    <x v="2"/>
    <n v="2024"/>
    <m/>
  </r>
  <r>
    <x v="953"/>
    <d v="2024-11-07T00:00:00"/>
    <s v="John Whitaker"/>
    <x v="0"/>
    <x v="2"/>
    <s v="Corporate"/>
    <x v="3"/>
    <x v="8"/>
    <n v="11"/>
    <n v="579.25"/>
    <n v="0.15"/>
    <x v="953"/>
    <n v="3612.21"/>
    <x v="952"/>
    <s v="Mobile Payment"/>
    <n v="2"/>
    <x v="11"/>
    <x v="3"/>
    <n v="2024"/>
    <m/>
  </r>
  <r>
    <x v="954"/>
    <d v="2024-11-26T00:00:00"/>
    <s v="Kimberly Smith"/>
    <x v="1"/>
    <x v="3"/>
    <s v="Corporate"/>
    <x v="3"/>
    <x v="8"/>
    <n v="9"/>
    <n v="839.27"/>
    <n v="0"/>
    <x v="954"/>
    <n v="3958.72"/>
    <x v="953"/>
    <s v="Mobile Payment"/>
    <n v="5"/>
    <x v="11"/>
    <x v="3"/>
    <n v="2024"/>
    <m/>
  </r>
  <r>
    <x v="955"/>
    <d v="2024-08-13T00:00:00"/>
    <s v="Justin Mcknight"/>
    <x v="2"/>
    <x v="1"/>
    <s v="Corporate"/>
    <x v="3"/>
    <x v="7"/>
    <n v="3"/>
    <n v="785.14"/>
    <n v="0.05"/>
    <x v="955"/>
    <n v="1150.5899999999999"/>
    <x v="954"/>
    <s v="Transfer"/>
    <n v="3"/>
    <x v="3"/>
    <x v="1"/>
    <n v="2024"/>
    <m/>
  </r>
  <r>
    <x v="956"/>
    <d v="2024-04-10T00:00:00"/>
    <s v="Sean Gutierrez"/>
    <x v="1"/>
    <x v="1"/>
    <s v="Consumer"/>
    <x v="3"/>
    <x v="6"/>
    <n v="4"/>
    <n v="1025.1500000000001"/>
    <n v="0"/>
    <x v="956"/>
    <n v="3212.17"/>
    <x v="955"/>
    <s v="Cash"/>
    <n v="3"/>
    <x v="10"/>
    <x v="2"/>
    <n v="2024"/>
    <m/>
  </r>
  <r>
    <x v="957"/>
    <d v="2024-05-22T00:00:00"/>
    <s v="Benjamin Wilson"/>
    <x v="1"/>
    <x v="4"/>
    <s v="Consumer"/>
    <x v="2"/>
    <x v="4"/>
    <n v="1"/>
    <n v="813.16"/>
    <n v="0.1"/>
    <x v="957"/>
    <n v="411.51"/>
    <x v="956"/>
    <s v="Mobile Payment"/>
    <n v="2"/>
    <x v="9"/>
    <x v="2"/>
    <n v="2024"/>
    <m/>
  </r>
  <r>
    <x v="958"/>
    <d v="2024-12-25T00:00:00"/>
    <s v="Angela Sherman"/>
    <x v="0"/>
    <x v="1"/>
    <s v="Corporate"/>
    <x v="2"/>
    <x v="10"/>
    <n v="5"/>
    <n v="270.94"/>
    <n v="0.05"/>
    <x v="958"/>
    <n v="746.07"/>
    <x v="957"/>
    <s v="Mobile Payment"/>
    <n v="4"/>
    <x v="6"/>
    <x v="3"/>
    <n v="2024"/>
    <m/>
  </r>
  <r>
    <x v="959"/>
    <d v="2024-04-30T00:00:00"/>
    <s v="Edwin Brown"/>
    <x v="1"/>
    <x v="0"/>
    <s v="Corporate"/>
    <x v="3"/>
    <x v="6"/>
    <n v="4"/>
    <n v="143.69"/>
    <n v="0.1"/>
    <x v="959"/>
    <n v="327.49"/>
    <x v="958"/>
    <s v="Transfer"/>
    <n v="2"/>
    <x v="10"/>
    <x v="2"/>
    <n v="2024"/>
    <m/>
  </r>
  <r>
    <x v="960"/>
    <d v="2024-05-18T00:00:00"/>
    <s v="Evan Calhoun"/>
    <x v="4"/>
    <x v="0"/>
    <s v="Home Office"/>
    <x v="0"/>
    <x v="11"/>
    <n v="8"/>
    <n v="175.28"/>
    <n v="0"/>
    <x v="960"/>
    <n v="792.69"/>
    <x v="959"/>
    <s v="Card"/>
    <n v="2"/>
    <x v="9"/>
    <x v="2"/>
    <n v="2024"/>
    <m/>
  </r>
  <r>
    <x v="961"/>
    <d v="2024-02-26T00:00:00"/>
    <s v="Mrs. Andrea Gibson"/>
    <x v="4"/>
    <x v="0"/>
    <s v="Corporate"/>
    <x v="0"/>
    <x v="5"/>
    <n v="9"/>
    <n v="84.06"/>
    <n v="0.15"/>
    <x v="961"/>
    <n v="403.76"/>
    <x v="960"/>
    <s v="Transfer"/>
    <n v="5"/>
    <x v="4"/>
    <x v="0"/>
    <n v="2024"/>
    <m/>
  </r>
  <r>
    <x v="962"/>
    <d v="2024-02-28T00:00:00"/>
    <s v="Reginald Wright"/>
    <x v="0"/>
    <x v="0"/>
    <s v="Consumer"/>
    <x v="2"/>
    <x v="4"/>
    <n v="1"/>
    <n v="397.49"/>
    <n v="0.1"/>
    <x v="962"/>
    <n v="199.84"/>
    <x v="961"/>
    <s v="Mobile Payment"/>
    <n v="3"/>
    <x v="4"/>
    <x v="0"/>
    <n v="2024"/>
    <m/>
  </r>
  <r>
    <x v="963"/>
    <d v="2024-02-26T00:00:00"/>
    <s v="Samantha Munoz"/>
    <x v="1"/>
    <x v="3"/>
    <s v="Home Office"/>
    <x v="1"/>
    <x v="3"/>
    <n v="11"/>
    <n v="162.41999999999999"/>
    <n v="0"/>
    <x v="963"/>
    <n v="1109.3900000000001"/>
    <x v="962"/>
    <s v="Transfer"/>
    <n v="2"/>
    <x v="4"/>
    <x v="0"/>
    <n v="2024"/>
    <m/>
  </r>
  <r>
    <x v="964"/>
    <d v="2024-08-31T00:00:00"/>
    <s v="Tracy Miller"/>
    <x v="3"/>
    <x v="2"/>
    <s v="Corporate"/>
    <x v="1"/>
    <x v="3"/>
    <n v="1"/>
    <n v="1117.08"/>
    <n v="0.1"/>
    <x v="964"/>
    <n v="530.69000000000005"/>
    <x v="963"/>
    <s v="Cash"/>
    <n v="2"/>
    <x v="3"/>
    <x v="1"/>
    <n v="2024"/>
    <m/>
  </r>
  <r>
    <x v="965"/>
    <d v="2024-10-04T00:00:00"/>
    <s v="Matthew Peterson"/>
    <x v="0"/>
    <x v="1"/>
    <s v="Home Office"/>
    <x v="3"/>
    <x v="6"/>
    <n v="4"/>
    <n v="747.31"/>
    <n v="0.05"/>
    <x v="965"/>
    <n v="2338.2600000000002"/>
    <x v="964"/>
    <s v="Transfer"/>
    <n v="2"/>
    <x v="8"/>
    <x v="3"/>
    <n v="2024"/>
    <m/>
  </r>
  <r>
    <x v="966"/>
    <d v="2024-04-13T00:00:00"/>
    <s v="Jermaine White MD"/>
    <x v="4"/>
    <x v="2"/>
    <s v="Corporate"/>
    <x v="0"/>
    <x v="5"/>
    <n v="4"/>
    <n v="635.08000000000004"/>
    <n v="0.1"/>
    <x v="966"/>
    <n v="1712.73"/>
    <x v="965"/>
    <s v="Card"/>
    <n v="5"/>
    <x v="10"/>
    <x v="2"/>
    <n v="2024"/>
    <m/>
  </r>
  <r>
    <x v="967"/>
    <d v="2024-02-06T00:00:00"/>
    <s v="Sharon Ali"/>
    <x v="3"/>
    <x v="1"/>
    <s v="Home Office"/>
    <x v="2"/>
    <x v="10"/>
    <n v="6"/>
    <n v="886.69"/>
    <n v="0.1"/>
    <x v="967"/>
    <n v="2817.55"/>
    <x v="966"/>
    <s v="Transfer"/>
    <n v="1"/>
    <x v="4"/>
    <x v="0"/>
    <n v="2024"/>
    <m/>
  </r>
  <r>
    <x v="968"/>
    <d v="2024-03-14T00:00:00"/>
    <s v="Christopher Atkinson"/>
    <x v="0"/>
    <x v="1"/>
    <s v="Corporate"/>
    <x v="1"/>
    <x v="2"/>
    <n v="4"/>
    <n v="918.56"/>
    <n v="0.1"/>
    <x v="968"/>
    <n v="1716.73"/>
    <x v="967"/>
    <s v="Card"/>
    <n v="5"/>
    <x v="1"/>
    <x v="0"/>
    <n v="2024"/>
    <m/>
  </r>
  <r>
    <x v="969"/>
    <d v="2024-04-27T00:00:00"/>
    <s v="Charles Smith"/>
    <x v="4"/>
    <x v="4"/>
    <s v="Home Office"/>
    <x v="1"/>
    <x v="2"/>
    <n v="11"/>
    <n v="892.94"/>
    <n v="0.05"/>
    <x v="969"/>
    <n v="5113.03"/>
    <x v="968"/>
    <s v="Cash"/>
    <n v="2"/>
    <x v="10"/>
    <x v="2"/>
    <n v="2024"/>
    <m/>
  </r>
  <r>
    <x v="970"/>
    <d v="2024-04-17T00:00:00"/>
    <s v="Ray Mitchell"/>
    <x v="3"/>
    <x v="1"/>
    <s v="Home Office"/>
    <x v="3"/>
    <x v="7"/>
    <n v="1"/>
    <n v="1097.43"/>
    <n v="0.1"/>
    <x v="970"/>
    <n v="569.9"/>
    <x v="969"/>
    <s v="Mobile Payment"/>
    <n v="1"/>
    <x v="10"/>
    <x v="2"/>
    <n v="2024"/>
    <m/>
  </r>
  <r>
    <x v="971"/>
    <d v="2024-09-23T00:00:00"/>
    <s v="Ashley Costa"/>
    <x v="4"/>
    <x v="2"/>
    <s v="Consumer"/>
    <x v="1"/>
    <x v="3"/>
    <n v="6"/>
    <n v="281.92"/>
    <n v="0.05"/>
    <x v="971"/>
    <n v="1123.46"/>
    <x v="970"/>
    <s v="Mobile Payment"/>
    <n v="2"/>
    <x v="2"/>
    <x v="1"/>
    <n v="2024"/>
    <m/>
  </r>
  <r>
    <x v="972"/>
    <d v="2024-01-06T00:00:00"/>
    <s v="Matthew Shields"/>
    <x v="1"/>
    <x v="2"/>
    <s v="Corporate"/>
    <x v="2"/>
    <x v="10"/>
    <n v="9"/>
    <n v="696.52"/>
    <n v="0"/>
    <x v="972"/>
    <n v="3730.2"/>
    <x v="971"/>
    <s v="Card"/>
    <n v="5"/>
    <x v="0"/>
    <x v="0"/>
    <n v="2024"/>
    <m/>
  </r>
  <r>
    <x v="973"/>
    <d v="2024-07-27T00:00:00"/>
    <s v="David Carter"/>
    <x v="0"/>
    <x v="0"/>
    <s v="Corporate"/>
    <x v="1"/>
    <x v="12"/>
    <n v="5"/>
    <n v="462.06"/>
    <n v="0.15"/>
    <x v="973"/>
    <n v="1054.76"/>
    <x v="972"/>
    <s v="Cash"/>
    <n v="1"/>
    <x v="7"/>
    <x v="1"/>
    <n v="2024"/>
    <m/>
  </r>
  <r>
    <x v="974"/>
    <d v="2024-03-15T00:00:00"/>
    <s v="Bradley West"/>
    <x v="2"/>
    <x v="0"/>
    <s v="Home Office"/>
    <x v="3"/>
    <x v="7"/>
    <n v="3"/>
    <n v="378.45"/>
    <n v="0.1"/>
    <x v="974"/>
    <n v="762.54"/>
    <x v="973"/>
    <s v="Transfer"/>
    <n v="2"/>
    <x v="1"/>
    <x v="0"/>
    <n v="2024"/>
    <m/>
  </r>
  <r>
    <x v="975"/>
    <d v="2024-06-30T00:00:00"/>
    <s v="Yolanda Hill"/>
    <x v="3"/>
    <x v="2"/>
    <s v="Corporate"/>
    <x v="3"/>
    <x v="8"/>
    <n v="11"/>
    <n v="419.97"/>
    <n v="0.1"/>
    <x v="975"/>
    <n v="3173.83"/>
    <x v="974"/>
    <s v="Mobile Payment"/>
    <n v="5"/>
    <x v="5"/>
    <x v="2"/>
    <n v="2024"/>
    <m/>
  </r>
  <r>
    <x v="976"/>
    <d v="2024-05-23T00:00:00"/>
    <s v="Melissa Walker"/>
    <x v="0"/>
    <x v="1"/>
    <s v="Home Office"/>
    <x v="0"/>
    <x v="1"/>
    <n v="1"/>
    <n v="183.71"/>
    <n v="0.1"/>
    <x v="976"/>
    <n v="116.9"/>
    <x v="975"/>
    <s v="Mobile Payment"/>
    <n v="1"/>
    <x v="9"/>
    <x v="2"/>
    <n v="2024"/>
    <m/>
  </r>
  <r>
    <x v="977"/>
    <d v="2024-11-03T00:00:00"/>
    <s v="Sue Foster"/>
    <x v="4"/>
    <x v="3"/>
    <s v="Home Office"/>
    <x v="3"/>
    <x v="7"/>
    <n v="5"/>
    <n v="768.55"/>
    <n v="0.1"/>
    <x v="977"/>
    <n v="2879.75"/>
    <x v="976"/>
    <s v="Cash"/>
    <n v="1"/>
    <x v="11"/>
    <x v="3"/>
    <n v="2024"/>
    <m/>
  </r>
  <r>
    <x v="978"/>
    <d v="2024-03-12T00:00:00"/>
    <s v="John Kramer"/>
    <x v="3"/>
    <x v="3"/>
    <s v="Home Office"/>
    <x v="2"/>
    <x v="10"/>
    <n v="12"/>
    <n v="813.74"/>
    <n v="0.05"/>
    <x v="978"/>
    <n v="7155.26"/>
    <x v="977"/>
    <s v="Mobile Payment"/>
    <n v="5"/>
    <x v="1"/>
    <x v="0"/>
    <n v="2024"/>
    <m/>
  </r>
  <r>
    <x v="979"/>
    <d v="2024-12-13T00:00:00"/>
    <s v="Amber Jefferson"/>
    <x v="3"/>
    <x v="1"/>
    <s v="Corporate"/>
    <x v="0"/>
    <x v="0"/>
    <n v="6"/>
    <n v="1016.68"/>
    <n v="0.05"/>
    <x v="979"/>
    <n v="4407.4799999999996"/>
    <x v="978"/>
    <s v="Transfer"/>
    <n v="4"/>
    <x v="6"/>
    <x v="3"/>
    <n v="2024"/>
    <m/>
  </r>
  <r>
    <x v="980"/>
    <d v="2024-07-31T00:00:00"/>
    <s v="Katherine Smith"/>
    <x v="4"/>
    <x v="3"/>
    <s v="Consumer"/>
    <x v="2"/>
    <x v="4"/>
    <n v="11"/>
    <n v="1057.73"/>
    <n v="0.15"/>
    <x v="980"/>
    <n v="5332.66"/>
    <x v="979"/>
    <s v="Card"/>
    <n v="5"/>
    <x v="7"/>
    <x v="1"/>
    <n v="2024"/>
    <m/>
  </r>
  <r>
    <x v="981"/>
    <d v="2024-01-14T00:00:00"/>
    <s v="George Stephenson"/>
    <x v="0"/>
    <x v="4"/>
    <s v="Home Office"/>
    <x v="1"/>
    <x v="2"/>
    <n v="6"/>
    <n v="504.15"/>
    <n v="0.05"/>
    <x v="981"/>
    <n v="1639.92"/>
    <x v="980"/>
    <s v="Transfer"/>
    <n v="4"/>
    <x v="0"/>
    <x v="0"/>
    <n v="2024"/>
    <m/>
  </r>
  <r>
    <x v="982"/>
    <d v="2024-04-24T00:00:00"/>
    <s v="Anthony Thompson"/>
    <x v="0"/>
    <x v="2"/>
    <s v="Corporate"/>
    <x v="0"/>
    <x v="5"/>
    <n v="7"/>
    <n v="1160.73"/>
    <n v="0"/>
    <x v="982"/>
    <n v="6255.13"/>
    <x v="981"/>
    <s v="Card"/>
    <n v="3"/>
    <x v="10"/>
    <x v="2"/>
    <n v="2024"/>
    <m/>
  </r>
  <r>
    <x v="983"/>
    <d v="2024-02-06T00:00:00"/>
    <s v="Zachary Whitney"/>
    <x v="3"/>
    <x v="2"/>
    <s v="Corporate"/>
    <x v="0"/>
    <x v="11"/>
    <n v="8"/>
    <n v="148.93"/>
    <n v="0"/>
    <x v="983"/>
    <n v="596.47"/>
    <x v="982"/>
    <s v="Transfer"/>
    <n v="3"/>
    <x v="4"/>
    <x v="0"/>
    <n v="2024"/>
    <m/>
  </r>
  <r>
    <x v="984"/>
    <d v="2024-11-22T00:00:00"/>
    <s v="David Lambert"/>
    <x v="1"/>
    <x v="1"/>
    <s v="Corporate"/>
    <x v="0"/>
    <x v="5"/>
    <n v="5"/>
    <n v="242.78"/>
    <n v="0.05"/>
    <x v="984"/>
    <n v="867.83"/>
    <x v="983"/>
    <s v="Transfer"/>
    <n v="2"/>
    <x v="11"/>
    <x v="3"/>
    <n v="2024"/>
    <m/>
  </r>
  <r>
    <x v="985"/>
    <d v="2024-10-08T00:00:00"/>
    <s v="Duane Pena"/>
    <x v="2"/>
    <x v="0"/>
    <s v="Home Office"/>
    <x v="3"/>
    <x v="6"/>
    <n v="11"/>
    <n v="1131.82"/>
    <n v="0"/>
    <x v="985"/>
    <n v="7512.49"/>
    <x v="984"/>
    <s v="Card"/>
    <n v="2"/>
    <x v="8"/>
    <x v="3"/>
    <n v="2024"/>
    <m/>
  </r>
  <r>
    <x v="986"/>
    <d v="2024-01-04T00:00:00"/>
    <s v="Tyler West"/>
    <x v="0"/>
    <x v="1"/>
    <s v="Home Office"/>
    <x v="2"/>
    <x v="4"/>
    <n v="4"/>
    <n v="520.36"/>
    <n v="0"/>
    <x v="986"/>
    <n v="1736.71"/>
    <x v="985"/>
    <s v="Cash"/>
    <n v="2"/>
    <x v="0"/>
    <x v="0"/>
    <n v="2024"/>
    <m/>
  </r>
  <r>
    <x v="987"/>
    <d v="2024-03-25T00:00:00"/>
    <s v="Alicia Bailey"/>
    <x v="2"/>
    <x v="2"/>
    <s v="Consumer"/>
    <x v="3"/>
    <x v="7"/>
    <n v="10"/>
    <n v="399.31"/>
    <n v="0.1"/>
    <x v="987"/>
    <n v="3029.5"/>
    <x v="986"/>
    <s v="Cash"/>
    <n v="2"/>
    <x v="1"/>
    <x v="0"/>
    <n v="2024"/>
    <m/>
  </r>
  <r>
    <x v="988"/>
    <d v="2024-09-14T00:00:00"/>
    <s v="Lisa Owens"/>
    <x v="2"/>
    <x v="2"/>
    <s v="Consumer"/>
    <x v="3"/>
    <x v="7"/>
    <n v="7"/>
    <n v="190.47"/>
    <n v="0"/>
    <x v="988"/>
    <n v="829.28"/>
    <x v="987"/>
    <s v="Transfer"/>
    <n v="2"/>
    <x v="2"/>
    <x v="1"/>
    <n v="2024"/>
    <m/>
  </r>
  <r>
    <x v="989"/>
    <d v="2024-08-03T00:00:00"/>
    <s v="Hannah Cooper"/>
    <x v="2"/>
    <x v="3"/>
    <s v="Consumer"/>
    <x v="3"/>
    <x v="6"/>
    <n v="6"/>
    <n v="941.86"/>
    <n v="0.05"/>
    <x v="989"/>
    <n v="4079.12"/>
    <x v="988"/>
    <s v="Cash"/>
    <n v="3"/>
    <x v="3"/>
    <x v="1"/>
    <n v="2024"/>
    <m/>
  </r>
  <r>
    <x v="990"/>
    <d v="2024-01-28T00:00:00"/>
    <s v="Terry Drake"/>
    <x v="1"/>
    <x v="3"/>
    <s v="Consumer"/>
    <x v="0"/>
    <x v="5"/>
    <n v="4"/>
    <n v="264.27"/>
    <n v="0.05"/>
    <x v="990"/>
    <n v="851.81"/>
    <x v="989"/>
    <s v="Card"/>
    <n v="4"/>
    <x v="0"/>
    <x v="0"/>
    <n v="2024"/>
    <m/>
  </r>
  <r>
    <x v="991"/>
    <d v="2024-09-26T00:00:00"/>
    <s v="William Mcdonald"/>
    <x v="0"/>
    <x v="4"/>
    <s v="Corporate"/>
    <x v="3"/>
    <x v="7"/>
    <n v="3"/>
    <n v="705.7"/>
    <n v="0.1"/>
    <x v="991"/>
    <n v="958.25"/>
    <x v="990"/>
    <s v="Card"/>
    <n v="1"/>
    <x v="2"/>
    <x v="1"/>
    <n v="2024"/>
    <m/>
  </r>
  <r>
    <x v="992"/>
    <d v="2024-11-25T00:00:00"/>
    <s v="Tammy Nichols"/>
    <x v="2"/>
    <x v="3"/>
    <s v="Home Office"/>
    <x v="0"/>
    <x v="5"/>
    <n v="2"/>
    <n v="343.74"/>
    <n v="0"/>
    <x v="992"/>
    <n v="479.69"/>
    <x v="991"/>
    <s v="Transfer"/>
    <n v="2"/>
    <x v="11"/>
    <x v="3"/>
    <n v="2024"/>
    <m/>
  </r>
  <r>
    <x v="993"/>
    <d v="2024-09-28T00:00:00"/>
    <s v="Thomas Ramirez"/>
    <x v="3"/>
    <x v="2"/>
    <s v="Corporate"/>
    <x v="3"/>
    <x v="6"/>
    <n v="8"/>
    <n v="121.94"/>
    <n v="0.05"/>
    <x v="993"/>
    <n v="724.94"/>
    <x v="992"/>
    <s v="Mobile Payment"/>
    <n v="2"/>
    <x v="2"/>
    <x v="1"/>
    <n v="2024"/>
    <m/>
  </r>
  <r>
    <x v="994"/>
    <d v="2024-06-05T00:00:00"/>
    <s v="Andrew Harris"/>
    <x v="3"/>
    <x v="0"/>
    <s v="Consumer"/>
    <x v="2"/>
    <x v="4"/>
    <n v="2"/>
    <n v="325.55"/>
    <n v="0.05"/>
    <x v="994"/>
    <n v="312.63"/>
    <x v="993"/>
    <s v="Transfer"/>
    <n v="5"/>
    <x v="5"/>
    <x v="2"/>
    <n v="2024"/>
    <m/>
  </r>
  <r>
    <x v="995"/>
    <d v="2024-08-02T00:00:00"/>
    <s v="Tanya Smith"/>
    <x v="0"/>
    <x v="2"/>
    <s v="Home Office"/>
    <x v="1"/>
    <x v="3"/>
    <n v="7"/>
    <n v="764.96"/>
    <n v="0.05"/>
    <x v="995"/>
    <n v="4302.43"/>
    <x v="994"/>
    <s v="Card"/>
    <n v="4"/>
    <x v="3"/>
    <x v="1"/>
    <n v="2024"/>
    <m/>
  </r>
  <r>
    <x v="996"/>
    <d v="2024-06-06T00:00:00"/>
    <s v="David Maldonado"/>
    <x v="1"/>
    <x v="2"/>
    <s v="Corporate"/>
    <x v="2"/>
    <x v="4"/>
    <n v="7"/>
    <n v="900.81"/>
    <n v="0.05"/>
    <x v="996"/>
    <n v="3744.5"/>
    <x v="995"/>
    <s v="Mobile Payment"/>
    <n v="2"/>
    <x v="5"/>
    <x v="2"/>
    <n v="2024"/>
    <m/>
  </r>
  <r>
    <x v="997"/>
    <d v="2024-06-09T00:00:00"/>
    <s v="Hannah Dawson"/>
    <x v="4"/>
    <x v="1"/>
    <s v="Home Office"/>
    <x v="0"/>
    <x v="1"/>
    <n v="3"/>
    <n v="776.64"/>
    <n v="0.1"/>
    <x v="997"/>
    <n v="1410.12"/>
    <x v="996"/>
    <s v="Mobile Payment"/>
    <n v="1"/>
    <x v="5"/>
    <x v="2"/>
    <n v="2024"/>
    <m/>
  </r>
  <r>
    <x v="998"/>
    <d v="2024-05-09T00:00:00"/>
    <s v="Charles Castillo"/>
    <x v="3"/>
    <x v="2"/>
    <s v="Consumer"/>
    <x v="1"/>
    <x v="2"/>
    <n v="6"/>
    <n v="93.07"/>
    <n v="0.15"/>
    <x v="998"/>
    <n v="391.66"/>
    <x v="997"/>
    <s v="Transfer"/>
    <n v="3"/>
    <x v="9"/>
    <x v="2"/>
    <n v="2024"/>
    <m/>
  </r>
  <r>
    <x v="999"/>
    <d v="2024-05-04T00:00:00"/>
    <s v="Christine Leonard"/>
    <x v="2"/>
    <x v="4"/>
    <s v="Consumer"/>
    <x v="3"/>
    <x v="8"/>
    <n v="6"/>
    <n v="680"/>
    <n v="0.05"/>
    <x v="999"/>
    <n v="2648.82"/>
    <x v="998"/>
    <s v="Cash"/>
    <n v="5"/>
    <x v="9"/>
    <x v="2"/>
    <n v="202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0">
  <r>
    <x v="0"/>
    <d v="2024-01-20T00:00:00"/>
    <s v="Toni Watson"/>
    <s v="West"/>
    <s v="Port Harcourt"/>
    <s v="Home Office"/>
    <s v="Electronics"/>
    <s v="Tablet"/>
    <n v="2"/>
    <n v="925.06"/>
    <n v="0.1"/>
    <n v="1665.11"/>
    <n v="895.32"/>
    <n v="769.79"/>
    <s v="Transfer"/>
    <n v="3"/>
    <s v="January"/>
    <x v="0"/>
    <n v="2024"/>
    <m/>
  </r>
  <r>
    <x v="1"/>
    <d v="2024-03-24T00:00:00"/>
    <s v="Richard Green"/>
    <s v="North"/>
    <s v="Ibadan"/>
    <s v="Consumer"/>
    <s v="Electronics"/>
    <s v="Phone"/>
    <n v="3"/>
    <n v="411.29"/>
    <n v="0.1"/>
    <n v="1110.48"/>
    <n v="827.96"/>
    <n v="282.52"/>
    <s v="Mobile Payment"/>
    <n v="1"/>
    <s v="March"/>
    <x v="0"/>
    <n v="2024"/>
    <m/>
  </r>
  <r>
    <x v="2"/>
    <d v="2024-03-13T00:00:00"/>
    <s v="Richard Baker"/>
    <s v="South"/>
    <s v="Lagos"/>
    <s v="Corporate"/>
    <s v="Electronics"/>
    <s v="Tablet"/>
    <n v="12"/>
    <n v="543.5"/>
    <n v="0"/>
    <n v="6522"/>
    <n v="3472.75"/>
    <n v="3049.25"/>
    <s v="Mobile Payment"/>
    <n v="5"/>
    <s v="March"/>
    <x v="0"/>
    <n v="2024"/>
    <m/>
  </r>
  <r>
    <x v="3"/>
    <d v="2024-09-04T00:00:00"/>
    <s v="Marcus Goodman"/>
    <s v="South"/>
    <s v="Port Harcourt"/>
    <s v="Home Office"/>
    <s v="Clothing"/>
    <s v="Sneakers"/>
    <n v="8"/>
    <n v="1007.03"/>
    <n v="0.1"/>
    <n v="7250.62"/>
    <n v="4496.92"/>
    <n v="2753.7"/>
    <s v="Transfer"/>
    <n v="1"/>
    <s v="September"/>
    <x v="1"/>
    <n v="2024"/>
    <m/>
  </r>
  <r>
    <x v="4"/>
    <d v="2024-08-02T00:00:00"/>
    <s v="Ronald Nelson"/>
    <s v="East"/>
    <s v="Port Harcourt"/>
    <s v="Consumer"/>
    <s v="Clothing"/>
    <s v="Jacket"/>
    <n v="9"/>
    <n v="526.91999999999996"/>
    <n v="0.15"/>
    <n v="4030.94"/>
    <n v="2749.96"/>
    <n v="1280.98"/>
    <s v="Card"/>
    <n v="1"/>
    <s v="August"/>
    <x v="1"/>
    <n v="2024"/>
    <m/>
  </r>
  <r>
    <x v="5"/>
    <d v="2024-02-07T00:00:00"/>
    <s v="Jennifer Levy"/>
    <s v="West"/>
    <s v="Ibadan"/>
    <s v="Home Office"/>
    <s v="Clothing"/>
    <s v="Jacket"/>
    <n v="5"/>
    <n v="212.45"/>
    <n v="0.1"/>
    <n v="956.02"/>
    <n v="663.45"/>
    <n v="292.57"/>
    <s v="Transfer"/>
    <n v="1"/>
    <s v="February"/>
    <x v="0"/>
    <n v="2024"/>
    <m/>
  </r>
  <r>
    <x v="6"/>
    <d v="2024-06-29T00:00:00"/>
    <s v="Rebekah Jones"/>
    <s v="South"/>
    <s v="Ibadan"/>
    <s v="Home Office"/>
    <s v="Furniture"/>
    <s v="Cabinet"/>
    <n v="2"/>
    <n v="999.61"/>
    <n v="0.1"/>
    <n v="1799.3"/>
    <n v="907.73"/>
    <n v="891.57"/>
    <s v="Cash"/>
    <n v="3"/>
    <s v="June"/>
    <x v="2"/>
    <n v="2024"/>
    <m/>
  </r>
  <r>
    <x v="7"/>
    <d v="2024-03-19T00:00:00"/>
    <s v="Thomas Perez"/>
    <s v="Central"/>
    <s v="Ibadan"/>
    <s v="Corporate"/>
    <s v="Clothing"/>
    <s v="Jacket"/>
    <n v="12"/>
    <n v="287.70999999999998"/>
    <n v="0.15"/>
    <n v="2934.64"/>
    <n v="2474.59"/>
    <n v="460.05"/>
    <s v="Mobile Payment"/>
    <n v="1"/>
    <s v="March"/>
    <x v="0"/>
    <n v="2024"/>
    <m/>
  </r>
  <r>
    <x v="8"/>
    <d v="2024-12-16T00:00:00"/>
    <s v="Lisa Johnson"/>
    <s v="East"/>
    <s v="Ibadan"/>
    <s v="Home Office"/>
    <s v="Electronics"/>
    <s v="Phone"/>
    <n v="8"/>
    <n v="239.88"/>
    <n v="0.1"/>
    <n v="1727.14"/>
    <n v="1346.5"/>
    <n v="380.64"/>
    <s v="Mobile Payment"/>
    <n v="1"/>
    <s v="December"/>
    <x v="3"/>
    <n v="2024"/>
    <m/>
  </r>
  <r>
    <x v="9"/>
    <d v="2024-01-05T00:00:00"/>
    <s v="Eric Myers"/>
    <s v="Central"/>
    <s v="Ibadan"/>
    <s v="Consumer"/>
    <s v="Electronics"/>
    <s v="Laptop"/>
    <n v="9"/>
    <n v="432.52"/>
    <n v="0"/>
    <n v="3892.68"/>
    <n v="2059.29"/>
    <n v="1833.39"/>
    <s v="Mobile Payment"/>
    <n v="1"/>
    <s v="January"/>
    <x v="0"/>
    <n v="2024"/>
    <m/>
  </r>
  <r>
    <x v="10"/>
    <d v="2024-01-13T00:00:00"/>
    <s v="Kyle Ellis"/>
    <s v="South"/>
    <s v="Ibadan"/>
    <s v="Consumer"/>
    <s v="Office Supplies"/>
    <s v="Pen"/>
    <n v="8"/>
    <n v="49.31"/>
    <n v="0.1"/>
    <n v="355.03"/>
    <n v="228.97"/>
    <n v="126.06"/>
    <s v="Card"/>
    <n v="3"/>
    <s v="January"/>
    <x v="0"/>
    <n v="2024"/>
    <m/>
  </r>
  <r>
    <x v="11"/>
    <d v="2024-07-17T00:00:00"/>
    <s v="Scott Nguyen"/>
    <s v="Central"/>
    <s v="Kano"/>
    <s v="Consumer"/>
    <s v="Furniture"/>
    <s v="Cabinet"/>
    <n v="2"/>
    <n v="991.46"/>
    <n v="0"/>
    <n v="1982.92"/>
    <n v="1517.57"/>
    <n v="465.35"/>
    <s v="Transfer"/>
    <n v="4"/>
    <s v="July"/>
    <x v="1"/>
    <n v="2024"/>
    <m/>
  </r>
  <r>
    <x v="12"/>
    <d v="2024-10-28T00:00:00"/>
    <s v="Daniel Rogers"/>
    <s v="West"/>
    <s v="Ibadan"/>
    <s v="Consumer"/>
    <s v="Office Supplies"/>
    <s v="Notebook"/>
    <n v="9"/>
    <n v="1170.17"/>
    <n v="0"/>
    <n v="10531.53"/>
    <n v="7586.56"/>
    <n v="2944.97"/>
    <s v="Card"/>
    <n v="4"/>
    <s v="October"/>
    <x v="3"/>
    <n v="2024"/>
    <m/>
  </r>
  <r>
    <x v="13"/>
    <d v="2024-01-15T00:00:00"/>
    <s v="Jessica Garcia"/>
    <s v="South"/>
    <s v="Port Harcourt"/>
    <s v="Corporate"/>
    <s v="Electronics"/>
    <s v="Tablet"/>
    <n v="8"/>
    <n v="1046.58"/>
    <n v="0.15"/>
    <n v="7116.74"/>
    <n v="4315.1099999999997"/>
    <n v="2801.63"/>
    <s v="Card"/>
    <n v="3"/>
    <s v="January"/>
    <x v="0"/>
    <n v="2024"/>
    <m/>
  </r>
  <r>
    <x v="14"/>
    <d v="2024-09-16T00:00:00"/>
    <s v="Jane Nguyen"/>
    <s v="South"/>
    <s v="Abuja"/>
    <s v="Corporate"/>
    <s v="Electronics"/>
    <s v="Tablet"/>
    <n v="4"/>
    <n v="1073.19"/>
    <n v="0.1"/>
    <n v="3863.48"/>
    <n v="2057.3000000000002"/>
    <n v="1806.18"/>
    <s v="Transfer"/>
    <n v="4"/>
    <s v="September"/>
    <x v="1"/>
    <n v="2024"/>
    <m/>
  </r>
  <r>
    <x v="15"/>
    <d v="2024-10-16T00:00:00"/>
    <s v="Jeremy Matthews"/>
    <s v="South"/>
    <s v="Lagos"/>
    <s v="Home Office"/>
    <s v="Electronics"/>
    <s v="Laptop"/>
    <n v="4"/>
    <n v="611.11"/>
    <n v="0"/>
    <n v="2444.44"/>
    <n v="1388.34"/>
    <n v="1056.0999999999999"/>
    <s v="Transfer"/>
    <n v="1"/>
    <s v="October"/>
    <x v="3"/>
    <n v="2024"/>
    <m/>
  </r>
  <r>
    <x v="16"/>
    <d v="2024-09-04T00:00:00"/>
    <s v="Wendy Scott"/>
    <s v="West"/>
    <s v="Ibadan"/>
    <s v="Consumer"/>
    <s v="Office Supplies"/>
    <s v="Paper"/>
    <n v="9"/>
    <n v="168.83"/>
    <n v="0.05"/>
    <n v="1443.5"/>
    <n v="1118.9000000000001"/>
    <n v="324.60000000000002"/>
    <s v="Transfer"/>
    <n v="5"/>
    <s v="September"/>
    <x v="1"/>
    <n v="2024"/>
    <m/>
  </r>
  <r>
    <x v="17"/>
    <d v="2024-01-04T00:00:00"/>
    <s v="Mike Lloyd"/>
    <s v="Central"/>
    <s v="Port Harcourt"/>
    <s v="Corporate"/>
    <s v="Clothing"/>
    <s v="Sneakers"/>
    <n v="7"/>
    <n v="1098.25"/>
    <n v="0.05"/>
    <n v="7303.36"/>
    <n v="5210.3100000000004"/>
    <n v="2093.0500000000002"/>
    <s v="Transfer"/>
    <n v="5"/>
    <s v="January"/>
    <x v="0"/>
    <n v="2024"/>
    <m/>
  </r>
  <r>
    <x v="18"/>
    <d v="2024-08-03T00:00:00"/>
    <s v="Joseph Ramirez"/>
    <s v="East"/>
    <s v="Kano"/>
    <s v="Consumer"/>
    <s v="Electronics"/>
    <s v="Laptop"/>
    <n v="6"/>
    <n v="1035.3599999999999"/>
    <n v="0.1"/>
    <n v="5590.94"/>
    <n v="4669.49"/>
    <n v="921.45"/>
    <s v="Mobile Payment"/>
    <n v="3"/>
    <s v="August"/>
    <x v="1"/>
    <n v="2024"/>
    <m/>
  </r>
  <r>
    <x v="19"/>
    <d v="2024-07-11T00:00:00"/>
    <s v="Joseph Hutchinson"/>
    <s v="Central"/>
    <s v="Kano"/>
    <s v="Consumer"/>
    <s v="Furniture"/>
    <s v="Desk"/>
    <n v="7"/>
    <n v="1172.9000000000001"/>
    <n v="0"/>
    <n v="8210.2999999999993"/>
    <n v="6523.65"/>
    <n v="1686.65"/>
    <s v="Mobile Payment"/>
    <n v="3"/>
    <s v="July"/>
    <x v="1"/>
    <n v="2024"/>
    <m/>
  </r>
  <r>
    <x v="20"/>
    <d v="2024-07-13T00:00:00"/>
    <s v="James Villanueva"/>
    <s v="North"/>
    <s v="Port Harcourt"/>
    <s v="Corporate"/>
    <s v="Electronics"/>
    <s v="Tablet"/>
    <n v="2"/>
    <n v="1090.77"/>
    <n v="0.1"/>
    <n v="1963.39"/>
    <n v="1019.43"/>
    <n v="943.96"/>
    <s v="Transfer"/>
    <n v="1"/>
    <s v="July"/>
    <x v="1"/>
    <n v="2024"/>
    <m/>
  </r>
  <r>
    <x v="21"/>
    <d v="2024-08-12T00:00:00"/>
    <s v="David Lopez"/>
    <s v="Central"/>
    <s v="Port Harcourt"/>
    <s v="Corporate"/>
    <s v="Clothing"/>
    <s v="Jacket"/>
    <n v="12"/>
    <n v="396.39"/>
    <n v="0.15"/>
    <n v="4043.18"/>
    <n v="2397.89"/>
    <n v="1645.29"/>
    <s v="Card"/>
    <n v="4"/>
    <s v="August"/>
    <x v="1"/>
    <n v="2024"/>
    <m/>
  </r>
  <r>
    <x v="22"/>
    <d v="2024-09-11T00:00:00"/>
    <s v="Kaitlyn Williams"/>
    <s v="South"/>
    <s v="Ibadan"/>
    <s v="Home Office"/>
    <s v="Office Supplies"/>
    <s v="Pen"/>
    <n v="1"/>
    <n v="226.82"/>
    <n v="0"/>
    <n v="226.82"/>
    <n v="147.4"/>
    <n v="79.42"/>
    <s v="Cash"/>
    <n v="4"/>
    <s v="September"/>
    <x v="1"/>
    <n v="2024"/>
    <m/>
  </r>
  <r>
    <x v="23"/>
    <d v="2024-01-17T00:00:00"/>
    <s v="Lori Simon"/>
    <s v="West"/>
    <s v="Port Harcourt"/>
    <s v="Home Office"/>
    <s v="Furniture"/>
    <s v="Chair"/>
    <n v="6"/>
    <n v="1070.92"/>
    <n v="0.05"/>
    <n v="6104.24"/>
    <n v="4329.08"/>
    <n v="1775.16"/>
    <s v="Transfer"/>
    <n v="5"/>
    <s v="January"/>
    <x v="0"/>
    <n v="2024"/>
    <m/>
  </r>
  <r>
    <x v="24"/>
    <d v="2024-05-25T00:00:00"/>
    <s v="Kendra Boyd"/>
    <s v="South"/>
    <s v="Ibadan"/>
    <s v="Corporate"/>
    <s v="Electronics"/>
    <s v="Tablet"/>
    <n v="12"/>
    <n v="469.94"/>
    <n v="0"/>
    <n v="5639.28"/>
    <n v="4539.93"/>
    <n v="1099.3499999999999"/>
    <s v="Mobile Payment"/>
    <n v="1"/>
    <s v="May"/>
    <x v="2"/>
    <n v="2024"/>
    <m/>
  </r>
  <r>
    <x v="25"/>
    <d v="2024-03-25T00:00:00"/>
    <s v="Tammy Henry"/>
    <s v="Central"/>
    <s v="Abuja"/>
    <s v="Corporate"/>
    <s v="Electronics"/>
    <s v="Printer"/>
    <n v="11"/>
    <n v="206.08"/>
    <n v="0"/>
    <n v="2266.88"/>
    <n v="1347.22"/>
    <n v="919.66"/>
    <s v="Mobile Payment"/>
    <n v="4"/>
    <s v="March"/>
    <x v="0"/>
    <n v="2024"/>
    <m/>
  </r>
  <r>
    <x v="26"/>
    <d v="2024-10-12T00:00:00"/>
    <s v="Jose Weeks"/>
    <s v="East"/>
    <s v="Abuja"/>
    <s v="Home Office"/>
    <s v="Furniture"/>
    <s v="Chair"/>
    <n v="9"/>
    <n v="119.67"/>
    <n v="0.15"/>
    <n v="915.48"/>
    <n v="654.11"/>
    <n v="261.37"/>
    <s v="Cash"/>
    <n v="4"/>
    <s v="October"/>
    <x v="3"/>
    <n v="2024"/>
    <m/>
  </r>
  <r>
    <x v="27"/>
    <d v="2024-08-11T00:00:00"/>
    <s v="Sara Lara"/>
    <s v="Central"/>
    <s v="Kano"/>
    <s v="Consumer"/>
    <s v="Clothing"/>
    <s v="Sneakers"/>
    <n v="2"/>
    <n v="81.58"/>
    <n v="0.15"/>
    <n v="138.69"/>
    <n v="106.32"/>
    <n v="32.369999999999997"/>
    <s v="Mobile Payment"/>
    <n v="2"/>
    <s v="August"/>
    <x v="1"/>
    <n v="2024"/>
    <m/>
  </r>
  <r>
    <x v="28"/>
    <d v="2024-02-07T00:00:00"/>
    <s v="Matthew Small"/>
    <s v="West"/>
    <s v="Lagos"/>
    <s v="Consumer"/>
    <s v="Furniture"/>
    <s v="Desk"/>
    <n v="4"/>
    <n v="1167.1500000000001"/>
    <n v="0.05"/>
    <n v="4435.17"/>
    <n v="3630.22"/>
    <n v="804.95"/>
    <s v="Mobile Payment"/>
    <n v="3"/>
    <s v="February"/>
    <x v="0"/>
    <n v="2024"/>
    <m/>
  </r>
  <r>
    <x v="29"/>
    <d v="2024-04-05T00:00:00"/>
    <s v="Wanda Goodman"/>
    <s v="East"/>
    <s v="Lagos"/>
    <s v="Corporate"/>
    <s v="Electronics"/>
    <s v="Laptop"/>
    <n v="4"/>
    <n v="879.62"/>
    <n v="0.15"/>
    <n v="2990.71"/>
    <n v="2226.85"/>
    <n v="763.86"/>
    <s v="Transfer"/>
    <n v="2"/>
    <s v="April"/>
    <x v="2"/>
    <n v="2024"/>
    <m/>
  </r>
  <r>
    <x v="30"/>
    <d v="2024-12-05T00:00:00"/>
    <s v="Teresa Herrera"/>
    <s v="West"/>
    <s v="Ibadan"/>
    <s v="Home Office"/>
    <s v="Electronics"/>
    <s v="Tablet"/>
    <n v="3"/>
    <n v="564.41999999999996"/>
    <n v="0.15"/>
    <n v="1439.27"/>
    <n v="831.49"/>
    <n v="607.78"/>
    <s v="Card"/>
    <n v="4"/>
    <s v="December"/>
    <x v="3"/>
    <n v="2024"/>
    <m/>
  </r>
  <r>
    <x v="31"/>
    <d v="2024-02-24T00:00:00"/>
    <s v="Jessica Townsend"/>
    <s v="South"/>
    <s v="Lagos"/>
    <s v="Corporate"/>
    <s v="Electronics"/>
    <s v="Printer"/>
    <n v="1"/>
    <n v="351.28"/>
    <n v="0.15"/>
    <n v="298.58999999999997"/>
    <n v="225.71"/>
    <n v="72.88"/>
    <s v="Transfer"/>
    <n v="5"/>
    <s v="February"/>
    <x v="0"/>
    <n v="2024"/>
    <m/>
  </r>
  <r>
    <x v="32"/>
    <d v="2024-01-25T00:00:00"/>
    <s v="Melissa Eaton"/>
    <s v="North"/>
    <s v="Port Harcourt"/>
    <s v="Consumer"/>
    <s v="Electronics"/>
    <s v="Printer"/>
    <n v="9"/>
    <n v="430.08"/>
    <n v="0.1"/>
    <n v="3483.65"/>
    <n v="2001.99"/>
    <n v="1481.66"/>
    <s v="Transfer"/>
    <n v="1"/>
    <s v="January"/>
    <x v="0"/>
    <n v="2024"/>
    <m/>
  </r>
  <r>
    <x v="33"/>
    <d v="2024-01-03T00:00:00"/>
    <s v="Kathy Harris"/>
    <s v="South"/>
    <s v="Lagos"/>
    <s v="Corporate"/>
    <s v="Furniture"/>
    <s v="Chair"/>
    <n v="3"/>
    <n v="508.36"/>
    <n v="0.15"/>
    <n v="1296.32"/>
    <n v="711.94"/>
    <n v="584.38"/>
    <s v="Cash"/>
    <n v="1"/>
    <s v="January"/>
    <x v="0"/>
    <n v="2024"/>
    <m/>
  </r>
  <r>
    <x v="34"/>
    <d v="2024-01-31T00:00:00"/>
    <s v="Kelsey Craig"/>
    <s v="North"/>
    <s v="Abuja"/>
    <s v="Consumer"/>
    <s v="Furniture"/>
    <s v="Desk"/>
    <n v="8"/>
    <n v="521.94000000000005"/>
    <n v="0.05"/>
    <n v="3966.74"/>
    <n v="2901.5"/>
    <n v="1065.24"/>
    <s v="Mobile Payment"/>
    <n v="1"/>
    <s v="January"/>
    <x v="0"/>
    <n v="2024"/>
    <m/>
  </r>
  <r>
    <x v="35"/>
    <d v="2024-04-30T00:00:00"/>
    <s v="Nicole Young"/>
    <s v="West"/>
    <s v="Kano"/>
    <s v="Home Office"/>
    <s v="Furniture"/>
    <s v="Cabinet"/>
    <n v="1"/>
    <n v="437.13"/>
    <n v="0.05"/>
    <n v="415.27"/>
    <n v="326.37"/>
    <n v="88.9"/>
    <s v="Card"/>
    <n v="1"/>
    <s v="April"/>
    <x v="2"/>
    <n v="2024"/>
    <m/>
  </r>
  <r>
    <x v="36"/>
    <d v="2024-02-01T00:00:00"/>
    <s v="Maria Johns"/>
    <s v="North"/>
    <s v="Port Harcourt"/>
    <s v="Consumer"/>
    <s v="Electronics"/>
    <s v="Tablet"/>
    <n v="6"/>
    <n v="806.29"/>
    <n v="0.1"/>
    <n v="4353.97"/>
    <n v="3376.12"/>
    <n v="977.85"/>
    <s v="Cash"/>
    <n v="2"/>
    <s v="February"/>
    <x v="0"/>
    <n v="2024"/>
    <m/>
  </r>
  <r>
    <x v="37"/>
    <d v="2024-11-05T00:00:00"/>
    <s v="Shannon Williams"/>
    <s v="Central"/>
    <s v="Kano"/>
    <s v="Corporate"/>
    <s v="Office Supplies"/>
    <s v="Notebook"/>
    <n v="3"/>
    <n v="673.23"/>
    <n v="0"/>
    <n v="2019.69"/>
    <n v="1564.75"/>
    <n v="454.94"/>
    <s v="Transfer"/>
    <n v="3"/>
    <s v="November"/>
    <x v="3"/>
    <n v="2024"/>
    <m/>
  </r>
  <r>
    <x v="38"/>
    <d v="2024-01-02T00:00:00"/>
    <s v="Colton Harris"/>
    <s v="East"/>
    <s v="Port Harcourt"/>
    <s v="Consumer"/>
    <s v="Furniture"/>
    <s v="Chair"/>
    <n v="1"/>
    <n v="727.16"/>
    <n v="0.1"/>
    <n v="654.44000000000005"/>
    <n v="399.02"/>
    <n v="255.42"/>
    <s v="Transfer"/>
    <n v="1"/>
    <s v="January"/>
    <x v="0"/>
    <n v="2024"/>
    <m/>
  </r>
  <r>
    <x v="39"/>
    <d v="2024-11-01T00:00:00"/>
    <s v="Jennifer Nolan"/>
    <s v="Central"/>
    <s v="Abuja"/>
    <s v="Corporate"/>
    <s v="Clothing"/>
    <s v="Jacket"/>
    <n v="3"/>
    <n v="735.91"/>
    <n v="0.15"/>
    <n v="1876.57"/>
    <n v="1503.2"/>
    <n v="373.37"/>
    <s v="Cash"/>
    <n v="2"/>
    <s v="November"/>
    <x v="3"/>
    <n v="2024"/>
    <m/>
  </r>
  <r>
    <x v="40"/>
    <d v="2024-10-10T00:00:00"/>
    <s v="Megan Sullivan"/>
    <s v="Central"/>
    <s v="Abuja"/>
    <s v="Corporate"/>
    <s v="Furniture"/>
    <s v="Cabinet"/>
    <n v="6"/>
    <n v="518.57000000000005"/>
    <n v="0.15"/>
    <n v="2644.71"/>
    <n v="1584.59"/>
    <n v="1060.1199999999999"/>
    <s v="Cash"/>
    <n v="3"/>
    <s v="October"/>
    <x v="3"/>
    <n v="2024"/>
    <m/>
  </r>
  <r>
    <x v="41"/>
    <d v="2024-12-31T00:00:00"/>
    <s v="Patricia Peters"/>
    <s v="Central"/>
    <s v="Lagos"/>
    <s v="Corporate"/>
    <s v="Electronics"/>
    <s v="Phone"/>
    <n v="4"/>
    <n v="444.97"/>
    <n v="0"/>
    <n v="1779.88"/>
    <n v="974.9"/>
    <n v="804.98"/>
    <s v="Cash"/>
    <n v="1"/>
    <s v="December"/>
    <x v="3"/>
    <n v="2024"/>
    <m/>
  </r>
  <r>
    <x v="42"/>
    <d v="2024-11-13T00:00:00"/>
    <s v="Dustin Henderson"/>
    <s v="East"/>
    <s v="Port Harcourt"/>
    <s v="Home Office"/>
    <s v="Office Supplies"/>
    <s v="Notebook"/>
    <n v="5"/>
    <n v="439.77"/>
    <n v="0.1"/>
    <n v="1978.96"/>
    <n v="1273.98"/>
    <n v="704.98"/>
    <s v="Cash"/>
    <n v="5"/>
    <s v="November"/>
    <x v="3"/>
    <n v="2024"/>
    <m/>
  </r>
  <r>
    <x v="43"/>
    <d v="2024-04-30T00:00:00"/>
    <s v="George Kent"/>
    <s v="North"/>
    <s v="Lagos"/>
    <s v="Consumer"/>
    <s v="Electronics"/>
    <s v="Tablet"/>
    <n v="5"/>
    <n v="961.1"/>
    <n v="0.1"/>
    <n v="4324.95"/>
    <n v="2827.77"/>
    <n v="1497.18"/>
    <s v="Cash"/>
    <n v="4"/>
    <s v="April"/>
    <x v="2"/>
    <n v="2024"/>
    <m/>
  </r>
  <r>
    <x v="44"/>
    <d v="2024-07-31T00:00:00"/>
    <s v="Margaret Franklin"/>
    <s v="South"/>
    <s v="Abuja"/>
    <s v="Consumer"/>
    <s v="Clothing"/>
    <s v="Sneakers"/>
    <n v="11"/>
    <n v="224.55"/>
    <n v="0.05"/>
    <n v="2346.5500000000002"/>
    <n v="1491.46"/>
    <n v="855.09"/>
    <s v="Mobile Payment"/>
    <n v="2"/>
    <s v="July"/>
    <x v="1"/>
    <n v="2024"/>
    <m/>
  </r>
  <r>
    <x v="45"/>
    <d v="2024-07-18T00:00:00"/>
    <s v="Renee Marshall"/>
    <s v="East"/>
    <s v="Lagos"/>
    <s v="Consumer"/>
    <s v="Electronics"/>
    <s v="Phone"/>
    <n v="9"/>
    <n v="327.35000000000002"/>
    <n v="0.05"/>
    <n v="2798.84"/>
    <n v="2160.9499999999998"/>
    <n v="637.89"/>
    <s v="Cash"/>
    <n v="5"/>
    <s v="July"/>
    <x v="1"/>
    <n v="2024"/>
    <m/>
  </r>
  <r>
    <x v="46"/>
    <d v="2024-06-08T00:00:00"/>
    <s v="Tracy Garza"/>
    <s v="Central"/>
    <s v="Port Harcourt"/>
    <s v="Home Office"/>
    <s v="Clothing"/>
    <s v="Sneakers"/>
    <n v="10"/>
    <n v="73.739999999999995"/>
    <n v="0.05"/>
    <n v="700.53"/>
    <n v="564.80999999999995"/>
    <n v="135.72"/>
    <s v="Transfer"/>
    <n v="1"/>
    <s v="June"/>
    <x v="2"/>
    <n v="2024"/>
    <m/>
  </r>
  <r>
    <x v="47"/>
    <d v="2024-09-11T00:00:00"/>
    <s v="Logan Nelson"/>
    <s v="North"/>
    <s v="Ibadan"/>
    <s v="Consumer"/>
    <s v="Furniture"/>
    <s v="Chair"/>
    <n v="5"/>
    <n v="1057.47"/>
    <n v="0.05"/>
    <n v="5022.9799999999996"/>
    <n v="3262.13"/>
    <n v="1760.85"/>
    <s v="Card"/>
    <n v="2"/>
    <s v="September"/>
    <x v="1"/>
    <n v="2024"/>
    <m/>
  </r>
  <r>
    <x v="48"/>
    <d v="2024-08-10T00:00:00"/>
    <s v="Robin Foster"/>
    <s v="Central"/>
    <s v="Kano"/>
    <s v="Consumer"/>
    <s v="Electronics"/>
    <s v="Phone"/>
    <n v="2"/>
    <n v="544.28"/>
    <n v="0.05"/>
    <n v="1034.1300000000001"/>
    <n v="662.1"/>
    <n v="372.03"/>
    <s v="Card"/>
    <n v="1"/>
    <s v="August"/>
    <x v="1"/>
    <n v="2024"/>
    <m/>
  </r>
  <r>
    <x v="49"/>
    <d v="2024-01-19T00:00:00"/>
    <s v="Vincent Daniels"/>
    <s v="South"/>
    <s v="Port Harcourt"/>
    <s v="Consumer"/>
    <s v="Clothing"/>
    <s v="T-Shirt"/>
    <n v="9"/>
    <n v="1111.72"/>
    <n v="0"/>
    <n v="10005.48"/>
    <n v="5731.95"/>
    <n v="4273.53"/>
    <s v="Cash"/>
    <n v="4"/>
    <s v="January"/>
    <x v="0"/>
    <n v="2024"/>
    <m/>
  </r>
  <r>
    <x v="50"/>
    <d v="2024-07-26T00:00:00"/>
    <s v="Michael Gonzalez"/>
    <s v="West"/>
    <s v="Lagos"/>
    <s v="Consumer"/>
    <s v="Clothing"/>
    <s v="Jacket"/>
    <n v="7"/>
    <n v="407.17"/>
    <n v="0.05"/>
    <n v="2707.68"/>
    <n v="1963.13"/>
    <n v="744.55"/>
    <s v="Cash"/>
    <n v="2"/>
    <s v="July"/>
    <x v="1"/>
    <n v="2024"/>
    <m/>
  </r>
  <r>
    <x v="51"/>
    <d v="2024-08-03T00:00:00"/>
    <s v="Jennifer Kim"/>
    <s v="East"/>
    <s v="Kano"/>
    <s v="Corporate"/>
    <s v="Furniture"/>
    <s v="Cabinet"/>
    <n v="11"/>
    <n v="171.77"/>
    <n v="0.1"/>
    <n v="1700.52"/>
    <n v="1067.3800000000001"/>
    <n v="633.14"/>
    <s v="Card"/>
    <n v="5"/>
    <s v="August"/>
    <x v="1"/>
    <n v="2024"/>
    <m/>
  </r>
  <r>
    <x v="52"/>
    <d v="2024-11-01T00:00:00"/>
    <s v="Janet Cuevas"/>
    <s v="Central"/>
    <s v="Lagos"/>
    <s v="Corporate"/>
    <s v="Electronics"/>
    <s v="Laptop"/>
    <n v="10"/>
    <n v="728.65"/>
    <n v="0.05"/>
    <n v="6922.17"/>
    <n v="4720.3"/>
    <n v="2201.87"/>
    <s v="Card"/>
    <n v="5"/>
    <s v="November"/>
    <x v="3"/>
    <n v="2024"/>
    <m/>
  </r>
  <r>
    <x v="53"/>
    <d v="2024-05-25T00:00:00"/>
    <s v="Deanna Freeman"/>
    <s v="Central"/>
    <s v="Port Harcourt"/>
    <s v="Home Office"/>
    <s v="Clothing"/>
    <s v="T-Shirt"/>
    <n v="6"/>
    <n v="362.55"/>
    <n v="0.15"/>
    <n v="1849.01"/>
    <n v="1166.2"/>
    <n v="682.81"/>
    <s v="Transfer"/>
    <n v="2"/>
    <s v="May"/>
    <x v="2"/>
    <n v="2024"/>
    <m/>
  </r>
  <r>
    <x v="54"/>
    <d v="2024-07-09T00:00:00"/>
    <s v="Jimmy Thomas"/>
    <s v="West"/>
    <s v="Abuja"/>
    <s v="Consumer"/>
    <s v="Furniture"/>
    <s v="Desk"/>
    <n v="6"/>
    <n v="72.34"/>
    <n v="0"/>
    <n v="434.04"/>
    <n v="291.58"/>
    <n v="142.46"/>
    <s v="Cash"/>
    <n v="2"/>
    <s v="July"/>
    <x v="1"/>
    <n v="2024"/>
    <m/>
  </r>
  <r>
    <x v="55"/>
    <d v="2024-09-06T00:00:00"/>
    <s v="Nicholas Massey"/>
    <s v="Central"/>
    <s v="Abuja"/>
    <s v="Home Office"/>
    <s v="Clothing"/>
    <s v="T-Shirt"/>
    <n v="9"/>
    <n v="818.76"/>
    <n v="0"/>
    <n v="7368.84"/>
    <n v="5653.66"/>
    <n v="1715.18"/>
    <s v="Mobile Payment"/>
    <n v="3"/>
    <s v="September"/>
    <x v="1"/>
    <n v="2024"/>
    <m/>
  </r>
  <r>
    <x v="56"/>
    <d v="2024-09-03T00:00:00"/>
    <s v="Stephanie Webster"/>
    <s v="South"/>
    <s v="Abuja"/>
    <s v="Consumer"/>
    <s v="Office Supplies"/>
    <s v="Paper"/>
    <n v="11"/>
    <n v="1014.57"/>
    <n v="0.1"/>
    <n v="10044.24"/>
    <n v="6209.8"/>
    <n v="3834.44"/>
    <s v="Cash"/>
    <n v="5"/>
    <s v="September"/>
    <x v="1"/>
    <n v="2024"/>
    <m/>
  </r>
  <r>
    <x v="57"/>
    <d v="2024-07-23T00:00:00"/>
    <s v="Whitney Holt"/>
    <s v="South"/>
    <s v="Port Harcourt"/>
    <s v="Consumer"/>
    <s v="Furniture"/>
    <s v="Chair"/>
    <n v="1"/>
    <n v="176.96"/>
    <n v="0.05"/>
    <n v="168.11"/>
    <n v="124.39"/>
    <n v="43.72"/>
    <s v="Card"/>
    <n v="4"/>
    <s v="July"/>
    <x v="1"/>
    <n v="2024"/>
    <m/>
  </r>
  <r>
    <x v="58"/>
    <d v="2024-08-06T00:00:00"/>
    <s v="Kenneth Werner"/>
    <s v="West"/>
    <s v="Ibadan"/>
    <s v="Corporate"/>
    <s v="Electronics"/>
    <s v="Printer"/>
    <n v="3"/>
    <n v="339.26"/>
    <n v="0.15"/>
    <n v="865.11"/>
    <n v="500.62"/>
    <n v="364.49"/>
    <s v="Cash"/>
    <n v="4"/>
    <s v="August"/>
    <x v="1"/>
    <n v="2024"/>
    <m/>
  </r>
  <r>
    <x v="59"/>
    <d v="2024-02-27T00:00:00"/>
    <s v="James Lam"/>
    <s v="North"/>
    <s v="Kano"/>
    <s v="Corporate"/>
    <s v="Clothing"/>
    <s v="Jacket"/>
    <n v="2"/>
    <n v="1176.56"/>
    <n v="0.15"/>
    <n v="2000.15"/>
    <n v="1324.79"/>
    <n v="675.36"/>
    <s v="Transfer"/>
    <n v="2"/>
    <s v="February"/>
    <x v="0"/>
    <n v="2024"/>
    <m/>
  </r>
  <r>
    <x v="60"/>
    <d v="2024-03-05T00:00:00"/>
    <s v="Karl Newman"/>
    <s v="West"/>
    <s v="Abuja"/>
    <s v="Home Office"/>
    <s v="Clothing"/>
    <s v="Jacket"/>
    <n v="10"/>
    <n v="837.27"/>
    <n v="0.05"/>
    <n v="7954.07"/>
    <n v="4067.96"/>
    <n v="3886.11"/>
    <s v="Mobile Payment"/>
    <n v="4"/>
    <s v="March"/>
    <x v="0"/>
    <n v="2024"/>
    <m/>
  </r>
  <r>
    <x v="61"/>
    <d v="2024-07-01T00:00:00"/>
    <s v="Ricardo Wallace"/>
    <s v="Central"/>
    <s v="Kano"/>
    <s v="Home Office"/>
    <s v="Electronics"/>
    <s v="Tablet"/>
    <n v="11"/>
    <n v="1115.67"/>
    <n v="0.1"/>
    <n v="11045.13"/>
    <n v="9212.4"/>
    <n v="1832.73"/>
    <s v="Cash"/>
    <n v="3"/>
    <s v="July"/>
    <x v="1"/>
    <n v="2024"/>
    <m/>
  </r>
  <r>
    <x v="62"/>
    <d v="2024-09-20T00:00:00"/>
    <s v="Francisco Eaton"/>
    <s v="West"/>
    <s v="Ibadan"/>
    <s v="Home Office"/>
    <s v="Furniture"/>
    <s v="Desk"/>
    <n v="2"/>
    <n v="674.5"/>
    <n v="0"/>
    <n v="1349"/>
    <n v="957.76"/>
    <n v="391.24"/>
    <s v="Mobile Payment"/>
    <n v="1"/>
    <s v="September"/>
    <x v="1"/>
    <n v="2024"/>
    <m/>
  </r>
  <r>
    <x v="63"/>
    <d v="2024-02-29T00:00:00"/>
    <s v="Troy Brock"/>
    <s v="West"/>
    <s v="Lagos"/>
    <s v="Corporate"/>
    <s v="Furniture"/>
    <s v="Desk"/>
    <n v="6"/>
    <n v="282.37"/>
    <n v="0.15"/>
    <n v="1440.09"/>
    <n v="1091.57"/>
    <n v="348.52"/>
    <s v="Mobile Payment"/>
    <n v="1"/>
    <s v="February"/>
    <x v="0"/>
    <n v="2024"/>
    <m/>
  </r>
  <r>
    <x v="64"/>
    <d v="2024-02-12T00:00:00"/>
    <s v="Megan Mckee"/>
    <s v="North"/>
    <s v="Ibadan"/>
    <s v="Home Office"/>
    <s v="Furniture"/>
    <s v="Chair"/>
    <n v="2"/>
    <n v="833.98"/>
    <n v="0.1"/>
    <n v="1501.16"/>
    <n v="842.48"/>
    <n v="658.68"/>
    <s v="Mobile Payment"/>
    <n v="4"/>
    <s v="February"/>
    <x v="0"/>
    <n v="2024"/>
    <m/>
  </r>
  <r>
    <x v="65"/>
    <d v="2024-09-16T00:00:00"/>
    <s v="Wendy Robinson"/>
    <s v="West"/>
    <s v="Ibadan"/>
    <s v="Home Office"/>
    <s v="Clothing"/>
    <s v="Jacket"/>
    <n v="1"/>
    <n v="503.39"/>
    <n v="0"/>
    <n v="503.39"/>
    <n v="416.64"/>
    <n v="86.75"/>
    <s v="Transfer"/>
    <n v="3"/>
    <s v="September"/>
    <x v="1"/>
    <n v="2024"/>
    <m/>
  </r>
  <r>
    <x v="66"/>
    <d v="2024-07-19T00:00:00"/>
    <s v="Marc Munoz"/>
    <s v="Central"/>
    <s v="Kano"/>
    <s v="Consumer"/>
    <s v="Office Supplies"/>
    <s v="Notebook"/>
    <n v="6"/>
    <n v="730.77"/>
    <n v="0"/>
    <n v="4384.62"/>
    <n v="2233.69"/>
    <n v="2150.9299999999998"/>
    <s v="Card"/>
    <n v="3"/>
    <s v="July"/>
    <x v="1"/>
    <n v="2024"/>
    <m/>
  </r>
  <r>
    <x v="67"/>
    <d v="2024-09-30T00:00:00"/>
    <s v="Steven Brown"/>
    <s v="North"/>
    <s v="Port Harcourt"/>
    <s v="Corporate"/>
    <s v="Office Supplies"/>
    <s v="Paper"/>
    <n v="5"/>
    <n v="190.53"/>
    <n v="0.15"/>
    <n v="809.75"/>
    <n v="507.1"/>
    <n v="302.64999999999998"/>
    <s v="Card"/>
    <n v="2"/>
    <s v="September"/>
    <x v="1"/>
    <n v="2024"/>
    <m/>
  </r>
  <r>
    <x v="68"/>
    <d v="2024-03-24T00:00:00"/>
    <s v="Jessica Miller"/>
    <s v="South"/>
    <s v="Ibadan"/>
    <s v="Corporate"/>
    <s v="Office Supplies"/>
    <s v="Notebook"/>
    <n v="12"/>
    <n v="576.28"/>
    <n v="0.05"/>
    <n v="6569.59"/>
    <n v="5236.5200000000004"/>
    <n v="1333.07"/>
    <s v="Transfer"/>
    <n v="4"/>
    <s v="March"/>
    <x v="0"/>
    <n v="2024"/>
    <m/>
  </r>
  <r>
    <x v="69"/>
    <d v="2024-07-20T00:00:00"/>
    <s v="Nicole Jimenez"/>
    <s v="West"/>
    <s v="Lagos"/>
    <s v="Home Office"/>
    <s v="Clothing"/>
    <s v="Sneakers"/>
    <n v="5"/>
    <n v="529.27"/>
    <n v="0.1"/>
    <n v="2381.7199999999998"/>
    <n v="1256.99"/>
    <n v="1124.73"/>
    <s v="Transfer"/>
    <n v="4"/>
    <s v="July"/>
    <x v="1"/>
    <n v="2024"/>
    <m/>
  </r>
  <r>
    <x v="70"/>
    <d v="2024-08-15T00:00:00"/>
    <s v="Victor Barnett"/>
    <s v="Central"/>
    <s v="Kano"/>
    <s v="Home Office"/>
    <s v="Furniture"/>
    <s v="Desk"/>
    <n v="1"/>
    <n v="201.61"/>
    <n v="0.15"/>
    <n v="171.37"/>
    <n v="133.07"/>
    <n v="38.299999999999997"/>
    <s v="Card"/>
    <n v="3"/>
    <s v="August"/>
    <x v="1"/>
    <n v="2024"/>
    <m/>
  </r>
  <r>
    <x v="71"/>
    <d v="2024-02-12T00:00:00"/>
    <s v="Scott Robinson"/>
    <s v="Central"/>
    <s v="Ibadan"/>
    <s v="Home Office"/>
    <s v="Furniture"/>
    <s v="Cabinet"/>
    <n v="4"/>
    <n v="1090.57"/>
    <n v="0.15"/>
    <n v="3707.94"/>
    <n v="2902.58"/>
    <n v="805.36"/>
    <s v="Cash"/>
    <n v="3"/>
    <s v="February"/>
    <x v="0"/>
    <n v="2024"/>
    <m/>
  </r>
  <r>
    <x v="72"/>
    <d v="2024-10-28T00:00:00"/>
    <s v="Megan Rivera"/>
    <s v="South"/>
    <s v="Abuja"/>
    <s v="Corporate"/>
    <s v="Clothing"/>
    <s v="Jacket"/>
    <n v="11"/>
    <n v="1125.3900000000001"/>
    <n v="0.05"/>
    <n v="11760.33"/>
    <n v="7297.31"/>
    <n v="4463.0200000000004"/>
    <s v="Mobile Payment"/>
    <n v="2"/>
    <s v="October"/>
    <x v="3"/>
    <n v="2024"/>
    <m/>
  </r>
  <r>
    <x v="73"/>
    <d v="2024-10-28T00:00:00"/>
    <s v="Angela Byrd"/>
    <s v="Central"/>
    <s v="Lagos"/>
    <s v="Corporate"/>
    <s v="Furniture"/>
    <s v="Chair"/>
    <n v="5"/>
    <n v="744.05"/>
    <n v="0.05"/>
    <n v="3534.24"/>
    <n v="2134.14"/>
    <n v="1400.1"/>
    <s v="Card"/>
    <n v="5"/>
    <s v="October"/>
    <x v="3"/>
    <n v="2024"/>
    <m/>
  </r>
  <r>
    <x v="74"/>
    <d v="2024-03-23T00:00:00"/>
    <s v="Christina Vaughn"/>
    <s v="East"/>
    <s v="Lagos"/>
    <s v="Consumer"/>
    <s v="Clothing"/>
    <s v="T-Shirt"/>
    <n v="3"/>
    <n v="198.57"/>
    <n v="0.1"/>
    <n v="536.14"/>
    <n v="384.91"/>
    <n v="151.22999999999999"/>
    <s v="Card"/>
    <n v="1"/>
    <s v="March"/>
    <x v="0"/>
    <n v="2024"/>
    <m/>
  </r>
  <r>
    <x v="75"/>
    <d v="2024-02-18T00:00:00"/>
    <s v="Lawrence Medina"/>
    <s v="Central"/>
    <s v="Port Harcourt"/>
    <s v="Consumer"/>
    <s v="Office Supplies"/>
    <s v="Notebook"/>
    <n v="2"/>
    <n v="217.96"/>
    <n v="0.15"/>
    <n v="370.53"/>
    <n v="241.69"/>
    <n v="128.84"/>
    <s v="Card"/>
    <n v="1"/>
    <s v="February"/>
    <x v="0"/>
    <n v="2024"/>
    <m/>
  </r>
  <r>
    <x v="76"/>
    <d v="2024-03-06T00:00:00"/>
    <s v="Joseph Johnston"/>
    <s v="Central"/>
    <s v="Kano"/>
    <s v="Home Office"/>
    <s v="Clothing"/>
    <s v="T-Shirt"/>
    <n v="4"/>
    <n v="809.56"/>
    <n v="0.05"/>
    <n v="3076.33"/>
    <n v="2023.3"/>
    <n v="1053.03"/>
    <s v="Mobile Payment"/>
    <n v="1"/>
    <s v="March"/>
    <x v="0"/>
    <n v="2024"/>
    <m/>
  </r>
  <r>
    <x v="77"/>
    <d v="2024-03-14T00:00:00"/>
    <s v="Tammy Baker"/>
    <s v="South"/>
    <s v="Abuja"/>
    <s v="Corporate"/>
    <s v="Clothing"/>
    <s v="Sneakers"/>
    <n v="7"/>
    <n v="523.92999999999995"/>
    <n v="0.05"/>
    <n v="3484.13"/>
    <n v="2857.16"/>
    <n v="626.97"/>
    <s v="Mobile Payment"/>
    <n v="5"/>
    <s v="March"/>
    <x v="0"/>
    <n v="2024"/>
    <m/>
  </r>
  <r>
    <x v="78"/>
    <d v="2024-03-27T00:00:00"/>
    <s v="Sarah Rojas"/>
    <s v="South"/>
    <s v="Ibadan"/>
    <s v="Home Office"/>
    <s v="Furniture"/>
    <s v="Cabinet"/>
    <n v="10"/>
    <n v="845.81"/>
    <n v="0.05"/>
    <n v="8035.19"/>
    <n v="4464.3500000000004"/>
    <n v="3570.84"/>
    <s v="Cash"/>
    <n v="1"/>
    <s v="March"/>
    <x v="0"/>
    <n v="2024"/>
    <m/>
  </r>
  <r>
    <x v="79"/>
    <d v="2024-11-17T00:00:00"/>
    <s v="Alicia Combs"/>
    <s v="West"/>
    <s v="Abuja"/>
    <s v="Home Office"/>
    <s v="Office Supplies"/>
    <s v="Paper"/>
    <n v="3"/>
    <n v="843.94"/>
    <n v="0.15"/>
    <n v="2152.0500000000002"/>
    <n v="1617.6"/>
    <n v="534.45000000000005"/>
    <s v="Card"/>
    <n v="5"/>
    <s v="November"/>
    <x v="3"/>
    <n v="2024"/>
    <m/>
  </r>
  <r>
    <x v="80"/>
    <d v="2024-05-16T00:00:00"/>
    <s v="Andre Choi"/>
    <s v="South"/>
    <s v="Abuja"/>
    <s v="Home Office"/>
    <s v="Clothing"/>
    <s v="Jacket"/>
    <n v="2"/>
    <n v="950.79"/>
    <n v="0.1"/>
    <n v="1711.42"/>
    <n v="1192.1400000000001"/>
    <n v="519.28"/>
    <s v="Card"/>
    <n v="2"/>
    <s v="May"/>
    <x v="2"/>
    <n v="2024"/>
    <m/>
  </r>
  <r>
    <x v="81"/>
    <d v="2024-08-26T00:00:00"/>
    <s v="Paul Reed"/>
    <s v="East"/>
    <s v="Port Harcourt"/>
    <s v="Consumer"/>
    <s v="Electronics"/>
    <s v="Laptop"/>
    <n v="7"/>
    <n v="620.39"/>
    <n v="0.15"/>
    <n v="3691.32"/>
    <n v="1937.39"/>
    <n v="1753.93"/>
    <s v="Mobile Payment"/>
    <n v="5"/>
    <s v="August"/>
    <x v="1"/>
    <n v="2024"/>
    <m/>
  </r>
  <r>
    <x v="82"/>
    <d v="2024-03-06T00:00:00"/>
    <s v="Justin Chen"/>
    <s v="West"/>
    <s v="Ibadan"/>
    <s v="Corporate"/>
    <s v="Office Supplies"/>
    <s v="Notebook"/>
    <n v="8"/>
    <n v="768.16"/>
    <n v="0.05"/>
    <n v="5838.02"/>
    <n v="3460.62"/>
    <n v="2377.4"/>
    <s v="Cash"/>
    <n v="4"/>
    <s v="March"/>
    <x v="0"/>
    <n v="2024"/>
    <m/>
  </r>
  <r>
    <x v="83"/>
    <d v="2024-12-25T00:00:00"/>
    <s v="Michelle Williams"/>
    <s v="East"/>
    <s v="Kano"/>
    <s v="Home Office"/>
    <s v="Clothing"/>
    <s v="Sneakers"/>
    <n v="6"/>
    <n v="1022.86"/>
    <n v="0.05"/>
    <n v="5830.3"/>
    <n v="4903.7700000000004"/>
    <n v="926.53"/>
    <s v="Cash"/>
    <n v="1"/>
    <s v="December"/>
    <x v="3"/>
    <n v="2024"/>
    <m/>
  </r>
  <r>
    <x v="84"/>
    <d v="2024-04-01T00:00:00"/>
    <s v="Ricardo Miller"/>
    <s v="South"/>
    <s v="Abuja"/>
    <s v="Home Office"/>
    <s v="Electronics"/>
    <s v="Tablet"/>
    <n v="6"/>
    <n v="1002.32"/>
    <n v="0.15"/>
    <n v="5111.83"/>
    <n v="3249.03"/>
    <n v="1862.8"/>
    <s v="Transfer"/>
    <n v="2"/>
    <s v="April"/>
    <x v="2"/>
    <n v="2024"/>
    <m/>
  </r>
  <r>
    <x v="85"/>
    <d v="2024-03-23T00:00:00"/>
    <s v="David Chavez"/>
    <s v="East"/>
    <s v="Port Harcourt"/>
    <s v="Corporate"/>
    <s v="Clothing"/>
    <s v="T-Shirt"/>
    <n v="11"/>
    <n v="662.6"/>
    <n v="0.15"/>
    <n v="6195.31"/>
    <n v="3904.07"/>
    <n v="2291.2399999999998"/>
    <s v="Mobile Payment"/>
    <n v="5"/>
    <s v="March"/>
    <x v="0"/>
    <n v="2024"/>
    <m/>
  </r>
  <r>
    <x v="86"/>
    <d v="2024-04-25T00:00:00"/>
    <s v="Stephanie Graham"/>
    <s v="Central"/>
    <s v="Abuja"/>
    <s v="Consumer"/>
    <s v="Clothing"/>
    <s v="Jacket"/>
    <n v="11"/>
    <n v="16.739999999999998"/>
    <n v="0.05"/>
    <n v="174.93"/>
    <n v="147.69999999999999"/>
    <n v="27.23"/>
    <s v="Transfer"/>
    <n v="4"/>
    <s v="April"/>
    <x v="2"/>
    <n v="2024"/>
    <m/>
  </r>
  <r>
    <x v="87"/>
    <d v="2024-12-08T00:00:00"/>
    <s v="John Stevens"/>
    <s v="North"/>
    <s v="Abuja"/>
    <s v="Consumer"/>
    <s v="Office Supplies"/>
    <s v="Paper"/>
    <n v="1"/>
    <n v="786.58"/>
    <n v="0.1"/>
    <n v="707.92"/>
    <n v="466.48"/>
    <n v="241.44"/>
    <s v="Transfer"/>
    <n v="2"/>
    <s v="December"/>
    <x v="3"/>
    <n v="2024"/>
    <m/>
  </r>
  <r>
    <x v="88"/>
    <d v="2024-03-05T00:00:00"/>
    <s v="Larry Perez"/>
    <s v="South"/>
    <s v="Kano"/>
    <s v="Corporate"/>
    <s v="Office Supplies"/>
    <s v="Notebook"/>
    <n v="8"/>
    <n v="226.94"/>
    <n v="0.05"/>
    <n v="1724.74"/>
    <n v="1008.43"/>
    <n v="716.31"/>
    <s v="Mobile Payment"/>
    <n v="1"/>
    <s v="March"/>
    <x v="0"/>
    <n v="2024"/>
    <m/>
  </r>
  <r>
    <x v="89"/>
    <d v="2024-02-08T00:00:00"/>
    <s v="James Benson"/>
    <s v="South"/>
    <s v="Ibadan"/>
    <s v="Home Office"/>
    <s v="Clothing"/>
    <s v="Jacket"/>
    <n v="7"/>
    <n v="318.98"/>
    <n v="0.1"/>
    <n v="2009.57"/>
    <n v="1563.05"/>
    <n v="446.52"/>
    <s v="Transfer"/>
    <n v="1"/>
    <s v="February"/>
    <x v="0"/>
    <n v="2024"/>
    <m/>
  </r>
  <r>
    <x v="90"/>
    <d v="2024-09-03T00:00:00"/>
    <s v="William Watson"/>
    <s v="Central"/>
    <s v="Lagos"/>
    <s v="Consumer"/>
    <s v="Office Supplies"/>
    <s v="Notebook"/>
    <n v="7"/>
    <n v="340.54"/>
    <n v="0.15"/>
    <n v="2026.21"/>
    <n v="1398.51"/>
    <n v="627.70000000000005"/>
    <s v="Card"/>
    <n v="2"/>
    <s v="September"/>
    <x v="1"/>
    <n v="2024"/>
    <m/>
  </r>
  <r>
    <x v="91"/>
    <d v="2024-11-14T00:00:00"/>
    <s v="Michael Stephens"/>
    <s v="Central"/>
    <s v="Kano"/>
    <s v="Consumer"/>
    <s v="Clothing"/>
    <s v="Sneakers"/>
    <n v="4"/>
    <n v="132.49"/>
    <n v="0.15"/>
    <n v="450.47"/>
    <n v="231.66"/>
    <n v="218.81"/>
    <s v="Card"/>
    <n v="2"/>
    <s v="November"/>
    <x v="3"/>
    <n v="2024"/>
    <m/>
  </r>
  <r>
    <x v="92"/>
    <d v="2024-09-11T00:00:00"/>
    <s v="Andrea Sims"/>
    <s v="East"/>
    <s v="Abuja"/>
    <s v="Corporate"/>
    <s v="Electronics"/>
    <s v="Laptop"/>
    <n v="2"/>
    <n v="617.49"/>
    <n v="0.15"/>
    <n v="1049.73"/>
    <n v="722.36"/>
    <n v="327.37"/>
    <s v="Mobile Payment"/>
    <n v="2"/>
    <s v="September"/>
    <x v="1"/>
    <n v="2024"/>
    <m/>
  </r>
  <r>
    <x v="93"/>
    <d v="2024-06-02T00:00:00"/>
    <s v="Pamela Benson"/>
    <s v="East"/>
    <s v="Ibadan"/>
    <s v="Corporate"/>
    <s v="Furniture"/>
    <s v="Desk"/>
    <n v="1"/>
    <n v="799.79"/>
    <n v="0.05"/>
    <n v="759.8"/>
    <n v="546.46"/>
    <n v="213.34"/>
    <s v="Card"/>
    <n v="5"/>
    <s v="June"/>
    <x v="2"/>
    <n v="2024"/>
    <m/>
  </r>
  <r>
    <x v="94"/>
    <d v="2024-11-20T00:00:00"/>
    <s v="Mario Moore"/>
    <s v="South"/>
    <s v="Kano"/>
    <s v="Consumer"/>
    <s v="Clothing"/>
    <s v="Sneakers"/>
    <n v="3"/>
    <n v="304.24"/>
    <n v="0"/>
    <n v="912.72"/>
    <n v="759.77"/>
    <n v="152.94999999999999"/>
    <s v="Mobile Payment"/>
    <n v="1"/>
    <s v="November"/>
    <x v="3"/>
    <n v="2024"/>
    <m/>
  </r>
  <r>
    <x v="95"/>
    <d v="2024-07-19T00:00:00"/>
    <s v="Kenneth Lopez"/>
    <s v="East"/>
    <s v="Lagos"/>
    <s v="Consumer"/>
    <s v="Electronics"/>
    <s v="Tablet"/>
    <n v="10"/>
    <n v="911.86"/>
    <n v="0"/>
    <n v="9118.6"/>
    <n v="6627.81"/>
    <n v="2490.79"/>
    <s v="Card"/>
    <n v="3"/>
    <s v="July"/>
    <x v="1"/>
    <n v="2024"/>
    <m/>
  </r>
  <r>
    <x v="96"/>
    <d v="2024-06-18T00:00:00"/>
    <s v="Kim Levine"/>
    <s v="East"/>
    <s v="Ibadan"/>
    <s v="Home Office"/>
    <s v="Clothing"/>
    <s v="T-Shirt"/>
    <n v="8"/>
    <n v="710.07"/>
    <n v="0.1"/>
    <n v="5112.5"/>
    <n v="2918.91"/>
    <n v="2193.59"/>
    <s v="Transfer"/>
    <n v="4"/>
    <s v="June"/>
    <x v="2"/>
    <n v="2024"/>
    <m/>
  </r>
  <r>
    <x v="97"/>
    <d v="2024-02-03T00:00:00"/>
    <s v="Tammy Wallace"/>
    <s v="South"/>
    <s v="Abuja"/>
    <s v="Home Office"/>
    <s v="Office Supplies"/>
    <s v="Paper"/>
    <n v="10"/>
    <n v="446.88"/>
    <n v="0.15"/>
    <n v="3798.48"/>
    <n v="2560.08"/>
    <n v="1238.4000000000001"/>
    <s v="Mobile Payment"/>
    <n v="1"/>
    <s v="February"/>
    <x v="0"/>
    <n v="2024"/>
    <m/>
  </r>
  <r>
    <x v="98"/>
    <d v="2024-01-13T00:00:00"/>
    <s v="Jamie Herrera"/>
    <s v="South"/>
    <s v="Abuja"/>
    <s v="Consumer"/>
    <s v="Office Supplies"/>
    <s v="Pen"/>
    <n v="11"/>
    <n v="596.69000000000005"/>
    <n v="0.05"/>
    <n v="6235.41"/>
    <n v="3574.24"/>
    <n v="2661.17"/>
    <s v="Card"/>
    <n v="3"/>
    <s v="January"/>
    <x v="0"/>
    <n v="2024"/>
    <m/>
  </r>
  <r>
    <x v="99"/>
    <d v="2024-04-07T00:00:00"/>
    <s v="Robyn Gilbert"/>
    <s v="North"/>
    <s v="Lagos"/>
    <s v="Home Office"/>
    <s v="Furniture"/>
    <s v="Chair"/>
    <n v="3"/>
    <n v="1103.1600000000001"/>
    <n v="0.15"/>
    <n v="2813.06"/>
    <n v="1779.22"/>
    <n v="1033.8399999999999"/>
    <s v="Card"/>
    <n v="2"/>
    <s v="April"/>
    <x v="2"/>
    <n v="2024"/>
    <m/>
  </r>
  <r>
    <x v="100"/>
    <d v="2024-07-22T00:00:00"/>
    <s v="Tina Ibarra"/>
    <s v="Central"/>
    <s v="Lagos"/>
    <s v="Home Office"/>
    <s v="Furniture"/>
    <s v="Desk"/>
    <n v="8"/>
    <n v="416.16"/>
    <n v="0.05"/>
    <n v="3162.82"/>
    <n v="2325.37"/>
    <n v="837.45"/>
    <s v="Transfer"/>
    <n v="4"/>
    <s v="July"/>
    <x v="1"/>
    <n v="2024"/>
    <m/>
  </r>
  <r>
    <x v="101"/>
    <d v="2024-10-25T00:00:00"/>
    <s v="Debbie Walker"/>
    <s v="Central"/>
    <s v="Lagos"/>
    <s v="Consumer"/>
    <s v="Furniture"/>
    <s v="Cabinet"/>
    <n v="7"/>
    <n v="217.95"/>
    <n v="0.05"/>
    <n v="1449.37"/>
    <n v="906.18"/>
    <n v="543.19000000000005"/>
    <s v="Mobile Payment"/>
    <n v="3"/>
    <s v="October"/>
    <x v="3"/>
    <n v="2024"/>
    <m/>
  </r>
  <r>
    <x v="102"/>
    <d v="2024-12-21T00:00:00"/>
    <s v="Joseph Jordan"/>
    <s v="North"/>
    <s v="Ibadan"/>
    <s v="Consumer"/>
    <s v="Clothing"/>
    <s v="Jacket"/>
    <n v="2"/>
    <n v="31.95"/>
    <n v="0"/>
    <n v="63.9"/>
    <n v="45.93"/>
    <n v="17.97"/>
    <s v="Card"/>
    <n v="1"/>
    <s v="December"/>
    <x v="3"/>
    <n v="2024"/>
    <m/>
  </r>
  <r>
    <x v="103"/>
    <d v="2024-05-06T00:00:00"/>
    <s v="Steven Villegas"/>
    <s v="West"/>
    <s v="Lagos"/>
    <s v="Consumer"/>
    <s v="Furniture"/>
    <s v="Chair"/>
    <n v="11"/>
    <n v="236.56"/>
    <n v="0.1"/>
    <n v="2341.94"/>
    <n v="1369.37"/>
    <n v="972.57"/>
    <s v="Cash"/>
    <n v="5"/>
    <s v="May"/>
    <x v="2"/>
    <n v="2024"/>
    <m/>
  </r>
  <r>
    <x v="104"/>
    <d v="2024-09-11T00:00:00"/>
    <s v="Stephanie Spears"/>
    <s v="West"/>
    <s v="Port Harcourt"/>
    <s v="Home Office"/>
    <s v="Furniture"/>
    <s v="Chair"/>
    <n v="6"/>
    <n v="667.66"/>
    <n v="0.05"/>
    <n v="3805.66"/>
    <n v="2882.5"/>
    <n v="923.16"/>
    <s v="Card"/>
    <n v="1"/>
    <s v="September"/>
    <x v="1"/>
    <n v="2024"/>
    <m/>
  </r>
  <r>
    <x v="105"/>
    <d v="2024-12-04T00:00:00"/>
    <s v="Kristen Olsen"/>
    <s v="North"/>
    <s v="Abuja"/>
    <s v="Corporate"/>
    <s v="Clothing"/>
    <s v="T-Shirt"/>
    <n v="8"/>
    <n v="85.63"/>
    <n v="0.1"/>
    <n v="616.54"/>
    <n v="491.12"/>
    <n v="125.42"/>
    <s v="Card"/>
    <n v="5"/>
    <s v="December"/>
    <x v="3"/>
    <n v="2024"/>
    <m/>
  </r>
  <r>
    <x v="106"/>
    <d v="2024-05-16T00:00:00"/>
    <s v="David Norris"/>
    <s v="Central"/>
    <s v="Kano"/>
    <s v="Consumer"/>
    <s v="Furniture"/>
    <s v="Desk"/>
    <n v="4"/>
    <n v="301.85000000000002"/>
    <n v="0"/>
    <n v="1207.4000000000001"/>
    <n v="971.68"/>
    <n v="235.72"/>
    <s v="Card"/>
    <n v="2"/>
    <s v="May"/>
    <x v="2"/>
    <n v="2024"/>
    <m/>
  </r>
  <r>
    <x v="107"/>
    <d v="2024-06-08T00:00:00"/>
    <s v="Lynn Heath"/>
    <s v="North"/>
    <s v="Lagos"/>
    <s v="Home Office"/>
    <s v="Electronics"/>
    <s v="Tablet"/>
    <n v="6"/>
    <n v="1101.74"/>
    <n v="0"/>
    <n v="6610.44"/>
    <n v="3858.32"/>
    <n v="2752.12"/>
    <s v="Transfer"/>
    <n v="1"/>
    <s v="June"/>
    <x v="2"/>
    <n v="2024"/>
    <m/>
  </r>
  <r>
    <x v="108"/>
    <d v="2024-04-17T00:00:00"/>
    <s v="Melanie Carlson"/>
    <s v="Central"/>
    <s v="Ibadan"/>
    <s v="Corporate"/>
    <s v="Clothing"/>
    <s v="T-Shirt"/>
    <n v="6"/>
    <n v="1022.72"/>
    <n v="0.15"/>
    <n v="5215.87"/>
    <n v="4178.28"/>
    <n v="1037.5899999999999"/>
    <s v="Cash"/>
    <n v="1"/>
    <s v="April"/>
    <x v="2"/>
    <n v="2024"/>
    <m/>
  </r>
  <r>
    <x v="109"/>
    <d v="2024-12-24T00:00:00"/>
    <s v="Kathleen Mason"/>
    <s v="Central"/>
    <s v="Lagos"/>
    <s v="Home Office"/>
    <s v="Electronics"/>
    <s v="Laptop"/>
    <n v="2"/>
    <n v="1081.27"/>
    <n v="0.15"/>
    <n v="1838.16"/>
    <n v="1045.79"/>
    <n v="792.37"/>
    <s v="Card"/>
    <n v="3"/>
    <s v="December"/>
    <x v="3"/>
    <n v="2024"/>
    <m/>
  </r>
  <r>
    <x v="110"/>
    <d v="2024-10-23T00:00:00"/>
    <s v="Anthony Gray"/>
    <s v="East"/>
    <s v="Kano"/>
    <s v="Consumer"/>
    <s v="Furniture"/>
    <s v="Desk"/>
    <n v="12"/>
    <n v="1030.02"/>
    <n v="0.05"/>
    <n v="11742.23"/>
    <n v="8431.7000000000007"/>
    <n v="3310.53"/>
    <s v="Mobile Payment"/>
    <n v="1"/>
    <s v="October"/>
    <x v="3"/>
    <n v="2024"/>
    <m/>
  </r>
  <r>
    <x v="111"/>
    <d v="2024-12-07T00:00:00"/>
    <s v="Jonathan Davis"/>
    <s v="West"/>
    <s v="Kano"/>
    <s v="Consumer"/>
    <s v="Electronics"/>
    <s v="Tablet"/>
    <n v="9"/>
    <n v="101.9"/>
    <n v="0.15"/>
    <n v="779.53"/>
    <n v="571.4"/>
    <n v="208.13"/>
    <s v="Card"/>
    <n v="4"/>
    <s v="December"/>
    <x v="3"/>
    <n v="2024"/>
    <m/>
  </r>
  <r>
    <x v="112"/>
    <d v="2024-10-14T00:00:00"/>
    <s v="Jay Allen"/>
    <s v="East"/>
    <s v="Ibadan"/>
    <s v="Home Office"/>
    <s v="Furniture"/>
    <s v="Cabinet"/>
    <n v="9"/>
    <n v="1108.27"/>
    <n v="0.1"/>
    <n v="8976.99"/>
    <n v="6163.86"/>
    <n v="2813.13"/>
    <s v="Transfer"/>
    <n v="2"/>
    <s v="October"/>
    <x v="3"/>
    <n v="2024"/>
    <m/>
  </r>
  <r>
    <x v="113"/>
    <d v="2024-05-07T00:00:00"/>
    <s v="Alyssa Bush"/>
    <s v="West"/>
    <s v="Ibadan"/>
    <s v="Consumer"/>
    <s v="Furniture"/>
    <s v="Desk"/>
    <n v="11"/>
    <n v="551.15"/>
    <n v="0"/>
    <n v="6062.65"/>
    <n v="3229.86"/>
    <n v="2832.79"/>
    <s v="Mobile Payment"/>
    <n v="3"/>
    <s v="May"/>
    <x v="2"/>
    <n v="2024"/>
    <m/>
  </r>
  <r>
    <x v="114"/>
    <d v="2024-10-08T00:00:00"/>
    <s v="Yolanda Fernandez"/>
    <s v="Central"/>
    <s v="Port Harcourt"/>
    <s v="Home Office"/>
    <s v="Office Supplies"/>
    <s v="Paper"/>
    <n v="9"/>
    <n v="849.04"/>
    <n v="0.1"/>
    <n v="6877.22"/>
    <n v="5048.58"/>
    <n v="1828.64"/>
    <s v="Cash"/>
    <n v="5"/>
    <s v="October"/>
    <x v="3"/>
    <n v="2024"/>
    <m/>
  </r>
  <r>
    <x v="115"/>
    <d v="2024-03-12T00:00:00"/>
    <s v="Cynthia Cochran"/>
    <s v="West"/>
    <s v="Lagos"/>
    <s v="Corporate"/>
    <s v="Electronics"/>
    <s v="Printer"/>
    <n v="11"/>
    <n v="161.6"/>
    <n v="0.15"/>
    <n v="1510.96"/>
    <n v="1224.06"/>
    <n v="286.89999999999998"/>
    <s v="Card"/>
    <n v="2"/>
    <s v="March"/>
    <x v="0"/>
    <n v="2024"/>
    <m/>
  </r>
  <r>
    <x v="116"/>
    <d v="2024-06-10T00:00:00"/>
    <s v="Ashley Munoz"/>
    <s v="West"/>
    <s v="Kano"/>
    <s v="Consumer"/>
    <s v="Electronics"/>
    <s v="Laptop"/>
    <n v="10"/>
    <n v="1155.72"/>
    <n v="0.1"/>
    <n v="10401.48"/>
    <n v="6430.75"/>
    <n v="3970.73"/>
    <s v="Card"/>
    <n v="5"/>
    <s v="June"/>
    <x v="2"/>
    <n v="2024"/>
    <m/>
  </r>
  <r>
    <x v="117"/>
    <d v="2024-04-24T00:00:00"/>
    <s v="Edward White"/>
    <s v="East"/>
    <s v="Ibadan"/>
    <s v="Home Office"/>
    <s v="Electronics"/>
    <s v="Printer"/>
    <n v="6"/>
    <n v="516.13"/>
    <n v="0"/>
    <n v="3096.78"/>
    <n v="1832.29"/>
    <n v="1264.49"/>
    <s v="Card"/>
    <n v="4"/>
    <s v="April"/>
    <x v="2"/>
    <n v="2024"/>
    <m/>
  </r>
  <r>
    <x v="118"/>
    <d v="2024-12-16T00:00:00"/>
    <s v="Marc Ali"/>
    <s v="East"/>
    <s v="Abuja"/>
    <s v="Corporate"/>
    <s v="Electronics"/>
    <s v="Phone"/>
    <n v="4"/>
    <n v="1048.02"/>
    <n v="0.05"/>
    <n v="3982.48"/>
    <n v="2705.23"/>
    <n v="1277.25"/>
    <s v="Card"/>
    <n v="3"/>
    <s v="December"/>
    <x v="3"/>
    <n v="2024"/>
    <m/>
  </r>
  <r>
    <x v="119"/>
    <d v="2024-08-17T00:00:00"/>
    <s v="Richard Rodriguez"/>
    <s v="South"/>
    <s v="Lagos"/>
    <s v="Corporate"/>
    <s v="Electronics"/>
    <s v="Printer"/>
    <n v="6"/>
    <n v="988.31"/>
    <n v="0.15"/>
    <n v="5040.38"/>
    <n v="4197.9399999999996"/>
    <n v="842.44"/>
    <s v="Cash"/>
    <n v="2"/>
    <s v="August"/>
    <x v="1"/>
    <n v="2024"/>
    <m/>
  </r>
  <r>
    <x v="120"/>
    <d v="2024-01-29T00:00:00"/>
    <s v="Tony Vasquez"/>
    <s v="South"/>
    <s v="Ibadan"/>
    <s v="Consumer"/>
    <s v="Clothing"/>
    <s v="Sneakers"/>
    <n v="3"/>
    <n v="978.46"/>
    <n v="0.1"/>
    <n v="2641.84"/>
    <n v="1597.77"/>
    <n v="1044.07"/>
    <s v="Cash"/>
    <n v="1"/>
    <s v="January"/>
    <x v="0"/>
    <n v="2024"/>
    <m/>
  </r>
  <r>
    <x v="121"/>
    <d v="2024-12-07T00:00:00"/>
    <s v="Dennis Watts"/>
    <s v="Central"/>
    <s v="Lagos"/>
    <s v="Consumer"/>
    <s v="Office Supplies"/>
    <s v="Pen"/>
    <n v="3"/>
    <n v="1051.57"/>
    <n v="0.15"/>
    <n v="2681.5"/>
    <n v="2178.94"/>
    <n v="502.56"/>
    <s v="Mobile Payment"/>
    <n v="2"/>
    <s v="December"/>
    <x v="3"/>
    <n v="2024"/>
    <m/>
  </r>
  <r>
    <x v="122"/>
    <d v="2024-02-16T00:00:00"/>
    <s v="Chase Contreras"/>
    <s v="South"/>
    <s v="Ibadan"/>
    <s v="Corporate"/>
    <s v="Electronics"/>
    <s v="Phone"/>
    <n v="2"/>
    <n v="182.86"/>
    <n v="0"/>
    <n v="365.72"/>
    <n v="190.44"/>
    <n v="175.28"/>
    <s v="Transfer"/>
    <n v="2"/>
    <s v="February"/>
    <x v="0"/>
    <n v="2024"/>
    <m/>
  </r>
  <r>
    <x v="123"/>
    <d v="2024-11-21T00:00:00"/>
    <s v="Jeffrey Nunez"/>
    <s v="West"/>
    <s v="Port Harcourt"/>
    <s v="Home Office"/>
    <s v="Clothing"/>
    <s v="Sneakers"/>
    <n v="2"/>
    <n v="39.479999999999997"/>
    <n v="0.1"/>
    <n v="71.06"/>
    <n v="40.82"/>
    <n v="30.24"/>
    <s v="Transfer"/>
    <n v="5"/>
    <s v="November"/>
    <x v="3"/>
    <n v="2024"/>
    <m/>
  </r>
  <r>
    <x v="124"/>
    <d v="2024-09-12T00:00:00"/>
    <s v="Luis Martinez"/>
    <s v="North"/>
    <s v="Ibadan"/>
    <s v="Consumer"/>
    <s v="Electronics"/>
    <s v="Phone"/>
    <n v="3"/>
    <n v="248.07"/>
    <n v="0.1"/>
    <n v="669.79"/>
    <n v="519.16"/>
    <n v="150.63"/>
    <s v="Transfer"/>
    <n v="5"/>
    <s v="September"/>
    <x v="1"/>
    <n v="2024"/>
    <m/>
  </r>
  <r>
    <x v="125"/>
    <d v="2024-04-25T00:00:00"/>
    <s v="Jeffrey Watson"/>
    <s v="Central"/>
    <s v="Ibadan"/>
    <s v="Home Office"/>
    <s v="Clothing"/>
    <s v="Jacket"/>
    <n v="8"/>
    <n v="866.11"/>
    <n v="0.05"/>
    <n v="6582.44"/>
    <n v="5140.09"/>
    <n v="1442.35"/>
    <s v="Transfer"/>
    <n v="1"/>
    <s v="April"/>
    <x v="2"/>
    <n v="2024"/>
    <m/>
  </r>
  <r>
    <x v="126"/>
    <d v="2024-12-04T00:00:00"/>
    <s v="Adam Warren"/>
    <s v="West"/>
    <s v="Lagos"/>
    <s v="Home Office"/>
    <s v="Furniture"/>
    <s v="Chair"/>
    <n v="11"/>
    <n v="869.33"/>
    <n v="0.05"/>
    <n v="9084.5"/>
    <n v="5487.37"/>
    <n v="3597.13"/>
    <s v="Mobile Payment"/>
    <n v="4"/>
    <s v="December"/>
    <x v="3"/>
    <n v="2024"/>
    <m/>
  </r>
  <r>
    <x v="127"/>
    <d v="2024-11-30T00:00:00"/>
    <s v="Elizabeth Kennedy"/>
    <s v="South"/>
    <s v="Abuja"/>
    <s v="Consumer"/>
    <s v="Furniture"/>
    <s v="Desk"/>
    <n v="7"/>
    <n v="153.30000000000001"/>
    <n v="0.15"/>
    <n v="912.14"/>
    <n v="566.48"/>
    <n v="345.66"/>
    <s v="Card"/>
    <n v="5"/>
    <s v="November"/>
    <x v="3"/>
    <n v="2024"/>
    <m/>
  </r>
  <r>
    <x v="128"/>
    <d v="2024-01-03T00:00:00"/>
    <s v="Heather Williams"/>
    <s v="East"/>
    <s v="Port Harcourt"/>
    <s v="Corporate"/>
    <s v="Furniture"/>
    <s v="Desk"/>
    <n v="5"/>
    <n v="500.74"/>
    <n v="0.05"/>
    <n v="2378.5100000000002"/>
    <n v="1675.88"/>
    <n v="702.63"/>
    <s v="Mobile Payment"/>
    <n v="1"/>
    <s v="January"/>
    <x v="0"/>
    <n v="2024"/>
    <m/>
  </r>
  <r>
    <x v="129"/>
    <d v="2024-08-27T00:00:00"/>
    <s v="Renee Flynn"/>
    <s v="West"/>
    <s v="Ibadan"/>
    <s v="Consumer"/>
    <s v="Electronics"/>
    <s v="Tablet"/>
    <n v="11"/>
    <n v="476.45"/>
    <n v="0.1"/>
    <n v="4716.8500000000004"/>
    <n v="3296.85"/>
    <n v="1420"/>
    <s v="Card"/>
    <n v="1"/>
    <s v="August"/>
    <x v="1"/>
    <n v="2024"/>
    <m/>
  </r>
  <r>
    <x v="130"/>
    <d v="2024-01-03T00:00:00"/>
    <s v="Sierra Santiago"/>
    <s v="West"/>
    <s v="Abuja"/>
    <s v="Home Office"/>
    <s v="Clothing"/>
    <s v="Jacket"/>
    <n v="2"/>
    <n v="442.01"/>
    <n v="0"/>
    <n v="884.02"/>
    <n v="659.45"/>
    <n v="224.57"/>
    <s v="Cash"/>
    <n v="2"/>
    <s v="January"/>
    <x v="0"/>
    <n v="2024"/>
    <m/>
  </r>
  <r>
    <x v="131"/>
    <d v="2024-06-06T00:00:00"/>
    <s v="John Smith"/>
    <s v="Central"/>
    <s v="Abuja"/>
    <s v="Home Office"/>
    <s v="Office Supplies"/>
    <s v="Paper"/>
    <n v="6"/>
    <n v="711.1"/>
    <n v="0.1"/>
    <n v="3839.94"/>
    <n v="2687.45"/>
    <n v="1152.49"/>
    <s v="Mobile Payment"/>
    <n v="5"/>
    <s v="June"/>
    <x v="2"/>
    <n v="2024"/>
    <m/>
  </r>
  <r>
    <x v="132"/>
    <d v="2024-10-03T00:00:00"/>
    <s v="Randy Young"/>
    <s v="North"/>
    <s v="Kano"/>
    <s v="Home Office"/>
    <s v="Electronics"/>
    <s v="Tablet"/>
    <n v="5"/>
    <n v="348.14"/>
    <n v="0"/>
    <n v="1740.7"/>
    <n v="1268.55"/>
    <n v="472.15"/>
    <s v="Cash"/>
    <n v="3"/>
    <s v="October"/>
    <x v="3"/>
    <n v="2024"/>
    <m/>
  </r>
  <r>
    <x v="133"/>
    <d v="2024-03-06T00:00:00"/>
    <s v="Brenda Bruce"/>
    <s v="East"/>
    <s v="Kano"/>
    <s v="Corporate"/>
    <s v="Electronics"/>
    <s v="Phone"/>
    <n v="1"/>
    <n v="643.79"/>
    <n v="0.15"/>
    <n v="547.22"/>
    <n v="372.9"/>
    <n v="174.32"/>
    <s v="Mobile Payment"/>
    <n v="3"/>
    <s v="March"/>
    <x v="0"/>
    <n v="2024"/>
    <m/>
  </r>
  <r>
    <x v="134"/>
    <d v="2024-08-22T00:00:00"/>
    <s v="Seth Williams"/>
    <s v="West"/>
    <s v="Abuja"/>
    <s v="Consumer"/>
    <s v="Furniture"/>
    <s v="Cabinet"/>
    <n v="4"/>
    <n v="1074.33"/>
    <n v="0.05"/>
    <n v="4082.45"/>
    <n v="3376.47"/>
    <n v="705.98"/>
    <s v="Card"/>
    <n v="3"/>
    <s v="August"/>
    <x v="1"/>
    <n v="2024"/>
    <m/>
  </r>
  <r>
    <x v="135"/>
    <d v="2024-01-17T00:00:00"/>
    <s v="Peggy Foster"/>
    <s v="South"/>
    <s v="Ibadan"/>
    <s v="Consumer"/>
    <s v="Clothing"/>
    <s v="Jacket"/>
    <n v="8"/>
    <n v="72.31"/>
    <n v="0.1"/>
    <n v="520.63"/>
    <n v="312.19"/>
    <n v="208.44"/>
    <s v="Transfer"/>
    <n v="3"/>
    <s v="January"/>
    <x v="0"/>
    <n v="2024"/>
    <m/>
  </r>
  <r>
    <x v="136"/>
    <d v="2024-12-10T00:00:00"/>
    <s v="Roger Morales"/>
    <s v="Central"/>
    <s v="Abuja"/>
    <s v="Corporate"/>
    <s v="Office Supplies"/>
    <s v="Pen"/>
    <n v="9"/>
    <n v="1180.46"/>
    <n v="0"/>
    <n v="10624.14"/>
    <n v="5742.88"/>
    <n v="4881.26"/>
    <s v="Transfer"/>
    <n v="2"/>
    <s v="December"/>
    <x v="3"/>
    <n v="2024"/>
    <m/>
  </r>
  <r>
    <x v="137"/>
    <d v="2024-10-03T00:00:00"/>
    <s v="Brittany Tucker"/>
    <s v="Central"/>
    <s v="Port Harcourt"/>
    <s v="Consumer"/>
    <s v="Office Supplies"/>
    <s v="Paper"/>
    <n v="12"/>
    <n v="797.5"/>
    <n v="0.15"/>
    <n v="8134.5"/>
    <n v="4880.34"/>
    <n v="3254.16"/>
    <s v="Transfer"/>
    <n v="4"/>
    <s v="October"/>
    <x v="3"/>
    <n v="2024"/>
    <m/>
  </r>
  <r>
    <x v="138"/>
    <d v="2024-01-29T00:00:00"/>
    <s v="Ricky Reynolds"/>
    <s v="Central"/>
    <s v="Port Harcourt"/>
    <s v="Home Office"/>
    <s v="Office Supplies"/>
    <s v="Paper"/>
    <n v="7"/>
    <n v="841.3"/>
    <n v="0.15"/>
    <n v="5005.7299999999996"/>
    <n v="3358.95"/>
    <n v="1646.78"/>
    <s v="Cash"/>
    <n v="4"/>
    <s v="January"/>
    <x v="0"/>
    <n v="2024"/>
    <m/>
  </r>
  <r>
    <x v="139"/>
    <d v="2024-05-26T00:00:00"/>
    <s v="Frank Martinez"/>
    <s v="North"/>
    <s v="Lagos"/>
    <s v="Consumer"/>
    <s v="Furniture"/>
    <s v="Cabinet"/>
    <n v="5"/>
    <n v="1149.07"/>
    <n v="0.15"/>
    <n v="4883.55"/>
    <n v="2559.12"/>
    <n v="2324.4299999999998"/>
    <s v="Mobile Payment"/>
    <n v="3"/>
    <s v="May"/>
    <x v="2"/>
    <n v="2024"/>
    <m/>
  </r>
  <r>
    <x v="140"/>
    <d v="2024-12-06T00:00:00"/>
    <s v="Anna Mccann"/>
    <s v="South"/>
    <s v="Kano"/>
    <s v="Consumer"/>
    <s v="Furniture"/>
    <s v="Cabinet"/>
    <n v="11"/>
    <n v="439.88"/>
    <n v="0"/>
    <n v="4838.68"/>
    <n v="3487.51"/>
    <n v="1351.17"/>
    <s v="Mobile Payment"/>
    <n v="1"/>
    <s v="December"/>
    <x v="3"/>
    <n v="2024"/>
    <m/>
  </r>
  <r>
    <x v="141"/>
    <d v="2024-05-02T00:00:00"/>
    <s v="Christopher Gutierrez"/>
    <s v="North"/>
    <s v="Abuja"/>
    <s v="Home Office"/>
    <s v="Clothing"/>
    <s v="T-Shirt"/>
    <n v="12"/>
    <n v="533.51"/>
    <n v="0.05"/>
    <n v="6082.01"/>
    <n v="4137.59"/>
    <n v="1944.42"/>
    <s v="Card"/>
    <n v="2"/>
    <s v="May"/>
    <x v="2"/>
    <n v="2024"/>
    <m/>
  </r>
  <r>
    <x v="142"/>
    <d v="2024-01-19T00:00:00"/>
    <s v="Jennifer Rodgers MD"/>
    <s v="Central"/>
    <s v="Abuja"/>
    <s v="Corporate"/>
    <s v="Electronics"/>
    <s v="Laptop"/>
    <n v="9"/>
    <n v="1186.7"/>
    <n v="0"/>
    <n v="10680.3"/>
    <n v="6258.4"/>
    <n v="4421.8999999999996"/>
    <s v="Mobile Payment"/>
    <n v="3"/>
    <s v="January"/>
    <x v="0"/>
    <n v="2024"/>
    <m/>
  </r>
  <r>
    <x v="143"/>
    <d v="2024-03-04T00:00:00"/>
    <s v="Ethan Mclean"/>
    <s v="East"/>
    <s v="Port Harcourt"/>
    <s v="Consumer"/>
    <s v="Furniture"/>
    <s v="Chair"/>
    <n v="1"/>
    <n v="176.14"/>
    <n v="0.05"/>
    <n v="167.33"/>
    <n v="133.97999999999999"/>
    <n v="33.35"/>
    <s v="Cash"/>
    <n v="1"/>
    <s v="March"/>
    <x v="0"/>
    <n v="2024"/>
    <m/>
  </r>
  <r>
    <x v="144"/>
    <d v="2024-07-28T00:00:00"/>
    <s v="Alexander Gray"/>
    <s v="West"/>
    <s v="Lagos"/>
    <s v="Consumer"/>
    <s v="Electronics"/>
    <s v="Tablet"/>
    <n v="3"/>
    <n v="816.6"/>
    <n v="0.15"/>
    <n v="2082.33"/>
    <n v="1638.63"/>
    <n v="443.7"/>
    <s v="Card"/>
    <n v="1"/>
    <s v="July"/>
    <x v="1"/>
    <n v="2024"/>
    <m/>
  </r>
  <r>
    <x v="145"/>
    <d v="2024-02-12T00:00:00"/>
    <s v="Dr. Julia Wilson"/>
    <s v="East"/>
    <s v="Port Harcourt"/>
    <s v="Consumer"/>
    <s v="Furniture"/>
    <s v="Desk"/>
    <n v="7"/>
    <n v="925.37"/>
    <n v="0.05"/>
    <n v="6153.71"/>
    <n v="3527.58"/>
    <n v="2626.13"/>
    <s v="Mobile Payment"/>
    <n v="4"/>
    <s v="February"/>
    <x v="0"/>
    <n v="2024"/>
    <m/>
  </r>
  <r>
    <x v="146"/>
    <d v="2024-04-30T00:00:00"/>
    <s v="Logan Goodwin"/>
    <s v="North"/>
    <s v="Port Harcourt"/>
    <s v="Corporate"/>
    <s v="Clothing"/>
    <s v="Sneakers"/>
    <n v="5"/>
    <n v="1180.1199999999999"/>
    <n v="0.05"/>
    <n v="5605.57"/>
    <n v="3628.41"/>
    <n v="1977.16"/>
    <s v="Transfer"/>
    <n v="5"/>
    <s v="April"/>
    <x v="2"/>
    <n v="2024"/>
    <m/>
  </r>
  <r>
    <x v="147"/>
    <d v="2024-02-01T00:00:00"/>
    <s v="William Wilkerson"/>
    <s v="West"/>
    <s v="Lagos"/>
    <s v="Corporate"/>
    <s v="Furniture"/>
    <s v="Chair"/>
    <n v="6"/>
    <n v="429.16"/>
    <n v="0.1"/>
    <n v="2317.46"/>
    <n v="1241.83"/>
    <n v="1075.6300000000001"/>
    <s v="Transfer"/>
    <n v="5"/>
    <s v="February"/>
    <x v="0"/>
    <n v="2024"/>
    <m/>
  </r>
  <r>
    <x v="148"/>
    <d v="2024-01-16T00:00:00"/>
    <s v="Robert Jacobs"/>
    <s v="South"/>
    <s v="Ibadan"/>
    <s v="Corporate"/>
    <s v="Office Supplies"/>
    <s v="Pen"/>
    <n v="12"/>
    <n v="593.41999999999996"/>
    <n v="0"/>
    <n v="7121.04"/>
    <n v="4942.33"/>
    <n v="2178.71"/>
    <s v="Mobile Payment"/>
    <n v="4"/>
    <s v="January"/>
    <x v="0"/>
    <n v="2024"/>
    <m/>
  </r>
  <r>
    <x v="149"/>
    <d v="2024-10-22T00:00:00"/>
    <s v="Andrea Williams"/>
    <s v="West"/>
    <s v="Kano"/>
    <s v="Home Office"/>
    <s v="Office Supplies"/>
    <s v="Pen"/>
    <n v="6"/>
    <n v="1098.8499999999999"/>
    <n v="0.15"/>
    <n v="5604.13"/>
    <n v="4547.3999999999996"/>
    <n v="1056.73"/>
    <s v="Mobile Payment"/>
    <n v="1"/>
    <s v="October"/>
    <x v="3"/>
    <n v="2024"/>
    <m/>
  </r>
  <r>
    <x v="150"/>
    <d v="2024-12-28T00:00:00"/>
    <s v="Tyler Woodward"/>
    <s v="Central"/>
    <s v="Kano"/>
    <s v="Home Office"/>
    <s v="Office Supplies"/>
    <s v="Pen"/>
    <n v="4"/>
    <n v="250.99"/>
    <n v="0"/>
    <n v="1003.96"/>
    <n v="827.42"/>
    <n v="176.54"/>
    <s v="Mobile Payment"/>
    <n v="1"/>
    <s v="December"/>
    <x v="3"/>
    <n v="2024"/>
    <m/>
  </r>
  <r>
    <x v="151"/>
    <d v="2024-01-24T00:00:00"/>
    <s v="Michael Torres"/>
    <s v="East"/>
    <s v="Lagos"/>
    <s v="Corporate"/>
    <s v="Clothing"/>
    <s v="T-Shirt"/>
    <n v="8"/>
    <n v="1112.3699999999999"/>
    <n v="0"/>
    <n v="8898.9599999999991"/>
    <n v="4458.62"/>
    <n v="4440.34"/>
    <s v="Card"/>
    <n v="3"/>
    <s v="January"/>
    <x v="0"/>
    <n v="2024"/>
    <m/>
  </r>
  <r>
    <x v="152"/>
    <d v="2024-03-18T00:00:00"/>
    <s v="Paige Rivera"/>
    <s v="Central"/>
    <s v="Lagos"/>
    <s v="Corporate"/>
    <s v="Furniture"/>
    <s v="Chair"/>
    <n v="11"/>
    <n v="1113.8699999999999"/>
    <n v="0"/>
    <n v="12252.57"/>
    <n v="9331.39"/>
    <n v="2921.18"/>
    <s v="Transfer"/>
    <n v="5"/>
    <s v="March"/>
    <x v="0"/>
    <n v="2024"/>
    <m/>
  </r>
  <r>
    <x v="153"/>
    <d v="2024-04-18T00:00:00"/>
    <s v="Jordan Johnson"/>
    <s v="Central"/>
    <s v="Lagos"/>
    <s v="Corporate"/>
    <s v="Furniture"/>
    <s v="Cabinet"/>
    <n v="10"/>
    <n v="460.92"/>
    <n v="0.15"/>
    <n v="3917.82"/>
    <n v="2382.69"/>
    <n v="1535.13"/>
    <s v="Transfer"/>
    <n v="2"/>
    <s v="April"/>
    <x v="2"/>
    <n v="2024"/>
    <m/>
  </r>
  <r>
    <x v="154"/>
    <d v="2024-04-24T00:00:00"/>
    <s v="Dr. Rebekah Medina DVM"/>
    <s v="Central"/>
    <s v="Ibadan"/>
    <s v="Consumer"/>
    <s v="Clothing"/>
    <s v="Sneakers"/>
    <n v="10"/>
    <n v="993.99"/>
    <n v="0"/>
    <n v="9939.9"/>
    <n v="5305.88"/>
    <n v="4634.0200000000004"/>
    <s v="Card"/>
    <n v="2"/>
    <s v="April"/>
    <x v="2"/>
    <n v="2024"/>
    <m/>
  </r>
  <r>
    <x v="155"/>
    <d v="2024-05-28T00:00:00"/>
    <s v="Dennis Simmons"/>
    <s v="North"/>
    <s v="Lagos"/>
    <s v="Home Office"/>
    <s v="Clothing"/>
    <s v="Jacket"/>
    <n v="11"/>
    <n v="746.02"/>
    <n v="0.1"/>
    <n v="7385.6"/>
    <n v="4798.93"/>
    <n v="2586.67"/>
    <s v="Card"/>
    <n v="2"/>
    <s v="May"/>
    <x v="2"/>
    <n v="2024"/>
    <m/>
  </r>
  <r>
    <x v="156"/>
    <d v="2024-06-22T00:00:00"/>
    <s v="Adam Yang"/>
    <s v="West"/>
    <s v="Port Harcourt"/>
    <s v="Corporate"/>
    <s v="Office Supplies"/>
    <s v="Paper"/>
    <n v="9"/>
    <n v="333.49"/>
    <n v="0.1"/>
    <n v="2701.27"/>
    <n v="1687.31"/>
    <n v="1013.96"/>
    <s v="Transfer"/>
    <n v="5"/>
    <s v="June"/>
    <x v="2"/>
    <n v="2024"/>
    <m/>
  </r>
  <r>
    <x v="157"/>
    <d v="2024-05-09T00:00:00"/>
    <s v="Jacqueline Hodges"/>
    <s v="West"/>
    <s v="Abuja"/>
    <s v="Corporate"/>
    <s v="Electronics"/>
    <s v="Laptop"/>
    <n v="7"/>
    <n v="362.76"/>
    <n v="0.05"/>
    <n v="2412.35"/>
    <n v="1770.79"/>
    <n v="641.55999999999995"/>
    <s v="Transfer"/>
    <n v="4"/>
    <s v="May"/>
    <x v="2"/>
    <n v="2024"/>
    <m/>
  </r>
  <r>
    <x v="158"/>
    <d v="2024-07-30T00:00:00"/>
    <s v="Jacqueline Spencer"/>
    <s v="West"/>
    <s v="Port Harcourt"/>
    <s v="Corporate"/>
    <s v="Furniture"/>
    <s v="Desk"/>
    <n v="3"/>
    <n v="744.33"/>
    <n v="0.1"/>
    <n v="2009.69"/>
    <n v="1138.49"/>
    <n v="871.2"/>
    <s v="Transfer"/>
    <n v="3"/>
    <s v="July"/>
    <x v="1"/>
    <n v="2024"/>
    <m/>
  </r>
  <r>
    <x v="159"/>
    <d v="2024-03-30T00:00:00"/>
    <s v="Kenneth Brown"/>
    <s v="West"/>
    <s v="Lagos"/>
    <s v="Consumer"/>
    <s v="Office Supplies"/>
    <s v="Paper"/>
    <n v="9"/>
    <n v="297.56"/>
    <n v="0.1"/>
    <n v="2410.2399999999998"/>
    <n v="1775.36"/>
    <n v="634.88"/>
    <s v="Cash"/>
    <n v="1"/>
    <s v="March"/>
    <x v="0"/>
    <n v="2024"/>
    <m/>
  </r>
  <r>
    <x v="160"/>
    <d v="2024-04-28T00:00:00"/>
    <s v="William Martinez"/>
    <s v="Central"/>
    <s v="Port Harcourt"/>
    <s v="Consumer"/>
    <s v="Furniture"/>
    <s v="Desk"/>
    <n v="4"/>
    <n v="861.71"/>
    <n v="0.05"/>
    <n v="3274.5"/>
    <n v="1746.07"/>
    <n v="1528.43"/>
    <s v="Cash"/>
    <n v="5"/>
    <s v="April"/>
    <x v="2"/>
    <n v="2024"/>
    <m/>
  </r>
  <r>
    <x v="161"/>
    <d v="2024-09-11T00:00:00"/>
    <s v="Kelly Rivas"/>
    <s v="South"/>
    <s v="Lagos"/>
    <s v="Consumer"/>
    <s v="Furniture"/>
    <s v="Desk"/>
    <n v="11"/>
    <n v="142.61000000000001"/>
    <n v="0.05"/>
    <n v="1490.27"/>
    <n v="1064.6300000000001"/>
    <n v="425.64"/>
    <s v="Mobile Payment"/>
    <n v="3"/>
    <s v="September"/>
    <x v="1"/>
    <n v="2024"/>
    <m/>
  </r>
  <r>
    <x v="162"/>
    <d v="2024-07-06T00:00:00"/>
    <s v="Sarah Richards"/>
    <s v="East"/>
    <s v="Port Harcourt"/>
    <s v="Consumer"/>
    <s v="Furniture"/>
    <s v="Cabinet"/>
    <n v="12"/>
    <n v="121.32"/>
    <n v="0.15"/>
    <n v="1237.46"/>
    <n v="977.78"/>
    <n v="259.68"/>
    <s v="Cash"/>
    <n v="1"/>
    <s v="July"/>
    <x v="1"/>
    <n v="2024"/>
    <m/>
  </r>
  <r>
    <x v="163"/>
    <d v="2024-09-01T00:00:00"/>
    <s v="Annette Young"/>
    <s v="Central"/>
    <s v="Port Harcourt"/>
    <s v="Corporate"/>
    <s v="Office Supplies"/>
    <s v="Paper"/>
    <n v="9"/>
    <n v="1104.55"/>
    <n v="0.15"/>
    <n v="8449.81"/>
    <n v="5014.49"/>
    <n v="3435.32"/>
    <s v="Mobile Payment"/>
    <n v="1"/>
    <s v="September"/>
    <x v="1"/>
    <n v="2024"/>
    <m/>
  </r>
  <r>
    <x v="164"/>
    <d v="2024-01-16T00:00:00"/>
    <s v="Douglas Bates"/>
    <s v="West"/>
    <s v="Lagos"/>
    <s v="Consumer"/>
    <s v="Office Supplies"/>
    <s v="Pen"/>
    <n v="4"/>
    <n v="547.54"/>
    <n v="0.1"/>
    <n v="1971.14"/>
    <n v="1567.82"/>
    <n v="403.32"/>
    <s v="Mobile Payment"/>
    <n v="1"/>
    <s v="January"/>
    <x v="0"/>
    <n v="2024"/>
    <m/>
  </r>
  <r>
    <x v="165"/>
    <d v="2024-07-20T00:00:00"/>
    <s v="John Riley"/>
    <s v="Central"/>
    <s v="Kano"/>
    <s v="Home Office"/>
    <s v="Clothing"/>
    <s v="Jacket"/>
    <n v="11"/>
    <n v="552.65"/>
    <n v="0.05"/>
    <n v="5775.19"/>
    <n v="3738.02"/>
    <n v="2037.17"/>
    <s v="Mobile Payment"/>
    <n v="5"/>
    <s v="July"/>
    <x v="1"/>
    <n v="2024"/>
    <m/>
  </r>
  <r>
    <x v="166"/>
    <d v="2024-06-14T00:00:00"/>
    <s v="Jennifer Brown"/>
    <s v="Central"/>
    <s v="Kano"/>
    <s v="Home Office"/>
    <s v="Office Supplies"/>
    <s v="Pen"/>
    <n v="6"/>
    <n v="861.6"/>
    <n v="0.1"/>
    <n v="4652.6400000000003"/>
    <n v="3766.38"/>
    <n v="886.26"/>
    <s v="Transfer"/>
    <n v="4"/>
    <s v="June"/>
    <x v="2"/>
    <n v="2024"/>
    <m/>
  </r>
  <r>
    <x v="167"/>
    <d v="2024-04-04T00:00:00"/>
    <s v="Tammy Oneal"/>
    <s v="East"/>
    <s v="Lagos"/>
    <s v="Home Office"/>
    <s v="Furniture"/>
    <s v="Cabinet"/>
    <n v="3"/>
    <n v="717.64"/>
    <n v="0"/>
    <n v="2152.92"/>
    <n v="1630.86"/>
    <n v="522.05999999999995"/>
    <s v="Mobile Payment"/>
    <n v="3"/>
    <s v="April"/>
    <x v="2"/>
    <n v="2024"/>
    <m/>
  </r>
  <r>
    <x v="168"/>
    <d v="2024-03-22T00:00:00"/>
    <s v="Rebecca Lopez"/>
    <s v="Central"/>
    <s v="Kano"/>
    <s v="Corporate"/>
    <s v="Electronics"/>
    <s v="Tablet"/>
    <n v="6"/>
    <n v="930.47"/>
    <n v="0"/>
    <n v="5582.82"/>
    <n v="3303.17"/>
    <n v="2279.65"/>
    <s v="Cash"/>
    <n v="4"/>
    <s v="March"/>
    <x v="0"/>
    <n v="2024"/>
    <m/>
  </r>
  <r>
    <x v="169"/>
    <d v="2024-07-28T00:00:00"/>
    <s v="Kent Hernandez"/>
    <s v="North"/>
    <s v="Lagos"/>
    <s v="Home Office"/>
    <s v="Office Supplies"/>
    <s v="Notebook"/>
    <n v="9"/>
    <n v="914.07"/>
    <n v="0.1"/>
    <n v="7403.97"/>
    <n v="4077.18"/>
    <n v="3326.79"/>
    <s v="Mobile Payment"/>
    <n v="1"/>
    <s v="July"/>
    <x v="1"/>
    <n v="2024"/>
    <m/>
  </r>
  <r>
    <x v="170"/>
    <d v="2024-08-31T00:00:00"/>
    <s v="Jessica Gallagher"/>
    <s v="North"/>
    <s v="Kano"/>
    <s v="Consumer"/>
    <s v="Office Supplies"/>
    <s v="Notebook"/>
    <n v="11"/>
    <n v="169.99"/>
    <n v="0.05"/>
    <n v="1776.4"/>
    <n v="1508.08"/>
    <n v="268.32"/>
    <s v="Cash"/>
    <n v="4"/>
    <s v="August"/>
    <x v="1"/>
    <n v="2024"/>
    <m/>
  </r>
  <r>
    <x v="171"/>
    <d v="2024-11-26T00:00:00"/>
    <s v="Joseph Garrett"/>
    <s v="East"/>
    <s v="Abuja"/>
    <s v="Corporate"/>
    <s v="Office Supplies"/>
    <s v="Pen"/>
    <n v="11"/>
    <n v="141.86000000000001"/>
    <n v="0.15"/>
    <n v="1326.39"/>
    <n v="940.73"/>
    <n v="385.66"/>
    <s v="Cash"/>
    <n v="3"/>
    <s v="November"/>
    <x v="3"/>
    <n v="2024"/>
    <m/>
  </r>
  <r>
    <x v="172"/>
    <d v="2024-09-14T00:00:00"/>
    <s v="Peter Cole"/>
    <s v="East"/>
    <s v="Kano"/>
    <s v="Home Office"/>
    <s v="Clothing"/>
    <s v="Sneakers"/>
    <n v="12"/>
    <n v="282.55"/>
    <n v="0.05"/>
    <n v="3221.07"/>
    <n v="1725"/>
    <n v="1496.07"/>
    <s v="Transfer"/>
    <n v="2"/>
    <s v="September"/>
    <x v="1"/>
    <n v="2024"/>
    <m/>
  </r>
  <r>
    <x v="173"/>
    <d v="2024-03-14T00:00:00"/>
    <s v="David Perkins"/>
    <s v="North"/>
    <s v="Port Harcourt"/>
    <s v="Corporate"/>
    <s v="Office Supplies"/>
    <s v="Notebook"/>
    <n v="3"/>
    <n v="584.77"/>
    <n v="0"/>
    <n v="1754.31"/>
    <n v="1455.34"/>
    <n v="298.97000000000003"/>
    <s v="Cash"/>
    <n v="4"/>
    <s v="March"/>
    <x v="0"/>
    <n v="2024"/>
    <m/>
  </r>
  <r>
    <x v="174"/>
    <d v="2024-10-17T00:00:00"/>
    <s v="Michele Pitts"/>
    <s v="East"/>
    <s v="Kano"/>
    <s v="Corporate"/>
    <s v="Electronics"/>
    <s v="Phone"/>
    <n v="8"/>
    <n v="456.58"/>
    <n v="0"/>
    <n v="3652.64"/>
    <n v="2069.62"/>
    <n v="1583.02"/>
    <s v="Cash"/>
    <n v="5"/>
    <s v="October"/>
    <x v="3"/>
    <n v="2024"/>
    <m/>
  </r>
  <r>
    <x v="175"/>
    <d v="2024-08-06T00:00:00"/>
    <s v="Gabriel Morrison"/>
    <s v="East"/>
    <s v="Ibadan"/>
    <s v="Corporate"/>
    <s v="Furniture"/>
    <s v="Chair"/>
    <n v="8"/>
    <n v="588.41"/>
    <n v="0.15"/>
    <n v="4001.19"/>
    <n v="3379.78"/>
    <n v="621.41"/>
    <s v="Cash"/>
    <n v="4"/>
    <s v="August"/>
    <x v="1"/>
    <n v="2024"/>
    <m/>
  </r>
  <r>
    <x v="176"/>
    <d v="2024-08-27T00:00:00"/>
    <s v="Jenny Perez"/>
    <s v="Central"/>
    <s v="Ibadan"/>
    <s v="Corporate"/>
    <s v="Clothing"/>
    <s v="Sneakers"/>
    <n v="4"/>
    <n v="159.41"/>
    <n v="0.15"/>
    <n v="541.99"/>
    <n v="392.7"/>
    <n v="149.29"/>
    <s v="Cash"/>
    <n v="4"/>
    <s v="August"/>
    <x v="1"/>
    <n v="2024"/>
    <m/>
  </r>
  <r>
    <x v="177"/>
    <d v="2024-10-30T00:00:00"/>
    <s v="Jacob Black"/>
    <s v="East"/>
    <s v="Lagos"/>
    <s v="Consumer"/>
    <s v="Office Supplies"/>
    <s v="Pen"/>
    <n v="10"/>
    <n v="140.77000000000001"/>
    <n v="0.15"/>
    <n v="1196.55"/>
    <n v="627.82000000000005"/>
    <n v="568.73"/>
    <s v="Cash"/>
    <n v="1"/>
    <s v="October"/>
    <x v="3"/>
    <n v="2024"/>
    <m/>
  </r>
  <r>
    <x v="178"/>
    <d v="2024-09-15T00:00:00"/>
    <s v="Sandy Gilbert"/>
    <s v="North"/>
    <s v="Abuja"/>
    <s v="Home Office"/>
    <s v="Office Supplies"/>
    <s v="Notebook"/>
    <n v="4"/>
    <n v="643.5"/>
    <n v="0"/>
    <n v="2574"/>
    <n v="1418.82"/>
    <n v="1155.18"/>
    <s v="Mobile Payment"/>
    <n v="1"/>
    <s v="September"/>
    <x v="1"/>
    <n v="2024"/>
    <m/>
  </r>
  <r>
    <x v="179"/>
    <d v="2024-03-29T00:00:00"/>
    <s v="Anne Garcia"/>
    <s v="North"/>
    <s v="Lagos"/>
    <s v="Consumer"/>
    <s v="Clothing"/>
    <s v="Sneakers"/>
    <n v="2"/>
    <n v="983.55"/>
    <n v="0.1"/>
    <n v="1770.39"/>
    <n v="1158.31"/>
    <n v="612.08000000000004"/>
    <s v="Cash"/>
    <n v="3"/>
    <s v="March"/>
    <x v="0"/>
    <n v="2024"/>
    <m/>
  </r>
  <r>
    <x v="180"/>
    <d v="2024-02-06T00:00:00"/>
    <s v="Dr. Sydney Mueller DDS"/>
    <s v="East"/>
    <s v="Ibadan"/>
    <s v="Consumer"/>
    <s v="Furniture"/>
    <s v="Cabinet"/>
    <n v="1"/>
    <n v="330.49"/>
    <n v="0"/>
    <n v="330.49"/>
    <n v="187.48"/>
    <n v="143.01"/>
    <s v="Cash"/>
    <n v="2"/>
    <s v="February"/>
    <x v="0"/>
    <n v="2024"/>
    <m/>
  </r>
  <r>
    <x v="181"/>
    <d v="2024-04-11T00:00:00"/>
    <s v="Mary Houston"/>
    <s v="North"/>
    <s v="Kano"/>
    <s v="Consumer"/>
    <s v="Office Supplies"/>
    <s v="Paper"/>
    <n v="7"/>
    <n v="561.27"/>
    <n v="0.15"/>
    <n v="3339.56"/>
    <n v="2827.02"/>
    <n v="512.54"/>
    <s v="Card"/>
    <n v="5"/>
    <s v="April"/>
    <x v="2"/>
    <n v="2024"/>
    <m/>
  </r>
  <r>
    <x v="182"/>
    <d v="2024-12-20T00:00:00"/>
    <s v="Amanda Oconnor"/>
    <s v="West"/>
    <s v="Abuja"/>
    <s v="Corporate"/>
    <s v="Furniture"/>
    <s v="Chair"/>
    <n v="2"/>
    <n v="176.88"/>
    <n v="0"/>
    <n v="353.76"/>
    <n v="229.24"/>
    <n v="124.52"/>
    <s v="Transfer"/>
    <n v="3"/>
    <s v="December"/>
    <x v="3"/>
    <n v="2024"/>
    <m/>
  </r>
  <r>
    <x v="183"/>
    <d v="2024-05-12T00:00:00"/>
    <s v="Oscar Johnson"/>
    <s v="West"/>
    <s v="Kano"/>
    <s v="Corporate"/>
    <s v="Clothing"/>
    <s v="Jacket"/>
    <n v="6"/>
    <n v="707.17"/>
    <n v="0.15"/>
    <n v="3606.57"/>
    <n v="2036.57"/>
    <n v="1570"/>
    <s v="Cash"/>
    <n v="4"/>
    <s v="May"/>
    <x v="2"/>
    <n v="2024"/>
    <m/>
  </r>
  <r>
    <x v="184"/>
    <d v="2024-09-17T00:00:00"/>
    <s v="Larry Hernandez"/>
    <s v="South"/>
    <s v="Abuja"/>
    <s v="Consumer"/>
    <s v="Office Supplies"/>
    <s v="Paper"/>
    <n v="10"/>
    <n v="334.06"/>
    <n v="0.1"/>
    <n v="3006.54"/>
    <n v="1920.88"/>
    <n v="1085.6600000000001"/>
    <s v="Mobile Payment"/>
    <n v="1"/>
    <s v="September"/>
    <x v="1"/>
    <n v="2024"/>
    <m/>
  </r>
  <r>
    <x v="185"/>
    <d v="2024-09-04T00:00:00"/>
    <s v="Jeffrey Sheppard"/>
    <s v="East"/>
    <s v="Kano"/>
    <s v="Corporate"/>
    <s v="Furniture"/>
    <s v="Cabinet"/>
    <n v="4"/>
    <n v="209.97"/>
    <n v="0.1"/>
    <n v="755.89"/>
    <n v="534.25"/>
    <n v="221.64"/>
    <s v="Transfer"/>
    <n v="2"/>
    <s v="September"/>
    <x v="1"/>
    <n v="2024"/>
    <m/>
  </r>
  <r>
    <x v="186"/>
    <d v="2024-03-02T00:00:00"/>
    <s v="Brian Kim"/>
    <s v="Central"/>
    <s v="Abuja"/>
    <s v="Home Office"/>
    <s v="Clothing"/>
    <s v="Sneakers"/>
    <n v="8"/>
    <n v="969.14"/>
    <n v="0"/>
    <n v="7753.12"/>
    <n v="4600.1499999999996"/>
    <n v="3152.97"/>
    <s v="Card"/>
    <n v="1"/>
    <s v="March"/>
    <x v="0"/>
    <n v="2024"/>
    <m/>
  </r>
  <r>
    <x v="187"/>
    <d v="2024-12-22T00:00:00"/>
    <s v="Michael Solomon"/>
    <s v="West"/>
    <s v="Lagos"/>
    <s v="Home Office"/>
    <s v="Furniture"/>
    <s v="Desk"/>
    <n v="4"/>
    <n v="865.66"/>
    <n v="0"/>
    <n v="3462.64"/>
    <n v="2613.65"/>
    <n v="848.99"/>
    <s v="Mobile Payment"/>
    <n v="3"/>
    <s v="December"/>
    <x v="3"/>
    <n v="2024"/>
    <m/>
  </r>
  <r>
    <x v="188"/>
    <d v="2024-06-30T00:00:00"/>
    <s v="Stephanie Duncan"/>
    <s v="South"/>
    <s v="Kano"/>
    <s v="Home Office"/>
    <s v="Furniture"/>
    <s v="Cabinet"/>
    <n v="12"/>
    <n v="315.32"/>
    <n v="0"/>
    <n v="3783.84"/>
    <n v="2842.95"/>
    <n v="940.89"/>
    <s v="Cash"/>
    <n v="4"/>
    <s v="June"/>
    <x v="2"/>
    <n v="2024"/>
    <m/>
  </r>
  <r>
    <x v="189"/>
    <d v="2024-05-22T00:00:00"/>
    <s v="Audrey Wright"/>
    <s v="Central"/>
    <s v="Abuja"/>
    <s v="Consumer"/>
    <s v="Office Supplies"/>
    <s v="Paper"/>
    <n v="5"/>
    <n v="456.22"/>
    <n v="0.15"/>
    <n v="1938.94"/>
    <n v="999.8"/>
    <n v="939.14"/>
    <s v="Transfer"/>
    <n v="1"/>
    <s v="May"/>
    <x v="2"/>
    <n v="2024"/>
    <m/>
  </r>
  <r>
    <x v="190"/>
    <d v="2024-05-05T00:00:00"/>
    <s v="Patrick Francis"/>
    <s v="Central"/>
    <s v="Abuja"/>
    <s v="Home Office"/>
    <s v="Electronics"/>
    <s v="Printer"/>
    <n v="8"/>
    <n v="844.9"/>
    <n v="0.1"/>
    <n v="6083.28"/>
    <n v="3393.44"/>
    <n v="2689.84"/>
    <s v="Mobile Payment"/>
    <n v="5"/>
    <s v="May"/>
    <x v="2"/>
    <n v="2024"/>
    <m/>
  </r>
  <r>
    <x v="191"/>
    <d v="2024-01-15T00:00:00"/>
    <s v="Kimberly Knight"/>
    <s v="South"/>
    <s v="Ibadan"/>
    <s v="Consumer"/>
    <s v="Electronics"/>
    <s v="Laptop"/>
    <n v="11"/>
    <n v="763.65"/>
    <n v="0.15"/>
    <n v="7140.13"/>
    <n v="4703.41"/>
    <n v="2436.7199999999998"/>
    <s v="Transfer"/>
    <n v="2"/>
    <s v="January"/>
    <x v="0"/>
    <n v="2024"/>
    <m/>
  </r>
  <r>
    <x v="192"/>
    <d v="2024-12-14T00:00:00"/>
    <s v="Nicholas Leach"/>
    <s v="South"/>
    <s v="Abuja"/>
    <s v="Corporate"/>
    <s v="Office Supplies"/>
    <s v="Pen"/>
    <n v="12"/>
    <n v="938.58"/>
    <n v="0.15"/>
    <n v="9573.52"/>
    <n v="8126.08"/>
    <n v="1447.44"/>
    <s v="Cash"/>
    <n v="1"/>
    <s v="December"/>
    <x v="3"/>
    <n v="2024"/>
    <m/>
  </r>
  <r>
    <x v="193"/>
    <d v="2024-11-06T00:00:00"/>
    <s v="Nicholas Rodriguez"/>
    <s v="North"/>
    <s v="Lagos"/>
    <s v="Home Office"/>
    <s v="Office Supplies"/>
    <s v="Paper"/>
    <n v="2"/>
    <n v="82.34"/>
    <n v="0.15"/>
    <n v="139.97999999999999"/>
    <n v="112.38"/>
    <n v="27.6"/>
    <s v="Cash"/>
    <n v="2"/>
    <s v="November"/>
    <x v="3"/>
    <n v="2024"/>
    <m/>
  </r>
  <r>
    <x v="194"/>
    <d v="2024-04-05T00:00:00"/>
    <s v="Michael Brown"/>
    <s v="Central"/>
    <s v="Kano"/>
    <s v="Consumer"/>
    <s v="Clothing"/>
    <s v="Jacket"/>
    <n v="3"/>
    <n v="1001.92"/>
    <n v="0.15"/>
    <n v="2554.9"/>
    <n v="1517.96"/>
    <n v="1036.94"/>
    <s v="Transfer"/>
    <n v="5"/>
    <s v="April"/>
    <x v="2"/>
    <n v="2024"/>
    <m/>
  </r>
  <r>
    <x v="195"/>
    <d v="2024-08-07T00:00:00"/>
    <s v="Elizabeth Osborne"/>
    <s v="South"/>
    <s v="Kano"/>
    <s v="Consumer"/>
    <s v="Office Supplies"/>
    <s v="Notebook"/>
    <n v="11"/>
    <n v="942.38"/>
    <n v="0.1"/>
    <n v="9329.56"/>
    <n v="7374.7"/>
    <n v="1954.86"/>
    <s v="Cash"/>
    <n v="4"/>
    <s v="August"/>
    <x v="1"/>
    <n v="2024"/>
    <m/>
  </r>
  <r>
    <x v="196"/>
    <d v="2024-11-02T00:00:00"/>
    <s v="Terry Martinez"/>
    <s v="Central"/>
    <s v="Port Harcourt"/>
    <s v="Corporate"/>
    <s v="Office Supplies"/>
    <s v="Notebook"/>
    <n v="10"/>
    <n v="174.23"/>
    <n v="0.05"/>
    <n v="1655.18"/>
    <n v="1390.28"/>
    <n v="264.89999999999998"/>
    <s v="Cash"/>
    <n v="5"/>
    <s v="November"/>
    <x v="3"/>
    <n v="2024"/>
    <m/>
  </r>
  <r>
    <x v="197"/>
    <d v="2024-04-23T00:00:00"/>
    <s v="Jeremy Bennett"/>
    <s v="West"/>
    <s v="Port Harcourt"/>
    <s v="Consumer"/>
    <s v="Office Supplies"/>
    <s v="Paper"/>
    <n v="1"/>
    <n v="520.79"/>
    <n v="0.15"/>
    <n v="442.67"/>
    <n v="339.16"/>
    <n v="103.51"/>
    <s v="Cash"/>
    <n v="3"/>
    <s v="April"/>
    <x v="2"/>
    <n v="2024"/>
    <m/>
  </r>
  <r>
    <x v="198"/>
    <d v="2024-11-22T00:00:00"/>
    <s v="Kara Blanchard"/>
    <s v="East"/>
    <s v="Abuja"/>
    <s v="Home Office"/>
    <s v="Clothing"/>
    <s v="Sneakers"/>
    <n v="3"/>
    <n v="943.9"/>
    <n v="0.1"/>
    <n v="2548.5300000000002"/>
    <n v="1992.2"/>
    <n v="556.33000000000004"/>
    <s v="Transfer"/>
    <n v="2"/>
    <s v="November"/>
    <x v="3"/>
    <n v="2024"/>
    <m/>
  </r>
  <r>
    <x v="199"/>
    <d v="2024-02-18T00:00:00"/>
    <s v="Joseph Simpson"/>
    <s v="North"/>
    <s v="Kano"/>
    <s v="Home Office"/>
    <s v="Electronics"/>
    <s v="Printer"/>
    <n v="2"/>
    <n v="1095.21"/>
    <n v="0.05"/>
    <n v="2080.9"/>
    <n v="1385.45"/>
    <n v="695.45"/>
    <s v="Transfer"/>
    <n v="4"/>
    <s v="February"/>
    <x v="0"/>
    <n v="2024"/>
    <m/>
  </r>
  <r>
    <x v="200"/>
    <d v="2024-09-08T00:00:00"/>
    <s v="Wendy Smith"/>
    <s v="South"/>
    <s v="Lagos"/>
    <s v="Home Office"/>
    <s v="Furniture"/>
    <s v="Desk"/>
    <n v="9"/>
    <n v="64.45"/>
    <n v="0.05"/>
    <n v="551.04999999999995"/>
    <n v="431.06"/>
    <n v="119.99"/>
    <s v="Card"/>
    <n v="2"/>
    <s v="September"/>
    <x v="1"/>
    <n v="2024"/>
    <m/>
  </r>
  <r>
    <x v="201"/>
    <d v="2024-02-08T00:00:00"/>
    <s v="Melanie Swanson"/>
    <s v="Central"/>
    <s v="Kano"/>
    <s v="Consumer"/>
    <s v="Furniture"/>
    <s v="Desk"/>
    <n v="10"/>
    <n v="400.83"/>
    <n v="0.05"/>
    <n v="3807.88"/>
    <n v="2731.49"/>
    <n v="1076.3900000000001"/>
    <s v="Cash"/>
    <n v="2"/>
    <s v="February"/>
    <x v="0"/>
    <n v="2024"/>
    <m/>
  </r>
  <r>
    <x v="202"/>
    <d v="2024-03-17T00:00:00"/>
    <s v="Laura Gutierrez"/>
    <s v="East"/>
    <s v="Abuja"/>
    <s v="Consumer"/>
    <s v="Clothing"/>
    <s v="Jacket"/>
    <n v="12"/>
    <n v="879.94"/>
    <n v="0.1"/>
    <n v="9503.35"/>
    <n v="8051.07"/>
    <n v="1452.28"/>
    <s v="Mobile Payment"/>
    <n v="4"/>
    <s v="March"/>
    <x v="0"/>
    <n v="2024"/>
    <m/>
  </r>
  <r>
    <x v="203"/>
    <d v="2024-07-08T00:00:00"/>
    <s v="April Hoffman"/>
    <s v="Central"/>
    <s v="Ibadan"/>
    <s v="Consumer"/>
    <s v="Clothing"/>
    <s v="T-Shirt"/>
    <n v="9"/>
    <n v="825.69"/>
    <n v="0"/>
    <n v="7431.21"/>
    <n v="4969.3100000000004"/>
    <n v="2461.9"/>
    <s v="Cash"/>
    <n v="3"/>
    <s v="July"/>
    <x v="1"/>
    <n v="2024"/>
    <m/>
  </r>
  <r>
    <x v="204"/>
    <d v="2024-03-01T00:00:00"/>
    <s v="Jason Parker"/>
    <s v="Central"/>
    <s v="Abuja"/>
    <s v="Corporate"/>
    <s v="Electronics"/>
    <s v="Printer"/>
    <n v="3"/>
    <n v="1065.44"/>
    <n v="0.05"/>
    <n v="3036.5"/>
    <n v="2134.69"/>
    <n v="901.81"/>
    <s v="Transfer"/>
    <n v="3"/>
    <s v="March"/>
    <x v="0"/>
    <n v="2024"/>
    <m/>
  </r>
  <r>
    <x v="205"/>
    <d v="2024-05-27T00:00:00"/>
    <s v="Dillon Evans"/>
    <s v="East"/>
    <s v="Abuja"/>
    <s v="Consumer"/>
    <s v="Electronics"/>
    <s v="Laptop"/>
    <n v="10"/>
    <n v="410.39"/>
    <n v="0"/>
    <n v="4103.8999999999996"/>
    <n v="2358.6799999999998"/>
    <n v="1745.22"/>
    <s v="Cash"/>
    <n v="5"/>
    <s v="May"/>
    <x v="2"/>
    <n v="2024"/>
    <m/>
  </r>
  <r>
    <x v="206"/>
    <d v="2024-03-07T00:00:00"/>
    <s v="Vicki Lee"/>
    <s v="South"/>
    <s v="Port Harcourt"/>
    <s v="Corporate"/>
    <s v="Office Supplies"/>
    <s v="Pen"/>
    <n v="12"/>
    <n v="255.77"/>
    <n v="0"/>
    <n v="3069.24"/>
    <n v="1630.88"/>
    <n v="1438.36"/>
    <s v="Mobile Payment"/>
    <n v="1"/>
    <s v="March"/>
    <x v="0"/>
    <n v="2024"/>
    <m/>
  </r>
  <r>
    <x v="207"/>
    <d v="2024-07-25T00:00:00"/>
    <s v="Bradley Velez"/>
    <s v="North"/>
    <s v="Port Harcourt"/>
    <s v="Home Office"/>
    <s v="Clothing"/>
    <s v="T-Shirt"/>
    <n v="8"/>
    <n v="80.319999999999993"/>
    <n v="0.05"/>
    <n v="610.42999999999995"/>
    <n v="331.71"/>
    <n v="278.72000000000003"/>
    <s v="Transfer"/>
    <n v="1"/>
    <s v="July"/>
    <x v="1"/>
    <n v="2024"/>
    <m/>
  </r>
  <r>
    <x v="208"/>
    <d v="2024-09-23T00:00:00"/>
    <s v="Jacqueline Watkins"/>
    <s v="Central"/>
    <s v="Ibadan"/>
    <s v="Consumer"/>
    <s v="Furniture"/>
    <s v="Cabinet"/>
    <n v="3"/>
    <n v="187.83"/>
    <n v="0.15"/>
    <n v="478.97"/>
    <n v="261.56"/>
    <n v="217.41"/>
    <s v="Card"/>
    <n v="2"/>
    <s v="September"/>
    <x v="1"/>
    <n v="2024"/>
    <m/>
  </r>
  <r>
    <x v="209"/>
    <d v="2024-03-11T00:00:00"/>
    <s v="John Park"/>
    <s v="North"/>
    <s v="Abuja"/>
    <s v="Consumer"/>
    <s v="Office Supplies"/>
    <s v="Paper"/>
    <n v="4"/>
    <n v="500.37"/>
    <n v="0.1"/>
    <n v="1801.33"/>
    <n v="1270.76"/>
    <n v="530.57000000000005"/>
    <s v="Card"/>
    <n v="2"/>
    <s v="March"/>
    <x v="0"/>
    <n v="2024"/>
    <m/>
  </r>
  <r>
    <x v="210"/>
    <d v="2024-07-28T00:00:00"/>
    <s v="Alexandra Wagner"/>
    <s v="South"/>
    <s v="Port Harcourt"/>
    <s v="Corporate"/>
    <s v="Furniture"/>
    <s v="Desk"/>
    <n v="2"/>
    <n v="72.25"/>
    <n v="0.05"/>
    <n v="137.28"/>
    <n v="92.8"/>
    <n v="44.48"/>
    <s v="Card"/>
    <n v="5"/>
    <s v="July"/>
    <x v="1"/>
    <n v="2024"/>
    <m/>
  </r>
  <r>
    <x v="211"/>
    <d v="2024-07-02T00:00:00"/>
    <s v="Deborah Conley"/>
    <s v="West"/>
    <s v="Abuja"/>
    <s v="Consumer"/>
    <s v="Clothing"/>
    <s v="Jacket"/>
    <n v="12"/>
    <n v="82.99"/>
    <n v="0"/>
    <n v="995.88"/>
    <n v="524.41"/>
    <n v="471.47"/>
    <s v="Card"/>
    <n v="4"/>
    <s v="July"/>
    <x v="1"/>
    <n v="2024"/>
    <m/>
  </r>
  <r>
    <x v="212"/>
    <d v="2024-07-26T00:00:00"/>
    <s v="Carl Hayes"/>
    <s v="East"/>
    <s v="Kano"/>
    <s v="Home Office"/>
    <s v="Electronics"/>
    <s v="Tablet"/>
    <n v="4"/>
    <n v="1130.0899999999999"/>
    <n v="0.05"/>
    <n v="4294.34"/>
    <n v="3564.75"/>
    <n v="729.59"/>
    <s v="Cash"/>
    <n v="1"/>
    <s v="July"/>
    <x v="1"/>
    <n v="2024"/>
    <m/>
  </r>
  <r>
    <x v="213"/>
    <d v="2024-01-30T00:00:00"/>
    <s v="Scott James"/>
    <s v="South"/>
    <s v="Kano"/>
    <s v="Home Office"/>
    <s v="Furniture"/>
    <s v="Chair"/>
    <n v="5"/>
    <n v="970.28"/>
    <n v="0.05"/>
    <n v="4608.83"/>
    <n v="2943.96"/>
    <n v="1664.87"/>
    <s v="Transfer"/>
    <n v="3"/>
    <s v="January"/>
    <x v="0"/>
    <n v="2024"/>
    <m/>
  </r>
  <r>
    <x v="214"/>
    <d v="2024-01-26T00:00:00"/>
    <s v="Elaine Jimenez"/>
    <s v="North"/>
    <s v="Ibadan"/>
    <s v="Home Office"/>
    <s v="Office Supplies"/>
    <s v="Paper"/>
    <n v="9"/>
    <n v="586.1"/>
    <n v="0"/>
    <n v="5274.9"/>
    <n v="2706.42"/>
    <n v="2568.48"/>
    <s v="Transfer"/>
    <n v="1"/>
    <s v="January"/>
    <x v="0"/>
    <n v="2024"/>
    <m/>
  </r>
  <r>
    <x v="215"/>
    <d v="2024-04-20T00:00:00"/>
    <s v="Tracey Williams"/>
    <s v="West"/>
    <s v="Abuja"/>
    <s v="Home Office"/>
    <s v="Furniture"/>
    <s v="Cabinet"/>
    <n v="2"/>
    <n v="183.64"/>
    <n v="0.1"/>
    <n v="330.55"/>
    <n v="171"/>
    <n v="159.55000000000001"/>
    <s v="Transfer"/>
    <n v="4"/>
    <s v="April"/>
    <x v="2"/>
    <n v="2024"/>
    <m/>
  </r>
  <r>
    <x v="216"/>
    <d v="2024-07-24T00:00:00"/>
    <s v="Julia Garrison"/>
    <s v="North"/>
    <s v="Port Harcourt"/>
    <s v="Home Office"/>
    <s v="Electronics"/>
    <s v="Printer"/>
    <n v="8"/>
    <n v="599.29999999999995"/>
    <n v="0"/>
    <n v="4794.3999999999996"/>
    <n v="4006.5"/>
    <n v="787.9"/>
    <s v="Card"/>
    <n v="3"/>
    <s v="July"/>
    <x v="1"/>
    <n v="2024"/>
    <m/>
  </r>
  <r>
    <x v="217"/>
    <d v="2024-03-03T00:00:00"/>
    <s v="Michelle Phillips"/>
    <s v="Central"/>
    <s v="Kano"/>
    <s v="Home Office"/>
    <s v="Office Supplies"/>
    <s v="Notebook"/>
    <n v="9"/>
    <n v="1186.71"/>
    <n v="0.15"/>
    <n v="9078.33"/>
    <n v="5422.6"/>
    <n v="3655.73"/>
    <s v="Mobile Payment"/>
    <n v="2"/>
    <s v="March"/>
    <x v="0"/>
    <n v="2024"/>
    <m/>
  </r>
  <r>
    <x v="218"/>
    <d v="2024-08-02T00:00:00"/>
    <s v="Kelly Koch"/>
    <s v="West"/>
    <s v="Ibadan"/>
    <s v="Corporate"/>
    <s v="Furniture"/>
    <s v="Chair"/>
    <n v="7"/>
    <n v="940.25"/>
    <n v="0"/>
    <n v="6581.75"/>
    <n v="3381.86"/>
    <n v="3199.89"/>
    <s v="Transfer"/>
    <n v="4"/>
    <s v="August"/>
    <x v="1"/>
    <n v="2024"/>
    <m/>
  </r>
  <r>
    <x v="219"/>
    <d v="2024-02-01T00:00:00"/>
    <s v="Dan French"/>
    <s v="East"/>
    <s v="Abuja"/>
    <s v="Consumer"/>
    <s v="Office Supplies"/>
    <s v="Pen"/>
    <n v="3"/>
    <n v="624.1"/>
    <n v="0.05"/>
    <n v="1778.69"/>
    <n v="904.8"/>
    <n v="873.89"/>
    <s v="Mobile Payment"/>
    <n v="4"/>
    <s v="February"/>
    <x v="0"/>
    <n v="2024"/>
    <m/>
  </r>
  <r>
    <x v="220"/>
    <d v="2024-04-30T00:00:00"/>
    <s v="Michael Mason"/>
    <s v="South"/>
    <s v="Port Harcourt"/>
    <s v="Consumer"/>
    <s v="Office Supplies"/>
    <s v="Pen"/>
    <n v="6"/>
    <n v="328.63"/>
    <n v="0.1"/>
    <n v="1774.6"/>
    <n v="889.96"/>
    <n v="884.64"/>
    <s v="Card"/>
    <n v="5"/>
    <s v="April"/>
    <x v="2"/>
    <n v="2024"/>
    <m/>
  </r>
  <r>
    <x v="221"/>
    <d v="2024-11-30T00:00:00"/>
    <s v="Angel Sanchez"/>
    <s v="East"/>
    <s v="Lagos"/>
    <s v="Consumer"/>
    <s v="Clothing"/>
    <s v="Jacket"/>
    <n v="1"/>
    <n v="48.47"/>
    <n v="0.1"/>
    <n v="43.62"/>
    <n v="30.03"/>
    <n v="13.59"/>
    <s v="Card"/>
    <n v="5"/>
    <s v="November"/>
    <x v="3"/>
    <n v="2024"/>
    <m/>
  </r>
  <r>
    <x v="222"/>
    <d v="2024-05-18T00:00:00"/>
    <s v="Teresa Nelson"/>
    <s v="Central"/>
    <s v="Port Harcourt"/>
    <s v="Consumer"/>
    <s v="Office Supplies"/>
    <s v="Pen"/>
    <n v="2"/>
    <n v="954.46"/>
    <n v="0.15"/>
    <n v="1622.58"/>
    <n v="1334.95"/>
    <n v="287.63"/>
    <s v="Cash"/>
    <n v="3"/>
    <s v="May"/>
    <x v="2"/>
    <n v="2024"/>
    <m/>
  </r>
  <r>
    <x v="223"/>
    <d v="2024-02-05T00:00:00"/>
    <s v="John Lozano"/>
    <s v="West"/>
    <s v="Abuja"/>
    <s v="Consumer"/>
    <s v="Furniture"/>
    <s v="Chair"/>
    <n v="1"/>
    <n v="617.24"/>
    <n v="0.1"/>
    <n v="555.52"/>
    <n v="283.79000000000002"/>
    <n v="271.73"/>
    <s v="Mobile Payment"/>
    <n v="3"/>
    <s v="February"/>
    <x v="0"/>
    <n v="2024"/>
    <m/>
  </r>
  <r>
    <x v="224"/>
    <d v="2024-01-08T00:00:00"/>
    <s v="Michael Smith"/>
    <s v="East"/>
    <s v="Ibadan"/>
    <s v="Corporate"/>
    <s v="Electronics"/>
    <s v="Phone"/>
    <n v="8"/>
    <n v="924.25"/>
    <n v="0.1"/>
    <n v="6654.6"/>
    <n v="4875.3999999999996"/>
    <n v="1779.2"/>
    <s v="Mobile Payment"/>
    <n v="5"/>
    <s v="January"/>
    <x v="0"/>
    <n v="2024"/>
    <m/>
  </r>
  <r>
    <x v="225"/>
    <d v="2024-02-24T00:00:00"/>
    <s v="Jessica Shaffer"/>
    <s v="North"/>
    <s v="Abuja"/>
    <s v="Corporate"/>
    <s v="Electronics"/>
    <s v="Laptop"/>
    <n v="11"/>
    <n v="876.37"/>
    <n v="0.05"/>
    <n v="9158.07"/>
    <n v="6713.59"/>
    <n v="2444.48"/>
    <s v="Cash"/>
    <n v="3"/>
    <s v="February"/>
    <x v="0"/>
    <n v="2024"/>
    <m/>
  </r>
  <r>
    <x v="226"/>
    <d v="2024-06-13T00:00:00"/>
    <s v="Julia Curtis"/>
    <s v="North"/>
    <s v="Ibadan"/>
    <s v="Consumer"/>
    <s v="Clothing"/>
    <s v="T-Shirt"/>
    <n v="4"/>
    <n v="1134.33"/>
    <n v="0"/>
    <n v="4537.32"/>
    <n v="2455.9"/>
    <n v="2081.42"/>
    <s v="Mobile Payment"/>
    <n v="2"/>
    <s v="June"/>
    <x v="2"/>
    <n v="2024"/>
    <m/>
  </r>
  <r>
    <x v="227"/>
    <d v="2024-01-12T00:00:00"/>
    <s v="Rhonda Lester"/>
    <s v="Central"/>
    <s v="Abuja"/>
    <s v="Consumer"/>
    <s v="Furniture"/>
    <s v="Cabinet"/>
    <n v="3"/>
    <n v="193.88"/>
    <n v="0"/>
    <n v="581.64"/>
    <n v="491.89"/>
    <n v="89.75"/>
    <s v="Transfer"/>
    <n v="1"/>
    <s v="January"/>
    <x v="0"/>
    <n v="2024"/>
    <m/>
  </r>
  <r>
    <x v="228"/>
    <d v="2024-06-05T00:00:00"/>
    <s v="Cheryl Perez"/>
    <s v="Central"/>
    <s v="Kano"/>
    <s v="Home Office"/>
    <s v="Electronics"/>
    <s v="Phone"/>
    <n v="11"/>
    <n v="1047.6600000000001"/>
    <n v="0.05"/>
    <n v="10948.05"/>
    <n v="6324.64"/>
    <n v="4623.41"/>
    <s v="Transfer"/>
    <n v="1"/>
    <s v="June"/>
    <x v="2"/>
    <n v="2024"/>
    <m/>
  </r>
  <r>
    <x v="229"/>
    <d v="2024-05-23T00:00:00"/>
    <s v="Robert Nichols"/>
    <s v="West"/>
    <s v="Lagos"/>
    <s v="Corporate"/>
    <s v="Furniture"/>
    <s v="Cabinet"/>
    <n v="9"/>
    <n v="817.3"/>
    <n v="0.05"/>
    <n v="6987.91"/>
    <n v="4980.47"/>
    <n v="2007.44"/>
    <s v="Transfer"/>
    <n v="5"/>
    <s v="May"/>
    <x v="2"/>
    <n v="2024"/>
    <m/>
  </r>
  <r>
    <x v="230"/>
    <d v="2024-01-11T00:00:00"/>
    <s v="Marvin Torres"/>
    <s v="North"/>
    <s v="Lagos"/>
    <s v="Home Office"/>
    <s v="Electronics"/>
    <s v="Laptop"/>
    <n v="10"/>
    <n v="406.97"/>
    <n v="0.15"/>
    <n v="3459.25"/>
    <n v="2576.3000000000002"/>
    <n v="882.95"/>
    <s v="Transfer"/>
    <n v="4"/>
    <s v="January"/>
    <x v="0"/>
    <n v="2024"/>
    <m/>
  </r>
  <r>
    <x v="231"/>
    <d v="2024-01-11T00:00:00"/>
    <s v="Edgar English"/>
    <s v="North"/>
    <s v="Ibadan"/>
    <s v="Consumer"/>
    <s v="Electronics"/>
    <s v="Phone"/>
    <n v="11"/>
    <n v="463.96"/>
    <n v="0.05"/>
    <n v="4848.38"/>
    <n v="3475.31"/>
    <n v="1373.07"/>
    <s v="Transfer"/>
    <n v="3"/>
    <s v="January"/>
    <x v="0"/>
    <n v="2024"/>
    <m/>
  </r>
  <r>
    <x v="232"/>
    <d v="2024-07-26T00:00:00"/>
    <s v="Brianna Hart"/>
    <s v="West"/>
    <s v="Lagos"/>
    <s v="Corporate"/>
    <s v="Electronics"/>
    <s v="Printer"/>
    <n v="1"/>
    <n v="985.15"/>
    <n v="0.15"/>
    <n v="837.38"/>
    <n v="659.22"/>
    <n v="178.16"/>
    <s v="Card"/>
    <n v="1"/>
    <s v="July"/>
    <x v="1"/>
    <n v="2024"/>
    <m/>
  </r>
  <r>
    <x v="233"/>
    <d v="2024-06-15T00:00:00"/>
    <s v="Jessica Robinson"/>
    <s v="East"/>
    <s v="Kano"/>
    <s v="Consumer"/>
    <s v="Clothing"/>
    <s v="Sneakers"/>
    <n v="3"/>
    <n v="616.14"/>
    <n v="0.1"/>
    <n v="1663.58"/>
    <n v="1252.18"/>
    <n v="411.4"/>
    <s v="Mobile Payment"/>
    <n v="3"/>
    <s v="June"/>
    <x v="2"/>
    <n v="2024"/>
    <m/>
  </r>
  <r>
    <x v="234"/>
    <d v="2024-01-08T00:00:00"/>
    <s v="Charles Craig"/>
    <s v="Central"/>
    <s v="Lagos"/>
    <s v="Corporate"/>
    <s v="Furniture"/>
    <s v="Desk"/>
    <n v="2"/>
    <n v="29.23"/>
    <n v="0.05"/>
    <n v="55.54"/>
    <n v="38.799999999999997"/>
    <n v="16.739999999999998"/>
    <s v="Cash"/>
    <n v="4"/>
    <s v="January"/>
    <x v="0"/>
    <n v="2024"/>
    <m/>
  </r>
  <r>
    <x v="235"/>
    <d v="2024-04-22T00:00:00"/>
    <s v="Rickey Todd"/>
    <s v="North"/>
    <s v="Lagos"/>
    <s v="Corporate"/>
    <s v="Furniture"/>
    <s v="Cabinet"/>
    <n v="7"/>
    <n v="77.209999999999994"/>
    <n v="0"/>
    <n v="540.47"/>
    <n v="404.86"/>
    <n v="135.61000000000001"/>
    <s v="Cash"/>
    <n v="2"/>
    <s v="April"/>
    <x v="2"/>
    <n v="2024"/>
    <m/>
  </r>
  <r>
    <x v="236"/>
    <d v="2024-10-06T00:00:00"/>
    <s v="Jody Suarez"/>
    <s v="South"/>
    <s v="Port Harcourt"/>
    <s v="Corporate"/>
    <s v="Furniture"/>
    <s v="Chair"/>
    <n v="7"/>
    <n v="780.58"/>
    <n v="0.1"/>
    <n v="4917.6499999999996"/>
    <n v="4130.74"/>
    <n v="786.91"/>
    <s v="Mobile Payment"/>
    <n v="4"/>
    <s v="October"/>
    <x v="3"/>
    <n v="2024"/>
    <m/>
  </r>
  <r>
    <x v="237"/>
    <d v="2024-07-17T00:00:00"/>
    <s v="Tony Russell"/>
    <s v="South"/>
    <s v="Lagos"/>
    <s v="Corporate"/>
    <s v="Clothing"/>
    <s v="Sneakers"/>
    <n v="11"/>
    <n v="724.28"/>
    <n v="0.15"/>
    <n v="6772.02"/>
    <n v="3404.31"/>
    <n v="3367.71"/>
    <s v="Mobile Payment"/>
    <n v="1"/>
    <s v="July"/>
    <x v="1"/>
    <n v="2024"/>
    <m/>
  </r>
  <r>
    <x v="238"/>
    <d v="2024-12-14T00:00:00"/>
    <s v="Cynthia Chavez"/>
    <s v="South"/>
    <s v="Lagos"/>
    <s v="Home Office"/>
    <s v="Office Supplies"/>
    <s v="Paper"/>
    <n v="5"/>
    <n v="714.95"/>
    <n v="0"/>
    <n v="3574.75"/>
    <n v="3021.5"/>
    <n v="553.25"/>
    <s v="Card"/>
    <n v="1"/>
    <s v="December"/>
    <x v="3"/>
    <n v="2024"/>
    <m/>
  </r>
  <r>
    <x v="239"/>
    <d v="2024-02-17T00:00:00"/>
    <s v="Mariah Dudley"/>
    <s v="West"/>
    <s v="Abuja"/>
    <s v="Corporate"/>
    <s v="Office Supplies"/>
    <s v="Pen"/>
    <n v="4"/>
    <n v="304.88"/>
    <n v="0.1"/>
    <n v="1097.57"/>
    <n v="869.49"/>
    <n v="228.08"/>
    <s v="Cash"/>
    <n v="4"/>
    <s v="February"/>
    <x v="0"/>
    <n v="2024"/>
    <m/>
  </r>
  <r>
    <x v="240"/>
    <d v="2024-12-07T00:00:00"/>
    <s v="Terry Williams"/>
    <s v="South"/>
    <s v="Ibadan"/>
    <s v="Home Office"/>
    <s v="Furniture"/>
    <s v="Desk"/>
    <n v="3"/>
    <n v="55.05"/>
    <n v="0.05"/>
    <n v="156.88999999999999"/>
    <n v="125.64"/>
    <n v="31.25"/>
    <s v="Mobile Payment"/>
    <n v="5"/>
    <s v="December"/>
    <x v="3"/>
    <n v="2024"/>
    <m/>
  </r>
  <r>
    <x v="241"/>
    <d v="2024-09-09T00:00:00"/>
    <s v="Holly Vance"/>
    <s v="North"/>
    <s v="Kano"/>
    <s v="Home Office"/>
    <s v="Clothing"/>
    <s v="Jacket"/>
    <n v="2"/>
    <n v="238.23"/>
    <n v="0.15"/>
    <n v="404.99"/>
    <n v="280.56"/>
    <n v="124.43"/>
    <s v="Mobile Payment"/>
    <n v="2"/>
    <s v="September"/>
    <x v="1"/>
    <n v="2024"/>
    <m/>
  </r>
  <r>
    <x v="242"/>
    <d v="2024-05-30T00:00:00"/>
    <s v="Shari Rivera"/>
    <s v="West"/>
    <s v="Kano"/>
    <s v="Corporate"/>
    <s v="Office Supplies"/>
    <s v="Pen"/>
    <n v="6"/>
    <n v="187.72"/>
    <n v="0"/>
    <n v="1126.32"/>
    <n v="752.63"/>
    <n v="373.69"/>
    <s v="Mobile Payment"/>
    <n v="4"/>
    <s v="May"/>
    <x v="2"/>
    <n v="2024"/>
    <m/>
  </r>
  <r>
    <x v="243"/>
    <d v="2024-05-17T00:00:00"/>
    <s v="Lauren Smith"/>
    <s v="South"/>
    <s v="Kano"/>
    <s v="Corporate"/>
    <s v="Electronics"/>
    <s v="Laptop"/>
    <n v="4"/>
    <n v="656.91"/>
    <n v="0.05"/>
    <n v="2496.2600000000002"/>
    <n v="1905.09"/>
    <n v="591.16999999999996"/>
    <s v="Transfer"/>
    <n v="2"/>
    <s v="May"/>
    <x v="2"/>
    <n v="2024"/>
    <m/>
  </r>
  <r>
    <x v="244"/>
    <d v="2024-03-13T00:00:00"/>
    <s v="Chad Lee"/>
    <s v="North"/>
    <s v="Kano"/>
    <s v="Corporate"/>
    <s v="Electronics"/>
    <s v="Tablet"/>
    <n v="12"/>
    <n v="885.09"/>
    <n v="0.1"/>
    <n v="9558.9699999999993"/>
    <n v="7779.3"/>
    <n v="1779.67"/>
    <s v="Transfer"/>
    <n v="4"/>
    <s v="March"/>
    <x v="0"/>
    <n v="2024"/>
    <m/>
  </r>
  <r>
    <x v="245"/>
    <d v="2024-03-05T00:00:00"/>
    <s v="Edward Whitaker"/>
    <s v="South"/>
    <s v="Lagos"/>
    <s v="Corporate"/>
    <s v="Office Supplies"/>
    <s v="Pen"/>
    <n v="2"/>
    <n v="222.08"/>
    <n v="0.1"/>
    <n v="399.74"/>
    <n v="322.74"/>
    <n v="77"/>
    <s v="Transfer"/>
    <n v="3"/>
    <s v="March"/>
    <x v="0"/>
    <n v="2024"/>
    <m/>
  </r>
  <r>
    <x v="246"/>
    <d v="2024-04-13T00:00:00"/>
    <s v="Rebecca Bryant"/>
    <s v="Central"/>
    <s v="Abuja"/>
    <s v="Corporate"/>
    <s v="Furniture"/>
    <s v="Desk"/>
    <n v="1"/>
    <n v="473.41"/>
    <n v="0.1"/>
    <n v="426.07"/>
    <n v="226.24"/>
    <n v="199.83"/>
    <s v="Transfer"/>
    <n v="2"/>
    <s v="April"/>
    <x v="2"/>
    <n v="2024"/>
    <m/>
  </r>
  <r>
    <x v="247"/>
    <d v="2024-12-04T00:00:00"/>
    <s v="Sherri Butler"/>
    <s v="West"/>
    <s v="Abuja"/>
    <s v="Home Office"/>
    <s v="Furniture"/>
    <s v="Desk"/>
    <n v="9"/>
    <n v="135.27000000000001"/>
    <n v="0.05"/>
    <n v="1156.56"/>
    <n v="733.25"/>
    <n v="423.31"/>
    <s v="Mobile Payment"/>
    <n v="1"/>
    <s v="December"/>
    <x v="3"/>
    <n v="2024"/>
    <m/>
  </r>
  <r>
    <x v="248"/>
    <d v="2024-09-12T00:00:00"/>
    <s v="William Evans"/>
    <s v="South"/>
    <s v="Kano"/>
    <s v="Corporate"/>
    <s v="Clothing"/>
    <s v="Sneakers"/>
    <n v="1"/>
    <n v="840.05"/>
    <n v="0.15"/>
    <n v="714.04"/>
    <n v="368.25"/>
    <n v="345.79"/>
    <s v="Transfer"/>
    <n v="5"/>
    <s v="September"/>
    <x v="1"/>
    <n v="2024"/>
    <m/>
  </r>
  <r>
    <x v="249"/>
    <d v="2024-12-03T00:00:00"/>
    <s v="Lisa Warner"/>
    <s v="West"/>
    <s v="Kano"/>
    <s v="Consumer"/>
    <s v="Furniture"/>
    <s v="Chair"/>
    <n v="5"/>
    <n v="96.2"/>
    <n v="0.15"/>
    <n v="408.85"/>
    <n v="233.77"/>
    <n v="175.08"/>
    <s v="Transfer"/>
    <n v="4"/>
    <s v="December"/>
    <x v="3"/>
    <n v="2024"/>
    <m/>
  </r>
  <r>
    <x v="250"/>
    <d v="2024-08-26T00:00:00"/>
    <s v="Ana Avila"/>
    <s v="East"/>
    <s v="Lagos"/>
    <s v="Home Office"/>
    <s v="Office Supplies"/>
    <s v="Paper"/>
    <n v="11"/>
    <n v="449.17"/>
    <n v="0.1"/>
    <n v="4446.78"/>
    <n v="2875.7"/>
    <n v="1571.08"/>
    <s v="Transfer"/>
    <n v="3"/>
    <s v="August"/>
    <x v="1"/>
    <n v="2024"/>
    <m/>
  </r>
  <r>
    <x v="251"/>
    <d v="2024-12-13T00:00:00"/>
    <s v="Cesar Acosta"/>
    <s v="South"/>
    <s v="Port Harcourt"/>
    <s v="Home Office"/>
    <s v="Electronics"/>
    <s v="Phone"/>
    <n v="5"/>
    <n v="61.98"/>
    <n v="0.15"/>
    <n v="263.41000000000003"/>
    <n v="191.33"/>
    <n v="72.08"/>
    <s v="Transfer"/>
    <n v="5"/>
    <s v="December"/>
    <x v="3"/>
    <n v="2024"/>
    <m/>
  </r>
  <r>
    <x v="252"/>
    <d v="2024-07-12T00:00:00"/>
    <s v="Tonya Ross"/>
    <s v="Central"/>
    <s v="Abuja"/>
    <s v="Corporate"/>
    <s v="Electronics"/>
    <s v="Phone"/>
    <n v="9"/>
    <n v="278.94"/>
    <n v="0"/>
    <n v="2510.46"/>
    <n v="1359.15"/>
    <n v="1151.31"/>
    <s v="Card"/>
    <n v="1"/>
    <s v="July"/>
    <x v="1"/>
    <n v="2024"/>
    <m/>
  </r>
  <r>
    <x v="253"/>
    <d v="2024-03-02T00:00:00"/>
    <s v="Kelly Cross"/>
    <s v="West"/>
    <s v="Ibadan"/>
    <s v="Consumer"/>
    <s v="Electronics"/>
    <s v="Printer"/>
    <n v="3"/>
    <n v="718.69"/>
    <n v="0.05"/>
    <n v="2048.27"/>
    <n v="1269.1099999999999"/>
    <n v="779.16"/>
    <s v="Mobile Payment"/>
    <n v="1"/>
    <s v="March"/>
    <x v="0"/>
    <n v="2024"/>
    <m/>
  </r>
  <r>
    <x v="254"/>
    <d v="2024-04-09T00:00:00"/>
    <s v="Michael Jennings"/>
    <s v="West"/>
    <s v="Kano"/>
    <s v="Consumer"/>
    <s v="Clothing"/>
    <s v="Sneakers"/>
    <n v="10"/>
    <n v="557.75"/>
    <n v="0.1"/>
    <n v="5019.75"/>
    <n v="3826.67"/>
    <n v="1193.08"/>
    <s v="Cash"/>
    <n v="5"/>
    <s v="April"/>
    <x v="2"/>
    <n v="2024"/>
    <m/>
  </r>
  <r>
    <x v="255"/>
    <d v="2024-05-29T00:00:00"/>
    <s v="Frank Payne"/>
    <s v="Central"/>
    <s v="Port Harcourt"/>
    <s v="Home Office"/>
    <s v="Electronics"/>
    <s v="Tablet"/>
    <n v="1"/>
    <n v="29.24"/>
    <n v="0.05"/>
    <n v="27.78"/>
    <n v="21.78"/>
    <n v="6"/>
    <s v="Transfer"/>
    <n v="5"/>
    <s v="May"/>
    <x v="2"/>
    <n v="2024"/>
    <m/>
  </r>
  <r>
    <x v="256"/>
    <d v="2024-12-24T00:00:00"/>
    <s v="Sarah Morales"/>
    <s v="West"/>
    <s v="Ibadan"/>
    <s v="Consumer"/>
    <s v="Clothing"/>
    <s v="T-Shirt"/>
    <n v="10"/>
    <n v="789.96"/>
    <n v="0.1"/>
    <n v="7109.64"/>
    <n v="5953.99"/>
    <n v="1155.6500000000001"/>
    <s v="Mobile Payment"/>
    <n v="3"/>
    <s v="December"/>
    <x v="3"/>
    <n v="2024"/>
    <m/>
  </r>
  <r>
    <x v="257"/>
    <d v="2024-08-20T00:00:00"/>
    <s v="Meghan Lucas"/>
    <s v="West"/>
    <s v="Kano"/>
    <s v="Consumer"/>
    <s v="Furniture"/>
    <s v="Cabinet"/>
    <n v="8"/>
    <n v="1007.76"/>
    <n v="0"/>
    <n v="8062.08"/>
    <n v="5607.92"/>
    <n v="2454.16"/>
    <s v="Card"/>
    <n v="5"/>
    <s v="August"/>
    <x v="1"/>
    <n v="2024"/>
    <m/>
  </r>
  <r>
    <x v="258"/>
    <d v="2024-08-23T00:00:00"/>
    <s v="Aaron Williams"/>
    <s v="Central"/>
    <s v="Kano"/>
    <s v="Consumer"/>
    <s v="Electronics"/>
    <s v="Phone"/>
    <n v="8"/>
    <n v="25.76"/>
    <n v="0.1"/>
    <n v="185.47"/>
    <n v="113.19"/>
    <n v="72.28"/>
    <s v="Transfer"/>
    <n v="2"/>
    <s v="August"/>
    <x v="1"/>
    <n v="2024"/>
    <m/>
  </r>
  <r>
    <x v="259"/>
    <d v="2024-03-15T00:00:00"/>
    <s v="Linda Watson"/>
    <s v="Central"/>
    <s v="Kano"/>
    <s v="Home Office"/>
    <s v="Clothing"/>
    <s v="Jacket"/>
    <n v="8"/>
    <n v="817.47"/>
    <n v="0"/>
    <n v="6539.76"/>
    <n v="5447.3"/>
    <n v="1092.46"/>
    <s v="Mobile Payment"/>
    <n v="1"/>
    <s v="March"/>
    <x v="0"/>
    <n v="2024"/>
    <m/>
  </r>
  <r>
    <x v="260"/>
    <d v="2024-06-06T00:00:00"/>
    <s v="Jeffrey Torres"/>
    <s v="West"/>
    <s v="Port Harcourt"/>
    <s v="Consumer"/>
    <s v="Clothing"/>
    <s v="Jacket"/>
    <n v="10"/>
    <n v="417.43"/>
    <n v="0.05"/>
    <n v="3965.59"/>
    <n v="3126.64"/>
    <n v="838.95"/>
    <s v="Mobile Payment"/>
    <n v="1"/>
    <s v="June"/>
    <x v="2"/>
    <n v="2024"/>
    <m/>
  </r>
  <r>
    <x v="261"/>
    <d v="2024-12-20T00:00:00"/>
    <s v="Dr. Andrew Mcmillan"/>
    <s v="Central"/>
    <s v="Ibadan"/>
    <s v="Consumer"/>
    <s v="Office Supplies"/>
    <s v="Paper"/>
    <n v="9"/>
    <n v="575.1"/>
    <n v="0"/>
    <n v="5175.8999999999996"/>
    <n v="4348.78"/>
    <n v="827.12"/>
    <s v="Cash"/>
    <n v="4"/>
    <s v="December"/>
    <x v="3"/>
    <n v="2024"/>
    <m/>
  </r>
  <r>
    <x v="262"/>
    <d v="2024-07-30T00:00:00"/>
    <s v="Anna Hayden"/>
    <s v="North"/>
    <s v="Lagos"/>
    <s v="Consumer"/>
    <s v="Clothing"/>
    <s v="T-Shirt"/>
    <n v="11"/>
    <n v="303.20999999999998"/>
    <n v="0.1"/>
    <n v="3001.78"/>
    <n v="1622.6"/>
    <n v="1379.18"/>
    <s v="Card"/>
    <n v="3"/>
    <s v="July"/>
    <x v="1"/>
    <n v="2024"/>
    <m/>
  </r>
  <r>
    <x v="263"/>
    <d v="2024-06-21T00:00:00"/>
    <s v="Katie Lyons"/>
    <s v="West"/>
    <s v="Port Harcourt"/>
    <s v="Corporate"/>
    <s v="Electronics"/>
    <s v="Laptop"/>
    <n v="8"/>
    <n v="808.84"/>
    <n v="0.1"/>
    <n v="5823.65"/>
    <n v="3329.85"/>
    <n v="2493.8000000000002"/>
    <s v="Cash"/>
    <n v="5"/>
    <s v="June"/>
    <x v="2"/>
    <n v="2024"/>
    <m/>
  </r>
  <r>
    <x v="264"/>
    <d v="2024-11-24T00:00:00"/>
    <s v="William Thomas"/>
    <s v="South"/>
    <s v="Ibadan"/>
    <s v="Consumer"/>
    <s v="Furniture"/>
    <s v="Chair"/>
    <n v="11"/>
    <n v="818.01"/>
    <n v="0"/>
    <n v="8998.11"/>
    <n v="6885.6"/>
    <n v="2112.5100000000002"/>
    <s v="Card"/>
    <n v="5"/>
    <s v="November"/>
    <x v="3"/>
    <n v="2024"/>
    <m/>
  </r>
  <r>
    <x v="265"/>
    <d v="2024-03-17T00:00:00"/>
    <s v="Tara Price"/>
    <s v="East"/>
    <s v="Lagos"/>
    <s v="Home Office"/>
    <s v="Furniture"/>
    <s v="Cabinet"/>
    <n v="2"/>
    <n v="426.27"/>
    <n v="0.1"/>
    <n v="767.29"/>
    <n v="437.65"/>
    <n v="329.64"/>
    <s v="Mobile Payment"/>
    <n v="3"/>
    <s v="March"/>
    <x v="0"/>
    <n v="2024"/>
    <m/>
  </r>
  <r>
    <x v="266"/>
    <d v="2024-02-22T00:00:00"/>
    <s v="David Berry"/>
    <s v="West"/>
    <s v="Lagos"/>
    <s v="Home Office"/>
    <s v="Electronics"/>
    <s v="Phone"/>
    <n v="9"/>
    <n v="29.81"/>
    <n v="0.1"/>
    <n v="241.46"/>
    <n v="174.03"/>
    <n v="67.430000000000007"/>
    <s v="Mobile Payment"/>
    <n v="5"/>
    <s v="February"/>
    <x v="0"/>
    <n v="2024"/>
    <m/>
  </r>
  <r>
    <x v="267"/>
    <d v="2024-10-03T00:00:00"/>
    <s v="Melissa Smith"/>
    <s v="East"/>
    <s v="Port Harcourt"/>
    <s v="Consumer"/>
    <s v="Office Supplies"/>
    <s v="Paper"/>
    <n v="2"/>
    <n v="147.16"/>
    <n v="0"/>
    <n v="294.32"/>
    <n v="181.72"/>
    <n v="112.6"/>
    <s v="Card"/>
    <n v="2"/>
    <s v="October"/>
    <x v="3"/>
    <n v="2024"/>
    <m/>
  </r>
  <r>
    <x v="268"/>
    <d v="2024-04-13T00:00:00"/>
    <s v="Yolanda Allen"/>
    <s v="Central"/>
    <s v="Ibadan"/>
    <s v="Corporate"/>
    <s v="Furniture"/>
    <s v="Chair"/>
    <n v="2"/>
    <n v="1103.4100000000001"/>
    <n v="0.05"/>
    <n v="2096.48"/>
    <n v="1442.94"/>
    <n v="653.54"/>
    <s v="Cash"/>
    <n v="1"/>
    <s v="April"/>
    <x v="2"/>
    <n v="2024"/>
    <m/>
  </r>
  <r>
    <x v="269"/>
    <d v="2024-07-11T00:00:00"/>
    <s v="Michael Harrington"/>
    <s v="South"/>
    <s v="Ibadan"/>
    <s v="Home Office"/>
    <s v="Furniture"/>
    <s v="Cabinet"/>
    <n v="1"/>
    <n v="206.79"/>
    <n v="0"/>
    <n v="206.79"/>
    <n v="170.43"/>
    <n v="36.36"/>
    <s v="Cash"/>
    <n v="1"/>
    <s v="July"/>
    <x v="1"/>
    <n v="2024"/>
    <m/>
  </r>
  <r>
    <x v="270"/>
    <d v="2024-06-30T00:00:00"/>
    <s v="Nicole Nelson"/>
    <s v="North"/>
    <s v="Kano"/>
    <s v="Home Office"/>
    <s v="Clothing"/>
    <s v="Sneakers"/>
    <n v="10"/>
    <n v="648.89"/>
    <n v="0.05"/>
    <n v="6164.45"/>
    <n v="3901.15"/>
    <n v="2263.3000000000002"/>
    <s v="Transfer"/>
    <n v="3"/>
    <s v="June"/>
    <x v="2"/>
    <n v="2024"/>
    <m/>
  </r>
  <r>
    <x v="271"/>
    <d v="2024-08-30T00:00:00"/>
    <s v="Kelly Ross"/>
    <s v="Central"/>
    <s v="Port Harcourt"/>
    <s v="Consumer"/>
    <s v="Electronics"/>
    <s v="Laptop"/>
    <n v="8"/>
    <n v="1159.08"/>
    <n v="0"/>
    <n v="9272.64"/>
    <n v="6716.05"/>
    <n v="2556.59"/>
    <s v="Cash"/>
    <n v="3"/>
    <s v="August"/>
    <x v="1"/>
    <n v="2024"/>
    <m/>
  </r>
  <r>
    <x v="272"/>
    <d v="2024-04-04T00:00:00"/>
    <s v="Robert Gutierrez"/>
    <s v="East"/>
    <s v="Abuja"/>
    <s v="Corporate"/>
    <s v="Office Supplies"/>
    <s v="Pen"/>
    <n v="8"/>
    <n v="518.03"/>
    <n v="0.05"/>
    <n v="3937.03"/>
    <n v="3199.71"/>
    <n v="737.32"/>
    <s v="Cash"/>
    <n v="2"/>
    <s v="April"/>
    <x v="2"/>
    <n v="2024"/>
    <m/>
  </r>
  <r>
    <x v="273"/>
    <d v="2024-06-06T00:00:00"/>
    <s v="Danielle Brown"/>
    <s v="North"/>
    <s v="Kano"/>
    <s v="Consumer"/>
    <s v="Office Supplies"/>
    <s v="Notebook"/>
    <n v="3"/>
    <n v="297.7"/>
    <n v="0.15"/>
    <n v="759.13"/>
    <n v="436.91"/>
    <n v="322.22000000000003"/>
    <s v="Transfer"/>
    <n v="3"/>
    <s v="June"/>
    <x v="2"/>
    <n v="2024"/>
    <m/>
  </r>
  <r>
    <x v="274"/>
    <d v="2024-03-22T00:00:00"/>
    <s v="Aaron Pierce"/>
    <s v="East"/>
    <s v="Port Harcourt"/>
    <s v="Corporate"/>
    <s v="Clothing"/>
    <s v="Jacket"/>
    <n v="3"/>
    <n v="803.54"/>
    <n v="0.15"/>
    <n v="2049.0300000000002"/>
    <n v="1589.11"/>
    <n v="459.92"/>
    <s v="Transfer"/>
    <n v="4"/>
    <s v="March"/>
    <x v="0"/>
    <n v="2024"/>
    <m/>
  </r>
  <r>
    <x v="275"/>
    <d v="2024-10-14T00:00:00"/>
    <s v="Cynthia King"/>
    <s v="East"/>
    <s v="Lagos"/>
    <s v="Corporate"/>
    <s v="Furniture"/>
    <s v="Desk"/>
    <n v="8"/>
    <n v="896.58"/>
    <n v="0.05"/>
    <n v="6814.01"/>
    <n v="4129.5600000000004"/>
    <n v="2684.45"/>
    <s v="Mobile Payment"/>
    <n v="5"/>
    <s v="October"/>
    <x v="3"/>
    <n v="2024"/>
    <m/>
  </r>
  <r>
    <x v="276"/>
    <d v="2024-12-16T00:00:00"/>
    <s v="Renee White"/>
    <s v="North"/>
    <s v="Abuja"/>
    <s v="Corporate"/>
    <s v="Electronics"/>
    <s v="Tablet"/>
    <n v="1"/>
    <n v="359.85"/>
    <n v="0.05"/>
    <n v="341.86"/>
    <n v="224.8"/>
    <n v="117.06"/>
    <s v="Cash"/>
    <n v="2"/>
    <s v="December"/>
    <x v="3"/>
    <n v="2024"/>
    <m/>
  </r>
  <r>
    <x v="277"/>
    <d v="2024-12-14T00:00:00"/>
    <s v="Mrs. Stephanie King"/>
    <s v="East"/>
    <s v="Port Harcourt"/>
    <s v="Home Office"/>
    <s v="Office Supplies"/>
    <s v="Notebook"/>
    <n v="8"/>
    <n v="1188.52"/>
    <n v="0.05"/>
    <n v="9032.75"/>
    <n v="6870.5"/>
    <n v="2162.25"/>
    <s v="Mobile Payment"/>
    <n v="5"/>
    <s v="December"/>
    <x v="3"/>
    <n v="2024"/>
    <m/>
  </r>
  <r>
    <x v="278"/>
    <d v="2024-04-03T00:00:00"/>
    <s v="Stephen Thompson"/>
    <s v="West"/>
    <s v="Ibadan"/>
    <s v="Home Office"/>
    <s v="Clothing"/>
    <s v="Sneakers"/>
    <n v="2"/>
    <n v="62.18"/>
    <n v="0"/>
    <n v="124.36"/>
    <n v="98.79"/>
    <n v="25.57"/>
    <s v="Mobile Payment"/>
    <n v="1"/>
    <s v="April"/>
    <x v="2"/>
    <n v="2024"/>
    <m/>
  </r>
  <r>
    <x v="279"/>
    <d v="2024-10-25T00:00:00"/>
    <s v="Brent Turner"/>
    <s v="North"/>
    <s v="Ibadan"/>
    <s v="Home Office"/>
    <s v="Electronics"/>
    <s v="Printer"/>
    <n v="4"/>
    <n v="603.96"/>
    <n v="0.15"/>
    <n v="2053.46"/>
    <n v="1391.35"/>
    <n v="662.11"/>
    <s v="Mobile Payment"/>
    <n v="5"/>
    <s v="October"/>
    <x v="3"/>
    <n v="2024"/>
    <m/>
  </r>
  <r>
    <x v="280"/>
    <d v="2024-02-02T00:00:00"/>
    <s v="Ryan Jones"/>
    <s v="Central"/>
    <s v="Kano"/>
    <s v="Corporate"/>
    <s v="Office Supplies"/>
    <s v="Paper"/>
    <n v="6"/>
    <n v="863.53"/>
    <n v="0.15"/>
    <n v="4404"/>
    <n v="3414.16"/>
    <n v="989.84"/>
    <s v="Mobile Payment"/>
    <n v="2"/>
    <s v="February"/>
    <x v="0"/>
    <n v="2024"/>
    <m/>
  </r>
  <r>
    <x v="281"/>
    <d v="2024-11-07T00:00:00"/>
    <s v="Nancy Dickerson"/>
    <s v="East"/>
    <s v="Ibadan"/>
    <s v="Home Office"/>
    <s v="Furniture"/>
    <s v="Desk"/>
    <n v="9"/>
    <n v="1199.6600000000001"/>
    <n v="0.1"/>
    <n v="9717.25"/>
    <n v="5775.37"/>
    <n v="3941.88"/>
    <s v="Cash"/>
    <n v="4"/>
    <s v="November"/>
    <x v="3"/>
    <n v="2024"/>
    <m/>
  </r>
  <r>
    <x v="282"/>
    <d v="2024-11-04T00:00:00"/>
    <s v="Charles Wilson"/>
    <s v="West"/>
    <s v="Lagos"/>
    <s v="Corporate"/>
    <s v="Office Supplies"/>
    <s v="Notebook"/>
    <n v="8"/>
    <n v="220.88"/>
    <n v="0.15"/>
    <n v="1501.98"/>
    <n v="955.85"/>
    <n v="546.13"/>
    <s v="Cash"/>
    <n v="2"/>
    <s v="November"/>
    <x v="3"/>
    <n v="2024"/>
    <m/>
  </r>
  <r>
    <x v="283"/>
    <d v="2024-09-19T00:00:00"/>
    <s v="Beth Evans"/>
    <s v="South"/>
    <s v="Lagos"/>
    <s v="Consumer"/>
    <s v="Clothing"/>
    <s v="Sneakers"/>
    <n v="7"/>
    <n v="950.51"/>
    <n v="0"/>
    <n v="6653.57"/>
    <n v="4589.1099999999997"/>
    <n v="2064.46"/>
    <s v="Card"/>
    <n v="5"/>
    <s v="September"/>
    <x v="1"/>
    <n v="2024"/>
    <m/>
  </r>
  <r>
    <x v="284"/>
    <d v="2024-10-03T00:00:00"/>
    <s v="Brent Carey"/>
    <s v="North"/>
    <s v="Lagos"/>
    <s v="Corporate"/>
    <s v="Clothing"/>
    <s v="Sneakers"/>
    <n v="8"/>
    <n v="542.28"/>
    <n v="0.15"/>
    <n v="3687.5"/>
    <n v="2369.9899999999998"/>
    <n v="1317.51"/>
    <s v="Card"/>
    <n v="2"/>
    <s v="October"/>
    <x v="3"/>
    <n v="2024"/>
    <m/>
  </r>
  <r>
    <x v="285"/>
    <d v="2024-11-30T00:00:00"/>
    <s v="Courtney Thomas"/>
    <s v="West"/>
    <s v="Lagos"/>
    <s v="Home Office"/>
    <s v="Furniture"/>
    <s v="Chair"/>
    <n v="8"/>
    <n v="764.27"/>
    <n v="0.1"/>
    <n v="5502.74"/>
    <n v="3791.17"/>
    <n v="1711.57"/>
    <s v="Transfer"/>
    <n v="4"/>
    <s v="November"/>
    <x v="3"/>
    <n v="2024"/>
    <m/>
  </r>
  <r>
    <x v="286"/>
    <d v="2024-04-29T00:00:00"/>
    <s v="Shelley Powers"/>
    <s v="Central"/>
    <s v="Kano"/>
    <s v="Consumer"/>
    <s v="Electronics"/>
    <s v="Laptop"/>
    <n v="5"/>
    <n v="492.7"/>
    <n v="0.15"/>
    <n v="2093.9699999999998"/>
    <n v="1356.93"/>
    <n v="737.04"/>
    <s v="Mobile Payment"/>
    <n v="5"/>
    <s v="April"/>
    <x v="2"/>
    <n v="2024"/>
    <m/>
  </r>
  <r>
    <x v="287"/>
    <d v="2024-11-28T00:00:00"/>
    <s v="Mitchell Ortega"/>
    <s v="East"/>
    <s v="Abuja"/>
    <s v="Consumer"/>
    <s v="Office Supplies"/>
    <s v="Paper"/>
    <n v="7"/>
    <n v="1018.39"/>
    <n v="0.1"/>
    <n v="6415.86"/>
    <n v="3700.82"/>
    <n v="2715.04"/>
    <s v="Cash"/>
    <n v="2"/>
    <s v="November"/>
    <x v="3"/>
    <n v="2024"/>
    <m/>
  </r>
  <r>
    <x v="288"/>
    <d v="2024-11-12T00:00:00"/>
    <s v="Nicole Lawson"/>
    <s v="South"/>
    <s v="Kano"/>
    <s v="Consumer"/>
    <s v="Office Supplies"/>
    <s v="Notebook"/>
    <n v="12"/>
    <n v="246.65"/>
    <n v="0"/>
    <n v="2959.8"/>
    <n v="1896.66"/>
    <n v="1063.1400000000001"/>
    <s v="Cash"/>
    <n v="2"/>
    <s v="November"/>
    <x v="3"/>
    <n v="2024"/>
    <m/>
  </r>
  <r>
    <x v="289"/>
    <d v="2024-10-15T00:00:00"/>
    <s v="Karen Flowers"/>
    <s v="East"/>
    <s v="Port Harcourt"/>
    <s v="Home Office"/>
    <s v="Clothing"/>
    <s v="Sneakers"/>
    <n v="12"/>
    <n v="304.45"/>
    <n v="0.05"/>
    <n v="3470.73"/>
    <n v="2049.98"/>
    <n v="1420.75"/>
    <s v="Cash"/>
    <n v="1"/>
    <s v="October"/>
    <x v="3"/>
    <n v="2024"/>
    <m/>
  </r>
  <r>
    <x v="290"/>
    <d v="2024-02-14T00:00:00"/>
    <s v="Bruce Hall"/>
    <s v="North"/>
    <s v="Abuja"/>
    <s v="Home Office"/>
    <s v="Clothing"/>
    <s v="Jacket"/>
    <n v="5"/>
    <n v="1064.1199999999999"/>
    <n v="0"/>
    <n v="5320.6"/>
    <n v="2776.45"/>
    <n v="2544.15"/>
    <s v="Mobile Payment"/>
    <n v="3"/>
    <s v="February"/>
    <x v="0"/>
    <n v="2024"/>
    <m/>
  </r>
  <r>
    <x v="291"/>
    <d v="2024-12-30T00:00:00"/>
    <s v="Brittany Park"/>
    <s v="North"/>
    <s v="Abuja"/>
    <s v="Home Office"/>
    <s v="Furniture"/>
    <s v="Desk"/>
    <n v="5"/>
    <n v="113.57"/>
    <n v="0.05"/>
    <n v="539.46"/>
    <n v="434.86"/>
    <n v="104.6"/>
    <s v="Transfer"/>
    <n v="1"/>
    <s v="December"/>
    <x v="3"/>
    <n v="2024"/>
    <m/>
  </r>
  <r>
    <x v="292"/>
    <d v="2024-03-21T00:00:00"/>
    <s v="Tina White"/>
    <s v="Central"/>
    <s v="Abuja"/>
    <s v="Corporate"/>
    <s v="Electronics"/>
    <s v="Laptop"/>
    <n v="9"/>
    <n v="1116.23"/>
    <n v="0.05"/>
    <n v="9543.77"/>
    <n v="7260.44"/>
    <n v="2283.33"/>
    <s v="Cash"/>
    <n v="5"/>
    <s v="March"/>
    <x v="0"/>
    <n v="2024"/>
    <m/>
  </r>
  <r>
    <x v="293"/>
    <d v="2024-04-19T00:00:00"/>
    <s v="William Pineda"/>
    <s v="North"/>
    <s v="Port Harcourt"/>
    <s v="Consumer"/>
    <s v="Clothing"/>
    <s v="Jacket"/>
    <n v="6"/>
    <n v="1032.31"/>
    <n v="0.15"/>
    <n v="5264.78"/>
    <n v="4329.47"/>
    <n v="935.31"/>
    <s v="Mobile Payment"/>
    <n v="2"/>
    <s v="April"/>
    <x v="2"/>
    <n v="2024"/>
    <m/>
  </r>
  <r>
    <x v="294"/>
    <d v="2024-12-08T00:00:00"/>
    <s v="Carolyn Sanchez"/>
    <s v="South"/>
    <s v="Abuja"/>
    <s v="Consumer"/>
    <s v="Clothing"/>
    <s v="Sneakers"/>
    <n v="10"/>
    <n v="127.78"/>
    <n v="0.15"/>
    <n v="1086.1300000000001"/>
    <n v="583.07000000000005"/>
    <n v="503.06"/>
    <s v="Cash"/>
    <n v="4"/>
    <s v="December"/>
    <x v="3"/>
    <n v="2024"/>
    <m/>
  </r>
  <r>
    <x v="295"/>
    <d v="2024-07-24T00:00:00"/>
    <s v="Amanda Faulkner"/>
    <s v="West"/>
    <s v="Abuja"/>
    <s v="Consumer"/>
    <s v="Clothing"/>
    <s v="T-Shirt"/>
    <n v="7"/>
    <n v="462.1"/>
    <n v="0.05"/>
    <n v="3072.97"/>
    <n v="1950.55"/>
    <n v="1122.42"/>
    <s v="Card"/>
    <n v="2"/>
    <s v="July"/>
    <x v="1"/>
    <n v="2024"/>
    <m/>
  </r>
  <r>
    <x v="296"/>
    <d v="2024-08-09T00:00:00"/>
    <s v="Ann Hale"/>
    <s v="East"/>
    <s v="Abuja"/>
    <s v="Consumer"/>
    <s v="Office Supplies"/>
    <s v="Notebook"/>
    <n v="2"/>
    <n v="778.79"/>
    <n v="0"/>
    <n v="1557.58"/>
    <n v="1196.31"/>
    <n v="361.27"/>
    <s v="Mobile Payment"/>
    <n v="4"/>
    <s v="August"/>
    <x v="1"/>
    <n v="2024"/>
    <m/>
  </r>
  <r>
    <x v="297"/>
    <d v="2024-05-17T00:00:00"/>
    <s v="Richard Parker"/>
    <s v="North"/>
    <s v="Lagos"/>
    <s v="Corporate"/>
    <s v="Furniture"/>
    <s v="Cabinet"/>
    <n v="9"/>
    <n v="672.8"/>
    <n v="0"/>
    <n v="6055.2"/>
    <n v="4011.46"/>
    <n v="2043.74"/>
    <s v="Transfer"/>
    <n v="3"/>
    <s v="May"/>
    <x v="2"/>
    <n v="2024"/>
    <m/>
  </r>
  <r>
    <x v="298"/>
    <d v="2024-09-25T00:00:00"/>
    <s v="Kevin Yates"/>
    <s v="North"/>
    <s v="Abuja"/>
    <s v="Corporate"/>
    <s v="Furniture"/>
    <s v="Desk"/>
    <n v="10"/>
    <n v="28.65"/>
    <n v="0.1"/>
    <n v="257.85000000000002"/>
    <n v="156.72999999999999"/>
    <n v="101.12"/>
    <s v="Mobile Payment"/>
    <n v="5"/>
    <s v="September"/>
    <x v="1"/>
    <n v="2024"/>
    <m/>
  </r>
  <r>
    <x v="299"/>
    <d v="2024-06-22T00:00:00"/>
    <s v="Molly Vasquez"/>
    <s v="Central"/>
    <s v="Lagos"/>
    <s v="Home Office"/>
    <s v="Office Supplies"/>
    <s v="Pen"/>
    <n v="2"/>
    <n v="911.13"/>
    <n v="0.15"/>
    <n v="1548.92"/>
    <n v="1272.9100000000001"/>
    <n v="276.01"/>
    <s v="Card"/>
    <n v="1"/>
    <s v="June"/>
    <x v="2"/>
    <n v="2024"/>
    <m/>
  </r>
  <r>
    <x v="300"/>
    <d v="2024-12-22T00:00:00"/>
    <s v="Michael Clark"/>
    <s v="West"/>
    <s v="Lagos"/>
    <s v="Corporate"/>
    <s v="Furniture"/>
    <s v="Desk"/>
    <n v="2"/>
    <n v="106.02"/>
    <n v="0.1"/>
    <n v="190.84"/>
    <n v="120.79"/>
    <n v="70.05"/>
    <s v="Transfer"/>
    <n v="3"/>
    <s v="December"/>
    <x v="3"/>
    <n v="2024"/>
    <m/>
  </r>
  <r>
    <x v="301"/>
    <d v="2024-10-11T00:00:00"/>
    <s v="Ashley Garner"/>
    <s v="West"/>
    <s v="Ibadan"/>
    <s v="Home Office"/>
    <s v="Electronics"/>
    <s v="Phone"/>
    <n v="7"/>
    <n v="1130.3"/>
    <n v="0.05"/>
    <n v="7516.49"/>
    <n v="4743.8500000000004"/>
    <n v="2772.64"/>
    <s v="Transfer"/>
    <n v="5"/>
    <s v="October"/>
    <x v="3"/>
    <n v="2024"/>
    <m/>
  </r>
  <r>
    <x v="302"/>
    <d v="2024-08-04T00:00:00"/>
    <s v="Daniel Bennett"/>
    <s v="East"/>
    <s v="Port Harcourt"/>
    <s v="Corporate"/>
    <s v="Clothing"/>
    <s v="Sneakers"/>
    <n v="8"/>
    <n v="1033.3399999999999"/>
    <n v="0.15"/>
    <n v="7026.71"/>
    <n v="5267.02"/>
    <n v="1759.69"/>
    <s v="Transfer"/>
    <n v="3"/>
    <s v="August"/>
    <x v="1"/>
    <n v="2024"/>
    <m/>
  </r>
  <r>
    <x v="303"/>
    <d v="2024-04-27T00:00:00"/>
    <s v="Matthew Tanner"/>
    <s v="Central"/>
    <s v="Kano"/>
    <s v="Home Office"/>
    <s v="Furniture"/>
    <s v="Chair"/>
    <n v="3"/>
    <n v="1111.68"/>
    <n v="0.05"/>
    <n v="3168.29"/>
    <n v="1826.17"/>
    <n v="1342.12"/>
    <s v="Transfer"/>
    <n v="2"/>
    <s v="April"/>
    <x v="2"/>
    <n v="2024"/>
    <m/>
  </r>
  <r>
    <x v="304"/>
    <d v="2024-12-11T00:00:00"/>
    <s v="Cynthia Kline"/>
    <s v="Central"/>
    <s v="Kano"/>
    <s v="Corporate"/>
    <s v="Clothing"/>
    <s v="Jacket"/>
    <n v="2"/>
    <n v="1135.8399999999999"/>
    <n v="0"/>
    <n v="2271.6799999999998"/>
    <n v="1484.31"/>
    <n v="787.37"/>
    <s v="Transfer"/>
    <n v="4"/>
    <s v="December"/>
    <x v="3"/>
    <n v="2024"/>
    <m/>
  </r>
  <r>
    <x v="305"/>
    <d v="2024-12-21T00:00:00"/>
    <s v="Kevin Olsen"/>
    <s v="South"/>
    <s v="Port Harcourt"/>
    <s v="Corporate"/>
    <s v="Electronics"/>
    <s v="Tablet"/>
    <n v="10"/>
    <n v="598.21"/>
    <n v="0.05"/>
    <n v="5682.99"/>
    <n v="4714.3"/>
    <n v="968.69"/>
    <s v="Transfer"/>
    <n v="4"/>
    <s v="December"/>
    <x v="3"/>
    <n v="2024"/>
    <m/>
  </r>
  <r>
    <x v="306"/>
    <d v="2024-04-18T00:00:00"/>
    <s v="Jennifer Thomas"/>
    <s v="North"/>
    <s v="Port Harcourt"/>
    <s v="Consumer"/>
    <s v="Office Supplies"/>
    <s v="Pen"/>
    <n v="3"/>
    <n v="694.37"/>
    <n v="0"/>
    <n v="2083.11"/>
    <n v="1099.79"/>
    <n v="983.32"/>
    <s v="Card"/>
    <n v="1"/>
    <s v="April"/>
    <x v="2"/>
    <n v="2024"/>
    <m/>
  </r>
  <r>
    <x v="307"/>
    <d v="2024-07-08T00:00:00"/>
    <s v="Christopher Roberts"/>
    <s v="South"/>
    <s v="Ibadan"/>
    <s v="Home Office"/>
    <s v="Electronics"/>
    <s v="Tablet"/>
    <n v="8"/>
    <n v="81.47"/>
    <n v="0"/>
    <n v="651.76"/>
    <n v="380.9"/>
    <n v="270.86"/>
    <s v="Card"/>
    <n v="4"/>
    <s v="July"/>
    <x v="1"/>
    <n v="2024"/>
    <m/>
  </r>
  <r>
    <x v="308"/>
    <d v="2024-05-25T00:00:00"/>
    <s v="Dr. David Perry"/>
    <s v="Central"/>
    <s v="Lagos"/>
    <s v="Corporate"/>
    <s v="Electronics"/>
    <s v="Laptop"/>
    <n v="12"/>
    <n v="96.31"/>
    <n v="0.15"/>
    <n v="982.36"/>
    <n v="606.77"/>
    <n v="375.59"/>
    <s v="Transfer"/>
    <n v="3"/>
    <s v="May"/>
    <x v="2"/>
    <n v="2024"/>
    <m/>
  </r>
  <r>
    <x v="309"/>
    <d v="2024-05-27T00:00:00"/>
    <s v="Joseph Hill"/>
    <s v="West"/>
    <s v="Lagos"/>
    <s v="Home Office"/>
    <s v="Office Supplies"/>
    <s v="Paper"/>
    <n v="11"/>
    <n v="603.08000000000004"/>
    <n v="0.05"/>
    <n v="6302.19"/>
    <n v="4911.4399999999996"/>
    <n v="1390.75"/>
    <s v="Cash"/>
    <n v="5"/>
    <s v="May"/>
    <x v="2"/>
    <n v="2024"/>
    <m/>
  </r>
  <r>
    <x v="310"/>
    <d v="2024-12-13T00:00:00"/>
    <s v="Diana Vazquez"/>
    <s v="North"/>
    <s v="Kano"/>
    <s v="Consumer"/>
    <s v="Office Supplies"/>
    <s v="Paper"/>
    <n v="5"/>
    <n v="1148.3699999999999"/>
    <n v="0"/>
    <n v="5741.85"/>
    <n v="3222.26"/>
    <n v="2519.59"/>
    <s v="Mobile Payment"/>
    <n v="1"/>
    <s v="December"/>
    <x v="3"/>
    <n v="2024"/>
    <m/>
  </r>
  <r>
    <x v="311"/>
    <d v="2024-09-26T00:00:00"/>
    <s v="William Brown"/>
    <s v="East"/>
    <s v="Ibadan"/>
    <s v="Consumer"/>
    <s v="Clothing"/>
    <s v="T-Shirt"/>
    <n v="9"/>
    <n v="273.52999999999997"/>
    <n v="0.05"/>
    <n v="2338.6799999999998"/>
    <n v="1659.84"/>
    <n v="678.84"/>
    <s v="Card"/>
    <n v="5"/>
    <s v="September"/>
    <x v="1"/>
    <n v="2024"/>
    <m/>
  </r>
  <r>
    <x v="312"/>
    <d v="2024-10-24T00:00:00"/>
    <s v="Raymond White"/>
    <s v="Central"/>
    <s v="Ibadan"/>
    <s v="Home Office"/>
    <s v="Clothing"/>
    <s v="T-Shirt"/>
    <n v="7"/>
    <n v="657.69"/>
    <n v="0.15"/>
    <n v="3913.26"/>
    <n v="2954.82"/>
    <n v="958.44"/>
    <s v="Mobile Payment"/>
    <n v="5"/>
    <s v="October"/>
    <x v="3"/>
    <n v="2024"/>
    <m/>
  </r>
  <r>
    <x v="313"/>
    <d v="2024-04-22T00:00:00"/>
    <s v="Patrick Hill"/>
    <s v="Central"/>
    <s v="Ibadan"/>
    <s v="Consumer"/>
    <s v="Electronics"/>
    <s v="Tablet"/>
    <n v="3"/>
    <n v="37.94"/>
    <n v="0"/>
    <n v="113.82"/>
    <n v="85.17"/>
    <n v="28.65"/>
    <s v="Transfer"/>
    <n v="4"/>
    <s v="April"/>
    <x v="2"/>
    <n v="2024"/>
    <m/>
  </r>
  <r>
    <x v="314"/>
    <d v="2024-05-23T00:00:00"/>
    <s v="Heather Kramer"/>
    <s v="West"/>
    <s v="Ibadan"/>
    <s v="Consumer"/>
    <s v="Furniture"/>
    <s v="Desk"/>
    <n v="3"/>
    <n v="296.14999999999998"/>
    <n v="0.1"/>
    <n v="799.6"/>
    <n v="510.95"/>
    <n v="288.64999999999998"/>
    <s v="Card"/>
    <n v="5"/>
    <s v="May"/>
    <x v="2"/>
    <n v="2024"/>
    <m/>
  </r>
  <r>
    <x v="315"/>
    <d v="2024-04-20T00:00:00"/>
    <s v="Andrew Stevens"/>
    <s v="East"/>
    <s v="Abuja"/>
    <s v="Consumer"/>
    <s v="Office Supplies"/>
    <s v="Pen"/>
    <n v="11"/>
    <n v="689.66"/>
    <n v="0.15"/>
    <n v="6448.32"/>
    <n v="5180.42"/>
    <n v="1267.9000000000001"/>
    <s v="Cash"/>
    <n v="4"/>
    <s v="April"/>
    <x v="2"/>
    <n v="2024"/>
    <m/>
  </r>
  <r>
    <x v="316"/>
    <d v="2024-03-05T00:00:00"/>
    <s v="Jennifer Smith"/>
    <s v="South"/>
    <s v="Port Harcourt"/>
    <s v="Corporate"/>
    <s v="Office Supplies"/>
    <s v="Notebook"/>
    <n v="3"/>
    <n v="1190.23"/>
    <n v="0"/>
    <n v="3570.69"/>
    <n v="1801.49"/>
    <n v="1769.2"/>
    <s v="Transfer"/>
    <n v="3"/>
    <s v="March"/>
    <x v="0"/>
    <n v="2024"/>
    <m/>
  </r>
  <r>
    <x v="317"/>
    <d v="2024-03-29T00:00:00"/>
    <s v="William Jackson"/>
    <s v="North"/>
    <s v="Abuja"/>
    <s v="Corporate"/>
    <s v="Office Supplies"/>
    <s v="Pen"/>
    <n v="12"/>
    <n v="220.55"/>
    <n v="0.1"/>
    <n v="2381.94"/>
    <n v="1233.02"/>
    <n v="1148.92"/>
    <s v="Card"/>
    <n v="5"/>
    <s v="March"/>
    <x v="0"/>
    <n v="2024"/>
    <m/>
  </r>
  <r>
    <x v="318"/>
    <d v="2024-03-15T00:00:00"/>
    <s v="Tracy Ferguson"/>
    <s v="Central"/>
    <s v="Lagos"/>
    <s v="Consumer"/>
    <s v="Electronics"/>
    <s v="Printer"/>
    <n v="7"/>
    <n v="923.89"/>
    <n v="0.1"/>
    <n v="5820.51"/>
    <n v="4641.13"/>
    <n v="1179.3800000000001"/>
    <s v="Cash"/>
    <n v="3"/>
    <s v="March"/>
    <x v="0"/>
    <n v="2024"/>
    <m/>
  </r>
  <r>
    <x v="319"/>
    <d v="2024-06-08T00:00:00"/>
    <s v="Aaron Hartman"/>
    <s v="North"/>
    <s v="Ibadan"/>
    <s v="Home Office"/>
    <s v="Furniture"/>
    <s v="Chair"/>
    <n v="7"/>
    <n v="257.95"/>
    <n v="0.15"/>
    <n v="1534.8"/>
    <n v="809.34"/>
    <n v="725.46"/>
    <s v="Card"/>
    <n v="5"/>
    <s v="June"/>
    <x v="2"/>
    <n v="2024"/>
    <m/>
  </r>
  <r>
    <x v="320"/>
    <d v="2024-02-05T00:00:00"/>
    <s v="Diana Martinez"/>
    <s v="South"/>
    <s v="Ibadan"/>
    <s v="Corporate"/>
    <s v="Office Supplies"/>
    <s v="Paper"/>
    <n v="3"/>
    <n v="48.27"/>
    <n v="0.15"/>
    <n v="123.09"/>
    <n v="94.23"/>
    <n v="28.86"/>
    <s v="Cash"/>
    <n v="3"/>
    <s v="February"/>
    <x v="0"/>
    <n v="2024"/>
    <m/>
  </r>
  <r>
    <x v="321"/>
    <d v="2024-10-08T00:00:00"/>
    <s v="Louis Taylor"/>
    <s v="West"/>
    <s v="Abuja"/>
    <s v="Consumer"/>
    <s v="Furniture"/>
    <s v="Cabinet"/>
    <n v="12"/>
    <n v="1048.7"/>
    <n v="0.1"/>
    <n v="11325.96"/>
    <n v="9574.42"/>
    <n v="1751.54"/>
    <s v="Mobile Payment"/>
    <n v="3"/>
    <s v="October"/>
    <x v="3"/>
    <n v="2024"/>
    <m/>
  </r>
  <r>
    <x v="322"/>
    <d v="2024-11-01T00:00:00"/>
    <s v="Shannon Maxwell"/>
    <s v="Central"/>
    <s v="Abuja"/>
    <s v="Home Office"/>
    <s v="Furniture"/>
    <s v="Chair"/>
    <n v="3"/>
    <n v="431.23"/>
    <n v="0.1"/>
    <n v="1164.32"/>
    <n v="661.2"/>
    <n v="503.12"/>
    <s v="Transfer"/>
    <n v="5"/>
    <s v="November"/>
    <x v="3"/>
    <n v="2024"/>
    <m/>
  </r>
  <r>
    <x v="323"/>
    <d v="2024-02-20T00:00:00"/>
    <s v="Hannah Davidson"/>
    <s v="South"/>
    <s v="Abuja"/>
    <s v="Corporate"/>
    <s v="Office Supplies"/>
    <s v="Notebook"/>
    <n v="6"/>
    <n v="1084.4100000000001"/>
    <n v="0.05"/>
    <n v="6181.14"/>
    <n v="3941.18"/>
    <n v="2239.96"/>
    <s v="Cash"/>
    <n v="5"/>
    <s v="February"/>
    <x v="0"/>
    <n v="2024"/>
    <m/>
  </r>
  <r>
    <x v="324"/>
    <d v="2024-06-10T00:00:00"/>
    <s v="Kyle Clark"/>
    <s v="South"/>
    <s v="Lagos"/>
    <s v="Consumer"/>
    <s v="Office Supplies"/>
    <s v="Notebook"/>
    <n v="5"/>
    <n v="142.41999999999999"/>
    <n v="0"/>
    <n v="712.1"/>
    <n v="449.79"/>
    <n v="262.31"/>
    <s v="Transfer"/>
    <n v="1"/>
    <s v="June"/>
    <x v="2"/>
    <n v="2024"/>
    <m/>
  </r>
  <r>
    <x v="325"/>
    <d v="2024-09-12T00:00:00"/>
    <s v="Mrs. Maria Rivera MD"/>
    <s v="East"/>
    <s v="Ibadan"/>
    <s v="Home Office"/>
    <s v="Electronics"/>
    <s v="Phone"/>
    <n v="8"/>
    <n v="1034.6600000000001"/>
    <n v="0.15"/>
    <n v="7035.69"/>
    <n v="4020.33"/>
    <n v="3015.36"/>
    <s v="Transfer"/>
    <n v="1"/>
    <s v="September"/>
    <x v="1"/>
    <n v="2024"/>
    <m/>
  </r>
  <r>
    <x v="326"/>
    <d v="2024-09-06T00:00:00"/>
    <s v="George Wood"/>
    <s v="East"/>
    <s v="Kano"/>
    <s v="Home Office"/>
    <s v="Furniture"/>
    <s v="Desk"/>
    <n v="12"/>
    <n v="893.79"/>
    <n v="0"/>
    <n v="10725.48"/>
    <n v="6637.05"/>
    <n v="4088.43"/>
    <s v="Cash"/>
    <n v="1"/>
    <s v="September"/>
    <x v="1"/>
    <n v="2024"/>
    <m/>
  </r>
  <r>
    <x v="327"/>
    <d v="2024-01-02T00:00:00"/>
    <s v="Casey Doyle"/>
    <s v="East"/>
    <s v="Abuja"/>
    <s v="Home Office"/>
    <s v="Clothing"/>
    <s v="T-Shirt"/>
    <n v="5"/>
    <n v="508.01"/>
    <n v="0"/>
    <n v="2540.0500000000002"/>
    <n v="1447.99"/>
    <n v="1092.06"/>
    <s v="Card"/>
    <n v="1"/>
    <s v="January"/>
    <x v="0"/>
    <n v="2024"/>
    <m/>
  </r>
  <r>
    <x v="328"/>
    <d v="2024-10-21T00:00:00"/>
    <s v="Kelly Rivera"/>
    <s v="South"/>
    <s v="Kano"/>
    <s v="Corporate"/>
    <s v="Furniture"/>
    <s v="Desk"/>
    <n v="7"/>
    <n v="312.57"/>
    <n v="0.05"/>
    <n v="2078.59"/>
    <n v="1688.37"/>
    <n v="390.22"/>
    <s v="Cash"/>
    <n v="1"/>
    <s v="October"/>
    <x v="3"/>
    <n v="2024"/>
    <m/>
  </r>
  <r>
    <x v="329"/>
    <d v="2024-04-30T00:00:00"/>
    <s v="Chad Ferguson"/>
    <s v="East"/>
    <s v="Abuja"/>
    <s v="Home Office"/>
    <s v="Clothing"/>
    <s v="T-Shirt"/>
    <n v="6"/>
    <n v="670.04"/>
    <n v="0.1"/>
    <n v="3618.22"/>
    <n v="1987.22"/>
    <n v="1631"/>
    <s v="Transfer"/>
    <n v="5"/>
    <s v="April"/>
    <x v="2"/>
    <n v="2024"/>
    <m/>
  </r>
  <r>
    <x v="330"/>
    <d v="2024-12-10T00:00:00"/>
    <s v="Jamie Beasley"/>
    <s v="East"/>
    <s v="Port Harcourt"/>
    <s v="Home Office"/>
    <s v="Furniture"/>
    <s v="Cabinet"/>
    <n v="4"/>
    <n v="69.69"/>
    <n v="0"/>
    <n v="278.76"/>
    <n v="233.31"/>
    <n v="45.45"/>
    <s v="Mobile Payment"/>
    <n v="1"/>
    <s v="December"/>
    <x v="3"/>
    <n v="2024"/>
    <m/>
  </r>
  <r>
    <x v="331"/>
    <d v="2024-08-18T00:00:00"/>
    <s v="George Jenkins"/>
    <s v="North"/>
    <s v="Lagos"/>
    <s v="Consumer"/>
    <s v="Clothing"/>
    <s v="Sneakers"/>
    <n v="10"/>
    <n v="275.64999999999998"/>
    <n v="0.05"/>
    <n v="2618.67"/>
    <n v="1379.05"/>
    <n v="1239.6199999999999"/>
    <s v="Transfer"/>
    <n v="3"/>
    <s v="August"/>
    <x v="1"/>
    <n v="2024"/>
    <m/>
  </r>
  <r>
    <x v="332"/>
    <d v="2024-03-21T00:00:00"/>
    <s v="Natalie Lee"/>
    <s v="South"/>
    <s v="Lagos"/>
    <s v="Consumer"/>
    <s v="Office Supplies"/>
    <s v="Pen"/>
    <n v="10"/>
    <n v="932.99"/>
    <n v="0"/>
    <n v="9329.9"/>
    <n v="6265.8"/>
    <n v="3064.1"/>
    <s v="Transfer"/>
    <n v="4"/>
    <s v="March"/>
    <x v="0"/>
    <n v="2024"/>
    <m/>
  </r>
  <r>
    <x v="333"/>
    <d v="2024-07-10T00:00:00"/>
    <s v="Justin Shaffer"/>
    <s v="East"/>
    <s v="Kano"/>
    <s v="Consumer"/>
    <s v="Clothing"/>
    <s v="Jacket"/>
    <n v="6"/>
    <n v="106.64"/>
    <n v="0.15"/>
    <n v="543.86"/>
    <n v="419.52"/>
    <n v="124.34"/>
    <s v="Cash"/>
    <n v="2"/>
    <s v="July"/>
    <x v="1"/>
    <n v="2024"/>
    <m/>
  </r>
  <r>
    <x v="334"/>
    <d v="2024-05-01T00:00:00"/>
    <s v="Anna Barker"/>
    <s v="West"/>
    <s v="Lagos"/>
    <s v="Consumer"/>
    <s v="Clothing"/>
    <s v="Jacket"/>
    <n v="5"/>
    <n v="984.48"/>
    <n v="0.1"/>
    <n v="4430.16"/>
    <n v="3583.85"/>
    <n v="846.31"/>
    <s v="Transfer"/>
    <n v="1"/>
    <s v="May"/>
    <x v="2"/>
    <n v="2024"/>
    <m/>
  </r>
  <r>
    <x v="335"/>
    <d v="2024-03-21T00:00:00"/>
    <s v="Taylor Bishop"/>
    <s v="North"/>
    <s v="Lagos"/>
    <s v="Home Office"/>
    <s v="Furniture"/>
    <s v="Chair"/>
    <n v="8"/>
    <n v="1047.6400000000001"/>
    <n v="0.05"/>
    <n v="7962.06"/>
    <n v="6198.95"/>
    <n v="1763.11"/>
    <s v="Card"/>
    <n v="5"/>
    <s v="March"/>
    <x v="0"/>
    <n v="2024"/>
    <m/>
  </r>
  <r>
    <x v="336"/>
    <d v="2024-04-26T00:00:00"/>
    <s v="Caleb Herman"/>
    <s v="South"/>
    <s v="Lagos"/>
    <s v="Corporate"/>
    <s v="Electronics"/>
    <s v="Laptop"/>
    <n v="12"/>
    <n v="349.6"/>
    <n v="0.15"/>
    <n v="3565.92"/>
    <n v="2051.7600000000002"/>
    <n v="1514.16"/>
    <s v="Cash"/>
    <n v="2"/>
    <s v="April"/>
    <x v="2"/>
    <n v="2024"/>
    <m/>
  </r>
  <r>
    <x v="337"/>
    <d v="2024-03-20T00:00:00"/>
    <s v="Sarah Deleon"/>
    <s v="North"/>
    <s v="Lagos"/>
    <s v="Home Office"/>
    <s v="Office Supplies"/>
    <s v="Notebook"/>
    <n v="8"/>
    <n v="1126.8800000000001"/>
    <n v="0.05"/>
    <n v="8564.2900000000009"/>
    <n v="7136.33"/>
    <n v="1427.96"/>
    <s v="Cash"/>
    <n v="4"/>
    <s v="March"/>
    <x v="0"/>
    <n v="2024"/>
    <m/>
  </r>
  <r>
    <x v="338"/>
    <d v="2024-07-09T00:00:00"/>
    <s v="Amber Luna"/>
    <s v="East"/>
    <s v="Abuja"/>
    <s v="Home Office"/>
    <s v="Office Supplies"/>
    <s v="Paper"/>
    <n v="5"/>
    <n v="237.12"/>
    <n v="0.1"/>
    <n v="1067.04"/>
    <n v="587.70000000000005"/>
    <n v="479.34"/>
    <s v="Card"/>
    <n v="2"/>
    <s v="July"/>
    <x v="1"/>
    <n v="2024"/>
    <m/>
  </r>
  <r>
    <x v="339"/>
    <d v="2024-05-13T00:00:00"/>
    <s v="Sheryl Young"/>
    <s v="West"/>
    <s v="Lagos"/>
    <s v="Corporate"/>
    <s v="Furniture"/>
    <s v="Chair"/>
    <n v="3"/>
    <n v="435.31"/>
    <n v="0"/>
    <n v="1305.93"/>
    <n v="805.21"/>
    <n v="500.72"/>
    <s v="Transfer"/>
    <n v="2"/>
    <s v="May"/>
    <x v="2"/>
    <n v="2024"/>
    <m/>
  </r>
  <r>
    <x v="340"/>
    <d v="2024-12-01T00:00:00"/>
    <s v="Lisa Stevenson"/>
    <s v="East"/>
    <s v="Abuja"/>
    <s v="Home Office"/>
    <s v="Furniture"/>
    <s v="Desk"/>
    <n v="7"/>
    <n v="432.81"/>
    <n v="0.05"/>
    <n v="2878.19"/>
    <n v="2056.34"/>
    <n v="821.85"/>
    <s v="Transfer"/>
    <n v="2"/>
    <s v="December"/>
    <x v="3"/>
    <n v="2024"/>
    <m/>
  </r>
  <r>
    <x v="341"/>
    <d v="2024-12-04T00:00:00"/>
    <s v="Natalie Williams"/>
    <s v="West"/>
    <s v="Kano"/>
    <s v="Corporate"/>
    <s v="Office Supplies"/>
    <s v="Pen"/>
    <n v="11"/>
    <n v="215.77"/>
    <n v="0.05"/>
    <n v="2254.8000000000002"/>
    <n v="1730.53"/>
    <n v="524.27"/>
    <s v="Transfer"/>
    <n v="2"/>
    <s v="December"/>
    <x v="3"/>
    <n v="2024"/>
    <m/>
  </r>
  <r>
    <x v="342"/>
    <d v="2024-05-26T00:00:00"/>
    <s v="Richard Mason"/>
    <s v="East"/>
    <s v="Port Harcourt"/>
    <s v="Home Office"/>
    <s v="Clothing"/>
    <s v="Sneakers"/>
    <n v="7"/>
    <n v="1121.82"/>
    <n v="0"/>
    <n v="7852.74"/>
    <n v="4118.76"/>
    <n v="3733.98"/>
    <s v="Card"/>
    <n v="5"/>
    <s v="May"/>
    <x v="2"/>
    <n v="2024"/>
    <m/>
  </r>
  <r>
    <x v="343"/>
    <d v="2024-08-29T00:00:00"/>
    <s v="Bethany Ritter"/>
    <s v="South"/>
    <s v="Lagos"/>
    <s v="Corporate"/>
    <s v="Office Supplies"/>
    <s v="Paper"/>
    <n v="9"/>
    <n v="1138.51"/>
    <n v="0"/>
    <n v="10246.59"/>
    <n v="5900.19"/>
    <n v="4346.3999999999996"/>
    <s v="Transfer"/>
    <n v="3"/>
    <s v="August"/>
    <x v="1"/>
    <n v="2024"/>
    <m/>
  </r>
  <r>
    <x v="344"/>
    <d v="2024-07-02T00:00:00"/>
    <s v="Stacey Mitchell"/>
    <s v="North"/>
    <s v="Abuja"/>
    <s v="Home Office"/>
    <s v="Clothing"/>
    <s v="T-Shirt"/>
    <n v="10"/>
    <n v="476.66"/>
    <n v="0.05"/>
    <n v="4528.2700000000004"/>
    <n v="2922.57"/>
    <n v="1605.7"/>
    <s v="Card"/>
    <n v="1"/>
    <s v="July"/>
    <x v="1"/>
    <n v="2024"/>
    <m/>
  </r>
  <r>
    <x v="345"/>
    <d v="2024-06-14T00:00:00"/>
    <s v="Antonio Moreno"/>
    <s v="East"/>
    <s v="Kano"/>
    <s v="Corporate"/>
    <s v="Electronics"/>
    <s v="Printer"/>
    <n v="5"/>
    <n v="264.27"/>
    <n v="0.1"/>
    <n v="1189.21"/>
    <n v="714.73"/>
    <n v="474.48"/>
    <s v="Card"/>
    <n v="4"/>
    <s v="June"/>
    <x v="2"/>
    <n v="2024"/>
    <m/>
  </r>
  <r>
    <x v="346"/>
    <d v="2024-12-26T00:00:00"/>
    <s v="Stephen Richards"/>
    <s v="West"/>
    <s v="Port Harcourt"/>
    <s v="Consumer"/>
    <s v="Clothing"/>
    <s v="Sneakers"/>
    <n v="8"/>
    <n v="1159.1500000000001"/>
    <n v="0.15"/>
    <n v="7882.22"/>
    <n v="4579.8900000000003"/>
    <n v="3302.33"/>
    <s v="Mobile Payment"/>
    <n v="3"/>
    <s v="December"/>
    <x v="3"/>
    <n v="2024"/>
    <m/>
  </r>
  <r>
    <x v="347"/>
    <d v="2024-11-02T00:00:00"/>
    <s v="Jennifer Sherman"/>
    <s v="West"/>
    <s v="Abuja"/>
    <s v="Corporate"/>
    <s v="Electronics"/>
    <s v="Laptop"/>
    <n v="1"/>
    <n v="1078.3"/>
    <n v="0.15"/>
    <n v="916.55"/>
    <n v="554.54999999999995"/>
    <n v="362"/>
    <s v="Card"/>
    <n v="4"/>
    <s v="November"/>
    <x v="3"/>
    <n v="2024"/>
    <m/>
  </r>
  <r>
    <x v="348"/>
    <d v="2024-08-20T00:00:00"/>
    <s v="April Ramos"/>
    <s v="East"/>
    <s v="Abuja"/>
    <s v="Home Office"/>
    <s v="Electronics"/>
    <s v="Phone"/>
    <n v="3"/>
    <n v="430.26"/>
    <n v="0.15"/>
    <n v="1097.1600000000001"/>
    <n v="613.74"/>
    <n v="483.42"/>
    <s v="Mobile Payment"/>
    <n v="4"/>
    <s v="August"/>
    <x v="1"/>
    <n v="2024"/>
    <m/>
  </r>
  <r>
    <x v="349"/>
    <d v="2024-04-26T00:00:00"/>
    <s v="Barry Morris"/>
    <s v="East"/>
    <s v="Ibadan"/>
    <s v="Home Office"/>
    <s v="Clothing"/>
    <s v="Sneakers"/>
    <n v="3"/>
    <n v="936.78"/>
    <n v="0.1"/>
    <n v="2529.31"/>
    <n v="1486.99"/>
    <n v="1042.32"/>
    <s v="Card"/>
    <n v="2"/>
    <s v="April"/>
    <x v="2"/>
    <n v="2024"/>
    <m/>
  </r>
  <r>
    <x v="350"/>
    <d v="2024-10-12T00:00:00"/>
    <s v="Christopher Sullivan"/>
    <s v="East"/>
    <s v="Port Harcourt"/>
    <s v="Home Office"/>
    <s v="Office Supplies"/>
    <s v="Pen"/>
    <n v="9"/>
    <n v="547.11"/>
    <n v="0.05"/>
    <n v="4677.79"/>
    <n v="2972.56"/>
    <n v="1705.23"/>
    <s v="Transfer"/>
    <n v="4"/>
    <s v="October"/>
    <x v="3"/>
    <n v="2024"/>
    <m/>
  </r>
  <r>
    <x v="351"/>
    <d v="2024-11-29T00:00:00"/>
    <s v="Timothy Perry"/>
    <s v="Central"/>
    <s v="Lagos"/>
    <s v="Corporate"/>
    <s v="Furniture"/>
    <s v="Cabinet"/>
    <n v="4"/>
    <n v="890.88"/>
    <n v="0"/>
    <n v="3563.52"/>
    <n v="2712.25"/>
    <n v="851.27"/>
    <s v="Cash"/>
    <n v="5"/>
    <s v="November"/>
    <x v="3"/>
    <n v="2024"/>
    <m/>
  </r>
  <r>
    <x v="352"/>
    <d v="2024-12-03T00:00:00"/>
    <s v="Collin Mendez"/>
    <s v="South"/>
    <s v="Port Harcourt"/>
    <s v="Corporate"/>
    <s v="Electronics"/>
    <s v="Phone"/>
    <n v="11"/>
    <n v="733.94"/>
    <n v="0.05"/>
    <n v="7669.67"/>
    <n v="6174.04"/>
    <n v="1495.63"/>
    <s v="Mobile Payment"/>
    <n v="1"/>
    <s v="December"/>
    <x v="3"/>
    <n v="2024"/>
    <m/>
  </r>
  <r>
    <x v="353"/>
    <d v="2024-10-01T00:00:00"/>
    <s v="Kevin Gentry"/>
    <s v="Central"/>
    <s v="Ibadan"/>
    <s v="Consumer"/>
    <s v="Clothing"/>
    <s v="Jacket"/>
    <n v="8"/>
    <n v="815.66"/>
    <n v="0"/>
    <n v="6525.28"/>
    <n v="5428.64"/>
    <n v="1096.6400000000001"/>
    <s v="Card"/>
    <n v="4"/>
    <s v="October"/>
    <x v="3"/>
    <n v="2024"/>
    <m/>
  </r>
  <r>
    <x v="354"/>
    <d v="2024-05-14T00:00:00"/>
    <s v="Lucas Greene"/>
    <s v="East"/>
    <s v="Lagos"/>
    <s v="Corporate"/>
    <s v="Clothing"/>
    <s v="Sneakers"/>
    <n v="4"/>
    <n v="589.51"/>
    <n v="0.1"/>
    <n v="2122.2399999999998"/>
    <n v="1625.86"/>
    <n v="496.38"/>
    <s v="Cash"/>
    <n v="4"/>
    <s v="May"/>
    <x v="2"/>
    <n v="2024"/>
    <m/>
  </r>
  <r>
    <x v="355"/>
    <d v="2024-03-07T00:00:00"/>
    <s v="Cameron Garcia II"/>
    <s v="North"/>
    <s v="Port Harcourt"/>
    <s v="Corporate"/>
    <s v="Furniture"/>
    <s v="Cabinet"/>
    <n v="1"/>
    <n v="402.11"/>
    <n v="0"/>
    <n v="402.11"/>
    <n v="224.35"/>
    <n v="177.76"/>
    <s v="Cash"/>
    <n v="1"/>
    <s v="March"/>
    <x v="0"/>
    <n v="2024"/>
    <m/>
  </r>
  <r>
    <x v="356"/>
    <d v="2024-01-18T00:00:00"/>
    <s v="Mr. Nicholas Hughes MD"/>
    <s v="North"/>
    <s v="Kano"/>
    <s v="Consumer"/>
    <s v="Electronics"/>
    <s v="Printer"/>
    <n v="5"/>
    <n v="512.53"/>
    <n v="0.15"/>
    <n v="2178.25"/>
    <n v="1179.49"/>
    <n v="998.76"/>
    <s v="Card"/>
    <n v="1"/>
    <s v="January"/>
    <x v="0"/>
    <n v="2024"/>
    <m/>
  </r>
  <r>
    <x v="357"/>
    <d v="2024-07-08T00:00:00"/>
    <s v="Amber Morgan"/>
    <s v="South"/>
    <s v="Lagos"/>
    <s v="Corporate"/>
    <s v="Office Supplies"/>
    <s v="Notebook"/>
    <n v="9"/>
    <n v="738.05"/>
    <n v="0.15"/>
    <n v="5646.08"/>
    <n v="3781.66"/>
    <n v="1864.42"/>
    <s v="Transfer"/>
    <n v="4"/>
    <s v="July"/>
    <x v="1"/>
    <n v="2024"/>
    <m/>
  </r>
  <r>
    <x v="358"/>
    <d v="2024-07-30T00:00:00"/>
    <s v="Mary Lloyd"/>
    <s v="East"/>
    <s v="Lagos"/>
    <s v="Home Office"/>
    <s v="Clothing"/>
    <s v="T-Shirt"/>
    <n v="3"/>
    <n v="224.04"/>
    <n v="0.05"/>
    <n v="638.51"/>
    <n v="417.09"/>
    <n v="221.42"/>
    <s v="Transfer"/>
    <n v="4"/>
    <s v="July"/>
    <x v="1"/>
    <n v="2024"/>
    <m/>
  </r>
  <r>
    <x v="359"/>
    <d v="2024-11-23T00:00:00"/>
    <s v="John Fisher DVM"/>
    <s v="South"/>
    <s v="Port Harcourt"/>
    <s v="Consumer"/>
    <s v="Clothing"/>
    <s v="Sneakers"/>
    <n v="12"/>
    <n v="343.93"/>
    <n v="0.1"/>
    <n v="3714.44"/>
    <n v="2531.33"/>
    <n v="1183.1099999999999"/>
    <s v="Card"/>
    <n v="2"/>
    <s v="November"/>
    <x v="3"/>
    <n v="2024"/>
    <m/>
  </r>
  <r>
    <x v="360"/>
    <d v="2024-08-24T00:00:00"/>
    <s v="Michael Walsh"/>
    <s v="East"/>
    <s v="Port Harcourt"/>
    <s v="Home Office"/>
    <s v="Furniture"/>
    <s v="Chair"/>
    <n v="8"/>
    <n v="1040.07"/>
    <n v="0.05"/>
    <n v="7904.53"/>
    <n v="5574.55"/>
    <n v="2329.98"/>
    <s v="Card"/>
    <n v="2"/>
    <s v="August"/>
    <x v="1"/>
    <n v="2024"/>
    <m/>
  </r>
  <r>
    <x v="361"/>
    <d v="2024-04-11T00:00:00"/>
    <s v="Patricia Rodgers"/>
    <s v="Central"/>
    <s v="Kano"/>
    <s v="Consumer"/>
    <s v="Furniture"/>
    <s v="Cabinet"/>
    <n v="12"/>
    <n v="397.65"/>
    <n v="0.1"/>
    <n v="4294.62"/>
    <n v="2291.71"/>
    <n v="2002.91"/>
    <s v="Cash"/>
    <n v="3"/>
    <s v="April"/>
    <x v="2"/>
    <n v="2024"/>
    <m/>
  </r>
  <r>
    <x v="362"/>
    <d v="2024-01-25T00:00:00"/>
    <s v="Robert Hernandez"/>
    <s v="Central"/>
    <s v="Lagos"/>
    <s v="Corporate"/>
    <s v="Furniture"/>
    <s v="Cabinet"/>
    <n v="9"/>
    <n v="1111.68"/>
    <n v="0.05"/>
    <n v="9504.86"/>
    <n v="4876.62"/>
    <n v="4628.24"/>
    <s v="Mobile Payment"/>
    <n v="4"/>
    <s v="January"/>
    <x v="0"/>
    <n v="2024"/>
    <m/>
  </r>
  <r>
    <x v="363"/>
    <d v="2024-12-24T00:00:00"/>
    <s v="Mary Woods MD"/>
    <s v="North"/>
    <s v="Ibadan"/>
    <s v="Home Office"/>
    <s v="Office Supplies"/>
    <s v="Paper"/>
    <n v="10"/>
    <n v="853.52"/>
    <n v="0.15"/>
    <n v="7254.92"/>
    <n v="4407.01"/>
    <n v="2847.91"/>
    <s v="Transfer"/>
    <n v="2"/>
    <s v="December"/>
    <x v="3"/>
    <n v="2024"/>
    <m/>
  </r>
  <r>
    <x v="364"/>
    <d v="2024-11-19T00:00:00"/>
    <s v="Jesus Weber"/>
    <s v="East"/>
    <s v="Abuja"/>
    <s v="Home Office"/>
    <s v="Electronics"/>
    <s v="Tablet"/>
    <n v="4"/>
    <n v="872.01"/>
    <n v="0.15"/>
    <n v="2964.83"/>
    <n v="1814.62"/>
    <n v="1150.21"/>
    <s v="Cash"/>
    <n v="2"/>
    <s v="November"/>
    <x v="3"/>
    <n v="2024"/>
    <m/>
  </r>
  <r>
    <x v="365"/>
    <d v="2024-08-16T00:00:00"/>
    <s v="Rachel Walls"/>
    <s v="North"/>
    <s v="Abuja"/>
    <s v="Corporate"/>
    <s v="Office Supplies"/>
    <s v="Paper"/>
    <n v="2"/>
    <n v="972.36"/>
    <n v="0"/>
    <n v="1944.72"/>
    <n v="1290.01"/>
    <n v="654.71"/>
    <s v="Cash"/>
    <n v="3"/>
    <s v="August"/>
    <x v="1"/>
    <n v="2024"/>
    <m/>
  </r>
  <r>
    <x v="366"/>
    <d v="2024-10-14T00:00:00"/>
    <s v="Mr. Christopher Mccann"/>
    <s v="North"/>
    <s v="Kano"/>
    <s v="Corporate"/>
    <s v="Furniture"/>
    <s v="Cabinet"/>
    <n v="12"/>
    <n v="360.81"/>
    <n v="0.1"/>
    <n v="3896.75"/>
    <n v="2871.74"/>
    <n v="1025.01"/>
    <s v="Cash"/>
    <n v="4"/>
    <s v="October"/>
    <x v="3"/>
    <n v="2024"/>
    <m/>
  </r>
  <r>
    <x v="367"/>
    <d v="2024-08-09T00:00:00"/>
    <s v="Glenn Austin"/>
    <s v="Central"/>
    <s v="Kano"/>
    <s v="Consumer"/>
    <s v="Clothing"/>
    <s v="Jacket"/>
    <n v="12"/>
    <n v="565.41999999999996"/>
    <n v="0.1"/>
    <n v="6106.54"/>
    <n v="3384.86"/>
    <n v="2721.68"/>
    <s v="Mobile Payment"/>
    <n v="2"/>
    <s v="August"/>
    <x v="1"/>
    <n v="2024"/>
    <m/>
  </r>
  <r>
    <x v="368"/>
    <d v="2024-12-08T00:00:00"/>
    <s v="Nancy Espinoza"/>
    <s v="Central"/>
    <s v="Ibadan"/>
    <s v="Corporate"/>
    <s v="Office Supplies"/>
    <s v="Paper"/>
    <n v="4"/>
    <n v="168.8"/>
    <n v="0.1"/>
    <n v="607.67999999999995"/>
    <n v="390.12"/>
    <n v="217.56"/>
    <s v="Cash"/>
    <n v="1"/>
    <s v="December"/>
    <x v="3"/>
    <n v="2024"/>
    <m/>
  </r>
  <r>
    <x v="369"/>
    <d v="2024-06-27T00:00:00"/>
    <s v="Allen Strong"/>
    <s v="South"/>
    <s v="Ibadan"/>
    <s v="Corporate"/>
    <s v="Furniture"/>
    <s v="Cabinet"/>
    <n v="6"/>
    <n v="300.60000000000002"/>
    <n v="0.15"/>
    <n v="1533.06"/>
    <n v="805.23"/>
    <n v="727.83"/>
    <s v="Mobile Payment"/>
    <n v="2"/>
    <s v="June"/>
    <x v="2"/>
    <n v="2024"/>
    <m/>
  </r>
  <r>
    <x v="370"/>
    <d v="2024-03-13T00:00:00"/>
    <s v="Yvonne Park"/>
    <s v="North"/>
    <s v="Abuja"/>
    <s v="Consumer"/>
    <s v="Office Supplies"/>
    <s v="Paper"/>
    <n v="8"/>
    <n v="346.14"/>
    <n v="0.15"/>
    <n v="2353.75"/>
    <n v="1853.38"/>
    <n v="500.37"/>
    <s v="Cash"/>
    <n v="2"/>
    <s v="March"/>
    <x v="0"/>
    <n v="2024"/>
    <m/>
  </r>
  <r>
    <x v="371"/>
    <d v="2024-03-04T00:00:00"/>
    <s v="Teresa Salazar"/>
    <s v="Central"/>
    <s v="Lagos"/>
    <s v="Consumer"/>
    <s v="Furniture"/>
    <s v="Desk"/>
    <n v="10"/>
    <n v="459.99"/>
    <n v="0.1"/>
    <n v="4139.91"/>
    <n v="2406.65"/>
    <n v="1733.26"/>
    <s v="Cash"/>
    <n v="1"/>
    <s v="March"/>
    <x v="0"/>
    <n v="2024"/>
    <m/>
  </r>
  <r>
    <x v="372"/>
    <d v="2024-12-13T00:00:00"/>
    <s v="Marcus Wood"/>
    <s v="East"/>
    <s v="Port Harcourt"/>
    <s v="Consumer"/>
    <s v="Office Supplies"/>
    <s v="Paper"/>
    <n v="7"/>
    <n v="313.97000000000003"/>
    <n v="0.05"/>
    <n v="2087.9"/>
    <n v="1514.08"/>
    <n v="573.82000000000005"/>
    <s v="Transfer"/>
    <n v="1"/>
    <s v="December"/>
    <x v="3"/>
    <n v="2024"/>
    <m/>
  </r>
  <r>
    <x v="373"/>
    <d v="2024-04-10T00:00:00"/>
    <s v="Robert Bradshaw"/>
    <s v="West"/>
    <s v="Port Harcourt"/>
    <s v="Corporate"/>
    <s v="Office Supplies"/>
    <s v="Pen"/>
    <n v="9"/>
    <n v="968.89"/>
    <n v="0"/>
    <n v="8720.01"/>
    <n v="4891.1499999999996"/>
    <n v="3828.86"/>
    <s v="Mobile Payment"/>
    <n v="1"/>
    <s v="April"/>
    <x v="2"/>
    <n v="2024"/>
    <m/>
  </r>
  <r>
    <x v="374"/>
    <d v="2024-01-30T00:00:00"/>
    <s v="Karen Garcia"/>
    <s v="South"/>
    <s v="Abuja"/>
    <s v="Corporate"/>
    <s v="Furniture"/>
    <s v="Desk"/>
    <n v="1"/>
    <n v="436.53"/>
    <n v="0.05"/>
    <n v="414.7"/>
    <n v="222.32"/>
    <n v="192.38"/>
    <s v="Cash"/>
    <n v="4"/>
    <s v="January"/>
    <x v="0"/>
    <n v="2024"/>
    <m/>
  </r>
  <r>
    <x v="375"/>
    <d v="2024-08-23T00:00:00"/>
    <s v="Katherine Young"/>
    <s v="West"/>
    <s v="Lagos"/>
    <s v="Consumer"/>
    <s v="Furniture"/>
    <s v="Chair"/>
    <n v="10"/>
    <n v="775.11"/>
    <n v="0.1"/>
    <n v="6975.99"/>
    <n v="3503.63"/>
    <n v="3472.36"/>
    <s v="Transfer"/>
    <n v="5"/>
    <s v="August"/>
    <x v="1"/>
    <n v="2024"/>
    <m/>
  </r>
  <r>
    <x v="376"/>
    <d v="2024-03-24T00:00:00"/>
    <s v="Michael Garrett"/>
    <s v="Central"/>
    <s v="Ibadan"/>
    <s v="Consumer"/>
    <s v="Clothing"/>
    <s v="T-Shirt"/>
    <n v="1"/>
    <n v="250.61"/>
    <n v="0.05"/>
    <n v="238.08"/>
    <n v="154.22"/>
    <n v="83.86"/>
    <s v="Transfer"/>
    <n v="4"/>
    <s v="March"/>
    <x v="0"/>
    <n v="2024"/>
    <m/>
  </r>
  <r>
    <x v="377"/>
    <d v="2024-10-01T00:00:00"/>
    <s v="Kathy Vasquez"/>
    <s v="East"/>
    <s v="Ibadan"/>
    <s v="Corporate"/>
    <s v="Furniture"/>
    <s v="Desk"/>
    <n v="1"/>
    <n v="335.9"/>
    <n v="0"/>
    <n v="335.9"/>
    <n v="260.54000000000002"/>
    <n v="75.36"/>
    <s v="Transfer"/>
    <n v="1"/>
    <s v="October"/>
    <x v="3"/>
    <n v="2024"/>
    <m/>
  </r>
  <r>
    <x v="378"/>
    <d v="2024-12-16T00:00:00"/>
    <s v="Mark Edwards"/>
    <s v="East"/>
    <s v="Port Harcourt"/>
    <s v="Consumer"/>
    <s v="Office Supplies"/>
    <s v="Paper"/>
    <n v="3"/>
    <n v="749.37"/>
    <n v="0.05"/>
    <n v="2135.6999999999998"/>
    <n v="1618.54"/>
    <n v="517.16"/>
    <s v="Mobile Payment"/>
    <n v="2"/>
    <s v="December"/>
    <x v="3"/>
    <n v="2024"/>
    <m/>
  </r>
  <r>
    <x v="379"/>
    <d v="2024-07-30T00:00:00"/>
    <s v="Gabriela Dean"/>
    <s v="North"/>
    <s v="Lagos"/>
    <s v="Home Office"/>
    <s v="Office Supplies"/>
    <s v="Pen"/>
    <n v="12"/>
    <n v="1087.43"/>
    <n v="0.05"/>
    <n v="12396.7"/>
    <n v="9828.2099999999991"/>
    <n v="2568.4899999999998"/>
    <s v="Mobile Payment"/>
    <n v="3"/>
    <s v="July"/>
    <x v="1"/>
    <n v="2024"/>
    <m/>
  </r>
  <r>
    <x v="380"/>
    <d v="2024-08-20T00:00:00"/>
    <s v="David Rodriguez"/>
    <s v="Central"/>
    <s v="Abuja"/>
    <s v="Consumer"/>
    <s v="Clothing"/>
    <s v="T-Shirt"/>
    <n v="4"/>
    <n v="929.13"/>
    <n v="0.1"/>
    <n v="3344.87"/>
    <n v="2454.66"/>
    <n v="890.21"/>
    <s v="Mobile Payment"/>
    <n v="2"/>
    <s v="August"/>
    <x v="1"/>
    <n v="2024"/>
    <m/>
  </r>
  <r>
    <x v="381"/>
    <d v="2024-02-19T00:00:00"/>
    <s v="Christine Wilson"/>
    <s v="Central"/>
    <s v="Abuja"/>
    <s v="Home Office"/>
    <s v="Furniture"/>
    <s v="Chair"/>
    <n v="11"/>
    <n v="476.03"/>
    <n v="0"/>
    <n v="5236.33"/>
    <n v="3252.71"/>
    <n v="1983.62"/>
    <s v="Cash"/>
    <n v="3"/>
    <s v="February"/>
    <x v="0"/>
    <n v="2024"/>
    <m/>
  </r>
  <r>
    <x v="382"/>
    <d v="2024-10-17T00:00:00"/>
    <s v="Miguel Sexton"/>
    <s v="East"/>
    <s v="Lagos"/>
    <s v="Home Office"/>
    <s v="Furniture"/>
    <s v="Cabinet"/>
    <n v="6"/>
    <n v="436.05"/>
    <n v="0.05"/>
    <n v="2485.4899999999998"/>
    <n v="1385.81"/>
    <n v="1099.68"/>
    <s v="Transfer"/>
    <n v="1"/>
    <s v="October"/>
    <x v="3"/>
    <n v="2024"/>
    <m/>
  </r>
  <r>
    <x v="383"/>
    <d v="2024-12-10T00:00:00"/>
    <s v="Michael Trevino"/>
    <s v="Central"/>
    <s v="Lagos"/>
    <s v="Consumer"/>
    <s v="Clothing"/>
    <s v="Sneakers"/>
    <n v="1"/>
    <n v="494.67"/>
    <n v="0.05"/>
    <n v="469.94"/>
    <n v="298.93"/>
    <n v="171.01"/>
    <s v="Mobile Payment"/>
    <n v="2"/>
    <s v="December"/>
    <x v="3"/>
    <n v="2024"/>
    <m/>
  </r>
  <r>
    <x v="384"/>
    <d v="2024-01-23T00:00:00"/>
    <s v="Gary Mccormick"/>
    <s v="South"/>
    <s v="Port Harcourt"/>
    <s v="Consumer"/>
    <s v="Office Supplies"/>
    <s v="Notebook"/>
    <n v="9"/>
    <n v="283.01"/>
    <n v="0.15"/>
    <n v="2165.0300000000002"/>
    <n v="1538.07"/>
    <n v="626.96"/>
    <s v="Mobile Payment"/>
    <n v="3"/>
    <s v="January"/>
    <x v="0"/>
    <n v="2024"/>
    <m/>
  </r>
  <r>
    <x v="385"/>
    <d v="2024-06-02T00:00:00"/>
    <s v="Taylor Rodriguez"/>
    <s v="West"/>
    <s v="Abuja"/>
    <s v="Corporate"/>
    <s v="Furniture"/>
    <s v="Cabinet"/>
    <n v="2"/>
    <n v="241.58"/>
    <n v="0.05"/>
    <n v="459"/>
    <n v="319.58"/>
    <n v="139.41999999999999"/>
    <s v="Cash"/>
    <n v="4"/>
    <s v="June"/>
    <x v="2"/>
    <n v="2024"/>
    <m/>
  </r>
  <r>
    <x v="386"/>
    <d v="2024-08-11T00:00:00"/>
    <s v="Jason Houston"/>
    <s v="West"/>
    <s v="Lagos"/>
    <s v="Corporate"/>
    <s v="Office Supplies"/>
    <s v="Pen"/>
    <n v="11"/>
    <n v="1087.4100000000001"/>
    <n v="0"/>
    <n v="11961.51"/>
    <n v="6648.31"/>
    <n v="5313.2"/>
    <s v="Transfer"/>
    <n v="1"/>
    <s v="August"/>
    <x v="1"/>
    <n v="2024"/>
    <m/>
  </r>
  <r>
    <x v="387"/>
    <d v="2024-06-12T00:00:00"/>
    <s v="Andrea Barnes"/>
    <s v="West"/>
    <s v="Abuja"/>
    <s v="Home Office"/>
    <s v="Clothing"/>
    <s v="Sneakers"/>
    <n v="10"/>
    <n v="593.35"/>
    <n v="0.15"/>
    <n v="5043.47"/>
    <n v="3994.18"/>
    <n v="1049.29"/>
    <s v="Transfer"/>
    <n v="5"/>
    <s v="June"/>
    <x v="2"/>
    <n v="2024"/>
    <m/>
  </r>
  <r>
    <x v="388"/>
    <d v="2024-11-04T00:00:00"/>
    <s v="Jennifer Hall"/>
    <s v="South"/>
    <s v="Port Harcourt"/>
    <s v="Corporate"/>
    <s v="Office Supplies"/>
    <s v="Notebook"/>
    <n v="12"/>
    <n v="164.85"/>
    <n v="0.15"/>
    <n v="1681.47"/>
    <n v="911.2"/>
    <n v="770.27"/>
    <s v="Mobile Payment"/>
    <n v="4"/>
    <s v="November"/>
    <x v="3"/>
    <n v="2024"/>
    <m/>
  </r>
  <r>
    <x v="389"/>
    <d v="2024-06-08T00:00:00"/>
    <s v="Julie Ferrell"/>
    <s v="West"/>
    <s v="Abuja"/>
    <s v="Corporate"/>
    <s v="Electronics"/>
    <s v="Printer"/>
    <n v="2"/>
    <n v="256.77"/>
    <n v="0.05"/>
    <n v="487.86"/>
    <n v="248.32"/>
    <n v="239.54"/>
    <s v="Card"/>
    <n v="5"/>
    <s v="June"/>
    <x v="2"/>
    <n v="2024"/>
    <m/>
  </r>
  <r>
    <x v="390"/>
    <d v="2024-07-09T00:00:00"/>
    <s v="Andrew Wilson"/>
    <s v="South"/>
    <s v="Port Harcourt"/>
    <s v="Corporate"/>
    <s v="Furniture"/>
    <s v="Cabinet"/>
    <n v="3"/>
    <n v="165.18"/>
    <n v="0"/>
    <n v="495.54"/>
    <n v="380.03"/>
    <n v="115.51"/>
    <s v="Mobile Payment"/>
    <n v="2"/>
    <s v="July"/>
    <x v="1"/>
    <n v="2024"/>
    <m/>
  </r>
  <r>
    <x v="391"/>
    <d v="2024-11-03T00:00:00"/>
    <s v="Robert Leonard"/>
    <s v="West"/>
    <s v="Lagos"/>
    <s v="Home Office"/>
    <s v="Electronics"/>
    <s v="Tablet"/>
    <n v="4"/>
    <n v="669.57"/>
    <n v="0.1"/>
    <n v="2410.4499999999998"/>
    <n v="1718.34"/>
    <n v="692.11"/>
    <s v="Mobile Payment"/>
    <n v="5"/>
    <s v="November"/>
    <x v="3"/>
    <n v="2024"/>
    <m/>
  </r>
  <r>
    <x v="392"/>
    <d v="2024-12-18T00:00:00"/>
    <s v="Stephanie Yang"/>
    <s v="West"/>
    <s v="Ibadan"/>
    <s v="Home Office"/>
    <s v="Clothing"/>
    <s v="Sneakers"/>
    <n v="2"/>
    <n v="1023.07"/>
    <n v="0.15"/>
    <n v="1739.22"/>
    <n v="1389.49"/>
    <n v="349.73"/>
    <s v="Mobile Payment"/>
    <n v="1"/>
    <s v="December"/>
    <x v="3"/>
    <n v="2024"/>
    <m/>
  </r>
  <r>
    <x v="393"/>
    <d v="2024-12-05T00:00:00"/>
    <s v="Frank Reed"/>
    <s v="South"/>
    <s v="Ibadan"/>
    <s v="Home Office"/>
    <s v="Electronics"/>
    <s v="Phone"/>
    <n v="5"/>
    <n v="31.16"/>
    <n v="0.1"/>
    <n v="140.22"/>
    <n v="105.73"/>
    <n v="34.49"/>
    <s v="Mobile Payment"/>
    <n v="4"/>
    <s v="December"/>
    <x v="3"/>
    <n v="2024"/>
    <m/>
  </r>
  <r>
    <x v="394"/>
    <d v="2024-01-21T00:00:00"/>
    <s v="Pamela Hanna"/>
    <s v="Central"/>
    <s v="Port Harcourt"/>
    <s v="Home Office"/>
    <s v="Electronics"/>
    <s v="Tablet"/>
    <n v="1"/>
    <n v="370.51"/>
    <n v="0.1"/>
    <n v="333.46"/>
    <n v="226.06"/>
    <n v="107.4"/>
    <s v="Mobile Payment"/>
    <n v="3"/>
    <s v="January"/>
    <x v="0"/>
    <n v="2024"/>
    <m/>
  </r>
  <r>
    <x v="395"/>
    <d v="2024-12-23T00:00:00"/>
    <s v="Kent Allen"/>
    <s v="East"/>
    <s v="Ibadan"/>
    <s v="Consumer"/>
    <s v="Office Supplies"/>
    <s v="Pen"/>
    <n v="11"/>
    <n v="952.69"/>
    <n v="0.15"/>
    <n v="8907.65"/>
    <n v="6388.62"/>
    <n v="2519.0300000000002"/>
    <s v="Mobile Payment"/>
    <n v="4"/>
    <s v="December"/>
    <x v="3"/>
    <n v="2024"/>
    <m/>
  </r>
  <r>
    <x v="396"/>
    <d v="2024-01-16T00:00:00"/>
    <s v="John Wilson"/>
    <s v="Central"/>
    <s v="Abuja"/>
    <s v="Consumer"/>
    <s v="Office Supplies"/>
    <s v="Paper"/>
    <n v="6"/>
    <n v="134.38"/>
    <n v="0"/>
    <n v="806.28"/>
    <n v="541.32000000000005"/>
    <n v="264.95999999999998"/>
    <s v="Card"/>
    <n v="3"/>
    <s v="January"/>
    <x v="0"/>
    <n v="2024"/>
    <m/>
  </r>
  <r>
    <x v="397"/>
    <d v="2024-08-02T00:00:00"/>
    <s v="Scott Gibson"/>
    <s v="Central"/>
    <s v="Kano"/>
    <s v="Home Office"/>
    <s v="Furniture"/>
    <s v="Desk"/>
    <n v="10"/>
    <n v="1032.3900000000001"/>
    <n v="0.1"/>
    <n v="9291.51"/>
    <n v="7607.4"/>
    <n v="1684.11"/>
    <s v="Transfer"/>
    <n v="1"/>
    <s v="August"/>
    <x v="1"/>
    <n v="2024"/>
    <m/>
  </r>
  <r>
    <x v="398"/>
    <d v="2024-06-22T00:00:00"/>
    <s v="Martha Parker"/>
    <s v="Central"/>
    <s v="Lagos"/>
    <s v="Home Office"/>
    <s v="Clothing"/>
    <s v="Jacket"/>
    <n v="3"/>
    <n v="226.34"/>
    <n v="0"/>
    <n v="679.02"/>
    <n v="394.14"/>
    <n v="284.88"/>
    <s v="Cash"/>
    <n v="1"/>
    <s v="June"/>
    <x v="2"/>
    <n v="2024"/>
    <m/>
  </r>
  <r>
    <x v="399"/>
    <d v="2024-05-19T00:00:00"/>
    <s v="Amanda Combs"/>
    <s v="South"/>
    <s v="Lagos"/>
    <s v="Corporate"/>
    <s v="Office Supplies"/>
    <s v="Notebook"/>
    <n v="1"/>
    <n v="46.43"/>
    <n v="0.05"/>
    <n v="44.11"/>
    <n v="23.92"/>
    <n v="20.190000000000001"/>
    <s v="Transfer"/>
    <n v="1"/>
    <s v="May"/>
    <x v="2"/>
    <n v="2024"/>
    <m/>
  </r>
  <r>
    <x v="400"/>
    <d v="2024-07-18T00:00:00"/>
    <s v="Amy Wilson"/>
    <s v="South"/>
    <s v="Kano"/>
    <s v="Consumer"/>
    <s v="Office Supplies"/>
    <s v="Pen"/>
    <n v="3"/>
    <n v="839.53"/>
    <n v="0.05"/>
    <n v="2392.66"/>
    <n v="1781.11"/>
    <n v="611.54999999999995"/>
    <s v="Cash"/>
    <n v="1"/>
    <s v="July"/>
    <x v="1"/>
    <n v="2024"/>
    <m/>
  </r>
  <r>
    <x v="401"/>
    <d v="2024-09-08T00:00:00"/>
    <s v="Catherine Brown"/>
    <s v="South"/>
    <s v="Lagos"/>
    <s v="Home Office"/>
    <s v="Clothing"/>
    <s v="T-Shirt"/>
    <n v="7"/>
    <n v="435.94"/>
    <n v="0"/>
    <n v="3051.58"/>
    <n v="1895.05"/>
    <n v="1156.53"/>
    <s v="Transfer"/>
    <n v="1"/>
    <s v="September"/>
    <x v="1"/>
    <n v="2024"/>
    <m/>
  </r>
  <r>
    <x v="402"/>
    <d v="2024-12-26T00:00:00"/>
    <s v="Kristen Garcia"/>
    <s v="South"/>
    <s v="Port Harcourt"/>
    <s v="Corporate"/>
    <s v="Clothing"/>
    <s v="Sneakers"/>
    <n v="8"/>
    <n v="1110.76"/>
    <n v="0.1"/>
    <n v="7997.47"/>
    <n v="5371.8"/>
    <n v="2625.67"/>
    <s v="Cash"/>
    <n v="1"/>
    <s v="December"/>
    <x v="3"/>
    <n v="2024"/>
    <m/>
  </r>
  <r>
    <x v="403"/>
    <d v="2024-03-06T00:00:00"/>
    <s v="Angela Harrison"/>
    <s v="North"/>
    <s v="Lagos"/>
    <s v="Consumer"/>
    <s v="Furniture"/>
    <s v="Cabinet"/>
    <n v="7"/>
    <n v="975.82"/>
    <n v="0"/>
    <n v="6830.74"/>
    <n v="5429.42"/>
    <n v="1401.32"/>
    <s v="Card"/>
    <n v="2"/>
    <s v="March"/>
    <x v="0"/>
    <n v="2024"/>
    <m/>
  </r>
  <r>
    <x v="404"/>
    <d v="2024-10-13T00:00:00"/>
    <s v="Mark Spears"/>
    <s v="East"/>
    <s v="Lagos"/>
    <s v="Home Office"/>
    <s v="Clothing"/>
    <s v="T-Shirt"/>
    <n v="5"/>
    <n v="1093.97"/>
    <n v="0"/>
    <n v="5469.85"/>
    <n v="2831.49"/>
    <n v="2638.36"/>
    <s v="Card"/>
    <n v="2"/>
    <s v="October"/>
    <x v="3"/>
    <n v="2024"/>
    <m/>
  </r>
  <r>
    <x v="405"/>
    <d v="2024-10-12T00:00:00"/>
    <s v="Dr. Yvonne Wright"/>
    <s v="Central"/>
    <s v="Kano"/>
    <s v="Consumer"/>
    <s v="Electronics"/>
    <s v="Laptop"/>
    <n v="11"/>
    <n v="65.42"/>
    <n v="0"/>
    <n v="719.62"/>
    <n v="483.59"/>
    <n v="236.03"/>
    <s v="Cash"/>
    <n v="2"/>
    <s v="October"/>
    <x v="3"/>
    <n v="2024"/>
    <m/>
  </r>
  <r>
    <x v="406"/>
    <d v="2024-08-25T00:00:00"/>
    <s v="Mario Wood"/>
    <s v="Central"/>
    <s v="Abuja"/>
    <s v="Consumer"/>
    <s v="Electronics"/>
    <s v="Printer"/>
    <n v="10"/>
    <n v="640.23"/>
    <n v="0.1"/>
    <n v="5762.07"/>
    <n v="2946.94"/>
    <n v="2815.13"/>
    <s v="Mobile Payment"/>
    <n v="3"/>
    <s v="August"/>
    <x v="1"/>
    <n v="2024"/>
    <m/>
  </r>
  <r>
    <x v="407"/>
    <d v="2024-03-12T00:00:00"/>
    <s v="Michael White"/>
    <s v="Central"/>
    <s v="Kano"/>
    <s v="Home Office"/>
    <s v="Office Supplies"/>
    <s v="Paper"/>
    <n v="12"/>
    <n v="1157.8800000000001"/>
    <n v="0.1"/>
    <n v="12505.1"/>
    <n v="8772.99"/>
    <n v="3732.11"/>
    <s v="Card"/>
    <n v="2"/>
    <s v="March"/>
    <x v="0"/>
    <n v="2024"/>
    <m/>
  </r>
  <r>
    <x v="408"/>
    <d v="2024-09-15T00:00:00"/>
    <s v="Angela Shannon"/>
    <s v="Central"/>
    <s v="Port Harcourt"/>
    <s v="Home Office"/>
    <s v="Office Supplies"/>
    <s v="Paper"/>
    <n v="7"/>
    <n v="364.07"/>
    <n v="0.15"/>
    <n v="2166.2199999999998"/>
    <n v="1172.51"/>
    <n v="993.71"/>
    <s v="Card"/>
    <n v="5"/>
    <s v="September"/>
    <x v="1"/>
    <n v="2024"/>
    <m/>
  </r>
  <r>
    <x v="409"/>
    <d v="2024-03-26T00:00:00"/>
    <s v="Rachel Garrison"/>
    <s v="Central"/>
    <s v="Ibadan"/>
    <s v="Home Office"/>
    <s v="Clothing"/>
    <s v="Sneakers"/>
    <n v="8"/>
    <n v="605.54"/>
    <n v="0.05"/>
    <n v="4602.1000000000004"/>
    <n v="3245.8"/>
    <n v="1356.3"/>
    <s v="Transfer"/>
    <n v="1"/>
    <s v="March"/>
    <x v="0"/>
    <n v="2024"/>
    <m/>
  </r>
  <r>
    <x v="410"/>
    <d v="2024-05-30T00:00:00"/>
    <s v="Sheila Richardson"/>
    <s v="East"/>
    <s v="Port Harcourt"/>
    <s v="Consumer"/>
    <s v="Clothing"/>
    <s v="Jacket"/>
    <n v="6"/>
    <n v="1158.9100000000001"/>
    <n v="0.1"/>
    <n v="6258.11"/>
    <n v="5263.98"/>
    <n v="994.13"/>
    <s v="Mobile Payment"/>
    <n v="1"/>
    <s v="May"/>
    <x v="2"/>
    <n v="2024"/>
    <m/>
  </r>
  <r>
    <x v="411"/>
    <d v="2024-05-26T00:00:00"/>
    <s v="Steven Castillo"/>
    <s v="North"/>
    <s v="Lagos"/>
    <s v="Corporate"/>
    <s v="Electronics"/>
    <s v="Laptop"/>
    <n v="10"/>
    <n v="250.46"/>
    <n v="0.15"/>
    <n v="2128.91"/>
    <n v="1166.1099999999999"/>
    <n v="962.8"/>
    <s v="Cash"/>
    <n v="2"/>
    <s v="May"/>
    <x v="2"/>
    <n v="2024"/>
    <m/>
  </r>
  <r>
    <x v="412"/>
    <d v="2024-03-25T00:00:00"/>
    <s v="Amber Obrien"/>
    <s v="North"/>
    <s v="Abuja"/>
    <s v="Corporate"/>
    <s v="Furniture"/>
    <s v="Cabinet"/>
    <n v="7"/>
    <n v="315.85000000000002"/>
    <n v="0.1"/>
    <n v="1989.86"/>
    <n v="1642.33"/>
    <n v="347.53"/>
    <s v="Transfer"/>
    <n v="5"/>
    <s v="March"/>
    <x v="0"/>
    <n v="2024"/>
    <m/>
  </r>
  <r>
    <x v="413"/>
    <d v="2024-02-15T00:00:00"/>
    <s v="Kimberly Klein"/>
    <s v="East"/>
    <s v="Abuja"/>
    <s v="Home Office"/>
    <s v="Electronics"/>
    <s v="Printer"/>
    <n v="12"/>
    <n v="933.37"/>
    <n v="0.05"/>
    <n v="10640.42"/>
    <n v="7172.83"/>
    <n v="3467.59"/>
    <s v="Transfer"/>
    <n v="1"/>
    <s v="February"/>
    <x v="0"/>
    <n v="2024"/>
    <m/>
  </r>
  <r>
    <x v="414"/>
    <d v="2024-09-11T00:00:00"/>
    <s v="Robert Beck"/>
    <s v="South"/>
    <s v="Port Harcourt"/>
    <s v="Home Office"/>
    <s v="Clothing"/>
    <s v="T-Shirt"/>
    <n v="6"/>
    <n v="840.76"/>
    <n v="0"/>
    <n v="5044.5600000000004"/>
    <n v="2972.28"/>
    <n v="2072.2800000000002"/>
    <s v="Transfer"/>
    <n v="5"/>
    <s v="September"/>
    <x v="1"/>
    <n v="2024"/>
    <m/>
  </r>
  <r>
    <x v="415"/>
    <d v="2024-05-01T00:00:00"/>
    <s v="Julie Mcfarland"/>
    <s v="North"/>
    <s v="Lagos"/>
    <s v="Consumer"/>
    <s v="Clothing"/>
    <s v="Jacket"/>
    <n v="10"/>
    <n v="220.08"/>
    <n v="0.1"/>
    <n v="1980.72"/>
    <n v="1133.0899999999999"/>
    <n v="847.63"/>
    <s v="Transfer"/>
    <n v="4"/>
    <s v="May"/>
    <x v="2"/>
    <n v="2024"/>
    <m/>
  </r>
  <r>
    <x v="416"/>
    <d v="2024-09-07T00:00:00"/>
    <s v="Teresa Garcia"/>
    <s v="East"/>
    <s v="Kano"/>
    <s v="Consumer"/>
    <s v="Electronics"/>
    <s v="Tablet"/>
    <n v="2"/>
    <n v="855.81"/>
    <n v="0.1"/>
    <n v="1540.46"/>
    <n v="814.27"/>
    <n v="726.19"/>
    <s v="Cash"/>
    <n v="1"/>
    <s v="September"/>
    <x v="1"/>
    <n v="2024"/>
    <m/>
  </r>
  <r>
    <x v="417"/>
    <d v="2024-06-16T00:00:00"/>
    <s v="Mrs. Tiffany Woods"/>
    <s v="West"/>
    <s v="Lagos"/>
    <s v="Home Office"/>
    <s v="Clothing"/>
    <s v="Jacket"/>
    <n v="9"/>
    <n v="438.58"/>
    <n v="0.05"/>
    <n v="3749.86"/>
    <n v="2484.04"/>
    <n v="1265.82"/>
    <s v="Cash"/>
    <n v="1"/>
    <s v="June"/>
    <x v="2"/>
    <n v="2024"/>
    <m/>
  </r>
  <r>
    <x v="418"/>
    <d v="2024-12-10T00:00:00"/>
    <s v="Sonya Anderson"/>
    <s v="West"/>
    <s v="Kano"/>
    <s v="Consumer"/>
    <s v="Electronics"/>
    <s v="Tablet"/>
    <n v="2"/>
    <n v="721.84"/>
    <n v="0.15"/>
    <n v="1227.1300000000001"/>
    <n v="1029.77"/>
    <n v="197.36"/>
    <s v="Card"/>
    <n v="1"/>
    <s v="December"/>
    <x v="3"/>
    <n v="2024"/>
    <m/>
  </r>
  <r>
    <x v="419"/>
    <d v="2024-05-06T00:00:00"/>
    <s v="Ann Riggs"/>
    <s v="East"/>
    <s v="Kano"/>
    <s v="Home Office"/>
    <s v="Furniture"/>
    <s v="Chair"/>
    <n v="2"/>
    <n v="582.73"/>
    <n v="0.05"/>
    <n v="1107.19"/>
    <n v="702.22"/>
    <n v="404.97"/>
    <s v="Mobile Payment"/>
    <n v="1"/>
    <s v="May"/>
    <x v="2"/>
    <n v="2024"/>
    <m/>
  </r>
  <r>
    <x v="420"/>
    <d v="2024-03-11T00:00:00"/>
    <s v="Mark Hall"/>
    <s v="Central"/>
    <s v="Kano"/>
    <s v="Consumer"/>
    <s v="Electronics"/>
    <s v="Tablet"/>
    <n v="2"/>
    <n v="109.03"/>
    <n v="0.15"/>
    <n v="185.35"/>
    <n v="103.06"/>
    <n v="82.29"/>
    <s v="Cash"/>
    <n v="3"/>
    <s v="March"/>
    <x v="0"/>
    <n v="2024"/>
    <m/>
  </r>
  <r>
    <x v="421"/>
    <d v="2024-11-07T00:00:00"/>
    <s v="Kelly Dixon"/>
    <s v="Central"/>
    <s v="Port Harcourt"/>
    <s v="Home Office"/>
    <s v="Electronics"/>
    <s v="Phone"/>
    <n v="3"/>
    <n v="184.44"/>
    <n v="0.05"/>
    <n v="525.65"/>
    <n v="329.79"/>
    <n v="195.86"/>
    <s v="Mobile Payment"/>
    <n v="5"/>
    <s v="November"/>
    <x v="3"/>
    <n v="2024"/>
    <m/>
  </r>
  <r>
    <x v="422"/>
    <d v="2024-10-25T00:00:00"/>
    <s v="Ann Phillips"/>
    <s v="Central"/>
    <s v="Ibadan"/>
    <s v="Consumer"/>
    <s v="Office Supplies"/>
    <s v="Paper"/>
    <n v="1"/>
    <n v="750.97"/>
    <n v="0.05"/>
    <n v="713.42"/>
    <n v="411.9"/>
    <n v="301.52"/>
    <s v="Mobile Payment"/>
    <n v="5"/>
    <s v="October"/>
    <x v="3"/>
    <n v="2024"/>
    <m/>
  </r>
  <r>
    <x v="423"/>
    <d v="2024-05-24T00:00:00"/>
    <s v="Jennifer Ramirez"/>
    <s v="Central"/>
    <s v="Abuja"/>
    <s v="Home Office"/>
    <s v="Electronics"/>
    <s v="Printer"/>
    <n v="6"/>
    <n v="177.42"/>
    <n v="0.15"/>
    <n v="904.84"/>
    <n v="562.1"/>
    <n v="342.74"/>
    <s v="Card"/>
    <n v="3"/>
    <s v="May"/>
    <x v="2"/>
    <n v="2024"/>
    <m/>
  </r>
  <r>
    <x v="424"/>
    <d v="2024-12-23T00:00:00"/>
    <s v="Daniel Walker"/>
    <s v="South"/>
    <s v="Abuja"/>
    <s v="Consumer"/>
    <s v="Clothing"/>
    <s v="T-Shirt"/>
    <n v="12"/>
    <n v="992.54"/>
    <n v="0.05"/>
    <n v="11314.96"/>
    <n v="8829.1299999999992"/>
    <n v="2485.83"/>
    <s v="Card"/>
    <n v="2"/>
    <s v="December"/>
    <x v="3"/>
    <n v="2024"/>
    <m/>
  </r>
  <r>
    <x v="425"/>
    <d v="2024-11-26T00:00:00"/>
    <s v="Angel Parker"/>
    <s v="West"/>
    <s v="Port Harcourt"/>
    <s v="Corporate"/>
    <s v="Furniture"/>
    <s v="Desk"/>
    <n v="11"/>
    <n v="735.79"/>
    <n v="0"/>
    <n v="8093.69"/>
    <n v="5875.53"/>
    <n v="2218.16"/>
    <s v="Cash"/>
    <n v="1"/>
    <s v="November"/>
    <x v="3"/>
    <n v="2024"/>
    <m/>
  </r>
  <r>
    <x v="426"/>
    <d v="2024-03-06T00:00:00"/>
    <s v="Margaret Robbins"/>
    <s v="South"/>
    <s v="Abuja"/>
    <s v="Corporate"/>
    <s v="Furniture"/>
    <s v="Cabinet"/>
    <n v="5"/>
    <n v="264.74"/>
    <n v="0.05"/>
    <n v="1257.51"/>
    <n v="647.39"/>
    <n v="610.12"/>
    <s v="Mobile Payment"/>
    <n v="2"/>
    <s v="March"/>
    <x v="0"/>
    <n v="2024"/>
    <m/>
  </r>
  <r>
    <x v="427"/>
    <d v="2024-12-21T00:00:00"/>
    <s v="Eric Molina"/>
    <s v="South"/>
    <s v="Ibadan"/>
    <s v="Consumer"/>
    <s v="Clothing"/>
    <s v="Sneakers"/>
    <n v="2"/>
    <n v="141.49"/>
    <n v="0.05"/>
    <n v="268.83"/>
    <n v="188.15"/>
    <n v="80.680000000000007"/>
    <s v="Cash"/>
    <n v="5"/>
    <s v="December"/>
    <x v="3"/>
    <n v="2024"/>
    <m/>
  </r>
  <r>
    <x v="428"/>
    <d v="2024-10-16T00:00:00"/>
    <s v="John Robbins"/>
    <s v="South"/>
    <s v="Kano"/>
    <s v="Home Office"/>
    <s v="Clothing"/>
    <s v="T-Shirt"/>
    <n v="12"/>
    <n v="858.3"/>
    <n v="0.1"/>
    <n v="9269.64"/>
    <n v="7518.02"/>
    <n v="1751.62"/>
    <s v="Transfer"/>
    <n v="3"/>
    <s v="October"/>
    <x v="3"/>
    <n v="2024"/>
    <m/>
  </r>
  <r>
    <x v="429"/>
    <d v="2024-11-26T00:00:00"/>
    <s v="Grace Thomas"/>
    <s v="Central"/>
    <s v="Abuja"/>
    <s v="Corporate"/>
    <s v="Office Supplies"/>
    <s v="Notebook"/>
    <n v="2"/>
    <n v="529.42999999999995"/>
    <n v="0"/>
    <n v="1058.8599999999999"/>
    <n v="875.2"/>
    <n v="183.66"/>
    <s v="Cash"/>
    <n v="1"/>
    <s v="November"/>
    <x v="3"/>
    <n v="2024"/>
    <m/>
  </r>
  <r>
    <x v="430"/>
    <d v="2024-07-20T00:00:00"/>
    <s v="Alexander Wilson"/>
    <s v="West"/>
    <s v="Port Harcourt"/>
    <s v="Home Office"/>
    <s v="Electronics"/>
    <s v="Laptop"/>
    <n v="8"/>
    <n v="795.68"/>
    <n v="0"/>
    <n v="6365.44"/>
    <n v="4996.1099999999997"/>
    <n v="1369.33"/>
    <s v="Transfer"/>
    <n v="2"/>
    <s v="July"/>
    <x v="1"/>
    <n v="2024"/>
    <m/>
  </r>
  <r>
    <x v="431"/>
    <d v="2024-02-16T00:00:00"/>
    <s v="James Mitchell"/>
    <s v="South"/>
    <s v="Kano"/>
    <s v="Home Office"/>
    <s v="Furniture"/>
    <s v="Chair"/>
    <n v="3"/>
    <n v="871.56"/>
    <n v="0.1"/>
    <n v="2353.21"/>
    <n v="1499.73"/>
    <n v="853.48"/>
    <s v="Cash"/>
    <n v="5"/>
    <s v="February"/>
    <x v="0"/>
    <n v="2024"/>
    <m/>
  </r>
  <r>
    <x v="432"/>
    <d v="2024-03-17T00:00:00"/>
    <s v="Rebecca Lopez"/>
    <s v="East"/>
    <s v="Lagos"/>
    <s v="Corporate"/>
    <s v="Office Supplies"/>
    <s v="Pen"/>
    <n v="2"/>
    <n v="409.59"/>
    <n v="0.1"/>
    <n v="737.26"/>
    <n v="473.39"/>
    <n v="263.87"/>
    <s v="Cash"/>
    <n v="2"/>
    <s v="March"/>
    <x v="0"/>
    <n v="2024"/>
    <m/>
  </r>
  <r>
    <x v="433"/>
    <d v="2024-09-02T00:00:00"/>
    <s v="Diane Knight"/>
    <s v="East"/>
    <s v="Port Harcourt"/>
    <s v="Consumer"/>
    <s v="Electronics"/>
    <s v="Tablet"/>
    <n v="8"/>
    <n v="1020.91"/>
    <n v="0"/>
    <n v="8167.28"/>
    <n v="5892.83"/>
    <n v="2274.4499999999998"/>
    <s v="Card"/>
    <n v="5"/>
    <s v="September"/>
    <x v="1"/>
    <n v="2024"/>
    <m/>
  </r>
  <r>
    <x v="434"/>
    <d v="2024-11-26T00:00:00"/>
    <s v="Andrew Harris"/>
    <s v="East"/>
    <s v="Ibadan"/>
    <s v="Corporate"/>
    <s v="Furniture"/>
    <s v="Cabinet"/>
    <n v="2"/>
    <n v="328.9"/>
    <n v="0.1"/>
    <n v="592.02"/>
    <n v="437.98"/>
    <n v="154.04"/>
    <s v="Mobile Payment"/>
    <n v="5"/>
    <s v="November"/>
    <x v="3"/>
    <n v="2024"/>
    <m/>
  </r>
  <r>
    <x v="435"/>
    <d v="2024-11-14T00:00:00"/>
    <s v="Joshua Mcbride"/>
    <s v="East"/>
    <s v="Kano"/>
    <s v="Home Office"/>
    <s v="Office Supplies"/>
    <s v="Paper"/>
    <n v="8"/>
    <n v="209.65"/>
    <n v="0"/>
    <n v="1677.2"/>
    <n v="1362.99"/>
    <n v="314.20999999999998"/>
    <s v="Card"/>
    <n v="5"/>
    <s v="November"/>
    <x v="3"/>
    <n v="2024"/>
    <m/>
  </r>
  <r>
    <x v="436"/>
    <d v="2024-09-04T00:00:00"/>
    <s v="Martin Sandoval"/>
    <s v="Central"/>
    <s v="Kano"/>
    <s v="Consumer"/>
    <s v="Electronics"/>
    <s v="Tablet"/>
    <n v="5"/>
    <n v="1180.44"/>
    <n v="0.1"/>
    <n v="5311.98"/>
    <n v="3370.63"/>
    <n v="1941.35"/>
    <s v="Transfer"/>
    <n v="4"/>
    <s v="September"/>
    <x v="1"/>
    <n v="2024"/>
    <m/>
  </r>
  <r>
    <x v="437"/>
    <d v="2024-08-04T00:00:00"/>
    <s v="Jared Brown"/>
    <s v="South"/>
    <s v="Port Harcourt"/>
    <s v="Home Office"/>
    <s v="Clothing"/>
    <s v="T-Shirt"/>
    <n v="3"/>
    <n v="1109.76"/>
    <n v="0"/>
    <n v="3329.28"/>
    <n v="2468.6999999999998"/>
    <n v="860.58"/>
    <s v="Card"/>
    <n v="1"/>
    <s v="August"/>
    <x v="1"/>
    <n v="2024"/>
    <m/>
  </r>
  <r>
    <x v="438"/>
    <d v="2024-03-19T00:00:00"/>
    <s v="Andrea Williams"/>
    <s v="South"/>
    <s v="Lagos"/>
    <s v="Corporate"/>
    <s v="Clothing"/>
    <s v="Jacket"/>
    <n v="9"/>
    <n v="356.52"/>
    <n v="0"/>
    <n v="3208.68"/>
    <n v="2567.19"/>
    <n v="641.49"/>
    <s v="Transfer"/>
    <n v="4"/>
    <s v="March"/>
    <x v="0"/>
    <n v="2024"/>
    <m/>
  </r>
  <r>
    <x v="439"/>
    <d v="2024-07-15T00:00:00"/>
    <s v="Julia Moore"/>
    <s v="West"/>
    <s v="Ibadan"/>
    <s v="Consumer"/>
    <s v="Clothing"/>
    <s v="Sneakers"/>
    <n v="9"/>
    <n v="22.19"/>
    <n v="0.15"/>
    <n v="169.75"/>
    <n v="137.88"/>
    <n v="31.87"/>
    <s v="Cash"/>
    <n v="1"/>
    <s v="July"/>
    <x v="1"/>
    <n v="2024"/>
    <m/>
  </r>
  <r>
    <x v="440"/>
    <d v="2024-05-11T00:00:00"/>
    <s v="Aaron Washington"/>
    <s v="East"/>
    <s v="Port Harcourt"/>
    <s v="Consumer"/>
    <s v="Electronics"/>
    <s v="Tablet"/>
    <n v="12"/>
    <n v="54.05"/>
    <n v="0.05"/>
    <n v="616.16999999999996"/>
    <n v="443.6"/>
    <n v="172.57"/>
    <s v="Mobile Payment"/>
    <n v="1"/>
    <s v="May"/>
    <x v="2"/>
    <n v="2024"/>
    <m/>
  </r>
  <r>
    <x v="441"/>
    <d v="2024-04-18T00:00:00"/>
    <s v="Mr. Wayne Ortiz"/>
    <s v="Central"/>
    <s v="Port Harcourt"/>
    <s v="Corporate"/>
    <s v="Office Supplies"/>
    <s v="Pen"/>
    <n v="1"/>
    <n v="764.28"/>
    <n v="0.15"/>
    <n v="649.64"/>
    <n v="539.84"/>
    <n v="109.8"/>
    <s v="Transfer"/>
    <n v="4"/>
    <s v="April"/>
    <x v="2"/>
    <n v="2024"/>
    <m/>
  </r>
  <r>
    <x v="442"/>
    <d v="2024-04-12T00:00:00"/>
    <s v="Jill Morris"/>
    <s v="South"/>
    <s v="Port Harcourt"/>
    <s v="Corporate"/>
    <s v="Furniture"/>
    <s v="Cabinet"/>
    <n v="5"/>
    <n v="409.53"/>
    <n v="0.1"/>
    <n v="1842.88"/>
    <n v="1079.3499999999999"/>
    <n v="763.53"/>
    <s v="Card"/>
    <n v="2"/>
    <s v="April"/>
    <x v="2"/>
    <n v="2024"/>
    <m/>
  </r>
  <r>
    <x v="443"/>
    <d v="2024-01-05T00:00:00"/>
    <s v="Keith Clark"/>
    <s v="North"/>
    <s v="Lagos"/>
    <s v="Corporate"/>
    <s v="Electronics"/>
    <s v="Tablet"/>
    <n v="7"/>
    <n v="1046.33"/>
    <n v="0.05"/>
    <n v="6958.09"/>
    <n v="5530.77"/>
    <n v="1427.32"/>
    <s v="Mobile Payment"/>
    <n v="5"/>
    <s v="January"/>
    <x v="0"/>
    <n v="2024"/>
    <m/>
  </r>
  <r>
    <x v="444"/>
    <d v="2024-12-23T00:00:00"/>
    <s v="Danielle Moran"/>
    <s v="North"/>
    <s v="Lagos"/>
    <s v="Corporate"/>
    <s v="Furniture"/>
    <s v="Desk"/>
    <n v="9"/>
    <n v="1087.6199999999999"/>
    <n v="0.1"/>
    <n v="8809.7199999999993"/>
    <n v="6858.35"/>
    <n v="1951.37"/>
    <s v="Mobile Payment"/>
    <n v="4"/>
    <s v="December"/>
    <x v="3"/>
    <n v="2024"/>
    <m/>
  </r>
  <r>
    <x v="445"/>
    <d v="2024-03-31T00:00:00"/>
    <s v="Patricia Rivera"/>
    <s v="North"/>
    <s v="Abuja"/>
    <s v="Corporate"/>
    <s v="Clothing"/>
    <s v="T-Shirt"/>
    <n v="8"/>
    <n v="692.66"/>
    <n v="0.15"/>
    <n v="4710.09"/>
    <n v="2919.26"/>
    <n v="1790.83"/>
    <s v="Cash"/>
    <n v="5"/>
    <s v="March"/>
    <x v="0"/>
    <n v="2024"/>
    <m/>
  </r>
  <r>
    <x v="446"/>
    <d v="2024-06-22T00:00:00"/>
    <s v="Christopher Phelps"/>
    <s v="North"/>
    <s v="Ibadan"/>
    <s v="Consumer"/>
    <s v="Electronics"/>
    <s v="Printer"/>
    <n v="9"/>
    <n v="603.76"/>
    <n v="0.15"/>
    <n v="4618.76"/>
    <n v="2888.75"/>
    <n v="1730.01"/>
    <s v="Card"/>
    <n v="4"/>
    <s v="June"/>
    <x v="2"/>
    <n v="2024"/>
    <m/>
  </r>
  <r>
    <x v="447"/>
    <d v="2024-03-18T00:00:00"/>
    <s v="Michelle Moore"/>
    <s v="East"/>
    <s v="Kano"/>
    <s v="Consumer"/>
    <s v="Electronics"/>
    <s v="Laptop"/>
    <n v="10"/>
    <n v="884.51"/>
    <n v="0.05"/>
    <n v="8402.84"/>
    <n v="6189.16"/>
    <n v="2213.6799999999998"/>
    <s v="Card"/>
    <n v="2"/>
    <s v="March"/>
    <x v="0"/>
    <n v="2024"/>
    <m/>
  </r>
  <r>
    <x v="448"/>
    <d v="2024-09-25T00:00:00"/>
    <s v="Richard Yang"/>
    <s v="North"/>
    <s v="Abuja"/>
    <s v="Corporate"/>
    <s v="Electronics"/>
    <s v="Tablet"/>
    <n v="1"/>
    <n v="646.87"/>
    <n v="0.15"/>
    <n v="549.84"/>
    <n v="391.69"/>
    <n v="158.15"/>
    <s v="Transfer"/>
    <n v="4"/>
    <s v="September"/>
    <x v="1"/>
    <n v="2024"/>
    <m/>
  </r>
  <r>
    <x v="449"/>
    <d v="2024-11-06T00:00:00"/>
    <s v="Elizabeth Cardenas"/>
    <s v="Central"/>
    <s v="Lagos"/>
    <s v="Consumer"/>
    <s v="Office Supplies"/>
    <s v="Pen"/>
    <n v="5"/>
    <n v="881.74"/>
    <n v="0.15"/>
    <n v="3747.39"/>
    <n v="2489.61"/>
    <n v="1257.78"/>
    <s v="Transfer"/>
    <n v="2"/>
    <s v="November"/>
    <x v="3"/>
    <n v="2024"/>
    <m/>
  </r>
  <r>
    <x v="450"/>
    <d v="2024-04-25T00:00:00"/>
    <s v="Travis Fischer"/>
    <s v="West"/>
    <s v="Ibadan"/>
    <s v="Corporate"/>
    <s v="Electronics"/>
    <s v="Phone"/>
    <n v="4"/>
    <n v="258.38"/>
    <n v="0"/>
    <n v="1033.52"/>
    <n v="557.49"/>
    <n v="476.03"/>
    <s v="Mobile Payment"/>
    <n v="3"/>
    <s v="April"/>
    <x v="2"/>
    <n v="2024"/>
    <m/>
  </r>
  <r>
    <x v="451"/>
    <d v="2024-01-16T00:00:00"/>
    <s v="Brandon Flores"/>
    <s v="Central"/>
    <s v="Ibadan"/>
    <s v="Corporate"/>
    <s v="Electronics"/>
    <s v="Phone"/>
    <n v="10"/>
    <n v="784.73"/>
    <n v="0"/>
    <n v="7847.3"/>
    <n v="5451.56"/>
    <n v="2395.7399999999998"/>
    <s v="Cash"/>
    <n v="3"/>
    <s v="January"/>
    <x v="0"/>
    <n v="2024"/>
    <m/>
  </r>
  <r>
    <x v="452"/>
    <d v="2024-03-17T00:00:00"/>
    <s v="Kenneth Hernandez"/>
    <s v="East"/>
    <s v="Port Harcourt"/>
    <s v="Home Office"/>
    <s v="Furniture"/>
    <s v="Cabinet"/>
    <n v="11"/>
    <n v="675.43"/>
    <n v="0.1"/>
    <n v="6686.76"/>
    <n v="3640.29"/>
    <n v="3046.47"/>
    <s v="Card"/>
    <n v="5"/>
    <s v="March"/>
    <x v="0"/>
    <n v="2024"/>
    <m/>
  </r>
  <r>
    <x v="453"/>
    <d v="2024-09-19T00:00:00"/>
    <s v="Amy King"/>
    <s v="South"/>
    <s v="Kano"/>
    <s v="Consumer"/>
    <s v="Office Supplies"/>
    <s v="Pen"/>
    <n v="8"/>
    <n v="756.03"/>
    <n v="0.15"/>
    <n v="5141"/>
    <n v="3070.01"/>
    <n v="2070.9899999999998"/>
    <s v="Mobile Payment"/>
    <n v="3"/>
    <s v="September"/>
    <x v="1"/>
    <n v="2024"/>
    <m/>
  </r>
  <r>
    <x v="454"/>
    <d v="2024-01-23T00:00:00"/>
    <s v="Valerie Rose"/>
    <s v="East"/>
    <s v="Lagos"/>
    <s v="Consumer"/>
    <s v="Electronics"/>
    <s v="Printer"/>
    <n v="3"/>
    <n v="59.7"/>
    <n v="0.15"/>
    <n v="152.24"/>
    <n v="82.49"/>
    <n v="69.75"/>
    <s v="Card"/>
    <n v="3"/>
    <s v="January"/>
    <x v="0"/>
    <n v="2024"/>
    <m/>
  </r>
  <r>
    <x v="455"/>
    <d v="2024-07-28T00:00:00"/>
    <s v="Gregory Mccullough"/>
    <s v="South"/>
    <s v="Lagos"/>
    <s v="Consumer"/>
    <s v="Electronics"/>
    <s v="Phone"/>
    <n v="9"/>
    <n v="1103.96"/>
    <n v="0"/>
    <n v="9935.64"/>
    <n v="8185.98"/>
    <n v="1749.66"/>
    <s v="Cash"/>
    <n v="4"/>
    <s v="July"/>
    <x v="1"/>
    <n v="2024"/>
    <m/>
  </r>
  <r>
    <x v="456"/>
    <d v="2024-06-09T00:00:00"/>
    <s v="James Vazquez"/>
    <s v="South"/>
    <s v="Port Harcourt"/>
    <s v="Home Office"/>
    <s v="Furniture"/>
    <s v="Cabinet"/>
    <n v="7"/>
    <n v="774.47"/>
    <n v="0.05"/>
    <n v="5150.2299999999996"/>
    <n v="3165.14"/>
    <n v="1985.09"/>
    <s v="Transfer"/>
    <n v="3"/>
    <s v="June"/>
    <x v="2"/>
    <n v="2024"/>
    <m/>
  </r>
  <r>
    <x v="457"/>
    <d v="2024-01-29T00:00:00"/>
    <s v="Anthony Bird"/>
    <s v="South"/>
    <s v="Kano"/>
    <s v="Home Office"/>
    <s v="Office Supplies"/>
    <s v="Notebook"/>
    <n v="8"/>
    <n v="586.15"/>
    <n v="0.15"/>
    <n v="3985.82"/>
    <n v="3184.38"/>
    <n v="801.44"/>
    <s v="Card"/>
    <n v="1"/>
    <s v="January"/>
    <x v="0"/>
    <n v="2024"/>
    <m/>
  </r>
  <r>
    <x v="458"/>
    <d v="2024-10-28T00:00:00"/>
    <s v="George Jones"/>
    <s v="Central"/>
    <s v="Abuja"/>
    <s v="Corporate"/>
    <s v="Electronics"/>
    <s v="Phone"/>
    <n v="3"/>
    <n v="748.4"/>
    <n v="0.05"/>
    <n v="2132.94"/>
    <n v="1556.96"/>
    <n v="575.98"/>
    <s v="Cash"/>
    <n v="2"/>
    <s v="October"/>
    <x v="3"/>
    <n v="2024"/>
    <m/>
  </r>
  <r>
    <x v="459"/>
    <d v="2024-12-31T00:00:00"/>
    <s v="Jessica Silva"/>
    <s v="West"/>
    <s v="Lagos"/>
    <s v="Corporate"/>
    <s v="Furniture"/>
    <s v="Desk"/>
    <n v="11"/>
    <n v="705.06"/>
    <n v="0.1"/>
    <n v="6980.09"/>
    <n v="5785.27"/>
    <n v="1194.82"/>
    <s v="Mobile Payment"/>
    <n v="3"/>
    <s v="December"/>
    <x v="3"/>
    <n v="2024"/>
    <m/>
  </r>
  <r>
    <x v="460"/>
    <d v="2024-06-25T00:00:00"/>
    <s v="Christopher Gonzalez"/>
    <s v="South"/>
    <s v="Port Harcourt"/>
    <s v="Consumer"/>
    <s v="Furniture"/>
    <s v="Desk"/>
    <n v="2"/>
    <n v="86.62"/>
    <n v="0.15"/>
    <n v="147.25"/>
    <n v="89.78"/>
    <n v="57.47"/>
    <s v="Mobile Payment"/>
    <n v="4"/>
    <s v="June"/>
    <x v="2"/>
    <n v="2024"/>
    <m/>
  </r>
  <r>
    <x v="461"/>
    <d v="2024-05-07T00:00:00"/>
    <s v="Beth Jones"/>
    <s v="East"/>
    <s v="Port Harcourt"/>
    <s v="Consumer"/>
    <s v="Electronics"/>
    <s v="Tablet"/>
    <n v="4"/>
    <n v="88.53"/>
    <n v="0"/>
    <n v="354.12"/>
    <n v="276.85000000000002"/>
    <n v="77.27"/>
    <s v="Transfer"/>
    <n v="2"/>
    <s v="May"/>
    <x v="2"/>
    <n v="2024"/>
    <m/>
  </r>
  <r>
    <x v="462"/>
    <d v="2024-02-09T00:00:00"/>
    <s v="Lisa Walker"/>
    <s v="East"/>
    <s v="Lagos"/>
    <s v="Consumer"/>
    <s v="Electronics"/>
    <s v="Phone"/>
    <n v="3"/>
    <n v="1190.57"/>
    <n v="0.15"/>
    <n v="3035.95"/>
    <n v="1649.7"/>
    <n v="1386.25"/>
    <s v="Transfer"/>
    <n v="1"/>
    <s v="February"/>
    <x v="0"/>
    <n v="2024"/>
    <m/>
  </r>
  <r>
    <x v="463"/>
    <d v="2024-04-22T00:00:00"/>
    <s v="Tina Nelson"/>
    <s v="Central"/>
    <s v="Ibadan"/>
    <s v="Home Office"/>
    <s v="Office Supplies"/>
    <s v="Notebook"/>
    <n v="11"/>
    <n v="683.83"/>
    <n v="0.1"/>
    <n v="6769.92"/>
    <n v="4195.58"/>
    <n v="2574.34"/>
    <s v="Card"/>
    <n v="3"/>
    <s v="April"/>
    <x v="2"/>
    <n v="2024"/>
    <m/>
  </r>
  <r>
    <x v="464"/>
    <d v="2024-04-16T00:00:00"/>
    <s v="Kristen Newman"/>
    <s v="South"/>
    <s v="Ibadan"/>
    <s v="Home Office"/>
    <s v="Furniture"/>
    <s v="Desk"/>
    <n v="2"/>
    <n v="338.9"/>
    <n v="0.05"/>
    <n v="643.91"/>
    <n v="423.74"/>
    <n v="220.17"/>
    <s v="Transfer"/>
    <n v="5"/>
    <s v="April"/>
    <x v="2"/>
    <n v="2024"/>
    <m/>
  </r>
  <r>
    <x v="465"/>
    <d v="2024-12-25T00:00:00"/>
    <s v="Rebecca Stewart"/>
    <s v="Central"/>
    <s v="Abuja"/>
    <s v="Consumer"/>
    <s v="Electronics"/>
    <s v="Phone"/>
    <n v="4"/>
    <n v="202.17"/>
    <n v="0"/>
    <n v="808.68"/>
    <n v="611.71"/>
    <n v="196.97"/>
    <s v="Transfer"/>
    <n v="2"/>
    <s v="December"/>
    <x v="3"/>
    <n v="2024"/>
    <m/>
  </r>
  <r>
    <x v="466"/>
    <d v="2024-01-04T00:00:00"/>
    <s v="Andrew Gill"/>
    <s v="North"/>
    <s v="Kano"/>
    <s v="Corporate"/>
    <s v="Clothing"/>
    <s v="Sneakers"/>
    <n v="6"/>
    <n v="645.9"/>
    <n v="0.15"/>
    <n v="3294.09"/>
    <n v="2516.4499999999998"/>
    <n v="777.64"/>
    <s v="Mobile Payment"/>
    <n v="2"/>
    <s v="January"/>
    <x v="0"/>
    <n v="2024"/>
    <m/>
  </r>
  <r>
    <x v="467"/>
    <d v="2024-12-27T00:00:00"/>
    <s v="Kelsey Page"/>
    <s v="North"/>
    <s v="Ibadan"/>
    <s v="Consumer"/>
    <s v="Office Supplies"/>
    <s v="Pen"/>
    <n v="10"/>
    <n v="336.66"/>
    <n v="0.05"/>
    <n v="3198.27"/>
    <n v="2688.05"/>
    <n v="510.22"/>
    <s v="Cash"/>
    <n v="1"/>
    <s v="December"/>
    <x v="3"/>
    <n v="2024"/>
    <m/>
  </r>
  <r>
    <x v="468"/>
    <d v="2024-07-06T00:00:00"/>
    <s v="Jessica Liu"/>
    <s v="South"/>
    <s v="Abuja"/>
    <s v="Corporate"/>
    <s v="Electronics"/>
    <s v="Phone"/>
    <n v="12"/>
    <n v="211.85"/>
    <n v="0"/>
    <n v="2542.1999999999998"/>
    <n v="1435.85"/>
    <n v="1106.3499999999999"/>
    <s v="Mobile Payment"/>
    <n v="2"/>
    <s v="July"/>
    <x v="1"/>
    <n v="2024"/>
    <m/>
  </r>
  <r>
    <x v="469"/>
    <d v="2024-09-06T00:00:00"/>
    <s v="Antonio Kim"/>
    <s v="East"/>
    <s v="Port Harcourt"/>
    <s v="Consumer"/>
    <s v="Clothing"/>
    <s v="T-Shirt"/>
    <n v="11"/>
    <n v="866.01"/>
    <n v="0.05"/>
    <n v="9049.7999999999993"/>
    <n v="4546.6400000000003"/>
    <n v="4503.16"/>
    <s v="Transfer"/>
    <n v="5"/>
    <s v="September"/>
    <x v="1"/>
    <n v="2024"/>
    <m/>
  </r>
  <r>
    <x v="470"/>
    <d v="2024-11-23T00:00:00"/>
    <s v="Dawn Torres"/>
    <s v="South"/>
    <s v="Kano"/>
    <s v="Consumer"/>
    <s v="Furniture"/>
    <s v="Desk"/>
    <n v="6"/>
    <n v="730.03"/>
    <n v="0.15"/>
    <n v="3723.15"/>
    <n v="2294.6"/>
    <n v="1428.55"/>
    <s v="Transfer"/>
    <n v="3"/>
    <s v="November"/>
    <x v="3"/>
    <n v="2024"/>
    <m/>
  </r>
  <r>
    <x v="471"/>
    <d v="2024-08-21T00:00:00"/>
    <s v="Brandon Peterson"/>
    <s v="North"/>
    <s v="Port Harcourt"/>
    <s v="Home Office"/>
    <s v="Clothing"/>
    <s v="Sneakers"/>
    <n v="2"/>
    <n v="642.58000000000004"/>
    <n v="0.15"/>
    <n v="1092.3900000000001"/>
    <n v="821.81"/>
    <n v="270.58"/>
    <s v="Cash"/>
    <n v="2"/>
    <s v="August"/>
    <x v="1"/>
    <n v="2024"/>
    <m/>
  </r>
  <r>
    <x v="472"/>
    <d v="2024-09-04T00:00:00"/>
    <s v="James French"/>
    <s v="Central"/>
    <s v="Kano"/>
    <s v="Home Office"/>
    <s v="Office Supplies"/>
    <s v="Paper"/>
    <n v="9"/>
    <n v="987.83"/>
    <n v="0.05"/>
    <n v="8445.9500000000007"/>
    <n v="6734.75"/>
    <n v="1711.2"/>
    <s v="Mobile Payment"/>
    <n v="1"/>
    <s v="September"/>
    <x v="1"/>
    <n v="2024"/>
    <m/>
  </r>
  <r>
    <x v="473"/>
    <d v="2024-02-02T00:00:00"/>
    <s v="Roy Dudley"/>
    <s v="North"/>
    <s v="Ibadan"/>
    <s v="Corporate"/>
    <s v="Furniture"/>
    <s v="Cabinet"/>
    <n v="11"/>
    <n v="12.54"/>
    <n v="0.05"/>
    <n v="131.04"/>
    <n v="89.16"/>
    <n v="41.88"/>
    <s v="Transfer"/>
    <n v="1"/>
    <s v="February"/>
    <x v="0"/>
    <n v="2024"/>
    <m/>
  </r>
  <r>
    <x v="474"/>
    <d v="2024-12-21T00:00:00"/>
    <s v="Courtney Ryan"/>
    <s v="East"/>
    <s v="Ibadan"/>
    <s v="Home Office"/>
    <s v="Electronics"/>
    <s v="Laptop"/>
    <n v="9"/>
    <n v="1120.54"/>
    <n v="0.1"/>
    <n v="9076.3700000000008"/>
    <n v="5918.91"/>
    <n v="3157.46"/>
    <s v="Transfer"/>
    <n v="5"/>
    <s v="December"/>
    <x v="3"/>
    <n v="2024"/>
    <m/>
  </r>
  <r>
    <x v="475"/>
    <d v="2024-08-13T00:00:00"/>
    <s v="Sandra Collins"/>
    <s v="North"/>
    <s v="Port Harcourt"/>
    <s v="Consumer"/>
    <s v="Electronics"/>
    <s v="Tablet"/>
    <n v="5"/>
    <n v="282.73"/>
    <n v="0.15"/>
    <n v="1201.5999999999999"/>
    <n v="632.65"/>
    <n v="568.95000000000005"/>
    <s v="Card"/>
    <n v="4"/>
    <s v="August"/>
    <x v="1"/>
    <n v="2024"/>
    <m/>
  </r>
  <r>
    <x v="476"/>
    <d v="2024-08-06T00:00:00"/>
    <s v="Christy Steele"/>
    <s v="West"/>
    <s v="Port Harcourt"/>
    <s v="Corporate"/>
    <s v="Electronics"/>
    <s v="Printer"/>
    <n v="6"/>
    <n v="696.76"/>
    <n v="0"/>
    <n v="4180.5600000000004"/>
    <n v="3492.75"/>
    <n v="687.81"/>
    <s v="Transfer"/>
    <n v="2"/>
    <s v="August"/>
    <x v="1"/>
    <n v="2024"/>
    <m/>
  </r>
  <r>
    <x v="477"/>
    <d v="2024-09-01T00:00:00"/>
    <s v="Jason Cox"/>
    <s v="West"/>
    <s v="Kano"/>
    <s v="Corporate"/>
    <s v="Electronics"/>
    <s v="Laptop"/>
    <n v="10"/>
    <n v="340.97"/>
    <n v="0"/>
    <n v="3409.7"/>
    <n v="2747.38"/>
    <n v="662.32"/>
    <s v="Transfer"/>
    <n v="4"/>
    <s v="September"/>
    <x v="1"/>
    <n v="2024"/>
    <m/>
  </r>
  <r>
    <x v="478"/>
    <d v="2024-06-11T00:00:00"/>
    <s v="Terry Cohen"/>
    <s v="South"/>
    <s v="Kano"/>
    <s v="Consumer"/>
    <s v="Electronics"/>
    <s v="Printer"/>
    <n v="8"/>
    <n v="343.94"/>
    <n v="0.1"/>
    <n v="2476.37"/>
    <n v="1448.92"/>
    <n v="1027.45"/>
    <s v="Mobile Payment"/>
    <n v="5"/>
    <s v="June"/>
    <x v="2"/>
    <n v="2024"/>
    <m/>
  </r>
  <r>
    <x v="479"/>
    <d v="2024-08-28T00:00:00"/>
    <s v="Cynthia Graham"/>
    <s v="East"/>
    <s v="Lagos"/>
    <s v="Corporate"/>
    <s v="Furniture"/>
    <s v="Chair"/>
    <n v="9"/>
    <n v="886.22"/>
    <n v="0"/>
    <n v="7975.98"/>
    <n v="5408"/>
    <n v="2567.98"/>
    <s v="Transfer"/>
    <n v="3"/>
    <s v="August"/>
    <x v="1"/>
    <n v="2024"/>
    <m/>
  </r>
  <r>
    <x v="480"/>
    <d v="2024-06-02T00:00:00"/>
    <s v="Robert Shea"/>
    <s v="Central"/>
    <s v="Abuja"/>
    <s v="Home Office"/>
    <s v="Office Supplies"/>
    <s v="Paper"/>
    <n v="2"/>
    <n v="593.76"/>
    <n v="0.05"/>
    <n v="1128.1400000000001"/>
    <n v="801.16"/>
    <n v="326.98"/>
    <s v="Card"/>
    <n v="5"/>
    <s v="June"/>
    <x v="2"/>
    <n v="2024"/>
    <m/>
  </r>
  <r>
    <x v="481"/>
    <d v="2024-10-19T00:00:00"/>
    <s v="Alyssa Williams"/>
    <s v="South"/>
    <s v="Port Harcourt"/>
    <s v="Consumer"/>
    <s v="Furniture"/>
    <s v="Desk"/>
    <n v="12"/>
    <n v="313.74"/>
    <n v="0.05"/>
    <n v="3576.64"/>
    <n v="2308.4299999999998"/>
    <n v="1268.21"/>
    <s v="Card"/>
    <n v="3"/>
    <s v="October"/>
    <x v="3"/>
    <n v="2024"/>
    <m/>
  </r>
  <r>
    <x v="482"/>
    <d v="2024-03-02T00:00:00"/>
    <s v="Kristina Watson"/>
    <s v="West"/>
    <s v="Abuja"/>
    <s v="Corporate"/>
    <s v="Office Supplies"/>
    <s v="Notebook"/>
    <n v="9"/>
    <n v="969.89"/>
    <n v="0.1"/>
    <n v="7856.11"/>
    <n v="5037.8100000000004"/>
    <n v="2818.3"/>
    <s v="Mobile Payment"/>
    <n v="2"/>
    <s v="March"/>
    <x v="0"/>
    <n v="2024"/>
    <m/>
  </r>
  <r>
    <x v="483"/>
    <d v="2024-01-06T00:00:00"/>
    <s v="Jennifer Williams"/>
    <s v="West"/>
    <s v="Abuja"/>
    <s v="Home Office"/>
    <s v="Office Supplies"/>
    <s v="Notebook"/>
    <n v="4"/>
    <n v="618.28"/>
    <n v="0.05"/>
    <n v="2349.46"/>
    <n v="1921.95"/>
    <n v="427.51"/>
    <s v="Mobile Payment"/>
    <n v="5"/>
    <s v="January"/>
    <x v="0"/>
    <n v="2024"/>
    <m/>
  </r>
  <r>
    <x v="484"/>
    <d v="2024-12-29T00:00:00"/>
    <s v="Karen Bennett"/>
    <s v="East"/>
    <s v="Abuja"/>
    <s v="Home Office"/>
    <s v="Furniture"/>
    <s v="Cabinet"/>
    <n v="11"/>
    <n v="195.3"/>
    <n v="0.1"/>
    <n v="1933.47"/>
    <n v="1105.6500000000001"/>
    <n v="827.82"/>
    <s v="Transfer"/>
    <n v="4"/>
    <s v="December"/>
    <x v="3"/>
    <n v="2024"/>
    <m/>
  </r>
  <r>
    <x v="485"/>
    <d v="2024-04-26T00:00:00"/>
    <s v="Terrance Schaefer"/>
    <s v="West"/>
    <s v="Lagos"/>
    <s v="Home Office"/>
    <s v="Clothing"/>
    <s v="Sneakers"/>
    <n v="1"/>
    <n v="1087.46"/>
    <n v="0.1"/>
    <n v="978.71"/>
    <n v="808.39"/>
    <n v="170.32"/>
    <s v="Transfer"/>
    <n v="5"/>
    <s v="April"/>
    <x v="2"/>
    <n v="2024"/>
    <m/>
  </r>
  <r>
    <x v="486"/>
    <d v="2024-05-26T00:00:00"/>
    <s v="Andrew Davidson"/>
    <s v="North"/>
    <s v="Lagos"/>
    <s v="Corporate"/>
    <s v="Furniture"/>
    <s v="Chair"/>
    <n v="5"/>
    <n v="505.27"/>
    <n v="0.15"/>
    <n v="2147.4"/>
    <n v="1105.57"/>
    <n v="1041.83"/>
    <s v="Transfer"/>
    <n v="2"/>
    <s v="May"/>
    <x v="2"/>
    <n v="2024"/>
    <m/>
  </r>
  <r>
    <x v="487"/>
    <d v="2024-06-10T00:00:00"/>
    <s v="Sean Walker"/>
    <s v="North"/>
    <s v="Lagos"/>
    <s v="Home Office"/>
    <s v="Electronics"/>
    <s v="Tablet"/>
    <n v="9"/>
    <n v="505.25"/>
    <n v="0"/>
    <n v="4547.25"/>
    <n v="2493.0300000000002"/>
    <n v="2054.2199999999998"/>
    <s v="Card"/>
    <n v="1"/>
    <s v="June"/>
    <x v="2"/>
    <n v="2024"/>
    <m/>
  </r>
  <r>
    <x v="488"/>
    <d v="2024-11-11T00:00:00"/>
    <s v="Kevin Harris"/>
    <s v="East"/>
    <s v="Lagos"/>
    <s v="Corporate"/>
    <s v="Furniture"/>
    <s v="Cabinet"/>
    <n v="6"/>
    <n v="1022.4"/>
    <n v="0.15"/>
    <n v="5214.24"/>
    <n v="2792.26"/>
    <n v="2421.98"/>
    <s v="Card"/>
    <n v="1"/>
    <s v="November"/>
    <x v="3"/>
    <n v="2024"/>
    <m/>
  </r>
  <r>
    <x v="489"/>
    <d v="2024-07-16T00:00:00"/>
    <s v="Mark Rice"/>
    <s v="Central"/>
    <s v="Kano"/>
    <s v="Consumer"/>
    <s v="Office Supplies"/>
    <s v="Paper"/>
    <n v="4"/>
    <n v="784.09"/>
    <n v="0.05"/>
    <n v="2979.54"/>
    <n v="2471.5700000000002"/>
    <n v="507.97"/>
    <s v="Card"/>
    <n v="2"/>
    <s v="July"/>
    <x v="1"/>
    <n v="2024"/>
    <m/>
  </r>
  <r>
    <x v="490"/>
    <d v="2024-07-08T00:00:00"/>
    <s v="Ronald Schwartz"/>
    <s v="West"/>
    <s v="Ibadan"/>
    <s v="Consumer"/>
    <s v="Furniture"/>
    <s v="Cabinet"/>
    <n v="1"/>
    <n v="558.75"/>
    <n v="0.1"/>
    <n v="502.88"/>
    <n v="387.5"/>
    <n v="115.38"/>
    <s v="Card"/>
    <n v="4"/>
    <s v="July"/>
    <x v="1"/>
    <n v="2024"/>
    <m/>
  </r>
  <r>
    <x v="491"/>
    <d v="2024-11-15T00:00:00"/>
    <s v="Ashley Alexander"/>
    <s v="East"/>
    <s v="Ibadan"/>
    <s v="Corporate"/>
    <s v="Electronics"/>
    <s v="Tablet"/>
    <n v="5"/>
    <n v="983.72"/>
    <n v="0.05"/>
    <n v="4672.67"/>
    <n v="2790.1"/>
    <n v="1882.57"/>
    <s v="Mobile Payment"/>
    <n v="3"/>
    <s v="November"/>
    <x v="3"/>
    <n v="2024"/>
    <m/>
  </r>
  <r>
    <x v="492"/>
    <d v="2024-07-01T00:00:00"/>
    <s v="Mario Brown"/>
    <s v="West"/>
    <s v="Ibadan"/>
    <s v="Home Office"/>
    <s v="Electronics"/>
    <s v="Printer"/>
    <n v="3"/>
    <n v="61.21"/>
    <n v="0.15"/>
    <n v="156.09"/>
    <n v="121.84"/>
    <n v="34.25"/>
    <s v="Card"/>
    <n v="1"/>
    <s v="July"/>
    <x v="1"/>
    <n v="2024"/>
    <m/>
  </r>
  <r>
    <x v="493"/>
    <d v="2024-06-11T00:00:00"/>
    <s v="Michael King"/>
    <s v="South"/>
    <s v="Abuja"/>
    <s v="Home Office"/>
    <s v="Office Supplies"/>
    <s v="Paper"/>
    <n v="7"/>
    <n v="147.97999999999999"/>
    <n v="0.15"/>
    <n v="880.48"/>
    <n v="538.26"/>
    <n v="342.22"/>
    <s v="Transfer"/>
    <n v="3"/>
    <s v="June"/>
    <x v="2"/>
    <n v="2024"/>
    <m/>
  </r>
  <r>
    <x v="494"/>
    <d v="2024-09-05T00:00:00"/>
    <s v="Jennifer Chan"/>
    <s v="North"/>
    <s v="Abuja"/>
    <s v="Home Office"/>
    <s v="Electronics"/>
    <s v="Laptop"/>
    <n v="1"/>
    <n v="161.38999999999999"/>
    <n v="0.1"/>
    <n v="145.25"/>
    <n v="90.9"/>
    <n v="54.35"/>
    <s v="Transfer"/>
    <n v="5"/>
    <s v="September"/>
    <x v="1"/>
    <n v="2024"/>
    <m/>
  </r>
  <r>
    <x v="495"/>
    <d v="2024-02-01T00:00:00"/>
    <s v="Jennifer Bailey"/>
    <s v="North"/>
    <s v="Lagos"/>
    <s v="Consumer"/>
    <s v="Furniture"/>
    <s v="Desk"/>
    <n v="9"/>
    <n v="938.64"/>
    <n v="0"/>
    <n v="8447.76"/>
    <n v="5930.15"/>
    <n v="2517.61"/>
    <s v="Cash"/>
    <n v="3"/>
    <s v="February"/>
    <x v="0"/>
    <n v="2024"/>
    <m/>
  </r>
  <r>
    <x v="496"/>
    <d v="2024-02-29T00:00:00"/>
    <s v="Rebecca Rivera"/>
    <s v="North"/>
    <s v="Port Harcourt"/>
    <s v="Corporate"/>
    <s v="Clothing"/>
    <s v="Jacket"/>
    <n v="9"/>
    <n v="233.66"/>
    <n v="0.1"/>
    <n v="1892.65"/>
    <n v="1327.41"/>
    <n v="565.24"/>
    <s v="Mobile Payment"/>
    <n v="3"/>
    <s v="February"/>
    <x v="0"/>
    <n v="2024"/>
    <m/>
  </r>
  <r>
    <x v="497"/>
    <d v="2024-04-28T00:00:00"/>
    <s v="Steven Marshall"/>
    <s v="South"/>
    <s v="Ibadan"/>
    <s v="Consumer"/>
    <s v="Electronics"/>
    <s v="Laptop"/>
    <n v="8"/>
    <n v="817.21"/>
    <n v="0.05"/>
    <n v="6210.8"/>
    <n v="3836.84"/>
    <n v="2373.96"/>
    <s v="Card"/>
    <n v="3"/>
    <s v="April"/>
    <x v="2"/>
    <n v="2024"/>
    <m/>
  </r>
  <r>
    <x v="498"/>
    <d v="2024-01-17T00:00:00"/>
    <s v="Stephen Hicks"/>
    <s v="North"/>
    <s v="Ibadan"/>
    <s v="Consumer"/>
    <s v="Office Supplies"/>
    <s v="Notebook"/>
    <n v="11"/>
    <n v="1085.49"/>
    <n v="0.1"/>
    <n v="10746.35"/>
    <n v="7932.81"/>
    <n v="2813.54"/>
    <s v="Transfer"/>
    <n v="1"/>
    <s v="January"/>
    <x v="0"/>
    <n v="2024"/>
    <m/>
  </r>
  <r>
    <x v="499"/>
    <d v="2024-05-07T00:00:00"/>
    <s v="Phyllis Johnson"/>
    <s v="Central"/>
    <s v="Ibadan"/>
    <s v="Home Office"/>
    <s v="Clothing"/>
    <s v="T-Shirt"/>
    <n v="7"/>
    <n v="241.65"/>
    <n v="0"/>
    <n v="1691.55"/>
    <n v="1203.6099999999999"/>
    <n v="487.94"/>
    <s v="Mobile Payment"/>
    <n v="4"/>
    <s v="May"/>
    <x v="2"/>
    <n v="2024"/>
    <m/>
  </r>
  <r>
    <x v="500"/>
    <d v="2024-07-13T00:00:00"/>
    <s v="Eric Santos"/>
    <s v="East"/>
    <s v="Lagos"/>
    <s v="Corporate"/>
    <s v="Electronics"/>
    <s v="Laptop"/>
    <n v="12"/>
    <n v="653.55999999999995"/>
    <n v="0.05"/>
    <n v="7450.58"/>
    <n v="5106.03"/>
    <n v="2344.5500000000002"/>
    <s v="Mobile Payment"/>
    <n v="5"/>
    <s v="July"/>
    <x v="1"/>
    <n v="2024"/>
    <m/>
  </r>
  <r>
    <x v="501"/>
    <d v="2024-10-04T00:00:00"/>
    <s v="Oscar Atkinson"/>
    <s v="West"/>
    <s v="Lagos"/>
    <s v="Consumer"/>
    <s v="Office Supplies"/>
    <s v="Paper"/>
    <n v="4"/>
    <n v="223.31"/>
    <n v="0.15"/>
    <n v="759.25"/>
    <n v="402"/>
    <n v="357.25"/>
    <s v="Card"/>
    <n v="3"/>
    <s v="October"/>
    <x v="3"/>
    <n v="2024"/>
    <m/>
  </r>
  <r>
    <x v="502"/>
    <d v="2024-06-16T00:00:00"/>
    <s v="James Williamson"/>
    <s v="North"/>
    <s v="Port Harcourt"/>
    <s v="Consumer"/>
    <s v="Electronics"/>
    <s v="Laptop"/>
    <n v="11"/>
    <n v="924.55"/>
    <n v="0.1"/>
    <n v="9153.0499999999993"/>
    <n v="6061"/>
    <n v="3092.05"/>
    <s v="Mobile Payment"/>
    <n v="3"/>
    <s v="June"/>
    <x v="2"/>
    <n v="2024"/>
    <m/>
  </r>
  <r>
    <x v="503"/>
    <d v="2024-03-29T00:00:00"/>
    <s v="Katie Smith"/>
    <s v="Central"/>
    <s v="Port Harcourt"/>
    <s v="Consumer"/>
    <s v="Electronics"/>
    <s v="Printer"/>
    <n v="10"/>
    <n v="227.5"/>
    <n v="0.15"/>
    <n v="1933.75"/>
    <n v="1410.65"/>
    <n v="523.1"/>
    <s v="Card"/>
    <n v="2"/>
    <s v="March"/>
    <x v="0"/>
    <n v="2024"/>
    <m/>
  </r>
  <r>
    <x v="504"/>
    <d v="2024-10-03T00:00:00"/>
    <s v="Jacqueline Lee"/>
    <s v="East"/>
    <s v="Ibadan"/>
    <s v="Home Office"/>
    <s v="Clothing"/>
    <s v="Sneakers"/>
    <n v="1"/>
    <n v="858.15"/>
    <n v="0.05"/>
    <n v="815.24"/>
    <n v="508.99"/>
    <n v="306.25"/>
    <s v="Mobile Payment"/>
    <n v="1"/>
    <s v="October"/>
    <x v="3"/>
    <n v="2024"/>
    <m/>
  </r>
  <r>
    <x v="505"/>
    <d v="2024-11-25T00:00:00"/>
    <s v="Jesse Carr"/>
    <s v="North"/>
    <s v="Port Harcourt"/>
    <s v="Home Office"/>
    <s v="Furniture"/>
    <s v="Chair"/>
    <n v="11"/>
    <n v="836.67"/>
    <n v="0.05"/>
    <n v="8743.2000000000007"/>
    <n v="6658.05"/>
    <n v="2085.15"/>
    <s v="Cash"/>
    <n v="3"/>
    <s v="November"/>
    <x v="3"/>
    <n v="2024"/>
    <m/>
  </r>
  <r>
    <x v="506"/>
    <d v="2024-12-19T00:00:00"/>
    <s v="Rachel Mcclain"/>
    <s v="West"/>
    <s v="Kano"/>
    <s v="Home Office"/>
    <s v="Clothing"/>
    <s v="Jacket"/>
    <n v="10"/>
    <n v="720.41"/>
    <n v="0.1"/>
    <n v="6483.69"/>
    <n v="5448.24"/>
    <n v="1035.45"/>
    <s v="Mobile Payment"/>
    <n v="1"/>
    <s v="December"/>
    <x v="3"/>
    <n v="2024"/>
    <m/>
  </r>
  <r>
    <x v="507"/>
    <d v="2024-04-28T00:00:00"/>
    <s v="Derek Leach"/>
    <s v="North"/>
    <s v="Abuja"/>
    <s v="Home Office"/>
    <s v="Office Supplies"/>
    <s v="Notebook"/>
    <n v="5"/>
    <n v="446.03"/>
    <n v="0"/>
    <n v="2230.15"/>
    <n v="1194.43"/>
    <n v="1035.72"/>
    <s v="Transfer"/>
    <n v="3"/>
    <s v="April"/>
    <x v="2"/>
    <n v="2024"/>
    <m/>
  </r>
  <r>
    <x v="508"/>
    <d v="2024-09-03T00:00:00"/>
    <s v="Kenneth Coleman"/>
    <s v="West"/>
    <s v="Abuja"/>
    <s v="Corporate"/>
    <s v="Furniture"/>
    <s v="Chair"/>
    <n v="1"/>
    <n v="902.06"/>
    <n v="0.15"/>
    <n v="766.75"/>
    <n v="484.4"/>
    <n v="282.35000000000002"/>
    <s v="Cash"/>
    <n v="5"/>
    <s v="September"/>
    <x v="1"/>
    <n v="2024"/>
    <m/>
  </r>
  <r>
    <x v="509"/>
    <d v="2024-04-03T00:00:00"/>
    <s v="James Bass"/>
    <s v="Central"/>
    <s v="Ibadan"/>
    <s v="Consumer"/>
    <s v="Furniture"/>
    <s v="Desk"/>
    <n v="12"/>
    <n v="180.05"/>
    <n v="0"/>
    <n v="2160.6"/>
    <n v="1183.0899999999999"/>
    <n v="977.51"/>
    <s v="Transfer"/>
    <n v="1"/>
    <s v="April"/>
    <x v="2"/>
    <n v="2024"/>
    <m/>
  </r>
  <r>
    <x v="510"/>
    <d v="2024-06-11T00:00:00"/>
    <s v="Keith Norton"/>
    <s v="East"/>
    <s v="Abuja"/>
    <s v="Corporate"/>
    <s v="Electronics"/>
    <s v="Tablet"/>
    <n v="5"/>
    <n v="740.96"/>
    <n v="0.05"/>
    <n v="3519.56"/>
    <n v="1808.06"/>
    <n v="1711.5"/>
    <s v="Transfer"/>
    <n v="1"/>
    <s v="June"/>
    <x v="2"/>
    <n v="2024"/>
    <m/>
  </r>
  <r>
    <x v="511"/>
    <d v="2024-07-01T00:00:00"/>
    <s v="Julie Owen"/>
    <s v="Central"/>
    <s v="Kano"/>
    <s v="Corporate"/>
    <s v="Furniture"/>
    <s v="Desk"/>
    <n v="2"/>
    <n v="881.99"/>
    <n v="0.15"/>
    <n v="1499.38"/>
    <n v="1075.19"/>
    <n v="424.19"/>
    <s v="Mobile Payment"/>
    <n v="4"/>
    <s v="July"/>
    <x v="1"/>
    <n v="2024"/>
    <m/>
  </r>
  <r>
    <x v="512"/>
    <d v="2024-01-23T00:00:00"/>
    <s v="Christina Parker"/>
    <s v="North"/>
    <s v="Abuja"/>
    <s v="Home Office"/>
    <s v="Clothing"/>
    <s v="T-Shirt"/>
    <n v="8"/>
    <n v="1029.78"/>
    <n v="0.15"/>
    <n v="7002.5"/>
    <n v="5869.58"/>
    <n v="1132.92"/>
    <s v="Card"/>
    <n v="2"/>
    <s v="January"/>
    <x v="0"/>
    <n v="2024"/>
    <m/>
  </r>
  <r>
    <x v="513"/>
    <d v="2024-06-01T00:00:00"/>
    <s v="Joseph Gonzalez"/>
    <s v="West"/>
    <s v="Port Harcourt"/>
    <s v="Consumer"/>
    <s v="Clothing"/>
    <s v="Jacket"/>
    <n v="2"/>
    <n v="231.13"/>
    <n v="0.1"/>
    <n v="416.03"/>
    <n v="304.5"/>
    <n v="111.53"/>
    <s v="Mobile Payment"/>
    <n v="5"/>
    <s v="June"/>
    <x v="2"/>
    <n v="2024"/>
    <m/>
  </r>
  <r>
    <x v="514"/>
    <d v="2024-05-04T00:00:00"/>
    <s v="Theresa Nguyen"/>
    <s v="North"/>
    <s v="Port Harcourt"/>
    <s v="Consumer"/>
    <s v="Office Supplies"/>
    <s v="Paper"/>
    <n v="7"/>
    <n v="557.85"/>
    <n v="0"/>
    <n v="3904.95"/>
    <n v="1959.53"/>
    <n v="1945.42"/>
    <s v="Cash"/>
    <n v="2"/>
    <s v="May"/>
    <x v="2"/>
    <n v="2024"/>
    <m/>
  </r>
  <r>
    <x v="515"/>
    <d v="2024-04-07T00:00:00"/>
    <s v="Robert Williams"/>
    <s v="South"/>
    <s v="Abuja"/>
    <s v="Corporate"/>
    <s v="Office Supplies"/>
    <s v="Pen"/>
    <n v="11"/>
    <n v="896.1"/>
    <n v="0.1"/>
    <n v="8871.39"/>
    <n v="5602.63"/>
    <n v="3268.76"/>
    <s v="Cash"/>
    <n v="4"/>
    <s v="April"/>
    <x v="2"/>
    <n v="2024"/>
    <m/>
  </r>
  <r>
    <x v="516"/>
    <d v="2024-07-15T00:00:00"/>
    <s v="Susan Johnson"/>
    <s v="West"/>
    <s v="Kano"/>
    <s v="Consumer"/>
    <s v="Clothing"/>
    <s v="Sneakers"/>
    <n v="6"/>
    <n v="490.84"/>
    <n v="0.05"/>
    <n v="2797.79"/>
    <n v="1852.65"/>
    <n v="945.14"/>
    <s v="Mobile Payment"/>
    <n v="2"/>
    <s v="July"/>
    <x v="1"/>
    <n v="2024"/>
    <m/>
  </r>
  <r>
    <x v="517"/>
    <d v="2024-03-31T00:00:00"/>
    <s v="Rachel Meyers"/>
    <s v="South"/>
    <s v="Port Harcourt"/>
    <s v="Corporate"/>
    <s v="Office Supplies"/>
    <s v="Pen"/>
    <n v="6"/>
    <n v="979.28"/>
    <n v="0"/>
    <n v="5875.68"/>
    <n v="3524.74"/>
    <n v="2350.94"/>
    <s v="Mobile Payment"/>
    <n v="5"/>
    <s v="March"/>
    <x v="0"/>
    <n v="2024"/>
    <m/>
  </r>
  <r>
    <x v="518"/>
    <d v="2024-08-07T00:00:00"/>
    <s v="Ashley Arnold"/>
    <s v="North"/>
    <s v="Ibadan"/>
    <s v="Consumer"/>
    <s v="Furniture"/>
    <s v="Cabinet"/>
    <n v="2"/>
    <n v="695.23"/>
    <n v="0"/>
    <n v="1390.46"/>
    <n v="1042.5999999999999"/>
    <n v="347.86"/>
    <s v="Card"/>
    <n v="5"/>
    <s v="August"/>
    <x v="1"/>
    <n v="2024"/>
    <m/>
  </r>
  <r>
    <x v="519"/>
    <d v="2024-09-23T00:00:00"/>
    <s v="Katherine Miller"/>
    <s v="North"/>
    <s v="Lagos"/>
    <s v="Consumer"/>
    <s v="Clothing"/>
    <s v="Sneakers"/>
    <n v="11"/>
    <n v="46.24"/>
    <n v="0.05"/>
    <n v="483.21"/>
    <n v="242.12"/>
    <n v="241.09"/>
    <s v="Card"/>
    <n v="5"/>
    <s v="September"/>
    <x v="1"/>
    <n v="2024"/>
    <m/>
  </r>
  <r>
    <x v="520"/>
    <d v="2024-09-14T00:00:00"/>
    <s v="Tammy Gay"/>
    <s v="North"/>
    <s v="Ibadan"/>
    <s v="Home Office"/>
    <s v="Electronics"/>
    <s v="Tablet"/>
    <n v="8"/>
    <n v="939.04"/>
    <n v="0"/>
    <n v="7512.32"/>
    <n v="4173.59"/>
    <n v="3338.73"/>
    <s v="Card"/>
    <n v="3"/>
    <s v="September"/>
    <x v="1"/>
    <n v="2024"/>
    <m/>
  </r>
  <r>
    <x v="521"/>
    <d v="2024-12-02T00:00:00"/>
    <s v="Gregory Hoover"/>
    <s v="East"/>
    <s v="Port Harcourt"/>
    <s v="Corporate"/>
    <s v="Office Supplies"/>
    <s v="Pen"/>
    <n v="2"/>
    <n v="314.77999999999997"/>
    <n v="0.1"/>
    <n v="566.6"/>
    <n v="422.09"/>
    <n v="144.51"/>
    <s v="Card"/>
    <n v="1"/>
    <s v="December"/>
    <x v="3"/>
    <n v="2024"/>
    <m/>
  </r>
  <r>
    <x v="522"/>
    <d v="2024-09-24T00:00:00"/>
    <s v="James Morales"/>
    <s v="East"/>
    <s v="Ibadan"/>
    <s v="Corporate"/>
    <s v="Clothing"/>
    <s v="Jacket"/>
    <n v="5"/>
    <n v="824.03"/>
    <n v="0.15"/>
    <n v="3502.13"/>
    <n v="2698.88"/>
    <n v="803.25"/>
    <s v="Transfer"/>
    <n v="1"/>
    <s v="September"/>
    <x v="1"/>
    <n v="2024"/>
    <m/>
  </r>
  <r>
    <x v="523"/>
    <d v="2024-07-01T00:00:00"/>
    <s v="Kendra Williamson"/>
    <s v="East"/>
    <s v="Ibadan"/>
    <s v="Consumer"/>
    <s v="Office Supplies"/>
    <s v="Pen"/>
    <n v="4"/>
    <n v="46"/>
    <n v="0"/>
    <n v="184"/>
    <n v="137.91999999999999"/>
    <n v="46.08"/>
    <s v="Card"/>
    <n v="1"/>
    <s v="July"/>
    <x v="1"/>
    <n v="2024"/>
    <m/>
  </r>
  <r>
    <x v="524"/>
    <d v="2024-10-03T00:00:00"/>
    <s v="Joshua Brown"/>
    <s v="South"/>
    <s v="Abuja"/>
    <s v="Consumer"/>
    <s v="Furniture"/>
    <s v="Cabinet"/>
    <n v="8"/>
    <n v="71.489999999999995"/>
    <n v="0.1"/>
    <n v="514.73"/>
    <n v="393.68"/>
    <n v="121.05"/>
    <s v="Transfer"/>
    <n v="3"/>
    <s v="October"/>
    <x v="3"/>
    <n v="2024"/>
    <m/>
  </r>
  <r>
    <x v="525"/>
    <d v="2024-06-01T00:00:00"/>
    <s v="Renee Carey"/>
    <s v="South"/>
    <s v="Port Harcourt"/>
    <s v="Home Office"/>
    <s v="Office Supplies"/>
    <s v="Notebook"/>
    <n v="9"/>
    <n v="743.92"/>
    <n v="0.15"/>
    <n v="5690.99"/>
    <n v="2977.02"/>
    <n v="2713.97"/>
    <s v="Card"/>
    <n v="1"/>
    <s v="June"/>
    <x v="2"/>
    <n v="2024"/>
    <m/>
  </r>
  <r>
    <x v="526"/>
    <d v="2024-05-26T00:00:00"/>
    <s v="Meghan Dennis"/>
    <s v="West"/>
    <s v="Ibadan"/>
    <s v="Consumer"/>
    <s v="Office Supplies"/>
    <s v="Paper"/>
    <n v="8"/>
    <n v="806.58"/>
    <n v="0"/>
    <n v="6452.64"/>
    <n v="5428.69"/>
    <n v="1023.95"/>
    <s v="Cash"/>
    <n v="5"/>
    <s v="May"/>
    <x v="2"/>
    <n v="2024"/>
    <m/>
  </r>
  <r>
    <x v="527"/>
    <d v="2024-05-08T00:00:00"/>
    <s v="Denise Moore"/>
    <s v="West"/>
    <s v="Abuja"/>
    <s v="Consumer"/>
    <s v="Clothing"/>
    <s v="Jacket"/>
    <n v="2"/>
    <n v="766.23"/>
    <n v="0"/>
    <n v="1532.46"/>
    <n v="1293.6400000000001"/>
    <n v="238.82"/>
    <s v="Cash"/>
    <n v="3"/>
    <s v="May"/>
    <x v="2"/>
    <n v="2024"/>
    <m/>
  </r>
  <r>
    <x v="528"/>
    <d v="2024-07-29T00:00:00"/>
    <s v="John Torres"/>
    <s v="North"/>
    <s v="Kano"/>
    <s v="Corporate"/>
    <s v="Furniture"/>
    <s v="Chair"/>
    <n v="5"/>
    <n v="457.34"/>
    <n v="0"/>
    <n v="2286.6999999999998"/>
    <n v="1145"/>
    <n v="1141.7"/>
    <s v="Card"/>
    <n v="5"/>
    <s v="July"/>
    <x v="1"/>
    <n v="2024"/>
    <m/>
  </r>
  <r>
    <x v="529"/>
    <d v="2024-03-01T00:00:00"/>
    <s v="Melinda Cunningham"/>
    <s v="West"/>
    <s v="Port Harcourt"/>
    <s v="Corporate"/>
    <s v="Furniture"/>
    <s v="Cabinet"/>
    <n v="7"/>
    <n v="422.4"/>
    <n v="0.1"/>
    <n v="2661.12"/>
    <n v="1344.28"/>
    <n v="1316.84"/>
    <s v="Cash"/>
    <n v="5"/>
    <s v="March"/>
    <x v="0"/>
    <n v="2024"/>
    <m/>
  </r>
  <r>
    <x v="530"/>
    <d v="2024-07-29T00:00:00"/>
    <s v="Kristie Alvarado"/>
    <s v="South"/>
    <s v="Ibadan"/>
    <s v="Corporate"/>
    <s v="Furniture"/>
    <s v="Desk"/>
    <n v="3"/>
    <n v="435.93"/>
    <n v="0.1"/>
    <n v="1177.01"/>
    <n v="962.62"/>
    <n v="214.39"/>
    <s v="Cash"/>
    <n v="5"/>
    <s v="July"/>
    <x v="1"/>
    <n v="2024"/>
    <m/>
  </r>
  <r>
    <x v="531"/>
    <d v="2024-02-21T00:00:00"/>
    <s v="Ashley Nielsen"/>
    <s v="East"/>
    <s v="Port Harcourt"/>
    <s v="Corporate"/>
    <s v="Office Supplies"/>
    <s v="Paper"/>
    <n v="4"/>
    <n v="695.64"/>
    <n v="0"/>
    <n v="2782.56"/>
    <n v="2352.27"/>
    <n v="430.29"/>
    <s v="Mobile Payment"/>
    <n v="5"/>
    <s v="February"/>
    <x v="0"/>
    <n v="2024"/>
    <m/>
  </r>
  <r>
    <x v="532"/>
    <d v="2024-01-03T00:00:00"/>
    <s v="Lindsey Hart"/>
    <s v="North"/>
    <s v="Abuja"/>
    <s v="Home Office"/>
    <s v="Office Supplies"/>
    <s v="Pen"/>
    <n v="6"/>
    <n v="1188.33"/>
    <n v="0.15"/>
    <n v="6060.48"/>
    <n v="3533.5"/>
    <n v="2526.98"/>
    <s v="Mobile Payment"/>
    <n v="4"/>
    <s v="January"/>
    <x v="0"/>
    <n v="2024"/>
    <m/>
  </r>
  <r>
    <x v="533"/>
    <d v="2024-11-16T00:00:00"/>
    <s v="Jesus Mercer"/>
    <s v="North"/>
    <s v="Lagos"/>
    <s v="Home Office"/>
    <s v="Office Supplies"/>
    <s v="Paper"/>
    <n v="12"/>
    <n v="976.49"/>
    <n v="0.05"/>
    <n v="11131.99"/>
    <n v="8886.26"/>
    <n v="2245.73"/>
    <s v="Transfer"/>
    <n v="2"/>
    <s v="November"/>
    <x v="3"/>
    <n v="2024"/>
    <m/>
  </r>
  <r>
    <x v="534"/>
    <d v="2024-07-25T00:00:00"/>
    <s v="Kevin Lopez"/>
    <s v="Central"/>
    <s v="Ibadan"/>
    <s v="Corporate"/>
    <s v="Office Supplies"/>
    <s v="Paper"/>
    <n v="10"/>
    <n v="500.15"/>
    <n v="0.15"/>
    <n v="4251.2700000000004"/>
    <n v="2842.8"/>
    <n v="1408.47"/>
    <s v="Transfer"/>
    <n v="4"/>
    <s v="July"/>
    <x v="1"/>
    <n v="2024"/>
    <m/>
  </r>
  <r>
    <x v="535"/>
    <d v="2024-06-01T00:00:00"/>
    <s v="Lori Brown"/>
    <s v="Central"/>
    <s v="Abuja"/>
    <s v="Home Office"/>
    <s v="Furniture"/>
    <s v="Cabinet"/>
    <n v="8"/>
    <n v="1092.3699999999999"/>
    <n v="0.1"/>
    <n v="7865.06"/>
    <n v="5827.57"/>
    <n v="2037.49"/>
    <s v="Card"/>
    <n v="4"/>
    <s v="June"/>
    <x v="2"/>
    <n v="2024"/>
    <m/>
  </r>
  <r>
    <x v="536"/>
    <d v="2024-10-15T00:00:00"/>
    <s v="Robert Hopkins"/>
    <s v="North"/>
    <s v="Port Harcourt"/>
    <s v="Home Office"/>
    <s v="Electronics"/>
    <s v="Laptop"/>
    <n v="8"/>
    <n v="414.53"/>
    <n v="0"/>
    <n v="3316.24"/>
    <n v="2600.85"/>
    <n v="715.39"/>
    <s v="Transfer"/>
    <n v="4"/>
    <s v="October"/>
    <x v="3"/>
    <n v="2024"/>
    <m/>
  </r>
  <r>
    <x v="537"/>
    <d v="2024-12-28T00:00:00"/>
    <s v="Darrell Rich"/>
    <s v="East"/>
    <s v="Kano"/>
    <s v="Corporate"/>
    <s v="Electronics"/>
    <s v="Phone"/>
    <n v="11"/>
    <n v="1026.3699999999999"/>
    <n v="0"/>
    <n v="11290.07"/>
    <n v="5661"/>
    <n v="5629.07"/>
    <s v="Card"/>
    <n v="2"/>
    <s v="December"/>
    <x v="3"/>
    <n v="2024"/>
    <m/>
  </r>
  <r>
    <x v="538"/>
    <d v="2024-01-01T00:00:00"/>
    <s v="Heidi Bowers"/>
    <s v="South"/>
    <s v="Lagos"/>
    <s v="Consumer"/>
    <s v="Clothing"/>
    <s v="T-Shirt"/>
    <n v="11"/>
    <n v="1035.68"/>
    <n v="0"/>
    <n v="11392.48"/>
    <n v="9277.74"/>
    <n v="2114.7399999999998"/>
    <s v="Card"/>
    <n v="5"/>
    <s v="January"/>
    <x v="0"/>
    <n v="2024"/>
    <m/>
  </r>
  <r>
    <x v="539"/>
    <d v="2024-09-01T00:00:00"/>
    <s v="Steven Benson"/>
    <s v="Central"/>
    <s v="Kano"/>
    <s v="Consumer"/>
    <s v="Furniture"/>
    <s v="Cabinet"/>
    <n v="5"/>
    <n v="255.72"/>
    <n v="0"/>
    <n v="1278.5999999999999"/>
    <n v="803.05"/>
    <n v="475.55"/>
    <s v="Card"/>
    <n v="5"/>
    <s v="September"/>
    <x v="1"/>
    <n v="2024"/>
    <m/>
  </r>
  <r>
    <x v="540"/>
    <d v="2024-11-22T00:00:00"/>
    <s v="Crystal Boyer"/>
    <s v="Central"/>
    <s v="Lagos"/>
    <s v="Corporate"/>
    <s v="Office Supplies"/>
    <s v="Pen"/>
    <n v="11"/>
    <n v="542.23"/>
    <n v="0.15"/>
    <n v="5069.8500000000004"/>
    <n v="4217.7700000000004"/>
    <n v="852.08"/>
    <s v="Mobile Payment"/>
    <n v="5"/>
    <s v="November"/>
    <x v="3"/>
    <n v="2024"/>
    <m/>
  </r>
  <r>
    <x v="541"/>
    <d v="2024-05-14T00:00:00"/>
    <s v="Omar Murphy"/>
    <s v="North"/>
    <s v="Kano"/>
    <s v="Consumer"/>
    <s v="Office Supplies"/>
    <s v="Paper"/>
    <n v="12"/>
    <n v="757.94"/>
    <n v="0"/>
    <n v="9095.2800000000007"/>
    <n v="5856.02"/>
    <n v="3239.26"/>
    <s v="Card"/>
    <n v="1"/>
    <s v="May"/>
    <x v="2"/>
    <n v="2024"/>
    <m/>
  </r>
  <r>
    <x v="542"/>
    <d v="2024-01-13T00:00:00"/>
    <s v="Reginald Gardner"/>
    <s v="West"/>
    <s v="Kano"/>
    <s v="Home Office"/>
    <s v="Furniture"/>
    <s v="Desk"/>
    <n v="5"/>
    <n v="578.34"/>
    <n v="0.15"/>
    <n v="2457.9499999999998"/>
    <n v="1272.83"/>
    <n v="1185.1199999999999"/>
    <s v="Card"/>
    <n v="1"/>
    <s v="January"/>
    <x v="0"/>
    <n v="2024"/>
    <m/>
  </r>
  <r>
    <x v="543"/>
    <d v="2024-03-16T00:00:00"/>
    <s v="Joshua Smith"/>
    <s v="West"/>
    <s v="Abuja"/>
    <s v="Corporate"/>
    <s v="Office Supplies"/>
    <s v="Pen"/>
    <n v="10"/>
    <n v="382.88"/>
    <n v="0.15"/>
    <n v="3254.48"/>
    <n v="2543.8200000000002"/>
    <n v="710.66"/>
    <s v="Transfer"/>
    <n v="3"/>
    <s v="March"/>
    <x v="0"/>
    <n v="2024"/>
    <m/>
  </r>
  <r>
    <x v="544"/>
    <d v="2024-07-19T00:00:00"/>
    <s v="Jessica Martin"/>
    <s v="East"/>
    <s v="Abuja"/>
    <s v="Corporate"/>
    <s v="Office Supplies"/>
    <s v="Paper"/>
    <n v="9"/>
    <n v="1147.06"/>
    <n v="0.15"/>
    <n v="8775.01"/>
    <n v="7361.33"/>
    <n v="1413.68"/>
    <s v="Mobile Payment"/>
    <n v="4"/>
    <s v="July"/>
    <x v="1"/>
    <n v="2024"/>
    <m/>
  </r>
  <r>
    <x v="545"/>
    <d v="2024-10-17T00:00:00"/>
    <s v="Chad Lopez"/>
    <s v="Central"/>
    <s v="Port Harcourt"/>
    <s v="Home Office"/>
    <s v="Office Supplies"/>
    <s v="Notebook"/>
    <n v="5"/>
    <n v="186.84"/>
    <n v="0"/>
    <n v="934.2"/>
    <n v="670.35"/>
    <n v="263.85000000000002"/>
    <s v="Cash"/>
    <n v="3"/>
    <s v="October"/>
    <x v="3"/>
    <n v="2024"/>
    <m/>
  </r>
  <r>
    <x v="546"/>
    <d v="2024-01-22T00:00:00"/>
    <s v="Natalie Scott"/>
    <s v="South"/>
    <s v="Lagos"/>
    <s v="Corporate"/>
    <s v="Electronics"/>
    <s v="Tablet"/>
    <n v="9"/>
    <n v="326.75"/>
    <n v="0.15"/>
    <n v="2499.64"/>
    <n v="2097.81"/>
    <n v="401.83"/>
    <s v="Card"/>
    <n v="5"/>
    <s v="January"/>
    <x v="0"/>
    <n v="2024"/>
    <m/>
  </r>
  <r>
    <x v="547"/>
    <d v="2024-11-20T00:00:00"/>
    <s v="Eddie Thomas"/>
    <s v="West"/>
    <s v="Ibadan"/>
    <s v="Home Office"/>
    <s v="Office Supplies"/>
    <s v="Paper"/>
    <n v="3"/>
    <n v="200.1"/>
    <n v="0.05"/>
    <n v="570.28"/>
    <n v="458.54"/>
    <n v="111.74"/>
    <s v="Cash"/>
    <n v="3"/>
    <s v="November"/>
    <x v="3"/>
    <n v="2024"/>
    <m/>
  </r>
  <r>
    <x v="548"/>
    <d v="2024-11-30T00:00:00"/>
    <s v="Kevin Parker"/>
    <s v="North"/>
    <s v="Ibadan"/>
    <s v="Corporate"/>
    <s v="Electronics"/>
    <s v="Tablet"/>
    <n v="7"/>
    <n v="291.27"/>
    <n v="0.15"/>
    <n v="1733.06"/>
    <n v="1062.8599999999999"/>
    <n v="670.2"/>
    <s v="Transfer"/>
    <n v="1"/>
    <s v="November"/>
    <x v="3"/>
    <n v="2024"/>
    <m/>
  </r>
  <r>
    <x v="549"/>
    <d v="2024-02-18T00:00:00"/>
    <s v="Sylvia Griffin"/>
    <s v="Central"/>
    <s v="Lagos"/>
    <s v="Corporate"/>
    <s v="Office Supplies"/>
    <s v="Pen"/>
    <n v="5"/>
    <n v="607.07000000000005"/>
    <n v="0.1"/>
    <n v="2731.82"/>
    <n v="1843.98"/>
    <n v="887.84"/>
    <s v="Cash"/>
    <n v="3"/>
    <s v="February"/>
    <x v="0"/>
    <n v="2024"/>
    <m/>
  </r>
  <r>
    <x v="550"/>
    <d v="2024-02-24T00:00:00"/>
    <s v="Douglas Potter"/>
    <s v="East"/>
    <s v="Port Harcourt"/>
    <s v="Home Office"/>
    <s v="Clothing"/>
    <s v="Jacket"/>
    <n v="12"/>
    <n v="1193.76"/>
    <n v="0.05"/>
    <n v="13608.86"/>
    <n v="10086.07"/>
    <n v="3522.79"/>
    <s v="Cash"/>
    <n v="5"/>
    <s v="February"/>
    <x v="0"/>
    <n v="2024"/>
    <m/>
  </r>
  <r>
    <x v="551"/>
    <d v="2024-07-21T00:00:00"/>
    <s v="Jeffrey Thompson"/>
    <s v="Central"/>
    <s v="Abuja"/>
    <s v="Corporate"/>
    <s v="Furniture"/>
    <s v="Desk"/>
    <n v="2"/>
    <n v="25.51"/>
    <n v="0.15"/>
    <n v="43.37"/>
    <n v="21.9"/>
    <n v="21.47"/>
    <s v="Cash"/>
    <n v="1"/>
    <s v="July"/>
    <x v="1"/>
    <n v="2024"/>
    <m/>
  </r>
  <r>
    <x v="552"/>
    <d v="2024-04-01T00:00:00"/>
    <s v="Sara Watson"/>
    <s v="Central"/>
    <s v="Lagos"/>
    <s v="Consumer"/>
    <s v="Clothing"/>
    <s v="Jacket"/>
    <n v="10"/>
    <n v="601.19000000000005"/>
    <n v="0.15"/>
    <n v="5110.12"/>
    <n v="4314.22"/>
    <n v="795.9"/>
    <s v="Transfer"/>
    <n v="3"/>
    <s v="April"/>
    <x v="2"/>
    <n v="2024"/>
    <m/>
  </r>
  <r>
    <x v="553"/>
    <d v="2024-02-21T00:00:00"/>
    <s v="Maria Page"/>
    <s v="East"/>
    <s v="Kano"/>
    <s v="Consumer"/>
    <s v="Clothing"/>
    <s v="Sneakers"/>
    <n v="5"/>
    <n v="185.09"/>
    <n v="0.15"/>
    <n v="786.63"/>
    <n v="629.01"/>
    <n v="157.62"/>
    <s v="Transfer"/>
    <n v="2"/>
    <s v="February"/>
    <x v="0"/>
    <n v="2024"/>
    <m/>
  </r>
  <r>
    <x v="554"/>
    <d v="2024-10-30T00:00:00"/>
    <s v="Charles Herrera"/>
    <s v="West"/>
    <s v="Lagos"/>
    <s v="Consumer"/>
    <s v="Furniture"/>
    <s v="Cabinet"/>
    <n v="10"/>
    <n v="701.64"/>
    <n v="0.1"/>
    <n v="6314.76"/>
    <n v="3733.32"/>
    <n v="2581.44"/>
    <s v="Card"/>
    <n v="3"/>
    <s v="October"/>
    <x v="3"/>
    <n v="2024"/>
    <m/>
  </r>
  <r>
    <x v="555"/>
    <d v="2024-03-28T00:00:00"/>
    <s v="Jennifer Bullock"/>
    <s v="Central"/>
    <s v="Abuja"/>
    <s v="Home Office"/>
    <s v="Office Supplies"/>
    <s v="Notebook"/>
    <n v="9"/>
    <n v="717.98"/>
    <n v="0"/>
    <n v="6461.82"/>
    <n v="4178.37"/>
    <n v="2283.4499999999998"/>
    <s v="Mobile Payment"/>
    <n v="5"/>
    <s v="March"/>
    <x v="0"/>
    <n v="2024"/>
    <m/>
  </r>
  <r>
    <x v="556"/>
    <d v="2024-02-03T00:00:00"/>
    <s v="Teresa Stephens"/>
    <s v="East"/>
    <s v="Port Harcourt"/>
    <s v="Home Office"/>
    <s v="Furniture"/>
    <s v="Cabinet"/>
    <n v="11"/>
    <n v="1158.71"/>
    <n v="0"/>
    <n v="12745.81"/>
    <n v="7074.58"/>
    <n v="5671.23"/>
    <s v="Mobile Payment"/>
    <n v="3"/>
    <s v="February"/>
    <x v="0"/>
    <n v="2024"/>
    <m/>
  </r>
  <r>
    <x v="557"/>
    <d v="2024-03-03T00:00:00"/>
    <s v="Billy Burns"/>
    <s v="Central"/>
    <s v="Abuja"/>
    <s v="Corporate"/>
    <s v="Clothing"/>
    <s v="Sneakers"/>
    <n v="12"/>
    <n v="541.33000000000004"/>
    <n v="0.15"/>
    <n v="5521.57"/>
    <n v="4215.6099999999997"/>
    <n v="1305.96"/>
    <s v="Cash"/>
    <n v="2"/>
    <s v="March"/>
    <x v="0"/>
    <n v="2024"/>
    <m/>
  </r>
  <r>
    <x v="558"/>
    <d v="2024-05-18T00:00:00"/>
    <s v="Jamie Li"/>
    <s v="North"/>
    <s v="Abuja"/>
    <s v="Corporate"/>
    <s v="Furniture"/>
    <s v="Chair"/>
    <n v="6"/>
    <n v="735.88"/>
    <n v="0.05"/>
    <n v="4194.5200000000004"/>
    <n v="3094.6"/>
    <n v="1099.92"/>
    <s v="Cash"/>
    <n v="1"/>
    <s v="May"/>
    <x v="2"/>
    <n v="2024"/>
    <m/>
  </r>
  <r>
    <x v="559"/>
    <d v="2024-07-20T00:00:00"/>
    <s v="Kimberly Diaz"/>
    <s v="West"/>
    <s v="Kano"/>
    <s v="Corporate"/>
    <s v="Furniture"/>
    <s v="Cabinet"/>
    <n v="9"/>
    <n v="979.76"/>
    <n v="0.1"/>
    <n v="7936.06"/>
    <n v="4116.87"/>
    <n v="3819.19"/>
    <s v="Cash"/>
    <n v="2"/>
    <s v="July"/>
    <x v="1"/>
    <n v="2024"/>
    <m/>
  </r>
  <r>
    <x v="560"/>
    <d v="2024-01-18T00:00:00"/>
    <s v="Joseph Kane"/>
    <s v="South"/>
    <s v="Kano"/>
    <s v="Consumer"/>
    <s v="Electronics"/>
    <s v="Phone"/>
    <n v="5"/>
    <n v="446.04"/>
    <n v="0"/>
    <n v="2230.1999999999998"/>
    <n v="1692.84"/>
    <n v="537.36"/>
    <s v="Cash"/>
    <n v="5"/>
    <s v="January"/>
    <x v="0"/>
    <n v="2024"/>
    <m/>
  </r>
  <r>
    <x v="561"/>
    <d v="2024-05-11T00:00:00"/>
    <s v="Phyllis Wilson"/>
    <s v="Central"/>
    <s v="Lagos"/>
    <s v="Home Office"/>
    <s v="Clothing"/>
    <s v="Sneakers"/>
    <n v="4"/>
    <n v="302.42"/>
    <n v="0.1"/>
    <n v="1088.71"/>
    <n v="754.45"/>
    <n v="334.26"/>
    <s v="Mobile Payment"/>
    <n v="3"/>
    <s v="May"/>
    <x v="2"/>
    <n v="2024"/>
    <m/>
  </r>
  <r>
    <x v="562"/>
    <d v="2024-10-31T00:00:00"/>
    <s v="Felicia Allen"/>
    <s v="Central"/>
    <s v="Port Harcourt"/>
    <s v="Home Office"/>
    <s v="Electronics"/>
    <s v="Tablet"/>
    <n v="5"/>
    <n v="36.369999999999997"/>
    <n v="0"/>
    <n v="181.85"/>
    <n v="114.57"/>
    <n v="67.28"/>
    <s v="Transfer"/>
    <n v="4"/>
    <s v="October"/>
    <x v="3"/>
    <n v="2024"/>
    <m/>
  </r>
  <r>
    <x v="563"/>
    <d v="2024-11-16T00:00:00"/>
    <s v="Paula Young"/>
    <s v="North"/>
    <s v="Port Harcourt"/>
    <s v="Home Office"/>
    <s v="Office Supplies"/>
    <s v="Paper"/>
    <n v="6"/>
    <n v="1127.68"/>
    <n v="0.05"/>
    <n v="6427.78"/>
    <n v="3296.55"/>
    <n v="3131.23"/>
    <s v="Cash"/>
    <n v="2"/>
    <s v="November"/>
    <x v="3"/>
    <n v="2024"/>
    <m/>
  </r>
  <r>
    <x v="564"/>
    <d v="2024-05-20T00:00:00"/>
    <s v="Ashley George"/>
    <s v="South"/>
    <s v="Abuja"/>
    <s v="Corporate"/>
    <s v="Electronics"/>
    <s v="Phone"/>
    <n v="8"/>
    <n v="207.31"/>
    <n v="0.05"/>
    <n v="1575.56"/>
    <n v="829.7"/>
    <n v="745.86"/>
    <s v="Cash"/>
    <n v="1"/>
    <s v="May"/>
    <x v="2"/>
    <n v="2024"/>
    <m/>
  </r>
  <r>
    <x v="565"/>
    <d v="2024-07-23T00:00:00"/>
    <s v="Christopher Vargas"/>
    <s v="South"/>
    <s v="Kano"/>
    <s v="Consumer"/>
    <s v="Office Supplies"/>
    <s v="Notebook"/>
    <n v="7"/>
    <n v="144.41"/>
    <n v="0.05"/>
    <n v="960.33"/>
    <n v="623.82000000000005"/>
    <n v="336.51"/>
    <s v="Card"/>
    <n v="4"/>
    <s v="July"/>
    <x v="1"/>
    <n v="2024"/>
    <m/>
  </r>
  <r>
    <x v="566"/>
    <d v="2024-05-14T00:00:00"/>
    <s v="David Smith"/>
    <s v="North"/>
    <s v="Port Harcourt"/>
    <s v="Home Office"/>
    <s v="Clothing"/>
    <s v="Jacket"/>
    <n v="6"/>
    <n v="1153.42"/>
    <n v="0.15"/>
    <n v="5882.44"/>
    <n v="3703.59"/>
    <n v="2178.85"/>
    <s v="Mobile Payment"/>
    <n v="1"/>
    <s v="May"/>
    <x v="2"/>
    <n v="2024"/>
    <m/>
  </r>
  <r>
    <x v="567"/>
    <d v="2024-12-31T00:00:00"/>
    <s v="Adam Olson"/>
    <s v="South"/>
    <s v="Abuja"/>
    <s v="Corporate"/>
    <s v="Electronics"/>
    <s v="Tablet"/>
    <n v="11"/>
    <n v="713.11"/>
    <n v="0.05"/>
    <n v="7452"/>
    <n v="5786.04"/>
    <n v="1665.96"/>
    <s v="Transfer"/>
    <n v="1"/>
    <s v="December"/>
    <x v="3"/>
    <n v="2024"/>
    <m/>
  </r>
  <r>
    <x v="568"/>
    <d v="2024-04-08T00:00:00"/>
    <s v="Sean Martin"/>
    <s v="Central"/>
    <s v="Ibadan"/>
    <s v="Home Office"/>
    <s v="Clothing"/>
    <s v="T-Shirt"/>
    <n v="5"/>
    <n v="756.37"/>
    <n v="0"/>
    <n v="3781.85"/>
    <n v="2058.79"/>
    <n v="1723.06"/>
    <s v="Cash"/>
    <n v="4"/>
    <s v="April"/>
    <x v="2"/>
    <n v="2024"/>
    <m/>
  </r>
  <r>
    <x v="569"/>
    <d v="2024-02-09T00:00:00"/>
    <s v="John Castaneda"/>
    <s v="Central"/>
    <s v="Port Harcourt"/>
    <s v="Consumer"/>
    <s v="Clothing"/>
    <s v="T-Shirt"/>
    <n v="12"/>
    <n v="307.77"/>
    <n v="0.1"/>
    <n v="3323.92"/>
    <n v="2070.33"/>
    <n v="1253.5899999999999"/>
    <s v="Transfer"/>
    <n v="5"/>
    <s v="February"/>
    <x v="0"/>
    <n v="2024"/>
    <m/>
  </r>
  <r>
    <x v="570"/>
    <d v="2024-06-13T00:00:00"/>
    <s v="Dr. Rebecca Whitaker"/>
    <s v="West"/>
    <s v="Lagos"/>
    <s v="Corporate"/>
    <s v="Office Supplies"/>
    <s v="Paper"/>
    <n v="3"/>
    <n v="677.35"/>
    <n v="0.05"/>
    <n v="1930.45"/>
    <n v="973.93"/>
    <n v="956.52"/>
    <s v="Transfer"/>
    <n v="4"/>
    <s v="June"/>
    <x v="2"/>
    <n v="2024"/>
    <m/>
  </r>
  <r>
    <x v="571"/>
    <d v="2024-04-08T00:00:00"/>
    <s v="Amy Campos"/>
    <s v="South"/>
    <s v="Port Harcourt"/>
    <s v="Home Office"/>
    <s v="Electronics"/>
    <s v="Printer"/>
    <n v="5"/>
    <n v="823.66"/>
    <n v="0.15"/>
    <n v="3500.55"/>
    <n v="2925.35"/>
    <n v="575.20000000000005"/>
    <s v="Transfer"/>
    <n v="4"/>
    <s v="April"/>
    <x v="2"/>
    <n v="2024"/>
    <m/>
  </r>
  <r>
    <x v="572"/>
    <d v="2024-08-30T00:00:00"/>
    <s v="Heather Brooks"/>
    <s v="East"/>
    <s v="Abuja"/>
    <s v="Consumer"/>
    <s v="Clothing"/>
    <s v="Jacket"/>
    <n v="10"/>
    <n v="849.4"/>
    <n v="0.15"/>
    <n v="7219.9"/>
    <n v="5502.1"/>
    <n v="1717.8"/>
    <s v="Mobile Payment"/>
    <n v="5"/>
    <s v="August"/>
    <x v="1"/>
    <n v="2024"/>
    <m/>
  </r>
  <r>
    <x v="573"/>
    <d v="2024-10-16T00:00:00"/>
    <s v="Alicia Smith"/>
    <s v="West"/>
    <s v="Ibadan"/>
    <s v="Corporate"/>
    <s v="Furniture"/>
    <s v="Chair"/>
    <n v="3"/>
    <n v="781.39"/>
    <n v="0.1"/>
    <n v="2109.75"/>
    <n v="1107.42"/>
    <n v="1002.33"/>
    <s v="Cash"/>
    <n v="3"/>
    <s v="October"/>
    <x v="3"/>
    <n v="2024"/>
    <m/>
  </r>
  <r>
    <x v="574"/>
    <d v="2024-01-17T00:00:00"/>
    <s v="Tyler Torres"/>
    <s v="North"/>
    <s v="Port Harcourt"/>
    <s v="Corporate"/>
    <s v="Clothing"/>
    <s v="Sneakers"/>
    <n v="7"/>
    <n v="1093.9000000000001"/>
    <n v="0"/>
    <n v="7657.3"/>
    <n v="5127.5"/>
    <n v="2529.8000000000002"/>
    <s v="Transfer"/>
    <n v="1"/>
    <s v="January"/>
    <x v="0"/>
    <n v="2024"/>
    <m/>
  </r>
  <r>
    <x v="575"/>
    <d v="2024-09-09T00:00:00"/>
    <s v="Danny Boyer"/>
    <s v="West"/>
    <s v="Ibadan"/>
    <s v="Home Office"/>
    <s v="Office Supplies"/>
    <s v="Notebook"/>
    <n v="5"/>
    <n v="130.04"/>
    <n v="0.15"/>
    <n v="552.66999999999996"/>
    <n v="308.48"/>
    <n v="244.19"/>
    <s v="Cash"/>
    <n v="5"/>
    <s v="September"/>
    <x v="1"/>
    <n v="2024"/>
    <m/>
  </r>
  <r>
    <x v="576"/>
    <d v="2024-08-17T00:00:00"/>
    <s v="Craig Short"/>
    <s v="West"/>
    <s v="Ibadan"/>
    <s v="Consumer"/>
    <s v="Clothing"/>
    <s v="Sneakers"/>
    <n v="11"/>
    <n v="664.45"/>
    <n v="0.05"/>
    <n v="6943.5"/>
    <n v="4631.21"/>
    <n v="2312.29"/>
    <s v="Mobile Payment"/>
    <n v="3"/>
    <s v="August"/>
    <x v="1"/>
    <n v="2024"/>
    <m/>
  </r>
  <r>
    <x v="577"/>
    <d v="2024-05-27T00:00:00"/>
    <s v="Matthew Glover"/>
    <s v="East"/>
    <s v="Abuja"/>
    <s v="Home Office"/>
    <s v="Office Supplies"/>
    <s v="Paper"/>
    <n v="4"/>
    <n v="654.29"/>
    <n v="0.05"/>
    <n v="2486.3000000000002"/>
    <n v="1723.22"/>
    <n v="763.08"/>
    <s v="Mobile Payment"/>
    <n v="5"/>
    <s v="May"/>
    <x v="2"/>
    <n v="2024"/>
    <m/>
  </r>
  <r>
    <x v="578"/>
    <d v="2024-04-11T00:00:00"/>
    <s v="Gary Snyder"/>
    <s v="South"/>
    <s v="Abuja"/>
    <s v="Corporate"/>
    <s v="Furniture"/>
    <s v="Desk"/>
    <n v="5"/>
    <n v="769.41"/>
    <n v="0.05"/>
    <n v="3654.7"/>
    <n v="2598.56"/>
    <n v="1056.1400000000001"/>
    <s v="Cash"/>
    <n v="4"/>
    <s v="April"/>
    <x v="2"/>
    <n v="2024"/>
    <m/>
  </r>
  <r>
    <x v="579"/>
    <d v="2024-05-15T00:00:00"/>
    <s v="Eric Myers"/>
    <s v="East"/>
    <s v="Ibadan"/>
    <s v="Consumer"/>
    <s v="Electronics"/>
    <s v="Phone"/>
    <n v="7"/>
    <n v="1159.02"/>
    <n v="0.05"/>
    <n v="7707.48"/>
    <n v="5089.38"/>
    <n v="2618.1"/>
    <s v="Cash"/>
    <n v="4"/>
    <s v="May"/>
    <x v="2"/>
    <n v="2024"/>
    <m/>
  </r>
  <r>
    <x v="580"/>
    <d v="2024-01-16T00:00:00"/>
    <s v="Kevin Bush"/>
    <s v="Central"/>
    <s v="Abuja"/>
    <s v="Consumer"/>
    <s v="Clothing"/>
    <s v="Sneakers"/>
    <n v="9"/>
    <n v="1169.06"/>
    <n v="0.1"/>
    <n v="9469.39"/>
    <n v="6878.36"/>
    <n v="2591.0300000000002"/>
    <s v="Cash"/>
    <n v="1"/>
    <s v="January"/>
    <x v="0"/>
    <n v="2024"/>
    <m/>
  </r>
  <r>
    <x v="581"/>
    <d v="2024-09-10T00:00:00"/>
    <s v="Cassandra Copeland"/>
    <s v="East"/>
    <s v="Kano"/>
    <s v="Home Office"/>
    <s v="Electronics"/>
    <s v="Printer"/>
    <n v="5"/>
    <n v="141.9"/>
    <n v="0.05"/>
    <n v="674.02"/>
    <n v="491.08"/>
    <n v="182.94"/>
    <s v="Transfer"/>
    <n v="4"/>
    <s v="September"/>
    <x v="1"/>
    <n v="2024"/>
    <m/>
  </r>
  <r>
    <x v="582"/>
    <d v="2024-10-07T00:00:00"/>
    <s v="Jillian Hurst"/>
    <s v="West"/>
    <s v="Abuja"/>
    <s v="Home Office"/>
    <s v="Clothing"/>
    <s v="Jacket"/>
    <n v="9"/>
    <n v="355.73"/>
    <n v="0.15"/>
    <n v="2721.33"/>
    <n v="2264.0300000000002"/>
    <n v="457.3"/>
    <s v="Card"/>
    <n v="1"/>
    <s v="October"/>
    <x v="3"/>
    <n v="2024"/>
    <m/>
  </r>
  <r>
    <x v="583"/>
    <d v="2024-05-01T00:00:00"/>
    <s v="Maria Gillespie"/>
    <s v="West"/>
    <s v="Lagos"/>
    <s v="Consumer"/>
    <s v="Furniture"/>
    <s v="Desk"/>
    <n v="11"/>
    <n v="1001.39"/>
    <n v="0"/>
    <n v="11015.29"/>
    <n v="9084.64"/>
    <n v="1930.65"/>
    <s v="Cash"/>
    <n v="3"/>
    <s v="May"/>
    <x v="2"/>
    <n v="2024"/>
    <m/>
  </r>
  <r>
    <x v="584"/>
    <d v="2024-10-03T00:00:00"/>
    <s v="Garrett Ponce"/>
    <s v="East"/>
    <s v="Ibadan"/>
    <s v="Corporate"/>
    <s v="Furniture"/>
    <s v="Desk"/>
    <n v="11"/>
    <n v="636.57000000000005"/>
    <n v="0"/>
    <n v="7002.27"/>
    <n v="5656.64"/>
    <n v="1345.63"/>
    <s v="Card"/>
    <n v="4"/>
    <s v="October"/>
    <x v="3"/>
    <n v="2024"/>
    <m/>
  </r>
  <r>
    <x v="585"/>
    <d v="2024-10-22T00:00:00"/>
    <s v="Kaylee Young"/>
    <s v="North"/>
    <s v="Port Harcourt"/>
    <s v="Corporate"/>
    <s v="Electronics"/>
    <s v="Tablet"/>
    <n v="11"/>
    <n v="1120.8"/>
    <n v="0.1"/>
    <n v="11095.92"/>
    <n v="5593.39"/>
    <n v="5502.53"/>
    <s v="Cash"/>
    <n v="5"/>
    <s v="October"/>
    <x v="3"/>
    <n v="2024"/>
    <m/>
  </r>
  <r>
    <x v="586"/>
    <d v="2024-08-14T00:00:00"/>
    <s v="Wayne Cox"/>
    <s v="East"/>
    <s v="Lagos"/>
    <s v="Home Office"/>
    <s v="Electronics"/>
    <s v="Phone"/>
    <n v="3"/>
    <n v="319.64"/>
    <n v="0"/>
    <n v="958.92"/>
    <n v="636.28"/>
    <n v="322.64"/>
    <s v="Mobile Payment"/>
    <n v="3"/>
    <s v="August"/>
    <x v="1"/>
    <n v="2024"/>
    <m/>
  </r>
  <r>
    <x v="587"/>
    <d v="2024-04-26T00:00:00"/>
    <s v="Robert Young"/>
    <s v="Central"/>
    <s v="Kano"/>
    <s v="Corporate"/>
    <s v="Furniture"/>
    <s v="Chair"/>
    <n v="12"/>
    <n v="629.22"/>
    <n v="0.15"/>
    <n v="6418.04"/>
    <n v="3389.81"/>
    <n v="3028.23"/>
    <s v="Cash"/>
    <n v="4"/>
    <s v="April"/>
    <x v="2"/>
    <n v="2024"/>
    <m/>
  </r>
  <r>
    <x v="588"/>
    <d v="2024-12-08T00:00:00"/>
    <s v="Trevor Miller"/>
    <s v="North"/>
    <s v="Abuja"/>
    <s v="Consumer"/>
    <s v="Electronics"/>
    <s v="Laptop"/>
    <n v="4"/>
    <n v="1000.74"/>
    <n v="0.1"/>
    <n v="3602.66"/>
    <n v="2432.65"/>
    <n v="1170.01"/>
    <s v="Card"/>
    <n v="5"/>
    <s v="December"/>
    <x v="3"/>
    <n v="2024"/>
    <m/>
  </r>
  <r>
    <x v="589"/>
    <d v="2024-08-30T00:00:00"/>
    <s v="Brooke Holloway"/>
    <s v="East"/>
    <s v="Lagos"/>
    <s v="Home Office"/>
    <s v="Electronics"/>
    <s v="Tablet"/>
    <n v="10"/>
    <n v="122.32"/>
    <n v="0.1"/>
    <n v="1100.8800000000001"/>
    <n v="646.34"/>
    <n v="454.54"/>
    <s v="Card"/>
    <n v="1"/>
    <s v="August"/>
    <x v="1"/>
    <n v="2024"/>
    <m/>
  </r>
  <r>
    <x v="590"/>
    <d v="2024-06-14T00:00:00"/>
    <s v="Megan Sanchez"/>
    <s v="East"/>
    <s v="Port Harcourt"/>
    <s v="Consumer"/>
    <s v="Clothing"/>
    <s v="T-Shirt"/>
    <n v="11"/>
    <n v="413.76"/>
    <n v="0.15"/>
    <n v="3868.66"/>
    <n v="2720.54"/>
    <n v="1148.1199999999999"/>
    <s v="Cash"/>
    <n v="1"/>
    <s v="June"/>
    <x v="2"/>
    <n v="2024"/>
    <m/>
  </r>
  <r>
    <x v="591"/>
    <d v="2024-05-30T00:00:00"/>
    <s v="Scott Mata"/>
    <s v="West"/>
    <s v="Lagos"/>
    <s v="Consumer"/>
    <s v="Office Supplies"/>
    <s v="Notebook"/>
    <n v="5"/>
    <n v="906.25"/>
    <n v="0"/>
    <n v="4531.25"/>
    <n v="3850.01"/>
    <n v="681.24"/>
    <s v="Cash"/>
    <n v="5"/>
    <s v="May"/>
    <x v="2"/>
    <n v="2024"/>
    <m/>
  </r>
  <r>
    <x v="592"/>
    <d v="2024-08-26T00:00:00"/>
    <s v="Brittney Sanchez"/>
    <s v="North"/>
    <s v="Lagos"/>
    <s v="Home Office"/>
    <s v="Electronics"/>
    <s v="Laptop"/>
    <n v="12"/>
    <n v="406.47"/>
    <n v="0.05"/>
    <n v="4633.76"/>
    <n v="3476.32"/>
    <n v="1157.44"/>
    <s v="Cash"/>
    <n v="2"/>
    <s v="August"/>
    <x v="1"/>
    <n v="2024"/>
    <m/>
  </r>
  <r>
    <x v="593"/>
    <d v="2024-05-14T00:00:00"/>
    <s v="Michael Nielsen"/>
    <s v="East"/>
    <s v="Ibadan"/>
    <s v="Consumer"/>
    <s v="Electronics"/>
    <s v="Laptop"/>
    <n v="11"/>
    <n v="566.44000000000005"/>
    <n v="0.05"/>
    <n v="5919.3"/>
    <n v="4638.25"/>
    <n v="1281.05"/>
    <s v="Transfer"/>
    <n v="4"/>
    <s v="May"/>
    <x v="2"/>
    <n v="2024"/>
    <m/>
  </r>
  <r>
    <x v="594"/>
    <d v="2024-12-13T00:00:00"/>
    <s v="Angela Turner"/>
    <s v="Central"/>
    <s v="Kano"/>
    <s v="Corporate"/>
    <s v="Office Supplies"/>
    <s v="Pen"/>
    <n v="11"/>
    <n v="115.08"/>
    <n v="0.1"/>
    <n v="1139.29"/>
    <n v="924.32"/>
    <n v="214.97"/>
    <s v="Mobile Payment"/>
    <n v="2"/>
    <s v="December"/>
    <x v="3"/>
    <n v="2024"/>
    <m/>
  </r>
  <r>
    <x v="595"/>
    <d v="2024-04-15T00:00:00"/>
    <s v="Jon Edwards"/>
    <s v="Central"/>
    <s v="Port Harcourt"/>
    <s v="Home Office"/>
    <s v="Clothing"/>
    <s v="Sneakers"/>
    <n v="10"/>
    <n v="461.01"/>
    <n v="0"/>
    <n v="4610.1000000000004"/>
    <n v="3657.71"/>
    <n v="952.39"/>
    <s v="Card"/>
    <n v="4"/>
    <s v="April"/>
    <x v="2"/>
    <n v="2024"/>
    <m/>
  </r>
  <r>
    <x v="596"/>
    <d v="2024-01-11T00:00:00"/>
    <s v="Matthew Sanchez"/>
    <s v="North"/>
    <s v="Lagos"/>
    <s v="Corporate"/>
    <s v="Office Supplies"/>
    <s v="Pen"/>
    <n v="3"/>
    <n v="926.54"/>
    <n v="0.1"/>
    <n v="2501.66"/>
    <n v="1808.85"/>
    <n v="692.81"/>
    <s v="Cash"/>
    <n v="1"/>
    <s v="January"/>
    <x v="0"/>
    <n v="2024"/>
    <m/>
  </r>
  <r>
    <x v="597"/>
    <d v="2024-07-28T00:00:00"/>
    <s v="Mr. Joel Lewis"/>
    <s v="North"/>
    <s v="Ibadan"/>
    <s v="Consumer"/>
    <s v="Electronics"/>
    <s v="Tablet"/>
    <n v="11"/>
    <n v="626.42999999999995"/>
    <n v="0"/>
    <n v="6890.73"/>
    <n v="5352.43"/>
    <n v="1538.3"/>
    <s v="Card"/>
    <n v="4"/>
    <s v="July"/>
    <x v="1"/>
    <n v="2024"/>
    <m/>
  </r>
  <r>
    <x v="598"/>
    <d v="2024-07-12T00:00:00"/>
    <s v="David Reynolds DVM"/>
    <s v="South"/>
    <s v="Kano"/>
    <s v="Corporate"/>
    <s v="Furniture"/>
    <s v="Cabinet"/>
    <n v="3"/>
    <n v="473.19"/>
    <n v="0.15"/>
    <n v="1206.6300000000001"/>
    <n v="728.57"/>
    <n v="478.06"/>
    <s v="Transfer"/>
    <n v="5"/>
    <s v="July"/>
    <x v="1"/>
    <n v="2024"/>
    <m/>
  </r>
  <r>
    <x v="599"/>
    <d v="2024-10-09T00:00:00"/>
    <s v="Billy Mitchell"/>
    <s v="West"/>
    <s v="Kano"/>
    <s v="Home Office"/>
    <s v="Office Supplies"/>
    <s v="Notebook"/>
    <n v="9"/>
    <n v="1001.9"/>
    <n v="0.05"/>
    <n v="8566.25"/>
    <n v="5825.85"/>
    <n v="2740.4"/>
    <s v="Card"/>
    <n v="2"/>
    <s v="October"/>
    <x v="3"/>
    <n v="2024"/>
    <m/>
  </r>
  <r>
    <x v="600"/>
    <d v="2024-01-20T00:00:00"/>
    <s v="Amanda Nelson"/>
    <s v="North"/>
    <s v="Abuja"/>
    <s v="Corporate"/>
    <s v="Electronics"/>
    <s v="Printer"/>
    <n v="10"/>
    <n v="1124.56"/>
    <n v="0.05"/>
    <n v="10683.32"/>
    <n v="9054.48"/>
    <n v="1628.84"/>
    <s v="Mobile Payment"/>
    <n v="4"/>
    <s v="January"/>
    <x v="0"/>
    <n v="2024"/>
    <m/>
  </r>
  <r>
    <x v="601"/>
    <d v="2024-12-24T00:00:00"/>
    <s v="Ruben Miller"/>
    <s v="South"/>
    <s v="Lagos"/>
    <s v="Consumer"/>
    <s v="Clothing"/>
    <s v="Sneakers"/>
    <n v="3"/>
    <n v="990.31"/>
    <n v="0.05"/>
    <n v="2822.38"/>
    <n v="2107.0300000000002"/>
    <n v="715.35"/>
    <s v="Card"/>
    <n v="4"/>
    <s v="December"/>
    <x v="3"/>
    <n v="2024"/>
    <m/>
  </r>
  <r>
    <x v="602"/>
    <d v="2024-06-02T00:00:00"/>
    <s v="Kristin Petersen"/>
    <s v="South"/>
    <s v="Kano"/>
    <s v="Consumer"/>
    <s v="Electronics"/>
    <s v="Tablet"/>
    <n v="9"/>
    <n v="796.82"/>
    <n v="0.1"/>
    <n v="6454.24"/>
    <n v="4261.21"/>
    <n v="2193.0300000000002"/>
    <s v="Cash"/>
    <n v="4"/>
    <s v="June"/>
    <x v="2"/>
    <n v="2024"/>
    <m/>
  </r>
  <r>
    <x v="603"/>
    <d v="2024-01-31T00:00:00"/>
    <s v="Jessica Nicholson"/>
    <s v="Central"/>
    <s v="Abuja"/>
    <s v="Consumer"/>
    <s v="Furniture"/>
    <s v="Desk"/>
    <n v="7"/>
    <n v="1142.04"/>
    <n v="0"/>
    <n v="7994.28"/>
    <n v="5017.8500000000004"/>
    <n v="2976.43"/>
    <s v="Mobile Payment"/>
    <n v="2"/>
    <s v="January"/>
    <x v="0"/>
    <n v="2024"/>
    <m/>
  </r>
  <r>
    <x v="604"/>
    <d v="2024-08-06T00:00:00"/>
    <s v="Timothy Hernandez"/>
    <s v="North"/>
    <s v="Abuja"/>
    <s v="Home Office"/>
    <s v="Electronics"/>
    <s v="Laptop"/>
    <n v="11"/>
    <n v="354.73"/>
    <n v="0.1"/>
    <n v="3511.83"/>
    <n v="2526.4899999999998"/>
    <n v="985.34"/>
    <s v="Mobile Payment"/>
    <n v="5"/>
    <s v="August"/>
    <x v="1"/>
    <n v="2024"/>
    <m/>
  </r>
  <r>
    <x v="605"/>
    <d v="2024-11-27T00:00:00"/>
    <s v="Alicia Walker"/>
    <s v="West"/>
    <s v="Ibadan"/>
    <s v="Consumer"/>
    <s v="Clothing"/>
    <s v="T-Shirt"/>
    <n v="1"/>
    <n v="390.41"/>
    <n v="0"/>
    <n v="390.41"/>
    <n v="228.43"/>
    <n v="161.97999999999999"/>
    <s v="Card"/>
    <n v="3"/>
    <s v="November"/>
    <x v="3"/>
    <n v="2024"/>
    <m/>
  </r>
  <r>
    <x v="606"/>
    <d v="2024-02-06T00:00:00"/>
    <s v="Caitlin Liu"/>
    <s v="South"/>
    <s v="Abuja"/>
    <s v="Corporate"/>
    <s v="Clothing"/>
    <s v="T-Shirt"/>
    <n v="11"/>
    <n v="935.03"/>
    <n v="0"/>
    <n v="10285.33"/>
    <n v="8334.18"/>
    <n v="1951.15"/>
    <s v="Cash"/>
    <n v="2"/>
    <s v="February"/>
    <x v="0"/>
    <n v="2024"/>
    <m/>
  </r>
  <r>
    <x v="607"/>
    <d v="2024-05-10T00:00:00"/>
    <s v="Tracy Jones"/>
    <s v="Central"/>
    <s v="Lagos"/>
    <s v="Corporate"/>
    <s v="Office Supplies"/>
    <s v="Pen"/>
    <n v="8"/>
    <n v="402.24"/>
    <n v="0"/>
    <n v="3217.92"/>
    <n v="2107.16"/>
    <n v="1110.76"/>
    <s v="Cash"/>
    <n v="4"/>
    <s v="May"/>
    <x v="2"/>
    <n v="2024"/>
    <m/>
  </r>
  <r>
    <x v="608"/>
    <d v="2024-08-06T00:00:00"/>
    <s v="Rachael Ramirez"/>
    <s v="West"/>
    <s v="Lagos"/>
    <s v="Home Office"/>
    <s v="Furniture"/>
    <s v="Chair"/>
    <n v="5"/>
    <n v="493.93"/>
    <n v="0.05"/>
    <n v="2346.17"/>
    <n v="1786.45"/>
    <n v="559.72"/>
    <s v="Cash"/>
    <n v="1"/>
    <s v="August"/>
    <x v="1"/>
    <n v="2024"/>
    <m/>
  </r>
  <r>
    <x v="609"/>
    <d v="2024-12-13T00:00:00"/>
    <s v="Carl Ochoa"/>
    <s v="East"/>
    <s v="Kano"/>
    <s v="Corporate"/>
    <s v="Office Supplies"/>
    <s v="Pen"/>
    <n v="10"/>
    <n v="525.34"/>
    <n v="0"/>
    <n v="5253.4"/>
    <n v="2924.61"/>
    <n v="2328.79"/>
    <s v="Mobile Payment"/>
    <n v="2"/>
    <s v="December"/>
    <x v="3"/>
    <n v="2024"/>
    <m/>
  </r>
  <r>
    <x v="610"/>
    <d v="2024-09-02T00:00:00"/>
    <s v="Alyssa Weiss"/>
    <s v="North"/>
    <s v="Port Harcourt"/>
    <s v="Corporate"/>
    <s v="Office Supplies"/>
    <s v="Paper"/>
    <n v="5"/>
    <n v="85.42"/>
    <n v="0"/>
    <n v="427.1"/>
    <n v="340.7"/>
    <n v="86.4"/>
    <s v="Mobile Payment"/>
    <n v="4"/>
    <s v="September"/>
    <x v="1"/>
    <n v="2024"/>
    <m/>
  </r>
  <r>
    <x v="611"/>
    <d v="2024-09-07T00:00:00"/>
    <s v="Nichole Mckenzie"/>
    <s v="East"/>
    <s v="Port Harcourt"/>
    <s v="Corporate"/>
    <s v="Furniture"/>
    <s v="Cabinet"/>
    <n v="5"/>
    <n v="570.01"/>
    <n v="0.15"/>
    <n v="2422.54"/>
    <n v="1483.51"/>
    <n v="939.03"/>
    <s v="Cash"/>
    <n v="2"/>
    <s v="September"/>
    <x v="1"/>
    <n v="2024"/>
    <m/>
  </r>
  <r>
    <x v="612"/>
    <d v="2024-09-17T00:00:00"/>
    <s v="Michelle Pham"/>
    <s v="East"/>
    <s v="Abuja"/>
    <s v="Consumer"/>
    <s v="Electronics"/>
    <s v="Phone"/>
    <n v="11"/>
    <n v="762.06"/>
    <n v="0.1"/>
    <n v="7544.39"/>
    <n v="4395.1099999999997"/>
    <n v="3149.28"/>
    <s v="Cash"/>
    <n v="4"/>
    <s v="September"/>
    <x v="1"/>
    <n v="2024"/>
    <m/>
  </r>
  <r>
    <x v="613"/>
    <d v="2024-07-11T00:00:00"/>
    <s v="Patrick Torres"/>
    <s v="West"/>
    <s v="Kano"/>
    <s v="Consumer"/>
    <s v="Office Supplies"/>
    <s v="Pen"/>
    <n v="8"/>
    <n v="308.98"/>
    <n v="0.15"/>
    <n v="2101.06"/>
    <n v="1705.59"/>
    <n v="395.47"/>
    <s v="Transfer"/>
    <n v="5"/>
    <s v="July"/>
    <x v="1"/>
    <n v="2024"/>
    <m/>
  </r>
  <r>
    <x v="614"/>
    <d v="2024-05-27T00:00:00"/>
    <s v="Marie Collins"/>
    <s v="Central"/>
    <s v="Abuja"/>
    <s v="Consumer"/>
    <s v="Furniture"/>
    <s v="Chair"/>
    <n v="1"/>
    <n v="671.97"/>
    <n v="0.1"/>
    <n v="604.77"/>
    <n v="449.53"/>
    <n v="155.24"/>
    <s v="Card"/>
    <n v="5"/>
    <s v="May"/>
    <x v="2"/>
    <n v="2024"/>
    <m/>
  </r>
  <r>
    <x v="615"/>
    <d v="2024-04-14T00:00:00"/>
    <s v="Nicholas Zamora"/>
    <s v="South"/>
    <s v="Kano"/>
    <s v="Corporate"/>
    <s v="Clothing"/>
    <s v="T-Shirt"/>
    <n v="6"/>
    <n v="218.81"/>
    <n v="0"/>
    <n v="1312.86"/>
    <n v="876.5"/>
    <n v="436.36"/>
    <s v="Transfer"/>
    <n v="4"/>
    <s v="April"/>
    <x v="2"/>
    <n v="2024"/>
    <m/>
  </r>
  <r>
    <x v="616"/>
    <d v="2024-09-27T00:00:00"/>
    <s v="Nicole Flores"/>
    <s v="West"/>
    <s v="Abuja"/>
    <s v="Consumer"/>
    <s v="Clothing"/>
    <s v="T-Shirt"/>
    <n v="9"/>
    <n v="144.11000000000001"/>
    <n v="0"/>
    <n v="1296.99"/>
    <n v="904.34"/>
    <n v="392.65"/>
    <s v="Card"/>
    <n v="2"/>
    <s v="September"/>
    <x v="1"/>
    <n v="2024"/>
    <m/>
  </r>
  <r>
    <x v="617"/>
    <d v="2024-06-17T00:00:00"/>
    <s v="Rebecca Bennett"/>
    <s v="Central"/>
    <s v="Port Harcourt"/>
    <s v="Corporate"/>
    <s v="Electronics"/>
    <s v="Phone"/>
    <n v="9"/>
    <n v="471.44"/>
    <n v="0.1"/>
    <n v="3818.66"/>
    <n v="2130.6999999999998"/>
    <n v="1687.96"/>
    <s v="Mobile Payment"/>
    <n v="3"/>
    <s v="June"/>
    <x v="2"/>
    <n v="2024"/>
    <m/>
  </r>
  <r>
    <x v="618"/>
    <d v="2024-09-27T00:00:00"/>
    <s v="Daniel Kim"/>
    <s v="West"/>
    <s v="Port Harcourt"/>
    <s v="Home Office"/>
    <s v="Office Supplies"/>
    <s v="Pen"/>
    <n v="8"/>
    <n v="957.7"/>
    <n v="0.05"/>
    <n v="7278.52"/>
    <n v="5447.13"/>
    <n v="1831.39"/>
    <s v="Cash"/>
    <n v="4"/>
    <s v="September"/>
    <x v="1"/>
    <n v="2024"/>
    <m/>
  </r>
  <r>
    <x v="619"/>
    <d v="2024-07-15T00:00:00"/>
    <s v="Margaret Thompson"/>
    <s v="Central"/>
    <s v="Abuja"/>
    <s v="Home Office"/>
    <s v="Clothing"/>
    <s v="T-Shirt"/>
    <n v="11"/>
    <n v="694.03"/>
    <n v="0.1"/>
    <n v="6870.9"/>
    <n v="4266.37"/>
    <n v="2604.5300000000002"/>
    <s v="Cash"/>
    <n v="1"/>
    <s v="July"/>
    <x v="1"/>
    <n v="2024"/>
    <m/>
  </r>
  <r>
    <x v="620"/>
    <d v="2024-12-15T00:00:00"/>
    <s v="Janet Meyer"/>
    <s v="South"/>
    <s v="Abuja"/>
    <s v="Corporate"/>
    <s v="Furniture"/>
    <s v="Desk"/>
    <n v="10"/>
    <n v="924.77"/>
    <n v="0.15"/>
    <n v="7860.55"/>
    <n v="6249.98"/>
    <n v="1610.57"/>
    <s v="Mobile Payment"/>
    <n v="1"/>
    <s v="December"/>
    <x v="3"/>
    <n v="2024"/>
    <m/>
  </r>
  <r>
    <x v="621"/>
    <d v="2024-01-23T00:00:00"/>
    <s v="Barry Diaz"/>
    <s v="Central"/>
    <s v="Kano"/>
    <s v="Corporate"/>
    <s v="Electronics"/>
    <s v="Laptop"/>
    <n v="2"/>
    <n v="1077.23"/>
    <n v="0.1"/>
    <n v="1939.01"/>
    <n v="1400.1"/>
    <n v="538.91"/>
    <s v="Mobile Payment"/>
    <n v="1"/>
    <s v="January"/>
    <x v="0"/>
    <n v="2024"/>
    <m/>
  </r>
  <r>
    <x v="622"/>
    <d v="2024-01-22T00:00:00"/>
    <s v="Derrick Garcia"/>
    <s v="East"/>
    <s v="Ibadan"/>
    <s v="Home Office"/>
    <s v="Furniture"/>
    <s v="Chair"/>
    <n v="12"/>
    <n v="912.87"/>
    <n v="0.15"/>
    <n v="9311.27"/>
    <n v="5208.46"/>
    <n v="4102.8100000000004"/>
    <s v="Cash"/>
    <n v="4"/>
    <s v="January"/>
    <x v="0"/>
    <n v="2024"/>
    <m/>
  </r>
  <r>
    <x v="623"/>
    <d v="2024-10-29T00:00:00"/>
    <s v="Stephanie Hansen"/>
    <s v="Central"/>
    <s v="Lagos"/>
    <s v="Consumer"/>
    <s v="Office Supplies"/>
    <s v="Notebook"/>
    <n v="4"/>
    <n v="684.91"/>
    <n v="0.05"/>
    <n v="2602.66"/>
    <n v="1934.47"/>
    <n v="668.19"/>
    <s v="Transfer"/>
    <n v="5"/>
    <s v="October"/>
    <x v="3"/>
    <n v="2024"/>
    <m/>
  </r>
  <r>
    <x v="624"/>
    <d v="2024-11-24T00:00:00"/>
    <s v="Justin Cox"/>
    <s v="West"/>
    <s v="Lagos"/>
    <s v="Corporate"/>
    <s v="Furniture"/>
    <s v="Desk"/>
    <n v="8"/>
    <n v="541.37"/>
    <n v="0.1"/>
    <n v="3897.86"/>
    <n v="2106.1799999999998"/>
    <n v="1791.68"/>
    <s v="Mobile Payment"/>
    <n v="2"/>
    <s v="November"/>
    <x v="3"/>
    <n v="2024"/>
    <m/>
  </r>
  <r>
    <x v="625"/>
    <d v="2024-07-28T00:00:00"/>
    <s v="Betty Zamora"/>
    <s v="South"/>
    <s v="Ibadan"/>
    <s v="Home Office"/>
    <s v="Office Supplies"/>
    <s v="Paper"/>
    <n v="11"/>
    <n v="933.83"/>
    <n v="0.05"/>
    <n v="9758.52"/>
    <n v="6101.06"/>
    <n v="3657.46"/>
    <s v="Transfer"/>
    <n v="1"/>
    <s v="July"/>
    <x v="1"/>
    <n v="2024"/>
    <m/>
  </r>
  <r>
    <x v="626"/>
    <d v="2024-11-22T00:00:00"/>
    <s v="Jennifer Hall"/>
    <s v="East"/>
    <s v="Abuja"/>
    <s v="Corporate"/>
    <s v="Furniture"/>
    <s v="Chair"/>
    <n v="7"/>
    <n v="771.44"/>
    <n v="0"/>
    <n v="5400.08"/>
    <n v="4245.0600000000004"/>
    <n v="1155.02"/>
    <s v="Cash"/>
    <n v="5"/>
    <s v="November"/>
    <x v="3"/>
    <n v="2024"/>
    <m/>
  </r>
  <r>
    <x v="627"/>
    <d v="2024-08-27T00:00:00"/>
    <s v="Sean Henry"/>
    <s v="East"/>
    <s v="Abuja"/>
    <s v="Corporate"/>
    <s v="Office Supplies"/>
    <s v="Notebook"/>
    <n v="12"/>
    <n v="854.12"/>
    <n v="0.05"/>
    <n v="9736.9699999999993"/>
    <n v="6197.32"/>
    <n v="3539.65"/>
    <s v="Cash"/>
    <n v="1"/>
    <s v="August"/>
    <x v="1"/>
    <n v="2024"/>
    <m/>
  </r>
  <r>
    <x v="628"/>
    <d v="2024-03-15T00:00:00"/>
    <s v="Cory Wilson"/>
    <s v="North"/>
    <s v="Kano"/>
    <s v="Corporate"/>
    <s v="Office Supplies"/>
    <s v="Pen"/>
    <n v="7"/>
    <n v="141.47"/>
    <n v="0.1"/>
    <n v="891.26"/>
    <n v="507.25"/>
    <n v="384.01"/>
    <s v="Mobile Payment"/>
    <n v="3"/>
    <s v="March"/>
    <x v="0"/>
    <n v="2024"/>
    <m/>
  </r>
  <r>
    <x v="629"/>
    <d v="2024-05-09T00:00:00"/>
    <s v="Mrs. Sarah King"/>
    <s v="North"/>
    <s v="Kano"/>
    <s v="Home Office"/>
    <s v="Furniture"/>
    <s v="Desk"/>
    <n v="6"/>
    <n v="1074.4000000000001"/>
    <n v="0.05"/>
    <n v="6124.08"/>
    <n v="4784.76"/>
    <n v="1339.32"/>
    <s v="Card"/>
    <n v="1"/>
    <s v="May"/>
    <x v="2"/>
    <n v="2024"/>
    <m/>
  </r>
  <r>
    <x v="630"/>
    <d v="2024-02-20T00:00:00"/>
    <s v="Randy Andrews"/>
    <s v="West"/>
    <s v="Port Harcourt"/>
    <s v="Corporate"/>
    <s v="Office Supplies"/>
    <s v="Pen"/>
    <n v="6"/>
    <n v="556.45000000000005"/>
    <n v="0.15"/>
    <n v="2837.89"/>
    <n v="2292.94"/>
    <n v="544.95000000000005"/>
    <s v="Cash"/>
    <n v="1"/>
    <s v="February"/>
    <x v="0"/>
    <n v="2024"/>
    <m/>
  </r>
  <r>
    <x v="631"/>
    <d v="2024-11-03T00:00:00"/>
    <s v="Steve Douglas MD"/>
    <s v="West"/>
    <s v="Abuja"/>
    <s v="Corporate"/>
    <s v="Clothing"/>
    <s v="Jacket"/>
    <n v="10"/>
    <n v="365.69"/>
    <n v="0.15"/>
    <n v="3108.36"/>
    <n v="2122.98"/>
    <n v="985.38"/>
    <s v="Cash"/>
    <n v="5"/>
    <s v="November"/>
    <x v="3"/>
    <n v="2024"/>
    <m/>
  </r>
  <r>
    <x v="632"/>
    <d v="2024-01-02T00:00:00"/>
    <s v="Andrea Jimenez"/>
    <s v="East"/>
    <s v="Ibadan"/>
    <s v="Corporate"/>
    <s v="Furniture"/>
    <s v="Desk"/>
    <n v="10"/>
    <n v="364.38"/>
    <n v="0.1"/>
    <n v="3279.42"/>
    <n v="2372.4499999999998"/>
    <n v="906.97"/>
    <s v="Mobile Payment"/>
    <n v="5"/>
    <s v="January"/>
    <x v="0"/>
    <n v="2024"/>
    <m/>
  </r>
  <r>
    <x v="633"/>
    <d v="2024-08-17T00:00:00"/>
    <s v="Jonathan Rogers"/>
    <s v="South"/>
    <s v="Abuja"/>
    <s v="Corporate"/>
    <s v="Office Supplies"/>
    <s v="Paper"/>
    <n v="11"/>
    <n v="1140.95"/>
    <n v="0.05"/>
    <n v="11922.93"/>
    <n v="7252.06"/>
    <n v="4670.87"/>
    <s v="Card"/>
    <n v="3"/>
    <s v="August"/>
    <x v="1"/>
    <n v="2024"/>
    <m/>
  </r>
  <r>
    <x v="634"/>
    <d v="2024-01-24T00:00:00"/>
    <s v="Sean Logan"/>
    <s v="Central"/>
    <s v="Ibadan"/>
    <s v="Corporate"/>
    <s v="Electronics"/>
    <s v="Phone"/>
    <n v="4"/>
    <n v="886.18"/>
    <n v="0.1"/>
    <n v="3190.25"/>
    <n v="1685.57"/>
    <n v="1504.68"/>
    <s v="Transfer"/>
    <n v="2"/>
    <s v="January"/>
    <x v="0"/>
    <n v="2024"/>
    <m/>
  </r>
  <r>
    <x v="635"/>
    <d v="2024-06-01T00:00:00"/>
    <s v="Don Barton"/>
    <s v="East"/>
    <s v="Port Harcourt"/>
    <s v="Consumer"/>
    <s v="Office Supplies"/>
    <s v="Notebook"/>
    <n v="3"/>
    <n v="1162.76"/>
    <n v="0.1"/>
    <n v="3139.45"/>
    <n v="2009.08"/>
    <n v="1130.3699999999999"/>
    <s v="Transfer"/>
    <n v="2"/>
    <s v="June"/>
    <x v="2"/>
    <n v="2024"/>
    <m/>
  </r>
  <r>
    <x v="636"/>
    <d v="2024-08-12T00:00:00"/>
    <s v="Jesse Gill"/>
    <s v="Central"/>
    <s v="Port Harcourt"/>
    <s v="Consumer"/>
    <s v="Office Supplies"/>
    <s v="Notebook"/>
    <n v="8"/>
    <n v="441.73"/>
    <n v="0.15"/>
    <n v="3003.76"/>
    <n v="1531.68"/>
    <n v="1472.08"/>
    <s v="Transfer"/>
    <n v="3"/>
    <s v="August"/>
    <x v="1"/>
    <n v="2024"/>
    <m/>
  </r>
  <r>
    <x v="637"/>
    <d v="2024-03-03T00:00:00"/>
    <s v="Andrew Smith"/>
    <s v="South"/>
    <s v="Port Harcourt"/>
    <s v="Corporate"/>
    <s v="Office Supplies"/>
    <s v="Pen"/>
    <n v="5"/>
    <n v="839.76"/>
    <n v="0.1"/>
    <n v="3778.92"/>
    <n v="2021.68"/>
    <n v="1757.24"/>
    <s v="Cash"/>
    <n v="4"/>
    <s v="March"/>
    <x v="0"/>
    <n v="2024"/>
    <m/>
  </r>
  <r>
    <x v="638"/>
    <d v="2024-12-28T00:00:00"/>
    <s v="Olivia Garcia"/>
    <s v="South"/>
    <s v="Port Harcourt"/>
    <s v="Home Office"/>
    <s v="Electronics"/>
    <s v="Laptop"/>
    <n v="7"/>
    <n v="205.79"/>
    <n v="0.15"/>
    <n v="1224.45"/>
    <n v="739.48"/>
    <n v="484.97"/>
    <s v="Transfer"/>
    <n v="4"/>
    <s v="December"/>
    <x v="3"/>
    <n v="2024"/>
    <m/>
  </r>
  <r>
    <x v="639"/>
    <d v="2024-12-20T00:00:00"/>
    <s v="Gloria Ward"/>
    <s v="South"/>
    <s v="Port Harcourt"/>
    <s v="Home Office"/>
    <s v="Furniture"/>
    <s v="Desk"/>
    <n v="4"/>
    <n v="434.46"/>
    <n v="0.15"/>
    <n v="1477.16"/>
    <n v="1210.96"/>
    <n v="266.2"/>
    <s v="Card"/>
    <n v="4"/>
    <s v="December"/>
    <x v="3"/>
    <n v="2024"/>
    <m/>
  </r>
  <r>
    <x v="640"/>
    <d v="2024-12-22T00:00:00"/>
    <s v="Nathan Hernandez"/>
    <s v="North"/>
    <s v="Kano"/>
    <s v="Home Office"/>
    <s v="Electronics"/>
    <s v="Printer"/>
    <n v="9"/>
    <n v="666.33"/>
    <n v="0"/>
    <n v="5996.97"/>
    <n v="3602.04"/>
    <n v="2394.9299999999998"/>
    <s v="Cash"/>
    <n v="2"/>
    <s v="December"/>
    <x v="3"/>
    <n v="2024"/>
    <m/>
  </r>
  <r>
    <x v="641"/>
    <d v="2024-07-05T00:00:00"/>
    <s v="Travis Ballard"/>
    <s v="North"/>
    <s v="Ibadan"/>
    <s v="Home Office"/>
    <s v="Furniture"/>
    <s v="Desk"/>
    <n v="9"/>
    <n v="717.04"/>
    <n v="0"/>
    <n v="6453.36"/>
    <n v="4298.8"/>
    <n v="2154.56"/>
    <s v="Transfer"/>
    <n v="4"/>
    <s v="July"/>
    <x v="1"/>
    <n v="2024"/>
    <m/>
  </r>
  <r>
    <x v="642"/>
    <d v="2024-08-18T00:00:00"/>
    <s v="Amy Chavez"/>
    <s v="East"/>
    <s v="Port Harcourt"/>
    <s v="Home Office"/>
    <s v="Furniture"/>
    <s v="Cabinet"/>
    <n v="8"/>
    <n v="608.74"/>
    <n v="0.15"/>
    <n v="4139.43"/>
    <n v="2752.92"/>
    <n v="1386.51"/>
    <s v="Mobile Payment"/>
    <n v="4"/>
    <s v="August"/>
    <x v="1"/>
    <n v="2024"/>
    <m/>
  </r>
  <r>
    <x v="643"/>
    <d v="2024-10-18T00:00:00"/>
    <s v="Rhonda Gomez"/>
    <s v="Central"/>
    <s v="Port Harcourt"/>
    <s v="Home Office"/>
    <s v="Electronics"/>
    <s v="Phone"/>
    <n v="10"/>
    <n v="618.38"/>
    <n v="0.05"/>
    <n v="5874.61"/>
    <n v="4862.24"/>
    <n v="1012.37"/>
    <s v="Mobile Payment"/>
    <n v="5"/>
    <s v="October"/>
    <x v="3"/>
    <n v="2024"/>
    <m/>
  </r>
  <r>
    <x v="644"/>
    <d v="2024-07-25T00:00:00"/>
    <s v="Marissa Jones"/>
    <s v="Central"/>
    <s v="Abuja"/>
    <s v="Corporate"/>
    <s v="Electronics"/>
    <s v="Laptop"/>
    <n v="2"/>
    <n v="120.66"/>
    <n v="0"/>
    <n v="241.32"/>
    <n v="183.17"/>
    <n v="58.15"/>
    <s v="Mobile Payment"/>
    <n v="5"/>
    <s v="July"/>
    <x v="1"/>
    <n v="2024"/>
    <m/>
  </r>
  <r>
    <x v="645"/>
    <d v="2024-08-23T00:00:00"/>
    <s v="Todd Patrick"/>
    <s v="South"/>
    <s v="Ibadan"/>
    <s v="Consumer"/>
    <s v="Furniture"/>
    <s v="Cabinet"/>
    <n v="10"/>
    <n v="927.14"/>
    <n v="0.05"/>
    <n v="8807.83"/>
    <n v="4653.2299999999996"/>
    <n v="4154.6000000000004"/>
    <s v="Card"/>
    <n v="1"/>
    <s v="August"/>
    <x v="1"/>
    <n v="2024"/>
    <m/>
  </r>
  <r>
    <x v="646"/>
    <d v="2024-08-17T00:00:00"/>
    <s v="Scott Robinson"/>
    <s v="West"/>
    <s v="Port Harcourt"/>
    <s v="Consumer"/>
    <s v="Electronics"/>
    <s v="Phone"/>
    <n v="4"/>
    <n v="644.97"/>
    <n v="0.05"/>
    <n v="2450.89"/>
    <n v="2010.48"/>
    <n v="440.41"/>
    <s v="Mobile Payment"/>
    <n v="1"/>
    <s v="August"/>
    <x v="1"/>
    <n v="2024"/>
    <m/>
  </r>
  <r>
    <x v="647"/>
    <d v="2024-06-13T00:00:00"/>
    <s v="Evan Clark"/>
    <s v="North"/>
    <s v="Lagos"/>
    <s v="Corporate"/>
    <s v="Clothing"/>
    <s v="T-Shirt"/>
    <n v="7"/>
    <n v="1045.93"/>
    <n v="0.15"/>
    <n v="6223.28"/>
    <n v="3820.85"/>
    <n v="2402.4299999999998"/>
    <s v="Transfer"/>
    <n v="5"/>
    <s v="June"/>
    <x v="2"/>
    <n v="2024"/>
    <m/>
  </r>
  <r>
    <x v="648"/>
    <d v="2024-08-07T00:00:00"/>
    <s v="Shawn Hall"/>
    <s v="South"/>
    <s v="Port Harcourt"/>
    <s v="Home Office"/>
    <s v="Electronics"/>
    <s v="Tablet"/>
    <n v="12"/>
    <n v="358.16"/>
    <n v="0.05"/>
    <n v="4083.02"/>
    <n v="2074.27"/>
    <n v="2008.75"/>
    <s v="Transfer"/>
    <n v="2"/>
    <s v="August"/>
    <x v="1"/>
    <n v="2024"/>
    <m/>
  </r>
  <r>
    <x v="649"/>
    <d v="2024-11-23T00:00:00"/>
    <s v="Mrs. Nicole Villarreal"/>
    <s v="South"/>
    <s v="Kano"/>
    <s v="Consumer"/>
    <s v="Electronics"/>
    <s v="Laptop"/>
    <n v="7"/>
    <n v="555.83000000000004"/>
    <n v="0.15"/>
    <n v="3307.19"/>
    <n v="2031.71"/>
    <n v="1275.48"/>
    <s v="Card"/>
    <n v="3"/>
    <s v="November"/>
    <x v="3"/>
    <n v="2024"/>
    <m/>
  </r>
  <r>
    <x v="650"/>
    <d v="2024-11-10T00:00:00"/>
    <s v="Yvonne Patrick"/>
    <s v="West"/>
    <s v="Port Harcourt"/>
    <s v="Home Office"/>
    <s v="Furniture"/>
    <s v="Desk"/>
    <n v="9"/>
    <n v="157.82"/>
    <n v="0.15"/>
    <n v="1207.32"/>
    <n v="673.11"/>
    <n v="534.21"/>
    <s v="Mobile Payment"/>
    <n v="3"/>
    <s v="November"/>
    <x v="3"/>
    <n v="2024"/>
    <m/>
  </r>
  <r>
    <x v="651"/>
    <d v="2024-02-15T00:00:00"/>
    <s v="Jon Padilla"/>
    <s v="East"/>
    <s v="Ibadan"/>
    <s v="Home Office"/>
    <s v="Clothing"/>
    <s v="T-Shirt"/>
    <n v="7"/>
    <n v="129.12"/>
    <n v="0.05"/>
    <n v="858.65"/>
    <n v="711.39"/>
    <n v="147.26"/>
    <s v="Mobile Payment"/>
    <n v="1"/>
    <s v="February"/>
    <x v="0"/>
    <n v="2024"/>
    <m/>
  </r>
  <r>
    <x v="652"/>
    <d v="2024-01-17T00:00:00"/>
    <s v="Matthew Powers"/>
    <s v="Central"/>
    <s v="Ibadan"/>
    <s v="Home Office"/>
    <s v="Office Supplies"/>
    <s v="Notebook"/>
    <n v="9"/>
    <n v="48.7"/>
    <n v="0.15"/>
    <n v="372.56"/>
    <n v="282.51"/>
    <n v="90.05"/>
    <s v="Cash"/>
    <n v="5"/>
    <s v="January"/>
    <x v="0"/>
    <n v="2024"/>
    <m/>
  </r>
  <r>
    <x v="653"/>
    <d v="2024-06-06T00:00:00"/>
    <s v="Alexis Hernandez"/>
    <s v="North"/>
    <s v="Abuja"/>
    <s v="Corporate"/>
    <s v="Electronics"/>
    <s v="Printer"/>
    <n v="12"/>
    <n v="818.7"/>
    <n v="0.15"/>
    <n v="8350.74"/>
    <n v="4907.5"/>
    <n v="3443.24"/>
    <s v="Mobile Payment"/>
    <n v="4"/>
    <s v="June"/>
    <x v="2"/>
    <n v="2024"/>
    <m/>
  </r>
  <r>
    <x v="654"/>
    <d v="2024-10-07T00:00:00"/>
    <s v="Samantha Richardson"/>
    <s v="East"/>
    <s v="Kano"/>
    <s v="Consumer"/>
    <s v="Clothing"/>
    <s v="T-Shirt"/>
    <n v="1"/>
    <n v="356.01"/>
    <n v="0.1"/>
    <n v="320.41000000000003"/>
    <n v="161.96"/>
    <n v="158.44999999999999"/>
    <s v="Mobile Payment"/>
    <n v="5"/>
    <s v="October"/>
    <x v="3"/>
    <n v="2024"/>
    <m/>
  </r>
  <r>
    <x v="655"/>
    <d v="2024-08-24T00:00:00"/>
    <s v="Phillip Thomas"/>
    <s v="South"/>
    <s v="Port Harcourt"/>
    <s v="Consumer"/>
    <s v="Electronics"/>
    <s v="Printer"/>
    <n v="7"/>
    <n v="467.48"/>
    <n v="0"/>
    <n v="3272.36"/>
    <n v="2170.52"/>
    <n v="1101.8399999999999"/>
    <s v="Card"/>
    <n v="4"/>
    <s v="August"/>
    <x v="1"/>
    <n v="2024"/>
    <m/>
  </r>
  <r>
    <x v="656"/>
    <d v="2024-06-05T00:00:00"/>
    <s v="Robin Brown"/>
    <s v="North"/>
    <s v="Ibadan"/>
    <s v="Consumer"/>
    <s v="Office Supplies"/>
    <s v="Pen"/>
    <n v="6"/>
    <n v="153.69999999999999"/>
    <n v="0.1"/>
    <n v="829.98"/>
    <n v="527.95000000000005"/>
    <n v="302.02999999999997"/>
    <s v="Mobile Payment"/>
    <n v="4"/>
    <s v="June"/>
    <x v="2"/>
    <n v="2024"/>
    <m/>
  </r>
  <r>
    <x v="657"/>
    <d v="2024-09-28T00:00:00"/>
    <s v="James Dean"/>
    <s v="Central"/>
    <s v="Abuja"/>
    <s v="Consumer"/>
    <s v="Clothing"/>
    <s v="Jacket"/>
    <n v="8"/>
    <n v="1091.3"/>
    <n v="0.05"/>
    <n v="8293.8799999999992"/>
    <n v="6238.63"/>
    <n v="2055.25"/>
    <s v="Cash"/>
    <n v="1"/>
    <s v="September"/>
    <x v="1"/>
    <n v="2024"/>
    <m/>
  </r>
  <r>
    <x v="658"/>
    <d v="2024-12-21T00:00:00"/>
    <s v="Monica Lynch"/>
    <s v="West"/>
    <s v="Ibadan"/>
    <s v="Consumer"/>
    <s v="Electronics"/>
    <s v="Phone"/>
    <n v="8"/>
    <n v="55.84"/>
    <n v="0.15"/>
    <n v="379.71"/>
    <n v="218.76"/>
    <n v="160.94999999999999"/>
    <s v="Transfer"/>
    <n v="3"/>
    <s v="December"/>
    <x v="3"/>
    <n v="2024"/>
    <m/>
  </r>
  <r>
    <x v="659"/>
    <d v="2024-11-23T00:00:00"/>
    <s v="Ian Drake"/>
    <s v="East"/>
    <s v="Lagos"/>
    <s v="Home Office"/>
    <s v="Office Supplies"/>
    <s v="Paper"/>
    <n v="10"/>
    <n v="725.79"/>
    <n v="0"/>
    <n v="7257.9"/>
    <n v="3813.66"/>
    <n v="3444.24"/>
    <s v="Mobile Payment"/>
    <n v="4"/>
    <s v="November"/>
    <x v="3"/>
    <n v="2024"/>
    <m/>
  </r>
  <r>
    <x v="660"/>
    <d v="2024-02-16T00:00:00"/>
    <s v="Amber Hampton"/>
    <s v="North"/>
    <s v="Lagos"/>
    <s v="Consumer"/>
    <s v="Clothing"/>
    <s v="T-Shirt"/>
    <n v="7"/>
    <n v="252.95"/>
    <n v="0"/>
    <n v="1770.65"/>
    <n v="1372.37"/>
    <n v="398.28"/>
    <s v="Cash"/>
    <n v="3"/>
    <s v="February"/>
    <x v="0"/>
    <n v="2024"/>
    <m/>
  </r>
  <r>
    <x v="661"/>
    <d v="2024-09-28T00:00:00"/>
    <s v="Theresa Walker"/>
    <s v="North"/>
    <s v="Kano"/>
    <s v="Home Office"/>
    <s v="Furniture"/>
    <s v="Desk"/>
    <n v="3"/>
    <n v="632.79"/>
    <n v="0.15"/>
    <n v="1613.61"/>
    <n v="1011.61"/>
    <n v="602"/>
    <s v="Transfer"/>
    <n v="2"/>
    <s v="September"/>
    <x v="1"/>
    <n v="2024"/>
    <m/>
  </r>
  <r>
    <x v="662"/>
    <d v="2024-11-30T00:00:00"/>
    <s v="Megan Walsh"/>
    <s v="South"/>
    <s v="Lagos"/>
    <s v="Corporate"/>
    <s v="Furniture"/>
    <s v="Desk"/>
    <n v="11"/>
    <n v="1085.74"/>
    <n v="0.05"/>
    <n v="11345.98"/>
    <n v="7817.97"/>
    <n v="3528.01"/>
    <s v="Transfer"/>
    <n v="1"/>
    <s v="November"/>
    <x v="3"/>
    <n v="2024"/>
    <m/>
  </r>
  <r>
    <x v="663"/>
    <d v="2024-11-13T00:00:00"/>
    <s v="Tara Hall"/>
    <s v="South"/>
    <s v="Kano"/>
    <s v="Home Office"/>
    <s v="Office Supplies"/>
    <s v="Pen"/>
    <n v="11"/>
    <n v="440.46"/>
    <n v="0"/>
    <n v="4845.0600000000004"/>
    <n v="2712.81"/>
    <n v="2132.25"/>
    <s v="Transfer"/>
    <n v="1"/>
    <s v="November"/>
    <x v="3"/>
    <n v="2024"/>
    <m/>
  </r>
  <r>
    <x v="664"/>
    <d v="2024-07-04T00:00:00"/>
    <s v="Kristin Davis"/>
    <s v="Central"/>
    <s v="Port Harcourt"/>
    <s v="Consumer"/>
    <s v="Clothing"/>
    <s v="Sneakers"/>
    <n v="8"/>
    <n v="1015.86"/>
    <n v="0"/>
    <n v="8126.88"/>
    <n v="4923"/>
    <n v="3203.88"/>
    <s v="Card"/>
    <n v="4"/>
    <s v="July"/>
    <x v="1"/>
    <n v="2024"/>
    <m/>
  </r>
  <r>
    <x v="665"/>
    <d v="2024-12-23T00:00:00"/>
    <s v="Christopher Chavez"/>
    <s v="North"/>
    <s v="Kano"/>
    <s v="Home Office"/>
    <s v="Clothing"/>
    <s v="Jacket"/>
    <n v="6"/>
    <n v="375.68"/>
    <n v="0.15"/>
    <n v="1915.97"/>
    <n v="1256.76"/>
    <n v="659.21"/>
    <s v="Cash"/>
    <n v="1"/>
    <s v="December"/>
    <x v="3"/>
    <n v="2024"/>
    <m/>
  </r>
  <r>
    <x v="666"/>
    <d v="2024-06-01T00:00:00"/>
    <s v="Matthew Gross"/>
    <s v="East"/>
    <s v="Kano"/>
    <s v="Consumer"/>
    <s v="Furniture"/>
    <s v="Desk"/>
    <n v="6"/>
    <n v="743.3"/>
    <n v="0.1"/>
    <n v="4013.82"/>
    <n v="2713.37"/>
    <n v="1300.45"/>
    <s v="Mobile Payment"/>
    <n v="3"/>
    <s v="June"/>
    <x v="2"/>
    <n v="2024"/>
    <m/>
  </r>
  <r>
    <x v="667"/>
    <d v="2024-01-28T00:00:00"/>
    <s v="Zachary Vincent"/>
    <s v="East"/>
    <s v="Ibadan"/>
    <s v="Corporate"/>
    <s v="Clothing"/>
    <s v="T-Shirt"/>
    <n v="2"/>
    <n v="124.03"/>
    <n v="0.05"/>
    <n v="235.66"/>
    <n v="191.9"/>
    <n v="43.76"/>
    <s v="Cash"/>
    <n v="3"/>
    <s v="January"/>
    <x v="0"/>
    <n v="2024"/>
    <m/>
  </r>
  <r>
    <x v="668"/>
    <d v="2024-04-24T00:00:00"/>
    <s v="Dr. Christopher Castillo"/>
    <s v="West"/>
    <s v="Ibadan"/>
    <s v="Home Office"/>
    <s v="Electronics"/>
    <s v="Laptop"/>
    <n v="4"/>
    <n v="1076.1300000000001"/>
    <n v="0.1"/>
    <n v="3874.07"/>
    <n v="2078.36"/>
    <n v="1795.71"/>
    <s v="Card"/>
    <n v="2"/>
    <s v="April"/>
    <x v="2"/>
    <n v="2024"/>
    <m/>
  </r>
  <r>
    <x v="669"/>
    <d v="2024-04-07T00:00:00"/>
    <s v="Jeffrey Oneill"/>
    <s v="East"/>
    <s v="Port Harcourt"/>
    <s v="Consumer"/>
    <s v="Electronics"/>
    <s v="Phone"/>
    <n v="3"/>
    <n v="905.41"/>
    <n v="0"/>
    <n v="2716.23"/>
    <n v="2204.36"/>
    <n v="511.87"/>
    <s v="Cash"/>
    <n v="4"/>
    <s v="April"/>
    <x v="2"/>
    <n v="2024"/>
    <m/>
  </r>
  <r>
    <x v="670"/>
    <d v="2024-08-12T00:00:00"/>
    <s v="Maria Martin"/>
    <s v="Central"/>
    <s v="Abuja"/>
    <s v="Home Office"/>
    <s v="Clothing"/>
    <s v="Jacket"/>
    <n v="9"/>
    <n v="32.51"/>
    <n v="0"/>
    <n v="292.58999999999997"/>
    <n v="198.1"/>
    <n v="94.49"/>
    <s v="Card"/>
    <n v="5"/>
    <s v="August"/>
    <x v="1"/>
    <n v="2024"/>
    <m/>
  </r>
  <r>
    <x v="671"/>
    <d v="2024-09-30T00:00:00"/>
    <s v="Sara Morales"/>
    <s v="West"/>
    <s v="Port Harcourt"/>
    <s v="Corporate"/>
    <s v="Furniture"/>
    <s v="Cabinet"/>
    <n v="8"/>
    <n v="790.43"/>
    <n v="0.1"/>
    <n v="5691.1"/>
    <n v="4746.9399999999996"/>
    <n v="944.16"/>
    <s v="Card"/>
    <n v="1"/>
    <s v="September"/>
    <x v="1"/>
    <n v="2024"/>
    <m/>
  </r>
  <r>
    <x v="672"/>
    <d v="2024-04-03T00:00:00"/>
    <s v="Wanda Mclaughlin"/>
    <s v="West"/>
    <s v="Port Harcourt"/>
    <s v="Home Office"/>
    <s v="Clothing"/>
    <s v="Jacket"/>
    <n v="8"/>
    <n v="118.44"/>
    <n v="0.05"/>
    <n v="900.14"/>
    <n v="470.32"/>
    <n v="429.82"/>
    <s v="Transfer"/>
    <n v="1"/>
    <s v="April"/>
    <x v="2"/>
    <n v="2024"/>
    <m/>
  </r>
  <r>
    <x v="673"/>
    <d v="2024-08-24T00:00:00"/>
    <s v="Nicholas Burns"/>
    <s v="Central"/>
    <s v="Kano"/>
    <s v="Corporate"/>
    <s v="Office Supplies"/>
    <s v="Paper"/>
    <n v="3"/>
    <n v="32.92"/>
    <n v="0"/>
    <n v="98.76"/>
    <n v="59.75"/>
    <n v="39.01"/>
    <s v="Card"/>
    <n v="2"/>
    <s v="August"/>
    <x v="1"/>
    <n v="2024"/>
    <m/>
  </r>
  <r>
    <x v="674"/>
    <d v="2024-11-15T00:00:00"/>
    <s v="Christopher Burton"/>
    <s v="West"/>
    <s v="Lagos"/>
    <s v="Corporate"/>
    <s v="Electronics"/>
    <s v="Laptop"/>
    <n v="4"/>
    <n v="282.52"/>
    <n v="0"/>
    <n v="1130.08"/>
    <n v="878.14"/>
    <n v="251.94"/>
    <s v="Cash"/>
    <n v="3"/>
    <s v="November"/>
    <x v="3"/>
    <n v="2024"/>
    <m/>
  </r>
  <r>
    <x v="675"/>
    <d v="2024-04-03T00:00:00"/>
    <s v="Tamara Martinez"/>
    <s v="West"/>
    <s v="Abuja"/>
    <s v="Corporate"/>
    <s v="Office Supplies"/>
    <s v="Notebook"/>
    <n v="1"/>
    <n v="500.5"/>
    <n v="0.1"/>
    <n v="450.45"/>
    <n v="332.6"/>
    <n v="117.85"/>
    <s v="Cash"/>
    <n v="4"/>
    <s v="April"/>
    <x v="2"/>
    <n v="2024"/>
    <m/>
  </r>
  <r>
    <x v="676"/>
    <d v="2024-01-22T00:00:00"/>
    <s v="Patricia Mclaughlin"/>
    <s v="Central"/>
    <s v="Lagos"/>
    <s v="Consumer"/>
    <s v="Office Supplies"/>
    <s v="Notebook"/>
    <n v="7"/>
    <n v="317.93"/>
    <n v="0.1"/>
    <n v="2002.96"/>
    <n v="1100.07"/>
    <n v="902.89"/>
    <s v="Cash"/>
    <n v="4"/>
    <s v="January"/>
    <x v="0"/>
    <n v="2024"/>
    <m/>
  </r>
  <r>
    <x v="677"/>
    <d v="2024-06-01T00:00:00"/>
    <s v="Timothy Mccoy"/>
    <s v="North"/>
    <s v="Ibadan"/>
    <s v="Home Office"/>
    <s v="Electronics"/>
    <s v="Printer"/>
    <n v="12"/>
    <n v="593.02"/>
    <n v="0.1"/>
    <n v="6404.62"/>
    <n v="4783.37"/>
    <n v="1621.25"/>
    <s v="Cash"/>
    <n v="5"/>
    <s v="June"/>
    <x v="2"/>
    <n v="2024"/>
    <m/>
  </r>
  <r>
    <x v="678"/>
    <d v="2024-05-19T00:00:00"/>
    <s v="Gwendolyn Mueller"/>
    <s v="West"/>
    <s v="Port Harcourt"/>
    <s v="Consumer"/>
    <s v="Furniture"/>
    <s v="Cabinet"/>
    <n v="7"/>
    <n v="681.5"/>
    <n v="0.15"/>
    <n v="4054.92"/>
    <n v="2383.0100000000002"/>
    <n v="1671.91"/>
    <s v="Mobile Payment"/>
    <n v="1"/>
    <s v="May"/>
    <x v="2"/>
    <n v="2024"/>
    <m/>
  </r>
  <r>
    <x v="679"/>
    <d v="2024-06-29T00:00:00"/>
    <s v="Evan Clark"/>
    <s v="North"/>
    <s v="Abuja"/>
    <s v="Consumer"/>
    <s v="Electronics"/>
    <s v="Printer"/>
    <n v="1"/>
    <n v="543.59"/>
    <n v="0.05"/>
    <n v="516.41"/>
    <n v="266.04000000000002"/>
    <n v="250.37"/>
    <s v="Card"/>
    <n v="4"/>
    <s v="June"/>
    <x v="2"/>
    <n v="2024"/>
    <m/>
  </r>
  <r>
    <x v="680"/>
    <d v="2024-09-17T00:00:00"/>
    <s v="Bradley Brown"/>
    <s v="East"/>
    <s v="Lagos"/>
    <s v="Consumer"/>
    <s v="Office Supplies"/>
    <s v="Paper"/>
    <n v="9"/>
    <n v="1111.93"/>
    <n v="0.05"/>
    <n v="9507"/>
    <n v="7982.56"/>
    <n v="1524.44"/>
    <s v="Mobile Payment"/>
    <n v="3"/>
    <s v="September"/>
    <x v="1"/>
    <n v="2024"/>
    <m/>
  </r>
  <r>
    <x v="681"/>
    <d v="2024-02-06T00:00:00"/>
    <s v="Mary Barber"/>
    <s v="West"/>
    <s v="Lagos"/>
    <s v="Consumer"/>
    <s v="Electronics"/>
    <s v="Laptop"/>
    <n v="12"/>
    <n v="762.84"/>
    <n v="0.05"/>
    <n v="8696.3799999999992"/>
    <n v="6753.92"/>
    <n v="1942.46"/>
    <s v="Mobile Payment"/>
    <n v="2"/>
    <s v="February"/>
    <x v="0"/>
    <n v="2024"/>
    <m/>
  </r>
  <r>
    <x v="682"/>
    <d v="2024-11-22T00:00:00"/>
    <s v="Jeremy Floyd"/>
    <s v="East"/>
    <s v="Lagos"/>
    <s v="Consumer"/>
    <s v="Clothing"/>
    <s v="Sneakers"/>
    <n v="7"/>
    <n v="295.14"/>
    <n v="0.1"/>
    <n v="1859.38"/>
    <n v="956.2"/>
    <n v="903.18"/>
    <s v="Card"/>
    <n v="2"/>
    <s v="November"/>
    <x v="3"/>
    <n v="2024"/>
    <m/>
  </r>
  <r>
    <x v="683"/>
    <d v="2024-09-07T00:00:00"/>
    <s v="Erin Myers"/>
    <s v="Central"/>
    <s v="Abuja"/>
    <s v="Corporate"/>
    <s v="Furniture"/>
    <s v="Cabinet"/>
    <n v="8"/>
    <n v="400.29"/>
    <n v="0"/>
    <n v="3202.32"/>
    <n v="1654.76"/>
    <n v="1547.56"/>
    <s v="Transfer"/>
    <n v="3"/>
    <s v="September"/>
    <x v="1"/>
    <n v="2024"/>
    <m/>
  </r>
  <r>
    <x v="684"/>
    <d v="2024-10-29T00:00:00"/>
    <s v="Ashley Edwards"/>
    <s v="East"/>
    <s v="Lagos"/>
    <s v="Consumer"/>
    <s v="Clothing"/>
    <s v="Jacket"/>
    <n v="7"/>
    <n v="409.34"/>
    <n v="0.15"/>
    <n v="2435.5700000000002"/>
    <n v="1541.92"/>
    <n v="893.65"/>
    <s v="Cash"/>
    <n v="2"/>
    <s v="October"/>
    <x v="3"/>
    <n v="2024"/>
    <m/>
  </r>
  <r>
    <x v="685"/>
    <d v="2024-11-28T00:00:00"/>
    <s v="Debra Clark"/>
    <s v="North"/>
    <s v="Port Harcourt"/>
    <s v="Corporate"/>
    <s v="Electronics"/>
    <s v="Laptop"/>
    <n v="8"/>
    <n v="760.38"/>
    <n v="0"/>
    <n v="6083.04"/>
    <n v="3918.58"/>
    <n v="2164.46"/>
    <s v="Cash"/>
    <n v="2"/>
    <s v="November"/>
    <x v="3"/>
    <n v="2024"/>
    <m/>
  </r>
  <r>
    <x v="686"/>
    <d v="2024-02-15T00:00:00"/>
    <s v="Evelyn Adams"/>
    <s v="East"/>
    <s v="Kano"/>
    <s v="Home Office"/>
    <s v="Clothing"/>
    <s v="Sneakers"/>
    <n v="11"/>
    <n v="868.25"/>
    <n v="0.1"/>
    <n v="8595.68"/>
    <n v="4513.8999999999996"/>
    <n v="4081.78"/>
    <s v="Cash"/>
    <n v="2"/>
    <s v="February"/>
    <x v="0"/>
    <n v="2024"/>
    <m/>
  </r>
  <r>
    <x v="687"/>
    <d v="2024-12-15T00:00:00"/>
    <s v="Bobby Perez"/>
    <s v="West"/>
    <s v="Port Harcourt"/>
    <s v="Corporate"/>
    <s v="Electronics"/>
    <s v="Printer"/>
    <n v="9"/>
    <n v="473.84"/>
    <n v="0"/>
    <n v="4264.5600000000004"/>
    <n v="2402.14"/>
    <n v="1862.42"/>
    <s v="Mobile Payment"/>
    <n v="5"/>
    <s v="December"/>
    <x v="3"/>
    <n v="2024"/>
    <m/>
  </r>
  <r>
    <x v="688"/>
    <d v="2024-07-13T00:00:00"/>
    <s v="Stephanie Madden"/>
    <s v="South"/>
    <s v="Kano"/>
    <s v="Consumer"/>
    <s v="Office Supplies"/>
    <s v="Notebook"/>
    <n v="12"/>
    <n v="583.94000000000005"/>
    <n v="0.1"/>
    <n v="6306.55"/>
    <n v="4053.26"/>
    <n v="2253.29"/>
    <s v="Transfer"/>
    <n v="5"/>
    <s v="July"/>
    <x v="1"/>
    <n v="2024"/>
    <m/>
  </r>
  <r>
    <x v="689"/>
    <d v="2024-11-27T00:00:00"/>
    <s v="Emily Miller"/>
    <s v="South"/>
    <s v="Kano"/>
    <s v="Consumer"/>
    <s v="Furniture"/>
    <s v="Cabinet"/>
    <n v="2"/>
    <n v="354.86"/>
    <n v="0"/>
    <n v="709.72"/>
    <n v="572.72"/>
    <n v="137"/>
    <s v="Mobile Payment"/>
    <n v="3"/>
    <s v="November"/>
    <x v="3"/>
    <n v="2024"/>
    <m/>
  </r>
  <r>
    <x v="690"/>
    <d v="2024-11-14T00:00:00"/>
    <s v="Mrs. Monica Wilson MD"/>
    <s v="North"/>
    <s v="Kano"/>
    <s v="Home Office"/>
    <s v="Electronics"/>
    <s v="Printer"/>
    <n v="5"/>
    <n v="460.11"/>
    <n v="0.15"/>
    <n v="1955.47"/>
    <n v="1440.3"/>
    <n v="515.16999999999996"/>
    <s v="Card"/>
    <n v="5"/>
    <s v="November"/>
    <x v="3"/>
    <n v="2024"/>
    <m/>
  </r>
  <r>
    <x v="691"/>
    <d v="2024-09-14T00:00:00"/>
    <s v="Mr. Ryan Jimenez"/>
    <s v="North"/>
    <s v="Kano"/>
    <s v="Consumer"/>
    <s v="Electronics"/>
    <s v="Printer"/>
    <n v="8"/>
    <n v="1184.1600000000001"/>
    <n v="0.05"/>
    <n v="8999.6200000000008"/>
    <n v="5924.18"/>
    <n v="3075.44"/>
    <s v="Cash"/>
    <n v="2"/>
    <s v="September"/>
    <x v="1"/>
    <n v="2024"/>
    <m/>
  </r>
  <r>
    <x v="692"/>
    <d v="2024-10-07T00:00:00"/>
    <s v="Robert Hawkins"/>
    <s v="West"/>
    <s v="Kano"/>
    <s v="Consumer"/>
    <s v="Clothing"/>
    <s v="Sneakers"/>
    <n v="12"/>
    <n v="64.069999999999993"/>
    <n v="0.15"/>
    <n v="653.51"/>
    <n v="541.84"/>
    <n v="111.67"/>
    <s v="Cash"/>
    <n v="5"/>
    <s v="October"/>
    <x v="3"/>
    <n v="2024"/>
    <m/>
  </r>
  <r>
    <x v="693"/>
    <d v="2024-01-04T00:00:00"/>
    <s v="Natalie Wyatt"/>
    <s v="South"/>
    <s v="Kano"/>
    <s v="Corporate"/>
    <s v="Electronics"/>
    <s v="Tablet"/>
    <n v="7"/>
    <n v="107.62"/>
    <n v="0.15"/>
    <n v="640.34"/>
    <n v="447.75"/>
    <n v="192.59"/>
    <s v="Transfer"/>
    <n v="5"/>
    <s v="January"/>
    <x v="0"/>
    <n v="2024"/>
    <m/>
  </r>
  <r>
    <x v="694"/>
    <d v="2024-08-17T00:00:00"/>
    <s v="Alex Fletcher"/>
    <s v="Central"/>
    <s v="Abuja"/>
    <s v="Corporate"/>
    <s v="Electronics"/>
    <s v="Laptop"/>
    <n v="3"/>
    <n v="924.29"/>
    <n v="0.15"/>
    <n v="2356.94"/>
    <n v="1483.88"/>
    <n v="873.06"/>
    <s v="Transfer"/>
    <n v="2"/>
    <s v="August"/>
    <x v="1"/>
    <n v="2024"/>
    <m/>
  </r>
  <r>
    <x v="695"/>
    <d v="2024-03-03T00:00:00"/>
    <s v="Katie Yang"/>
    <s v="West"/>
    <s v="Ibadan"/>
    <s v="Home Office"/>
    <s v="Office Supplies"/>
    <s v="Paper"/>
    <n v="2"/>
    <n v="489.93"/>
    <n v="0.15"/>
    <n v="832.88"/>
    <n v="651.71"/>
    <n v="181.17"/>
    <s v="Cash"/>
    <n v="3"/>
    <s v="March"/>
    <x v="0"/>
    <n v="2024"/>
    <m/>
  </r>
  <r>
    <x v="696"/>
    <d v="2024-11-05T00:00:00"/>
    <s v="Terry Love"/>
    <s v="East"/>
    <s v="Port Harcourt"/>
    <s v="Corporate"/>
    <s v="Office Supplies"/>
    <s v="Notebook"/>
    <n v="12"/>
    <n v="300.08"/>
    <n v="0.1"/>
    <n v="3240.86"/>
    <n v="2052.0300000000002"/>
    <n v="1188.83"/>
    <s v="Card"/>
    <n v="5"/>
    <s v="November"/>
    <x v="3"/>
    <n v="2024"/>
    <m/>
  </r>
  <r>
    <x v="697"/>
    <d v="2024-08-12T00:00:00"/>
    <s v="Henry Thomas"/>
    <s v="Central"/>
    <s v="Lagos"/>
    <s v="Home Office"/>
    <s v="Office Supplies"/>
    <s v="Pen"/>
    <n v="7"/>
    <n v="609.42999999999995"/>
    <n v="0.15"/>
    <n v="3626.11"/>
    <n v="2407.9699999999998"/>
    <n v="1218.1400000000001"/>
    <s v="Card"/>
    <n v="2"/>
    <s v="August"/>
    <x v="1"/>
    <n v="2024"/>
    <m/>
  </r>
  <r>
    <x v="698"/>
    <d v="2024-11-19T00:00:00"/>
    <s v="Julie Collins"/>
    <s v="West"/>
    <s v="Lagos"/>
    <s v="Home Office"/>
    <s v="Electronics"/>
    <s v="Tablet"/>
    <n v="4"/>
    <n v="210.68"/>
    <n v="0"/>
    <n v="842.72"/>
    <n v="690.39"/>
    <n v="152.33000000000001"/>
    <s v="Cash"/>
    <n v="2"/>
    <s v="November"/>
    <x v="3"/>
    <n v="2024"/>
    <m/>
  </r>
  <r>
    <x v="699"/>
    <d v="2024-09-22T00:00:00"/>
    <s v="Catherine Williams"/>
    <s v="North"/>
    <s v="Port Harcourt"/>
    <s v="Corporate"/>
    <s v="Electronics"/>
    <s v="Tablet"/>
    <n v="8"/>
    <n v="731.21"/>
    <n v="0.15"/>
    <n v="4972.2299999999996"/>
    <n v="2564.16"/>
    <n v="2408.0700000000002"/>
    <s v="Cash"/>
    <n v="2"/>
    <s v="September"/>
    <x v="1"/>
    <n v="2024"/>
    <m/>
  </r>
  <r>
    <x v="700"/>
    <d v="2024-04-16T00:00:00"/>
    <s v="Ryan Duffy"/>
    <s v="West"/>
    <s v="Ibadan"/>
    <s v="Consumer"/>
    <s v="Office Supplies"/>
    <s v="Notebook"/>
    <n v="3"/>
    <n v="13.74"/>
    <n v="0"/>
    <n v="41.22"/>
    <n v="26.73"/>
    <n v="14.49"/>
    <s v="Cash"/>
    <n v="2"/>
    <s v="April"/>
    <x v="2"/>
    <n v="2024"/>
    <m/>
  </r>
  <r>
    <x v="701"/>
    <d v="2024-10-19T00:00:00"/>
    <s v="Kelly Washington"/>
    <s v="North"/>
    <s v="Port Harcourt"/>
    <s v="Consumer"/>
    <s v="Office Supplies"/>
    <s v="Paper"/>
    <n v="8"/>
    <n v="217.67"/>
    <n v="0.15"/>
    <n v="1480.16"/>
    <n v="964.12"/>
    <n v="516.04"/>
    <s v="Mobile Payment"/>
    <n v="3"/>
    <s v="October"/>
    <x v="3"/>
    <n v="2024"/>
    <m/>
  </r>
  <r>
    <x v="702"/>
    <d v="2024-08-18T00:00:00"/>
    <s v="Penny Vance"/>
    <s v="Central"/>
    <s v="Ibadan"/>
    <s v="Corporate"/>
    <s v="Clothing"/>
    <s v="Jacket"/>
    <n v="1"/>
    <n v="709.37"/>
    <n v="0.1"/>
    <n v="638.42999999999995"/>
    <n v="336.97"/>
    <n v="301.45999999999998"/>
    <s v="Card"/>
    <n v="5"/>
    <s v="August"/>
    <x v="1"/>
    <n v="2024"/>
    <m/>
  </r>
  <r>
    <x v="703"/>
    <d v="2024-09-01T00:00:00"/>
    <s v="Susan Wright"/>
    <s v="South"/>
    <s v="Lagos"/>
    <s v="Home Office"/>
    <s v="Clothing"/>
    <s v="Jacket"/>
    <n v="11"/>
    <n v="332.76"/>
    <n v="0.15"/>
    <n v="3111.31"/>
    <n v="2114"/>
    <n v="997.31"/>
    <s v="Cash"/>
    <n v="2"/>
    <s v="September"/>
    <x v="1"/>
    <n v="2024"/>
    <m/>
  </r>
  <r>
    <x v="704"/>
    <d v="2024-12-12T00:00:00"/>
    <s v="Jacqueline Cannon"/>
    <s v="East"/>
    <s v="Port Harcourt"/>
    <s v="Corporate"/>
    <s v="Clothing"/>
    <s v="T-Shirt"/>
    <n v="3"/>
    <n v="720.78"/>
    <n v="0"/>
    <n v="2162.34"/>
    <n v="1616.88"/>
    <n v="545.46"/>
    <s v="Transfer"/>
    <n v="5"/>
    <s v="December"/>
    <x v="3"/>
    <n v="2024"/>
    <m/>
  </r>
  <r>
    <x v="705"/>
    <d v="2024-12-24T00:00:00"/>
    <s v="Ashley Welch"/>
    <s v="East"/>
    <s v="Lagos"/>
    <s v="Consumer"/>
    <s v="Electronics"/>
    <s v="Laptop"/>
    <n v="12"/>
    <n v="381.62"/>
    <n v="0"/>
    <n v="4579.4399999999996"/>
    <n v="3843.49"/>
    <n v="735.95"/>
    <s v="Transfer"/>
    <n v="2"/>
    <s v="December"/>
    <x v="3"/>
    <n v="2024"/>
    <m/>
  </r>
  <r>
    <x v="706"/>
    <d v="2024-02-20T00:00:00"/>
    <s v="April Martin"/>
    <s v="North"/>
    <s v="Port Harcourt"/>
    <s v="Home Office"/>
    <s v="Clothing"/>
    <s v="Jacket"/>
    <n v="2"/>
    <n v="453"/>
    <n v="0.15"/>
    <n v="770.1"/>
    <n v="591.1"/>
    <n v="179"/>
    <s v="Mobile Payment"/>
    <n v="1"/>
    <s v="February"/>
    <x v="0"/>
    <n v="2024"/>
    <m/>
  </r>
  <r>
    <x v="707"/>
    <d v="2024-06-30T00:00:00"/>
    <s v="Amy Brown"/>
    <s v="East"/>
    <s v="Port Harcourt"/>
    <s v="Corporate"/>
    <s v="Office Supplies"/>
    <s v="Notebook"/>
    <n v="3"/>
    <n v="683.01"/>
    <n v="0.05"/>
    <n v="1946.58"/>
    <n v="1184.54"/>
    <n v="762.04"/>
    <s v="Cash"/>
    <n v="3"/>
    <s v="June"/>
    <x v="2"/>
    <n v="2024"/>
    <m/>
  </r>
  <r>
    <x v="708"/>
    <d v="2024-06-27T00:00:00"/>
    <s v="Sean Nguyen"/>
    <s v="West"/>
    <s v="Kano"/>
    <s v="Consumer"/>
    <s v="Electronics"/>
    <s v="Printer"/>
    <n v="10"/>
    <n v="638.55999999999995"/>
    <n v="0.1"/>
    <n v="5747.04"/>
    <n v="3949.94"/>
    <n v="1797.1"/>
    <s v="Transfer"/>
    <n v="4"/>
    <s v="June"/>
    <x v="2"/>
    <n v="2024"/>
    <m/>
  </r>
  <r>
    <x v="709"/>
    <d v="2024-08-04T00:00:00"/>
    <s v="John Miller"/>
    <s v="North"/>
    <s v="Port Harcourt"/>
    <s v="Home Office"/>
    <s v="Furniture"/>
    <s v="Chair"/>
    <n v="7"/>
    <n v="517.97"/>
    <n v="0"/>
    <n v="3625.79"/>
    <n v="1921.8"/>
    <n v="1703.99"/>
    <s v="Mobile Payment"/>
    <n v="3"/>
    <s v="August"/>
    <x v="1"/>
    <n v="2024"/>
    <m/>
  </r>
  <r>
    <x v="710"/>
    <d v="2024-08-09T00:00:00"/>
    <s v="Misty Lewis"/>
    <s v="West"/>
    <s v="Ibadan"/>
    <s v="Consumer"/>
    <s v="Furniture"/>
    <s v="Chair"/>
    <n v="8"/>
    <n v="472.21"/>
    <n v="0"/>
    <n v="3777.68"/>
    <n v="2327.9699999999998"/>
    <n v="1449.71"/>
    <s v="Cash"/>
    <n v="1"/>
    <s v="August"/>
    <x v="1"/>
    <n v="2024"/>
    <m/>
  </r>
  <r>
    <x v="711"/>
    <d v="2024-08-17T00:00:00"/>
    <s v="Brandi Evans"/>
    <s v="East"/>
    <s v="Kano"/>
    <s v="Consumer"/>
    <s v="Electronics"/>
    <s v="Tablet"/>
    <n v="8"/>
    <n v="177.37"/>
    <n v="0"/>
    <n v="1418.96"/>
    <n v="849.61"/>
    <n v="569.35"/>
    <s v="Transfer"/>
    <n v="5"/>
    <s v="August"/>
    <x v="1"/>
    <n v="2024"/>
    <m/>
  </r>
  <r>
    <x v="712"/>
    <d v="2024-11-19T00:00:00"/>
    <s v="Joseph Garcia"/>
    <s v="West"/>
    <s v="Abuja"/>
    <s v="Home Office"/>
    <s v="Electronics"/>
    <s v="Laptop"/>
    <n v="9"/>
    <n v="1182.57"/>
    <n v="0"/>
    <n v="10643.13"/>
    <n v="7804.48"/>
    <n v="2838.65"/>
    <s v="Mobile Payment"/>
    <n v="3"/>
    <s v="November"/>
    <x v="3"/>
    <n v="2024"/>
    <m/>
  </r>
  <r>
    <x v="713"/>
    <d v="2024-12-08T00:00:00"/>
    <s v="Christopher Mitchell"/>
    <s v="East"/>
    <s v="Kano"/>
    <s v="Home Office"/>
    <s v="Office Supplies"/>
    <s v="Paper"/>
    <n v="3"/>
    <n v="465.12"/>
    <n v="0"/>
    <n v="1395.36"/>
    <n v="850.55"/>
    <n v="544.80999999999995"/>
    <s v="Transfer"/>
    <n v="3"/>
    <s v="December"/>
    <x v="3"/>
    <n v="2024"/>
    <m/>
  </r>
  <r>
    <x v="714"/>
    <d v="2024-09-05T00:00:00"/>
    <s v="Anita Jennings"/>
    <s v="East"/>
    <s v="Lagos"/>
    <s v="Consumer"/>
    <s v="Office Supplies"/>
    <s v="Pen"/>
    <n v="8"/>
    <n v="181.93"/>
    <n v="0.15"/>
    <n v="1237.1199999999999"/>
    <n v="755.35"/>
    <n v="481.77"/>
    <s v="Card"/>
    <n v="1"/>
    <s v="September"/>
    <x v="1"/>
    <n v="2024"/>
    <m/>
  </r>
  <r>
    <x v="715"/>
    <d v="2024-12-14T00:00:00"/>
    <s v="Michael Hardy"/>
    <s v="West"/>
    <s v="Abuja"/>
    <s v="Home Office"/>
    <s v="Clothing"/>
    <s v="Sneakers"/>
    <n v="12"/>
    <n v="157.24"/>
    <n v="0.1"/>
    <n v="1698.19"/>
    <n v="1272.05"/>
    <n v="426.14"/>
    <s v="Mobile Payment"/>
    <n v="1"/>
    <s v="December"/>
    <x v="3"/>
    <n v="2024"/>
    <m/>
  </r>
  <r>
    <x v="716"/>
    <d v="2024-05-16T00:00:00"/>
    <s v="Darren Brown"/>
    <s v="East"/>
    <s v="Ibadan"/>
    <s v="Home Office"/>
    <s v="Electronics"/>
    <s v="Tablet"/>
    <n v="2"/>
    <n v="1030.1099999999999"/>
    <n v="0.1"/>
    <n v="1854.2"/>
    <n v="1206.19"/>
    <n v="648.01"/>
    <s v="Card"/>
    <n v="2"/>
    <s v="May"/>
    <x v="2"/>
    <n v="2024"/>
    <m/>
  </r>
  <r>
    <x v="717"/>
    <d v="2024-11-11T00:00:00"/>
    <s v="Kevin Ramirez"/>
    <s v="Central"/>
    <s v="Kano"/>
    <s v="Home Office"/>
    <s v="Electronics"/>
    <s v="Tablet"/>
    <n v="5"/>
    <n v="142.16"/>
    <n v="0.15"/>
    <n v="604.17999999999995"/>
    <n v="475.5"/>
    <n v="128.68"/>
    <s v="Card"/>
    <n v="5"/>
    <s v="November"/>
    <x v="3"/>
    <n v="2024"/>
    <m/>
  </r>
  <r>
    <x v="718"/>
    <d v="2024-01-24T00:00:00"/>
    <s v="Jennifer Copeland"/>
    <s v="Central"/>
    <s v="Abuja"/>
    <s v="Home Office"/>
    <s v="Electronics"/>
    <s v="Laptop"/>
    <n v="11"/>
    <n v="277.05"/>
    <n v="0.1"/>
    <n v="2742.8"/>
    <n v="2175.16"/>
    <n v="567.64"/>
    <s v="Cash"/>
    <n v="3"/>
    <s v="January"/>
    <x v="0"/>
    <n v="2024"/>
    <m/>
  </r>
  <r>
    <x v="719"/>
    <d v="2024-09-28T00:00:00"/>
    <s v="Robin Aguilar"/>
    <s v="Central"/>
    <s v="Kano"/>
    <s v="Consumer"/>
    <s v="Furniture"/>
    <s v="Chair"/>
    <n v="7"/>
    <n v="638.08000000000004"/>
    <n v="0.05"/>
    <n v="4243.2299999999996"/>
    <n v="2685.72"/>
    <n v="1557.51"/>
    <s v="Mobile Payment"/>
    <n v="2"/>
    <s v="September"/>
    <x v="1"/>
    <n v="2024"/>
    <m/>
  </r>
  <r>
    <x v="720"/>
    <d v="2024-03-09T00:00:00"/>
    <s v="Melanie Frey"/>
    <s v="West"/>
    <s v="Abuja"/>
    <s v="Consumer"/>
    <s v="Electronics"/>
    <s v="Printer"/>
    <n v="8"/>
    <n v="67.28"/>
    <n v="0.05"/>
    <n v="511.33"/>
    <n v="301.14999999999998"/>
    <n v="210.18"/>
    <s v="Mobile Payment"/>
    <n v="2"/>
    <s v="March"/>
    <x v="0"/>
    <n v="2024"/>
    <m/>
  </r>
  <r>
    <x v="721"/>
    <d v="2024-12-10T00:00:00"/>
    <s v="Mary Jensen DVM"/>
    <s v="Central"/>
    <s v="Ibadan"/>
    <s v="Home Office"/>
    <s v="Electronics"/>
    <s v="Printer"/>
    <n v="4"/>
    <n v="676"/>
    <n v="0.15"/>
    <n v="2298.4"/>
    <n v="1754.33"/>
    <n v="544.07000000000005"/>
    <s v="Mobile Payment"/>
    <n v="5"/>
    <s v="December"/>
    <x v="3"/>
    <n v="2024"/>
    <m/>
  </r>
  <r>
    <x v="722"/>
    <d v="2024-08-05T00:00:00"/>
    <s v="Marcus Valencia MD"/>
    <s v="South"/>
    <s v="Port Harcourt"/>
    <s v="Home Office"/>
    <s v="Furniture"/>
    <s v="Cabinet"/>
    <n v="5"/>
    <n v="194.45"/>
    <n v="0.15"/>
    <n v="826.41"/>
    <n v="508.76"/>
    <n v="317.64999999999998"/>
    <s v="Transfer"/>
    <n v="2"/>
    <s v="August"/>
    <x v="1"/>
    <n v="2024"/>
    <m/>
  </r>
  <r>
    <x v="723"/>
    <d v="2024-07-03T00:00:00"/>
    <s v="Wanda White"/>
    <s v="South"/>
    <s v="Lagos"/>
    <s v="Corporate"/>
    <s v="Furniture"/>
    <s v="Desk"/>
    <n v="3"/>
    <n v="216.6"/>
    <n v="0"/>
    <n v="649.79999999999995"/>
    <n v="411.09"/>
    <n v="238.71"/>
    <s v="Transfer"/>
    <n v="4"/>
    <s v="July"/>
    <x v="1"/>
    <n v="2024"/>
    <m/>
  </r>
  <r>
    <x v="724"/>
    <d v="2024-03-19T00:00:00"/>
    <s v="Fernando Rollins"/>
    <s v="West"/>
    <s v="Ibadan"/>
    <s v="Home Office"/>
    <s v="Office Supplies"/>
    <s v="Notebook"/>
    <n v="11"/>
    <n v="782.86"/>
    <n v="0.15"/>
    <n v="7319.74"/>
    <n v="4844.8"/>
    <n v="2474.94"/>
    <s v="Card"/>
    <n v="1"/>
    <s v="March"/>
    <x v="0"/>
    <n v="2024"/>
    <m/>
  </r>
  <r>
    <x v="725"/>
    <d v="2024-11-23T00:00:00"/>
    <s v="Catherine Chapman"/>
    <s v="East"/>
    <s v="Ibadan"/>
    <s v="Home Office"/>
    <s v="Clothing"/>
    <s v="Jacket"/>
    <n v="12"/>
    <n v="42.01"/>
    <n v="0.15"/>
    <n v="428.5"/>
    <n v="336.73"/>
    <n v="91.77"/>
    <s v="Mobile Payment"/>
    <n v="4"/>
    <s v="November"/>
    <x v="3"/>
    <n v="2024"/>
    <m/>
  </r>
  <r>
    <x v="726"/>
    <d v="2024-06-03T00:00:00"/>
    <s v="Nicole Weaver"/>
    <s v="South"/>
    <s v="Lagos"/>
    <s v="Consumer"/>
    <s v="Electronics"/>
    <s v="Phone"/>
    <n v="4"/>
    <n v="860.91"/>
    <n v="0"/>
    <n v="3443.64"/>
    <n v="1872.44"/>
    <n v="1571.2"/>
    <s v="Transfer"/>
    <n v="1"/>
    <s v="June"/>
    <x v="2"/>
    <n v="2024"/>
    <m/>
  </r>
  <r>
    <x v="727"/>
    <d v="2024-11-27T00:00:00"/>
    <s v="Sandra Jensen"/>
    <s v="North"/>
    <s v="Kano"/>
    <s v="Consumer"/>
    <s v="Office Supplies"/>
    <s v="Notebook"/>
    <n v="10"/>
    <n v="312.68"/>
    <n v="0.15"/>
    <n v="2657.78"/>
    <n v="1377.02"/>
    <n v="1280.76"/>
    <s v="Card"/>
    <n v="4"/>
    <s v="November"/>
    <x v="3"/>
    <n v="2024"/>
    <m/>
  </r>
  <r>
    <x v="728"/>
    <d v="2024-11-04T00:00:00"/>
    <s v="Julie Allen"/>
    <s v="West"/>
    <s v="Lagos"/>
    <s v="Consumer"/>
    <s v="Office Supplies"/>
    <s v="Notebook"/>
    <n v="12"/>
    <n v="949.12"/>
    <n v="0.15"/>
    <n v="9681.02"/>
    <n v="7880.11"/>
    <n v="1800.91"/>
    <s v="Cash"/>
    <n v="3"/>
    <s v="November"/>
    <x v="3"/>
    <n v="2024"/>
    <m/>
  </r>
  <r>
    <x v="729"/>
    <d v="2024-02-14T00:00:00"/>
    <s v="Marcia Torres"/>
    <s v="South"/>
    <s v="Ibadan"/>
    <s v="Home Office"/>
    <s v="Office Supplies"/>
    <s v="Notebook"/>
    <n v="3"/>
    <n v="1136.45"/>
    <n v="0.1"/>
    <n v="3068.42"/>
    <n v="1839.39"/>
    <n v="1229.03"/>
    <s v="Cash"/>
    <n v="3"/>
    <s v="February"/>
    <x v="0"/>
    <n v="2024"/>
    <m/>
  </r>
  <r>
    <x v="730"/>
    <d v="2024-03-11T00:00:00"/>
    <s v="Frederick Johnson"/>
    <s v="South"/>
    <s v="Port Harcourt"/>
    <s v="Corporate"/>
    <s v="Electronics"/>
    <s v="Printer"/>
    <n v="10"/>
    <n v="409.14"/>
    <n v="0.1"/>
    <n v="3682.26"/>
    <n v="2142.84"/>
    <n v="1539.42"/>
    <s v="Transfer"/>
    <n v="2"/>
    <s v="March"/>
    <x v="0"/>
    <n v="2024"/>
    <m/>
  </r>
  <r>
    <x v="731"/>
    <d v="2024-08-12T00:00:00"/>
    <s v="John Robles"/>
    <s v="North"/>
    <s v="Ibadan"/>
    <s v="Home Office"/>
    <s v="Electronics"/>
    <s v="Phone"/>
    <n v="9"/>
    <n v="274.08999999999997"/>
    <n v="0"/>
    <n v="2466.81"/>
    <n v="1979.4"/>
    <n v="487.41"/>
    <s v="Transfer"/>
    <n v="1"/>
    <s v="August"/>
    <x v="1"/>
    <n v="2024"/>
    <m/>
  </r>
  <r>
    <x v="732"/>
    <d v="2024-09-21T00:00:00"/>
    <s v="Barbara Parrish"/>
    <s v="West"/>
    <s v="Kano"/>
    <s v="Home Office"/>
    <s v="Electronics"/>
    <s v="Tablet"/>
    <n v="12"/>
    <n v="891.68"/>
    <n v="0.05"/>
    <n v="10165.15"/>
    <n v="7657.37"/>
    <n v="2507.7800000000002"/>
    <s v="Transfer"/>
    <n v="2"/>
    <s v="September"/>
    <x v="1"/>
    <n v="2024"/>
    <m/>
  </r>
  <r>
    <x v="733"/>
    <d v="2024-05-26T00:00:00"/>
    <s v="Jimmy Morrison"/>
    <s v="North"/>
    <s v="Lagos"/>
    <s v="Corporate"/>
    <s v="Office Supplies"/>
    <s v="Pen"/>
    <n v="5"/>
    <n v="456.61"/>
    <n v="0.05"/>
    <n v="2168.9"/>
    <n v="1347.45"/>
    <n v="821.45"/>
    <s v="Card"/>
    <n v="1"/>
    <s v="May"/>
    <x v="2"/>
    <n v="2024"/>
    <m/>
  </r>
  <r>
    <x v="734"/>
    <d v="2024-10-26T00:00:00"/>
    <s v="Stephanie Mitchell"/>
    <s v="West"/>
    <s v="Abuja"/>
    <s v="Consumer"/>
    <s v="Office Supplies"/>
    <s v="Notebook"/>
    <n v="8"/>
    <n v="395.25"/>
    <n v="0.15"/>
    <n v="2687.7"/>
    <n v="1759.57"/>
    <n v="928.13"/>
    <s v="Mobile Payment"/>
    <n v="2"/>
    <s v="October"/>
    <x v="3"/>
    <n v="2024"/>
    <m/>
  </r>
  <r>
    <x v="735"/>
    <d v="2024-09-21T00:00:00"/>
    <s v="Thomas Barnett"/>
    <s v="Central"/>
    <s v="Lagos"/>
    <s v="Home Office"/>
    <s v="Clothing"/>
    <s v="Sneakers"/>
    <n v="1"/>
    <n v="379.68"/>
    <n v="0.1"/>
    <n v="341.71"/>
    <n v="287.41000000000003"/>
    <n v="54.3"/>
    <s v="Transfer"/>
    <n v="5"/>
    <s v="September"/>
    <x v="1"/>
    <n v="2024"/>
    <m/>
  </r>
  <r>
    <x v="736"/>
    <d v="2024-08-07T00:00:00"/>
    <s v="Tamara Watson"/>
    <s v="West"/>
    <s v="Abuja"/>
    <s v="Consumer"/>
    <s v="Office Supplies"/>
    <s v="Notebook"/>
    <n v="5"/>
    <n v="434.24"/>
    <n v="0.15"/>
    <n v="1845.52"/>
    <n v="1151.82"/>
    <n v="693.7"/>
    <s v="Card"/>
    <n v="5"/>
    <s v="August"/>
    <x v="1"/>
    <n v="2024"/>
    <m/>
  </r>
  <r>
    <x v="737"/>
    <d v="2024-06-22T00:00:00"/>
    <s v="Amanda Mays"/>
    <s v="Central"/>
    <s v="Ibadan"/>
    <s v="Consumer"/>
    <s v="Electronics"/>
    <s v="Phone"/>
    <n v="1"/>
    <n v="950.82"/>
    <n v="0.15"/>
    <n v="808.2"/>
    <n v="481.52"/>
    <n v="326.68"/>
    <s v="Mobile Payment"/>
    <n v="1"/>
    <s v="June"/>
    <x v="2"/>
    <n v="2024"/>
    <m/>
  </r>
  <r>
    <x v="738"/>
    <d v="2024-12-13T00:00:00"/>
    <s v="Kimberly Wall"/>
    <s v="South"/>
    <s v="Abuja"/>
    <s v="Home Office"/>
    <s v="Clothing"/>
    <s v="T-Shirt"/>
    <n v="9"/>
    <n v="1149.55"/>
    <n v="0.05"/>
    <n v="9828.65"/>
    <n v="6604.44"/>
    <n v="3224.21"/>
    <s v="Mobile Payment"/>
    <n v="1"/>
    <s v="December"/>
    <x v="3"/>
    <n v="2024"/>
    <m/>
  </r>
  <r>
    <x v="739"/>
    <d v="2024-07-20T00:00:00"/>
    <s v="Zachary Hanna"/>
    <s v="North"/>
    <s v="Kano"/>
    <s v="Corporate"/>
    <s v="Office Supplies"/>
    <s v="Pen"/>
    <n v="2"/>
    <n v="138.16"/>
    <n v="0"/>
    <n v="276.32"/>
    <n v="176.69"/>
    <n v="99.63"/>
    <s v="Cash"/>
    <n v="1"/>
    <s v="July"/>
    <x v="1"/>
    <n v="2024"/>
    <m/>
  </r>
  <r>
    <x v="740"/>
    <d v="2024-10-27T00:00:00"/>
    <s v="Nicholas Decker"/>
    <s v="Central"/>
    <s v="Ibadan"/>
    <s v="Home Office"/>
    <s v="Clothing"/>
    <s v="Sneakers"/>
    <n v="2"/>
    <n v="290.14999999999998"/>
    <n v="0.05"/>
    <n v="551.28"/>
    <n v="291.94"/>
    <n v="259.33999999999997"/>
    <s v="Cash"/>
    <n v="5"/>
    <s v="October"/>
    <x v="3"/>
    <n v="2024"/>
    <m/>
  </r>
  <r>
    <x v="741"/>
    <d v="2024-07-28T00:00:00"/>
    <s v="Timothy Lopez"/>
    <s v="South"/>
    <s v="Ibadan"/>
    <s v="Corporate"/>
    <s v="Office Supplies"/>
    <s v="Paper"/>
    <n v="3"/>
    <n v="323.02"/>
    <n v="0"/>
    <n v="969.06"/>
    <n v="504.06"/>
    <n v="465"/>
    <s v="Mobile Payment"/>
    <n v="1"/>
    <s v="July"/>
    <x v="1"/>
    <n v="2024"/>
    <m/>
  </r>
  <r>
    <x v="742"/>
    <d v="2024-06-29T00:00:00"/>
    <s v="Catherine Chapman"/>
    <s v="South"/>
    <s v="Port Harcourt"/>
    <s v="Corporate"/>
    <s v="Electronics"/>
    <s v="Phone"/>
    <n v="11"/>
    <n v="228.49"/>
    <n v="0.1"/>
    <n v="2262.0500000000002"/>
    <n v="1189.9000000000001"/>
    <n v="1072.1500000000001"/>
    <s v="Card"/>
    <n v="1"/>
    <s v="June"/>
    <x v="2"/>
    <n v="2024"/>
    <m/>
  </r>
  <r>
    <x v="743"/>
    <d v="2024-02-07T00:00:00"/>
    <s v="Lawrence Jefferson"/>
    <s v="West"/>
    <s v="Port Harcourt"/>
    <s v="Corporate"/>
    <s v="Electronics"/>
    <s v="Laptop"/>
    <n v="6"/>
    <n v="677"/>
    <n v="0.15"/>
    <n v="3452.7"/>
    <n v="2171.19"/>
    <n v="1281.51"/>
    <s v="Cash"/>
    <n v="4"/>
    <s v="February"/>
    <x v="0"/>
    <n v="2024"/>
    <m/>
  </r>
  <r>
    <x v="744"/>
    <d v="2024-07-12T00:00:00"/>
    <s v="Laura Hatfield"/>
    <s v="North"/>
    <s v="Abuja"/>
    <s v="Corporate"/>
    <s v="Office Supplies"/>
    <s v="Paper"/>
    <n v="11"/>
    <n v="46.09"/>
    <n v="0"/>
    <n v="506.99"/>
    <n v="364.6"/>
    <n v="142.38999999999999"/>
    <s v="Transfer"/>
    <n v="4"/>
    <s v="July"/>
    <x v="1"/>
    <n v="2024"/>
    <m/>
  </r>
  <r>
    <x v="745"/>
    <d v="2024-11-24T00:00:00"/>
    <s v="Sandra Clark"/>
    <s v="South"/>
    <s v="Port Harcourt"/>
    <s v="Consumer"/>
    <s v="Office Supplies"/>
    <s v="Pen"/>
    <n v="3"/>
    <n v="442.86"/>
    <n v="0.05"/>
    <n v="1262.1500000000001"/>
    <n v="944.1"/>
    <n v="318.05"/>
    <s v="Transfer"/>
    <n v="4"/>
    <s v="November"/>
    <x v="3"/>
    <n v="2024"/>
    <m/>
  </r>
  <r>
    <x v="746"/>
    <d v="2024-09-05T00:00:00"/>
    <s v="Kelly Quinn"/>
    <s v="South"/>
    <s v="Abuja"/>
    <s v="Consumer"/>
    <s v="Clothing"/>
    <s v="Sneakers"/>
    <n v="4"/>
    <n v="542.49"/>
    <n v="0.15"/>
    <n v="1844.47"/>
    <n v="1055.6400000000001"/>
    <n v="788.83"/>
    <s v="Transfer"/>
    <n v="2"/>
    <s v="September"/>
    <x v="1"/>
    <n v="2024"/>
    <m/>
  </r>
  <r>
    <x v="747"/>
    <d v="2024-09-18T00:00:00"/>
    <s v="Deanna Marshall"/>
    <s v="West"/>
    <s v="Ibadan"/>
    <s v="Corporate"/>
    <s v="Clothing"/>
    <s v="T-Shirt"/>
    <n v="1"/>
    <n v="920.84"/>
    <n v="0"/>
    <n v="920.84"/>
    <n v="705.1"/>
    <n v="215.74"/>
    <s v="Card"/>
    <n v="1"/>
    <s v="September"/>
    <x v="1"/>
    <n v="2024"/>
    <m/>
  </r>
  <r>
    <x v="748"/>
    <d v="2024-02-26T00:00:00"/>
    <s v="Courtney Guerrero"/>
    <s v="West"/>
    <s v="Lagos"/>
    <s v="Corporate"/>
    <s v="Clothing"/>
    <s v="Sneakers"/>
    <n v="2"/>
    <n v="834.64"/>
    <n v="0"/>
    <n v="1669.28"/>
    <n v="1165.68"/>
    <n v="503.6"/>
    <s v="Mobile Payment"/>
    <n v="1"/>
    <s v="February"/>
    <x v="0"/>
    <n v="2024"/>
    <m/>
  </r>
  <r>
    <x v="749"/>
    <d v="2024-06-25T00:00:00"/>
    <s v="Allen Meyer"/>
    <s v="North"/>
    <s v="Port Harcourt"/>
    <s v="Corporate"/>
    <s v="Furniture"/>
    <s v="Cabinet"/>
    <n v="9"/>
    <n v="164.1"/>
    <n v="0.15"/>
    <n v="1255.3599999999999"/>
    <n v="678.22"/>
    <n v="577.14"/>
    <s v="Transfer"/>
    <n v="4"/>
    <s v="June"/>
    <x v="2"/>
    <n v="2024"/>
    <m/>
  </r>
  <r>
    <x v="750"/>
    <d v="2024-02-02T00:00:00"/>
    <s v="Mitchell Mcmillan"/>
    <s v="East"/>
    <s v="Abuja"/>
    <s v="Consumer"/>
    <s v="Furniture"/>
    <s v="Desk"/>
    <n v="1"/>
    <n v="29.87"/>
    <n v="0"/>
    <n v="29.87"/>
    <n v="21.1"/>
    <n v="8.77"/>
    <s v="Cash"/>
    <n v="4"/>
    <s v="February"/>
    <x v="0"/>
    <n v="2024"/>
    <m/>
  </r>
  <r>
    <x v="751"/>
    <d v="2024-08-31T00:00:00"/>
    <s v="Kyle Crosby"/>
    <s v="South"/>
    <s v="Kano"/>
    <s v="Consumer"/>
    <s v="Clothing"/>
    <s v="Sneakers"/>
    <n v="4"/>
    <n v="746.83"/>
    <n v="0.1"/>
    <n v="2688.59"/>
    <n v="1646.18"/>
    <n v="1042.4100000000001"/>
    <s v="Card"/>
    <n v="3"/>
    <s v="August"/>
    <x v="1"/>
    <n v="2024"/>
    <m/>
  </r>
  <r>
    <x v="752"/>
    <d v="2024-10-04T00:00:00"/>
    <s v="Christina Brown"/>
    <s v="Central"/>
    <s v="Ibadan"/>
    <s v="Corporate"/>
    <s v="Office Supplies"/>
    <s v="Notebook"/>
    <n v="7"/>
    <n v="893.46"/>
    <n v="0.05"/>
    <n v="5941.51"/>
    <n v="4069.03"/>
    <n v="1872.48"/>
    <s v="Cash"/>
    <n v="4"/>
    <s v="October"/>
    <x v="3"/>
    <n v="2024"/>
    <m/>
  </r>
  <r>
    <x v="753"/>
    <d v="2024-05-23T00:00:00"/>
    <s v="Amanda Kane"/>
    <s v="West"/>
    <s v="Abuja"/>
    <s v="Corporate"/>
    <s v="Clothing"/>
    <s v="Jacket"/>
    <n v="5"/>
    <n v="556.89"/>
    <n v="0"/>
    <n v="2784.45"/>
    <n v="2295.11"/>
    <n v="489.34"/>
    <s v="Transfer"/>
    <n v="5"/>
    <s v="May"/>
    <x v="2"/>
    <n v="2024"/>
    <m/>
  </r>
  <r>
    <x v="754"/>
    <d v="2024-11-05T00:00:00"/>
    <s v="Julian Klein"/>
    <s v="West"/>
    <s v="Abuja"/>
    <s v="Consumer"/>
    <s v="Clothing"/>
    <s v="Sneakers"/>
    <n v="10"/>
    <n v="290.77999999999997"/>
    <n v="0"/>
    <n v="2907.8"/>
    <n v="2364.5300000000002"/>
    <n v="543.27"/>
    <s v="Card"/>
    <n v="2"/>
    <s v="November"/>
    <x v="3"/>
    <n v="2024"/>
    <m/>
  </r>
  <r>
    <x v="755"/>
    <d v="2024-02-19T00:00:00"/>
    <s v="Andrew Klein"/>
    <s v="Central"/>
    <s v="Ibadan"/>
    <s v="Corporate"/>
    <s v="Electronics"/>
    <s v="Phone"/>
    <n v="10"/>
    <n v="512.87"/>
    <n v="0.1"/>
    <n v="4615.83"/>
    <n v="2423.75"/>
    <n v="2192.08"/>
    <s v="Mobile Payment"/>
    <n v="2"/>
    <s v="February"/>
    <x v="0"/>
    <n v="2024"/>
    <m/>
  </r>
  <r>
    <x v="756"/>
    <d v="2024-07-16T00:00:00"/>
    <s v="David Mendoza"/>
    <s v="Central"/>
    <s v="Port Harcourt"/>
    <s v="Home Office"/>
    <s v="Clothing"/>
    <s v="Jacket"/>
    <n v="9"/>
    <n v="189.71"/>
    <n v="0"/>
    <n v="1707.39"/>
    <n v="1000.85"/>
    <n v="706.54"/>
    <s v="Mobile Payment"/>
    <n v="4"/>
    <s v="July"/>
    <x v="1"/>
    <n v="2024"/>
    <m/>
  </r>
  <r>
    <x v="757"/>
    <d v="2024-07-04T00:00:00"/>
    <s v="Elizabeth Roberts"/>
    <s v="West"/>
    <s v="Kano"/>
    <s v="Home Office"/>
    <s v="Furniture"/>
    <s v="Desk"/>
    <n v="1"/>
    <n v="630.24"/>
    <n v="0.15"/>
    <n v="535.70000000000005"/>
    <n v="320.33999999999997"/>
    <n v="215.36"/>
    <s v="Transfer"/>
    <n v="4"/>
    <s v="July"/>
    <x v="1"/>
    <n v="2024"/>
    <m/>
  </r>
  <r>
    <x v="758"/>
    <d v="2024-04-08T00:00:00"/>
    <s v="Michael Hughes"/>
    <s v="South"/>
    <s v="Port Harcourt"/>
    <s v="Home Office"/>
    <s v="Office Supplies"/>
    <s v="Pen"/>
    <n v="4"/>
    <n v="1066.06"/>
    <n v="0.1"/>
    <n v="3837.82"/>
    <n v="1974.02"/>
    <n v="1863.8"/>
    <s v="Cash"/>
    <n v="4"/>
    <s v="April"/>
    <x v="2"/>
    <n v="2024"/>
    <m/>
  </r>
  <r>
    <x v="759"/>
    <d v="2024-12-15T00:00:00"/>
    <s v="Donna Reyes"/>
    <s v="North"/>
    <s v="Kano"/>
    <s v="Consumer"/>
    <s v="Electronics"/>
    <s v="Laptop"/>
    <n v="10"/>
    <n v="1006.44"/>
    <n v="0.05"/>
    <n v="9561.18"/>
    <n v="7743"/>
    <n v="1818.18"/>
    <s v="Cash"/>
    <n v="1"/>
    <s v="December"/>
    <x v="3"/>
    <n v="2024"/>
    <m/>
  </r>
  <r>
    <x v="760"/>
    <d v="2024-03-02T00:00:00"/>
    <s v="Nicole Bennett"/>
    <s v="South"/>
    <s v="Abuja"/>
    <s v="Home Office"/>
    <s v="Furniture"/>
    <s v="Chair"/>
    <n v="2"/>
    <n v="463.15"/>
    <n v="0.15"/>
    <n v="787.35"/>
    <n v="650.87"/>
    <n v="136.47999999999999"/>
    <s v="Card"/>
    <n v="4"/>
    <s v="March"/>
    <x v="0"/>
    <n v="2024"/>
    <m/>
  </r>
  <r>
    <x v="761"/>
    <d v="2024-07-24T00:00:00"/>
    <s v="Mr. Gary Allen DVM"/>
    <s v="North"/>
    <s v="Abuja"/>
    <s v="Corporate"/>
    <s v="Furniture"/>
    <s v="Desk"/>
    <n v="3"/>
    <n v="533.35"/>
    <n v="0.05"/>
    <n v="1520.05"/>
    <n v="937.78"/>
    <n v="582.27"/>
    <s v="Card"/>
    <n v="5"/>
    <s v="July"/>
    <x v="1"/>
    <n v="2024"/>
    <m/>
  </r>
  <r>
    <x v="762"/>
    <d v="2024-02-06T00:00:00"/>
    <s v="Erin Rodriguez"/>
    <s v="West"/>
    <s v="Kano"/>
    <s v="Consumer"/>
    <s v="Clothing"/>
    <s v="Jacket"/>
    <n v="11"/>
    <n v="985.62"/>
    <n v="0.1"/>
    <n v="9757.64"/>
    <n v="5309.17"/>
    <n v="4448.47"/>
    <s v="Card"/>
    <n v="2"/>
    <s v="February"/>
    <x v="0"/>
    <n v="2024"/>
    <m/>
  </r>
  <r>
    <x v="763"/>
    <d v="2024-09-30T00:00:00"/>
    <s v="Tonya Shelton"/>
    <s v="North"/>
    <s v="Ibadan"/>
    <s v="Home Office"/>
    <s v="Furniture"/>
    <s v="Desk"/>
    <n v="5"/>
    <n v="304.68"/>
    <n v="0.15"/>
    <n v="1294.8900000000001"/>
    <n v="805.27"/>
    <n v="489.62"/>
    <s v="Transfer"/>
    <n v="2"/>
    <s v="September"/>
    <x v="1"/>
    <n v="2024"/>
    <m/>
  </r>
  <r>
    <x v="764"/>
    <d v="2024-05-29T00:00:00"/>
    <s v="Kevin Todd"/>
    <s v="South"/>
    <s v="Port Harcourt"/>
    <s v="Home Office"/>
    <s v="Electronics"/>
    <s v="Phone"/>
    <n v="12"/>
    <n v="563.16999999999996"/>
    <n v="0.1"/>
    <n v="6082.24"/>
    <n v="4878.5200000000004"/>
    <n v="1203.72"/>
    <s v="Mobile Payment"/>
    <n v="1"/>
    <s v="May"/>
    <x v="2"/>
    <n v="2024"/>
    <m/>
  </r>
  <r>
    <x v="765"/>
    <d v="2024-05-11T00:00:00"/>
    <s v="Lisa Espinoza"/>
    <s v="South"/>
    <s v="Lagos"/>
    <s v="Corporate"/>
    <s v="Office Supplies"/>
    <s v="Notebook"/>
    <n v="2"/>
    <n v="218.6"/>
    <n v="0"/>
    <n v="437.2"/>
    <n v="232.65"/>
    <n v="204.55"/>
    <s v="Transfer"/>
    <n v="2"/>
    <s v="May"/>
    <x v="2"/>
    <n v="2024"/>
    <m/>
  </r>
  <r>
    <x v="766"/>
    <d v="2024-01-06T00:00:00"/>
    <s v="Mark Tucker"/>
    <s v="East"/>
    <s v="Port Harcourt"/>
    <s v="Consumer"/>
    <s v="Electronics"/>
    <s v="Laptop"/>
    <n v="3"/>
    <n v="565.08000000000004"/>
    <n v="0.05"/>
    <n v="1610.48"/>
    <n v="1340.13"/>
    <n v="270.35000000000002"/>
    <s v="Transfer"/>
    <n v="1"/>
    <s v="January"/>
    <x v="0"/>
    <n v="2024"/>
    <m/>
  </r>
  <r>
    <x v="767"/>
    <d v="2024-03-14T00:00:00"/>
    <s v="Brandon Nelson"/>
    <s v="South"/>
    <s v="Port Harcourt"/>
    <s v="Consumer"/>
    <s v="Office Supplies"/>
    <s v="Pen"/>
    <n v="7"/>
    <n v="398.98"/>
    <n v="0.05"/>
    <n v="2653.22"/>
    <n v="2040.02"/>
    <n v="613.20000000000005"/>
    <s v="Card"/>
    <n v="4"/>
    <s v="March"/>
    <x v="0"/>
    <n v="2024"/>
    <m/>
  </r>
  <r>
    <x v="768"/>
    <d v="2024-02-29T00:00:00"/>
    <s v="Brendan Davis"/>
    <s v="South"/>
    <s v="Lagos"/>
    <s v="Consumer"/>
    <s v="Office Supplies"/>
    <s v="Pen"/>
    <n v="1"/>
    <n v="701.37"/>
    <n v="0.1"/>
    <n v="631.23"/>
    <n v="347.12"/>
    <n v="284.11"/>
    <s v="Mobile Payment"/>
    <n v="1"/>
    <s v="February"/>
    <x v="0"/>
    <n v="2024"/>
    <m/>
  </r>
  <r>
    <x v="769"/>
    <d v="2024-05-26T00:00:00"/>
    <s v="Sheryl Lee"/>
    <s v="North"/>
    <s v="Port Harcourt"/>
    <s v="Consumer"/>
    <s v="Clothing"/>
    <s v="T-Shirt"/>
    <n v="3"/>
    <n v="912.33"/>
    <n v="0.1"/>
    <n v="2463.29"/>
    <n v="1564.57"/>
    <n v="898.72"/>
    <s v="Transfer"/>
    <n v="3"/>
    <s v="May"/>
    <x v="2"/>
    <n v="2024"/>
    <m/>
  </r>
  <r>
    <x v="770"/>
    <d v="2024-06-22T00:00:00"/>
    <s v="Linda Bowman"/>
    <s v="South"/>
    <s v="Abuja"/>
    <s v="Home Office"/>
    <s v="Clothing"/>
    <s v="T-Shirt"/>
    <n v="4"/>
    <n v="1150.31"/>
    <n v="0"/>
    <n v="4601.24"/>
    <n v="2303.83"/>
    <n v="2297.41"/>
    <s v="Transfer"/>
    <n v="5"/>
    <s v="June"/>
    <x v="2"/>
    <n v="2024"/>
    <m/>
  </r>
  <r>
    <x v="771"/>
    <d v="2024-10-06T00:00:00"/>
    <s v="John Conner"/>
    <s v="Central"/>
    <s v="Kano"/>
    <s v="Corporate"/>
    <s v="Furniture"/>
    <s v="Cabinet"/>
    <n v="12"/>
    <n v="1018.21"/>
    <n v="0.1"/>
    <n v="10996.67"/>
    <n v="8175.08"/>
    <n v="2821.59"/>
    <s v="Mobile Payment"/>
    <n v="3"/>
    <s v="October"/>
    <x v="3"/>
    <n v="2024"/>
    <m/>
  </r>
  <r>
    <x v="772"/>
    <d v="2024-01-05T00:00:00"/>
    <s v="John Garcia"/>
    <s v="Central"/>
    <s v="Port Harcourt"/>
    <s v="Corporate"/>
    <s v="Electronics"/>
    <s v="Laptop"/>
    <n v="3"/>
    <n v="605.55999999999995"/>
    <n v="0.15"/>
    <n v="1544.18"/>
    <n v="1203.45"/>
    <n v="340.73"/>
    <s v="Transfer"/>
    <n v="5"/>
    <s v="January"/>
    <x v="0"/>
    <n v="2024"/>
    <m/>
  </r>
  <r>
    <x v="773"/>
    <d v="2024-11-23T00:00:00"/>
    <s v="Kelly Chang"/>
    <s v="Central"/>
    <s v="Kano"/>
    <s v="Home Office"/>
    <s v="Furniture"/>
    <s v="Desk"/>
    <n v="2"/>
    <n v="650.98"/>
    <n v="0"/>
    <n v="1301.96"/>
    <n v="957.76"/>
    <n v="344.2"/>
    <s v="Cash"/>
    <n v="4"/>
    <s v="November"/>
    <x v="3"/>
    <n v="2024"/>
    <m/>
  </r>
  <r>
    <x v="774"/>
    <d v="2024-10-01T00:00:00"/>
    <s v="Linda Harvey"/>
    <s v="North"/>
    <s v="Abuja"/>
    <s v="Corporate"/>
    <s v="Electronics"/>
    <s v="Tablet"/>
    <n v="6"/>
    <n v="758.4"/>
    <n v="0"/>
    <n v="4550.3999999999996"/>
    <n v="3272.74"/>
    <n v="1277.6600000000001"/>
    <s v="Transfer"/>
    <n v="3"/>
    <s v="October"/>
    <x v="3"/>
    <n v="2024"/>
    <m/>
  </r>
  <r>
    <x v="775"/>
    <d v="2024-08-29T00:00:00"/>
    <s v="Joseph Bolton"/>
    <s v="Central"/>
    <s v="Kano"/>
    <s v="Consumer"/>
    <s v="Furniture"/>
    <s v="Desk"/>
    <n v="12"/>
    <n v="150.19"/>
    <n v="0.05"/>
    <n v="1712.17"/>
    <n v="1140.83"/>
    <n v="571.34"/>
    <s v="Transfer"/>
    <n v="4"/>
    <s v="August"/>
    <x v="1"/>
    <n v="2024"/>
    <m/>
  </r>
  <r>
    <x v="776"/>
    <d v="2024-04-08T00:00:00"/>
    <s v="Jasmine Wells"/>
    <s v="West"/>
    <s v="Port Harcourt"/>
    <s v="Consumer"/>
    <s v="Electronics"/>
    <s v="Laptop"/>
    <n v="2"/>
    <n v="528.09"/>
    <n v="0.1"/>
    <n v="950.56"/>
    <n v="674.83"/>
    <n v="275.73"/>
    <s v="Mobile Payment"/>
    <n v="5"/>
    <s v="April"/>
    <x v="2"/>
    <n v="2024"/>
    <m/>
  </r>
  <r>
    <x v="777"/>
    <d v="2024-11-14T00:00:00"/>
    <s v="Jeffrey Hull"/>
    <s v="Central"/>
    <s v="Kano"/>
    <s v="Home Office"/>
    <s v="Office Supplies"/>
    <s v="Notebook"/>
    <n v="8"/>
    <n v="579.28"/>
    <n v="0.05"/>
    <n v="4402.53"/>
    <n v="2288.94"/>
    <n v="2113.59"/>
    <s v="Cash"/>
    <n v="2"/>
    <s v="November"/>
    <x v="3"/>
    <n v="2024"/>
    <m/>
  </r>
  <r>
    <x v="778"/>
    <d v="2024-08-23T00:00:00"/>
    <s v="Thomas Stephenson"/>
    <s v="West"/>
    <s v="Port Harcourt"/>
    <s v="Corporate"/>
    <s v="Furniture"/>
    <s v="Chair"/>
    <n v="1"/>
    <n v="850.51"/>
    <n v="0.15"/>
    <n v="722.93"/>
    <n v="511.82"/>
    <n v="211.11"/>
    <s v="Mobile Payment"/>
    <n v="3"/>
    <s v="August"/>
    <x v="1"/>
    <n v="2024"/>
    <m/>
  </r>
  <r>
    <x v="779"/>
    <d v="2024-04-22T00:00:00"/>
    <s v="Jennifer Davis"/>
    <s v="North"/>
    <s v="Port Harcourt"/>
    <s v="Corporate"/>
    <s v="Electronics"/>
    <s v="Laptop"/>
    <n v="6"/>
    <n v="91.46"/>
    <n v="0.1"/>
    <n v="493.88"/>
    <n v="275.3"/>
    <n v="218.58"/>
    <s v="Cash"/>
    <n v="5"/>
    <s v="April"/>
    <x v="2"/>
    <n v="2024"/>
    <m/>
  </r>
  <r>
    <x v="780"/>
    <d v="2024-08-13T00:00:00"/>
    <s v="Brian Daniels"/>
    <s v="Central"/>
    <s v="Ibadan"/>
    <s v="Home Office"/>
    <s v="Electronics"/>
    <s v="Laptop"/>
    <n v="11"/>
    <n v="798.16"/>
    <n v="0.1"/>
    <n v="7901.78"/>
    <n v="4039.72"/>
    <n v="3862.06"/>
    <s v="Card"/>
    <n v="4"/>
    <s v="August"/>
    <x v="1"/>
    <n v="2024"/>
    <m/>
  </r>
  <r>
    <x v="781"/>
    <d v="2024-03-03T00:00:00"/>
    <s v="Jaime Villa"/>
    <s v="South"/>
    <s v="Port Harcourt"/>
    <s v="Corporate"/>
    <s v="Office Supplies"/>
    <s v="Pen"/>
    <n v="4"/>
    <n v="799.45"/>
    <n v="0.05"/>
    <n v="3037.91"/>
    <n v="2454.83"/>
    <n v="583.08000000000004"/>
    <s v="Card"/>
    <n v="2"/>
    <s v="March"/>
    <x v="0"/>
    <n v="2024"/>
    <m/>
  </r>
  <r>
    <x v="782"/>
    <d v="2024-01-28T00:00:00"/>
    <s v="Cory Sanchez"/>
    <s v="North"/>
    <s v="Ibadan"/>
    <s v="Consumer"/>
    <s v="Clothing"/>
    <s v="Sneakers"/>
    <n v="12"/>
    <n v="586.57000000000005"/>
    <n v="0"/>
    <n v="7038.84"/>
    <n v="4482.25"/>
    <n v="2556.59"/>
    <s v="Mobile Payment"/>
    <n v="5"/>
    <s v="January"/>
    <x v="0"/>
    <n v="2024"/>
    <m/>
  </r>
  <r>
    <x v="783"/>
    <d v="2024-07-08T00:00:00"/>
    <s v="Adam Scott"/>
    <s v="Central"/>
    <s v="Lagos"/>
    <s v="Corporate"/>
    <s v="Clothing"/>
    <s v="T-Shirt"/>
    <n v="4"/>
    <n v="454.08"/>
    <n v="0.05"/>
    <n v="1725.5"/>
    <n v="887.59"/>
    <n v="837.91"/>
    <s v="Cash"/>
    <n v="2"/>
    <s v="July"/>
    <x v="1"/>
    <n v="2024"/>
    <m/>
  </r>
  <r>
    <x v="784"/>
    <d v="2024-12-26T00:00:00"/>
    <s v="Michael Watson"/>
    <s v="North"/>
    <s v="Ibadan"/>
    <s v="Corporate"/>
    <s v="Furniture"/>
    <s v="Desk"/>
    <n v="11"/>
    <n v="631.44000000000005"/>
    <n v="0.1"/>
    <n v="6251.26"/>
    <n v="4385.97"/>
    <n v="1865.29"/>
    <s v="Mobile Payment"/>
    <n v="1"/>
    <s v="December"/>
    <x v="3"/>
    <n v="2024"/>
    <m/>
  </r>
  <r>
    <x v="785"/>
    <d v="2024-06-02T00:00:00"/>
    <s v="Maria Parker"/>
    <s v="North"/>
    <s v="Abuja"/>
    <s v="Consumer"/>
    <s v="Electronics"/>
    <s v="Phone"/>
    <n v="12"/>
    <n v="19.38"/>
    <n v="0.15"/>
    <n v="197.68"/>
    <n v="155.12"/>
    <n v="42.56"/>
    <s v="Mobile Payment"/>
    <n v="5"/>
    <s v="June"/>
    <x v="2"/>
    <n v="2024"/>
    <m/>
  </r>
  <r>
    <x v="786"/>
    <d v="2024-03-12T00:00:00"/>
    <s v="Nicholas Brown"/>
    <s v="West"/>
    <s v="Port Harcourt"/>
    <s v="Corporate"/>
    <s v="Furniture"/>
    <s v="Chair"/>
    <n v="3"/>
    <n v="641.86"/>
    <n v="0"/>
    <n v="1925.58"/>
    <n v="1354.69"/>
    <n v="570.89"/>
    <s v="Mobile Payment"/>
    <n v="1"/>
    <s v="March"/>
    <x v="0"/>
    <n v="2024"/>
    <m/>
  </r>
  <r>
    <x v="787"/>
    <d v="2024-03-30T00:00:00"/>
    <s v="Kevin White"/>
    <s v="West"/>
    <s v="Port Harcourt"/>
    <s v="Consumer"/>
    <s v="Office Supplies"/>
    <s v="Pen"/>
    <n v="2"/>
    <n v="1188.01"/>
    <n v="0.1"/>
    <n v="2138.42"/>
    <n v="1069.43"/>
    <n v="1068.99"/>
    <s v="Mobile Payment"/>
    <n v="2"/>
    <s v="March"/>
    <x v="0"/>
    <n v="2024"/>
    <m/>
  </r>
  <r>
    <x v="788"/>
    <d v="2024-07-24T00:00:00"/>
    <s v="Anna Lucas"/>
    <s v="South"/>
    <s v="Port Harcourt"/>
    <s v="Corporate"/>
    <s v="Clothing"/>
    <s v="Jacket"/>
    <n v="7"/>
    <n v="17.13"/>
    <n v="0.1"/>
    <n v="107.92"/>
    <n v="90.92"/>
    <n v="17"/>
    <s v="Mobile Payment"/>
    <n v="2"/>
    <s v="July"/>
    <x v="1"/>
    <n v="2024"/>
    <m/>
  </r>
  <r>
    <x v="789"/>
    <d v="2024-12-16T00:00:00"/>
    <s v="Angela Bailey"/>
    <s v="Central"/>
    <s v="Kano"/>
    <s v="Corporate"/>
    <s v="Electronics"/>
    <s v="Phone"/>
    <n v="12"/>
    <n v="830.84"/>
    <n v="0.1"/>
    <n v="8973.07"/>
    <n v="5572.77"/>
    <n v="3400.3"/>
    <s v="Card"/>
    <n v="3"/>
    <s v="December"/>
    <x v="3"/>
    <n v="2024"/>
    <m/>
  </r>
  <r>
    <x v="790"/>
    <d v="2024-07-28T00:00:00"/>
    <s v="Paula Roth"/>
    <s v="Central"/>
    <s v="Lagos"/>
    <s v="Consumer"/>
    <s v="Furniture"/>
    <s v="Cabinet"/>
    <n v="2"/>
    <n v="1061.7"/>
    <n v="0.15"/>
    <n v="1804.89"/>
    <n v="1109.45"/>
    <n v="695.44"/>
    <s v="Card"/>
    <n v="3"/>
    <s v="July"/>
    <x v="1"/>
    <n v="2024"/>
    <m/>
  </r>
  <r>
    <x v="791"/>
    <d v="2024-07-12T00:00:00"/>
    <s v="Jeff Brown"/>
    <s v="South"/>
    <s v="Kano"/>
    <s v="Home Office"/>
    <s v="Office Supplies"/>
    <s v="Notebook"/>
    <n v="11"/>
    <n v="773.27"/>
    <n v="0.15"/>
    <n v="7230.07"/>
    <n v="4084.9"/>
    <n v="3145.17"/>
    <s v="Mobile Payment"/>
    <n v="1"/>
    <s v="July"/>
    <x v="1"/>
    <n v="2024"/>
    <m/>
  </r>
  <r>
    <x v="792"/>
    <d v="2024-03-04T00:00:00"/>
    <s v="Christopher Richardson"/>
    <s v="East"/>
    <s v="Ibadan"/>
    <s v="Home Office"/>
    <s v="Clothing"/>
    <s v="Jacket"/>
    <n v="9"/>
    <n v="40.42"/>
    <n v="0"/>
    <n v="363.78"/>
    <n v="259.7"/>
    <n v="104.08"/>
    <s v="Mobile Payment"/>
    <n v="4"/>
    <s v="March"/>
    <x v="0"/>
    <n v="2024"/>
    <m/>
  </r>
  <r>
    <x v="793"/>
    <d v="2024-10-08T00:00:00"/>
    <s v="Daniel Bryant"/>
    <s v="Central"/>
    <s v="Abuja"/>
    <s v="Consumer"/>
    <s v="Clothing"/>
    <s v="Jacket"/>
    <n v="7"/>
    <n v="422.54"/>
    <n v="0.15"/>
    <n v="2514.11"/>
    <n v="1678.77"/>
    <n v="835.34"/>
    <s v="Transfer"/>
    <n v="2"/>
    <s v="October"/>
    <x v="3"/>
    <n v="2024"/>
    <m/>
  </r>
  <r>
    <x v="794"/>
    <d v="2024-03-03T00:00:00"/>
    <s v="Monica Burns"/>
    <s v="West"/>
    <s v="Ibadan"/>
    <s v="Corporate"/>
    <s v="Office Supplies"/>
    <s v="Paper"/>
    <n v="2"/>
    <n v="1184.69"/>
    <n v="0.1"/>
    <n v="2132.44"/>
    <n v="1807.98"/>
    <n v="324.45999999999998"/>
    <s v="Mobile Payment"/>
    <n v="2"/>
    <s v="March"/>
    <x v="0"/>
    <n v="2024"/>
    <m/>
  </r>
  <r>
    <x v="795"/>
    <d v="2024-01-21T00:00:00"/>
    <s v="Mallory Armstrong"/>
    <s v="West"/>
    <s v="Lagos"/>
    <s v="Home Office"/>
    <s v="Clothing"/>
    <s v="T-Shirt"/>
    <n v="5"/>
    <n v="50.01"/>
    <n v="0.05"/>
    <n v="237.55"/>
    <n v="180.45"/>
    <n v="57.1"/>
    <s v="Cash"/>
    <n v="4"/>
    <s v="January"/>
    <x v="0"/>
    <n v="2024"/>
    <m/>
  </r>
  <r>
    <x v="796"/>
    <d v="2024-05-16T00:00:00"/>
    <s v="Kaitlyn Dougherty"/>
    <s v="North"/>
    <s v="Abuja"/>
    <s v="Corporate"/>
    <s v="Clothing"/>
    <s v="T-Shirt"/>
    <n v="3"/>
    <n v="740.15"/>
    <n v="0.15"/>
    <n v="1887.38"/>
    <n v="1262.94"/>
    <n v="624.44000000000005"/>
    <s v="Mobile Payment"/>
    <n v="1"/>
    <s v="May"/>
    <x v="2"/>
    <n v="2024"/>
    <m/>
  </r>
  <r>
    <x v="797"/>
    <d v="2024-08-28T00:00:00"/>
    <s v="Jack Kelly II"/>
    <s v="East"/>
    <s v="Port Harcourt"/>
    <s v="Home Office"/>
    <s v="Electronics"/>
    <s v="Phone"/>
    <n v="7"/>
    <n v="134.91999999999999"/>
    <n v="0.15"/>
    <n v="802.77"/>
    <n v="455.62"/>
    <n v="347.15"/>
    <s v="Card"/>
    <n v="2"/>
    <s v="August"/>
    <x v="1"/>
    <n v="2024"/>
    <m/>
  </r>
  <r>
    <x v="798"/>
    <d v="2024-05-09T00:00:00"/>
    <s v="Samantha Weber"/>
    <s v="South"/>
    <s v="Abuja"/>
    <s v="Corporate"/>
    <s v="Furniture"/>
    <s v="Cabinet"/>
    <n v="1"/>
    <n v="722.7"/>
    <n v="0.15"/>
    <n v="614.29999999999995"/>
    <n v="349.97"/>
    <n v="264.33"/>
    <s v="Mobile Payment"/>
    <n v="3"/>
    <s v="May"/>
    <x v="2"/>
    <n v="2024"/>
    <m/>
  </r>
  <r>
    <x v="799"/>
    <d v="2024-12-22T00:00:00"/>
    <s v="Pamela Miller"/>
    <s v="Central"/>
    <s v="Kano"/>
    <s v="Corporate"/>
    <s v="Office Supplies"/>
    <s v="Notebook"/>
    <n v="1"/>
    <n v="283.89"/>
    <n v="0.15"/>
    <n v="241.31"/>
    <n v="128.85"/>
    <n v="112.46"/>
    <s v="Transfer"/>
    <n v="3"/>
    <s v="December"/>
    <x v="3"/>
    <n v="2024"/>
    <m/>
  </r>
  <r>
    <x v="800"/>
    <d v="2024-03-29T00:00:00"/>
    <s v="Craig Clay"/>
    <s v="North"/>
    <s v="Abuja"/>
    <s v="Corporate"/>
    <s v="Office Supplies"/>
    <s v="Paper"/>
    <n v="5"/>
    <n v="726.78"/>
    <n v="0.05"/>
    <n v="3452.2"/>
    <n v="2448.4899999999998"/>
    <n v="1003.71"/>
    <s v="Mobile Payment"/>
    <n v="1"/>
    <s v="March"/>
    <x v="0"/>
    <n v="2024"/>
    <m/>
  </r>
  <r>
    <x v="801"/>
    <d v="2024-11-08T00:00:00"/>
    <s v="Lauren Wilson"/>
    <s v="East"/>
    <s v="Abuja"/>
    <s v="Corporate"/>
    <s v="Clothing"/>
    <s v="Jacket"/>
    <n v="6"/>
    <n v="1067.54"/>
    <n v="0.15"/>
    <n v="5444.45"/>
    <n v="2931.17"/>
    <n v="2513.2800000000002"/>
    <s v="Transfer"/>
    <n v="1"/>
    <s v="November"/>
    <x v="3"/>
    <n v="2024"/>
    <m/>
  </r>
  <r>
    <x v="802"/>
    <d v="2024-10-03T00:00:00"/>
    <s v="Kathy Cantrell"/>
    <s v="East"/>
    <s v="Abuja"/>
    <s v="Consumer"/>
    <s v="Furniture"/>
    <s v="Desk"/>
    <n v="4"/>
    <n v="348.04"/>
    <n v="0.1"/>
    <n v="1252.94"/>
    <n v="764.32"/>
    <n v="488.62"/>
    <s v="Card"/>
    <n v="4"/>
    <s v="October"/>
    <x v="3"/>
    <n v="2024"/>
    <m/>
  </r>
  <r>
    <x v="803"/>
    <d v="2024-07-30T00:00:00"/>
    <s v="Gregory Gordon"/>
    <s v="North"/>
    <s v="Ibadan"/>
    <s v="Corporate"/>
    <s v="Clothing"/>
    <s v="T-Shirt"/>
    <n v="8"/>
    <n v="409.45"/>
    <n v="0.05"/>
    <n v="3111.82"/>
    <n v="2068.02"/>
    <n v="1043.8"/>
    <s v="Transfer"/>
    <n v="2"/>
    <s v="July"/>
    <x v="1"/>
    <n v="2024"/>
    <m/>
  </r>
  <r>
    <x v="804"/>
    <d v="2024-11-14T00:00:00"/>
    <s v="Molly Allen"/>
    <s v="Central"/>
    <s v="Kano"/>
    <s v="Home Office"/>
    <s v="Office Supplies"/>
    <s v="Pen"/>
    <n v="12"/>
    <n v="935.43"/>
    <n v="0.15"/>
    <n v="9541.39"/>
    <n v="8079.17"/>
    <n v="1462.22"/>
    <s v="Mobile Payment"/>
    <n v="1"/>
    <s v="November"/>
    <x v="3"/>
    <n v="2024"/>
    <m/>
  </r>
  <r>
    <x v="805"/>
    <d v="2024-12-07T00:00:00"/>
    <s v="Dylan Lopez"/>
    <s v="South"/>
    <s v="Lagos"/>
    <s v="Corporate"/>
    <s v="Office Supplies"/>
    <s v="Notebook"/>
    <n v="4"/>
    <n v="387.31"/>
    <n v="0.1"/>
    <n v="1394.32"/>
    <n v="777.35"/>
    <n v="616.97"/>
    <s v="Cash"/>
    <n v="3"/>
    <s v="December"/>
    <x v="3"/>
    <n v="2024"/>
    <m/>
  </r>
  <r>
    <x v="806"/>
    <d v="2024-08-16T00:00:00"/>
    <s v="Terri Smith"/>
    <s v="West"/>
    <s v="Kano"/>
    <s v="Corporate"/>
    <s v="Clothing"/>
    <s v="Sneakers"/>
    <n v="7"/>
    <n v="1020.22"/>
    <n v="0.15"/>
    <n v="6070.31"/>
    <n v="4589.47"/>
    <n v="1480.84"/>
    <s v="Card"/>
    <n v="2"/>
    <s v="August"/>
    <x v="1"/>
    <n v="2024"/>
    <m/>
  </r>
  <r>
    <x v="807"/>
    <d v="2024-06-21T00:00:00"/>
    <s v="Jessica Lopez"/>
    <s v="Central"/>
    <s v="Port Harcourt"/>
    <s v="Consumer"/>
    <s v="Office Supplies"/>
    <s v="Notebook"/>
    <n v="4"/>
    <n v="241.73"/>
    <n v="0.1"/>
    <n v="870.23"/>
    <n v="539.33000000000004"/>
    <n v="330.9"/>
    <s v="Cash"/>
    <n v="2"/>
    <s v="June"/>
    <x v="2"/>
    <n v="2024"/>
    <m/>
  </r>
  <r>
    <x v="808"/>
    <d v="2024-02-24T00:00:00"/>
    <s v="Dana Mata"/>
    <s v="West"/>
    <s v="Port Harcourt"/>
    <s v="Home Office"/>
    <s v="Furniture"/>
    <s v="Chair"/>
    <n v="2"/>
    <n v="481.19"/>
    <n v="0.15"/>
    <n v="818.02"/>
    <n v="672.08"/>
    <n v="145.94"/>
    <s v="Card"/>
    <n v="2"/>
    <s v="February"/>
    <x v="0"/>
    <n v="2024"/>
    <m/>
  </r>
  <r>
    <x v="809"/>
    <d v="2024-10-09T00:00:00"/>
    <s v="Howard Sherman"/>
    <s v="East"/>
    <s v="Ibadan"/>
    <s v="Home Office"/>
    <s v="Office Supplies"/>
    <s v="Paper"/>
    <n v="8"/>
    <n v="310.11"/>
    <n v="0.05"/>
    <n v="2356.84"/>
    <n v="1895.11"/>
    <n v="461.73"/>
    <s v="Card"/>
    <n v="3"/>
    <s v="October"/>
    <x v="3"/>
    <n v="2024"/>
    <m/>
  </r>
  <r>
    <x v="810"/>
    <d v="2024-10-27T00:00:00"/>
    <s v="Ariel Chavez"/>
    <s v="West"/>
    <s v="Kano"/>
    <s v="Home Office"/>
    <s v="Office Supplies"/>
    <s v="Paper"/>
    <n v="6"/>
    <n v="948.57"/>
    <n v="0"/>
    <n v="5691.42"/>
    <n v="3038.08"/>
    <n v="2653.34"/>
    <s v="Cash"/>
    <n v="2"/>
    <s v="October"/>
    <x v="3"/>
    <n v="2024"/>
    <m/>
  </r>
  <r>
    <x v="811"/>
    <d v="2024-05-12T00:00:00"/>
    <s v="Daniel Miller"/>
    <s v="South"/>
    <s v="Abuja"/>
    <s v="Consumer"/>
    <s v="Electronics"/>
    <s v="Printer"/>
    <n v="8"/>
    <n v="614.16"/>
    <n v="0.15"/>
    <n v="4176.29"/>
    <n v="2167.7800000000002"/>
    <n v="2008.51"/>
    <s v="Transfer"/>
    <n v="4"/>
    <s v="May"/>
    <x v="2"/>
    <n v="2024"/>
    <m/>
  </r>
  <r>
    <x v="812"/>
    <d v="2024-09-12T00:00:00"/>
    <s v="Eric West"/>
    <s v="North"/>
    <s v="Kano"/>
    <s v="Home Office"/>
    <s v="Furniture"/>
    <s v="Cabinet"/>
    <n v="2"/>
    <n v="1051.08"/>
    <n v="0.05"/>
    <n v="1997.05"/>
    <n v="1103.58"/>
    <n v="893.47"/>
    <s v="Mobile Payment"/>
    <n v="5"/>
    <s v="September"/>
    <x v="1"/>
    <n v="2024"/>
    <m/>
  </r>
  <r>
    <x v="813"/>
    <d v="2024-02-27T00:00:00"/>
    <s v="Jamie Parker"/>
    <s v="South"/>
    <s v="Lagos"/>
    <s v="Consumer"/>
    <s v="Electronics"/>
    <s v="Tablet"/>
    <n v="1"/>
    <n v="558.87"/>
    <n v="0.05"/>
    <n v="530.92999999999995"/>
    <n v="373.35"/>
    <n v="157.58000000000001"/>
    <s v="Card"/>
    <n v="3"/>
    <s v="February"/>
    <x v="0"/>
    <n v="2024"/>
    <m/>
  </r>
  <r>
    <x v="814"/>
    <d v="2024-12-15T00:00:00"/>
    <s v="Jeremy Kirk"/>
    <s v="East"/>
    <s v="Kano"/>
    <s v="Home Office"/>
    <s v="Electronics"/>
    <s v="Tablet"/>
    <n v="3"/>
    <n v="498.18"/>
    <n v="0.05"/>
    <n v="1419.81"/>
    <n v="758.41"/>
    <n v="661.4"/>
    <s v="Transfer"/>
    <n v="5"/>
    <s v="December"/>
    <x v="3"/>
    <n v="2024"/>
    <m/>
  </r>
  <r>
    <x v="815"/>
    <d v="2024-12-05T00:00:00"/>
    <s v="Patricia Johnson"/>
    <s v="West"/>
    <s v="Kano"/>
    <s v="Corporate"/>
    <s v="Furniture"/>
    <s v="Desk"/>
    <n v="11"/>
    <n v="1011.39"/>
    <n v="0.1"/>
    <n v="10012.76"/>
    <n v="5869.97"/>
    <n v="4142.79"/>
    <s v="Transfer"/>
    <n v="5"/>
    <s v="December"/>
    <x v="3"/>
    <n v="2024"/>
    <m/>
  </r>
  <r>
    <x v="816"/>
    <d v="2024-07-12T00:00:00"/>
    <s v="Chad Russell"/>
    <s v="West"/>
    <s v="Abuja"/>
    <s v="Home Office"/>
    <s v="Electronics"/>
    <s v="Printer"/>
    <n v="1"/>
    <n v="944.86"/>
    <n v="0.15"/>
    <n v="803.13"/>
    <n v="472.57"/>
    <n v="330.56"/>
    <s v="Cash"/>
    <n v="2"/>
    <s v="July"/>
    <x v="1"/>
    <n v="2024"/>
    <m/>
  </r>
  <r>
    <x v="817"/>
    <d v="2024-02-22T00:00:00"/>
    <s v="Jeffery Chen"/>
    <s v="South"/>
    <s v="Lagos"/>
    <s v="Corporate"/>
    <s v="Electronics"/>
    <s v="Phone"/>
    <n v="8"/>
    <n v="310.89999999999998"/>
    <n v="0"/>
    <n v="2487.1999999999998"/>
    <n v="1982.78"/>
    <n v="504.42"/>
    <s v="Mobile Payment"/>
    <n v="3"/>
    <s v="February"/>
    <x v="0"/>
    <n v="2024"/>
    <m/>
  </r>
  <r>
    <x v="818"/>
    <d v="2024-08-02T00:00:00"/>
    <s v="Jorge Herman"/>
    <s v="East"/>
    <s v="Ibadan"/>
    <s v="Consumer"/>
    <s v="Office Supplies"/>
    <s v="Notebook"/>
    <n v="12"/>
    <n v="462.94"/>
    <n v="0.05"/>
    <n v="5277.52"/>
    <n v="3929.55"/>
    <n v="1347.97"/>
    <s v="Mobile Payment"/>
    <n v="5"/>
    <s v="August"/>
    <x v="1"/>
    <n v="2024"/>
    <m/>
  </r>
  <r>
    <x v="819"/>
    <d v="2024-06-13T00:00:00"/>
    <s v="Charles Davis"/>
    <s v="South"/>
    <s v="Abuja"/>
    <s v="Home Office"/>
    <s v="Clothing"/>
    <s v="Sneakers"/>
    <n v="5"/>
    <n v="595.84"/>
    <n v="0.15"/>
    <n v="2532.3200000000002"/>
    <n v="1927.06"/>
    <n v="605.26"/>
    <s v="Card"/>
    <n v="3"/>
    <s v="June"/>
    <x v="2"/>
    <n v="2024"/>
    <m/>
  </r>
  <r>
    <x v="820"/>
    <d v="2024-11-06T00:00:00"/>
    <s v="Molly Benson"/>
    <s v="Central"/>
    <s v="Kano"/>
    <s v="Corporate"/>
    <s v="Electronics"/>
    <s v="Phone"/>
    <n v="9"/>
    <n v="959.07"/>
    <n v="0.05"/>
    <n v="8200.0499999999993"/>
    <n v="6422.95"/>
    <n v="1777.1"/>
    <s v="Transfer"/>
    <n v="4"/>
    <s v="November"/>
    <x v="3"/>
    <n v="2024"/>
    <m/>
  </r>
  <r>
    <x v="821"/>
    <d v="2024-07-08T00:00:00"/>
    <s v="Peter Perez"/>
    <s v="East"/>
    <s v="Ibadan"/>
    <s v="Home Office"/>
    <s v="Electronics"/>
    <s v="Laptop"/>
    <n v="9"/>
    <n v="1154.4000000000001"/>
    <n v="0"/>
    <n v="10389.6"/>
    <n v="8712.0400000000009"/>
    <n v="1677.56"/>
    <s v="Cash"/>
    <n v="2"/>
    <s v="July"/>
    <x v="1"/>
    <n v="2024"/>
    <m/>
  </r>
  <r>
    <x v="822"/>
    <d v="2024-04-03T00:00:00"/>
    <s v="Stephanie Stewart"/>
    <s v="Central"/>
    <s v="Lagos"/>
    <s v="Consumer"/>
    <s v="Clothing"/>
    <s v="Sneakers"/>
    <n v="11"/>
    <n v="459.58"/>
    <n v="0.15"/>
    <n v="4297.07"/>
    <n v="2895.73"/>
    <n v="1401.34"/>
    <s v="Mobile Payment"/>
    <n v="3"/>
    <s v="April"/>
    <x v="2"/>
    <n v="2024"/>
    <m/>
  </r>
  <r>
    <x v="823"/>
    <d v="2024-09-20T00:00:00"/>
    <s v="Kevin Anderson"/>
    <s v="North"/>
    <s v="Abuja"/>
    <s v="Consumer"/>
    <s v="Clothing"/>
    <s v="Sneakers"/>
    <n v="12"/>
    <n v="258.45999999999998"/>
    <n v="0.05"/>
    <n v="2946.44"/>
    <n v="2021.07"/>
    <n v="925.37"/>
    <s v="Cash"/>
    <n v="5"/>
    <s v="September"/>
    <x v="1"/>
    <n v="2024"/>
    <m/>
  </r>
  <r>
    <x v="824"/>
    <d v="2024-02-05T00:00:00"/>
    <s v="Taylor Sanchez"/>
    <s v="West"/>
    <s v="Kano"/>
    <s v="Corporate"/>
    <s v="Electronics"/>
    <s v="Tablet"/>
    <n v="7"/>
    <n v="435.28"/>
    <n v="0"/>
    <n v="3046.96"/>
    <n v="2288.7800000000002"/>
    <n v="758.18"/>
    <s v="Transfer"/>
    <n v="1"/>
    <s v="February"/>
    <x v="0"/>
    <n v="2024"/>
    <m/>
  </r>
  <r>
    <x v="825"/>
    <d v="2024-09-20T00:00:00"/>
    <s v="Shane Russell"/>
    <s v="North"/>
    <s v="Kano"/>
    <s v="Consumer"/>
    <s v="Clothing"/>
    <s v="Sneakers"/>
    <n v="5"/>
    <n v="675"/>
    <n v="0.15"/>
    <n v="2868.75"/>
    <n v="1542.88"/>
    <n v="1325.87"/>
    <s v="Card"/>
    <n v="2"/>
    <s v="September"/>
    <x v="1"/>
    <n v="2024"/>
    <m/>
  </r>
  <r>
    <x v="826"/>
    <d v="2024-06-15T00:00:00"/>
    <s v="Dana Thompson"/>
    <s v="West"/>
    <s v="Port Harcourt"/>
    <s v="Consumer"/>
    <s v="Clothing"/>
    <s v="Sneakers"/>
    <n v="12"/>
    <n v="1035.3399999999999"/>
    <n v="0.1"/>
    <n v="11181.67"/>
    <n v="6340.16"/>
    <n v="4841.51"/>
    <s v="Transfer"/>
    <n v="4"/>
    <s v="June"/>
    <x v="2"/>
    <n v="2024"/>
    <m/>
  </r>
  <r>
    <x v="827"/>
    <d v="2024-03-02T00:00:00"/>
    <s v="Lisa Lyons"/>
    <s v="Central"/>
    <s v="Abuja"/>
    <s v="Consumer"/>
    <s v="Furniture"/>
    <s v="Chair"/>
    <n v="4"/>
    <n v="1054.78"/>
    <n v="0.1"/>
    <n v="3797.21"/>
    <n v="2564.4299999999998"/>
    <n v="1232.78"/>
    <s v="Cash"/>
    <n v="2"/>
    <s v="March"/>
    <x v="0"/>
    <n v="2024"/>
    <m/>
  </r>
  <r>
    <x v="828"/>
    <d v="2024-10-09T00:00:00"/>
    <s v="Victoria Wilson"/>
    <s v="East"/>
    <s v="Kano"/>
    <s v="Home Office"/>
    <s v="Office Supplies"/>
    <s v="Notebook"/>
    <n v="8"/>
    <n v="74.510000000000005"/>
    <n v="0.15"/>
    <n v="506.67"/>
    <n v="254.78"/>
    <n v="251.89"/>
    <s v="Transfer"/>
    <n v="1"/>
    <s v="October"/>
    <x v="3"/>
    <n v="2024"/>
    <m/>
  </r>
  <r>
    <x v="829"/>
    <d v="2024-09-09T00:00:00"/>
    <s v="Richard Perez"/>
    <s v="East"/>
    <s v="Lagos"/>
    <s v="Consumer"/>
    <s v="Office Supplies"/>
    <s v="Pen"/>
    <n v="3"/>
    <n v="748.56"/>
    <n v="0"/>
    <n v="2245.6799999999998"/>
    <n v="1413.76"/>
    <n v="831.92"/>
    <s v="Mobile Payment"/>
    <n v="4"/>
    <s v="September"/>
    <x v="1"/>
    <n v="2024"/>
    <m/>
  </r>
  <r>
    <x v="830"/>
    <d v="2024-08-25T00:00:00"/>
    <s v="Michele Douglas"/>
    <s v="North"/>
    <s v="Port Harcourt"/>
    <s v="Consumer"/>
    <s v="Office Supplies"/>
    <s v="Notebook"/>
    <n v="11"/>
    <n v="139.77000000000001"/>
    <n v="0.05"/>
    <n v="1460.6"/>
    <n v="775.78"/>
    <n v="684.82"/>
    <s v="Card"/>
    <n v="2"/>
    <s v="August"/>
    <x v="1"/>
    <n v="2024"/>
    <m/>
  </r>
  <r>
    <x v="831"/>
    <d v="2024-07-11T00:00:00"/>
    <s v="Virginia Holmes"/>
    <s v="East"/>
    <s v="Lagos"/>
    <s v="Consumer"/>
    <s v="Furniture"/>
    <s v="Desk"/>
    <n v="1"/>
    <n v="409.87"/>
    <n v="0.15"/>
    <n v="348.39"/>
    <n v="254.23"/>
    <n v="94.16"/>
    <s v="Mobile Payment"/>
    <n v="1"/>
    <s v="July"/>
    <x v="1"/>
    <n v="2024"/>
    <m/>
  </r>
  <r>
    <x v="832"/>
    <d v="2024-05-14T00:00:00"/>
    <s v="April Shaw"/>
    <s v="East"/>
    <s v="Kano"/>
    <s v="Home Office"/>
    <s v="Electronics"/>
    <s v="Laptop"/>
    <n v="1"/>
    <n v="438.95"/>
    <n v="0.1"/>
    <n v="395.06"/>
    <n v="306.83999999999997"/>
    <n v="88.22"/>
    <s v="Mobile Payment"/>
    <n v="3"/>
    <s v="May"/>
    <x v="2"/>
    <n v="2024"/>
    <m/>
  </r>
  <r>
    <x v="833"/>
    <d v="2024-08-12T00:00:00"/>
    <s v="Mitchell Carson"/>
    <s v="East"/>
    <s v="Kano"/>
    <s v="Home Office"/>
    <s v="Electronics"/>
    <s v="Printer"/>
    <n v="6"/>
    <n v="218.38"/>
    <n v="0.15"/>
    <n v="1113.74"/>
    <n v="858.24"/>
    <n v="255.5"/>
    <s v="Cash"/>
    <n v="3"/>
    <s v="August"/>
    <x v="1"/>
    <n v="2024"/>
    <m/>
  </r>
  <r>
    <x v="834"/>
    <d v="2024-03-14T00:00:00"/>
    <s v="Michael Morrison"/>
    <s v="South"/>
    <s v="Lagos"/>
    <s v="Consumer"/>
    <s v="Office Supplies"/>
    <s v="Notebook"/>
    <n v="8"/>
    <n v="456.56"/>
    <n v="0.15"/>
    <n v="3104.61"/>
    <n v="1648.15"/>
    <n v="1456.46"/>
    <s v="Card"/>
    <n v="2"/>
    <s v="March"/>
    <x v="0"/>
    <n v="2024"/>
    <m/>
  </r>
  <r>
    <x v="835"/>
    <d v="2024-02-21T00:00:00"/>
    <s v="Rebecca Lopez"/>
    <s v="South"/>
    <s v="Abuja"/>
    <s v="Consumer"/>
    <s v="Furniture"/>
    <s v="Desk"/>
    <n v="3"/>
    <n v="264.41000000000003"/>
    <n v="0"/>
    <n v="793.23"/>
    <n v="533.12"/>
    <n v="260.11"/>
    <s v="Transfer"/>
    <n v="1"/>
    <s v="February"/>
    <x v="0"/>
    <n v="2024"/>
    <m/>
  </r>
  <r>
    <x v="836"/>
    <d v="2024-02-15T00:00:00"/>
    <s v="Jonathan Pineda"/>
    <s v="South"/>
    <s v="Lagos"/>
    <s v="Corporate"/>
    <s v="Office Supplies"/>
    <s v="Paper"/>
    <n v="8"/>
    <n v="597.41"/>
    <n v="0"/>
    <n v="4779.28"/>
    <n v="3008.32"/>
    <n v="1770.96"/>
    <s v="Transfer"/>
    <n v="2"/>
    <s v="February"/>
    <x v="0"/>
    <n v="2024"/>
    <m/>
  </r>
  <r>
    <x v="837"/>
    <d v="2024-12-28T00:00:00"/>
    <s v="Tina Powers"/>
    <s v="West"/>
    <s v="Ibadan"/>
    <s v="Consumer"/>
    <s v="Furniture"/>
    <s v="Cabinet"/>
    <n v="3"/>
    <n v="432.87"/>
    <n v="0.15"/>
    <n v="1103.82"/>
    <n v="582.66999999999996"/>
    <n v="521.15"/>
    <s v="Card"/>
    <n v="1"/>
    <s v="December"/>
    <x v="3"/>
    <n v="2024"/>
    <m/>
  </r>
  <r>
    <x v="838"/>
    <d v="2024-09-29T00:00:00"/>
    <s v="Joshua Gonzalez"/>
    <s v="South"/>
    <s v="Abuja"/>
    <s v="Consumer"/>
    <s v="Electronics"/>
    <s v="Laptop"/>
    <n v="4"/>
    <n v="493.51"/>
    <n v="0.05"/>
    <n v="1875.34"/>
    <n v="951.2"/>
    <n v="924.14"/>
    <s v="Transfer"/>
    <n v="3"/>
    <s v="September"/>
    <x v="1"/>
    <n v="2024"/>
    <m/>
  </r>
  <r>
    <x v="839"/>
    <d v="2024-01-21T00:00:00"/>
    <s v="Emily Greene DDS"/>
    <s v="West"/>
    <s v="Lagos"/>
    <s v="Home Office"/>
    <s v="Clothing"/>
    <s v="Sneakers"/>
    <n v="3"/>
    <n v="105.73"/>
    <n v="0"/>
    <n v="317.19"/>
    <n v="243.7"/>
    <n v="73.489999999999995"/>
    <s v="Card"/>
    <n v="1"/>
    <s v="January"/>
    <x v="0"/>
    <n v="2024"/>
    <m/>
  </r>
  <r>
    <x v="840"/>
    <d v="2024-01-01T00:00:00"/>
    <s v="Kyle Giles DVM"/>
    <s v="South"/>
    <s v="Kano"/>
    <s v="Corporate"/>
    <s v="Furniture"/>
    <s v="Desk"/>
    <n v="11"/>
    <n v="1051.6600000000001"/>
    <n v="0.05"/>
    <n v="10989.85"/>
    <n v="7826.01"/>
    <n v="3163.84"/>
    <s v="Cash"/>
    <n v="2"/>
    <s v="January"/>
    <x v="0"/>
    <n v="2024"/>
    <m/>
  </r>
  <r>
    <x v="841"/>
    <d v="2024-11-18T00:00:00"/>
    <s v="Elizabeth Alvarado"/>
    <s v="North"/>
    <s v="Abuja"/>
    <s v="Home Office"/>
    <s v="Clothing"/>
    <s v="Sneakers"/>
    <n v="6"/>
    <n v="216.98"/>
    <n v="0.05"/>
    <n v="1236.79"/>
    <n v="826.89"/>
    <n v="409.9"/>
    <s v="Cash"/>
    <n v="2"/>
    <s v="November"/>
    <x v="3"/>
    <n v="2024"/>
    <m/>
  </r>
  <r>
    <x v="842"/>
    <d v="2024-01-16T00:00:00"/>
    <s v="Mr. Christopher Johnson"/>
    <s v="South"/>
    <s v="Kano"/>
    <s v="Home Office"/>
    <s v="Electronics"/>
    <s v="Phone"/>
    <n v="6"/>
    <n v="794.04"/>
    <n v="0.1"/>
    <n v="4287.82"/>
    <n v="2866.28"/>
    <n v="1421.54"/>
    <s v="Cash"/>
    <n v="4"/>
    <s v="January"/>
    <x v="0"/>
    <n v="2024"/>
    <m/>
  </r>
  <r>
    <x v="843"/>
    <d v="2024-11-14T00:00:00"/>
    <s v="Katherine Fisher"/>
    <s v="East"/>
    <s v="Lagos"/>
    <s v="Corporate"/>
    <s v="Office Supplies"/>
    <s v="Paper"/>
    <n v="12"/>
    <n v="285.89999999999998"/>
    <n v="0.05"/>
    <n v="3259.26"/>
    <n v="2022.78"/>
    <n v="1236.48"/>
    <s v="Cash"/>
    <n v="5"/>
    <s v="November"/>
    <x v="3"/>
    <n v="2024"/>
    <m/>
  </r>
  <r>
    <x v="844"/>
    <d v="2024-03-03T00:00:00"/>
    <s v="Makayla Riddle"/>
    <s v="Central"/>
    <s v="Lagos"/>
    <s v="Home Office"/>
    <s v="Furniture"/>
    <s v="Cabinet"/>
    <n v="12"/>
    <n v="1125.4100000000001"/>
    <n v="0.1"/>
    <n v="12154.43"/>
    <n v="7974.06"/>
    <n v="4180.37"/>
    <s v="Cash"/>
    <n v="5"/>
    <s v="March"/>
    <x v="0"/>
    <n v="2024"/>
    <m/>
  </r>
  <r>
    <x v="845"/>
    <d v="2024-05-15T00:00:00"/>
    <s v="Sheila Huffman"/>
    <s v="West"/>
    <s v="Port Harcourt"/>
    <s v="Home Office"/>
    <s v="Clothing"/>
    <s v="Jacket"/>
    <n v="1"/>
    <n v="1060.48"/>
    <n v="0.1"/>
    <n v="954.43"/>
    <n v="644.57000000000005"/>
    <n v="309.86"/>
    <s v="Transfer"/>
    <n v="2"/>
    <s v="May"/>
    <x v="2"/>
    <n v="2024"/>
    <m/>
  </r>
  <r>
    <x v="846"/>
    <d v="2024-04-10T00:00:00"/>
    <s v="Christopher Johnson"/>
    <s v="North"/>
    <s v="Port Harcourt"/>
    <s v="Corporate"/>
    <s v="Clothing"/>
    <s v="T-Shirt"/>
    <n v="3"/>
    <n v="596.6"/>
    <n v="0.15"/>
    <n v="1521.33"/>
    <n v="1070.73"/>
    <n v="450.6"/>
    <s v="Transfer"/>
    <n v="1"/>
    <s v="April"/>
    <x v="2"/>
    <n v="2024"/>
    <m/>
  </r>
  <r>
    <x v="847"/>
    <d v="2024-09-19T00:00:00"/>
    <s v="Matthew Nicholson"/>
    <s v="East"/>
    <s v="Lagos"/>
    <s v="Consumer"/>
    <s v="Furniture"/>
    <s v="Cabinet"/>
    <n v="9"/>
    <n v="126.83"/>
    <n v="0.05"/>
    <n v="1084.4000000000001"/>
    <n v="904.46"/>
    <n v="179.94"/>
    <s v="Mobile Payment"/>
    <n v="2"/>
    <s v="September"/>
    <x v="1"/>
    <n v="2024"/>
    <m/>
  </r>
  <r>
    <x v="848"/>
    <d v="2024-01-06T00:00:00"/>
    <s v="Sabrina Green"/>
    <s v="West"/>
    <s v="Abuja"/>
    <s v="Home Office"/>
    <s v="Office Supplies"/>
    <s v="Notebook"/>
    <n v="10"/>
    <n v="329.59"/>
    <n v="0.1"/>
    <n v="2966.31"/>
    <n v="1902.34"/>
    <n v="1063.97"/>
    <s v="Card"/>
    <n v="3"/>
    <s v="January"/>
    <x v="0"/>
    <n v="2024"/>
    <m/>
  </r>
  <r>
    <x v="849"/>
    <d v="2024-08-19T00:00:00"/>
    <s v="Patricia Brown"/>
    <s v="North"/>
    <s v="Ibadan"/>
    <s v="Corporate"/>
    <s v="Electronics"/>
    <s v="Tablet"/>
    <n v="8"/>
    <n v="749.75"/>
    <n v="0.05"/>
    <n v="5698.1"/>
    <n v="3300.92"/>
    <n v="2397.1799999999998"/>
    <s v="Mobile Payment"/>
    <n v="4"/>
    <s v="August"/>
    <x v="1"/>
    <n v="2024"/>
    <m/>
  </r>
  <r>
    <x v="850"/>
    <d v="2024-11-22T00:00:00"/>
    <s v="Terry Ramos MD"/>
    <s v="Central"/>
    <s v="Abuja"/>
    <s v="Home Office"/>
    <s v="Clothing"/>
    <s v="Jacket"/>
    <n v="3"/>
    <n v="569.11"/>
    <n v="0"/>
    <n v="1707.33"/>
    <n v="1134.2"/>
    <n v="573.13"/>
    <s v="Card"/>
    <n v="3"/>
    <s v="November"/>
    <x v="3"/>
    <n v="2024"/>
    <m/>
  </r>
  <r>
    <x v="851"/>
    <d v="2024-11-19T00:00:00"/>
    <s v="Kyle Murphy"/>
    <s v="South"/>
    <s v="Kano"/>
    <s v="Corporate"/>
    <s v="Electronics"/>
    <s v="Laptop"/>
    <n v="4"/>
    <n v="330.08"/>
    <n v="0.15"/>
    <n v="1122.27"/>
    <n v="908.14"/>
    <n v="214.13"/>
    <s v="Mobile Payment"/>
    <n v="4"/>
    <s v="November"/>
    <x v="3"/>
    <n v="2024"/>
    <m/>
  </r>
  <r>
    <x v="852"/>
    <d v="2024-09-02T00:00:00"/>
    <s v="Ryan Johnson"/>
    <s v="West"/>
    <s v="Port Harcourt"/>
    <s v="Home Office"/>
    <s v="Electronics"/>
    <s v="Printer"/>
    <n v="11"/>
    <n v="830.68"/>
    <n v="0.1"/>
    <n v="8223.73"/>
    <n v="4160.8999999999996"/>
    <n v="4062.83"/>
    <s v="Transfer"/>
    <n v="3"/>
    <s v="September"/>
    <x v="1"/>
    <n v="2024"/>
    <m/>
  </r>
  <r>
    <x v="853"/>
    <d v="2024-08-26T00:00:00"/>
    <s v="William Bean"/>
    <s v="Central"/>
    <s v="Ibadan"/>
    <s v="Home Office"/>
    <s v="Office Supplies"/>
    <s v="Notebook"/>
    <n v="4"/>
    <n v="356.96"/>
    <n v="0.15"/>
    <n v="1213.6600000000001"/>
    <n v="623.83000000000004"/>
    <n v="589.83000000000004"/>
    <s v="Mobile Payment"/>
    <n v="4"/>
    <s v="August"/>
    <x v="1"/>
    <n v="2024"/>
    <m/>
  </r>
  <r>
    <x v="854"/>
    <d v="2024-08-18T00:00:00"/>
    <s v="Christopher Rogers"/>
    <s v="North"/>
    <s v="Abuja"/>
    <s v="Corporate"/>
    <s v="Clothing"/>
    <s v="T-Shirt"/>
    <n v="8"/>
    <n v="284.66000000000003"/>
    <n v="0"/>
    <n v="2277.2800000000002"/>
    <n v="1715.01"/>
    <n v="562.27"/>
    <s v="Mobile Payment"/>
    <n v="4"/>
    <s v="August"/>
    <x v="1"/>
    <n v="2024"/>
    <m/>
  </r>
  <r>
    <x v="855"/>
    <d v="2024-09-05T00:00:00"/>
    <s v="John Montoya"/>
    <s v="Central"/>
    <s v="Port Harcourt"/>
    <s v="Home Office"/>
    <s v="Office Supplies"/>
    <s v="Pen"/>
    <n v="10"/>
    <n v="468.7"/>
    <n v="0.15"/>
    <n v="3983.95"/>
    <n v="2757.89"/>
    <n v="1226.06"/>
    <s v="Transfer"/>
    <n v="4"/>
    <s v="September"/>
    <x v="1"/>
    <n v="2024"/>
    <m/>
  </r>
  <r>
    <x v="856"/>
    <d v="2024-06-30T00:00:00"/>
    <s v="Nathan Gutierrez"/>
    <s v="South"/>
    <s v="Port Harcourt"/>
    <s v="Home Office"/>
    <s v="Electronics"/>
    <s v="Tablet"/>
    <n v="2"/>
    <n v="231.37"/>
    <n v="0.05"/>
    <n v="439.6"/>
    <n v="288.06"/>
    <n v="151.54"/>
    <s v="Card"/>
    <n v="3"/>
    <s v="June"/>
    <x v="2"/>
    <n v="2024"/>
    <m/>
  </r>
  <r>
    <x v="857"/>
    <d v="2024-06-27T00:00:00"/>
    <s v="Mike Ball"/>
    <s v="Central"/>
    <s v="Kano"/>
    <s v="Consumer"/>
    <s v="Clothing"/>
    <s v="Jacket"/>
    <n v="8"/>
    <n v="1141.32"/>
    <n v="0"/>
    <n v="9130.56"/>
    <n v="6565.11"/>
    <n v="2565.4499999999998"/>
    <s v="Cash"/>
    <n v="2"/>
    <s v="June"/>
    <x v="2"/>
    <n v="2024"/>
    <m/>
  </r>
  <r>
    <x v="858"/>
    <d v="2024-05-06T00:00:00"/>
    <s v="Jessica Delgado"/>
    <s v="South"/>
    <s v="Lagos"/>
    <s v="Corporate"/>
    <s v="Electronics"/>
    <s v="Tablet"/>
    <n v="3"/>
    <n v="409.13"/>
    <n v="0.05"/>
    <n v="1166.02"/>
    <n v="659.1"/>
    <n v="506.92"/>
    <s v="Mobile Payment"/>
    <n v="1"/>
    <s v="May"/>
    <x v="2"/>
    <n v="2024"/>
    <m/>
  </r>
  <r>
    <x v="859"/>
    <d v="2024-01-24T00:00:00"/>
    <s v="Richard Carrillo"/>
    <s v="Central"/>
    <s v="Ibadan"/>
    <s v="Corporate"/>
    <s v="Electronics"/>
    <s v="Printer"/>
    <n v="5"/>
    <n v="659.15"/>
    <n v="0.05"/>
    <n v="3130.96"/>
    <n v="1991.86"/>
    <n v="1139.0999999999999"/>
    <s v="Cash"/>
    <n v="1"/>
    <s v="January"/>
    <x v="0"/>
    <n v="2024"/>
    <m/>
  </r>
  <r>
    <x v="860"/>
    <d v="2024-12-22T00:00:00"/>
    <s v="Susan Lawson"/>
    <s v="South"/>
    <s v="Abuja"/>
    <s v="Home Office"/>
    <s v="Clothing"/>
    <s v="Jacket"/>
    <n v="5"/>
    <n v="1120.57"/>
    <n v="0"/>
    <n v="5602.85"/>
    <n v="4509.4799999999996"/>
    <n v="1093.3699999999999"/>
    <s v="Mobile Payment"/>
    <n v="3"/>
    <s v="December"/>
    <x v="3"/>
    <n v="2024"/>
    <m/>
  </r>
  <r>
    <x v="861"/>
    <d v="2024-10-13T00:00:00"/>
    <s v="Todd Brown"/>
    <s v="South"/>
    <s v="Lagos"/>
    <s v="Home Office"/>
    <s v="Clothing"/>
    <s v="Sneakers"/>
    <n v="1"/>
    <n v="71.75"/>
    <n v="0.05"/>
    <n v="68.16"/>
    <n v="44.01"/>
    <n v="24.15"/>
    <s v="Mobile Payment"/>
    <n v="4"/>
    <s v="October"/>
    <x v="3"/>
    <n v="2024"/>
    <m/>
  </r>
  <r>
    <x v="862"/>
    <d v="2024-04-26T00:00:00"/>
    <s v="Stephanie Coffey"/>
    <s v="North"/>
    <s v="Abuja"/>
    <s v="Consumer"/>
    <s v="Clothing"/>
    <s v="T-Shirt"/>
    <n v="1"/>
    <n v="762.42"/>
    <n v="0.15"/>
    <n v="648.05999999999995"/>
    <n v="409.48"/>
    <n v="238.58"/>
    <s v="Mobile Payment"/>
    <n v="3"/>
    <s v="April"/>
    <x v="2"/>
    <n v="2024"/>
    <m/>
  </r>
  <r>
    <x v="863"/>
    <d v="2024-10-05T00:00:00"/>
    <s v="Juan Bell"/>
    <s v="West"/>
    <s v="Kano"/>
    <s v="Consumer"/>
    <s v="Furniture"/>
    <s v="Desk"/>
    <n v="12"/>
    <n v="1059.67"/>
    <n v="0.1"/>
    <n v="11444.44"/>
    <n v="6289.63"/>
    <n v="5154.8100000000004"/>
    <s v="Transfer"/>
    <n v="3"/>
    <s v="October"/>
    <x v="3"/>
    <n v="2024"/>
    <m/>
  </r>
  <r>
    <x v="864"/>
    <d v="2024-10-01T00:00:00"/>
    <s v="Jennifer Duran"/>
    <s v="North"/>
    <s v="Abuja"/>
    <s v="Corporate"/>
    <s v="Electronics"/>
    <s v="Tablet"/>
    <n v="6"/>
    <n v="218.2"/>
    <n v="0"/>
    <n v="1309.2"/>
    <n v="887.65"/>
    <n v="421.55"/>
    <s v="Mobile Payment"/>
    <n v="1"/>
    <s v="October"/>
    <x v="3"/>
    <n v="2024"/>
    <m/>
  </r>
  <r>
    <x v="865"/>
    <d v="2024-12-26T00:00:00"/>
    <s v="Candice Martin"/>
    <s v="South"/>
    <s v="Port Harcourt"/>
    <s v="Consumer"/>
    <s v="Office Supplies"/>
    <s v="Paper"/>
    <n v="2"/>
    <n v="734.88"/>
    <n v="0.15"/>
    <n v="1249.3"/>
    <n v="970.53"/>
    <n v="278.77"/>
    <s v="Mobile Payment"/>
    <n v="3"/>
    <s v="December"/>
    <x v="3"/>
    <n v="2024"/>
    <m/>
  </r>
  <r>
    <x v="866"/>
    <d v="2024-04-25T00:00:00"/>
    <s v="Eddie Aguirre Jr."/>
    <s v="West"/>
    <s v="Ibadan"/>
    <s v="Home Office"/>
    <s v="Electronics"/>
    <s v="Phone"/>
    <n v="10"/>
    <n v="380.89"/>
    <n v="0.05"/>
    <n v="3618.45"/>
    <n v="2965.04"/>
    <n v="653.41"/>
    <s v="Card"/>
    <n v="5"/>
    <s v="April"/>
    <x v="2"/>
    <n v="2024"/>
    <m/>
  </r>
  <r>
    <x v="867"/>
    <d v="2024-11-24T00:00:00"/>
    <s v="Mark Richmond"/>
    <s v="Central"/>
    <s v="Port Harcourt"/>
    <s v="Consumer"/>
    <s v="Office Supplies"/>
    <s v="Pen"/>
    <n v="10"/>
    <n v="970.75"/>
    <n v="0"/>
    <n v="9707.5"/>
    <n v="5451.31"/>
    <n v="4256.1899999999996"/>
    <s v="Transfer"/>
    <n v="5"/>
    <s v="November"/>
    <x v="3"/>
    <n v="2024"/>
    <m/>
  </r>
  <r>
    <x v="868"/>
    <d v="2024-06-19T00:00:00"/>
    <s v="Sharon Gutierrez"/>
    <s v="South"/>
    <s v="Kano"/>
    <s v="Consumer"/>
    <s v="Furniture"/>
    <s v="Chair"/>
    <n v="4"/>
    <n v="297.58999999999997"/>
    <n v="0.15"/>
    <n v="1011.81"/>
    <n v="716.79"/>
    <n v="295.02"/>
    <s v="Mobile Payment"/>
    <n v="5"/>
    <s v="June"/>
    <x v="2"/>
    <n v="2024"/>
    <m/>
  </r>
  <r>
    <x v="869"/>
    <d v="2024-03-27T00:00:00"/>
    <s v="Javier Garcia"/>
    <s v="North"/>
    <s v="Abuja"/>
    <s v="Home Office"/>
    <s v="Office Supplies"/>
    <s v="Notebook"/>
    <n v="9"/>
    <n v="350.6"/>
    <n v="0"/>
    <n v="3155.4"/>
    <n v="1882.66"/>
    <n v="1272.74"/>
    <s v="Card"/>
    <n v="4"/>
    <s v="March"/>
    <x v="0"/>
    <n v="2024"/>
    <m/>
  </r>
  <r>
    <x v="870"/>
    <d v="2024-07-30T00:00:00"/>
    <s v="Amanda Poole"/>
    <s v="South"/>
    <s v="Port Harcourt"/>
    <s v="Home Office"/>
    <s v="Electronics"/>
    <s v="Phone"/>
    <n v="2"/>
    <n v="578.94000000000005"/>
    <n v="0.05"/>
    <n v="1099.99"/>
    <n v="671.18"/>
    <n v="428.81"/>
    <s v="Transfer"/>
    <n v="1"/>
    <s v="July"/>
    <x v="1"/>
    <n v="2024"/>
    <m/>
  </r>
  <r>
    <x v="871"/>
    <d v="2024-08-02T00:00:00"/>
    <s v="Ashley Hatfield"/>
    <s v="North"/>
    <s v="Kano"/>
    <s v="Corporate"/>
    <s v="Office Supplies"/>
    <s v="Pen"/>
    <n v="1"/>
    <n v="787.8"/>
    <n v="0.05"/>
    <n v="748.41"/>
    <n v="539.09"/>
    <n v="209.32"/>
    <s v="Card"/>
    <n v="3"/>
    <s v="August"/>
    <x v="1"/>
    <n v="2024"/>
    <m/>
  </r>
  <r>
    <x v="872"/>
    <d v="2024-11-10T00:00:00"/>
    <s v="Lisa Phillips"/>
    <s v="North"/>
    <s v="Abuja"/>
    <s v="Corporate"/>
    <s v="Electronics"/>
    <s v="Tablet"/>
    <n v="9"/>
    <n v="197.14"/>
    <n v="0.1"/>
    <n v="1596.83"/>
    <n v="1251.8499999999999"/>
    <n v="344.98"/>
    <s v="Cash"/>
    <n v="1"/>
    <s v="November"/>
    <x v="3"/>
    <n v="2024"/>
    <m/>
  </r>
  <r>
    <x v="873"/>
    <d v="2024-06-04T00:00:00"/>
    <s v="Lindsay Duran"/>
    <s v="East"/>
    <s v="Lagos"/>
    <s v="Consumer"/>
    <s v="Furniture"/>
    <s v="Cabinet"/>
    <n v="10"/>
    <n v="1069.98"/>
    <n v="0"/>
    <n v="10699.8"/>
    <n v="7911.24"/>
    <n v="2788.56"/>
    <s v="Card"/>
    <n v="3"/>
    <s v="June"/>
    <x v="2"/>
    <n v="2024"/>
    <m/>
  </r>
  <r>
    <x v="874"/>
    <d v="2024-01-02T00:00:00"/>
    <s v="John Jennings"/>
    <s v="South"/>
    <s v="Ibadan"/>
    <s v="Corporate"/>
    <s v="Furniture"/>
    <s v="Desk"/>
    <n v="3"/>
    <n v="752.84"/>
    <n v="0.15"/>
    <n v="1919.74"/>
    <n v="1534.24"/>
    <n v="385.5"/>
    <s v="Mobile Payment"/>
    <n v="4"/>
    <s v="January"/>
    <x v="0"/>
    <n v="2024"/>
    <m/>
  </r>
  <r>
    <x v="875"/>
    <d v="2024-01-05T00:00:00"/>
    <s v="Walter Randall"/>
    <s v="South"/>
    <s v="Ibadan"/>
    <s v="Consumer"/>
    <s v="Office Supplies"/>
    <s v="Notebook"/>
    <n v="6"/>
    <n v="444.27"/>
    <n v="0.15"/>
    <n v="2265.7800000000002"/>
    <n v="1707.08"/>
    <n v="558.70000000000005"/>
    <s v="Cash"/>
    <n v="1"/>
    <s v="January"/>
    <x v="0"/>
    <n v="2024"/>
    <m/>
  </r>
  <r>
    <x v="876"/>
    <d v="2024-01-22T00:00:00"/>
    <s v="Connor Yang"/>
    <s v="Central"/>
    <s v="Abuja"/>
    <s v="Corporate"/>
    <s v="Clothing"/>
    <s v="Sneakers"/>
    <n v="10"/>
    <n v="1171.31"/>
    <n v="0.15"/>
    <n v="9956.1299999999992"/>
    <n v="5858.72"/>
    <n v="4097.41"/>
    <s v="Cash"/>
    <n v="1"/>
    <s v="January"/>
    <x v="0"/>
    <n v="2024"/>
    <m/>
  </r>
  <r>
    <x v="877"/>
    <d v="2024-12-11T00:00:00"/>
    <s v="Kendra Davidson"/>
    <s v="East"/>
    <s v="Ibadan"/>
    <s v="Home Office"/>
    <s v="Office Supplies"/>
    <s v="Pen"/>
    <n v="10"/>
    <n v="242.28"/>
    <n v="0"/>
    <n v="2422.8000000000002"/>
    <n v="1415.31"/>
    <n v="1007.49"/>
    <s v="Cash"/>
    <n v="4"/>
    <s v="December"/>
    <x v="3"/>
    <n v="2024"/>
    <m/>
  </r>
  <r>
    <x v="878"/>
    <d v="2024-08-21T00:00:00"/>
    <s v="Kayla Ramirez"/>
    <s v="East"/>
    <s v="Lagos"/>
    <s v="Corporate"/>
    <s v="Electronics"/>
    <s v="Tablet"/>
    <n v="5"/>
    <n v="545.45000000000005"/>
    <n v="0.15"/>
    <n v="2318.16"/>
    <n v="1366.47"/>
    <n v="951.69"/>
    <s v="Mobile Payment"/>
    <n v="4"/>
    <s v="August"/>
    <x v="1"/>
    <n v="2024"/>
    <m/>
  </r>
  <r>
    <x v="879"/>
    <d v="2024-07-20T00:00:00"/>
    <s v="Elizabeth Jacobson"/>
    <s v="North"/>
    <s v="Port Harcourt"/>
    <s v="Consumer"/>
    <s v="Clothing"/>
    <s v="Sneakers"/>
    <n v="12"/>
    <n v="300.58"/>
    <n v="0"/>
    <n v="3606.96"/>
    <n v="2316.9499999999998"/>
    <n v="1290.01"/>
    <s v="Transfer"/>
    <n v="2"/>
    <s v="July"/>
    <x v="1"/>
    <n v="2024"/>
    <m/>
  </r>
  <r>
    <x v="880"/>
    <d v="2024-11-26T00:00:00"/>
    <s v="Tiffany Summers"/>
    <s v="South"/>
    <s v="Ibadan"/>
    <s v="Corporate"/>
    <s v="Furniture"/>
    <s v="Chair"/>
    <n v="10"/>
    <n v="569.63"/>
    <n v="0.1"/>
    <n v="5126.67"/>
    <n v="3821.21"/>
    <n v="1305.46"/>
    <s v="Transfer"/>
    <n v="4"/>
    <s v="November"/>
    <x v="3"/>
    <n v="2024"/>
    <m/>
  </r>
  <r>
    <x v="881"/>
    <d v="2024-07-24T00:00:00"/>
    <s v="Christina Davis"/>
    <s v="Central"/>
    <s v="Kano"/>
    <s v="Consumer"/>
    <s v="Furniture"/>
    <s v="Desk"/>
    <n v="7"/>
    <n v="714.43"/>
    <n v="0.1"/>
    <n v="4500.91"/>
    <n v="3094.07"/>
    <n v="1406.84"/>
    <s v="Cash"/>
    <n v="2"/>
    <s v="July"/>
    <x v="1"/>
    <n v="2024"/>
    <m/>
  </r>
  <r>
    <x v="882"/>
    <d v="2024-02-09T00:00:00"/>
    <s v="Courtney Snyder"/>
    <s v="West"/>
    <s v="Kano"/>
    <s v="Corporate"/>
    <s v="Office Supplies"/>
    <s v="Notebook"/>
    <n v="7"/>
    <n v="591.08000000000004"/>
    <n v="0.1"/>
    <n v="3723.8"/>
    <n v="3102.9"/>
    <n v="620.9"/>
    <s v="Cash"/>
    <n v="2"/>
    <s v="February"/>
    <x v="0"/>
    <n v="2024"/>
    <m/>
  </r>
  <r>
    <x v="883"/>
    <d v="2024-02-27T00:00:00"/>
    <s v="Barbara Fisher"/>
    <s v="South"/>
    <s v="Port Harcourt"/>
    <s v="Corporate"/>
    <s v="Furniture"/>
    <s v="Desk"/>
    <n v="3"/>
    <n v="12.49"/>
    <n v="0.15"/>
    <n v="31.85"/>
    <n v="17.27"/>
    <n v="14.58"/>
    <s v="Transfer"/>
    <n v="3"/>
    <s v="February"/>
    <x v="0"/>
    <n v="2024"/>
    <m/>
  </r>
  <r>
    <x v="884"/>
    <d v="2024-10-08T00:00:00"/>
    <s v="Rebecca Perez"/>
    <s v="South"/>
    <s v="Abuja"/>
    <s v="Home Office"/>
    <s v="Furniture"/>
    <s v="Cabinet"/>
    <n v="5"/>
    <n v="584.96"/>
    <n v="0.1"/>
    <n v="2632.32"/>
    <n v="1922.78"/>
    <n v="709.54"/>
    <s v="Card"/>
    <n v="2"/>
    <s v="October"/>
    <x v="3"/>
    <n v="2024"/>
    <m/>
  </r>
  <r>
    <x v="885"/>
    <d v="2024-06-24T00:00:00"/>
    <s v="Richard Rivers"/>
    <s v="South"/>
    <s v="Lagos"/>
    <s v="Corporate"/>
    <s v="Furniture"/>
    <s v="Chair"/>
    <n v="12"/>
    <n v="38.58"/>
    <n v="0.15"/>
    <n v="393.52"/>
    <n v="317.29000000000002"/>
    <n v="76.23"/>
    <s v="Mobile Payment"/>
    <n v="4"/>
    <s v="June"/>
    <x v="2"/>
    <n v="2024"/>
    <m/>
  </r>
  <r>
    <x v="886"/>
    <d v="2024-09-15T00:00:00"/>
    <s v="Damon Avila"/>
    <s v="South"/>
    <s v="Kano"/>
    <s v="Corporate"/>
    <s v="Furniture"/>
    <s v="Desk"/>
    <n v="11"/>
    <n v="213.05"/>
    <n v="0.15"/>
    <n v="1992.02"/>
    <n v="1411.87"/>
    <n v="580.15"/>
    <s v="Card"/>
    <n v="5"/>
    <s v="September"/>
    <x v="1"/>
    <n v="2024"/>
    <m/>
  </r>
  <r>
    <x v="887"/>
    <d v="2024-06-25T00:00:00"/>
    <s v="Paul Macias"/>
    <s v="East"/>
    <s v="Abuja"/>
    <s v="Consumer"/>
    <s v="Clothing"/>
    <s v="T-Shirt"/>
    <n v="5"/>
    <n v="432.05"/>
    <n v="0"/>
    <n v="2160.25"/>
    <n v="1727.6"/>
    <n v="432.65"/>
    <s v="Transfer"/>
    <n v="1"/>
    <s v="June"/>
    <x v="2"/>
    <n v="2024"/>
    <m/>
  </r>
  <r>
    <x v="888"/>
    <d v="2024-06-29T00:00:00"/>
    <s v="Paul Rivera"/>
    <s v="East"/>
    <s v="Lagos"/>
    <s v="Consumer"/>
    <s v="Furniture"/>
    <s v="Chair"/>
    <n v="2"/>
    <n v="744.64"/>
    <n v="0.15"/>
    <n v="1265.8900000000001"/>
    <n v="921.12"/>
    <n v="344.77"/>
    <s v="Cash"/>
    <n v="1"/>
    <s v="June"/>
    <x v="2"/>
    <n v="2024"/>
    <m/>
  </r>
  <r>
    <x v="889"/>
    <d v="2024-06-05T00:00:00"/>
    <s v="Chad Hughes"/>
    <s v="South"/>
    <s v="Lagos"/>
    <s v="Corporate"/>
    <s v="Electronics"/>
    <s v="Printer"/>
    <n v="6"/>
    <n v="351.21"/>
    <n v="0.15"/>
    <n v="1791.17"/>
    <n v="1161.8"/>
    <n v="629.37"/>
    <s v="Mobile Payment"/>
    <n v="2"/>
    <s v="June"/>
    <x v="2"/>
    <n v="2024"/>
    <m/>
  </r>
  <r>
    <x v="890"/>
    <d v="2024-01-02T00:00:00"/>
    <s v="Jeffrey Price"/>
    <s v="West"/>
    <s v="Kano"/>
    <s v="Corporate"/>
    <s v="Clothing"/>
    <s v="T-Shirt"/>
    <n v="1"/>
    <n v="899.39"/>
    <n v="0.05"/>
    <n v="854.42"/>
    <n v="592.88"/>
    <n v="261.54000000000002"/>
    <s v="Mobile Payment"/>
    <n v="5"/>
    <s v="January"/>
    <x v="0"/>
    <n v="2024"/>
    <m/>
  </r>
  <r>
    <x v="891"/>
    <d v="2024-08-30T00:00:00"/>
    <s v="Donna Lewis"/>
    <s v="West"/>
    <s v="Kano"/>
    <s v="Home Office"/>
    <s v="Electronics"/>
    <s v="Phone"/>
    <n v="5"/>
    <n v="880.83"/>
    <n v="0.1"/>
    <n v="3963.74"/>
    <n v="2803.95"/>
    <n v="1159.79"/>
    <s v="Transfer"/>
    <n v="5"/>
    <s v="August"/>
    <x v="1"/>
    <n v="2024"/>
    <m/>
  </r>
  <r>
    <x v="892"/>
    <d v="2024-11-15T00:00:00"/>
    <s v="Cassandra Vasquez"/>
    <s v="Central"/>
    <s v="Kano"/>
    <s v="Consumer"/>
    <s v="Furniture"/>
    <s v="Cabinet"/>
    <n v="9"/>
    <n v="925.91"/>
    <n v="0.15"/>
    <n v="7083.21"/>
    <n v="3953.46"/>
    <n v="3129.75"/>
    <s v="Mobile Payment"/>
    <n v="1"/>
    <s v="November"/>
    <x v="3"/>
    <n v="2024"/>
    <m/>
  </r>
  <r>
    <x v="893"/>
    <d v="2024-05-02T00:00:00"/>
    <s v="Kelly Nelson"/>
    <s v="South"/>
    <s v="Port Harcourt"/>
    <s v="Consumer"/>
    <s v="Furniture"/>
    <s v="Desk"/>
    <n v="5"/>
    <n v="894.36"/>
    <n v="0.15"/>
    <n v="3801.03"/>
    <n v="2191.7199999999998"/>
    <n v="1609.31"/>
    <s v="Cash"/>
    <n v="4"/>
    <s v="May"/>
    <x v="2"/>
    <n v="2024"/>
    <m/>
  </r>
  <r>
    <x v="894"/>
    <d v="2024-10-13T00:00:00"/>
    <s v="Stephanie Jones"/>
    <s v="East"/>
    <s v="Abuja"/>
    <s v="Consumer"/>
    <s v="Clothing"/>
    <s v="T-Shirt"/>
    <n v="8"/>
    <n v="1132.6300000000001"/>
    <n v="0"/>
    <n v="9061.0400000000009"/>
    <n v="4861.25"/>
    <n v="4199.79"/>
    <s v="Transfer"/>
    <n v="3"/>
    <s v="October"/>
    <x v="3"/>
    <n v="2024"/>
    <m/>
  </r>
  <r>
    <x v="895"/>
    <d v="2024-09-20T00:00:00"/>
    <s v="Misty Garcia"/>
    <s v="Central"/>
    <s v="Lagos"/>
    <s v="Home Office"/>
    <s v="Clothing"/>
    <s v="T-Shirt"/>
    <n v="7"/>
    <n v="964.14"/>
    <n v="0"/>
    <n v="6748.98"/>
    <n v="3959.71"/>
    <n v="2789.27"/>
    <s v="Card"/>
    <n v="3"/>
    <s v="September"/>
    <x v="1"/>
    <n v="2024"/>
    <m/>
  </r>
  <r>
    <x v="896"/>
    <d v="2024-02-24T00:00:00"/>
    <s v="Andrew Peters"/>
    <s v="East"/>
    <s v="Port Harcourt"/>
    <s v="Corporate"/>
    <s v="Office Supplies"/>
    <s v="Paper"/>
    <n v="8"/>
    <n v="909.2"/>
    <n v="0"/>
    <n v="7273.6"/>
    <n v="3985.86"/>
    <n v="3287.74"/>
    <s v="Card"/>
    <n v="3"/>
    <s v="February"/>
    <x v="0"/>
    <n v="2024"/>
    <m/>
  </r>
  <r>
    <x v="897"/>
    <d v="2024-04-01T00:00:00"/>
    <s v="Mr. Ryan Shields Jr."/>
    <s v="South"/>
    <s v="Ibadan"/>
    <s v="Corporate"/>
    <s v="Clothing"/>
    <s v="T-Shirt"/>
    <n v="10"/>
    <n v="1171.4100000000001"/>
    <n v="0.05"/>
    <n v="11128.4"/>
    <n v="9371.36"/>
    <n v="1757.04"/>
    <s v="Cash"/>
    <n v="3"/>
    <s v="April"/>
    <x v="2"/>
    <n v="2024"/>
    <m/>
  </r>
  <r>
    <x v="898"/>
    <d v="2024-08-14T00:00:00"/>
    <s v="Whitney Morton"/>
    <s v="North"/>
    <s v="Ibadan"/>
    <s v="Corporate"/>
    <s v="Office Supplies"/>
    <s v="Notebook"/>
    <n v="4"/>
    <n v="191.85"/>
    <n v="0"/>
    <n v="767.4"/>
    <n v="481.24"/>
    <n v="286.16000000000003"/>
    <s v="Mobile Payment"/>
    <n v="3"/>
    <s v="August"/>
    <x v="1"/>
    <n v="2024"/>
    <m/>
  </r>
  <r>
    <x v="899"/>
    <d v="2024-02-16T00:00:00"/>
    <s v="Alexis Campbell"/>
    <s v="East"/>
    <s v="Abuja"/>
    <s v="Consumer"/>
    <s v="Furniture"/>
    <s v="Chair"/>
    <n v="5"/>
    <n v="971.44"/>
    <n v="0.15"/>
    <n v="4128.62"/>
    <n v="2772.24"/>
    <n v="1356.38"/>
    <s v="Transfer"/>
    <n v="2"/>
    <s v="February"/>
    <x v="0"/>
    <n v="2024"/>
    <m/>
  </r>
  <r>
    <x v="900"/>
    <d v="2024-07-03T00:00:00"/>
    <s v="Kelly Sanchez"/>
    <s v="South"/>
    <s v="Port Harcourt"/>
    <s v="Corporate"/>
    <s v="Office Supplies"/>
    <s v="Pen"/>
    <n v="2"/>
    <n v="589.14"/>
    <n v="0.05"/>
    <n v="1119.3699999999999"/>
    <n v="595.12"/>
    <n v="524.25"/>
    <s v="Cash"/>
    <n v="5"/>
    <s v="July"/>
    <x v="1"/>
    <n v="2024"/>
    <m/>
  </r>
  <r>
    <x v="901"/>
    <d v="2024-02-13T00:00:00"/>
    <s v="Dawn Taylor"/>
    <s v="West"/>
    <s v="Port Harcourt"/>
    <s v="Home Office"/>
    <s v="Electronics"/>
    <s v="Printer"/>
    <n v="9"/>
    <n v="1118.3800000000001"/>
    <n v="0.15"/>
    <n v="8555.61"/>
    <n v="6465.78"/>
    <n v="2089.83"/>
    <s v="Card"/>
    <n v="4"/>
    <s v="February"/>
    <x v="0"/>
    <n v="2024"/>
    <m/>
  </r>
  <r>
    <x v="902"/>
    <d v="2024-05-19T00:00:00"/>
    <s v="Lindsey Vaughn"/>
    <s v="Central"/>
    <s v="Lagos"/>
    <s v="Home Office"/>
    <s v="Furniture"/>
    <s v="Cabinet"/>
    <n v="10"/>
    <n v="1083.4100000000001"/>
    <n v="0.15"/>
    <n v="9208.99"/>
    <n v="4782.2299999999996"/>
    <n v="4426.76"/>
    <s v="Transfer"/>
    <n v="1"/>
    <s v="May"/>
    <x v="2"/>
    <n v="2024"/>
    <m/>
  </r>
  <r>
    <x v="903"/>
    <d v="2024-04-13T00:00:00"/>
    <s v="Austin Salazar"/>
    <s v="North"/>
    <s v="Ibadan"/>
    <s v="Home Office"/>
    <s v="Office Supplies"/>
    <s v="Pen"/>
    <n v="4"/>
    <n v="1125.8499999999999"/>
    <n v="0.05"/>
    <n v="4278.2299999999996"/>
    <n v="2380.44"/>
    <n v="1897.79"/>
    <s v="Transfer"/>
    <n v="5"/>
    <s v="April"/>
    <x v="2"/>
    <n v="2024"/>
    <m/>
  </r>
  <r>
    <x v="904"/>
    <d v="2024-02-20T00:00:00"/>
    <s v="Anita Vance"/>
    <s v="South"/>
    <s v="Abuja"/>
    <s v="Consumer"/>
    <s v="Office Supplies"/>
    <s v="Pen"/>
    <n v="10"/>
    <n v="449.99"/>
    <n v="0.1"/>
    <n v="4049.91"/>
    <n v="2975.23"/>
    <n v="1074.68"/>
    <s v="Transfer"/>
    <n v="5"/>
    <s v="February"/>
    <x v="0"/>
    <n v="2024"/>
    <m/>
  </r>
  <r>
    <x v="905"/>
    <d v="2024-03-13T00:00:00"/>
    <s v="Joseph Brown"/>
    <s v="South"/>
    <s v="Lagos"/>
    <s v="Home Office"/>
    <s v="Furniture"/>
    <s v="Desk"/>
    <n v="6"/>
    <n v="309.73"/>
    <n v="0.15"/>
    <n v="1579.62"/>
    <n v="1244.99"/>
    <n v="334.63"/>
    <s v="Mobile Payment"/>
    <n v="5"/>
    <s v="March"/>
    <x v="0"/>
    <n v="2024"/>
    <m/>
  </r>
  <r>
    <x v="906"/>
    <d v="2024-03-04T00:00:00"/>
    <s v="Kelly Walton"/>
    <s v="Central"/>
    <s v="Kano"/>
    <s v="Consumer"/>
    <s v="Office Supplies"/>
    <s v="Pen"/>
    <n v="7"/>
    <n v="837.53"/>
    <n v="0.05"/>
    <n v="5569.57"/>
    <n v="3436.97"/>
    <n v="2132.6"/>
    <s v="Mobile Payment"/>
    <n v="2"/>
    <s v="March"/>
    <x v="0"/>
    <n v="2024"/>
    <m/>
  </r>
  <r>
    <x v="907"/>
    <d v="2024-05-05T00:00:00"/>
    <s v="Mr. Steven Crawford"/>
    <s v="West"/>
    <s v="Port Harcourt"/>
    <s v="Home Office"/>
    <s v="Electronics"/>
    <s v="Phone"/>
    <n v="2"/>
    <n v="934.31"/>
    <n v="0.15"/>
    <n v="1588.33"/>
    <n v="971.78"/>
    <n v="616.54999999999995"/>
    <s v="Mobile Payment"/>
    <n v="5"/>
    <s v="May"/>
    <x v="2"/>
    <n v="2024"/>
    <m/>
  </r>
  <r>
    <x v="908"/>
    <d v="2024-07-08T00:00:00"/>
    <s v="Kimberly Chavez"/>
    <s v="Central"/>
    <s v="Ibadan"/>
    <s v="Corporate"/>
    <s v="Furniture"/>
    <s v="Desk"/>
    <n v="11"/>
    <n v="412.73"/>
    <n v="0.15"/>
    <n v="3859.03"/>
    <n v="2148.1999999999998"/>
    <n v="1710.83"/>
    <s v="Cash"/>
    <n v="2"/>
    <s v="July"/>
    <x v="1"/>
    <n v="2024"/>
    <m/>
  </r>
  <r>
    <x v="909"/>
    <d v="2024-06-30T00:00:00"/>
    <s v="Brian Hoffman"/>
    <s v="South"/>
    <s v="Kano"/>
    <s v="Corporate"/>
    <s v="Furniture"/>
    <s v="Desk"/>
    <n v="5"/>
    <n v="830.67"/>
    <n v="0.1"/>
    <n v="3738.01"/>
    <n v="2642.18"/>
    <n v="1095.83"/>
    <s v="Cash"/>
    <n v="1"/>
    <s v="June"/>
    <x v="2"/>
    <n v="2024"/>
    <m/>
  </r>
  <r>
    <x v="910"/>
    <d v="2024-11-22T00:00:00"/>
    <s v="Clayton Berger"/>
    <s v="North"/>
    <s v="Port Harcourt"/>
    <s v="Consumer"/>
    <s v="Electronics"/>
    <s v="Tablet"/>
    <n v="4"/>
    <n v="1161.5"/>
    <n v="0"/>
    <n v="4646"/>
    <n v="3199.05"/>
    <n v="1446.95"/>
    <s v="Transfer"/>
    <n v="4"/>
    <s v="November"/>
    <x v="3"/>
    <n v="2024"/>
    <m/>
  </r>
  <r>
    <x v="911"/>
    <d v="2024-04-28T00:00:00"/>
    <s v="Christopher Adams"/>
    <s v="Central"/>
    <s v="Abuja"/>
    <s v="Corporate"/>
    <s v="Electronics"/>
    <s v="Printer"/>
    <n v="6"/>
    <n v="1096.71"/>
    <n v="0.05"/>
    <n v="6251.25"/>
    <n v="4446.6400000000003"/>
    <n v="1804.61"/>
    <s v="Mobile Payment"/>
    <n v="4"/>
    <s v="April"/>
    <x v="2"/>
    <n v="2024"/>
    <m/>
  </r>
  <r>
    <x v="912"/>
    <d v="2024-04-24T00:00:00"/>
    <s v="Jo Davis"/>
    <s v="West"/>
    <s v="Kano"/>
    <s v="Corporate"/>
    <s v="Clothing"/>
    <s v="Sneakers"/>
    <n v="8"/>
    <n v="545.16999999999996"/>
    <n v="0"/>
    <n v="4361.3599999999997"/>
    <n v="2578.64"/>
    <n v="1782.72"/>
    <s v="Transfer"/>
    <n v="1"/>
    <s v="April"/>
    <x v="2"/>
    <n v="2024"/>
    <m/>
  </r>
  <r>
    <x v="913"/>
    <d v="2024-01-28T00:00:00"/>
    <s v="Stephanie Greene"/>
    <s v="West"/>
    <s v="Kano"/>
    <s v="Consumer"/>
    <s v="Electronics"/>
    <s v="Phone"/>
    <n v="11"/>
    <n v="591.66"/>
    <n v="0"/>
    <n v="6508.26"/>
    <n v="5443.4"/>
    <n v="1064.8599999999999"/>
    <s v="Card"/>
    <n v="3"/>
    <s v="January"/>
    <x v="0"/>
    <n v="2024"/>
    <m/>
  </r>
  <r>
    <x v="914"/>
    <d v="2024-01-18T00:00:00"/>
    <s v="Erin Brooks"/>
    <s v="West"/>
    <s v="Kano"/>
    <s v="Home Office"/>
    <s v="Clothing"/>
    <s v="T-Shirt"/>
    <n v="5"/>
    <n v="1015.47"/>
    <n v="0.15"/>
    <n v="4315.75"/>
    <n v="2299.7800000000002"/>
    <n v="2015.97"/>
    <s v="Mobile Payment"/>
    <n v="2"/>
    <s v="January"/>
    <x v="0"/>
    <n v="2024"/>
    <m/>
  </r>
  <r>
    <x v="915"/>
    <d v="2024-08-13T00:00:00"/>
    <s v="Chad Webster"/>
    <s v="South"/>
    <s v="Port Harcourt"/>
    <s v="Home Office"/>
    <s v="Furniture"/>
    <s v="Chair"/>
    <n v="4"/>
    <n v="610.29"/>
    <n v="0"/>
    <n v="2441.16"/>
    <n v="1534.43"/>
    <n v="906.73"/>
    <s v="Mobile Payment"/>
    <n v="1"/>
    <s v="August"/>
    <x v="1"/>
    <n v="2024"/>
    <m/>
  </r>
  <r>
    <x v="916"/>
    <d v="2024-03-14T00:00:00"/>
    <s v="Nancy Everett"/>
    <s v="North"/>
    <s v="Lagos"/>
    <s v="Corporate"/>
    <s v="Furniture"/>
    <s v="Cabinet"/>
    <n v="10"/>
    <n v="895.05"/>
    <n v="0.1"/>
    <n v="8055.45"/>
    <n v="4536.6000000000004"/>
    <n v="3518.85"/>
    <s v="Cash"/>
    <n v="3"/>
    <s v="March"/>
    <x v="0"/>
    <n v="2024"/>
    <m/>
  </r>
  <r>
    <x v="917"/>
    <d v="2024-08-21T00:00:00"/>
    <s v="Gary Martinez"/>
    <s v="North"/>
    <s v="Ibadan"/>
    <s v="Home Office"/>
    <s v="Clothing"/>
    <s v="Sneakers"/>
    <n v="2"/>
    <n v="326.57"/>
    <n v="0.1"/>
    <n v="587.83000000000004"/>
    <n v="494.22"/>
    <n v="93.61"/>
    <s v="Cash"/>
    <n v="5"/>
    <s v="August"/>
    <x v="1"/>
    <n v="2024"/>
    <m/>
  </r>
  <r>
    <x v="918"/>
    <d v="2024-05-28T00:00:00"/>
    <s v="Mary Williams"/>
    <s v="West"/>
    <s v="Ibadan"/>
    <s v="Corporate"/>
    <s v="Clothing"/>
    <s v="Sneakers"/>
    <n v="7"/>
    <n v="963.02"/>
    <n v="0.1"/>
    <n v="6067.03"/>
    <n v="3261.6"/>
    <n v="2805.43"/>
    <s v="Transfer"/>
    <n v="3"/>
    <s v="May"/>
    <x v="2"/>
    <n v="2024"/>
    <m/>
  </r>
  <r>
    <x v="919"/>
    <d v="2024-12-24T00:00:00"/>
    <s v="Miss Michelle Garcia"/>
    <s v="South"/>
    <s v="Lagos"/>
    <s v="Consumer"/>
    <s v="Electronics"/>
    <s v="Printer"/>
    <n v="7"/>
    <n v="866.91"/>
    <n v="0.05"/>
    <n v="5764.95"/>
    <n v="4511.57"/>
    <n v="1253.3800000000001"/>
    <s v="Card"/>
    <n v="4"/>
    <s v="December"/>
    <x v="3"/>
    <n v="2024"/>
    <m/>
  </r>
  <r>
    <x v="920"/>
    <d v="2024-02-07T00:00:00"/>
    <s v="Kyle Bauer"/>
    <s v="East"/>
    <s v="Ibadan"/>
    <s v="Corporate"/>
    <s v="Office Supplies"/>
    <s v="Pen"/>
    <n v="11"/>
    <n v="97.39"/>
    <n v="0.05"/>
    <n v="1017.73"/>
    <n v="523.29"/>
    <n v="494.44"/>
    <s v="Card"/>
    <n v="1"/>
    <s v="February"/>
    <x v="0"/>
    <n v="2024"/>
    <m/>
  </r>
  <r>
    <x v="921"/>
    <d v="2024-02-20T00:00:00"/>
    <s v="Todd Klein"/>
    <s v="North"/>
    <s v="Kano"/>
    <s v="Consumer"/>
    <s v="Furniture"/>
    <s v="Cabinet"/>
    <n v="4"/>
    <n v="574.34"/>
    <n v="0"/>
    <n v="2297.36"/>
    <n v="1462.99"/>
    <n v="834.37"/>
    <s v="Card"/>
    <n v="1"/>
    <s v="February"/>
    <x v="0"/>
    <n v="2024"/>
    <m/>
  </r>
  <r>
    <x v="922"/>
    <d v="2024-04-30T00:00:00"/>
    <s v="Angelica Jones"/>
    <s v="East"/>
    <s v="Ibadan"/>
    <s v="Consumer"/>
    <s v="Electronics"/>
    <s v="Printer"/>
    <n v="7"/>
    <n v="301.74"/>
    <n v="0.15"/>
    <n v="1795.35"/>
    <n v="1054.33"/>
    <n v="741.02"/>
    <s v="Card"/>
    <n v="5"/>
    <s v="April"/>
    <x v="2"/>
    <n v="2024"/>
    <m/>
  </r>
  <r>
    <x v="923"/>
    <d v="2024-01-11T00:00:00"/>
    <s v="Emily Bond"/>
    <s v="South"/>
    <s v="Abuja"/>
    <s v="Home Office"/>
    <s v="Office Supplies"/>
    <s v="Pen"/>
    <n v="1"/>
    <n v="338.9"/>
    <n v="0.15"/>
    <n v="288.06"/>
    <n v="167.17"/>
    <n v="120.89"/>
    <s v="Cash"/>
    <n v="3"/>
    <s v="January"/>
    <x v="0"/>
    <n v="2024"/>
    <m/>
  </r>
  <r>
    <x v="924"/>
    <d v="2024-03-03T00:00:00"/>
    <s v="Samuel Chang"/>
    <s v="South"/>
    <s v="Kano"/>
    <s v="Home Office"/>
    <s v="Clothing"/>
    <s v="T-Shirt"/>
    <n v="3"/>
    <n v="195.76"/>
    <n v="0.1"/>
    <n v="528.54999999999995"/>
    <n v="368.26"/>
    <n v="160.29"/>
    <s v="Mobile Payment"/>
    <n v="4"/>
    <s v="March"/>
    <x v="0"/>
    <n v="2024"/>
    <m/>
  </r>
  <r>
    <x v="925"/>
    <d v="2024-04-28T00:00:00"/>
    <s v="Kristen Savage"/>
    <s v="East"/>
    <s v="Ibadan"/>
    <s v="Home Office"/>
    <s v="Electronics"/>
    <s v="Printer"/>
    <n v="12"/>
    <n v="798.11"/>
    <n v="0.1"/>
    <n v="8619.59"/>
    <n v="5067.58"/>
    <n v="3552.01"/>
    <s v="Cash"/>
    <n v="2"/>
    <s v="April"/>
    <x v="2"/>
    <n v="2024"/>
    <m/>
  </r>
  <r>
    <x v="926"/>
    <d v="2024-03-28T00:00:00"/>
    <s v="James Hall"/>
    <s v="Central"/>
    <s v="Ibadan"/>
    <s v="Home Office"/>
    <s v="Office Supplies"/>
    <s v="Notebook"/>
    <n v="2"/>
    <n v="97.87"/>
    <n v="0.15"/>
    <n v="166.38"/>
    <n v="139.83000000000001"/>
    <n v="26.55"/>
    <s v="Card"/>
    <n v="1"/>
    <s v="March"/>
    <x v="0"/>
    <n v="2024"/>
    <m/>
  </r>
  <r>
    <x v="927"/>
    <d v="2024-08-22T00:00:00"/>
    <s v="Jeremy Curry"/>
    <s v="East"/>
    <s v="Ibadan"/>
    <s v="Consumer"/>
    <s v="Furniture"/>
    <s v="Desk"/>
    <n v="7"/>
    <n v="249.77"/>
    <n v="0"/>
    <n v="1748.39"/>
    <n v="945.94"/>
    <n v="802.45"/>
    <s v="Cash"/>
    <n v="3"/>
    <s v="August"/>
    <x v="1"/>
    <n v="2024"/>
    <m/>
  </r>
  <r>
    <x v="928"/>
    <d v="2024-10-11T00:00:00"/>
    <s v="Zachary Roberts"/>
    <s v="East"/>
    <s v="Kano"/>
    <s v="Home Office"/>
    <s v="Electronics"/>
    <s v="Laptop"/>
    <n v="1"/>
    <n v="263.86"/>
    <n v="0"/>
    <n v="263.86"/>
    <n v="190.08"/>
    <n v="73.78"/>
    <s v="Transfer"/>
    <n v="2"/>
    <s v="October"/>
    <x v="3"/>
    <n v="2024"/>
    <m/>
  </r>
  <r>
    <x v="929"/>
    <d v="2024-07-01T00:00:00"/>
    <s v="Dustin Davis"/>
    <s v="West"/>
    <s v="Abuja"/>
    <s v="Consumer"/>
    <s v="Office Supplies"/>
    <s v="Pen"/>
    <n v="9"/>
    <n v="980.98"/>
    <n v="0.15"/>
    <n v="7504.5"/>
    <n v="5586.01"/>
    <n v="1918.49"/>
    <s v="Card"/>
    <n v="4"/>
    <s v="July"/>
    <x v="1"/>
    <n v="2024"/>
    <m/>
  </r>
  <r>
    <x v="930"/>
    <d v="2024-06-10T00:00:00"/>
    <s v="Luke Stewart"/>
    <s v="West"/>
    <s v="Abuja"/>
    <s v="Home Office"/>
    <s v="Electronics"/>
    <s v="Laptop"/>
    <n v="8"/>
    <n v="1073.94"/>
    <n v="0.1"/>
    <n v="7732.37"/>
    <n v="6485.5"/>
    <n v="1246.8699999999999"/>
    <s v="Card"/>
    <n v="3"/>
    <s v="June"/>
    <x v="2"/>
    <n v="2024"/>
    <m/>
  </r>
  <r>
    <x v="931"/>
    <d v="2024-04-07T00:00:00"/>
    <s v="Rodney Jones"/>
    <s v="East"/>
    <s v="Abuja"/>
    <s v="Home Office"/>
    <s v="Office Supplies"/>
    <s v="Pen"/>
    <n v="7"/>
    <n v="263.14"/>
    <n v="0.05"/>
    <n v="1749.88"/>
    <n v="950.35"/>
    <n v="799.53"/>
    <s v="Card"/>
    <n v="5"/>
    <s v="April"/>
    <x v="2"/>
    <n v="2024"/>
    <m/>
  </r>
  <r>
    <x v="932"/>
    <d v="2024-06-03T00:00:00"/>
    <s v="Mindy Robbins"/>
    <s v="Central"/>
    <s v="Lagos"/>
    <s v="Home Office"/>
    <s v="Electronics"/>
    <s v="Tablet"/>
    <n v="12"/>
    <n v="111.39"/>
    <n v="0.05"/>
    <n v="1269.8499999999999"/>
    <n v="657.02"/>
    <n v="612.83000000000004"/>
    <s v="Transfer"/>
    <n v="4"/>
    <s v="June"/>
    <x v="2"/>
    <n v="2024"/>
    <m/>
  </r>
  <r>
    <x v="933"/>
    <d v="2024-08-12T00:00:00"/>
    <s v="Austin Kim"/>
    <s v="South"/>
    <s v="Ibadan"/>
    <s v="Corporate"/>
    <s v="Office Supplies"/>
    <s v="Notebook"/>
    <n v="10"/>
    <n v="787.96"/>
    <n v="0"/>
    <n v="7879.6"/>
    <n v="5796.99"/>
    <n v="2082.61"/>
    <s v="Card"/>
    <n v="1"/>
    <s v="August"/>
    <x v="1"/>
    <n v="2024"/>
    <m/>
  </r>
  <r>
    <x v="934"/>
    <d v="2024-04-19T00:00:00"/>
    <s v="Michael Marks"/>
    <s v="North"/>
    <s v="Ibadan"/>
    <s v="Home Office"/>
    <s v="Clothing"/>
    <s v="T-Shirt"/>
    <n v="7"/>
    <n v="704.46"/>
    <n v="0.1"/>
    <n v="4438.1000000000004"/>
    <n v="2935.33"/>
    <n v="1502.77"/>
    <s v="Transfer"/>
    <n v="2"/>
    <s v="April"/>
    <x v="2"/>
    <n v="2024"/>
    <m/>
  </r>
  <r>
    <x v="935"/>
    <d v="2024-09-30T00:00:00"/>
    <s v="Dennis Bishop"/>
    <s v="East"/>
    <s v="Lagos"/>
    <s v="Consumer"/>
    <s v="Furniture"/>
    <s v="Cabinet"/>
    <n v="5"/>
    <n v="830.11"/>
    <n v="0"/>
    <n v="4150.55"/>
    <n v="2281.9499999999998"/>
    <n v="1868.6"/>
    <s v="Transfer"/>
    <n v="5"/>
    <s v="September"/>
    <x v="1"/>
    <n v="2024"/>
    <m/>
  </r>
  <r>
    <x v="936"/>
    <d v="2024-05-29T00:00:00"/>
    <s v="Sarah Reid"/>
    <s v="East"/>
    <s v="Ibadan"/>
    <s v="Home Office"/>
    <s v="Office Supplies"/>
    <s v="Pen"/>
    <n v="5"/>
    <n v="80.680000000000007"/>
    <n v="0.05"/>
    <n v="383.23"/>
    <n v="263.10000000000002"/>
    <n v="120.13"/>
    <s v="Cash"/>
    <n v="3"/>
    <s v="May"/>
    <x v="2"/>
    <n v="2024"/>
    <m/>
  </r>
  <r>
    <x v="937"/>
    <d v="2024-09-20T00:00:00"/>
    <s v="Mary Washington"/>
    <s v="Central"/>
    <s v="Lagos"/>
    <s v="Corporate"/>
    <s v="Office Supplies"/>
    <s v="Pen"/>
    <n v="8"/>
    <n v="1154.0899999999999"/>
    <n v="0.05"/>
    <n v="8771.08"/>
    <n v="7292.15"/>
    <n v="1478.93"/>
    <s v="Transfer"/>
    <n v="3"/>
    <s v="September"/>
    <x v="1"/>
    <n v="2024"/>
    <m/>
  </r>
  <r>
    <x v="938"/>
    <d v="2024-02-15T00:00:00"/>
    <s v="Terry Miller"/>
    <s v="North"/>
    <s v="Port Harcourt"/>
    <s v="Corporate"/>
    <s v="Furniture"/>
    <s v="Chair"/>
    <n v="10"/>
    <n v="878.36"/>
    <n v="0.05"/>
    <n v="8344.42"/>
    <n v="6409.24"/>
    <n v="1935.18"/>
    <s v="Mobile Payment"/>
    <n v="4"/>
    <s v="February"/>
    <x v="0"/>
    <n v="2024"/>
    <m/>
  </r>
  <r>
    <x v="939"/>
    <d v="2024-03-24T00:00:00"/>
    <s v="Cassandra Spencer"/>
    <s v="East"/>
    <s v="Abuja"/>
    <s v="Corporate"/>
    <s v="Clothing"/>
    <s v="Jacket"/>
    <n v="10"/>
    <n v="521.84"/>
    <n v="0.05"/>
    <n v="4957.4799999999996"/>
    <n v="2518.3200000000002"/>
    <n v="2439.16"/>
    <s v="Cash"/>
    <n v="5"/>
    <s v="March"/>
    <x v="0"/>
    <n v="2024"/>
    <m/>
  </r>
  <r>
    <x v="940"/>
    <d v="2024-01-31T00:00:00"/>
    <s v="Stephanie Copeland"/>
    <s v="South"/>
    <s v="Kano"/>
    <s v="Consumer"/>
    <s v="Office Supplies"/>
    <s v="Notebook"/>
    <n v="1"/>
    <n v="766.41"/>
    <n v="0"/>
    <n v="766.41"/>
    <n v="393.95"/>
    <n v="372.46"/>
    <s v="Card"/>
    <n v="4"/>
    <s v="January"/>
    <x v="0"/>
    <n v="2024"/>
    <m/>
  </r>
  <r>
    <x v="941"/>
    <d v="2024-10-29T00:00:00"/>
    <s v="Gabriela Lynch"/>
    <s v="West"/>
    <s v="Lagos"/>
    <s v="Corporate"/>
    <s v="Clothing"/>
    <s v="T-Shirt"/>
    <n v="5"/>
    <n v="40.380000000000003"/>
    <n v="0.1"/>
    <n v="181.71"/>
    <n v="126.48"/>
    <n v="55.23"/>
    <s v="Mobile Payment"/>
    <n v="5"/>
    <s v="October"/>
    <x v="3"/>
    <n v="2024"/>
    <m/>
  </r>
  <r>
    <x v="942"/>
    <d v="2024-09-24T00:00:00"/>
    <s v="Dana Higgins"/>
    <s v="East"/>
    <s v="Port Harcourt"/>
    <s v="Home Office"/>
    <s v="Office Supplies"/>
    <s v="Paper"/>
    <n v="8"/>
    <n v="705.38"/>
    <n v="0.05"/>
    <n v="5360.89"/>
    <n v="4180.04"/>
    <n v="1180.8499999999999"/>
    <s v="Transfer"/>
    <n v="4"/>
    <s v="September"/>
    <x v="1"/>
    <n v="2024"/>
    <m/>
  </r>
  <r>
    <x v="943"/>
    <d v="2024-07-13T00:00:00"/>
    <s v="Dr. Peter Carson"/>
    <s v="West"/>
    <s v="Ibadan"/>
    <s v="Corporate"/>
    <s v="Electronics"/>
    <s v="Phone"/>
    <n v="1"/>
    <n v="1059.57"/>
    <n v="0.15"/>
    <n v="900.63"/>
    <n v="565.25"/>
    <n v="335.38"/>
    <s v="Mobile Payment"/>
    <n v="2"/>
    <s v="July"/>
    <x v="1"/>
    <n v="2024"/>
    <m/>
  </r>
  <r>
    <x v="944"/>
    <d v="2024-03-08T00:00:00"/>
    <s v="Tina Ewing"/>
    <s v="West"/>
    <s v="Ibadan"/>
    <s v="Home Office"/>
    <s v="Furniture"/>
    <s v="Chair"/>
    <n v="6"/>
    <n v="123.69"/>
    <n v="0.05"/>
    <n v="705.03"/>
    <n v="392.28"/>
    <n v="312.75"/>
    <s v="Transfer"/>
    <n v="4"/>
    <s v="March"/>
    <x v="0"/>
    <n v="2024"/>
    <m/>
  </r>
  <r>
    <x v="945"/>
    <d v="2024-10-24T00:00:00"/>
    <s v="Jessica Cooper"/>
    <s v="East"/>
    <s v="Kano"/>
    <s v="Home Office"/>
    <s v="Clothing"/>
    <s v="T-Shirt"/>
    <n v="1"/>
    <n v="600.09"/>
    <n v="0.05"/>
    <n v="570.09"/>
    <n v="373.35"/>
    <n v="196.74"/>
    <s v="Card"/>
    <n v="1"/>
    <s v="October"/>
    <x v="3"/>
    <n v="2024"/>
    <m/>
  </r>
  <r>
    <x v="946"/>
    <d v="2024-10-20T00:00:00"/>
    <s v="Audrey Taylor"/>
    <s v="Central"/>
    <s v="Kano"/>
    <s v="Consumer"/>
    <s v="Clothing"/>
    <s v="T-Shirt"/>
    <n v="1"/>
    <n v="640.80999999999995"/>
    <n v="0.15"/>
    <n v="544.69000000000005"/>
    <n v="347.63"/>
    <n v="197.06"/>
    <s v="Card"/>
    <n v="4"/>
    <s v="October"/>
    <x v="3"/>
    <n v="2024"/>
    <m/>
  </r>
  <r>
    <x v="947"/>
    <d v="2024-10-26T00:00:00"/>
    <s v="Danielle Cabrera"/>
    <s v="South"/>
    <s v="Lagos"/>
    <s v="Home Office"/>
    <s v="Electronics"/>
    <s v="Tablet"/>
    <n v="8"/>
    <n v="346.78"/>
    <n v="0.05"/>
    <n v="2635.53"/>
    <n v="1607.19"/>
    <n v="1028.3399999999999"/>
    <s v="Mobile Payment"/>
    <n v="1"/>
    <s v="October"/>
    <x v="3"/>
    <n v="2024"/>
    <m/>
  </r>
  <r>
    <x v="948"/>
    <d v="2024-08-11T00:00:00"/>
    <s v="Mr. Jeffery Townsend"/>
    <s v="North"/>
    <s v="Abuja"/>
    <s v="Consumer"/>
    <s v="Furniture"/>
    <s v="Chair"/>
    <n v="3"/>
    <n v="245.96"/>
    <n v="0.15"/>
    <n v="627.20000000000005"/>
    <n v="345.9"/>
    <n v="281.3"/>
    <s v="Cash"/>
    <n v="1"/>
    <s v="August"/>
    <x v="1"/>
    <n v="2024"/>
    <m/>
  </r>
  <r>
    <x v="949"/>
    <d v="2024-11-24T00:00:00"/>
    <s v="Eric Carpenter"/>
    <s v="South"/>
    <s v="Ibadan"/>
    <s v="Corporate"/>
    <s v="Furniture"/>
    <s v="Cabinet"/>
    <n v="3"/>
    <n v="1076.81"/>
    <n v="0"/>
    <n v="3230.43"/>
    <n v="2557.66"/>
    <n v="672.77"/>
    <s v="Mobile Payment"/>
    <n v="5"/>
    <s v="November"/>
    <x v="3"/>
    <n v="2024"/>
    <m/>
  </r>
  <r>
    <x v="950"/>
    <d v="2024-12-09T00:00:00"/>
    <s v="Jeffrey White"/>
    <s v="Central"/>
    <s v="Lagos"/>
    <s v="Consumer"/>
    <s v="Furniture"/>
    <s v="Cabinet"/>
    <n v="5"/>
    <n v="332.5"/>
    <n v="0.15"/>
    <n v="1413.12"/>
    <n v="1020.3"/>
    <n v="392.82"/>
    <s v="Card"/>
    <n v="2"/>
    <s v="December"/>
    <x v="3"/>
    <n v="2024"/>
    <m/>
  </r>
  <r>
    <x v="951"/>
    <d v="2024-02-27T00:00:00"/>
    <s v="Kelly Miles"/>
    <s v="North"/>
    <s v="Lagos"/>
    <s v="Consumer"/>
    <s v="Furniture"/>
    <s v="Cabinet"/>
    <n v="2"/>
    <n v="282.2"/>
    <n v="0"/>
    <n v="564.4"/>
    <n v="410.78"/>
    <n v="153.62"/>
    <s v="Card"/>
    <n v="1"/>
    <s v="February"/>
    <x v="0"/>
    <n v="2024"/>
    <m/>
  </r>
  <r>
    <x v="952"/>
    <d v="2024-06-27T00:00:00"/>
    <s v="Nicholas Rogers"/>
    <s v="West"/>
    <s v="Port Harcourt"/>
    <s v="Consumer"/>
    <s v="Office Supplies"/>
    <s v="Notebook"/>
    <n v="7"/>
    <n v="285.54000000000002"/>
    <n v="0.05"/>
    <n v="1898.84"/>
    <n v="999.05"/>
    <n v="899.79"/>
    <s v="Mobile Payment"/>
    <n v="5"/>
    <s v="June"/>
    <x v="2"/>
    <n v="2024"/>
    <m/>
  </r>
  <r>
    <x v="953"/>
    <d v="2024-11-07T00:00:00"/>
    <s v="John Whitaker"/>
    <s v="West"/>
    <s v="Lagos"/>
    <s v="Corporate"/>
    <s v="Office Supplies"/>
    <s v="Paper"/>
    <n v="11"/>
    <n v="579.25"/>
    <n v="0.15"/>
    <n v="5415.99"/>
    <n v="3612.21"/>
    <n v="1803.78"/>
    <s v="Mobile Payment"/>
    <n v="2"/>
    <s v="November"/>
    <x v="3"/>
    <n v="2024"/>
    <m/>
  </r>
  <r>
    <x v="954"/>
    <d v="2024-11-26T00:00:00"/>
    <s v="Kimberly Smith"/>
    <s v="North"/>
    <s v="Kano"/>
    <s v="Corporate"/>
    <s v="Office Supplies"/>
    <s v="Paper"/>
    <n v="9"/>
    <n v="839.27"/>
    <n v="0"/>
    <n v="7553.43"/>
    <n v="3958.72"/>
    <n v="3594.71"/>
    <s v="Mobile Payment"/>
    <n v="5"/>
    <s v="November"/>
    <x v="3"/>
    <n v="2024"/>
    <m/>
  </r>
  <r>
    <x v="955"/>
    <d v="2024-08-13T00:00:00"/>
    <s v="Justin Mcknight"/>
    <s v="South"/>
    <s v="Ibadan"/>
    <s v="Corporate"/>
    <s v="Office Supplies"/>
    <s v="Notebook"/>
    <n v="3"/>
    <n v="785.14"/>
    <n v="0.05"/>
    <n v="2237.65"/>
    <n v="1150.5899999999999"/>
    <n v="1087.06"/>
    <s v="Transfer"/>
    <n v="3"/>
    <s v="August"/>
    <x v="1"/>
    <n v="2024"/>
    <m/>
  </r>
  <r>
    <x v="956"/>
    <d v="2024-04-10T00:00:00"/>
    <s v="Sean Gutierrez"/>
    <s v="North"/>
    <s v="Ibadan"/>
    <s v="Consumer"/>
    <s v="Office Supplies"/>
    <s v="Pen"/>
    <n v="4"/>
    <n v="1025.1500000000001"/>
    <n v="0"/>
    <n v="4100.6000000000004"/>
    <n v="3212.17"/>
    <n v="888.43"/>
    <s v="Cash"/>
    <n v="3"/>
    <s v="April"/>
    <x v="2"/>
    <n v="2024"/>
    <m/>
  </r>
  <r>
    <x v="957"/>
    <d v="2024-05-22T00:00:00"/>
    <s v="Benjamin Wilson"/>
    <s v="North"/>
    <s v="Abuja"/>
    <s v="Consumer"/>
    <s v="Furniture"/>
    <s v="Cabinet"/>
    <n v="1"/>
    <n v="813.16"/>
    <n v="0.1"/>
    <n v="731.84"/>
    <n v="411.51"/>
    <n v="320.33"/>
    <s v="Mobile Payment"/>
    <n v="2"/>
    <s v="May"/>
    <x v="2"/>
    <n v="2024"/>
    <m/>
  </r>
  <r>
    <x v="958"/>
    <d v="2024-12-25T00:00:00"/>
    <s v="Angela Sherman"/>
    <s v="West"/>
    <s v="Ibadan"/>
    <s v="Corporate"/>
    <s v="Furniture"/>
    <s v="Chair"/>
    <n v="5"/>
    <n v="270.94"/>
    <n v="0.05"/>
    <n v="1286.96"/>
    <n v="746.07"/>
    <n v="540.89"/>
    <s v="Mobile Payment"/>
    <n v="4"/>
    <s v="December"/>
    <x v="3"/>
    <n v="2024"/>
    <m/>
  </r>
  <r>
    <x v="959"/>
    <d v="2024-04-30T00:00:00"/>
    <s v="Edwin Brown"/>
    <s v="North"/>
    <s v="Port Harcourt"/>
    <s v="Corporate"/>
    <s v="Office Supplies"/>
    <s v="Pen"/>
    <n v="4"/>
    <n v="143.69"/>
    <n v="0.1"/>
    <n v="517.28"/>
    <n v="327.49"/>
    <n v="189.79"/>
    <s v="Transfer"/>
    <n v="2"/>
    <s v="April"/>
    <x v="2"/>
    <n v="2024"/>
    <m/>
  </r>
  <r>
    <x v="960"/>
    <d v="2024-05-18T00:00:00"/>
    <s v="Evan Calhoun"/>
    <s v="Central"/>
    <s v="Port Harcourt"/>
    <s v="Home Office"/>
    <s v="Electronics"/>
    <s v="Printer"/>
    <n v="8"/>
    <n v="175.28"/>
    <n v="0"/>
    <n v="1402.24"/>
    <n v="792.69"/>
    <n v="609.54999999999995"/>
    <s v="Card"/>
    <n v="2"/>
    <s v="May"/>
    <x v="2"/>
    <n v="2024"/>
    <m/>
  </r>
  <r>
    <x v="961"/>
    <d v="2024-02-26T00:00:00"/>
    <s v="Mrs. Andrea Gibson"/>
    <s v="Central"/>
    <s v="Port Harcourt"/>
    <s v="Corporate"/>
    <s v="Electronics"/>
    <s v="Laptop"/>
    <n v="9"/>
    <n v="84.06"/>
    <n v="0.15"/>
    <n v="643.05999999999995"/>
    <n v="403.76"/>
    <n v="239.3"/>
    <s v="Transfer"/>
    <n v="5"/>
    <s v="February"/>
    <x v="0"/>
    <n v="2024"/>
    <m/>
  </r>
  <r>
    <x v="962"/>
    <d v="2024-02-28T00:00:00"/>
    <s v="Reginald Wright"/>
    <s v="West"/>
    <s v="Port Harcourt"/>
    <s v="Consumer"/>
    <s v="Furniture"/>
    <s v="Cabinet"/>
    <n v="1"/>
    <n v="397.49"/>
    <n v="0.1"/>
    <n v="357.74"/>
    <n v="199.84"/>
    <n v="157.9"/>
    <s v="Mobile Payment"/>
    <n v="3"/>
    <s v="February"/>
    <x v="0"/>
    <n v="2024"/>
    <m/>
  </r>
  <r>
    <x v="963"/>
    <d v="2024-02-26T00:00:00"/>
    <s v="Samantha Munoz"/>
    <s v="North"/>
    <s v="Kano"/>
    <s v="Home Office"/>
    <s v="Clothing"/>
    <s v="Jacket"/>
    <n v="11"/>
    <n v="162.41999999999999"/>
    <n v="0"/>
    <n v="1786.62"/>
    <n v="1109.3900000000001"/>
    <n v="677.23"/>
    <s v="Transfer"/>
    <n v="2"/>
    <s v="February"/>
    <x v="0"/>
    <n v="2024"/>
    <m/>
  </r>
  <r>
    <x v="964"/>
    <d v="2024-08-31T00:00:00"/>
    <s v="Tracy Miller"/>
    <s v="East"/>
    <s v="Lagos"/>
    <s v="Corporate"/>
    <s v="Clothing"/>
    <s v="Jacket"/>
    <n v="1"/>
    <n v="1117.08"/>
    <n v="0.1"/>
    <n v="1005.37"/>
    <n v="530.69000000000005"/>
    <n v="474.68"/>
    <s v="Cash"/>
    <n v="2"/>
    <s v="August"/>
    <x v="1"/>
    <n v="2024"/>
    <m/>
  </r>
  <r>
    <x v="965"/>
    <d v="2024-10-04T00:00:00"/>
    <s v="Matthew Peterson"/>
    <s v="West"/>
    <s v="Ibadan"/>
    <s v="Home Office"/>
    <s v="Office Supplies"/>
    <s v="Pen"/>
    <n v="4"/>
    <n v="747.31"/>
    <n v="0.05"/>
    <n v="2839.78"/>
    <n v="2338.2600000000002"/>
    <n v="501.52"/>
    <s v="Transfer"/>
    <n v="2"/>
    <s v="October"/>
    <x v="3"/>
    <n v="2024"/>
    <m/>
  </r>
  <r>
    <x v="966"/>
    <d v="2024-04-13T00:00:00"/>
    <s v="Jermaine White MD"/>
    <s v="Central"/>
    <s v="Lagos"/>
    <s v="Corporate"/>
    <s v="Electronics"/>
    <s v="Laptop"/>
    <n v="4"/>
    <n v="635.08000000000004"/>
    <n v="0.1"/>
    <n v="2286.29"/>
    <n v="1712.73"/>
    <n v="573.55999999999995"/>
    <s v="Card"/>
    <n v="5"/>
    <s v="April"/>
    <x v="2"/>
    <n v="2024"/>
    <m/>
  </r>
  <r>
    <x v="967"/>
    <d v="2024-02-06T00:00:00"/>
    <s v="Sharon Ali"/>
    <s v="East"/>
    <s v="Ibadan"/>
    <s v="Home Office"/>
    <s v="Furniture"/>
    <s v="Chair"/>
    <n v="6"/>
    <n v="886.69"/>
    <n v="0.1"/>
    <n v="4788.13"/>
    <n v="2817.55"/>
    <n v="1970.58"/>
    <s v="Transfer"/>
    <n v="1"/>
    <s v="February"/>
    <x v="0"/>
    <n v="2024"/>
    <m/>
  </r>
  <r>
    <x v="968"/>
    <d v="2024-03-14T00:00:00"/>
    <s v="Christopher Atkinson"/>
    <s v="West"/>
    <s v="Ibadan"/>
    <s v="Corporate"/>
    <s v="Clothing"/>
    <s v="Sneakers"/>
    <n v="4"/>
    <n v="918.56"/>
    <n v="0.1"/>
    <n v="3306.82"/>
    <n v="1716.73"/>
    <n v="1590.09"/>
    <s v="Card"/>
    <n v="5"/>
    <s v="March"/>
    <x v="0"/>
    <n v="2024"/>
    <m/>
  </r>
  <r>
    <x v="969"/>
    <d v="2024-04-27T00:00:00"/>
    <s v="Charles Smith"/>
    <s v="Central"/>
    <s v="Abuja"/>
    <s v="Home Office"/>
    <s v="Clothing"/>
    <s v="Sneakers"/>
    <n v="11"/>
    <n v="892.94"/>
    <n v="0.05"/>
    <n v="9331.2199999999993"/>
    <n v="5113.03"/>
    <n v="4218.1899999999996"/>
    <s v="Cash"/>
    <n v="2"/>
    <s v="April"/>
    <x v="2"/>
    <n v="2024"/>
    <m/>
  </r>
  <r>
    <x v="970"/>
    <d v="2024-04-17T00:00:00"/>
    <s v="Ray Mitchell"/>
    <s v="East"/>
    <s v="Ibadan"/>
    <s v="Home Office"/>
    <s v="Office Supplies"/>
    <s v="Notebook"/>
    <n v="1"/>
    <n v="1097.43"/>
    <n v="0.1"/>
    <n v="987.69"/>
    <n v="569.9"/>
    <n v="417.79"/>
    <s v="Mobile Payment"/>
    <n v="1"/>
    <s v="April"/>
    <x v="2"/>
    <n v="2024"/>
    <m/>
  </r>
  <r>
    <x v="971"/>
    <d v="2024-09-23T00:00:00"/>
    <s v="Ashley Costa"/>
    <s v="Central"/>
    <s v="Lagos"/>
    <s v="Consumer"/>
    <s v="Clothing"/>
    <s v="Jacket"/>
    <n v="6"/>
    <n v="281.92"/>
    <n v="0.05"/>
    <n v="1606.94"/>
    <n v="1123.46"/>
    <n v="483.48"/>
    <s v="Mobile Payment"/>
    <n v="2"/>
    <s v="September"/>
    <x v="1"/>
    <n v="2024"/>
    <m/>
  </r>
  <r>
    <x v="972"/>
    <d v="2024-01-06T00:00:00"/>
    <s v="Matthew Shields"/>
    <s v="North"/>
    <s v="Lagos"/>
    <s v="Corporate"/>
    <s v="Furniture"/>
    <s v="Chair"/>
    <n v="9"/>
    <n v="696.52"/>
    <n v="0"/>
    <n v="6268.68"/>
    <n v="3730.2"/>
    <n v="2538.48"/>
    <s v="Card"/>
    <n v="5"/>
    <s v="January"/>
    <x v="0"/>
    <n v="2024"/>
    <m/>
  </r>
  <r>
    <x v="973"/>
    <d v="2024-07-27T00:00:00"/>
    <s v="David Carter"/>
    <s v="West"/>
    <s v="Port Harcourt"/>
    <s v="Corporate"/>
    <s v="Clothing"/>
    <s v="T-Shirt"/>
    <n v="5"/>
    <n v="462.06"/>
    <n v="0.15"/>
    <n v="1963.76"/>
    <n v="1054.76"/>
    <n v="909"/>
    <s v="Cash"/>
    <n v="1"/>
    <s v="July"/>
    <x v="1"/>
    <n v="2024"/>
    <m/>
  </r>
  <r>
    <x v="974"/>
    <d v="2024-03-15T00:00:00"/>
    <s v="Bradley West"/>
    <s v="South"/>
    <s v="Port Harcourt"/>
    <s v="Home Office"/>
    <s v="Office Supplies"/>
    <s v="Notebook"/>
    <n v="3"/>
    <n v="378.45"/>
    <n v="0.1"/>
    <n v="1021.81"/>
    <n v="762.54"/>
    <n v="259.27"/>
    <s v="Transfer"/>
    <n v="2"/>
    <s v="March"/>
    <x v="0"/>
    <n v="2024"/>
    <m/>
  </r>
  <r>
    <x v="975"/>
    <d v="2024-06-30T00:00:00"/>
    <s v="Yolanda Hill"/>
    <s v="East"/>
    <s v="Lagos"/>
    <s v="Corporate"/>
    <s v="Office Supplies"/>
    <s v="Paper"/>
    <n v="11"/>
    <n v="419.97"/>
    <n v="0.1"/>
    <n v="4157.7"/>
    <n v="3173.83"/>
    <n v="983.87"/>
    <s v="Mobile Payment"/>
    <n v="5"/>
    <s v="June"/>
    <x v="2"/>
    <n v="2024"/>
    <m/>
  </r>
  <r>
    <x v="976"/>
    <d v="2024-05-23T00:00:00"/>
    <s v="Melissa Walker"/>
    <s v="West"/>
    <s v="Ibadan"/>
    <s v="Home Office"/>
    <s v="Electronics"/>
    <s v="Phone"/>
    <n v="1"/>
    <n v="183.71"/>
    <n v="0.1"/>
    <n v="165.34"/>
    <n v="116.9"/>
    <n v="48.44"/>
    <s v="Mobile Payment"/>
    <n v="1"/>
    <s v="May"/>
    <x v="2"/>
    <n v="2024"/>
    <m/>
  </r>
  <r>
    <x v="977"/>
    <d v="2024-11-03T00:00:00"/>
    <s v="Sue Foster"/>
    <s v="Central"/>
    <s v="Kano"/>
    <s v="Home Office"/>
    <s v="Office Supplies"/>
    <s v="Notebook"/>
    <n v="5"/>
    <n v="768.55"/>
    <n v="0.1"/>
    <n v="3458.47"/>
    <n v="2879.75"/>
    <n v="578.72"/>
    <s v="Cash"/>
    <n v="1"/>
    <s v="November"/>
    <x v="3"/>
    <n v="2024"/>
    <m/>
  </r>
  <r>
    <x v="978"/>
    <d v="2024-03-12T00:00:00"/>
    <s v="John Kramer"/>
    <s v="East"/>
    <s v="Kano"/>
    <s v="Home Office"/>
    <s v="Furniture"/>
    <s v="Chair"/>
    <n v="12"/>
    <n v="813.74"/>
    <n v="0.05"/>
    <n v="9276.64"/>
    <n v="7155.26"/>
    <n v="2121.38"/>
    <s v="Mobile Payment"/>
    <n v="5"/>
    <s v="March"/>
    <x v="0"/>
    <n v="2024"/>
    <m/>
  </r>
  <r>
    <x v="979"/>
    <d v="2024-12-13T00:00:00"/>
    <s v="Amber Jefferson"/>
    <s v="East"/>
    <s v="Ibadan"/>
    <s v="Corporate"/>
    <s v="Electronics"/>
    <s v="Tablet"/>
    <n v="6"/>
    <n v="1016.68"/>
    <n v="0.05"/>
    <n v="5795.08"/>
    <n v="4407.4799999999996"/>
    <n v="1387.6"/>
    <s v="Transfer"/>
    <n v="4"/>
    <s v="December"/>
    <x v="3"/>
    <n v="2024"/>
    <m/>
  </r>
  <r>
    <x v="980"/>
    <d v="2024-07-31T00:00:00"/>
    <s v="Katherine Smith"/>
    <s v="Central"/>
    <s v="Kano"/>
    <s v="Consumer"/>
    <s v="Furniture"/>
    <s v="Cabinet"/>
    <n v="11"/>
    <n v="1057.73"/>
    <n v="0.15"/>
    <n v="9889.7800000000007"/>
    <n v="5332.66"/>
    <n v="4557.12"/>
    <s v="Card"/>
    <n v="5"/>
    <s v="July"/>
    <x v="1"/>
    <n v="2024"/>
    <m/>
  </r>
  <r>
    <x v="981"/>
    <d v="2024-01-14T00:00:00"/>
    <s v="George Stephenson"/>
    <s v="West"/>
    <s v="Abuja"/>
    <s v="Home Office"/>
    <s v="Clothing"/>
    <s v="Sneakers"/>
    <n v="6"/>
    <n v="504.15"/>
    <n v="0.05"/>
    <n v="2873.65"/>
    <n v="1639.92"/>
    <n v="1233.73"/>
    <s v="Transfer"/>
    <n v="4"/>
    <s v="January"/>
    <x v="0"/>
    <n v="2024"/>
    <m/>
  </r>
  <r>
    <x v="982"/>
    <d v="2024-04-24T00:00:00"/>
    <s v="Anthony Thompson"/>
    <s v="West"/>
    <s v="Lagos"/>
    <s v="Corporate"/>
    <s v="Electronics"/>
    <s v="Laptop"/>
    <n v="7"/>
    <n v="1160.73"/>
    <n v="0"/>
    <n v="8125.11"/>
    <n v="6255.13"/>
    <n v="1869.98"/>
    <s v="Card"/>
    <n v="3"/>
    <s v="April"/>
    <x v="2"/>
    <n v="2024"/>
    <m/>
  </r>
  <r>
    <x v="983"/>
    <d v="2024-02-06T00:00:00"/>
    <s v="Zachary Whitney"/>
    <s v="East"/>
    <s v="Lagos"/>
    <s v="Corporate"/>
    <s v="Electronics"/>
    <s v="Printer"/>
    <n v="8"/>
    <n v="148.93"/>
    <n v="0"/>
    <n v="1191.44"/>
    <n v="596.47"/>
    <n v="594.97"/>
    <s v="Transfer"/>
    <n v="3"/>
    <s v="February"/>
    <x v="0"/>
    <n v="2024"/>
    <m/>
  </r>
  <r>
    <x v="984"/>
    <d v="2024-11-22T00:00:00"/>
    <s v="David Lambert"/>
    <s v="North"/>
    <s v="Ibadan"/>
    <s v="Corporate"/>
    <s v="Electronics"/>
    <s v="Laptop"/>
    <n v="5"/>
    <n v="242.78"/>
    <n v="0.05"/>
    <n v="1153.2"/>
    <n v="867.83"/>
    <n v="285.37"/>
    <s v="Transfer"/>
    <n v="2"/>
    <s v="November"/>
    <x v="3"/>
    <n v="2024"/>
    <m/>
  </r>
  <r>
    <x v="985"/>
    <d v="2024-10-08T00:00:00"/>
    <s v="Duane Pena"/>
    <s v="South"/>
    <s v="Port Harcourt"/>
    <s v="Home Office"/>
    <s v="Office Supplies"/>
    <s v="Pen"/>
    <n v="11"/>
    <n v="1131.82"/>
    <n v="0"/>
    <n v="12450.02"/>
    <n v="7512.49"/>
    <n v="4937.53"/>
    <s v="Card"/>
    <n v="2"/>
    <s v="October"/>
    <x v="3"/>
    <n v="2024"/>
    <m/>
  </r>
  <r>
    <x v="986"/>
    <d v="2024-01-04T00:00:00"/>
    <s v="Tyler West"/>
    <s v="West"/>
    <s v="Ibadan"/>
    <s v="Home Office"/>
    <s v="Furniture"/>
    <s v="Cabinet"/>
    <n v="4"/>
    <n v="520.36"/>
    <n v="0"/>
    <n v="2081.44"/>
    <n v="1736.71"/>
    <n v="344.73"/>
    <s v="Cash"/>
    <n v="2"/>
    <s v="January"/>
    <x v="0"/>
    <n v="2024"/>
    <m/>
  </r>
  <r>
    <x v="987"/>
    <d v="2024-03-25T00:00:00"/>
    <s v="Alicia Bailey"/>
    <s v="South"/>
    <s v="Lagos"/>
    <s v="Consumer"/>
    <s v="Office Supplies"/>
    <s v="Notebook"/>
    <n v="10"/>
    <n v="399.31"/>
    <n v="0.1"/>
    <n v="3593.79"/>
    <n v="3029.5"/>
    <n v="564.29"/>
    <s v="Cash"/>
    <n v="2"/>
    <s v="March"/>
    <x v="0"/>
    <n v="2024"/>
    <m/>
  </r>
  <r>
    <x v="988"/>
    <d v="2024-09-14T00:00:00"/>
    <s v="Lisa Owens"/>
    <s v="South"/>
    <s v="Lagos"/>
    <s v="Consumer"/>
    <s v="Office Supplies"/>
    <s v="Notebook"/>
    <n v="7"/>
    <n v="190.47"/>
    <n v="0"/>
    <n v="1333.29"/>
    <n v="829.28"/>
    <n v="504.01"/>
    <s v="Transfer"/>
    <n v="2"/>
    <s v="September"/>
    <x v="1"/>
    <n v="2024"/>
    <m/>
  </r>
  <r>
    <x v="989"/>
    <d v="2024-08-03T00:00:00"/>
    <s v="Hannah Cooper"/>
    <s v="South"/>
    <s v="Kano"/>
    <s v="Consumer"/>
    <s v="Office Supplies"/>
    <s v="Pen"/>
    <n v="6"/>
    <n v="941.86"/>
    <n v="0.05"/>
    <n v="5368.6"/>
    <n v="4079.12"/>
    <n v="1289.48"/>
    <s v="Cash"/>
    <n v="3"/>
    <s v="August"/>
    <x v="1"/>
    <n v="2024"/>
    <m/>
  </r>
  <r>
    <x v="990"/>
    <d v="2024-01-28T00:00:00"/>
    <s v="Terry Drake"/>
    <s v="North"/>
    <s v="Kano"/>
    <s v="Consumer"/>
    <s v="Electronics"/>
    <s v="Laptop"/>
    <n v="4"/>
    <n v="264.27"/>
    <n v="0.05"/>
    <n v="1004.23"/>
    <n v="851.81"/>
    <n v="152.41999999999999"/>
    <s v="Card"/>
    <n v="4"/>
    <s v="January"/>
    <x v="0"/>
    <n v="2024"/>
    <m/>
  </r>
  <r>
    <x v="991"/>
    <d v="2024-09-26T00:00:00"/>
    <s v="William Mcdonald"/>
    <s v="West"/>
    <s v="Abuja"/>
    <s v="Corporate"/>
    <s v="Office Supplies"/>
    <s v="Notebook"/>
    <n v="3"/>
    <n v="705.7"/>
    <n v="0.1"/>
    <n v="1905.39"/>
    <n v="958.25"/>
    <n v="947.14"/>
    <s v="Card"/>
    <n v="1"/>
    <s v="September"/>
    <x v="1"/>
    <n v="2024"/>
    <m/>
  </r>
  <r>
    <x v="992"/>
    <d v="2024-11-25T00:00:00"/>
    <s v="Tammy Nichols"/>
    <s v="South"/>
    <s v="Kano"/>
    <s v="Home Office"/>
    <s v="Electronics"/>
    <s v="Laptop"/>
    <n v="2"/>
    <n v="343.74"/>
    <n v="0"/>
    <n v="687.48"/>
    <n v="479.69"/>
    <n v="207.79"/>
    <s v="Transfer"/>
    <n v="2"/>
    <s v="November"/>
    <x v="3"/>
    <n v="2024"/>
    <m/>
  </r>
  <r>
    <x v="993"/>
    <d v="2024-09-28T00:00:00"/>
    <s v="Thomas Ramirez"/>
    <s v="East"/>
    <s v="Lagos"/>
    <s v="Corporate"/>
    <s v="Office Supplies"/>
    <s v="Pen"/>
    <n v="8"/>
    <n v="121.94"/>
    <n v="0.05"/>
    <n v="926.74"/>
    <n v="724.94"/>
    <n v="201.8"/>
    <s v="Mobile Payment"/>
    <n v="2"/>
    <s v="September"/>
    <x v="1"/>
    <n v="2024"/>
    <m/>
  </r>
  <r>
    <x v="994"/>
    <d v="2024-06-05T00:00:00"/>
    <s v="Andrew Harris"/>
    <s v="East"/>
    <s v="Port Harcourt"/>
    <s v="Consumer"/>
    <s v="Furniture"/>
    <s v="Cabinet"/>
    <n v="2"/>
    <n v="325.55"/>
    <n v="0.05"/>
    <n v="618.54"/>
    <n v="312.63"/>
    <n v="305.91000000000003"/>
    <s v="Transfer"/>
    <n v="5"/>
    <s v="June"/>
    <x v="2"/>
    <n v="2024"/>
    <m/>
  </r>
  <r>
    <x v="995"/>
    <d v="2024-08-02T00:00:00"/>
    <s v="Tanya Smith"/>
    <s v="West"/>
    <s v="Lagos"/>
    <s v="Home Office"/>
    <s v="Clothing"/>
    <s v="Jacket"/>
    <n v="7"/>
    <n v="764.96"/>
    <n v="0.05"/>
    <n v="5086.9799999999996"/>
    <n v="4302.43"/>
    <n v="784.55"/>
    <s v="Card"/>
    <n v="4"/>
    <s v="August"/>
    <x v="1"/>
    <n v="2024"/>
    <m/>
  </r>
  <r>
    <x v="996"/>
    <d v="2024-06-06T00:00:00"/>
    <s v="David Maldonado"/>
    <s v="North"/>
    <s v="Lagos"/>
    <s v="Corporate"/>
    <s v="Furniture"/>
    <s v="Cabinet"/>
    <n v="7"/>
    <n v="900.81"/>
    <n v="0.05"/>
    <n v="5990.39"/>
    <n v="3744.5"/>
    <n v="2245.89"/>
    <s v="Mobile Payment"/>
    <n v="2"/>
    <s v="June"/>
    <x v="2"/>
    <n v="2024"/>
    <m/>
  </r>
  <r>
    <x v="997"/>
    <d v="2024-06-09T00:00:00"/>
    <s v="Hannah Dawson"/>
    <s v="Central"/>
    <s v="Ibadan"/>
    <s v="Home Office"/>
    <s v="Electronics"/>
    <s v="Phone"/>
    <n v="3"/>
    <n v="776.64"/>
    <n v="0.1"/>
    <n v="2096.9299999999998"/>
    <n v="1410.12"/>
    <n v="686.81"/>
    <s v="Mobile Payment"/>
    <n v="1"/>
    <s v="June"/>
    <x v="2"/>
    <n v="2024"/>
    <m/>
  </r>
  <r>
    <x v="998"/>
    <d v="2024-05-09T00:00:00"/>
    <s v="Charles Castillo"/>
    <s v="East"/>
    <s v="Lagos"/>
    <s v="Consumer"/>
    <s v="Clothing"/>
    <s v="Sneakers"/>
    <n v="6"/>
    <n v="93.07"/>
    <n v="0.15"/>
    <n v="474.66"/>
    <n v="391.66"/>
    <n v="83"/>
    <s v="Transfer"/>
    <n v="3"/>
    <s v="May"/>
    <x v="2"/>
    <n v="2024"/>
    <m/>
  </r>
  <r>
    <x v="999"/>
    <d v="2024-05-04T00:00:00"/>
    <s v="Christine Leonard"/>
    <s v="South"/>
    <s v="Abuja"/>
    <s v="Consumer"/>
    <s v="Office Supplies"/>
    <s v="Paper"/>
    <n v="6"/>
    <n v="680"/>
    <n v="0.05"/>
    <n v="3876"/>
    <n v="2648.82"/>
    <n v="1227.18"/>
    <s v="Cash"/>
    <n v="5"/>
    <s v="May"/>
    <x v="2"/>
    <n v="20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5:D41" firstHeaderRow="0" firstDataRow="1" firstDataCol="1"/>
  <pivotFields count="20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axis="axisRow" showAll="0">
      <items count="6">
        <item sd="0" x="4"/>
        <item sd="0" x="1"/>
        <item sd="0" x="3"/>
        <item sd="0" x="2"/>
        <item sd="0" x="0"/>
        <item t="default" sd="0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_Price" fld="9" baseField="0" baseItem="0"/>
    <dataField name="Sum of Discount" fld="10" baseField="0" baseItem="0"/>
    <dataField name="Sum of Sales_Amount By City" fld="11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5:B30" firstHeaderRow="1" firstDataRow="1" firstDataCol="1"/>
  <pivotFields count="20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sd="0" x="0"/>
        <item sd="0" x="2"/>
        <item sd="0" x="1"/>
        <item sd="0" x="3"/>
        <item t="default" sd="0"/>
      </items>
    </pivotField>
    <pivotField showAll="0"/>
    <pivotField showAll="0"/>
  </pivotFields>
  <rowFields count="2">
    <field x="17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st_Amoun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B20" firstHeaderRow="1" firstDataRow="1" firstDataCol="1"/>
  <pivotFields count="20">
    <pivotField showAll="0"/>
    <pivotField numFmtId="14"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20">
    <pivotField showAll="0"/>
    <pivotField numFmtId="14"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2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51:C76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4"/>
        <item x="1"/>
        <item x="10"/>
        <item x="9"/>
        <item x="5"/>
        <item x="7"/>
        <item x="3"/>
        <item x="2"/>
        <item x="8"/>
        <item x="11"/>
        <item x="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  <pivotField showAll="0"/>
  </pivotFields>
  <rowFields count="2">
    <field x="16"/>
    <field x="17"/>
  </rowFields>
  <rowItems count="25">
    <i>
      <x/>
    </i>
    <i r="1">
      <x/>
    </i>
    <i>
      <x v="1"/>
    </i>
    <i r="1">
      <x/>
    </i>
    <i>
      <x v="2"/>
    </i>
    <i r="1">
      <x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2"/>
    </i>
    <i>
      <x v="7"/>
    </i>
    <i r="1">
      <x v="2"/>
    </i>
    <i>
      <x v="8"/>
    </i>
    <i r="1">
      <x v="2"/>
    </i>
    <i>
      <x v="9"/>
    </i>
    <i r="1">
      <x v="3"/>
    </i>
    <i>
      <x v="10"/>
    </i>
    <i r="1">
      <x v="3"/>
    </i>
    <i>
      <x v="11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 baseItem="0"/>
    <dataField name="Sum of Yearly Sale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1:B4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4"/>
        <item x="1"/>
        <item x="10"/>
        <item x="9"/>
        <item x="5"/>
        <item x="7"/>
        <item x="3"/>
        <item x="2"/>
        <item x="8"/>
        <item x="11"/>
        <item x="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</pivotFields>
  <rowFields count="2">
    <field x="16"/>
    <field x="17"/>
  </rowFields>
  <rowItems count="25">
    <i>
      <x/>
    </i>
    <i r="1">
      <x/>
    </i>
    <i>
      <x v="1"/>
    </i>
    <i r="1">
      <x/>
    </i>
    <i>
      <x v="2"/>
    </i>
    <i r="1">
      <x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2"/>
    </i>
    <i>
      <x v="7"/>
    </i>
    <i r="1">
      <x v="2"/>
    </i>
    <i>
      <x v="8"/>
    </i>
    <i r="1">
      <x v="2"/>
    </i>
    <i>
      <x v="9"/>
    </i>
    <i r="1">
      <x v="3"/>
    </i>
    <i>
      <x v="10"/>
    </i>
    <i r="1">
      <x v="3"/>
    </i>
    <i>
      <x v="11"/>
    </i>
    <i r="1">
      <x v="3"/>
    </i>
    <i t="grand">
      <x/>
    </i>
  </rowItems>
  <colItems count="1">
    <i/>
  </colItems>
  <dataFields count="1">
    <dataField name="Sum of Sales_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6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4"/>
        <item x="1"/>
        <item x="10"/>
        <item x="9"/>
        <item x="5"/>
        <item x="7"/>
        <item x="3"/>
        <item x="2"/>
        <item x="8"/>
        <item x="11"/>
        <item x="6"/>
        <item t="default"/>
      </items>
    </pivotField>
    <pivotField showAll="0"/>
    <pivotField showAll="0"/>
    <pivotField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_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3:B50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4">
        <item x="4"/>
        <item x="10"/>
        <item x="9"/>
        <item x="3"/>
        <item x="5"/>
        <item x="7"/>
        <item x="8"/>
        <item x="6"/>
        <item x="1"/>
        <item x="11"/>
        <item x="2"/>
        <item x="0"/>
        <item x="12"/>
        <item t="default"/>
      </items>
    </pivotField>
    <pivotField showAll="0"/>
    <pivotField showAll="0"/>
    <pivotField showAll="0"/>
    <pivotField dataField="1" showAll="0">
      <items count="1001">
        <item x="255"/>
        <item x="750"/>
        <item x="883"/>
        <item x="700"/>
        <item x="551"/>
        <item x="221"/>
        <item x="399"/>
        <item x="234"/>
        <item x="102"/>
        <item x="861"/>
        <item x="123"/>
        <item x="673"/>
        <item x="788"/>
        <item x="313"/>
        <item x="320"/>
        <item x="278"/>
        <item x="473"/>
        <item x="210"/>
        <item x="27"/>
        <item x="193"/>
        <item x="393"/>
        <item x="494"/>
        <item x="460"/>
        <item x="454"/>
        <item x="492"/>
        <item x="240"/>
        <item x="976"/>
        <item x="926"/>
        <item x="143"/>
        <item x="57"/>
        <item x="439"/>
        <item x="70"/>
        <item x="86"/>
        <item x="941"/>
        <item x="562"/>
        <item x="523"/>
        <item x="420"/>
        <item x="258"/>
        <item x="300"/>
        <item x="785"/>
        <item x="269"/>
        <item x="22"/>
        <item x="667"/>
        <item x="795"/>
        <item x="376"/>
        <item x="799"/>
        <item x="644"/>
        <item x="266"/>
        <item x="298"/>
        <item x="251"/>
        <item x="928"/>
        <item x="427"/>
        <item x="739"/>
        <item x="330"/>
        <item x="923"/>
        <item x="670"/>
        <item x="267"/>
        <item x="31"/>
        <item x="839"/>
        <item x="654"/>
        <item x="180"/>
        <item x="215"/>
        <item x="394"/>
        <item x="377"/>
        <item x="735"/>
        <item x="276"/>
        <item x="831"/>
        <item x="182"/>
        <item x="461"/>
        <item x="10"/>
        <item x="962"/>
        <item x="792"/>
        <item x="122"/>
        <item x="75"/>
        <item x="652"/>
        <item x="658"/>
        <item x="936"/>
        <item x="605"/>
        <item x="885"/>
        <item x="832"/>
        <item x="245"/>
        <item x="355"/>
        <item x="241"/>
        <item x="249"/>
        <item x="374"/>
        <item x="35"/>
        <item x="513"/>
        <item x="246"/>
        <item x="610"/>
        <item x="725"/>
        <item x="54"/>
        <item x="765"/>
        <item x="856"/>
        <item x="197"/>
        <item x="675"/>
        <item x="91"/>
        <item x="385"/>
        <item x="383"/>
        <item x="998"/>
        <item x="208"/>
        <item x="519"/>
        <item x="389"/>
        <item x="779"/>
        <item x="390"/>
        <item x="490"/>
        <item x="65"/>
        <item x="828"/>
        <item x="744"/>
        <item x="720"/>
        <item x="524"/>
        <item x="679"/>
        <item x="959"/>
        <item x="135"/>
        <item x="421"/>
        <item x="924"/>
        <item x="813"/>
        <item x="757"/>
        <item x="74"/>
        <item x="291"/>
        <item x="235"/>
        <item x="176"/>
        <item x="333"/>
        <item x="946"/>
        <item x="133"/>
        <item x="448"/>
        <item x="200"/>
        <item x="740"/>
        <item x="575"/>
        <item x="223"/>
        <item x="951"/>
        <item x="521"/>
        <item x="945"/>
        <item x="547"/>
        <item x="227"/>
        <item x="917"/>
        <item x="434"/>
        <item x="717"/>
        <item x="614"/>
        <item x="368"/>
        <item x="207"/>
        <item x="798"/>
        <item x="440"/>
        <item x="105"/>
        <item x="994"/>
        <item x="948"/>
        <item x="768"/>
        <item x="702"/>
        <item x="358"/>
        <item x="693"/>
        <item x="961"/>
        <item x="464"/>
        <item x="862"/>
        <item x="441"/>
        <item x="723"/>
        <item x="307"/>
        <item x="692"/>
        <item x="38"/>
        <item x="124"/>
        <item x="581"/>
        <item x="398"/>
        <item x="992"/>
        <item x="46"/>
        <item x="944"/>
        <item x="87"/>
        <item x="689"/>
        <item x="324"/>
        <item x="422"/>
        <item x="248"/>
        <item x="405"/>
        <item x="778"/>
        <item x="957"/>
        <item x="432"/>
        <item x="871"/>
        <item x="185"/>
        <item x="273"/>
        <item x="501"/>
        <item x="93"/>
        <item x="940"/>
        <item x="508"/>
        <item x="265"/>
        <item x="898"/>
        <item x="706"/>
        <item x="111"/>
        <item x="553"/>
        <item x="760"/>
        <item x="835"/>
        <item x="314"/>
        <item x="797"/>
        <item x="816"/>
        <item x="396"/>
        <item x="737"/>
        <item x="465"/>
        <item x="67"/>
        <item x="504"/>
        <item x="808"/>
        <item x="722"/>
        <item x="656"/>
        <item x="695"/>
        <item x="232"/>
        <item x="698"/>
        <item x="890"/>
        <item x="651"/>
        <item x="58"/>
        <item x="807"/>
        <item x="493"/>
        <item x="130"/>
        <item x="628"/>
        <item x="672"/>
        <item x="943"/>
        <item x="423"/>
        <item x="127"/>
        <item x="94"/>
        <item x="26"/>
        <item x="347"/>
        <item x="747"/>
        <item x="993"/>
        <item x="545"/>
        <item x="776"/>
        <item x="845"/>
        <item x="5"/>
        <item x="586"/>
        <item x="565"/>
        <item x="741"/>
        <item x="485"/>
        <item x="308"/>
        <item x="970"/>
        <item x="211"/>
        <item x="150"/>
        <item x="990"/>
        <item x="964"/>
        <item x="868"/>
        <item x="920"/>
        <item x="974"/>
        <item x="450"/>
        <item x="48"/>
        <item x="92"/>
        <item x="429"/>
        <item x="338"/>
        <item x="847"/>
        <item x="294"/>
        <item x="561"/>
        <item x="471"/>
        <item x="348"/>
        <item x="239"/>
        <item x="870"/>
        <item x="589"/>
        <item x="837"/>
        <item x="419"/>
        <item x="1"/>
        <item x="833"/>
        <item x="900"/>
        <item x="851"/>
        <item x="242"/>
        <item x="480"/>
        <item x="674"/>
        <item x="594"/>
        <item x="984"/>
        <item x="247"/>
        <item x="322"/>
        <item x="858"/>
        <item x="530"/>
        <item x="345"/>
        <item x="983"/>
        <item x="177"/>
        <item x="475"/>
        <item x="598"/>
        <item x="650"/>
        <item x="106"/>
        <item x="853"/>
        <item x="638"/>
        <item x="418"/>
        <item x="841"/>
        <item x="714"/>
        <item x="162"/>
        <item x="865"/>
        <item x="802"/>
        <item x="749"/>
        <item x="426"/>
        <item x="745"/>
        <item x="888"/>
        <item x="932"/>
        <item x="539"/>
        <item x="958"/>
        <item x="763"/>
        <item x="33"/>
        <item x="616"/>
        <item x="773"/>
        <item x="339"/>
        <item x="864"/>
        <item x="615"/>
        <item x="171"/>
        <item x="988"/>
        <item x="62"/>
        <item x="518"/>
        <item x="805"/>
        <item x="713"/>
        <item x="960"/>
        <item x="950"/>
        <item x="711"/>
        <item x="814"/>
        <item x="30"/>
        <item x="63"/>
        <item x="16"/>
        <item x="101"/>
        <item x="830"/>
        <item x="639"/>
        <item x="701"/>
        <item x="161"/>
        <item x="511"/>
        <item x="64"/>
        <item x="282"/>
        <item x="115"/>
        <item x="761"/>
        <item x="846"/>
        <item x="527"/>
        <item x="369"/>
        <item x="319"/>
        <item x="416"/>
        <item x="772"/>
        <item x="299"/>
        <item x="296"/>
        <item x="564"/>
        <item x="905"/>
        <item x="907"/>
        <item x="872"/>
        <item x="971"/>
        <item x="766"/>
        <item x="661"/>
        <item x="222"/>
        <item x="196"/>
        <item x="233"/>
        <item x="0"/>
        <item x="748"/>
        <item x="435"/>
        <item x="388"/>
        <item x="499"/>
        <item x="715"/>
        <item x="51"/>
        <item x="850"/>
        <item x="756"/>
        <item x="80"/>
        <item x="775"/>
        <item x="88"/>
        <item x="783"/>
        <item x="8"/>
        <item x="548"/>
        <item x="392"/>
        <item x="132"/>
        <item x="927"/>
        <item x="931"/>
        <item x="173"/>
        <item x="179"/>
        <item x="660"/>
        <item x="220"/>
        <item x="170"/>
        <item x="219"/>
        <item x="41"/>
        <item x="963"/>
        <item x="889"/>
        <item x="922"/>
        <item x="6"/>
        <item x="209"/>
        <item x="790"/>
        <item x="109"/>
        <item x="442"/>
        <item x="746"/>
        <item x="736"/>
        <item x="53"/>
        <item x="716"/>
        <item x="682"/>
        <item x="838"/>
        <item x="39"/>
        <item x="796"/>
        <item x="496"/>
        <item x="952"/>
        <item x="991"/>
        <item x="665"/>
        <item x="874"/>
        <item x="786"/>
        <item x="570"/>
        <item x="484"/>
        <item x="503"/>
        <item x="189"/>
        <item x="621"/>
        <item x="365"/>
        <item x="707"/>
        <item x="690"/>
        <item x="20"/>
        <item x="973"/>
        <item x="164"/>
        <item x="42"/>
        <item x="415"/>
        <item x="11"/>
        <item x="412"/>
        <item x="886"/>
        <item x="812"/>
        <item x="59"/>
        <item x="676"/>
        <item x="89"/>
        <item x="158"/>
        <item x="37"/>
        <item x="90"/>
        <item x="253"/>
        <item x="274"/>
        <item x="279"/>
        <item x="328"/>
        <item x="199"/>
        <item x="986"/>
        <item x="144"/>
        <item x="306"/>
        <item x="372"/>
        <item x="286"/>
        <item x="268"/>
        <item x="997"/>
        <item x="613"/>
        <item x="573"/>
        <item x="354"/>
        <item x="411"/>
        <item x="794"/>
        <item x="458"/>
        <item x="378"/>
        <item x="787"/>
        <item x="486"/>
        <item x="79"/>
        <item x="167"/>
        <item x="887"/>
        <item x="509"/>
        <item x="704"/>
        <item x="384"/>
        <item x="408"/>
        <item x="733"/>
        <item x="356"/>
        <item x="507"/>
        <item x="560"/>
        <item x="955"/>
        <item x="829"/>
        <item x="341"/>
        <item x="742"/>
        <item x="875"/>
        <item x="25"/>
        <item x="304"/>
        <item x="854"/>
        <item x="966"/>
        <item x="528"/>
        <item x="921"/>
        <item x="721"/>
        <item x="147"/>
        <item x="878"/>
        <item x="311"/>
        <item x="103"/>
        <item x="608"/>
        <item x="44"/>
        <item x="483"/>
        <item x="431"/>
        <item x="370"/>
        <item x="809"/>
        <item x="694"/>
        <item x="128"/>
        <item x="69"/>
        <item x="317"/>
        <item x="400"/>
        <item x="159"/>
        <item x="391"/>
        <item x="157"/>
        <item x="611"/>
        <item x="877"/>
        <item x="684"/>
        <item x="915"/>
        <item x="15"/>
        <item x="646"/>
        <item x="542"/>
        <item x="769"/>
        <item x="731"/>
        <item x="478"/>
        <item x="382"/>
        <item x="577"/>
        <item x="817"/>
        <item x="243"/>
        <item x="546"/>
        <item x="596"/>
        <item x="252"/>
        <item x="793"/>
        <item x="349"/>
        <item x="819"/>
        <item x="327"/>
        <item x="468"/>
        <item x="198"/>
        <item x="194"/>
        <item x="178"/>
        <item x="623"/>
        <item x="331"/>
        <item x="884"/>
        <item x="947"/>
        <item x="120"/>
        <item x="40"/>
        <item x="767"/>
        <item x="727"/>
        <item x="529"/>
        <item x="121"/>
        <item x="734"/>
        <item x="751"/>
        <item x="156"/>
        <item x="50"/>
        <item x="669"/>
        <item x="582"/>
        <item x="549"/>
        <item x="718"/>
        <item x="531"/>
        <item x="753"/>
        <item x="516"/>
        <item x="45"/>
        <item x="99"/>
        <item x="601"/>
        <item x="630"/>
        <item x="965"/>
        <item x="825"/>
        <item x="981"/>
        <item x="340"/>
        <item x="754"/>
        <item x="7"/>
        <item x="823"/>
        <item x="288"/>
        <item x="364"/>
        <item x="848"/>
        <item x="489"/>
        <item x="29"/>
        <item x="262"/>
        <item x="636"/>
        <item x="184"/>
        <item x="462"/>
        <item x="204"/>
        <item x="781"/>
        <item x="824"/>
        <item x="401"/>
        <item x="729"/>
        <item x="206"/>
        <item x="295"/>
        <item x="76"/>
        <item x="117"/>
        <item x="834"/>
        <item x="631"/>
        <item x="703"/>
        <item x="803"/>
        <item x="859"/>
        <item x="635"/>
        <item x="869"/>
        <item x="100"/>
        <item x="303"/>
        <item x="634"/>
        <item x="467"/>
        <item x="683"/>
        <item x="438"/>
        <item x="607"/>
        <item x="172"/>
        <item x="949"/>
        <item x="696"/>
        <item x="543"/>
        <item x="843"/>
        <item x="655"/>
        <item x="160"/>
        <item x="632"/>
        <item x="466"/>
        <item x="968"/>
        <item x="649"/>
        <item x="536"/>
        <item x="569"/>
        <item x="437"/>
        <item x="181"/>
        <item x="380"/>
        <item x="477"/>
        <item x="726"/>
        <item x="800"/>
        <item x="743"/>
        <item x="977"/>
        <item x="230"/>
        <item x="187"/>
        <item x="289"/>
        <item x="32"/>
        <item x="77"/>
        <item x="571"/>
        <item x="522"/>
        <item x="604"/>
        <item x="510"/>
        <item x="73"/>
        <item x="351"/>
        <item x="336"/>
        <item x="316"/>
        <item x="238"/>
        <item x="481"/>
        <item x="987"/>
        <item x="588"/>
        <item x="183"/>
        <item x="879"/>
        <item x="329"/>
        <item x="866"/>
        <item x="709"/>
        <item x="697"/>
        <item x="174"/>
        <item x="578"/>
        <item x="730"/>
        <item x="284"/>
        <item x="81"/>
        <item x="71"/>
        <item x="359"/>
        <item x="470"/>
        <item x="882"/>
        <item x="909"/>
        <item x="449"/>
        <item x="417"/>
        <item x="710"/>
        <item x="637"/>
        <item x="568"/>
        <item x="188"/>
        <item x="827"/>
        <item x="97"/>
        <item x="893"/>
        <item x="104"/>
        <item x="201"/>
        <item x="617"/>
        <item x="758"/>
        <item x="131"/>
        <item x="908"/>
        <item x="14"/>
        <item x="590"/>
        <item x="668"/>
        <item x="999"/>
        <item x="9"/>
        <item x="366"/>
        <item x="624"/>
        <item x="514"/>
        <item x="312"/>
        <item x="153"/>
        <item x="272"/>
        <item x="891"/>
        <item x="260"/>
        <item x="34"/>
        <item x="118"/>
        <item x="855"/>
        <item x="457"/>
        <item x="175"/>
        <item x="666"/>
        <item x="4"/>
        <item x="21"/>
        <item x="904"/>
        <item x="678"/>
        <item x="134"/>
        <item x="648"/>
        <item x="956"/>
        <item x="205"/>
        <item x="899"/>
        <item x="642"/>
        <item x="371"/>
        <item x="935"/>
        <item x="975"/>
        <item x="811"/>
        <item x="476"/>
        <item x="558"/>
        <item x="719"/>
        <item x="534"/>
        <item x="687"/>
        <item x="903"/>
        <item x="842"/>
        <item x="212"/>
        <item x="361"/>
        <item x="822"/>
        <item x="914"/>
        <item x="43"/>
        <item x="36"/>
        <item x="912"/>
        <item x="66"/>
        <item x="777"/>
        <item x="280"/>
        <item x="334"/>
        <item x="28"/>
        <item x="934"/>
        <item x="250"/>
        <item x="881"/>
        <item x="344"/>
        <item x="591"/>
        <item x="226"/>
        <item x="487"/>
        <item x="774"/>
        <item x="705"/>
        <item x="770"/>
        <item x="409"/>
        <item x="213"/>
        <item x="595"/>
        <item x="755"/>
        <item x="446"/>
        <item x="592"/>
        <item x="910"/>
        <item x="166"/>
        <item x="491"/>
        <item x="350"/>
        <item x="445"/>
        <item x="129"/>
        <item x="836"/>
        <item x="967"/>
        <item x="216"/>
        <item x="140"/>
        <item x="663"/>
        <item x="231"/>
        <item x="139"/>
        <item x="236"/>
        <item x="939"/>
        <item x="699"/>
        <item x="138"/>
        <item x="254"/>
        <item x="47"/>
        <item x="119"/>
        <item x="387"/>
        <item x="414"/>
        <item x="540"/>
        <item x="995"/>
        <item x="552"/>
        <item x="84"/>
        <item x="96"/>
        <item x="880"/>
        <item x="453"/>
        <item x="456"/>
        <item x="261"/>
        <item x="488"/>
        <item x="108"/>
        <item x="381"/>
        <item x="609"/>
        <item x="293"/>
        <item x="214"/>
        <item x="818"/>
        <item x="436"/>
        <item x="290"/>
        <item x="942"/>
        <item x="989"/>
        <item x="626"/>
        <item x="953"/>
        <item x="801"/>
        <item x="404"/>
        <item x="285"/>
        <item x="557"/>
        <item x="906"/>
        <item x="168"/>
        <item x="18"/>
        <item x="860"/>
        <item x="149"/>
        <item x="146"/>
        <item x="24"/>
        <item x="357"/>
        <item x="305"/>
        <item x="525"/>
        <item x="671"/>
        <item x="810"/>
        <item x="849"/>
        <item x="310"/>
        <item x="708"/>
        <item x="406"/>
        <item x="919"/>
        <item x="165"/>
        <item x="979"/>
        <item x="318"/>
        <item x="263"/>
        <item x="83"/>
        <item x="82"/>
        <item x="643"/>
        <item x="517"/>
        <item x="566"/>
        <item x="593"/>
        <item x="752"/>
        <item x="996"/>
        <item x="640"/>
        <item x="297"/>
        <item x="532"/>
        <item x="113"/>
        <item x="918"/>
        <item x="806"/>
        <item x="141"/>
        <item x="764"/>
        <item x="685"/>
        <item x="190"/>
        <item x="23"/>
        <item x="367"/>
        <item x="629"/>
        <item x="145"/>
        <item x="270"/>
        <item x="323"/>
        <item x="85"/>
        <item x="497"/>
        <item x="647"/>
        <item x="98"/>
        <item x="911"/>
        <item x="784"/>
        <item x="410"/>
        <item x="972"/>
        <item x="309"/>
        <item x="688"/>
        <item x="554"/>
        <item x="430"/>
        <item x="677"/>
        <item x="287"/>
        <item x="587"/>
        <item x="563"/>
        <item x="315"/>
        <item x="526"/>
        <item x="641"/>
        <item x="602"/>
        <item x="555"/>
        <item x="506"/>
        <item x="913"/>
        <item x="2"/>
        <item x="353"/>
        <item x="259"/>
        <item x="68"/>
        <item x="218"/>
        <item x="125"/>
        <item x="107"/>
        <item x="283"/>
        <item x="224"/>
        <item x="452"/>
        <item x="895"/>
        <item x="463"/>
        <item x="237"/>
        <item x="275"/>
        <item x="403"/>
        <item x="619"/>
        <item x="114"/>
        <item x="597"/>
        <item x="52"/>
        <item x="576"/>
        <item x="443"/>
        <item x="375"/>
        <item x="459"/>
        <item x="229"/>
        <item x="584"/>
        <item x="512"/>
        <item x="302"/>
        <item x="325"/>
        <item x="782"/>
        <item x="892"/>
        <item x="256"/>
        <item x="13"/>
        <item x="148"/>
        <item x="191"/>
        <item x="572"/>
        <item x="791"/>
        <item x="3"/>
        <item x="363"/>
        <item x="659"/>
        <item x="896"/>
        <item x="618"/>
        <item x="17"/>
        <item x="724"/>
        <item x="55"/>
        <item x="155"/>
        <item x="169"/>
        <item x="203"/>
        <item x="500"/>
        <item x="567"/>
        <item x="929"/>
        <item x="520"/>
        <item x="301"/>
        <item x="612"/>
        <item x="954"/>
        <item x="574"/>
        <item x="352"/>
        <item x="579"/>
        <item x="930"/>
        <item x="186"/>
        <item x="451"/>
        <item x="342"/>
        <item x="482"/>
        <item x="620"/>
        <item x="535"/>
        <item x="933"/>
        <item x="346"/>
        <item x="780"/>
        <item x="360"/>
        <item x="559"/>
        <item x="60"/>
        <item x="335"/>
        <item x="479"/>
        <item x="603"/>
        <item x="402"/>
        <item x="78"/>
        <item x="916"/>
        <item x="257"/>
        <item x="425"/>
        <item x="982"/>
        <item x="664"/>
        <item x="137"/>
        <item x="433"/>
        <item x="820"/>
        <item x="19"/>
        <item x="852"/>
        <item x="657"/>
        <item x="938"/>
        <item x="653"/>
        <item x="447"/>
        <item x="472"/>
        <item x="495"/>
        <item x="163"/>
        <item x="901"/>
        <item x="337"/>
        <item x="599"/>
        <item x="686"/>
        <item x="925"/>
        <item x="681"/>
        <item x="373"/>
        <item x="505"/>
        <item x="937"/>
        <item x="544"/>
        <item x="645"/>
        <item x="444"/>
        <item x="515"/>
        <item x="151"/>
        <item x="395"/>
        <item x="789"/>
        <item x="112"/>
        <item x="264"/>
        <item x="691"/>
        <item x="277"/>
        <item x="469"/>
        <item x="894"/>
        <item x="474"/>
        <item x="217"/>
        <item x="126"/>
        <item x="541"/>
        <item x="95"/>
        <item x="857"/>
        <item x="502"/>
        <item x="225"/>
        <item x="902"/>
        <item x="428"/>
        <item x="271"/>
        <item x="978"/>
        <item x="397"/>
        <item x="622"/>
        <item x="195"/>
        <item x="332"/>
        <item x="969"/>
        <item x="580"/>
        <item x="202"/>
        <item x="362"/>
        <item x="680"/>
        <item x="804"/>
        <item x="292"/>
        <item x="244"/>
        <item x="759"/>
        <item x="192"/>
        <item x="728"/>
        <item x="867"/>
        <item x="281"/>
        <item x="627"/>
        <item x="762"/>
        <item x="625"/>
        <item x="738"/>
        <item x="980"/>
        <item x="455"/>
        <item x="154"/>
        <item x="876"/>
        <item x="49"/>
        <item x="815"/>
        <item x="56"/>
        <item x="732"/>
        <item x="343"/>
        <item x="606"/>
        <item x="821"/>
        <item x="116"/>
        <item x="12"/>
        <item x="136"/>
        <item x="413"/>
        <item x="712"/>
        <item x="142"/>
        <item x="600"/>
        <item x="873"/>
        <item x="326"/>
        <item x="498"/>
        <item x="228"/>
        <item x="840"/>
        <item x="771"/>
        <item x="583"/>
        <item x="61"/>
        <item x="585"/>
        <item x="897"/>
        <item x="533"/>
        <item x="826"/>
        <item x="537"/>
        <item x="424"/>
        <item x="321"/>
        <item x="662"/>
        <item x="538"/>
        <item x="863"/>
        <item x="110"/>
        <item x="72"/>
        <item x="633"/>
        <item x="386"/>
        <item x="844"/>
        <item x="152"/>
        <item x="379"/>
        <item x="985"/>
        <item x="407"/>
        <item x="556"/>
        <item x="550"/>
        <item t="default"/>
      </items>
    </pivotField>
    <pivotField showAll="0"/>
    <pivotField showAll="0">
      <items count="1000">
        <item x="255"/>
        <item x="750"/>
        <item x="221"/>
        <item x="700"/>
        <item x="882"/>
        <item x="234"/>
        <item x="787"/>
        <item x="102"/>
        <item x="399"/>
        <item x="551"/>
        <item x="860"/>
        <item x="278"/>
        <item x="925"/>
        <item x="86"/>
        <item x="193"/>
        <item x="313"/>
        <item x="320"/>
        <item x="123"/>
        <item x="240"/>
        <item x="439"/>
        <item x="27"/>
        <item x="143"/>
        <item x="492"/>
        <item x="393"/>
        <item x="269"/>
        <item x="70"/>
        <item x="673"/>
        <item x="473"/>
        <item x="784"/>
        <item x="57"/>
        <item x="667"/>
        <item x="210"/>
        <item x="330"/>
        <item x="523"/>
        <item x="975"/>
        <item x="735"/>
        <item x="494"/>
        <item x="940"/>
        <item x="794"/>
        <item x="460"/>
        <item x="644"/>
        <item x="562"/>
        <item x="266"/>
        <item x="454"/>
        <item x="300"/>
        <item x="251"/>
        <item x="258"/>
        <item x="31"/>
        <item x="838"/>
        <item x="927"/>
        <item x="377"/>
        <item x="884"/>
        <item x="245"/>
        <item x="461"/>
        <item x="22"/>
        <item x="427"/>
        <item x="420"/>
        <item x="997"/>
        <item x="376"/>
        <item x="610"/>
        <item x="65"/>
        <item x="831"/>
        <item x="35"/>
        <item x="227"/>
        <item x="652"/>
        <item x="725"/>
        <item x="916"/>
        <item x="830"/>
        <item x="670"/>
        <item x="739"/>
        <item x="298"/>
        <item x="197"/>
        <item x="791"/>
        <item x="291"/>
        <item x="394"/>
        <item x="441"/>
        <item x="513"/>
        <item x="692"/>
        <item x="547"/>
        <item x="798"/>
        <item x="267"/>
        <item x="490"/>
        <item x="390"/>
        <item x="276"/>
        <item x="675"/>
        <item x="200"/>
        <item x="935"/>
        <item x="922"/>
        <item x="524"/>
        <item x="333"/>
        <item x="241"/>
        <item x="182"/>
        <item x="105"/>
        <item x="10"/>
        <item x="717"/>
        <item x="75"/>
        <item x="235"/>
        <item x="46"/>
        <item x="760"/>
        <item x="689"/>
        <item x="385"/>
        <item x="744"/>
        <item x="54"/>
        <item x="180"/>
        <item x="521"/>
        <item x="807"/>
        <item x="651"/>
        <item x="176"/>
        <item x="124"/>
        <item x="74"/>
        <item x="855"/>
        <item x="698"/>
        <item x="989"/>
        <item x="94"/>
        <item x="950"/>
        <item x="434"/>
        <item x="614"/>
        <item x="812"/>
        <item x="553"/>
        <item x="961"/>
        <item x="448"/>
        <item x="654"/>
        <item x="215"/>
        <item x="923"/>
        <item x="658"/>
        <item x="605"/>
        <item x="485"/>
        <item x="383"/>
        <item x="440"/>
        <item x="133"/>
        <item x="249"/>
        <item x="122"/>
        <item x="150"/>
        <item x="355"/>
        <item x="232"/>
        <item x="706"/>
        <item x="846"/>
        <item x="695"/>
        <item x="581"/>
        <item x="429"/>
        <item x="958"/>
        <item x="374"/>
        <item x="693"/>
        <item x="421"/>
        <item x="944"/>
        <item x="465"/>
        <item x="945"/>
        <item x="418"/>
        <item x="246"/>
        <item x="992"/>
        <item x="765"/>
        <item x="991"/>
        <item x="111"/>
        <item x="135"/>
        <item x="870"/>
        <item x="720"/>
        <item x="778"/>
        <item x="93"/>
        <item x="850"/>
        <item x="530"/>
        <item x="594"/>
        <item x="757"/>
        <item x="747"/>
        <item x="208"/>
        <item x="368"/>
        <item x="779"/>
        <item x="91"/>
        <item x="464"/>
        <item x="358"/>
        <item x="185"/>
        <item x="130"/>
        <item x="239"/>
        <item x="106"/>
        <item x="405"/>
        <item x="861"/>
        <item x="723"/>
        <item x="527"/>
        <item x="960"/>
        <item x="389"/>
        <item x="519"/>
        <item x="87"/>
        <item x="575"/>
        <item x="679"/>
        <item x="827"/>
        <item x="674"/>
        <item x="38"/>
        <item x="832"/>
        <item x="973"/>
        <item x="740"/>
        <item x="162"/>
        <item x="834"/>
        <item x="26"/>
        <item x="889"/>
        <item x="324"/>
        <item x="545"/>
        <item x="432"/>
        <item x="797"/>
        <item x="196"/>
        <item x="396"/>
        <item x="639"/>
        <item x="170"/>
        <item x="766"/>
        <item x="471"/>
        <item x="307"/>
        <item x="223"/>
        <item x="776"/>
        <item x="299"/>
        <item x="207"/>
        <item x="864"/>
        <item x="947"/>
        <item x="508"/>
        <item x="1"/>
        <item x="768"/>
        <item x="398"/>
        <item x="983"/>
        <item x="897"/>
        <item x="115"/>
        <item x="222"/>
        <item x="314"/>
        <item x="5"/>
        <item x="867"/>
        <item x="173"/>
        <item x="702"/>
        <item x="422"/>
        <item x="656"/>
        <item x="67"/>
        <item x="993"/>
        <item x="504"/>
        <item x="844"/>
        <item x="943"/>
        <item x="435"/>
        <item x="722"/>
        <item x="745"/>
        <item x="956"/>
        <item x="273"/>
        <item x="586"/>
        <item x="793"/>
        <item x="16"/>
        <item x="737"/>
        <item x="480"/>
        <item x="92"/>
        <item x="265"/>
        <item x="815"/>
        <item x="806"/>
        <item x="561"/>
        <item x="904"/>
        <item x="942"/>
        <item x="565"/>
        <item x="772"/>
        <item x="493"/>
        <item x="423"/>
        <item x="773"/>
        <item x="985"/>
        <item x="887"/>
        <item x="871"/>
        <item x="127"/>
        <item x="248"/>
        <item x="796"/>
        <item x="412"/>
        <item x="518"/>
        <item x="63"/>
        <item x="392"/>
        <item x="501"/>
        <item x="296"/>
        <item x="347"/>
        <item x="58"/>
        <item x="48"/>
        <item x="939"/>
        <item x="39"/>
        <item x="242"/>
        <item x="308"/>
        <item x="8"/>
        <item x="628"/>
        <item x="873"/>
        <item x="171"/>
        <item x="328"/>
        <item x="62"/>
        <item x="616"/>
        <item x="949"/>
        <item x="613"/>
        <item x="660"/>
        <item x="546"/>
        <item x="164"/>
        <item x="419"/>
        <item x="840"/>
        <item x="233"/>
        <item x="969"/>
        <item x="863"/>
        <item x="247"/>
        <item x="511"/>
        <item x="161"/>
        <item x="715"/>
        <item x="483"/>
        <item x="869"/>
        <item x="672"/>
        <item x="531"/>
        <item x="886"/>
        <item x="615"/>
        <item x="646"/>
        <item x="144"/>
        <item x="89"/>
        <item x="845"/>
        <item x="589"/>
        <item x="37"/>
        <item x="582"/>
        <item x="274"/>
        <item x="7"/>
        <item x="808"/>
        <item x="741"/>
        <item x="11"/>
        <item x="211"/>
        <item x="132"/>
        <item x="345"/>
        <item x="963"/>
        <item x="539"/>
        <item x="450"/>
        <item x="598"/>
        <item x="338"/>
        <item x="714"/>
        <item x="348"/>
        <item x="970"/>
        <item x="638"/>
        <item x="731"/>
        <item x="499"/>
        <item x="801"/>
        <item x="753"/>
        <item x="763"/>
        <item x="919"/>
        <item x="354"/>
        <item x="370"/>
        <item x="339"/>
        <item x="964"/>
        <item x="121"/>
        <item x="294"/>
        <item x="322"/>
        <item x="748"/>
        <item x="987"/>
        <item x="816"/>
        <item x="857"/>
        <item x="489"/>
        <item x="467"/>
        <item x="669"/>
        <item x="181"/>
        <item x="690"/>
        <item x="701"/>
        <item x="378"/>
        <item x="80"/>
        <item x="836"/>
        <item x="167"/>
        <item x="503"/>
        <item x="899"/>
        <item x="341"/>
        <item x="209"/>
        <item x="650"/>
        <item x="79"/>
        <item x="560"/>
        <item x="621"/>
        <item x="957"/>
        <item x="101"/>
        <item x="754"/>
        <item x="721"/>
        <item x="713"/>
        <item x="630"/>
        <item x="704"/>
        <item x="282"/>
        <item x="238"/>
        <item x="198"/>
        <item x="874"/>
        <item x="608"/>
        <item x="853"/>
        <item x="986"/>
        <item x="496"/>
        <item x="718"/>
        <item x="177"/>
        <item x="475"/>
        <item x="711"/>
        <item x="785"/>
        <item x="775"/>
        <item x="849"/>
        <item x="965"/>
        <item x="372"/>
        <item x="571"/>
        <item x="458"/>
        <item x="749"/>
        <item x="976"/>
        <item x="885"/>
        <item x="761"/>
        <item x="781"/>
        <item x="33"/>
        <item x="852"/>
        <item x="243"/>
        <item x="982"/>
        <item x="661"/>
        <item x="818"/>
        <item x="30"/>
        <item x="959"/>
        <item x="426"/>
        <item x="400"/>
        <item x="179"/>
        <item x="931"/>
        <item x="767"/>
        <item x="906"/>
        <item x="804"/>
        <item x="881"/>
        <item x="175"/>
        <item x="795"/>
        <item x="384"/>
        <item x="77"/>
        <item x="90"/>
        <item x="888"/>
        <item x="51"/>
        <item x="159"/>
        <item x="45"/>
        <item x="438"/>
        <item x="157"/>
        <item x="716"/>
        <item x="865"/>
        <item x="268"/>
        <item x="365"/>
        <item x="64"/>
        <item x="665"/>
        <item x="813"/>
        <item x="279"/>
        <item x="477"/>
        <item x="623"/>
        <item x="548"/>
        <item x="948"/>
        <item x="59"/>
        <item x="962"/>
        <item x="311"/>
        <item x="591"/>
        <item x="53"/>
        <item x="829"/>
        <item x="996"/>
        <item x="476"/>
        <item x="391"/>
        <item x="596"/>
        <item x="736"/>
        <item x="789"/>
        <item x="199"/>
        <item x="128"/>
        <item x="42"/>
        <item x="134"/>
        <item x="756"/>
        <item x="883"/>
        <item x="543"/>
        <item x="601"/>
        <item x="536"/>
        <item x="88"/>
        <item x="319"/>
        <item x="416"/>
        <item x="369"/>
        <item x="212"/>
        <item x="705"/>
        <item x="286"/>
        <item x="272"/>
        <item x="921"/>
        <item x="50"/>
        <item x="564"/>
        <item x="823"/>
        <item x="707"/>
        <item x="577"/>
        <item x="442"/>
        <item x="29"/>
        <item x="0"/>
        <item x="388"/>
        <item x="466"/>
        <item x="253"/>
        <item x="994"/>
        <item x="236"/>
        <item x="304"/>
        <item x="216"/>
        <item x="746"/>
        <item x="109"/>
        <item x="552"/>
        <item x="930"/>
        <item x="457"/>
        <item x="926"/>
        <item x="522"/>
        <item x="28"/>
        <item x="41"/>
        <item x="71"/>
        <item x="733"/>
        <item x="340"/>
        <item x="261"/>
        <item x="484"/>
        <item x="828"/>
        <item x="920"/>
        <item x="792"/>
        <item x="100"/>
        <item x="782"/>
        <item x="260"/>
        <item x="119"/>
        <item x="334"/>
        <item x="415"/>
        <item x="187"/>
        <item x="351"/>
        <item x="540"/>
        <item x="431"/>
        <item x="44"/>
        <item x="437"/>
        <item x="158"/>
        <item x="694"/>
        <item x="219"/>
        <item x="230"/>
        <item x="220"/>
        <item x="166"/>
        <item x="549"/>
        <item x="955"/>
        <item x="380"/>
        <item x="6"/>
        <item x="811"/>
        <item x="684"/>
        <item x="769"/>
        <item x="951"/>
        <item x="204"/>
        <item x="676"/>
        <item x="682"/>
        <item x="914"/>
        <item x="632"/>
        <item x="972"/>
        <item x="25"/>
        <item x="18"/>
        <item x="104"/>
        <item x="837"/>
        <item x="822"/>
        <item x="83"/>
        <item x="734"/>
        <item x="293"/>
        <item x="611"/>
        <item x="189"/>
        <item x="188"/>
        <item x="20"/>
        <item x="671"/>
        <item x="516"/>
        <item x="990"/>
        <item x="877"/>
        <item x="595"/>
        <item x="570"/>
        <item x="312"/>
        <item x="411"/>
        <item x="305"/>
        <item x="103"/>
        <item x="509"/>
        <item x="36"/>
        <item x="306"/>
        <item x="974"/>
        <item x="604"/>
        <item x="631"/>
        <item x="280"/>
        <item x="408"/>
        <item x="410"/>
        <item x="703"/>
        <item x="356"/>
        <item x="573"/>
        <item x="799"/>
        <item x="876"/>
        <item x="643"/>
        <item x="156"/>
        <item x="526"/>
        <item x="366"/>
        <item x="478"/>
        <item x="946"/>
        <item x="99"/>
        <item x="506"/>
        <item x="507"/>
        <item x="194"/>
        <item x="108"/>
        <item x="486"/>
        <item x="349"/>
        <item x="751"/>
        <item x="802"/>
        <item x="120"/>
        <item x="387"/>
        <item x="76"/>
        <item x="15"/>
        <item x="578"/>
        <item x="149"/>
        <item x="40"/>
        <item x="288"/>
        <item x="847"/>
        <item x="912"/>
        <item x="34"/>
        <item x="786"/>
        <item x="742"/>
        <item x="903"/>
        <item x="147"/>
        <item x="201"/>
        <item x="184"/>
        <item x="954"/>
        <item x="327"/>
        <item x="259"/>
        <item x="859"/>
        <item x="908"/>
        <item x="353"/>
        <item x="24"/>
        <item x="382"/>
        <item x="558"/>
        <item x="655"/>
        <item x="468"/>
        <item x="607"/>
        <item x="295"/>
        <item x="69"/>
        <item x="635"/>
        <item x="512"/>
        <item x="858"/>
        <item x="528"/>
        <item x="590"/>
        <item x="317"/>
        <item x="364"/>
        <item x="252"/>
        <item x="131"/>
        <item x="626"/>
        <item x="178"/>
        <item x="256"/>
        <item x="401"/>
        <item x="592"/>
        <item x="890"/>
        <item x="588"/>
        <item x="318"/>
        <item x="941"/>
        <item x="359"/>
        <item x="542"/>
        <item x="696"/>
        <item x="254"/>
        <item x="459"/>
        <item x="764"/>
        <item x="697"/>
        <item x="854"/>
        <item x="998"/>
        <item x="729"/>
        <item x="826"/>
        <item x="980"/>
        <item x="842"/>
        <item x="97"/>
        <item x="331"/>
        <item x="929"/>
        <item x="918"/>
        <item x="569"/>
        <item x="449"/>
        <item x="117"/>
        <item x="417"/>
        <item x="315"/>
        <item x="481"/>
        <item x="868"/>
        <item x="649"/>
        <item x="118"/>
        <item x="774"/>
        <item x="727"/>
        <item x="4"/>
        <item x="593"/>
        <item x="743"/>
        <item x="988"/>
        <item x="878"/>
        <item x="666"/>
        <item x="879"/>
        <item x="557"/>
        <item x="529"/>
        <item x="284"/>
        <item x="824"/>
        <item x="68"/>
        <item x="629"/>
        <item x="303"/>
        <item x="584"/>
        <item x="817"/>
        <item x="140"/>
        <item x="409"/>
        <item x="898"/>
        <item x="430"/>
        <item x="231"/>
        <item x="262"/>
        <item x="462"/>
        <item x="642"/>
        <item x="978"/>
        <item x="309"/>
        <item x="73"/>
        <item x="403"/>
        <item x="821"/>
        <item x="880"/>
        <item x="534"/>
        <item x="544"/>
        <item x="129"/>
        <item x="289"/>
        <item x="841"/>
        <item x="443"/>
        <item x="337"/>
        <item x="470"/>
        <item x="206"/>
        <item x="125"/>
        <item x="909"/>
        <item x="192"/>
        <item x="710"/>
        <item x="202"/>
        <item x="833"/>
        <item x="803"/>
        <item x="636"/>
        <item x="936"/>
        <item x="805"/>
        <item x="32"/>
        <item x="352"/>
        <item x="172"/>
        <item x="43"/>
        <item x="933"/>
        <item x="634"/>
        <item x="336"/>
        <item x="680"/>
        <item x="160"/>
        <item x="153"/>
        <item x="597"/>
        <item x="730"/>
        <item x="683"/>
        <item x="719"/>
        <item x="183"/>
        <item x="250"/>
        <item x="726"/>
        <item x="174"/>
        <item x="967"/>
        <item x="344"/>
        <item x="892"/>
        <item x="620"/>
        <item x="677"/>
        <item x="600"/>
        <item x="329"/>
        <item x="21"/>
        <item x="138"/>
        <item x="213"/>
        <item x="567"/>
        <item x="678"/>
        <item x="820"/>
        <item x="397"/>
        <item x="19"/>
        <item x="617"/>
        <item x="709"/>
        <item x="350"/>
        <item x="907"/>
        <item x="472"/>
        <item x="510"/>
        <item x="285"/>
        <item x="55"/>
        <item x="572"/>
        <item x="568"/>
        <item x="446"/>
        <item x="371"/>
        <item x="205"/>
        <item x="455"/>
        <item x="321"/>
        <item x="428"/>
        <item x="81"/>
        <item x="896"/>
        <item x="637"/>
        <item x="302"/>
        <item x="47"/>
        <item x="335"/>
        <item x="316"/>
        <item x="835"/>
        <item x="23"/>
        <item x="819"/>
        <item x="224"/>
        <item x="244"/>
        <item x="911"/>
        <item x="445"/>
        <item x="624"/>
        <item x="668"/>
        <item x="708"/>
        <item x="728"/>
        <item x="952"/>
        <item x="910"/>
        <item x="14"/>
        <item x="759"/>
        <item x="114"/>
        <item x="618"/>
        <item x="61"/>
        <item x="9"/>
        <item x="687"/>
        <item x="84"/>
        <item x="758"/>
        <item x="357"/>
        <item x="783"/>
        <item x="934"/>
        <item x="981"/>
        <item x="752"/>
        <item x="491"/>
        <item x="902"/>
        <item x="928"/>
        <item x="583"/>
        <item x="937"/>
        <item x="436"/>
        <item x="681"/>
        <item x="141"/>
        <item x="514"/>
        <item x="606"/>
        <item x="444"/>
        <item x="195"/>
        <item x="966"/>
        <item x="146"/>
        <item x="381"/>
        <item x="456"/>
        <item x="361"/>
        <item x="229"/>
        <item x="810"/>
        <item x="648"/>
        <item x="913"/>
        <item x="165"/>
        <item x="535"/>
        <item x="297"/>
        <item x="487"/>
        <item x="657"/>
        <item x="283"/>
        <item x="453"/>
        <item x="414"/>
        <item x="226"/>
        <item x="932"/>
        <item x="505"/>
        <item x="900"/>
        <item x="17"/>
        <item x="264"/>
        <item x="777"/>
        <item x="538"/>
        <item x="977"/>
        <item x="663"/>
        <item x="905"/>
        <item x="66"/>
        <item x="641"/>
        <item x="277"/>
        <item x="685"/>
        <item x="148"/>
        <item x="566"/>
        <item x="755"/>
        <item x="602"/>
        <item x="96"/>
        <item x="52"/>
        <item x="447"/>
        <item x="425"/>
        <item x="323"/>
        <item x="533"/>
        <item x="995"/>
        <item x="688"/>
        <item x="270"/>
        <item x="433"/>
        <item x="168"/>
        <item x="292"/>
        <item x="555"/>
        <item x="85"/>
        <item x="770"/>
        <item x="576"/>
        <item x="139"/>
        <item x="609"/>
        <item x="360"/>
        <item x="500"/>
        <item x="517"/>
        <item x="497"/>
        <item x="82"/>
        <item x="640"/>
        <item x="451"/>
        <item x="848"/>
        <item x="647"/>
        <item x="699"/>
        <item x="488"/>
        <item x="191"/>
        <item x="938"/>
        <item x="225"/>
        <item x="257"/>
        <item x="203"/>
        <item x="724"/>
        <item x="424"/>
        <item x="95"/>
        <item x="263"/>
        <item x="732"/>
        <item x="800"/>
        <item x="495"/>
        <item x="395"/>
        <item x="310"/>
        <item x="532"/>
        <item x="574"/>
        <item x="971"/>
        <item x="290"/>
        <item x="271"/>
        <item x="856"/>
        <item x="479"/>
        <item x="214"/>
        <item x="379"/>
        <item x="463"/>
        <item x="554"/>
        <item x="155"/>
        <item x="580"/>
        <item x="619"/>
        <item x="579"/>
        <item x="402"/>
        <item x="145"/>
        <item x="404"/>
        <item x="809"/>
        <item x="98"/>
        <item x="275"/>
        <item x="190"/>
        <item x="525"/>
        <item x="287"/>
        <item x="367"/>
        <item x="599"/>
        <item x="107"/>
        <item x="3"/>
        <item x="301"/>
        <item x="872"/>
        <item x="894"/>
        <item x="13"/>
        <item x="917"/>
        <item x="112"/>
        <item x="498"/>
        <item x="406"/>
        <item x="482"/>
        <item x="771"/>
        <item x="113"/>
        <item x="712"/>
        <item x="363"/>
        <item x="152"/>
        <item x="12"/>
        <item x="603"/>
        <item x="325"/>
        <item x="587"/>
        <item x="452"/>
        <item x="2"/>
        <item x="332"/>
        <item x="691"/>
        <item x="502"/>
        <item x="891"/>
        <item x="563"/>
        <item x="790"/>
        <item x="612"/>
        <item x="186"/>
        <item x="474"/>
        <item x="839"/>
        <item x="218"/>
        <item x="664"/>
        <item x="738"/>
        <item x="541"/>
        <item x="137"/>
        <item x="515"/>
        <item x="895"/>
        <item x="346"/>
        <item x="110"/>
        <item x="169"/>
        <item x="520"/>
        <item x="237"/>
        <item x="788"/>
        <item x="163"/>
        <item x="653"/>
        <item x="659"/>
        <item x="413"/>
        <item x="375"/>
        <item x="915"/>
        <item x="550"/>
        <item x="662"/>
        <item x="627"/>
        <item x="924"/>
        <item x="78"/>
        <item x="953"/>
        <item x="126"/>
        <item x="217"/>
        <item x="625"/>
        <item x="407"/>
        <item x="342"/>
        <item x="559"/>
        <item x="373"/>
        <item x="56"/>
        <item x="780"/>
        <item x="60"/>
        <item x="281"/>
        <item x="116"/>
        <item x="851"/>
        <item x="686"/>
        <item x="326"/>
        <item x="875"/>
        <item x="622"/>
        <item x="814"/>
        <item x="645"/>
        <item x="843"/>
        <item x="893"/>
        <item x="968"/>
        <item x="866"/>
        <item x="49"/>
        <item x="343"/>
        <item x="142"/>
        <item x="901"/>
        <item x="151"/>
        <item x="762"/>
        <item x="72"/>
        <item x="469"/>
        <item x="979"/>
        <item x="228"/>
        <item x="362"/>
        <item x="154"/>
        <item x="633"/>
        <item x="825"/>
        <item x="136"/>
        <item x="984"/>
        <item x="862"/>
        <item x="386"/>
        <item x="585"/>
        <item x="537"/>
        <item x="55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27">
    <i>
      <x/>
    </i>
    <i r="1">
      <x v="2"/>
    </i>
    <i>
      <x v="1"/>
    </i>
    <i r="1">
      <x v="2"/>
    </i>
    <i>
      <x v="2"/>
    </i>
    <i r="1">
      <x v="2"/>
    </i>
    <i>
      <x v="3"/>
    </i>
    <i r="1">
      <x/>
    </i>
    <i>
      <x v="4"/>
    </i>
    <i r="1">
      <x v="1"/>
    </i>
    <i>
      <x v="5"/>
    </i>
    <i r="1">
      <x v="3"/>
    </i>
    <i>
      <x v="6"/>
    </i>
    <i r="1">
      <x v="3"/>
    </i>
    <i>
      <x v="7"/>
    </i>
    <i r="1">
      <x v="3"/>
    </i>
    <i>
      <x v="8"/>
    </i>
    <i r="1">
      <x v="1"/>
    </i>
    <i>
      <x v="9"/>
    </i>
    <i r="1">
      <x v="1"/>
    </i>
    <i>
      <x v="10"/>
    </i>
    <i r="1">
      <x/>
    </i>
    <i>
      <x v="11"/>
    </i>
    <i r="1">
      <x v="1"/>
    </i>
    <i>
      <x v="12"/>
    </i>
    <i r="1">
      <x/>
    </i>
    <i t="grand">
      <x/>
    </i>
  </rowItems>
  <colItems count="1">
    <i/>
  </colItems>
  <dataFields count="1">
    <dataField name="Sum of Sales_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14">
        <item x="4"/>
        <item x="10"/>
        <item x="9"/>
        <item x="3"/>
        <item x="5"/>
        <item x="7"/>
        <item x="8"/>
        <item x="6"/>
        <item x="1"/>
        <item x="11"/>
        <item x="2"/>
        <item x="0"/>
        <item x="12"/>
        <item t="default"/>
      </items>
    </pivotField>
    <pivotField showAll="0"/>
    <pivotField showAll="0"/>
    <pivotField showAll="0"/>
    <pivotField dataField="1" showAll="0">
      <items count="1001">
        <item x="255"/>
        <item x="750"/>
        <item x="883"/>
        <item x="700"/>
        <item x="551"/>
        <item x="221"/>
        <item x="399"/>
        <item x="234"/>
        <item x="102"/>
        <item x="861"/>
        <item x="123"/>
        <item x="673"/>
        <item x="788"/>
        <item x="313"/>
        <item x="320"/>
        <item x="278"/>
        <item x="473"/>
        <item x="210"/>
        <item x="27"/>
        <item x="193"/>
        <item x="393"/>
        <item x="494"/>
        <item x="460"/>
        <item x="454"/>
        <item x="492"/>
        <item x="240"/>
        <item x="976"/>
        <item x="926"/>
        <item x="143"/>
        <item x="57"/>
        <item x="439"/>
        <item x="70"/>
        <item x="86"/>
        <item x="941"/>
        <item x="562"/>
        <item x="523"/>
        <item x="420"/>
        <item x="258"/>
        <item x="300"/>
        <item x="785"/>
        <item x="269"/>
        <item x="22"/>
        <item x="667"/>
        <item x="795"/>
        <item x="376"/>
        <item x="799"/>
        <item x="644"/>
        <item x="266"/>
        <item x="298"/>
        <item x="251"/>
        <item x="928"/>
        <item x="427"/>
        <item x="739"/>
        <item x="330"/>
        <item x="923"/>
        <item x="670"/>
        <item x="267"/>
        <item x="31"/>
        <item x="839"/>
        <item x="654"/>
        <item x="180"/>
        <item x="215"/>
        <item x="394"/>
        <item x="377"/>
        <item x="735"/>
        <item x="276"/>
        <item x="831"/>
        <item x="182"/>
        <item x="461"/>
        <item x="10"/>
        <item x="962"/>
        <item x="792"/>
        <item x="122"/>
        <item x="75"/>
        <item x="652"/>
        <item x="658"/>
        <item x="936"/>
        <item x="605"/>
        <item x="885"/>
        <item x="832"/>
        <item x="245"/>
        <item x="355"/>
        <item x="241"/>
        <item x="249"/>
        <item x="374"/>
        <item x="35"/>
        <item x="513"/>
        <item x="246"/>
        <item x="610"/>
        <item x="725"/>
        <item x="54"/>
        <item x="765"/>
        <item x="856"/>
        <item x="197"/>
        <item x="675"/>
        <item x="91"/>
        <item x="385"/>
        <item x="383"/>
        <item x="998"/>
        <item x="208"/>
        <item x="519"/>
        <item x="389"/>
        <item x="779"/>
        <item x="390"/>
        <item x="490"/>
        <item x="65"/>
        <item x="828"/>
        <item x="744"/>
        <item x="720"/>
        <item x="524"/>
        <item x="679"/>
        <item x="959"/>
        <item x="135"/>
        <item x="421"/>
        <item x="924"/>
        <item x="813"/>
        <item x="757"/>
        <item x="74"/>
        <item x="291"/>
        <item x="235"/>
        <item x="176"/>
        <item x="333"/>
        <item x="946"/>
        <item x="133"/>
        <item x="448"/>
        <item x="200"/>
        <item x="740"/>
        <item x="575"/>
        <item x="223"/>
        <item x="951"/>
        <item x="521"/>
        <item x="945"/>
        <item x="547"/>
        <item x="227"/>
        <item x="917"/>
        <item x="434"/>
        <item x="717"/>
        <item x="614"/>
        <item x="368"/>
        <item x="207"/>
        <item x="798"/>
        <item x="440"/>
        <item x="105"/>
        <item x="994"/>
        <item x="948"/>
        <item x="768"/>
        <item x="702"/>
        <item x="358"/>
        <item x="693"/>
        <item x="961"/>
        <item x="464"/>
        <item x="862"/>
        <item x="441"/>
        <item x="723"/>
        <item x="307"/>
        <item x="692"/>
        <item x="38"/>
        <item x="124"/>
        <item x="581"/>
        <item x="398"/>
        <item x="992"/>
        <item x="46"/>
        <item x="944"/>
        <item x="87"/>
        <item x="689"/>
        <item x="324"/>
        <item x="422"/>
        <item x="248"/>
        <item x="405"/>
        <item x="778"/>
        <item x="957"/>
        <item x="432"/>
        <item x="871"/>
        <item x="185"/>
        <item x="273"/>
        <item x="501"/>
        <item x="93"/>
        <item x="940"/>
        <item x="508"/>
        <item x="265"/>
        <item x="898"/>
        <item x="706"/>
        <item x="111"/>
        <item x="553"/>
        <item x="760"/>
        <item x="835"/>
        <item x="314"/>
        <item x="797"/>
        <item x="816"/>
        <item x="396"/>
        <item x="737"/>
        <item x="465"/>
        <item x="67"/>
        <item x="504"/>
        <item x="808"/>
        <item x="722"/>
        <item x="656"/>
        <item x="695"/>
        <item x="232"/>
        <item x="698"/>
        <item x="890"/>
        <item x="651"/>
        <item x="58"/>
        <item x="807"/>
        <item x="493"/>
        <item x="130"/>
        <item x="628"/>
        <item x="672"/>
        <item x="943"/>
        <item x="423"/>
        <item x="127"/>
        <item x="94"/>
        <item x="26"/>
        <item x="347"/>
        <item x="747"/>
        <item x="993"/>
        <item x="545"/>
        <item x="776"/>
        <item x="845"/>
        <item x="5"/>
        <item x="586"/>
        <item x="565"/>
        <item x="741"/>
        <item x="485"/>
        <item x="308"/>
        <item x="970"/>
        <item x="211"/>
        <item x="150"/>
        <item x="990"/>
        <item x="964"/>
        <item x="868"/>
        <item x="920"/>
        <item x="974"/>
        <item x="450"/>
        <item x="48"/>
        <item x="92"/>
        <item x="429"/>
        <item x="338"/>
        <item x="847"/>
        <item x="294"/>
        <item x="561"/>
        <item x="471"/>
        <item x="348"/>
        <item x="239"/>
        <item x="870"/>
        <item x="589"/>
        <item x="837"/>
        <item x="419"/>
        <item x="1"/>
        <item x="833"/>
        <item x="900"/>
        <item x="851"/>
        <item x="242"/>
        <item x="480"/>
        <item x="674"/>
        <item x="594"/>
        <item x="984"/>
        <item x="247"/>
        <item x="322"/>
        <item x="858"/>
        <item x="530"/>
        <item x="345"/>
        <item x="983"/>
        <item x="177"/>
        <item x="475"/>
        <item x="598"/>
        <item x="650"/>
        <item x="106"/>
        <item x="853"/>
        <item x="638"/>
        <item x="418"/>
        <item x="841"/>
        <item x="714"/>
        <item x="162"/>
        <item x="865"/>
        <item x="802"/>
        <item x="749"/>
        <item x="426"/>
        <item x="745"/>
        <item x="888"/>
        <item x="932"/>
        <item x="539"/>
        <item x="958"/>
        <item x="763"/>
        <item x="33"/>
        <item x="616"/>
        <item x="773"/>
        <item x="339"/>
        <item x="864"/>
        <item x="615"/>
        <item x="171"/>
        <item x="988"/>
        <item x="62"/>
        <item x="518"/>
        <item x="805"/>
        <item x="713"/>
        <item x="960"/>
        <item x="950"/>
        <item x="711"/>
        <item x="814"/>
        <item x="30"/>
        <item x="63"/>
        <item x="16"/>
        <item x="101"/>
        <item x="830"/>
        <item x="639"/>
        <item x="701"/>
        <item x="161"/>
        <item x="511"/>
        <item x="64"/>
        <item x="282"/>
        <item x="115"/>
        <item x="761"/>
        <item x="846"/>
        <item x="527"/>
        <item x="369"/>
        <item x="319"/>
        <item x="416"/>
        <item x="772"/>
        <item x="299"/>
        <item x="296"/>
        <item x="564"/>
        <item x="905"/>
        <item x="907"/>
        <item x="872"/>
        <item x="971"/>
        <item x="766"/>
        <item x="661"/>
        <item x="222"/>
        <item x="196"/>
        <item x="233"/>
        <item x="0"/>
        <item x="748"/>
        <item x="435"/>
        <item x="388"/>
        <item x="499"/>
        <item x="715"/>
        <item x="51"/>
        <item x="850"/>
        <item x="756"/>
        <item x="80"/>
        <item x="775"/>
        <item x="88"/>
        <item x="783"/>
        <item x="8"/>
        <item x="548"/>
        <item x="392"/>
        <item x="132"/>
        <item x="927"/>
        <item x="931"/>
        <item x="173"/>
        <item x="179"/>
        <item x="660"/>
        <item x="220"/>
        <item x="170"/>
        <item x="219"/>
        <item x="41"/>
        <item x="963"/>
        <item x="889"/>
        <item x="922"/>
        <item x="6"/>
        <item x="209"/>
        <item x="790"/>
        <item x="109"/>
        <item x="442"/>
        <item x="746"/>
        <item x="736"/>
        <item x="53"/>
        <item x="716"/>
        <item x="682"/>
        <item x="838"/>
        <item x="39"/>
        <item x="796"/>
        <item x="496"/>
        <item x="952"/>
        <item x="991"/>
        <item x="665"/>
        <item x="874"/>
        <item x="786"/>
        <item x="570"/>
        <item x="484"/>
        <item x="503"/>
        <item x="189"/>
        <item x="621"/>
        <item x="365"/>
        <item x="707"/>
        <item x="690"/>
        <item x="20"/>
        <item x="973"/>
        <item x="164"/>
        <item x="42"/>
        <item x="415"/>
        <item x="11"/>
        <item x="412"/>
        <item x="886"/>
        <item x="812"/>
        <item x="59"/>
        <item x="676"/>
        <item x="89"/>
        <item x="158"/>
        <item x="37"/>
        <item x="90"/>
        <item x="253"/>
        <item x="274"/>
        <item x="279"/>
        <item x="328"/>
        <item x="199"/>
        <item x="986"/>
        <item x="144"/>
        <item x="306"/>
        <item x="372"/>
        <item x="286"/>
        <item x="268"/>
        <item x="997"/>
        <item x="613"/>
        <item x="573"/>
        <item x="354"/>
        <item x="411"/>
        <item x="794"/>
        <item x="458"/>
        <item x="378"/>
        <item x="787"/>
        <item x="486"/>
        <item x="79"/>
        <item x="167"/>
        <item x="887"/>
        <item x="509"/>
        <item x="704"/>
        <item x="384"/>
        <item x="408"/>
        <item x="733"/>
        <item x="356"/>
        <item x="507"/>
        <item x="560"/>
        <item x="955"/>
        <item x="829"/>
        <item x="341"/>
        <item x="742"/>
        <item x="875"/>
        <item x="25"/>
        <item x="304"/>
        <item x="854"/>
        <item x="966"/>
        <item x="528"/>
        <item x="921"/>
        <item x="721"/>
        <item x="147"/>
        <item x="878"/>
        <item x="311"/>
        <item x="103"/>
        <item x="608"/>
        <item x="44"/>
        <item x="483"/>
        <item x="431"/>
        <item x="370"/>
        <item x="809"/>
        <item x="694"/>
        <item x="128"/>
        <item x="69"/>
        <item x="317"/>
        <item x="400"/>
        <item x="159"/>
        <item x="391"/>
        <item x="157"/>
        <item x="611"/>
        <item x="877"/>
        <item x="684"/>
        <item x="915"/>
        <item x="15"/>
        <item x="646"/>
        <item x="542"/>
        <item x="769"/>
        <item x="731"/>
        <item x="478"/>
        <item x="382"/>
        <item x="577"/>
        <item x="817"/>
        <item x="243"/>
        <item x="546"/>
        <item x="596"/>
        <item x="252"/>
        <item x="793"/>
        <item x="349"/>
        <item x="819"/>
        <item x="327"/>
        <item x="468"/>
        <item x="198"/>
        <item x="194"/>
        <item x="178"/>
        <item x="623"/>
        <item x="331"/>
        <item x="884"/>
        <item x="947"/>
        <item x="120"/>
        <item x="40"/>
        <item x="767"/>
        <item x="727"/>
        <item x="529"/>
        <item x="121"/>
        <item x="734"/>
        <item x="751"/>
        <item x="156"/>
        <item x="50"/>
        <item x="669"/>
        <item x="582"/>
        <item x="549"/>
        <item x="718"/>
        <item x="531"/>
        <item x="753"/>
        <item x="516"/>
        <item x="45"/>
        <item x="99"/>
        <item x="601"/>
        <item x="630"/>
        <item x="965"/>
        <item x="825"/>
        <item x="981"/>
        <item x="340"/>
        <item x="754"/>
        <item x="7"/>
        <item x="823"/>
        <item x="288"/>
        <item x="364"/>
        <item x="848"/>
        <item x="489"/>
        <item x="29"/>
        <item x="262"/>
        <item x="636"/>
        <item x="184"/>
        <item x="462"/>
        <item x="204"/>
        <item x="781"/>
        <item x="824"/>
        <item x="401"/>
        <item x="729"/>
        <item x="206"/>
        <item x="295"/>
        <item x="76"/>
        <item x="117"/>
        <item x="834"/>
        <item x="631"/>
        <item x="703"/>
        <item x="803"/>
        <item x="859"/>
        <item x="635"/>
        <item x="869"/>
        <item x="100"/>
        <item x="303"/>
        <item x="634"/>
        <item x="467"/>
        <item x="683"/>
        <item x="438"/>
        <item x="607"/>
        <item x="172"/>
        <item x="949"/>
        <item x="696"/>
        <item x="543"/>
        <item x="843"/>
        <item x="655"/>
        <item x="160"/>
        <item x="632"/>
        <item x="466"/>
        <item x="968"/>
        <item x="649"/>
        <item x="536"/>
        <item x="569"/>
        <item x="437"/>
        <item x="181"/>
        <item x="380"/>
        <item x="477"/>
        <item x="726"/>
        <item x="800"/>
        <item x="743"/>
        <item x="977"/>
        <item x="230"/>
        <item x="187"/>
        <item x="289"/>
        <item x="32"/>
        <item x="77"/>
        <item x="571"/>
        <item x="522"/>
        <item x="604"/>
        <item x="510"/>
        <item x="73"/>
        <item x="351"/>
        <item x="336"/>
        <item x="316"/>
        <item x="238"/>
        <item x="481"/>
        <item x="987"/>
        <item x="588"/>
        <item x="183"/>
        <item x="879"/>
        <item x="329"/>
        <item x="866"/>
        <item x="709"/>
        <item x="697"/>
        <item x="174"/>
        <item x="578"/>
        <item x="730"/>
        <item x="284"/>
        <item x="81"/>
        <item x="71"/>
        <item x="359"/>
        <item x="470"/>
        <item x="882"/>
        <item x="909"/>
        <item x="449"/>
        <item x="417"/>
        <item x="710"/>
        <item x="637"/>
        <item x="568"/>
        <item x="188"/>
        <item x="827"/>
        <item x="97"/>
        <item x="893"/>
        <item x="104"/>
        <item x="201"/>
        <item x="617"/>
        <item x="758"/>
        <item x="131"/>
        <item x="908"/>
        <item x="14"/>
        <item x="590"/>
        <item x="668"/>
        <item x="999"/>
        <item x="9"/>
        <item x="366"/>
        <item x="624"/>
        <item x="514"/>
        <item x="312"/>
        <item x="153"/>
        <item x="272"/>
        <item x="891"/>
        <item x="260"/>
        <item x="34"/>
        <item x="118"/>
        <item x="855"/>
        <item x="457"/>
        <item x="175"/>
        <item x="666"/>
        <item x="4"/>
        <item x="21"/>
        <item x="904"/>
        <item x="678"/>
        <item x="134"/>
        <item x="648"/>
        <item x="956"/>
        <item x="205"/>
        <item x="899"/>
        <item x="642"/>
        <item x="371"/>
        <item x="935"/>
        <item x="975"/>
        <item x="811"/>
        <item x="476"/>
        <item x="558"/>
        <item x="719"/>
        <item x="534"/>
        <item x="687"/>
        <item x="903"/>
        <item x="842"/>
        <item x="212"/>
        <item x="361"/>
        <item x="822"/>
        <item x="914"/>
        <item x="43"/>
        <item x="36"/>
        <item x="912"/>
        <item x="66"/>
        <item x="777"/>
        <item x="280"/>
        <item x="334"/>
        <item x="28"/>
        <item x="934"/>
        <item x="250"/>
        <item x="881"/>
        <item x="344"/>
        <item x="591"/>
        <item x="226"/>
        <item x="487"/>
        <item x="774"/>
        <item x="705"/>
        <item x="770"/>
        <item x="409"/>
        <item x="213"/>
        <item x="595"/>
        <item x="755"/>
        <item x="446"/>
        <item x="592"/>
        <item x="910"/>
        <item x="166"/>
        <item x="491"/>
        <item x="350"/>
        <item x="445"/>
        <item x="129"/>
        <item x="836"/>
        <item x="967"/>
        <item x="216"/>
        <item x="140"/>
        <item x="663"/>
        <item x="231"/>
        <item x="139"/>
        <item x="236"/>
        <item x="939"/>
        <item x="699"/>
        <item x="138"/>
        <item x="254"/>
        <item x="47"/>
        <item x="119"/>
        <item x="387"/>
        <item x="414"/>
        <item x="540"/>
        <item x="995"/>
        <item x="552"/>
        <item x="84"/>
        <item x="96"/>
        <item x="880"/>
        <item x="453"/>
        <item x="456"/>
        <item x="261"/>
        <item x="488"/>
        <item x="108"/>
        <item x="381"/>
        <item x="609"/>
        <item x="293"/>
        <item x="214"/>
        <item x="818"/>
        <item x="436"/>
        <item x="290"/>
        <item x="942"/>
        <item x="989"/>
        <item x="626"/>
        <item x="953"/>
        <item x="801"/>
        <item x="404"/>
        <item x="285"/>
        <item x="557"/>
        <item x="906"/>
        <item x="168"/>
        <item x="18"/>
        <item x="860"/>
        <item x="149"/>
        <item x="146"/>
        <item x="24"/>
        <item x="357"/>
        <item x="305"/>
        <item x="525"/>
        <item x="671"/>
        <item x="810"/>
        <item x="849"/>
        <item x="310"/>
        <item x="708"/>
        <item x="406"/>
        <item x="919"/>
        <item x="165"/>
        <item x="979"/>
        <item x="318"/>
        <item x="263"/>
        <item x="83"/>
        <item x="82"/>
        <item x="643"/>
        <item x="517"/>
        <item x="566"/>
        <item x="593"/>
        <item x="752"/>
        <item x="996"/>
        <item x="640"/>
        <item x="297"/>
        <item x="532"/>
        <item x="113"/>
        <item x="918"/>
        <item x="806"/>
        <item x="141"/>
        <item x="764"/>
        <item x="685"/>
        <item x="190"/>
        <item x="23"/>
        <item x="367"/>
        <item x="629"/>
        <item x="145"/>
        <item x="270"/>
        <item x="323"/>
        <item x="85"/>
        <item x="497"/>
        <item x="647"/>
        <item x="98"/>
        <item x="911"/>
        <item x="784"/>
        <item x="410"/>
        <item x="972"/>
        <item x="309"/>
        <item x="688"/>
        <item x="554"/>
        <item x="430"/>
        <item x="677"/>
        <item x="287"/>
        <item x="587"/>
        <item x="563"/>
        <item x="315"/>
        <item x="526"/>
        <item x="641"/>
        <item x="602"/>
        <item x="555"/>
        <item x="506"/>
        <item x="913"/>
        <item x="2"/>
        <item x="353"/>
        <item x="259"/>
        <item x="68"/>
        <item x="218"/>
        <item x="125"/>
        <item x="107"/>
        <item x="283"/>
        <item x="224"/>
        <item x="452"/>
        <item x="895"/>
        <item x="463"/>
        <item x="237"/>
        <item x="275"/>
        <item x="403"/>
        <item x="619"/>
        <item x="114"/>
        <item x="597"/>
        <item x="52"/>
        <item x="576"/>
        <item x="443"/>
        <item x="375"/>
        <item x="459"/>
        <item x="229"/>
        <item x="584"/>
        <item x="512"/>
        <item x="302"/>
        <item x="325"/>
        <item x="782"/>
        <item x="892"/>
        <item x="256"/>
        <item x="13"/>
        <item x="148"/>
        <item x="191"/>
        <item x="572"/>
        <item x="791"/>
        <item x="3"/>
        <item x="363"/>
        <item x="659"/>
        <item x="896"/>
        <item x="618"/>
        <item x="17"/>
        <item x="724"/>
        <item x="55"/>
        <item x="155"/>
        <item x="169"/>
        <item x="203"/>
        <item x="500"/>
        <item x="567"/>
        <item x="929"/>
        <item x="520"/>
        <item x="301"/>
        <item x="612"/>
        <item x="954"/>
        <item x="574"/>
        <item x="352"/>
        <item x="579"/>
        <item x="930"/>
        <item x="186"/>
        <item x="451"/>
        <item x="342"/>
        <item x="482"/>
        <item x="620"/>
        <item x="535"/>
        <item x="933"/>
        <item x="346"/>
        <item x="780"/>
        <item x="360"/>
        <item x="559"/>
        <item x="60"/>
        <item x="335"/>
        <item x="479"/>
        <item x="603"/>
        <item x="402"/>
        <item x="78"/>
        <item x="916"/>
        <item x="257"/>
        <item x="425"/>
        <item x="982"/>
        <item x="664"/>
        <item x="137"/>
        <item x="433"/>
        <item x="820"/>
        <item x="19"/>
        <item x="852"/>
        <item x="657"/>
        <item x="938"/>
        <item x="653"/>
        <item x="447"/>
        <item x="472"/>
        <item x="495"/>
        <item x="163"/>
        <item x="901"/>
        <item x="337"/>
        <item x="599"/>
        <item x="686"/>
        <item x="925"/>
        <item x="681"/>
        <item x="373"/>
        <item x="505"/>
        <item x="937"/>
        <item x="544"/>
        <item x="645"/>
        <item x="444"/>
        <item x="515"/>
        <item x="151"/>
        <item x="395"/>
        <item x="789"/>
        <item x="112"/>
        <item x="264"/>
        <item x="691"/>
        <item x="277"/>
        <item x="469"/>
        <item x="894"/>
        <item x="474"/>
        <item x="217"/>
        <item x="126"/>
        <item x="541"/>
        <item x="95"/>
        <item x="857"/>
        <item x="502"/>
        <item x="225"/>
        <item x="902"/>
        <item x="428"/>
        <item x="271"/>
        <item x="978"/>
        <item x="397"/>
        <item x="622"/>
        <item x="195"/>
        <item x="332"/>
        <item x="969"/>
        <item x="580"/>
        <item x="202"/>
        <item x="362"/>
        <item x="680"/>
        <item x="804"/>
        <item x="292"/>
        <item x="244"/>
        <item x="759"/>
        <item x="192"/>
        <item x="728"/>
        <item x="867"/>
        <item x="281"/>
        <item x="627"/>
        <item x="762"/>
        <item x="625"/>
        <item x="738"/>
        <item x="980"/>
        <item x="455"/>
        <item x="154"/>
        <item x="876"/>
        <item x="49"/>
        <item x="815"/>
        <item x="56"/>
        <item x="732"/>
        <item x="343"/>
        <item x="606"/>
        <item x="821"/>
        <item x="116"/>
        <item x="12"/>
        <item x="136"/>
        <item x="413"/>
        <item x="712"/>
        <item x="142"/>
        <item x="600"/>
        <item x="873"/>
        <item x="326"/>
        <item x="498"/>
        <item x="228"/>
        <item x="840"/>
        <item x="771"/>
        <item x="583"/>
        <item x="61"/>
        <item x="585"/>
        <item x="897"/>
        <item x="533"/>
        <item x="826"/>
        <item x="537"/>
        <item x="424"/>
        <item x="321"/>
        <item x="662"/>
        <item x="538"/>
        <item x="863"/>
        <item x="110"/>
        <item x="72"/>
        <item x="633"/>
        <item x="386"/>
        <item x="844"/>
        <item x="152"/>
        <item x="379"/>
        <item x="985"/>
        <item x="407"/>
        <item x="556"/>
        <item x="550"/>
        <item t="default"/>
      </items>
    </pivotField>
    <pivotField showAll="0"/>
    <pivotField showAll="0">
      <items count="1000">
        <item x="255"/>
        <item x="750"/>
        <item x="221"/>
        <item x="700"/>
        <item x="882"/>
        <item x="234"/>
        <item x="787"/>
        <item x="102"/>
        <item x="399"/>
        <item x="551"/>
        <item x="860"/>
        <item x="278"/>
        <item x="925"/>
        <item x="86"/>
        <item x="193"/>
        <item x="313"/>
        <item x="320"/>
        <item x="123"/>
        <item x="240"/>
        <item x="439"/>
        <item x="27"/>
        <item x="143"/>
        <item x="492"/>
        <item x="393"/>
        <item x="269"/>
        <item x="70"/>
        <item x="673"/>
        <item x="473"/>
        <item x="784"/>
        <item x="57"/>
        <item x="667"/>
        <item x="210"/>
        <item x="330"/>
        <item x="523"/>
        <item x="975"/>
        <item x="735"/>
        <item x="494"/>
        <item x="940"/>
        <item x="794"/>
        <item x="460"/>
        <item x="644"/>
        <item x="562"/>
        <item x="266"/>
        <item x="454"/>
        <item x="300"/>
        <item x="251"/>
        <item x="258"/>
        <item x="31"/>
        <item x="838"/>
        <item x="927"/>
        <item x="377"/>
        <item x="884"/>
        <item x="245"/>
        <item x="461"/>
        <item x="22"/>
        <item x="427"/>
        <item x="420"/>
        <item x="997"/>
        <item x="376"/>
        <item x="610"/>
        <item x="65"/>
        <item x="831"/>
        <item x="35"/>
        <item x="227"/>
        <item x="652"/>
        <item x="725"/>
        <item x="916"/>
        <item x="830"/>
        <item x="670"/>
        <item x="739"/>
        <item x="298"/>
        <item x="197"/>
        <item x="791"/>
        <item x="291"/>
        <item x="394"/>
        <item x="441"/>
        <item x="513"/>
        <item x="692"/>
        <item x="547"/>
        <item x="798"/>
        <item x="267"/>
        <item x="490"/>
        <item x="390"/>
        <item x="276"/>
        <item x="675"/>
        <item x="200"/>
        <item x="935"/>
        <item x="922"/>
        <item x="524"/>
        <item x="333"/>
        <item x="241"/>
        <item x="182"/>
        <item x="105"/>
        <item x="10"/>
        <item x="717"/>
        <item x="75"/>
        <item x="235"/>
        <item x="46"/>
        <item x="760"/>
        <item x="689"/>
        <item x="385"/>
        <item x="744"/>
        <item x="54"/>
        <item x="180"/>
        <item x="521"/>
        <item x="807"/>
        <item x="651"/>
        <item x="176"/>
        <item x="124"/>
        <item x="74"/>
        <item x="855"/>
        <item x="698"/>
        <item x="989"/>
        <item x="94"/>
        <item x="950"/>
        <item x="434"/>
        <item x="614"/>
        <item x="812"/>
        <item x="553"/>
        <item x="961"/>
        <item x="448"/>
        <item x="654"/>
        <item x="215"/>
        <item x="923"/>
        <item x="658"/>
        <item x="605"/>
        <item x="485"/>
        <item x="383"/>
        <item x="440"/>
        <item x="133"/>
        <item x="249"/>
        <item x="122"/>
        <item x="150"/>
        <item x="355"/>
        <item x="232"/>
        <item x="706"/>
        <item x="846"/>
        <item x="695"/>
        <item x="581"/>
        <item x="429"/>
        <item x="958"/>
        <item x="374"/>
        <item x="693"/>
        <item x="421"/>
        <item x="944"/>
        <item x="465"/>
        <item x="945"/>
        <item x="418"/>
        <item x="246"/>
        <item x="992"/>
        <item x="765"/>
        <item x="991"/>
        <item x="111"/>
        <item x="135"/>
        <item x="870"/>
        <item x="720"/>
        <item x="778"/>
        <item x="93"/>
        <item x="850"/>
        <item x="530"/>
        <item x="594"/>
        <item x="757"/>
        <item x="747"/>
        <item x="208"/>
        <item x="368"/>
        <item x="779"/>
        <item x="91"/>
        <item x="464"/>
        <item x="358"/>
        <item x="185"/>
        <item x="130"/>
        <item x="239"/>
        <item x="106"/>
        <item x="405"/>
        <item x="861"/>
        <item x="723"/>
        <item x="527"/>
        <item x="960"/>
        <item x="389"/>
        <item x="519"/>
        <item x="87"/>
        <item x="575"/>
        <item x="679"/>
        <item x="827"/>
        <item x="674"/>
        <item x="38"/>
        <item x="832"/>
        <item x="973"/>
        <item x="740"/>
        <item x="162"/>
        <item x="834"/>
        <item x="26"/>
        <item x="889"/>
        <item x="324"/>
        <item x="545"/>
        <item x="432"/>
        <item x="797"/>
        <item x="196"/>
        <item x="396"/>
        <item x="639"/>
        <item x="170"/>
        <item x="766"/>
        <item x="471"/>
        <item x="307"/>
        <item x="223"/>
        <item x="776"/>
        <item x="299"/>
        <item x="207"/>
        <item x="864"/>
        <item x="947"/>
        <item x="508"/>
        <item x="1"/>
        <item x="768"/>
        <item x="398"/>
        <item x="983"/>
        <item x="897"/>
        <item x="115"/>
        <item x="222"/>
        <item x="314"/>
        <item x="5"/>
        <item x="867"/>
        <item x="173"/>
        <item x="702"/>
        <item x="422"/>
        <item x="656"/>
        <item x="67"/>
        <item x="993"/>
        <item x="504"/>
        <item x="844"/>
        <item x="943"/>
        <item x="435"/>
        <item x="722"/>
        <item x="745"/>
        <item x="956"/>
        <item x="273"/>
        <item x="586"/>
        <item x="793"/>
        <item x="16"/>
        <item x="737"/>
        <item x="480"/>
        <item x="92"/>
        <item x="265"/>
        <item x="815"/>
        <item x="806"/>
        <item x="561"/>
        <item x="904"/>
        <item x="942"/>
        <item x="565"/>
        <item x="772"/>
        <item x="493"/>
        <item x="423"/>
        <item x="773"/>
        <item x="985"/>
        <item x="887"/>
        <item x="871"/>
        <item x="127"/>
        <item x="248"/>
        <item x="796"/>
        <item x="412"/>
        <item x="518"/>
        <item x="63"/>
        <item x="392"/>
        <item x="501"/>
        <item x="296"/>
        <item x="347"/>
        <item x="58"/>
        <item x="48"/>
        <item x="939"/>
        <item x="39"/>
        <item x="242"/>
        <item x="308"/>
        <item x="8"/>
        <item x="628"/>
        <item x="873"/>
        <item x="171"/>
        <item x="328"/>
        <item x="62"/>
        <item x="616"/>
        <item x="949"/>
        <item x="613"/>
        <item x="660"/>
        <item x="546"/>
        <item x="164"/>
        <item x="419"/>
        <item x="840"/>
        <item x="233"/>
        <item x="969"/>
        <item x="863"/>
        <item x="247"/>
        <item x="511"/>
        <item x="161"/>
        <item x="715"/>
        <item x="483"/>
        <item x="869"/>
        <item x="672"/>
        <item x="531"/>
        <item x="886"/>
        <item x="615"/>
        <item x="646"/>
        <item x="144"/>
        <item x="89"/>
        <item x="845"/>
        <item x="589"/>
        <item x="37"/>
        <item x="582"/>
        <item x="274"/>
        <item x="7"/>
        <item x="808"/>
        <item x="741"/>
        <item x="11"/>
        <item x="211"/>
        <item x="132"/>
        <item x="345"/>
        <item x="963"/>
        <item x="539"/>
        <item x="450"/>
        <item x="598"/>
        <item x="338"/>
        <item x="714"/>
        <item x="348"/>
        <item x="970"/>
        <item x="638"/>
        <item x="731"/>
        <item x="499"/>
        <item x="801"/>
        <item x="753"/>
        <item x="763"/>
        <item x="919"/>
        <item x="354"/>
        <item x="370"/>
        <item x="339"/>
        <item x="964"/>
        <item x="121"/>
        <item x="294"/>
        <item x="322"/>
        <item x="748"/>
        <item x="987"/>
        <item x="816"/>
        <item x="857"/>
        <item x="489"/>
        <item x="467"/>
        <item x="669"/>
        <item x="181"/>
        <item x="690"/>
        <item x="701"/>
        <item x="378"/>
        <item x="80"/>
        <item x="836"/>
        <item x="167"/>
        <item x="503"/>
        <item x="899"/>
        <item x="341"/>
        <item x="209"/>
        <item x="650"/>
        <item x="79"/>
        <item x="560"/>
        <item x="621"/>
        <item x="957"/>
        <item x="101"/>
        <item x="754"/>
        <item x="721"/>
        <item x="713"/>
        <item x="630"/>
        <item x="704"/>
        <item x="282"/>
        <item x="238"/>
        <item x="198"/>
        <item x="874"/>
        <item x="608"/>
        <item x="853"/>
        <item x="986"/>
        <item x="496"/>
        <item x="718"/>
        <item x="177"/>
        <item x="475"/>
        <item x="711"/>
        <item x="785"/>
        <item x="775"/>
        <item x="849"/>
        <item x="965"/>
        <item x="372"/>
        <item x="571"/>
        <item x="458"/>
        <item x="749"/>
        <item x="976"/>
        <item x="885"/>
        <item x="761"/>
        <item x="781"/>
        <item x="33"/>
        <item x="852"/>
        <item x="243"/>
        <item x="982"/>
        <item x="661"/>
        <item x="818"/>
        <item x="30"/>
        <item x="959"/>
        <item x="426"/>
        <item x="400"/>
        <item x="179"/>
        <item x="931"/>
        <item x="767"/>
        <item x="906"/>
        <item x="804"/>
        <item x="881"/>
        <item x="175"/>
        <item x="795"/>
        <item x="384"/>
        <item x="77"/>
        <item x="90"/>
        <item x="888"/>
        <item x="51"/>
        <item x="159"/>
        <item x="45"/>
        <item x="438"/>
        <item x="157"/>
        <item x="716"/>
        <item x="865"/>
        <item x="268"/>
        <item x="365"/>
        <item x="64"/>
        <item x="665"/>
        <item x="813"/>
        <item x="279"/>
        <item x="477"/>
        <item x="623"/>
        <item x="548"/>
        <item x="948"/>
        <item x="59"/>
        <item x="962"/>
        <item x="311"/>
        <item x="591"/>
        <item x="53"/>
        <item x="829"/>
        <item x="996"/>
        <item x="476"/>
        <item x="391"/>
        <item x="596"/>
        <item x="736"/>
        <item x="789"/>
        <item x="199"/>
        <item x="128"/>
        <item x="42"/>
        <item x="134"/>
        <item x="756"/>
        <item x="883"/>
        <item x="543"/>
        <item x="601"/>
        <item x="536"/>
        <item x="88"/>
        <item x="319"/>
        <item x="416"/>
        <item x="369"/>
        <item x="212"/>
        <item x="705"/>
        <item x="286"/>
        <item x="272"/>
        <item x="921"/>
        <item x="50"/>
        <item x="564"/>
        <item x="823"/>
        <item x="707"/>
        <item x="577"/>
        <item x="442"/>
        <item x="29"/>
        <item x="0"/>
        <item x="388"/>
        <item x="466"/>
        <item x="253"/>
        <item x="994"/>
        <item x="236"/>
        <item x="304"/>
        <item x="216"/>
        <item x="746"/>
        <item x="109"/>
        <item x="552"/>
        <item x="930"/>
        <item x="457"/>
        <item x="926"/>
        <item x="522"/>
        <item x="28"/>
        <item x="41"/>
        <item x="71"/>
        <item x="733"/>
        <item x="340"/>
        <item x="261"/>
        <item x="484"/>
        <item x="828"/>
        <item x="920"/>
        <item x="792"/>
        <item x="100"/>
        <item x="782"/>
        <item x="260"/>
        <item x="119"/>
        <item x="334"/>
        <item x="415"/>
        <item x="187"/>
        <item x="351"/>
        <item x="540"/>
        <item x="431"/>
        <item x="44"/>
        <item x="437"/>
        <item x="158"/>
        <item x="694"/>
        <item x="219"/>
        <item x="230"/>
        <item x="220"/>
        <item x="166"/>
        <item x="549"/>
        <item x="955"/>
        <item x="380"/>
        <item x="6"/>
        <item x="811"/>
        <item x="684"/>
        <item x="769"/>
        <item x="951"/>
        <item x="204"/>
        <item x="676"/>
        <item x="682"/>
        <item x="914"/>
        <item x="632"/>
        <item x="972"/>
        <item x="25"/>
        <item x="18"/>
        <item x="104"/>
        <item x="837"/>
        <item x="822"/>
        <item x="83"/>
        <item x="734"/>
        <item x="293"/>
        <item x="611"/>
        <item x="189"/>
        <item x="188"/>
        <item x="20"/>
        <item x="671"/>
        <item x="516"/>
        <item x="990"/>
        <item x="877"/>
        <item x="595"/>
        <item x="570"/>
        <item x="312"/>
        <item x="411"/>
        <item x="305"/>
        <item x="103"/>
        <item x="509"/>
        <item x="36"/>
        <item x="306"/>
        <item x="974"/>
        <item x="604"/>
        <item x="631"/>
        <item x="280"/>
        <item x="408"/>
        <item x="410"/>
        <item x="703"/>
        <item x="356"/>
        <item x="573"/>
        <item x="799"/>
        <item x="876"/>
        <item x="643"/>
        <item x="156"/>
        <item x="526"/>
        <item x="366"/>
        <item x="478"/>
        <item x="946"/>
        <item x="99"/>
        <item x="506"/>
        <item x="507"/>
        <item x="194"/>
        <item x="108"/>
        <item x="486"/>
        <item x="349"/>
        <item x="751"/>
        <item x="802"/>
        <item x="120"/>
        <item x="387"/>
        <item x="76"/>
        <item x="15"/>
        <item x="578"/>
        <item x="149"/>
        <item x="40"/>
        <item x="288"/>
        <item x="847"/>
        <item x="912"/>
        <item x="34"/>
        <item x="786"/>
        <item x="742"/>
        <item x="903"/>
        <item x="147"/>
        <item x="201"/>
        <item x="184"/>
        <item x="954"/>
        <item x="327"/>
        <item x="259"/>
        <item x="859"/>
        <item x="908"/>
        <item x="353"/>
        <item x="24"/>
        <item x="382"/>
        <item x="558"/>
        <item x="655"/>
        <item x="468"/>
        <item x="607"/>
        <item x="295"/>
        <item x="69"/>
        <item x="635"/>
        <item x="512"/>
        <item x="858"/>
        <item x="528"/>
        <item x="590"/>
        <item x="317"/>
        <item x="364"/>
        <item x="252"/>
        <item x="131"/>
        <item x="626"/>
        <item x="178"/>
        <item x="256"/>
        <item x="401"/>
        <item x="592"/>
        <item x="890"/>
        <item x="588"/>
        <item x="318"/>
        <item x="941"/>
        <item x="359"/>
        <item x="542"/>
        <item x="696"/>
        <item x="254"/>
        <item x="459"/>
        <item x="764"/>
        <item x="697"/>
        <item x="854"/>
        <item x="998"/>
        <item x="729"/>
        <item x="826"/>
        <item x="980"/>
        <item x="842"/>
        <item x="97"/>
        <item x="331"/>
        <item x="929"/>
        <item x="918"/>
        <item x="569"/>
        <item x="449"/>
        <item x="117"/>
        <item x="417"/>
        <item x="315"/>
        <item x="481"/>
        <item x="868"/>
        <item x="649"/>
        <item x="118"/>
        <item x="774"/>
        <item x="727"/>
        <item x="4"/>
        <item x="593"/>
        <item x="743"/>
        <item x="988"/>
        <item x="878"/>
        <item x="666"/>
        <item x="879"/>
        <item x="557"/>
        <item x="529"/>
        <item x="284"/>
        <item x="824"/>
        <item x="68"/>
        <item x="629"/>
        <item x="303"/>
        <item x="584"/>
        <item x="817"/>
        <item x="140"/>
        <item x="409"/>
        <item x="898"/>
        <item x="430"/>
        <item x="231"/>
        <item x="262"/>
        <item x="462"/>
        <item x="642"/>
        <item x="978"/>
        <item x="309"/>
        <item x="73"/>
        <item x="403"/>
        <item x="821"/>
        <item x="880"/>
        <item x="534"/>
        <item x="544"/>
        <item x="129"/>
        <item x="289"/>
        <item x="841"/>
        <item x="443"/>
        <item x="337"/>
        <item x="470"/>
        <item x="206"/>
        <item x="125"/>
        <item x="909"/>
        <item x="192"/>
        <item x="710"/>
        <item x="202"/>
        <item x="833"/>
        <item x="803"/>
        <item x="636"/>
        <item x="936"/>
        <item x="805"/>
        <item x="32"/>
        <item x="352"/>
        <item x="172"/>
        <item x="43"/>
        <item x="933"/>
        <item x="634"/>
        <item x="336"/>
        <item x="680"/>
        <item x="160"/>
        <item x="153"/>
        <item x="597"/>
        <item x="730"/>
        <item x="683"/>
        <item x="719"/>
        <item x="183"/>
        <item x="250"/>
        <item x="726"/>
        <item x="174"/>
        <item x="967"/>
        <item x="344"/>
        <item x="892"/>
        <item x="620"/>
        <item x="677"/>
        <item x="600"/>
        <item x="329"/>
        <item x="21"/>
        <item x="138"/>
        <item x="213"/>
        <item x="567"/>
        <item x="678"/>
        <item x="820"/>
        <item x="397"/>
        <item x="19"/>
        <item x="617"/>
        <item x="709"/>
        <item x="350"/>
        <item x="907"/>
        <item x="472"/>
        <item x="510"/>
        <item x="285"/>
        <item x="55"/>
        <item x="572"/>
        <item x="568"/>
        <item x="446"/>
        <item x="371"/>
        <item x="205"/>
        <item x="455"/>
        <item x="321"/>
        <item x="428"/>
        <item x="81"/>
        <item x="896"/>
        <item x="637"/>
        <item x="302"/>
        <item x="47"/>
        <item x="335"/>
        <item x="316"/>
        <item x="835"/>
        <item x="23"/>
        <item x="819"/>
        <item x="224"/>
        <item x="244"/>
        <item x="911"/>
        <item x="445"/>
        <item x="624"/>
        <item x="668"/>
        <item x="708"/>
        <item x="728"/>
        <item x="952"/>
        <item x="910"/>
        <item x="14"/>
        <item x="759"/>
        <item x="114"/>
        <item x="618"/>
        <item x="61"/>
        <item x="9"/>
        <item x="687"/>
        <item x="84"/>
        <item x="758"/>
        <item x="357"/>
        <item x="783"/>
        <item x="934"/>
        <item x="981"/>
        <item x="752"/>
        <item x="491"/>
        <item x="902"/>
        <item x="928"/>
        <item x="583"/>
        <item x="937"/>
        <item x="436"/>
        <item x="681"/>
        <item x="141"/>
        <item x="514"/>
        <item x="606"/>
        <item x="444"/>
        <item x="195"/>
        <item x="966"/>
        <item x="146"/>
        <item x="381"/>
        <item x="456"/>
        <item x="361"/>
        <item x="229"/>
        <item x="810"/>
        <item x="648"/>
        <item x="913"/>
        <item x="165"/>
        <item x="535"/>
        <item x="297"/>
        <item x="487"/>
        <item x="657"/>
        <item x="283"/>
        <item x="453"/>
        <item x="414"/>
        <item x="226"/>
        <item x="932"/>
        <item x="505"/>
        <item x="900"/>
        <item x="17"/>
        <item x="264"/>
        <item x="777"/>
        <item x="538"/>
        <item x="977"/>
        <item x="663"/>
        <item x="905"/>
        <item x="66"/>
        <item x="641"/>
        <item x="277"/>
        <item x="685"/>
        <item x="148"/>
        <item x="566"/>
        <item x="755"/>
        <item x="602"/>
        <item x="96"/>
        <item x="52"/>
        <item x="447"/>
        <item x="425"/>
        <item x="323"/>
        <item x="533"/>
        <item x="995"/>
        <item x="688"/>
        <item x="270"/>
        <item x="433"/>
        <item x="168"/>
        <item x="292"/>
        <item x="555"/>
        <item x="85"/>
        <item x="770"/>
        <item x="576"/>
        <item x="139"/>
        <item x="609"/>
        <item x="360"/>
        <item x="500"/>
        <item x="517"/>
        <item x="497"/>
        <item x="82"/>
        <item x="640"/>
        <item x="451"/>
        <item x="848"/>
        <item x="647"/>
        <item x="699"/>
        <item x="488"/>
        <item x="191"/>
        <item x="938"/>
        <item x="225"/>
        <item x="257"/>
        <item x="203"/>
        <item x="724"/>
        <item x="424"/>
        <item x="95"/>
        <item x="263"/>
        <item x="732"/>
        <item x="800"/>
        <item x="495"/>
        <item x="395"/>
        <item x="310"/>
        <item x="532"/>
        <item x="574"/>
        <item x="971"/>
        <item x="290"/>
        <item x="271"/>
        <item x="856"/>
        <item x="479"/>
        <item x="214"/>
        <item x="379"/>
        <item x="463"/>
        <item x="554"/>
        <item x="155"/>
        <item x="580"/>
        <item x="619"/>
        <item x="579"/>
        <item x="402"/>
        <item x="145"/>
        <item x="404"/>
        <item x="809"/>
        <item x="98"/>
        <item x="275"/>
        <item x="190"/>
        <item x="525"/>
        <item x="287"/>
        <item x="367"/>
        <item x="599"/>
        <item x="107"/>
        <item x="3"/>
        <item x="301"/>
        <item x="872"/>
        <item x="894"/>
        <item x="13"/>
        <item x="917"/>
        <item x="112"/>
        <item x="498"/>
        <item x="406"/>
        <item x="482"/>
        <item x="771"/>
        <item x="113"/>
        <item x="712"/>
        <item x="363"/>
        <item x="152"/>
        <item x="12"/>
        <item x="603"/>
        <item x="325"/>
        <item x="587"/>
        <item x="452"/>
        <item x="2"/>
        <item x="332"/>
        <item x="691"/>
        <item x="502"/>
        <item x="891"/>
        <item x="563"/>
        <item x="790"/>
        <item x="612"/>
        <item x="186"/>
        <item x="474"/>
        <item x="839"/>
        <item x="218"/>
        <item x="664"/>
        <item x="738"/>
        <item x="541"/>
        <item x="137"/>
        <item x="515"/>
        <item x="895"/>
        <item x="346"/>
        <item x="110"/>
        <item x="169"/>
        <item x="520"/>
        <item x="237"/>
        <item x="788"/>
        <item x="163"/>
        <item x="653"/>
        <item x="659"/>
        <item x="413"/>
        <item x="375"/>
        <item x="915"/>
        <item x="550"/>
        <item x="662"/>
        <item x="627"/>
        <item x="924"/>
        <item x="78"/>
        <item x="953"/>
        <item x="126"/>
        <item x="217"/>
        <item x="625"/>
        <item x="407"/>
        <item x="342"/>
        <item x="559"/>
        <item x="373"/>
        <item x="56"/>
        <item x="780"/>
        <item x="60"/>
        <item x="281"/>
        <item x="116"/>
        <item x="851"/>
        <item x="686"/>
        <item x="326"/>
        <item x="875"/>
        <item x="622"/>
        <item x="814"/>
        <item x="645"/>
        <item x="843"/>
        <item x="893"/>
        <item x="968"/>
        <item x="866"/>
        <item x="49"/>
        <item x="343"/>
        <item x="142"/>
        <item x="901"/>
        <item x="151"/>
        <item x="762"/>
        <item x="72"/>
        <item x="469"/>
        <item x="979"/>
        <item x="228"/>
        <item x="362"/>
        <item x="154"/>
        <item x="633"/>
        <item x="825"/>
        <item x="136"/>
        <item x="984"/>
        <item x="862"/>
        <item x="386"/>
        <item x="585"/>
        <item x="537"/>
        <item x="55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1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30" firstHeaderRow="0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axis="axisRow" showAll="0">
      <items count="14">
        <item x="4"/>
        <item x="10"/>
        <item x="9"/>
        <item x="3"/>
        <item x="5"/>
        <item x="7"/>
        <item x="8"/>
        <item x="6"/>
        <item x="1"/>
        <item x="11"/>
        <item x="2"/>
        <item x="0"/>
        <item x="1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27">
    <i>
      <x/>
    </i>
    <i r="1">
      <x v="2"/>
    </i>
    <i>
      <x v="1"/>
    </i>
    <i r="1">
      <x v="2"/>
    </i>
    <i>
      <x v="2"/>
    </i>
    <i r="1">
      <x v="2"/>
    </i>
    <i>
      <x v="3"/>
    </i>
    <i r="1">
      <x/>
    </i>
    <i>
      <x v="4"/>
    </i>
    <i r="1">
      <x v="1"/>
    </i>
    <i>
      <x v="5"/>
    </i>
    <i r="1">
      <x v="3"/>
    </i>
    <i>
      <x v="6"/>
    </i>
    <i r="1">
      <x v="3"/>
    </i>
    <i>
      <x v="7"/>
    </i>
    <i r="1">
      <x v="3"/>
    </i>
    <i>
      <x v="8"/>
    </i>
    <i r="1">
      <x v="1"/>
    </i>
    <i>
      <x v="9"/>
    </i>
    <i r="1">
      <x v="1"/>
    </i>
    <i>
      <x v="10"/>
    </i>
    <i r="1">
      <x/>
    </i>
    <i>
      <x v="11"/>
    </i>
    <i r="1">
      <x v="1"/>
    </i>
    <i>
      <x v="1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1" baseField="0" baseItem="0"/>
    <dataField name="Sum of Profit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28" firstHeaderRow="1" firstDataRow="1" firstDataCol="1"/>
  <pivotFields count="20">
    <pivotField showAll="0"/>
    <pivotField numFmtId="14"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3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_Amount" fld="11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6" count="1" selected="0">
            <x v="3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6" count="1" selected="0">
            <x v="3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001" totalsRowShown="0">
  <autoFilter ref="A1:V1001" xr:uid="{00000000-0009-0000-0100-000001000000}"/>
  <tableColumns count="22">
    <tableColumn id="1" xr3:uid="{00000000-0010-0000-0000-000001000000}" name="Order_ID"/>
    <tableColumn id="2" xr3:uid="{00000000-0010-0000-0000-000002000000}" name="Order_Date" dataDxfId="6"/>
    <tableColumn id="3" xr3:uid="{00000000-0010-0000-0000-000003000000}" name="Customer_Name"/>
    <tableColumn id="4" xr3:uid="{00000000-0010-0000-0000-000004000000}" name="Region"/>
    <tableColumn id="5" xr3:uid="{00000000-0010-0000-0000-000005000000}" name="City"/>
    <tableColumn id="6" xr3:uid="{00000000-0010-0000-0000-000006000000}" name="Customer_Segment"/>
    <tableColumn id="7" xr3:uid="{00000000-0010-0000-0000-000007000000}" name="Product_Category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Discount"/>
    <tableColumn id="12" xr3:uid="{00000000-0010-0000-0000-00000C000000}" name="Sales_Amount"/>
    <tableColumn id="13" xr3:uid="{00000000-0010-0000-0000-00000D000000}" name="Cost_Amount"/>
    <tableColumn id="14" xr3:uid="{00000000-0010-0000-0000-00000E000000}" name="Profit"/>
    <tableColumn id="15" xr3:uid="{00000000-0010-0000-0000-00000F000000}" name="Payment_Method"/>
    <tableColumn id="16" xr3:uid="{00000000-0010-0000-0000-000010000000}" name="Customer_Rating"/>
    <tableColumn id="17" xr3:uid="{00000000-0010-0000-0000-000011000000}" name="Monthly Sale" dataDxfId="0">
      <calculatedColumnFormula>TEXT(B2,"MMMM")</calculatedColumnFormula>
    </tableColumn>
    <tableColumn id="18" xr3:uid="{00000000-0010-0000-0000-000012000000}" name="Quarterly Sale " dataDxfId="5">
      <calculatedColumnFormula>"Q"&amp;ROUNDUP(MONTH(B2)/3,0)</calculatedColumnFormula>
    </tableColumn>
    <tableColumn id="19" xr3:uid="{00000000-0010-0000-0000-000013000000}" name="Yearly Sale" dataDxfId="4">
      <calculatedColumnFormula>YEAR(B2)</calculatedColumnFormula>
    </tableColumn>
    <tableColumn id="24" xr3:uid="{00000000-0010-0000-0000-000018000000}" name="KPIR" dataDxfId="3">
      <calculatedColumnFormula>SUM(L2:L1001)</calculatedColumnFormula>
    </tableColumn>
    <tableColumn id="25" xr3:uid="{00000000-0010-0000-0000-000019000000}" name="KPIP" dataDxfId="2">
      <calculatedColumnFormula>SUM(N2:N1001)</calculatedColumnFormula>
    </tableColumn>
    <tableColumn id="26" xr3:uid="{00000000-0010-0000-0000-00001A000000}" name="KPIGR" dataDxfId="1">
      <calculatedColumnFormula>(T2-U2)/U2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</row>
    <row r="2" spans="1:19" x14ac:dyDescent="0.35">
      <c r="A2" t="s">
        <v>17</v>
      </c>
      <c r="B2" s="1">
        <v>45311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</v>
      </c>
      <c r="J2">
        <v>925.06</v>
      </c>
      <c r="K2">
        <v>0.1</v>
      </c>
      <c r="L2">
        <v>1665.11</v>
      </c>
      <c r="M2">
        <v>895.32</v>
      </c>
      <c r="N2">
        <v>769.79</v>
      </c>
      <c r="O2" t="s">
        <v>24</v>
      </c>
      <c r="P2">
        <v>3</v>
      </c>
      <c r="R2" t="s">
        <v>25</v>
      </c>
      <c r="S2" t="s">
        <v>26</v>
      </c>
    </row>
    <row r="3" spans="1:19" x14ac:dyDescent="0.35">
      <c r="A3" t="s">
        <v>27</v>
      </c>
      <c r="B3" s="1">
        <v>45375</v>
      </c>
      <c r="C3" t="s">
        <v>28</v>
      </c>
      <c r="D3" t="s">
        <v>29</v>
      </c>
      <c r="E3" t="s">
        <v>30</v>
      </c>
      <c r="F3" t="s">
        <v>31</v>
      </c>
      <c r="G3" t="s">
        <v>22</v>
      </c>
      <c r="H3" t="s">
        <v>32</v>
      </c>
      <c r="I3">
        <v>3</v>
      </c>
      <c r="J3">
        <v>411.29</v>
      </c>
      <c r="K3">
        <v>0.1</v>
      </c>
      <c r="L3">
        <v>1110.48</v>
      </c>
      <c r="M3">
        <v>827.96</v>
      </c>
      <c r="N3">
        <v>282.52</v>
      </c>
      <c r="O3" t="s">
        <v>33</v>
      </c>
      <c r="P3">
        <v>1</v>
      </c>
      <c r="R3" t="s">
        <v>34</v>
      </c>
      <c r="S3" t="s">
        <v>3</v>
      </c>
    </row>
    <row r="4" spans="1:19" x14ac:dyDescent="0.35">
      <c r="A4" t="s">
        <v>35</v>
      </c>
      <c r="B4" s="1">
        <v>45364</v>
      </c>
      <c r="C4" t="s">
        <v>36</v>
      </c>
      <c r="D4" t="s">
        <v>37</v>
      </c>
      <c r="E4" t="s">
        <v>38</v>
      </c>
      <c r="F4" t="s">
        <v>39</v>
      </c>
      <c r="G4" t="s">
        <v>22</v>
      </c>
      <c r="H4" t="s">
        <v>23</v>
      </c>
      <c r="I4">
        <v>12</v>
      </c>
      <c r="J4">
        <v>543.5</v>
      </c>
      <c r="K4">
        <v>0</v>
      </c>
      <c r="L4">
        <v>6522</v>
      </c>
      <c r="M4">
        <v>3472.75</v>
      </c>
      <c r="N4">
        <v>3049.25</v>
      </c>
      <c r="O4" t="s">
        <v>33</v>
      </c>
      <c r="P4">
        <v>5</v>
      </c>
      <c r="R4" t="s">
        <v>40</v>
      </c>
      <c r="S4" t="s">
        <v>4</v>
      </c>
    </row>
    <row r="5" spans="1:19" x14ac:dyDescent="0.35">
      <c r="A5" t="s">
        <v>41</v>
      </c>
      <c r="B5" s="1">
        <v>45539</v>
      </c>
      <c r="C5" t="s">
        <v>42</v>
      </c>
      <c r="D5" t="s">
        <v>37</v>
      </c>
      <c r="E5" t="s">
        <v>20</v>
      </c>
      <c r="F5" t="s">
        <v>21</v>
      </c>
      <c r="G5" t="s">
        <v>43</v>
      </c>
      <c r="H5" t="s">
        <v>44</v>
      </c>
      <c r="I5">
        <v>8</v>
      </c>
      <c r="J5">
        <v>1007.03</v>
      </c>
      <c r="K5">
        <v>0.1</v>
      </c>
      <c r="L5">
        <v>7250.62</v>
      </c>
      <c r="M5">
        <v>4496.92</v>
      </c>
      <c r="N5">
        <v>2753.7</v>
      </c>
      <c r="O5" t="s">
        <v>24</v>
      </c>
      <c r="P5">
        <v>1</v>
      </c>
      <c r="R5" t="s">
        <v>45</v>
      </c>
      <c r="S5" t="s">
        <v>46</v>
      </c>
    </row>
    <row r="6" spans="1:19" x14ac:dyDescent="0.35">
      <c r="A6" t="s">
        <v>47</v>
      </c>
      <c r="B6" s="1">
        <v>45506</v>
      </c>
      <c r="C6" t="s">
        <v>48</v>
      </c>
      <c r="D6" t="s">
        <v>49</v>
      </c>
      <c r="E6" t="s">
        <v>20</v>
      </c>
      <c r="F6" t="s">
        <v>31</v>
      </c>
      <c r="G6" t="s">
        <v>43</v>
      </c>
      <c r="H6" t="s">
        <v>50</v>
      </c>
      <c r="I6">
        <v>9</v>
      </c>
      <c r="J6">
        <v>526.91999999999996</v>
      </c>
      <c r="K6">
        <v>0.15</v>
      </c>
      <c r="L6">
        <v>4030.94</v>
      </c>
      <c r="M6">
        <v>2749.96</v>
      </c>
      <c r="N6">
        <v>1280.98</v>
      </c>
      <c r="O6" t="s">
        <v>51</v>
      </c>
      <c r="P6">
        <v>1</v>
      </c>
      <c r="R6" t="s">
        <v>52</v>
      </c>
      <c r="S6" t="s">
        <v>53</v>
      </c>
    </row>
    <row r="7" spans="1:19" x14ac:dyDescent="0.35">
      <c r="A7" t="s">
        <v>54</v>
      </c>
      <c r="B7" s="1">
        <v>45329</v>
      </c>
      <c r="C7" t="s">
        <v>55</v>
      </c>
      <c r="D7" t="s">
        <v>19</v>
      </c>
      <c r="E7" t="s">
        <v>30</v>
      </c>
      <c r="F7" t="s">
        <v>21</v>
      </c>
      <c r="G7" t="s">
        <v>43</v>
      </c>
      <c r="H7" t="s">
        <v>50</v>
      </c>
      <c r="I7">
        <v>5</v>
      </c>
      <c r="J7">
        <v>212.45</v>
      </c>
      <c r="K7">
        <v>0.1</v>
      </c>
      <c r="L7">
        <v>956.02</v>
      </c>
      <c r="M7">
        <v>663.45</v>
      </c>
      <c r="N7">
        <v>292.57</v>
      </c>
      <c r="O7" t="s">
        <v>24</v>
      </c>
      <c r="P7">
        <v>1</v>
      </c>
      <c r="R7" t="s">
        <v>56</v>
      </c>
      <c r="S7" t="s">
        <v>57</v>
      </c>
    </row>
    <row r="8" spans="1:19" x14ac:dyDescent="0.35">
      <c r="A8" t="s">
        <v>58</v>
      </c>
      <c r="B8" s="1">
        <v>45472</v>
      </c>
      <c r="C8" t="s">
        <v>59</v>
      </c>
      <c r="D8" t="s">
        <v>37</v>
      </c>
      <c r="E8" t="s">
        <v>30</v>
      </c>
      <c r="F8" t="s">
        <v>21</v>
      </c>
      <c r="G8" t="s">
        <v>60</v>
      </c>
      <c r="H8" t="s">
        <v>61</v>
      </c>
      <c r="I8">
        <v>2</v>
      </c>
      <c r="J8">
        <v>999.61</v>
      </c>
      <c r="K8">
        <v>0.1</v>
      </c>
      <c r="L8">
        <v>1799.3</v>
      </c>
      <c r="M8">
        <v>907.73</v>
      </c>
      <c r="N8">
        <v>891.57</v>
      </c>
      <c r="O8" t="s">
        <v>62</v>
      </c>
      <c r="P8">
        <v>3</v>
      </c>
      <c r="R8" t="s">
        <v>63</v>
      </c>
      <c r="S8" t="s">
        <v>8</v>
      </c>
    </row>
    <row r="9" spans="1:19" x14ac:dyDescent="0.35">
      <c r="A9" t="s">
        <v>64</v>
      </c>
      <c r="B9" s="1">
        <v>45370</v>
      </c>
      <c r="C9" t="s">
        <v>65</v>
      </c>
      <c r="D9" t="s">
        <v>66</v>
      </c>
      <c r="E9" t="s">
        <v>30</v>
      </c>
      <c r="F9" t="s">
        <v>39</v>
      </c>
      <c r="G9" t="s">
        <v>43</v>
      </c>
      <c r="H9" t="s">
        <v>50</v>
      </c>
      <c r="I9">
        <v>12</v>
      </c>
      <c r="J9">
        <v>287.70999999999998</v>
      </c>
      <c r="K9">
        <v>0.15</v>
      </c>
      <c r="L9">
        <v>2934.64</v>
      </c>
      <c r="M9">
        <v>2474.59</v>
      </c>
      <c r="N9">
        <v>460.05</v>
      </c>
      <c r="O9" t="s">
        <v>33</v>
      </c>
      <c r="P9">
        <v>1</v>
      </c>
      <c r="R9" t="s">
        <v>67</v>
      </c>
      <c r="S9" t="s">
        <v>68</v>
      </c>
    </row>
    <row r="10" spans="1:19" x14ac:dyDescent="0.35">
      <c r="A10" t="s">
        <v>69</v>
      </c>
      <c r="B10" s="1">
        <v>45642</v>
      </c>
      <c r="C10" t="s">
        <v>70</v>
      </c>
      <c r="D10" t="s">
        <v>49</v>
      </c>
      <c r="E10" t="s">
        <v>30</v>
      </c>
      <c r="F10" t="s">
        <v>21</v>
      </c>
      <c r="G10" t="s">
        <v>22</v>
      </c>
      <c r="H10" t="s">
        <v>32</v>
      </c>
      <c r="I10">
        <v>8</v>
      </c>
      <c r="J10">
        <v>239.88</v>
      </c>
      <c r="K10">
        <v>0.1</v>
      </c>
      <c r="L10">
        <v>1727.14</v>
      </c>
      <c r="M10">
        <v>1346.5</v>
      </c>
      <c r="N10">
        <v>380.64</v>
      </c>
      <c r="O10" t="s">
        <v>33</v>
      </c>
      <c r="P10">
        <v>1</v>
      </c>
      <c r="R10" t="s">
        <v>71</v>
      </c>
      <c r="S10" t="s">
        <v>10</v>
      </c>
    </row>
    <row r="11" spans="1:19" x14ac:dyDescent="0.35">
      <c r="A11" t="s">
        <v>72</v>
      </c>
      <c r="B11" s="1">
        <v>45296</v>
      </c>
      <c r="C11" t="s">
        <v>73</v>
      </c>
      <c r="D11" t="s">
        <v>66</v>
      </c>
      <c r="E11" t="s">
        <v>30</v>
      </c>
      <c r="F11" t="s">
        <v>31</v>
      </c>
      <c r="G11" t="s">
        <v>22</v>
      </c>
      <c r="H11" t="s">
        <v>74</v>
      </c>
      <c r="I11">
        <v>9</v>
      </c>
      <c r="J11">
        <v>432.52</v>
      </c>
      <c r="K11">
        <v>0</v>
      </c>
      <c r="L11">
        <v>3892.68</v>
      </c>
      <c r="M11">
        <v>2059.29</v>
      </c>
      <c r="N11">
        <v>1833.39</v>
      </c>
      <c r="O11" t="s">
        <v>33</v>
      </c>
      <c r="P11">
        <v>1</v>
      </c>
      <c r="R11" t="s">
        <v>75</v>
      </c>
      <c r="S11" t="s">
        <v>76</v>
      </c>
    </row>
    <row r="12" spans="1:19" x14ac:dyDescent="0.35">
      <c r="A12" t="s">
        <v>77</v>
      </c>
      <c r="B12" s="1">
        <v>45304</v>
      </c>
      <c r="C12" t="s">
        <v>78</v>
      </c>
      <c r="D12" t="s">
        <v>37</v>
      </c>
      <c r="E12" t="s">
        <v>30</v>
      </c>
      <c r="F12" t="s">
        <v>31</v>
      </c>
      <c r="G12" t="s">
        <v>79</v>
      </c>
      <c r="H12" t="s">
        <v>80</v>
      </c>
      <c r="I12">
        <v>8</v>
      </c>
      <c r="J12">
        <v>49.31</v>
      </c>
      <c r="K12">
        <v>0.1</v>
      </c>
      <c r="L12">
        <v>355.03</v>
      </c>
      <c r="M12">
        <v>228.97</v>
      </c>
      <c r="N12">
        <v>126.06</v>
      </c>
      <c r="O12" t="s">
        <v>51</v>
      </c>
      <c r="P12">
        <v>3</v>
      </c>
      <c r="R12" t="s">
        <v>81</v>
      </c>
      <c r="S12" t="s">
        <v>82</v>
      </c>
    </row>
    <row r="13" spans="1:19" x14ac:dyDescent="0.35">
      <c r="A13" t="s">
        <v>83</v>
      </c>
      <c r="B13" s="1">
        <v>45490</v>
      </c>
      <c r="C13" t="s">
        <v>84</v>
      </c>
      <c r="D13" t="s">
        <v>66</v>
      </c>
      <c r="E13" t="s">
        <v>85</v>
      </c>
      <c r="F13" t="s">
        <v>31</v>
      </c>
      <c r="G13" t="s">
        <v>60</v>
      </c>
      <c r="H13" t="s">
        <v>61</v>
      </c>
      <c r="I13">
        <v>2</v>
      </c>
      <c r="J13">
        <v>991.46</v>
      </c>
      <c r="K13">
        <v>0</v>
      </c>
      <c r="L13">
        <v>1982.92</v>
      </c>
      <c r="M13">
        <v>1517.57</v>
      </c>
      <c r="N13">
        <v>465.35</v>
      </c>
      <c r="O13" t="s">
        <v>24</v>
      </c>
      <c r="P13">
        <v>4</v>
      </c>
      <c r="R13" t="s">
        <v>86</v>
      </c>
      <c r="S13" t="s">
        <v>13</v>
      </c>
    </row>
    <row r="14" spans="1:19" x14ac:dyDescent="0.35">
      <c r="A14" t="s">
        <v>87</v>
      </c>
      <c r="B14" s="1">
        <v>45593</v>
      </c>
      <c r="C14" t="s">
        <v>88</v>
      </c>
      <c r="D14" t="s">
        <v>19</v>
      </c>
      <c r="E14" t="s">
        <v>30</v>
      </c>
      <c r="F14" t="s">
        <v>31</v>
      </c>
      <c r="G14" t="s">
        <v>79</v>
      </c>
      <c r="H14" t="s">
        <v>89</v>
      </c>
      <c r="I14">
        <v>9</v>
      </c>
      <c r="J14">
        <v>1170.17</v>
      </c>
      <c r="K14">
        <v>0</v>
      </c>
      <c r="L14">
        <v>10531.53</v>
      </c>
      <c r="M14">
        <v>7586.56</v>
      </c>
      <c r="N14">
        <v>2944.97</v>
      </c>
      <c r="O14" t="s">
        <v>51</v>
      </c>
      <c r="P14">
        <v>4</v>
      </c>
      <c r="R14" t="s">
        <v>90</v>
      </c>
      <c r="S14" t="s">
        <v>91</v>
      </c>
    </row>
    <row r="15" spans="1:19" x14ac:dyDescent="0.35">
      <c r="A15" t="s">
        <v>92</v>
      </c>
      <c r="B15" s="1">
        <v>45306</v>
      </c>
      <c r="C15" t="s">
        <v>93</v>
      </c>
      <c r="D15" t="s">
        <v>37</v>
      </c>
      <c r="E15" t="s">
        <v>20</v>
      </c>
      <c r="F15" t="s">
        <v>39</v>
      </c>
      <c r="G15" t="s">
        <v>22</v>
      </c>
      <c r="H15" t="s">
        <v>23</v>
      </c>
      <c r="I15">
        <v>8</v>
      </c>
      <c r="J15">
        <v>1046.58</v>
      </c>
      <c r="K15">
        <v>0.15</v>
      </c>
      <c r="L15">
        <v>7116.74</v>
      </c>
      <c r="M15">
        <v>4315.1099999999997</v>
      </c>
      <c r="N15">
        <v>2801.63</v>
      </c>
      <c r="O15" t="s">
        <v>51</v>
      </c>
      <c r="P15">
        <v>3</v>
      </c>
      <c r="R15" t="s">
        <v>94</v>
      </c>
      <c r="S15" t="s">
        <v>95</v>
      </c>
    </row>
    <row r="16" spans="1:19" x14ac:dyDescent="0.35">
      <c r="A16" t="s">
        <v>96</v>
      </c>
      <c r="B16" s="1">
        <v>45551</v>
      </c>
      <c r="C16" t="s">
        <v>97</v>
      </c>
      <c r="D16" t="s">
        <v>37</v>
      </c>
      <c r="E16" t="s">
        <v>98</v>
      </c>
      <c r="F16" t="s">
        <v>39</v>
      </c>
      <c r="G16" t="s">
        <v>22</v>
      </c>
      <c r="H16" t="s">
        <v>23</v>
      </c>
      <c r="I16">
        <v>4</v>
      </c>
      <c r="J16">
        <v>1073.19</v>
      </c>
      <c r="K16">
        <v>0.1</v>
      </c>
      <c r="L16">
        <v>3863.48</v>
      </c>
      <c r="M16">
        <v>2057.3000000000002</v>
      </c>
      <c r="N16">
        <v>1806.18</v>
      </c>
      <c r="O16" t="s">
        <v>24</v>
      </c>
      <c r="P16">
        <v>4</v>
      </c>
    </row>
    <row r="17" spans="1:16" x14ac:dyDescent="0.35">
      <c r="A17" t="s">
        <v>99</v>
      </c>
      <c r="B17" s="1">
        <v>45581</v>
      </c>
      <c r="C17" t="s">
        <v>100</v>
      </c>
      <c r="D17" t="s">
        <v>37</v>
      </c>
      <c r="E17" t="s">
        <v>38</v>
      </c>
      <c r="F17" t="s">
        <v>21</v>
      </c>
      <c r="G17" t="s">
        <v>22</v>
      </c>
      <c r="H17" t="s">
        <v>74</v>
      </c>
      <c r="I17">
        <v>4</v>
      </c>
      <c r="J17">
        <v>611.11</v>
      </c>
      <c r="K17">
        <v>0</v>
      </c>
      <c r="L17">
        <v>2444.44</v>
      </c>
      <c r="M17">
        <v>1388.34</v>
      </c>
      <c r="N17">
        <v>1056.0999999999999</v>
      </c>
      <c r="O17" t="s">
        <v>24</v>
      </c>
      <c r="P17">
        <v>1</v>
      </c>
    </row>
    <row r="18" spans="1:16" x14ac:dyDescent="0.35">
      <c r="A18" t="s">
        <v>101</v>
      </c>
      <c r="B18" s="1">
        <v>45539</v>
      </c>
      <c r="C18" t="s">
        <v>102</v>
      </c>
      <c r="D18" t="s">
        <v>19</v>
      </c>
      <c r="E18" t="s">
        <v>30</v>
      </c>
      <c r="F18" t="s">
        <v>31</v>
      </c>
      <c r="G18" t="s">
        <v>79</v>
      </c>
      <c r="H18" t="s">
        <v>103</v>
      </c>
      <c r="I18">
        <v>9</v>
      </c>
      <c r="J18">
        <v>168.83</v>
      </c>
      <c r="K18">
        <v>0.05</v>
      </c>
      <c r="L18">
        <v>1443.5</v>
      </c>
      <c r="M18">
        <v>1118.9000000000001</v>
      </c>
      <c r="N18">
        <v>324.60000000000002</v>
      </c>
      <c r="O18" t="s">
        <v>24</v>
      </c>
      <c r="P18">
        <v>5</v>
      </c>
    </row>
    <row r="19" spans="1:16" x14ac:dyDescent="0.35">
      <c r="A19" t="s">
        <v>104</v>
      </c>
      <c r="B19" s="1">
        <v>45295</v>
      </c>
      <c r="C19" t="s">
        <v>105</v>
      </c>
      <c r="D19" t="s">
        <v>66</v>
      </c>
      <c r="E19" t="s">
        <v>20</v>
      </c>
      <c r="F19" t="s">
        <v>39</v>
      </c>
      <c r="G19" t="s">
        <v>43</v>
      </c>
      <c r="H19" t="s">
        <v>44</v>
      </c>
      <c r="I19">
        <v>7</v>
      </c>
      <c r="J19">
        <v>1098.25</v>
      </c>
      <c r="K19">
        <v>0.05</v>
      </c>
      <c r="L19">
        <v>7303.36</v>
      </c>
      <c r="M19">
        <v>5210.3100000000004</v>
      </c>
      <c r="N19">
        <v>2093.0500000000002</v>
      </c>
      <c r="O19" t="s">
        <v>24</v>
      </c>
      <c r="P19">
        <v>5</v>
      </c>
    </row>
    <row r="20" spans="1:16" x14ac:dyDescent="0.35">
      <c r="A20" t="s">
        <v>106</v>
      </c>
      <c r="B20" s="1">
        <v>45507</v>
      </c>
      <c r="C20" t="s">
        <v>107</v>
      </c>
      <c r="D20" t="s">
        <v>49</v>
      </c>
      <c r="E20" t="s">
        <v>85</v>
      </c>
      <c r="F20" t="s">
        <v>31</v>
      </c>
      <c r="G20" t="s">
        <v>22</v>
      </c>
      <c r="H20" t="s">
        <v>74</v>
      </c>
      <c r="I20">
        <v>6</v>
      </c>
      <c r="J20">
        <v>1035.3599999999999</v>
      </c>
      <c r="K20">
        <v>0.1</v>
      </c>
      <c r="L20">
        <v>5590.94</v>
      </c>
      <c r="M20">
        <v>4669.49</v>
      </c>
      <c r="N20">
        <v>921.45</v>
      </c>
      <c r="O20" t="s">
        <v>33</v>
      </c>
      <c r="P20">
        <v>3</v>
      </c>
    </row>
    <row r="21" spans="1:16" x14ac:dyDescent="0.35">
      <c r="A21" t="s">
        <v>108</v>
      </c>
      <c r="B21" s="1">
        <v>45484</v>
      </c>
      <c r="C21" t="s">
        <v>109</v>
      </c>
      <c r="D21" t="s">
        <v>66</v>
      </c>
      <c r="E21" t="s">
        <v>85</v>
      </c>
      <c r="F21" t="s">
        <v>31</v>
      </c>
      <c r="G21" t="s">
        <v>60</v>
      </c>
      <c r="H21" t="s">
        <v>110</v>
      </c>
      <c r="I21">
        <v>7</v>
      </c>
      <c r="J21">
        <v>1172.9000000000001</v>
      </c>
      <c r="K21">
        <v>0</v>
      </c>
      <c r="L21">
        <v>8210.2999999999993</v>
      </c>
      <c r="M21">
        <v>6523.65</v>
      </c>
      <c r="N21">
        <v>1686.65</v>
      </c>
      <c r="O21" t="s">
        <v>33</v>
      </c>
      <c r="P21">
        <v>3</v>
      </c>
    </row>
    <row r="22" spans="1:16" x14ac:dyDescent="0.35">
      <c r="A22" t="s">
        <v>111</v>
      </c>
      <c r="B22" s="1">
        <v>45486</v>
      </c>
      <c r="C22" t="s">
        <v>112</v>
      </c>
      <c r="D22" t="s">
        <v>29</v>
      </c>
      <c r="E22" t="s">
        <v>20</v>
      </c>
      <c r="F22" t="s">
        <v>39</v>
      </c>
      <c r="G22" t="s">
        <v>22</v>
      </c>
      <c r="H22" t="s">
        <v>23</v>
      </c>
      <c r="I22">
        <v>2</v>
      </c>
      <c r="J22">
        <v>1090.77</v>
      </c>
      <c r="K22">
        <v>0.1</v>
      </c>
      <c r="L22">
        <v>1963.39</v>
      </c>
      <c r="M22">
        <v>1019.43</v>
      </c>
      <c r="N22">
        <v>943.96</v>
      </c>
      <c r="O22" t="s">
        <v>24</v>
      </c>
      <c r="P22">
        <v>1</v>
      </c>
    </row>
    <row r="23" spans="1:16" x14ac:dyDescent="0.35">
      <c r="A23" t="s">
        <v>113</v>
      </c>
      <c r="B23" s="1">
        <v>45516</v>
      </c>
      <c r="C23" t="s">
        <v>114</v>
      </c>
      <c r="D23" t="s">
        <v>66</v>
      </c>
      <c r="E23" t="s">
        <v>20</v>
      </c>
      <c r="F23" t="s">
        <v>39</v>
      </c>
      <c r="G23" t="s">
        <v>43</v>
      </c>
      <c r="H23" t="s">
        <v>50</v>
      </c>
      <c r="I23">
        <v>12</v>
      </c>
      <c r="J23">
        <v>396.39</v>
      </c>
      <c r="K23">
        <v>0.15</v>
      </c>
      <c r="L23">
        <v>4043.18</v>
      </c>
      <c r="M23">
        <v>2397.89</v>
      </c>
      <c r="N23">
        <v>1645.29</v>
      </c>
      <c r="O23" t="s">
        <v>51</v>
      </c>
      <c r="P23">
        <v>4</v>
      </c>
    </row>
    <row r="24" spans="1:16" x14ac:dyDescent="0.35">
      <c r="A24" t="s">
        <v>115</v>
      </c>
      <c r="B24" s="1">
        <v>45546</v>
      </c>
      <c r="C24" t="s">
        <v>116</v>
      </c>
      <c r="D24" t="s">
        <v>37</v>
      </c>
      <c r="E24" t="s">
        <v>30</v>
      </c>
      <c r="F24" t="s">
        <v>21</v>
      </c>
      <c r="G24" t="s">
        <v>79</v>
      </c>
      <c r="H24" t="s">
        <v>80</v>
      </c>
      <c r="I24">
        <v>1</v>
      </c>
      <c r="J24">
        <v>226.82</v>
      </c>
      <c r="K24">
        <v>0</v>
      </c>
      <c r="L24">
        <v>226.82</v>
      </c>
      <c r="M24">
        <v>147.4</v>
      </c>
      <c r="N24">
        <v>79.42</v>
      </c>
      <c r="O24" t="s">
        <v>62</v>
      </c>
      <c r="P24">
        <v>4</v>
      </c>
    </row>
    <row r="25" spans="1:16" x14ac:dyDescent="0.35">
      <c r="A25" t="s">
        <v>117</v>
      </c>
      <c r="B25" s="1">
        <v>45308</v>
      </c>
      <c r="C25" t="s">
        <v>118</v>
      </c>
      <c r="D25" t="s">
        <v>19</v>
      </c>
      <c r="E25" t="s">
        <v>20</v>
      </c>
      <c r="F25" t="s">
        <v>21</v>
      </c>
      <c r="G25" t="s">
        <v>60</v>
      </c>
      <c r="H25" t="s">
        <v>119</v>
      </c>
      <c r="I25">
        <v>6</v>
      </c>
      <c r="J25">
        <v>1070.92</v>
      </c>
      <c r="K25">
        <v>0.05</v>
      </c>
      <c r="L25">
        <v>6104.24</v>
      </c>
      <c r="M25">
        <v>4329.08</v>
      </c>
      <c r="N25">
        <v>1775.16</v>
      </c>
      <c r="O25" t="s">
        <v>24</v>
      </c>
      <c r="P25">
        <v>5</v>
      </c>
    </row>
    <row r="26" spans="1:16" x14ac:dyDescent="0.35">
      <c r="A26" t="s">
        <v>120</v>
      </c>
      <c r="B26" s="1">
        <v>45437</v>
      </c>
      <c r="C26" t="s">
        <v>121</v>
      </c>
      <c r="D26" t="s">
        <v>37</v>
      </c>
      <c r="E26" t="s">
        <v>30</v>
      </c>
      <c r="F26" t="s">
        <v>39</v>
      </c>
      <c r="G26" t="s">
        <v>22</v>
      </c>
      <c r="H26" t="s">
        <v>23</v>
      </c>
      <c r="I26">
        <v>12</v>
      </c>
      <c r="J26">
        <v>469.94</v>
      </c>
      <c r="K26">
        <v>0</v>
      </c>
      <c r="L26">
        <v>5639.28</v>
      </c>
      <c r="M26">
        <v>4539.93</v>
      </c>
      <c r="N26">
        <v>1099.3499999999999</v>
      </c>
      <c r="O26" t="s">
        <v>33</v>
      </c>
      <c r="P26">
        <v>1</v>
      </c>
    </row>
    <row r="27" spans="1:16" x14ac:dyDescent="0.35">
      <c r="A27" t="s">
        <v>122</v>
      </c>
      <c r="B27" s="1">
        <v>45376</v>
      </c>
      <c r="C27" t="s">
        <v>123</v>
      </c>
      <c r="D27" t="s">
        <v>66</v>
      </c>
      <c r="E27" t="s">
        <v>98</v>
      </c>
      <c r="F27" t="s">
        <v>39</v>
      </c>
      <c r="G27" t="s">
        <v>22</v>
      </c>
      <c r="H27" t="s">
        <v>124</v>
      </c>
      <c r="I27">
        <v>11</v>
      </c>
      <c r="J27">
        <v>206.08</v>
      </c>
      <c r="K27">
        <v>0</v>
      </c>
      <c r="L27">
        <v>2266.88</v>
      </c>
      <c r="M27">
        <v>1347.22</v>
      </c>
      <c r="N27">
        <v>919.66</v>
      </c>
      <c r="O27" t="s">
        <v>33</v>
      </c>
      <c r="P27">
        <v>4</v>
      </c>
    </row>
    <row r="28" spans="1:16" x14ac:dyDescent="0.35">
      <c r="A28" t="s">
        <v>125</v>
      </c>
      <c r="B28" s="1">
        <v>45577</v>
      </c>
      <c r="C28" t="s">
        <v>126</v>
      </c>
      <c r="D28" t="s">
        <v>49</v>
      </c>
      <c r="E28" t="s">
        <v>98</v>
      </c>
      <c r="F28" t="s">
        <v>21</v>
      </c>
      <c r="G28" t="s">
        <v>60</v>
      </c>
      <c r="H28" t="s">
        <v>119</v>
      </c>
      <c r="I28">
        <v>9</v>
      </c>
      <c r="J28">
        <v>119.67</v>
      </c>
      <c r="K28">
        <v>0.15</v>
      </c>
      <c r="L28">
        <v>915.48</v>
      </c>
      <c r="M28">
        <v>654.11</v>
      </c>
      <c r="N28">
        <v>261.37</v>
      </c>
      <c r="O28" t="s">
        <v>62</v>
      </c>
      <c r="P28">
        <v>4</v>
      </c>
    </row>
    <row r="29" spans="1:16" x14ac:dyDescent="0.35">
      <c r="A29" t="s">
        <v>127</v>
      </c>
      <c r="B29" s="1">
        <v>45515</v>
      </c>
      <c r="C29" t="s">
        <v>128</v>
      </c>
      <c r="D29" t="s">
        <v>66</v>
      </c>
      <c r="E29" t="s">
        <v>85</v>
      </c>
      <c r="F29" t="s">
        <v>31</v>
      </c>
      <c r="G29" t="s">
        <v>43</v>
      </c>
      <c r="H29" t="s">
        <v>44</v>
      </c>
      <c r="I29">
        <v>2</v>
      </c>
      <c r="J29">
        <v>81.58</v>
      </c>
      <c r="K29">
        <v>0.15</v>
      </c>
      <c r="L29">
        <v>138.69</v>
      </c>
      <c r="M29">
        <v>106.32</v>
      </c>
      <c r="N29">
        <v>32.369999999999997</v>
      </c>
      <c r="O29" t="s">
        <v>33</v>
      </c>
      <c r="P29">
        <v>2</v>
      </c>
    </row>
    <row r="30" spans="1:16" x14ac:dyDescent="0.35">
      <c r="A30" t="s">
        <v>129</v>
      </c>
      <c r="B30" s="1">
        <v>45329</v>
      </c>
      <c r="C30" t="s">
        <v>130</v>
      </c>
      <c r="D30" t="s">
        <v>19</v>
      </c>
      <c r="E30" t="s">
        <v>38</v>
      </c>
      <c r="F30" t="s">
        <v>31</v>
      </c>
      <c r="G30" t="s">
        <v>60</v>
      </c>
      <c r="H30" t="s">
        <v>110</v>
      </c>
      <c r="I30">
        <v>4</v>
      </c>
      <c r="J30">
        <v>1167.1500000000001</v>
      </c>
      <c r="K30">
        <v>0.05</v>
      </c>
      <c r="L30">
        <v>4435.17</v>
      </c>
      <c r="M30">
        <v>3630.22</v>
      </c>
      <c r="N30">
        <v>804.95</v>
      </c>
      <c r="O30" t="s">
        <v>33</v>
      </c>
      <c r="P30">
        <v>3</v>
      </c>
    </row>
    <row r="31" spans="1:16" x14ac:dyDescent="0.35">
      <c r="A31" t="s">
        <v>131</v>
      </c>
      <c r="B31" s="1">
        <v>45387</v>
      </c>
      <c r="C31" t="s">
        <v>132</v>
      </c>
      <c r="D31" t="s">
        <v>49</v>
      </c>
      <c r="E31" t="s">
        <v>38</v>
      </c>
      <c r="F31" t="s">
        <v>39</v>
      </c>
      <c r="G31" t="s">
        <v>22</v>
      </c>
      <c r="H31" t="s">
        <v>74</v>
      </c>
      <c r="I31">
        <v>4</v>
      </c>
      <c r="J31">
        <v>879.62</v>
      </c>
      <c r="K31">
        <v>0.15</v>
      </c>
      <c r="L31">
        <v>2990.71</v>
      </c>
      <c r="M31">
        <v>2226.85</v>
      </c>
      <c r="N31">
        <v>763.86</v>
      </c>
      <c r="O31" t="s">
        <v>24</v>
      </c>
      <c r="P31">
        <v>2</v>
      </c>
    </row>
    <row r="32" spans="1:16" x14ac:dyDescent="0.35">
      <c r="A32" t="s">
        <v>133</v>
      </c>
      <c r="B32" s="1">
        <v>45631</v>
      </c>
      <c r="C32" t="s">
        <v>134</v>
      </c>
      <c r="D32" t="s">
        <v>19</v>
      </c>
      <c r="E32" t="s">
        <v>30</v>
      </c>
      <c r="F32" t="s">
        <v>21</v>
      </c>
      <c r="G32" t="s">
        <v>22</v>
      </c>
      <c r="H32" t="s">
        <v>23</v>
      </c>
      <c r="I32">
        <v>3</v>
      </c>
      <c r="J32">
        <v>564.41999999999996</v>
      </c>
      <c r="K32">
        <v>0.15</v>
      </c>
      <c r="L32">
        <v>1439.27</v>
      </c>
      <c r="M32">
        <v>831.49</v>
      </c>
      <c r="N32">
        <v>607.78</v>
      </c>
      <c r="O32" t="s">
        <v>51</v>
      </c>
      <c r="P32">
        <v>4</v>
      </c>
    </row>
    <row r="33" spans="1:16" x14ac:dyDescent="0.35">
      <c r="A33" t="s">
        <v>135</v>
      </c>
      <c r="B33" s="1">
        <v>45346</v>
      </c>
      <c r="C33" t="s">
        <v>136</v>
      </c>
      <c r="D33" t="s">
        <v>37</v>
      </c>
      <c r="E33" t="s">
        <v>38</v>
      </c>
      <c r="F33" t="s">
        <v>39</v>
      </c>
      <c r="G33" t="s">
        <v>22</v>
      </c>
      <c r="H33" t="s">
        <v>124</v>
      </c>
      <c r="I33">
        <v>1</v>
      </c>
      <c r="J33">
        <v>351.28</v>
      </c>
      <c r="K33">
        <v>0.15</v>
      </c>
      <c r="L33">
        <v>298.58999999999997</v>
      </c>
      <c r="M33">
        <v>225.71</v>
      </c>
      <c r="N33">
        <v>72.88</v>
      </c>
      <c r="O33" t="s">
        <v>24</v>
      </c>
      <c r="P33">
        <v>5</v>
      </c>
    </row>
    <row r="34" spans="1:16" x14ac:dyDescent="0.35">
      <c r="A34" t="s">
        <v>137</v>
      </c>
      <c r="B34" s="1">
        <v>45316</v>
      </c>
      <c r="C34" t="s">
        <v>138</v>
      </c>
      <c r="D34" t="s">
        <v>29</v>
      </c>
      <c r="E34" t="s">
        <v>20</v>
      </c>
      <c r="F34" t="s">
        <v>31</v>
      </c>
      <c r="G34" t="s">
        <v>22</v>
      </c>
      <c r="H34" t="s">
        <v>124</v>
      </c>
      <c r="I34">
        <v>9</v>
      </c>
      <c r="J34">
        <v>430.08</v>
      </c>
      <c r="K34">
        <v>0.1</v>
      </c>
      <c r="L34">
        <v>3483.65</v>
      </c>
      <c r="M34">
        <v>2001.99</v>
      </c>
      <c r="N34">
        <v>1481.66</v>
      </c>
      <c r="O34" t="s">
        <v>24</v>
      </c>
      <c r="P34">
        <v>1</v>
      </c>
    </row>
    <row r="35" spans="1:16" x14ac:dyDescent="0.35">
      <c r="A35" t="s">
        <v>139</v>
      </c>
      <c r="B35" s="1">
        <v>45294</v>
      </c>
      <c r="C35" t="s">
        <v>140</v>
      </c>
      <c r="D35" t="s">
        <v>37</v>
      </c>
      <c r="E35" t="s">
        <v>38</v>
      </c>
      <c r="F35" t="s">
        <v>39</v>
      </c>
      <c r="G35" t="s">
        <v>60</v>
      </c>
      <c r="H35" t="s">
        <v>119</v>
      </c>
      <c r="I35">
        <v>3</v>
      </c>
      <c r="J35">
        <v>508.36</v>
      </c>
      <c r="K35">
        <v>0.15</v>
      </c>
      <c r="L35">
        <v>1296.32</v>
      </c>
      <c r="M35">
        <v>711.94</v>
      </c>
      <c r="N35">
        <v>584.38</v>
      </c>
      <c r="O35" t="s">
        <v>62</v>
      </c>
      <c r="P35">
        <v>1</v>
      </c>
    </row>
    <row r="36" spans="1:16" x14ac:dyDescent="0.35">
      <c r="A36" t="s">
        <v>141</v>
      </c>
      <c r="B36" s="1">
        <v>45322</v>
      </c>
      <c r="C36" t="s">
        <v>142</v>
      </c>
      <c r="D36" t="s">
        <v>29</v>
      </c>
      <c r="E36" t="s">
        <v>98</v>
      </c>
      <c r="F36" t="s">
        <v>31</v>
      </c>
      <c r="G36" t="s">
        <v>60</v>
      </c>
      <c r="H36" t="s">
        <v>110</v>
      </c>
      <c r="I36">
        <v>8</v>
      </c>
      <c r="J36">
        <v>521.94000000000005</v>
      </c>
      <c r="K36">
        <v>0.05</v>
      </c>
      <c r="L36">
        <v>3966.74</v>
      </c>
      <c r="M36">
        <v>2901.5</v>
      </c>
      <c r="N36">
        <v>1065.24</v>
      </c>
      <c r="O36" t="s">
        <v>33</v>
      </c>
      <c r="P36">
        <v>1</v>
      </c>
    </row>
    <row r="37" spans="1:16" x14ac:dyDescent="0.35">
      <c r="A37" t="s">
        <v>143</v>
      </c>
      <c r="B37" s="1">
        <v>45412</v>
      </c>
      <c r="C37" t="s">
        <v>144</v>
      </c>
      <c r="D37" t="s">
        <v>19</v>
      </c>
      <c r="E37" t="s">
        <v>85</v>
      </c>
      <c r="F37" t="s">
        <v>21</v>
      </c>
      <c r="G37" t="s">
        <v>60</v>
      </c>
      <c r="H37" t="s">
        <v>61</v>
      </c>
      <c r="I37">
        <v>1</v>
      </c>
      <c r="J37">
        <v>437.13</v>
      </c>
      <c r="K37">
        <v>0.05</v>
      </c>
      <c r="L37">
        <v>415.27</v>
      </c>
      <c r="M37">
        <v>326.37</v>
      </c>
      <c r="N37">
        <v>88.9</v>
      </c>
      <c r="O37" t="s">
        <v>51</v>
      </c>
      <c r="P37">
        <v>1</v>
      </c>
    </row>
    <row r="38" spans="1:16" x14ac:dyDescent="0.35">
      <c r="A38" t="s">
        <v>145</v>
      </c>
      <c r="B38" s="1">
        <v>45323</v>
      </c>
      <c r="C38" t="s">
        <v>146</v>
      </c>
      <c r="D38" t="s">
        <v>29</v>
      </c>
      <c r="E38" t="s">
        <v>20</v>
      </c>
      <c r="F38" t="s">
        <v>31</v>
      </c>
      <c r="G38" t="s">
        <v>22</v>
      </c>
      <c r="H38" t="s">
        <v>23</v>
      </c>
      <c r="I38">
        <v>6</v>
      </c>
      <c r="J38">
        <v>806.29</v>
      </c>
      <c r="K38">
        <v>0.1</v>
      </c>
      <c r="L38">
        <v>4353.97</v>
      </c>
      <c r="M38">
        <v>3376.12</v>
      </c>
      <c r="N38">
        <v>977.85</v>
      </c>
      <c r="O38" t="s">
        <v>62</v>
      </c>
      <c r="P38">
        <v>2</v>
      </c>
    </row>
    <row r="39" spans="1:16" x14ac:dyDescent="0.35">
      <c r="A39" t="s">
        <v>147</v>
      </c>
      <c r="B39" s="1">
        <v>45601</v>
      </c>
      <c r="C39" t="s">
        <v>148</v>
      </c>
      <c r="D39" t="s">
        <v>66</v>
      </c>
      <c r="E39" t="s">
        <v>85</v>
      </c>
      <c r="F39" t="s">
        <v>39</v>
      </c>
      <c r="G39" t="s">
        <v>79</v>
      </c>
      <c r="H39" t="s">
        <v>89</v>
      </c>
      <c r="I39">
        <v>3</v>
      </c>
      <c r="J39">
        <v>673.23</v>
      </c>
      <c r="K39">
        <v>0</v>
      </c>
      <c r="L39">
        <v>2019.69</v>
      </c>
      <c r="M39">
        <v>1564.75</v>
      </c>
      <c r="N39">
        <v>454.94</v>
      </c>
      <c r="O39" t="s">
        <v>24</v>
      </c>
      <c r="P39">
        <v>3</v>
      </c>
    </row>
    <row r="40" spans="1:16" x14ac:dyDescent="0.35">
      <c r="A40" t="s">
        <v>149</v>
      </c>
      <c r="B40" s="1">
        <v>45293</v>
      </c>
      <c r="C40" t="s">
        <v>150</v>
      </c>
      <c r="D40" t="s">
        <v>49</v>
      </c>
      <c r="E40" t="s">
        <v>20</v>
      </c>
      <c r="F40" t="s">
        <v>31</v>
      </c>
      <c r="G40" t="s">
        <v>60</v>
      </c>
      <c r="H40" t="s">
        <v>119</v>
      </c>
      <c r="I40">
        <v>1</v>
      </c>
      <c r="J40">
        <v>727.16</v>
      </c>
      <c r="K40">
        <v>0.1</v>
      </c>
      <c r="L40">
        <v>654.44000000000005</v>
      </c>
      <c r="M40">
        <v>399.02</v>
      </c>
      <c r="N40">
        <v>255.42</v>
      </c>
      <c r="O40" t="s">
        <v>24</v>
      </c>
      <c r="P40">
        <v>1</v>
      </c>
    </row>
    <row r="41" spans="1:16" x14ac:dyDescent="0.35">
      <c r="A41" t="s">
        <v>151</v>
      </c>
      <c r="B41" s="1">
        <v>45597</v>
      </c>
      <c r="C41" t="s">
        <v>152</v>
      </c>
      <c r="D41" t="s">
        <v>66</v>
      </c>
      <c r="E41" t="s">
        <v>98</v>
      </c>
      <c r="F41" t="s">
        <v>39</v>
      </c>
      <c r="G41" t="s">
        <v>43</v>
      </c>
      <c r="H41" t="s">
        <v>50</v>
      </c>
      <c r="I41">
        <v>3</v>
      </c>
      <c r="J41">
        <v>735.91</v>
      </c>
      <c r="K41">
        <v>0.15</v>
      </c>
      <c r="L41">
        <v>1876.57</v>
      </c>
      <c r="M41">
        <v>1503.2</v>
      </c>
      <c r="N41">
        <v>373.37</v>
      </c>
      <c r="O41" t="s">
        <v>62</v>
      </c>
      <c r="P41">
        <v>2</v>
      </c>
    </row>
    <row r="42" spans="1:16" x14ac:dyDescent="0.35">
      <c r="A42" t="s">
        <v>153</v>
      </c>
      <c r="B42" s="1">
        <v>45575</v>
      </c>
      <c r="C42" t="s">
        <v>154</v>
      </c>
      <c r="D42" t="s">
        <v>66</v>
      </c>
      <c r="E42" t="s">
        <v>98</v>
      </c>
      <c r="F42" t="s">
        <v>39</v>
      </c>
      <c r="G42" t="s">
        <v>60</v>
      </c>
      <c r="H42" t="s">
        <v>61</v>
      </c>
      <c r="I42">
        <v>6</v>
      </c>
      <c r="J42">
        <v>518.57000000000005</v>
      </c>
      <c r="K42">
        <v>0.15</v>
      </c>
      <c r="L42">
        <v>2644.71</v>
      </c>
      <c r="M42">
        <v>1584.59</v>
      </c>
      <c r="N42">
        <v>1060.1199999999999</v>
      </c>
      <c r="O42" t="s">
        <v>62</v>
      </c>
      <c r="P42">
        <v>3</v>
      </c>
    </row>
    <row r="43" spans="1:16" x14ac:dyDescent="0.35">
      <c r="A43" t="s">
        <v>155</v>
      </c>
      <c r="B43" s="1">
        <v>45657</v>
      </c>
      <c r="C43" t="s">
        <v>156</v>
      </c>
      <c r="D43" t="s">
        <v>66</v>
      </c>
      <c r="E43" t="s">
        <v>38</v>
      </c>
      <c r="F43" t="s">
        <v>39</v>
      </c>
      <c r="G43" t="s">
        <v>22</v>
      </c>
      <c r="H43" t="s">
        <v>32</v>
      </c>
      <c r="I43">
        <v>4</v>
      </c>
      <c r="J43">
        <v>444.97</v>
      </c>
      <c r="K43">
        <v>0</v>
      </c>
      <c r="L43">
        <v>1779.88</v>
      </c>
      <c r="M43">
        <v>974.9</v>
      </c>
      <c r="N43">
        <v>804.98</v>
      </c>
      <c r="O43" t="s">
        <v>62</v>
      </c>
      <c r="P43">
        <v>1</v>
      </c>
    </row>
    <row r="44" spans="1:16" x14ac:dyDescent="0.35">
      <c r="A44" t="s">
        <v>157</v>
      </c>
      <c r="B44" s="1">
        <v>45609</v>
      </c>
      <c r="C44" t="s">
        <v>158</v>
      </c>
      <c r="D44" t="s">
        <v>49</v>
      </c>
      <c r="E44" t="s">
        <v>20</v>
      </c>
      <c r="F44" t="s">
        <v>21</v>
      </c>
      <c r="G44" t="s">
        <v>79</v>
      </c>
      <c r="H44" t="s">
        <v>89</v>
      </c>
      <c r="I44">
        <v>5</v>
      </c>
      <c r="J44">
        <v>439.77</v>
      </c>
      <c r="K44">
        <v>0.1</v>
      </c>
      <c r="L44">
        <v>1978.96</v>
      </c>
      <c r="M44">
        <v>1273.98</v>
      </c>
      <c r="N44">
        <v>704.98</v>
      </c>
      <c r="O44" t="s">
        <v>62</v>
      </c>
      <c r="P44">
        <v>5</v>
      </c>
    </row>
    <row r="45" spans="1:16" x14ac:dyDescent="0.35">
      <c r="A45" t="s">
        <v>159</v>
      </c>
      <c r="B45" s="1">
        <v>45412</v>
      </c>
      <c r="C45" t="s">
        <v>160</v>
      </c>
      <c r="D45" t="s">
        <v>29</v>
      </c>
      <c r="E45" t="s">
        <v>38</v>
      </c>
      <c r="F45" t="s">
        <v>31</v>
      </c>
      <c r="G45" t="s">
        <v>22</v>
      </c>
      <c r="H45" t="s">
        <v>23</v>
      </c>
      <c r="I45">
        <v>5</v>
      </c>
      <c r="J45">
        <v>961.1</v>
      </c>
      <c r="K45">
        <v>0.1</v>
      </c>
      <c r="L45">
        <v>4324.95</v>
      </c>
      <c r="M45">
        <v>2827.77</v>
      </c>
      <c r="N45">
        <v>1497.18</v>
      </c>
      <c r="O45" t="s">
        <v>62</v>
      </c>
      <c r="P45">
        <v>4</v>
      </c>
    </row>
    <row r="46" spans="1:16" x14ac:dyDescent="0.35">
      <c r="A46" t="s">
        <v>161</v>
      </c>
      <c r="B46" s="1">
        <v>45504</v>
      </c>
      <c r="C46" t="s">
        <v>162</v>
      </c>
      <c r="D46" t="s">
        <v>37</v>
      </c>
      <c r="E46" t="s">
        <v>98</v>
      </c>
      <c r="F46" t="s">
        <v>31</v>
      </c>
      <c r="G46" t="s">
        <v>43</v>
      </c>
      <c r="H46" t="s">
        <v>44</v>
      </c>
      <c r="I46">
        <v>11</v>
      </c>
      <c r="J46">
        <v>224.55</v>
      </c>
      <c r="K46">
        <v>0.05</v>
      </c>
      <c r="L46">
        <v>2346.5500000000002</v>
      </c>
      <c r="M46">
        <v>1491.46</v>
      </c>
      <c r="N46">
        <v>855.09</v>
      </c>
      <c r="O46" t="s">
        <v>33</v>
      </c>
      <c r="P46">
        <v>2</v>
      </c>
    </row>
    <row r="47" spans="1:16" x14ac:dyDescent="0.35">
      <c r="A47" t="s">
        <v>163</v>
      </c>
      <c r="B47" s="1">
        <v>45491</v>
      </c>
      <c r="C47" t="s">
        <v>164</v>
      </c>
      <c r="D47" t="s">
        <v>49</v>
      </c>
      <c r="E47" t="s">
        <v>38</v>
      </c>
      <c r="F47" t="s">
        <v>31</v>
      </c>
      <c r="G47" t="s">
        <v>22</v>
      </c>
      <c r="H47" t="s">
        <v>32</v>
      </c>
      <c r="I47">
        <v>9</v>
      </c>
      <c r="J47">
        <v>327.35000000000002</v>
      </c>
      <c r="K47">
        <v>0.05</v>
      </c>
      <c r="L47">
        <v>2798.84</v>
      </c>
      <c r="M47">
        <v>2160.9499999999998</v>
      </c>
      <c r="N47">
        <v>637.89</v>
      </c>
      <c r="O47" t="s">
        <v>62</v>
      </c>
      <c r="P47">
        <v>5</v>
      </c>
    </row>
    <row r="48" spans="1:16" x14ac:dyDescent="0.35">
      <c r="A48" t="s">
        <v>165</v>
      </c>
      <c r="B48" s="1">
        <v>45451</v>
      </c>
      <c r="C48" t="s">
        <v>166</v>
      </c>
      <c r="D48" t="s">
        <v>66</v>
      </c>
      <c r="E48" t="s">
        <v>20</v>
      </c>
      <c r="F48" t="s">
        <v>21</v>
      </c>
      <c r="G48" t="s">
        <v>43</v>
      </c>
      <c r="H48" t="s">
        <v>44</v>
      </c>
      <c r="I48">
        <v>10</v>
      </c>
      <c r="J48">
        <v>73.739999999999995</v>
      </c>
      <c r="K48">
        <v>0.05</v>
      </c>
      <c r="L48">
        <v>700.53</v>
      </c>
      <c r="M48">
        <v>564.80999999999995</v>
      </c>
      <c r="N48">
        <v>135.72</v>
      </c>
      <c r="O48" t="s">
        <v>24</v>
      </c>
      <c r="P48">
        <v>1</v>
      </c>
    </row>
    <row r="49" spans="1:16" x14ac:dyDescent="0.35">
      <c r="A49" t="s">
        <v>167</v>
      </c>
      <c r="B49" s="1">
        <v>45546</v>
      </c>
      <c r="C49" t="s">
        <v>168</v>
      </c>
      <c r="D49" t="s">
        <v>29</v>
      </c>
      <c r="E49" t="s">
        <v>30</v>
      </c>
      <c r="F49" t="s">
        <v>31</v>
      </c>
      <c r="G49" t="s">
        <v>60</v>
      </c>
      <c r="H49" t="s">
        <v>119</v>
      </c>
      <c r="I49">
        <v>5</v>
      </c>
      <c r="J49">
        <v>1057.47</v>
      </c>
      <c r="K49">
        <v>0.05</v>
      </c>
      <c r="L49">
        <v>5022.9799999999996</v>
      </c>
      <c r="M49">
        <v>3262.13</v>
      </c>
      <c r="N49">
        <v>1760.85</v>
      </c>
      <c r="O49" t="s">
        <v>51</v>
      </c>
      <c r="P49">
        <v>2</v>
      </c>
    </row>
    <row r="50" spans="1:16" x14ac:dyDescent="0.35">
      <c r="A50" t="s">
        <v>169</v>
      </c>
      <c r="B50" s="1">
        <v>45514</v>
      </c>
      <c r="C50" t="s">
        <v>170</v>
      </c>
      <c r="D50" t="s">
        <v>66</v>
      </c>
      <c r="E50" t="s">
        <v>85</v>
      </c>
      <c r="F50" t="s">
        <v>31</v>
      </c>
      <c r="G50" t="s">
        <v>22</v>
      </c>
      <c r="H50" t="s">
        <v>32</v>
      </c>
      <c r="I50">
        <v>2</v>
      </c>
      <c r="J50">
        <v>544.28</v>
      </c>
      <c r="K50">
        <v>0.05</v>
      </c>
      <c r="L50">
        <v>1034.1300000000001</v>
      </c>
      <c r="M50">
        <v>662.1</v>
      </c>
      <c r="N50">
        <v>372.03</v>
      </c>
      <c r="O50" t="s">
        <v>51</v>
      </c>
      <c r="P50">
        <v>1</v>
      </c>
    </row>
    <row r="51" spans="1:16" x14ac:dyDescent="0.35">
      <c r="A51" t="s">
        <v>171</v>
      </c>
      <c r="B51" s="1">
        <v>45310</v>
      </c>
      <c r="C51" t="s">
        <v>172</v>
      </c>
      <c r="D51" t="s">
        <v>37</v>
      </c>
      <c r="E51" t="s">
        <v>20</v>
      </c>
      <c r="F51" t="s">
        <v>31</v>
      </c>
      <c r="G51" t="s">
        <v>43</v>
      </c>
      <c r="H51" t="s">
        <v>173</v>
      </c>
      <c r="I51">
        <v>9</v>
      </c>
      <c r="J51">
        <v>1111.72</v>
      </c>
      <c r="K51">
        <v>0</v>
      </c>
      <c r="L51">
        <v>10005.48</v>
      </c>
      <c r="M51">
        <v>5731.95</v>
      </c>
      <c r="N51">
        <v>4273.53</v>
      </c>
      <c r="O51" t="s">
        <v>62</v>
      </c>
      <c r="P51">
        <v>4</v>
      </c>
    </row>
    <row r="52" spans="1:16" x14ac:dyDescent="0.35">
      <c r="A52" t="s">
        <v>174</v>
      </c>
      <c r="B52" s="1">
        <v>45499</v>
      </c>
      <c r="C52" t="s">
        <v>175</v>
      </c>
      <c r="D52" t="s">
        <v>19</v>
      </c>
      <c r="E52" t="s">
        <v>38</v>
      </c>
      <c r="F52" t="s">
        <v>31</v>
      </c>
      <c r="G52" t="s">
        <v>43</v>
      </c>
      <c r="H52" t="s">
        <v>50</v>
      </c>
      <c r="I52">
        <v>7</v>
      </c>
      <c r="J52">
        <v>407.17</v>
      </c>
      <c r="K52">
        <v>0.05</v>
      </c>
      <c r="L52">
        <v>2707.68</v>
      </c>
      <c r="M52">
        <v>1963.13</v>
      </c>
      <c r="N52">
        <v>744.55</v>
      </c>
      <c r="O52" t="s">
        <v>62</v>
      </c>
      <c r="P52">
        <v>2</v>
      </c>
    </row>
    <row r="53" spans="1:16" x14ac:dyDescent="0.35">
      <c r="A53" t="s">
        <v>176</v>
      </c>
      <c r="B53" s="1">
        <v>45507</v>
      </c>
      <c r="C53" t="s">
        <v>177</v>
      </c>
      <c r="D53" t="s">
        <v>49</v>
      </c>
      <c r="E53" t="s">
        <v>85</v>
      </c>
      <c r="F53" t="s">
        <v>39</v>
      </c>
      <c r="G53" t="s">
        <v>60</v>
      </c>
      <c r="H53" t="s">
        <v>61</v>
      </c>
      <c r="I53">
        <v>11</v>
      </c>
      <c r="J53">
        <v>171.77</v>
      </c>
      <c r="K53">
        <v>0.1</v>
      </c>
      <c r="L53">
        <v>1700.52</v>
      </c>
      <c r="M53">
        <v>1067.3800000000001</v>
      </c>
      <c r="N53">
        <v>633.14</v>
      </c>
      <c r="O53" t="s">
        <v>51</v>
      </c>
      <c r="P53">
        <v>5</v>
      </c>
    </row>
    <row r="54" spans="1:16" x14ac:dyDescent="0.35">
      <c r="A54" t="s">
        <v>178</v>
      </c>
      <c r="B54" s="1">
        <v>45597</v>
      </c>
      <c r="C54" t="s">
        <v>179</v>
      </c>
      <c r="D54" t="s">
        <v>66</v>
      </c>
      <c r="E54" t="s">
        <v>38</v>
      </c>
      <c r="F54" t="s">
        <v>39</v>
      </c>
      <c r="G54" t="s">
        <v>22</v>
      </c>
      <c r="H54" t="s">
        <v>74</v>
      </c>
      <c r="I54">
        <v>10</v>
      </c>
      <c r="J54">
        <v>728.65</v>
      </c>
      <c r="K54">
        <v>0.05</v>
      </c>
      <c r="L54">
        <v>6922.17</v>
      </c>
      <c r="M54">
        <v>4720.3</v>
      </c>
      <c r="N54">
        <v>2201.87</v>
      </c>
      <c r="O54" t="s">
        <v>51</v>
      </c>
      <c r="P54">
        <v>5</v>
      </c>
    </row>
    <row r="55" spans="1:16" x14ac:dyDescent="0.35">
      <c r="A55" t="s">
        <v>180</v>
      </c>
      <c r="B55" s="1">
        <v>45437</v>
      </c>
      <c r="C55" t="s">
        <v>181</v>
      </c>
      <c r="D55" t="s">
        <v>66</v>
      </c>
      <c r="E55" t="s">
        <v>20</v>
      </c>
      <c r="F55" t="s">
        <v>21</v>
      </c>
      <c r="G55" t="s">
        <v>43</v>
      </c>
      <c r="H55" t="s">
        <v>173</v>
      </c>
      <c r="I55">
        <v>6</v>
      </c>
      <c r="J55">
        <v>362.55</v>
      </c>
      <c r="K55">
        <v>0.15</v>
      </c>
      <c r="L55">
        <v>1849.01</v>
      </c>
      <c r="M55">
        <v>1166.2</v>
      </c>
      <c r="N55">
        <v>682.81</v>
      </c>
      <c r="O55" t="s">
        <v>24</v>
      </c>
      <c r="P55">
        <v>2</v>
      </c>
    </row>
    <row r="56" spans="1:16" x14ac:dyDescent="0.35">
      <c r="A56" t="s">
        <v>182</v>
      </c>
      <c r="B56" s="1">
        <v>45482</v>
      </c>
      <c r="C56" t="s">
        <v>183</v>
      </c>
      <c r="D56" t="s">
        <v>19</v>
      </c>
      <c r="E56" t="s">
        <v>98</v>
      </c>
      <c r="F56" t="s">
        <v>31</v>
      </c>
      <c r="G56" t="s">
        <v>60</v>
      </c>
      <c r="H56" t="s">
        <v>110</v>
      </c>
      <c r="I56">
        <v>6</v>
      </c>
      <c r="J56">
        <v>72.34</v>
      </c>
      <c r="K56">
        <v>0</v>
      </c>
      <c r="L56">
        <v>434.04</v>
      </c>
      <c r="M56">
        <v>291.58</v>
      </c>
      <c r="N56">
        <v>142.46</v>
      </c>
      <c r="O56" t="s">
        <v>62</v>
      </c>
      <c r="P56">
        <v>2</v>
      </c>
    </row>
    <row r="57" spans="1:16" x14ac:dyDescent="0.35">
      <c r="A57" t="s">
        <v>184</v>
      </c>
      <c r="B57" s="1">
        <v>45541</v>
      </c>
      <c r="C57" t="s">
        <v>185</v>
      </c>
      <c r="D57" t="s">
        <v>66</v>
      </c>
      <c r="E57" t="s">
        <v>98</v>
      </c>
      <c r="F57" t="s">
        <v>21</v>
      </c>
      <c r="G57" t="s">
        <v>43</v>
      </c>
      <c r="H57" t="s">
        <v>173</v>
      </c>
      <c r="I57">
        <v>9</v>
      </c>
      <c r="J57">
        <v>818.76</v>
      </c>
      <c r="K57">
        <v>0</v>
      </c>
      <c r="L57">
        <v>7368.84</v>
      </c>
      <c r="M57">
        <v>5653.66</v>
      </c>
      <c r="N57">
        <v>1715.18</v>
      </c>
      <c r="O57" t="s">
        <v>33</v>
      </c>
      <c r="P57">
        <v>3</v>
      </c>
    </row>
    <row r="58" spans="1:16" x14ac:dyDescent="0.35">
      <c r="A58" t="s">
        <v>186</v>
      </c>
      <c r="B58" s="1">
        <v>45538</v>
      </c>
      <c r="C58" t="s">
        <v>187</v>
      </c>
      <c r="D58" t="s">
        <v>37</v>
      </c>
      <c r="E58" t="s">
        <v>98</v>
      </c>
      <c r="F58" t="s">
        <v>31</v>
      </c>
      <c r="G58" t="s">
        <v>79</v>
      </c>
      <c r="H58" t="s">
        <v>103</v>
      </c>
      <c r="I58">
        <v>11</v>
      </c>
      <c r="J58">
        <v>1014.57</v>
      </c>
      <c r="K58">
        <v>0.1</v>
      </c>
      <c r="L58">
        <v>10044.24</v>
      </c>
      <c r="M58">
        <v>6209.8</v>
      </c>
      <c r="N58">
        <v>3834.44</v>
      </c>
      <c r="O58" t="s">
        <v>62</v>
      </c>
      <c r="P58">
        <v>5</v>
      </c>
    </row>
    <row r="59" spans="1:16" x14ac:dyDescent="0.35">
      <c r="A59" t="s">
        <v>188</v>
      </c>
      <c r="B59" s="1">
        <v>45496</v>
      </c>
      <c r="C59" t="s">
        <v>189</v>
      </c>
      <c r="D59" t="s">
        <v>37</v>
      </c>
      <c r="E59" t="s">
        <v>20</v>
      </c>
      <c r="F59" t="s">
        <v>31</v>
      </c>
      <c r="G59" t="s">
        <v>60</v>
      </c>
      <c r="H59" t="s">
        <v>119</v>
      </c>
      <c r="I59">
        <v>1</v>
      </c>
      <c r="J59">
        <v>176.96</v>
      </c>
      <c r="K59">
        <v>0.05</v>
      </c>
      <c r="L59">
        <v>168.11</v>
      </c>
      <c r="M59">
        <v>124.39</v>
      </c>
      <c r="N59">
        <v>43.72</v>
      </c>
      <c r="O59" t="s">
        <v>51</v>
      </c>
      <c r="P59">
        <v>4</v>
      </c>
    </row>
    <row r="60" spans="1:16" x14ac:dyDescent="0.35">
      <c r="A60" t="s">
        <v>190</v>
      </c>
      <c r="B60" s="1">
        <v>45510</v>
      </c>
      <c r="C60" t="s">
        <v>191</v>
      </c>
      <c r="D60" t="s">
        <v>19</v>
      </c>
      <c r="E60" t="s">
        <v>30</v>
      </c>
      <c r="F60" t="s">
        <v>39</v>
      </c>
      <c r="G60" t="s">
        <v>22</v>
      </c>
      <c r="H60" t="s">
        <v>124</v>
      </c>
      <c r="I60">
        <v>3</v>
      </c>
      <c r="J60">
        <v>339.26</v>
      </c>
      <c r="K60">
        <v>0.15</v>
      </c>
      <c r="L60">
        <v>865.11</v>
      </c>
      <c r="M60">
        <v>500.62</v>
      </c>
      <c r="N60">
        <v>364.49</v>
      </c>
      <c r="O60" t="s">
        <v>62</v>
      </c>
      <c r="P60">
        <v>4</v>
      </c>
    </row>
    <row r="61" spans="1:16" x14ac:dyDescent="0.35">
      <c r="A61" t="s">
        <v>192</v>
      </c>
      <c r="B61" s="1">
        <v>45349</v>
      </c>
      <c r="C61" t="s">
        <v>193</v>
      </c>
      <c r="D61" t="s">
        <v>29</v>
      </c>
      <c r="E61" t="s">
        <v>85</v>
      </c>
      <c r="F61" t="s">
        <v>39</v>
      </c>
      <c r="G61" t="s">
        <v>43</v>
      </c>
      <c r="H61" t="s">
        <v>50</v>
      </c>
      <c r="I61">
        <v>2</v>
      </c>
      <c r="J61">
        <v>1176.56</v>
      </c>
      <c r="K61">
        <v>0.15</v>
      </c>
      <c r="L61">
        <v>2000.15</v>
      </c>
      <c r="M61">
        <v>1324.79</v>
      </c>
      <c r="N61">
        <v>675.36</v>
      </c>
      <c r="O61" t="s">
        <v>24</v>
      </c>
      <c r="P61">
        <v>2</v>
      </c>
    </row>
    <row r="62" spans="1:16" x14ac:dyDescent="0.35">
      <c r="A62" t="s">
        <v>194</v>
      </c>
      <c r="B62" s="1">
        <v>45356</v>
      </c>
      <c r="C62" t="s">
        <v>195</v>
      </c>
      <c r="D62" t="s">
        <v>19</v>
      </c>
      <c r="E62" t="s">
        <v>98</v>
      </c>
      <c r="F62" t="s">
        <v>21</v>
      </c>
      <c r="G62" t="s">
        <v>43</v>
      </c>
      <c r="H62" t="s">
        <v>50</v>
      </c>
      <c r="I62">
        <v>10</v>
      </c>
      <c r="J62">
        <v>837.27</v>
      </c>
      <c r="K62">
        <v>0.05</v>
      </c>
      <c r="L62">
        <v>7954.07</v>
      </c>
      <c r="M62">
        <v>4067.96</v>
      </c>
      <c r="N62">
        <v>3886.11</v>
      </c>
      <c r="O62" t="s">
        <v>33</v>
      </c>
      <c r="P62">
        <v>4</v>
      </c>
    </row>
    <row r="63" spans="1:16" x14ac:dyDescent="0.35">
      <c r="A63" t="s">
        <v>196</v>
      </c>
      <c r="B63" s="1">
        <v>45474</v>
      </c>
      <c r="C63" t="s">
        <v>197</v>
      </c>
      <c r="D63" t="s">
        <v>66</v>
      </c>
      <c r="E63" t="s">
        <v>85</v>
      </c>
      <c r="F63" t="s">
        <v>21</v>
      </c>
      <c r="G63" t="s">
        <v>22</v>
      </c>
      <c r="H63" t="s">
        <v>23</v>
      </c>
      <c r="I63">
        <v>11</v>
      </c>
      <c r="J63">
        <v>1115.67</v>
      </c>
      <c r="K63">
        <v>0.1</v>
      </c>
      <c r="L63">
        <v>11045.13</v>
      </c>
      <c r="M63">
        <v>9212.4</v>
      </c>
      <c r="N63">
        <v>1832.73</v>
      </c>
      <c r="O63" t="s">
        <v>62</v>
      </c>
      <c r="P63">
        <v>3</v>
      </c>
    </row>
    <row r="64" spans="1:16" x14ac:dyDescent="0.35">
      <c r="A64" t="s">
        <v>198</v>
      </c>
      <c r="B64" s="1">
        <v>45555</v>
      </c>
      <c r="C64" t="s">
        <v>199</v>
      </c>
      <c r="D64" t="s">
        <v>19</v>
      </c>
      <c r="E64" t="s">
        <v>30</v>
      </c>
      <c r="F64" t="s">
        <v>21</v>
      </c>
      <c r="G64" t="s">
        <v>60</v>
      </c>
      <c r="H64" t="s">
        <v>110</v>
      </c>
      <c r="I64">
        <v>2</v>
      </c>
      <c r="J64">
        <v>674.5</v>
      </c>
      <c r="K64">
        <v>0</v>
      </c>
      <c r="L64">
        <v>1349</v>
      </c>
      <c r="M64">
        <v>957.76</v>
      </c>
      <c r="N64">
        <v>391.24</v>
      </c>
      <c r="O64" t="s">
        <v>33</v>
      </c>
      <c r="P64">
        <v>1</v>
      </c>
    </row>
    <row r="65" spans="1:16" x14ac:dyDescent="0.35">
      <c r="A65" t="s">
        <v>200</v>
      </c>
      <c r="B65" s="1">
        <v>45351</v>
      </c>
      <c r="C65" t="s">
        <v>201</v>
      </c>
      <c r="D65" t="s">
        <v>19</v>
      </c>
      <c r="E65" t="s">
        <v>38</v>
      </c>
      <c r="F65" t="s">
        <v>39</v>
      </c>
      <c r="G65" t="s">
        <v>60</v>
      </c>
      <c r="H65" t="s">
        <v>110</v>
      </c>
      <c r="I65">
        <v>6</v>
      </c>
      <c r="J65">
        <v>282.37</v>
      </c>
      <c r="K65">
        <v>0.15</v>
      </c>
      <c r="L65">
        <v>1440.09</v>
      </c>
      <c r="M65">
        <v>1091.57</v>
      </c>
      <c r="N65">
        <v>348.52</v>
      </c>
      <c r="O65" t="s">
        <v>33</v>
      </c>
      <c r="P65">
        <v>1</v>
      </c>
    </row>
    <row r="66" spans="1:16" x14ac:dyDescent="0.35">
      <c r="A66" t="s">
        <v>202</v>
      </c>
      <c r="B66" s="1">
        <v>45334</v>
      </c>
      <c r="C66" t="s">
        <v>203</v>
      </c>
      <c r="D66" t="s">
        <v>29</v>
      </c>
      <c r="E66" t="s">
        <v>30</v>
      </c>
      <c r="F66" t="s">
        <v>21</v>
      </c>
      <c r="G66" t="s">
        <v>60</v>
      </c>
      <c r="H66" t="s">
        <v>119</v>
      </c>
      <c r="I66">
        <v>2</v>
      </c>
      <c r="J66">
        <v>833.98</v>
      </c>
      <c r="K66">
        <v>0.1</v>
      </c>
      <c r="L66">
        <v>1501.16</v>
      </c>
      <c r="M66">
        <v>842.48</v>
      </c>
      <c r="N66">
        <v>658.68</v>
      </c>
      <c r="O66" t="s">
        <v>33</v>
      </c>
      <c r="P66">
        <v>4</v>
      </c>
    </row>
    <row r="67" spans="1:16" x14ac:dyDescent="0.35">
      <c r="A67" t="s">
        <v>204</v>
      </c>
      <c r="B67" s="1">
        <v>45551</v>
      </c>
      <c r="C67" t="s">
        <v>205</v>
      </c>
      <c r="D67" t="s">
        <v>19</v>
      </c>
      <c r="E67" t="s">
        <v>30</v>
      </c>
      <c r="F67" t="s">
        <v>21</v>
      </c>
      <c r="G67" t="s">
        <v>43</v>
      </c>
      <c r="H67" t="s">
        <v>50</v>
      </c>
      <c r="I67">
        <v>1</v>
      </c>
      <c r="J67">
        <v>503.39</v>
      </c>
      <c r="K67">
        <v>0</v>
      </c>
      <c r="L67">
        <v>503.39</v>
      </c>
      <c r="M67">
        <v>416.64</v>
      </c>
      <c r="N67">
        <v>86.75</v>
      </c>
      <c r="O67" t="s">
        <v>24</v>
      </c>
      <c r="P67">
        <v>3</v>
      </c>
    </row>
    <row r="68" spans="1:16" x14ac:dyDescent="0.35">
      <c r="A68" t="s">
        <v>206</v>
      </c>
      <c r="B68" s="1">
        <v>45492</v>
      </c>
      <c r="C68" t="s">
        <v>207</v>
      </c>
      <c r="D68" t="s">
        <v>66</v>
      </c>
      <c r="E68" t="s">
        <v>85</v>
      </c>
      <c r="F68" t="s">
        <v>31</v>
      </c>
      <c r="G68" t="s">
        <v>79</v>
      </c>
      <c r="H68" t="s">
        <v>89</v>
      </c>
      <c r="I68">
        <v>6</v>
      </c>
      <c r="J68">
        <v>730.77</v>
      </c>
      <c r="K68">
        <v>0</v>
      </c>
      <c r="L68">
        <v>4384.62</v>
      </c>
      <c r="M68">
        <v>2233.69</v>
      </c>
      <c r="N68">
        <v>2150.9299999999998</v>
      </c>
      <c r="O68" t="s">
        <v>51</v>
      </c>
      <c r="P68">
        <v>3</v>
      </c>
    </row>
    <row r="69" spans="1:16" x14ac:dyDescent="0.35">
      <c r="A69" t="s">
        <v>208</v>
      </c>
      <c r="B69" s="1">
        <v>45565</v>
      </c>
      <c r="C69" t="s">
        <v>209</v>
      </c>
      <c r="D69" t="s">
        <v>29</v>
      </c>
      <c r="E69" t="s">
        <v>20</v>
      </c>
      <c r="F69" t="s">
        <v>39</v>
      </c>
      <c r="G69" t="s">
        <v>79</v>
      </c>
      <c r="H69" t="s">
        <v>103</v>
      </c>
      <c r="I69">
        <v>5</v>
      </c>
      <c r="J69">
        <v>190.53</v>
      </c>
      <c r="K69">
        <v>0.15</v>
      </c>
      <c r="L69">
        <v>809.75</v>
      </c>
      <c r="M69">
        <v>507.1</v>
      </c>
      <c r="N69">
        <v>302.64999999999998</v>
      </c>
      <c r="O69" t="s">
        <v>51</v>
      </c>
      <c r="P69">
        <v>2</v>
      </c>
    </row>
    <row r="70" spans="1:16" x14ac:dyDescent="0.35">
      <c r="A70" t="s">
        <v>210</v>
      </c>
      <c r="B70" s="1">
        <v>45375</v>
      </c>
      <c r="C70" t="s">
        <v>211</v>
      </c>
      <c r="D70" t="s">
        <v>37</v>
      </c>
      <c r="E70" t="s">
        <v>30</v>
      </c>
      <c r="F70" t="s">
        <v>39</v>
      </c>
      <c r="G70" t="s">
        <v>79</v>
      </c>
      <c r="H70" t="s">
        <v>89</v>
      </c>
      <c r="I70">
        <v>12</v>
      </c>
      <c r="J70">
        <v>576.28</v>
      </c>
      <c r="K70">
        <v>0.05</v>
      </c>
      <c r="L70">
        <v>6569.59</v>
      </c>
      <c r="M70">
        <v>5236.5200000000004</v>
      </c>
      <c r="N70">
        <v>1333.07</v>
      </c>
      <c r="O70" t="s">
        <v>24</v>
      </c>
      <c r="P70">
        <v>4</v>
      </c>
    </row>
    <row r="71" spans="1:16" x14ac:dyDescent="0.35">
      <c r="A71" t="s">
        <v>212</v>
      </c>
      <c r="B71" s="1">
        <v>45493</v>
      </c>
      <c r="C71" t="s">
        <v>213</v>
      </c>
      <c r="D71" t="s">
        <v>19</v>
      </c>
      <c r="E71" t="s">
        <v>38</v>
      </c>
      <c r="F71" t="s">
        <v>21</v>
      </c>
      <c r="G71" t="s">
        <v>43</v>
      </c>
      <c r="H71" t="s">
        <v>44</v>
      </c>
      <c r="I71">
        <v>5</v>
      </c>
      <c r="J71">
        <v>529.27</v>
      </c>
      <c r="K71">
        <v>0.1</v>
      </c>
      <c r="L71">
        <v>2381.7199999999998</v>
      </c>
      <c r="M71">
        <v>1256.99</v>
      </c>
      <c r="N71">
        <v>1124.73</v>
      </c>
      <c r="O71" t="s">
        <v>24</v>
      </c>
      <c r="P71">
        <v>4</v>
      </c>
    </row>
    <row r="72" spans="1:16" x14ac:dyDescent="0.35">
      <c r="A72" t="s">
        <v>214</v>
      </c>
      <c r="B72" s="1">
        <v>45519</v>
      </c>
      <c r="C72" t="s">
        <v>215</v>
      </c>
      <c r="D72" t="s">
        <v>66</v>
      </c>
      <c r="E72" t="s">
        <v>85</v>
      </c>
      <c r="F72" t="s">
        <v>21</v>
      </c>
      <c r="G72" t="s">
        <v>60</v>
      </c>
      <c r="H72" t="s">
        <v>110</v>
      </c>
      <c r="I72">
        <v>1</v>
      </c>
      <c r="J72">
        <v>201.61</v>
      </c>
      <c r="K72">
        <v>0.15</v>
      </c>
      <c r="L72">
        <v>171.37</v>
      </c>
      <c r="M72">
        <v>133.07</v>
      </c>
      <c r="N72">
        <v>38.299999999999997</v>
      </c>
      <c r="O72" t="s">
        <v>51</v>
      </c>
      <c r="P72">
        <v>3</v>
      </c>
    </row>
    <row r="73" spans="1:16" x14ac:dyDescent="0.35">
      <c r="A73" t="s">
        <v>216</v>
      </c>
      <c r="B73" s="1">
        <v>45334</v>
      </c>
      <c r="C73" t="s">
        <v>217</v>
      </c>
      <c r="D73" t="s">
        <v>66</v>
      </c>
      <c r="E73" t="s">
        <v>30</v>
      </c>
      <c r="F73" t="s">
        <v>21</v>
      </c>
      <c r="G73" t="s">
        <v>60</v>
      </c>
      <c r="H73" t="s">
        <v>61</v>
      </c>
      <c r="I73">
        <v>4</v>
      </c>
      <c r="J73">
        <v>1090.57</v>
      </c>
      <c r="K73">
        <v>0.15</v>
      </c>
      <c r="L73">
        <v>3707.94</v>
      </c>
      <c r="M73">
        <v>2902.58</v>
      </c>
      <c r="N73">
        <v>805.36</v>
      </c>
      <c r="O73" t="s">
        <v>62</v>
      </c>
      <c r="P73">
        <v>3</v>
      </c>
    </row>
    <row r="74" spans="1:16" x14ac:dyDescent="0.35">
      <c r="A74" t="s">
        <v>218</v>
      </c>
      <c r="B74" s="1">
        <v>45593</v>
      </c>
      <c r="C74" t="s">
        <v>219</v>
      </c>
      <c r="D74" t="s">
        <v>37</v>
      </c>
      <c r="E74" t="s">
        <v>98</v>
      </c>
      <c r="F74" t="s">
        <v>39</v>
      </c>
      <c r="G74" t="s">
        <v>43</v>
      </c>
      <c r="H74" t="s">
        <v>50</v>
      </c>
      <c r="I74">
        <v>11</v>
      </c>
      <c r="J74">
        <v>1125.3900000000001</v>
      </c>
      <c r="K74">
        <v>0.05</v>
      </c>
      <c r="L74">
        <v>11760.33</v>
      </c>
      <c r="M74">
        <v>7297.31</v>
      </c>
      <c r="N74">
        <v>4463.0200000000004</v>
      </c>
      <c r="O74" t="s">
        <v>33</v>
      </c>
      <c r="P74">
        <v>2</v>
      </c>
    </row>
    <row r="75" spans="1:16" x14ac:dyDescent="0.35">
      <c r="A75" t="s">
        <v>220</v>
      </c>
      <c r="B75" s="1">
        <v>45593</v>
      </c>
      <c r="C75" t="s">
        <v>221</v>
      </c>
      <c r="D75" t="s">
        <v>66</v>
      </c>
      <c r="E75" t="s">
        <v>38</v>
      </c>
      <c r="F75" t="s">
        <v>39</v>
      </c>
      <c r="G75" t="s">
        <v>60</v>
      </c>
      <c r="H75" t="s">
        <v>119</v>
      </c>
      <c r="I75">
        <v>5</v>
      </c>
      <c r="J75">
        <v>744.05</v>
      </c>
      <c r="K75">
        <v>0.05</v>
      </c>
      <c r="L75">
        <v>3534.24</v>
      </c>
      <c r="M75">
        <v>2134.14</v>
      </c>
      <c r="N75">
        <v>1400.1</v>
      </c>
      <c r="O75" t="s">
        <v>51</v>
      </c>
      <c r="P75">
        <v>5</v>
      </c>
    </row>
    <row r="76" spans="1:16" x14ac:dyDescent="0.35">
      <c r="A76" t="s">
        <v>222</v>
      </c>
      <c r="B76" s="1">
        <v>45374</v>
      </c>
      <c r="C76" t="s">
        <v>223</v>
      </c>
      <c r="D76" t="s">
        <v>49</v>
      </c>
      <c r="E76" t="s">
        <v>38</v>
      </c>
      <c r="F76" t="s">
        <v>31</v>
      </c>
      <c r="G76" t="s">
        <v>43</v>
      </c>
      <c r="H76" t="s">
        <v>173</v>
      </c>
      <c r="I76">
        <v>3</v>
      </c>
      <c r="J76">
        <v>198.57</v>
      </c>
      <c r="K76">
        <v>0.1</v>
      </c>
      <c r="L76">
        <v>536.14</v>
      </c>
      <c r="M76">
        <v>384.91</v>
      </c>
      <c r="N76">
        <v>151.22999999999999</v>
      </c>
      <c r="O76" t="s">
        <v>51</v>
      </c>
      <c r="P76">
        <v>1</v>
      </c>
    </row>
    <row r="77" spans="1:16" x14ac:dyDescent="0.35">
      <c r="A77" t="s">
        <v>224</v>
      </c>
      <c r="B77" s="1">
        <v>45340</v>
      </c>
      <c r="C77" t="s">
        <v>225</v>
      </c>
      <c r="D77" t="s">
        <v>66</v>
      </c>
      <c r="E77" t="s">
        <v>20</v>
      </c>
      <c r="F77" t="s">
        <v>31</v>
      </c>
      <c r="G77" t="s">
        <v>79</v>
      </c>
      <c r="H77" t="s">
        <v>89</v>
      </c>
      <c r="I77">
        <v>2</v>
      </c>
      <c r="J77">
        <v>217.96</v>
      </c>
      <c r="K77">
        <v>0.15</v>
      </c>
      <c r="L77">
        <v>370.53</v>
      </c>
      <c r="M77">
        <v>241.69</v>
      </c>
      <c r="N77">
        <v>128.84</v>
      </c>
      <c r="O77" t="s">
        <v>51</v>
      </c>
      <c r="P77">
        <v>1</v>
      </c>
    </row>
    <row r="78" spans="1:16" x14ac:dyDescent="0.35">
      <c r="A78" t="s">
        <v>226</v>
      </c>
      <c r="B78" s="1">
        <v>45357</v>
      </c>
      <c r="C78" t="s">
        <v>227</v>
      </c>
      <c r="D78" t="s">
        <v>66</v>
      </c>
      <c r="E78" t="s">
        <v>85</v>
      </c>
      <c r="F78" t="s">
        <v>21</v>
      </c>
      <c r="G78" t="s">
        <v>43</v>
      </c>
      <c r="H78" t="s">
        <v>173</v>
      </c>
      <c r="I78">
        <v>4</v>
      </c>
      <c r="J78">
        <v>809.56</v>
      </c>
      <c r="K78">
        <v>0.05</v>
      </c>
      <c r="L78">
        <v>3076.33</v>
      </c>
      <c r="M78">
        <v>2023.3</v>
      </c>
      <c r="N78">
        <v>1053.03</v>
      </c>
      <c r="O78" t="s">
        <v>33</v>
      </c>
      <c r="P78">
        <v>1</v>
      </c>
    </row>
    <row r="79" spans="1:16" x14ac:dyDescent="0.35">
      <c r="A79" t="s">
        <v>228</v>
      </c>
      <c r="B79" s="1">
        <v>45365</v>
      </c>
      <c r="C79" t="s">
        <v>229</v>
      </c>
      <c r="D79" t="s">
        <v>37</v>
      </c>
      <c r="E79" t="s">
        <v>98</v>
      </c>
      <c r="F79" t="s">
        <v>39</v>
      </c>
      <c r="G79" t="s">
        <v>43</v>
      </c>
      <c r="H79" t="s">
        <v>44</v>
      </c>
      <c r="I79">
        <v>7</v>
      </c>
      <c r="J79">
        <v>523.92999999999995</v>
      </c>
      <c r="K79">
        <v>0.05</v>
      </c>
      <c r="L79">
        <v>3484.13</v>
      </c>
      <c r="M79">
        <v>2857.16</v>
      </c>
      <c r="N79">
        <v>626.97</v>
      </c>
      <c r="O79" t="s">
        <v>33</v>
      </c>
      <c r="P79">
        <v>5</v>
      </c>
    </row>
    <row r="80" spans="1:16" x14ac:dyDescent="0.35">
      <c r="A80" t="s">
        <v>230</v>
      </c>
      <c r="B80" s="1">
        <v>45378</v>
      </c>
      <c r="C80" t="s">
        <v>231</v>
      </c>
      <c r="D80" t="s">
        <v>37</v>
      </c>
      <c r="E80" t="s">
        <v>30</v>
      </c>
      <c r="F80" t="s">
        <v>21</v>
      </c>
      <c r="G80" t="s">
        <v>60</v>
      </c>
      <c r="H80" t="s">
        <v>61</v>
      </c>
      <c r="I80">
        <v>10</v>
      </c>
      <c r="J80">
        <v>845.81</v>
      </c>
      <c r="K80">
        <v>0.05</v>
      </c>
      <c r="L80">
        <v>8035.19</v>
      </c>
      <c r="M80">
        <v>4464.3500000000004</v>
      </c>
      <c r="N80">
        <v>3570.84</v>
      </c>
      <c r="O80" t="s">
        <v>62</v>
      </c>
      <c r="P80">
        <v>1</v>
      </c>
    </row>
    <row r="81" spans="1:16" x14ac:dyDescent="0.35">
      <c r="A81" t="s">
        <v>232</v>
      </c>
      <c r="B81" s="1">
        <v>45613</v>
      </c>
      <c r="C81" t="s">
        <v>233</v>
      </c>
      <c r="D81" t="s">
        <v>19</v>
      </c>
      <c r="E81" t="s">
        <v>98</v>
      </c>
      <c r="F81" t="s">
        <v>21</v>
      </c>
      <c r="G81" t="s">
        <v>79</v>
      </c>
      <c r="H81" t="s">
        <v>103</v>
      </c>
      <c r="I81">
        <v>3</v>
      </c>
      <c r="J81">
        <v>843.94</v>
      </c>
      <c r="K81">
        <v>0.15</v>
      </c>
      <c r="L81">
        <v>2152.0500000000002</v>
      </c>
      <c r="M81">
        <v>1617.6</v>
      </c>
      <c r="N81">
        <v>534.45000000000005</v>
      </c>
      <c r="O81" t="s">
        <v>51</v>
      </c>
      <c r="P81">
        <v>5</v>
      </c>
    </row>
    <row r="82" spans="1:16" x14ac:dyDescent="0.35">
      <c r="A82" t="s">
        <v>234</v>
      </c>
      <c r="B82" s="1">
        <v>45428</v>
      </c>
      <c r="C82" t="s">
        <v>235</v>
      </c>
      <c r="D82" t="s">
        <v>37</v>
      </c>
      <c r="E82" t="s">
        <v>98</v>
      </c>
      <c r="F82" t="s">
        <v>21</v>
      </c>
      <c r="G82" t="s">
        <v>43</v>
      </c>
      <c r="H82" t="s">
        <v>50</v>
      </c>
      <c r="I82">
        <v>2</v>
      </c>
      <c r="J82">
        <v>950.79</v>
      </c>
      <c r="K82">
        <v>0.1</v>
      </c>
      <c r="L82">
        <v>1711.42</v>
      </c>
      <c r="M82">
        <v>1192.1400000000001</v>
      </c>
      <c r="N82">
        <v>519.28</v>
      </c>
      <c r="O82" t="s">
        <v>51</v>
      </c>
      <c r="P82">
        <v>2</v>
      </c>
    </row>
    <row r="83" spans="1:16" x14ac:dyDescent="0.35">
      <c r="A83" t="s">
        <v>236</v>
      </c>
      <c r="B83" s="1">
        <v>45530</v>
      </c>
      <c r="C83" t="s">
        <v>237</v>
      </c>
      <c r="D83" t="s">
        <v>49</v>
      </c>
      <c r="E83" t="s">
        <v>20</v>
      </c>
      <c r="F83" t="s">
        <v>31</v>
      </c>
      <c r="G83" t="s">
        <v>22</v>
      </c>
      <c r="H83" t="s">
        <v>74</v>
      </c>
      <c r="I83">
        <v>7</v>
      </c>
      <c r="J83">
        <v>620.39</v>
      </c>
      <c r="K83">
        <v>0.15</v>
      </c>
      <c r="L83">
        <v>3691.32</v>
      </c>
      <c r="M83">
        <v>1937.39</v>
      </c>
      <c r="N83">
        <v>1753.93</v>
      </c>
      <c r="O83" t="s">
        <v>33</v>
      </c>
      <c r="P83">
        <v>5</v>
      </c>
    </row>
    <row r="84" spans="1:16" x14ac:dyDescent="0.35">
      <c r="A84" t="s">
        <v>238</v>
      </c>
      <c r="B84" s="1">
        <v>45357</v>
      </c>
      <c r="C84" t="s">
        <v>239</v>
      </c>
      <c r="D84" t="s">
        <v>19</v>
      </c>
      <c r="E84" t="s">
        <v>30</v>
      </c>
      <c r="F84" t="s">
        <v>39</v>
      </c>
      <c r="G84" t="s">
        <v>79</v>
      </c>
      <c r="H84" t="s">
        <v>89</v>
      </c>
      <c r="I84">
        <v>8</v>
      </c>
      <c r="J84">
        <v>768.16</v>
      </c>
      <c r="K84">
        <v>0.05</v>
      </c>
      <c r="L84">
        <v>5838.02</v>
      </c>
      <c r="M84">
        <v>3460.62</v>
      </c>
      <c r="N84">
        <v>2377.4</v>
      </c>
      <c r="O84" t="s">
        <v>62</v>
      </c>
      <c r="P84">
        <v>4</v>
      </c>
    </row>
    <row r="85" spans="1:16" x14ac:dyDescent="0.35">
      <c r="A85" t="s">
        <v>240</v>
      </c>
      <c r="B85" s="1">
        <v>45651</v>
      </c>
      <c r="C85" t="s">
        <v>241</v>
      </c>
      <c r="D85" t="s">
        <v>49</v>
      </c>
      <c r="E85" t="s">
        <v>85</v>
      </c>
      <c r="F85" t="s">
        <v>21</v>
      </c>
      <c r="G85" t="s">
        <v>43</v>
      </c>
      <c r="H85" t="s">
        <v>44</v>
      </c>
      <c r="I85">
        <v>6</v>
      </c>
      <c r="J85">
        <v>1022.86</v>
      </c>
      <c r="K85">
        <v>0.05</v>
      </c>
      <c r="L85">
        <v>5830.3</v>
      </c>
      <c r="M85">
        <v>4903.7700000000004</v>
      </c>
      <c r="N85">
        <v>926.53</v>
      </c>
      <c r="O85" t="s">
        <v>62</v>
      </c>
      <c r="P85">
        <v>1</v>
      </c>
    </row>
    <row r="86" spans="1:16" x14ac:dyDescent="0.35">
      <c r="A86" t="s">
        <v>242</v>
      </c>
      <c r="B86" s="1">
        <v>45383</v>
      </c>
      <c r="C86" t="s">
        <v>243</v>
      </c>
      <c r="D86" t="s">
        <v>37</v>
      </c>
      <c r="E86" t="s">
        <v>98</v>
      </c>
      <c r="F86" t="s">
        <v>21</v>
      </c>
      <c r="G86" t="s">
        <v>22</v>
      </c>
      <c r="H86" t="s">
        <v>23</v>
      </c>
      <c r="I86">
        <v>6</v>
      </c>
      <c r="J86">
        <v>1002.32</v>
      </c>
      <c r="K86">
        <v>0.15</v>
      </c>
      <c r="L86">
        <v>5111.83</v>
      </c>
      <c r="M86">
        <v>3249.03</v>
      </c>
      <c r="N86">
        <v>1862.8</v>
      </c>
      <c r="O86" t="s">
        <v>24</v>
      </c>
      <c r="P86">
        <v>2</v>
      </c>
    </row>
    <row r="87" spans="1:16" x14ac:dyDescent="0.35">
      <c r="A87" t="s">
        <v>244</v>
      </c>
      <c r="B87" s="1">
        <v>45374</v>
      </c>
      <c r="C87" t="s">
        <v>245</v>
      </c>
      <c r="D87" t="s">
        <v>49</v>
      </c>
      <c r="E87" t="s">
        <v>20</v>
      </c>
      <c r="F87" t="s">
        <v>39</v>
      </c>
      <c r="G87" t="s">
        <v>43</v>
      </c>
      <c r="H87" t="s">
        <v>173</v>
      </c>
      <c r="I87">
        <v>11</v>
      </c>
      <c r="J87">
        <v>662.6</v>
      </c>
      <c r="K87">
        <v>0.15</v>
      </c>
      <c r="L87">
        <v>6195.31</v>
      </c>
      <c r="M87">
        <v>3904.07</v>
      </c>
      <c r="N87">
        <v>2291.2399999999998</v>
      </c>
      <c r="O87" t="s">
        <v>33</v>
      </c>
      <c r="P87">
        <v>5</v>
      </c>
    </row>
    <row r="88" spans="1:16" x14ac:dyDescent="0.35">
      <c r="A88" t="s">
        <v>246</v>
      </c>
      <c r="B88" s="1">
        <v>45407</v>
      </c>
      <c r="C88" t="s">
        <v>247</v>
      </c>
      <c r="D88" t="s">
        <v>66</v>
      </c>
      <c r="E88" t="s">
        <v>98</v>
      </c>
      <c r="F88" t="s">
        <v>31</v>
      </c>
      <c r="G88" t="s">
        <v>43</v>
      </c>
      <c r="H88" t="s">
        <v>50</v>
      </c>
      <c r="I88">
        <v>11</v>
      </c>
      <c r="J88">
        <v>16.739999999999998</v>
      </c>
      <c r="K88">
        <v>0.05</v>
      </c>
      <c r="L88">
        <v>174.93</v>
      </c>
      <c r="M88">
        <v>147.69999999999999</v>
      </c>
      <c r="N88">
        <v>27.23</v>
      </c>
      <c r="O88" t="s">
        <v>24</v>
      </c>
      <c r="P88">
        <v>4</v>
      </c>
    </row>
    <row r="89" spans="1:16" x14ac:dyDescent="0.35">
      <c r="A89" t="s">
        <v>248</v>
      </c>
      <c r="B89" s="1">
        <v>45634</v>
      </c>
      <c r="C89" t="s">
        <v>249</v>
      </c>
      <c r="D89" t="s">
        <v>29</v>
      </c>
      <c r="E89" t="s">
        <v>98</v>
      </c>
      <c r="F89" t="s">
        <v>31</v>
      </c>
      <c r="G89" t="s">
        <v>79</v>
      </c>
      <c r="H89" t="s">
        <v>103</v>
      </c>
      <c r="I89">
        <v>1</v>
      </c>
      <c r="J89">
        <v>786.58</v>
      </c>
      <c r="K89">
        <v>0.1</v>
      </c>
      <c r="L89">
        <v>707.92</v>
      </c>
      <c r="M89">
        <v>466.48</v>
      </c>
      <c r="N89">
        <v>241.44</v>
      </c>
      <c r="O89" t="s">
        <v>24</v>
      </c>
      <c r="P89">
        <v>2</v>
      </c>
    </row>
    <row r="90" spans="1:16" x14ac:dyDescent="0.35">
      <c r="A90" t="s">
        <v>250</v>
      </c>
      <c r="B90" s="1">
        <v>45356</v>
      </c>
      <c r="C90" t="s">
        <v>251</v>
      </c>
      <c r="D90" t="s">
        <v>37</v>
      </c>
      <c r="E90" t="s">
        <v>85</v>
      </c>
      <c r="F90" t="s">
        <v>39</v>
      </c>
      <c r="G90" t="s">
        <v>79</v>
      </c>
      <c r="H90" t="s">
        <v>89</v>
      </c>
      <c r="I90">
        <v>8</v>
      </c>
      <c r="J90">
        <v>226.94</v>
      </c>
      <c r="K90">
        <v>0.05</v>
      </c>
      <c r="L90">
        <v>1724.74</v>
      </c>
      <c r="M90">
        <v>1008.43</v>
      </c>
      <c r="N90">
        <v>716.31</v>
      </c>
      <c r="O90" t="s">
        <v>33</v>
      </c>
      <c r="P90">
        <v>1</v>
      </c>
    </row>
    <row r="91" spans="1:16" x14ac:dyDescent="0.35">
      <c r="A91" t="s">
        <v>252</v>
      </c>
      <c r="B91" s="1">
        <v>45330</v>
      </c>
      <c r="C91" t="s">
        <v>253</v>
      </c>
      <c r="D91" t="s">
        <v>37</v>
      </c>
      <c r="E91" t="s">
        <v>30</v>
      </c>
      <c r="F91" t="s">
        <v>21</v>
      </c>
      <c r="G91" t="s">
        <v>43</v>
      </c>
      <c r="H91" t="s">
        <v>50</v>
      </c>
      <c r="I91">
        <v>7</v>
      </c>
      <c r="J91">
        <v>318.98</v>
      </c>
      <c r="K91">
        <v>0.1</v>
      </c>
      <c r="L91">
        <v>2009.57</v>
      </c>
      <c r="M91">
        <v>1563.05</v>
      </c>
      <c r="N91">
        <v>446.52</v>
      </c>
      <c r="O91" t="s">
        <v>24</v>
      </c>
      <c r="P91">
        <v>1</v>
      </c>
    </row>
    <row r="92" spans="1:16" x14ac:dyDescent="0.35">
      <c r="A92" t="s">
        <v>254</v>
      </c>
      <c r="B92" s="1">
        <v>45538</v>
      </c>
      <c r="C92" t="s">
        <v>255</v>
      </c>
      <c r="D92" t="s">
        <v>66</v>
      </c>
      <c r="E92" t="s">
        <v>38</v>
      </c>
      <c r="F92" t="s">
        <v>31</v>
      </c>
      <c r="G92" t="s">
        <v>79</v>
      </c>
      <c r="H92" t="s">
        <v>89</v>
      </c>
      <c r="I92">
        <v>7</v>
      </c>
      <c r="J92">
        <v>340.54</v>
      </c>
      <c r="K92">
        <v>0.15</v>
      </c>
      <c r="L92">
        <v>2026.21</v>
      </c>
      <c r="M92">
        <v>1398.51</v>
      </c>
      <c r="N92">
        <v>627.70000000000005</v>
      </c>
      <c r="O92" t="s">
        <v>51</v>
      </c>
      <c r="P92">
        <v>2</v>
      </c>
    </row>
    <row r="93" spans="1:16" x14ac:dyDescent="0.35">
      <c r="A93" t="s">
        <v>256</v>
      </c>
      <c r="B93" s="1">
        <v>45610</v>
      </c>
      <c r="C93" t="s">
        <v>257</v>
      </c>
      <c r="D93" t="s">
        <v>66</v>
      </c>
      <c r="E93" t="s">
        <v>85</v>
      </c>
      <c r="F93" t="s">
        <v>31</v>
      </c>
      <c r="G93" t="s">
        <v>43</v>
      </c>
      <c r="H93" t="s">
        <v>44</v>
      </c>
      <c r="I93">
        <v>4</v>
      </c>
      <c r="J93">
        <v>132.49</v>
      </c>
      <c r="K93">
        <v>0.15</v>
      </c>
      <c r="L93">
        <v>450.47</v>
      </c>
      <c r="M93">
        <v>231.66</v>
      </c>
      <c r="N93">
        <v>218.81</v>
      </c>
      <c r="O93" t="s">
        <v>51</v>
      </c>
      <c r="P93">
        <v>2</v>
      </c>
    </row>
    <row r="94" spans="1:16" x14ac:dyDescent="0.35">
      <c r="A94" t="s">
        <v>258</v>
      </c>
      <c r="B94" s="1">
        <v>45546</v>
      </c>
      <c r="C94" t="s">
        <v>259</v>
      </c>
      <c r="D94" t="s">
        <v>49</v>
      </c>
      <c r="E94" t="s">
        <v>98</v>
      </c>
      <c r="F94" t="s">
        <v>39</v>
      </c>
      <c r="G94" t="s">
        <v>22</v>
      </c>
      <c r="H94" t="s">
        <v>74</v>
      </c>
      <c r="I94">
        <v>2</v>
      </c>
      <c r="J94">
        <v>617.49</v>
      </c>
      <c r="K94">
        <v>0.15</v>
      </c>
      <c r="L94">
        <v>1049.73</v>
      </c>
      <c r="M94">
        <v>722.36</v>
      </c>
      <c r="N94">
        <v>327.37</v>
      </c>
      <c r="O94" t="s">
        <v>33</v>
      </c>
      <c r="P94">
        <v>2</v>
      </c>
    </row>
    <row r="95" spans="1:16" x14ac:dyDescent="0.35">
      <c r="A95" t="s">
        <v>260</v>
      </c>
      <c r="B95" s="1">
        <v>45445</v>
      </c>
      <c r="C95" t="s">
        <v>261</v>
      </c>
      <c r="D95" t="s">
        <v>49</v>
      </c>
      <c r="E95" t="s">
        <v>30</v>
      </c>
      <c r="F95" t="s">
        <v>39</v>
      </c>
      <c r="G95" t="s">
        <v>60</v>
      </c>
      <c r="H95" t="s">
        <v>110</v>
      </c>
      <c r="I95">
        <v>1</v>
      </c>
      <c r="J95">
        <v>799.79</v>
      </c>
      <c r="K95">
        <v>0.05</v>
      </c>
      <c r="L95">
        <v>759.8</v>
      </c>
      <c r="M95">
        <v>546.46</v>
      </c>
      <c r="N95">
        <v>213.34</v>
      </c>
      <c r="O95" t="s">
        <v>51</v>
      </c>
      <c r="P95">
        <v>5</v>
      </c>
    </row>
    <row r="96" spans="1:16" x14ac:dyDescent="0.35">
      <c r="A96" t="s">
        <v>262</v>
      </c>
      <c r="B96" s="1">
        <v>45616</v>
      </c>
      <c r="C96" t="s">
        <v>263</v>
      </c>
      <c r="D96" t="s">
        <v>37</v>
      </c>
      <c r="E96" t="s">
        <v>85</v>
      </c>
      <c r="F96" t="s">
        <v>31</v>
      </c>
      <c r="G96" t="s">
        <v>43</v>
      </c>
      <c r="H96" t="s">
        <v>44</v>
      </c>
      <c r="I96">
        <v>3</v>
      </c>
      <c r="J96">
        <v>304.24</v>
      </c>
      <c r="K96">
        <v>0</v>
      </c>
      <c r="L96">
        <v>912.72</v>
      </c>
      <c r="M96">
        <v>759.77</v>
      </c>
      <c r="N96">
        <v>152.94999999999999</v>
      </c>
      <c r="O96" t="s">
        <v>33</v>
      </c>
      <c r="P96">
        <v>1</v>
      </c>
    </row>
    <row r="97" spans="1:16" x14ac:dyDescent="0.35">
      <c r="A97" t="s">
        <v>264</v>
      </c>
      <c r="B97" s="1">
        <v>45492</v>
      </c>
      <c r="C97" t="s">
        <v>265</v>
      </c>
      <c r="D97" t="s">
        <v>49</v>
      </c>
      <c r="E97" t="s">
        <v>38</v>
      </c>
      <c r="F97" t="s">
        <v>31</v>
      </c>
      <c r="G97" t="s">
        <v>22</v>
      </c>
      <c r="H97" t="s">
        <v>23</v>
      </c>
      <c r="I97">
        <v>10</v>
      </c>
      <c r="J97">
        <v>911.86</v>
      </c>
      <c r="K97">
        <v>0</v>
      </c>
      <c r="L97">
        <v>9118.6</v>
      </c>
      <c r="M97">
        <v>6627.81</v>
      </c>
      <c r="N97">
        <v>2490.79</v>
      </c>
      <c r="O97" t="s">
        <v>51</v>
      </c>
      <c r="P97">
        <v>3</v>
      </c>
    </row>
    <row r="98" spans="1:16" x14ac:dyDescent="0.35">
      <c r="A98" t="s">
        <v>266</v>
      </c>
      <c r="B98" s="1">
        <v>45461</v>
      </c>
      <c r="C98" t="s">
        <v>267</v>
      </c>
      <c r="D98" t="s">
        <v>49</v>
      </c>
      <c r="E98" t="s">
        <v>30</v>
      </c>
      <c r="F98" t="s">
        <v>21</v>
      </c>
      <c r="G98" t="s">
        <v>43</v>
      </c>
      <c r="H98" t="s">
        <v>173</v>
      </c>
      <c r="I98">
        <v>8</v>
      </c>
      <c r="J98">
        <v>710.07</v>
      </c>
      <c r="K98">
        <v>0.1</v>
      </c>
      <c r="L98">
        <v>5112.5</v>
      </c>
      <c r="M98">
        <v>2918.91</v>
      </c>
      <c r="N98">
        <v>2193.59</v>
      </c>
      <c r="O98" t="s">
        <v>24</v>
      </c>
      <c r="P98">
        <v>4</v>
      </c>
    </row>
    <row r="99" spans="1:16" x14ac:dyDescent="0.35">
      <c r="A99" t="s">
        <v>268</v>
      </c>
      <c r="B99" s="1">
        <v>45325</v>
      </c>
      <c r="C99" t="s">
        <v>269</v>
      </c>
      <c r="D99" t="s">
        <v>37</v>
      </c>
      <c r="E99" t="s">
        <v>98</v>
      </c>
      <c r="F99" t="s">
        <v>21</v>
      </c>
      <c r="G99" t="s">
        <v>79</v>
      </c>
      <c r="H99" t="s">
        <v>103</v>
      </c>
      <c r="I99">
        <v>10</v>
      </c>
      <c r="J99">
        <v>446.88</v>
      </c>
      <c r="K99">
        <v>0.15</v>
      </c>
      <c r="L99">
        <v>3798.48</v>
      </c>
      <c r="M99">
        <v>2560.08</v>
      </c>
      <c r="N99">
        <v>1238.4000000000001</v>
      </c>
      <c r="O99" t="s">
        <v>33</v>
      </c>
      <c r="P99">
        <v>1</v>
      </c>
    </row>
    <row r="100" spans="1:16" x14ac:dyDescent="0.35">
      <c r="A100" t="s">
        <v>270</v>
      </c>
      <c r="B100" s="1">
        <v>45304</v>
      </c>
      <c r="C100" t="s">
        <v>271</v>
      </c>
      <c r="D100" t="s">
        <v>37</v>
      </c>
      <c r="E100" t="s">
        <v>98</v>
      </c>
      <c r="F100" t="s">
        <v>31</v>
      </c>
      <c r="G100" t="s">
        <v>79</v>
      </c>
      <c r="H100" t="s">
        <v>80</v>
      </c>
      <c r="I100">
        <v>11</v>
      </c>
      <c r="J100">
        <v>596.69000000000005</v>
      </c>
      <c r="K100">
        <v>0.05</v>
      </c>
      <c r="L100">
        <v>6235.41</v>
      </c>
      <c r="M100">
        <v>3574.24</v>
      </c>
      <c r="N100">
        <v>2661.17</v>
      </c>
      <c r="O100" t="s">
        <v>51</v>
      </c>
      <c r="P100">
        <v>3</v>
      </c>
    </row>
    <row r="101" spans="1:16" x14ac:dyDescent="0.35">
      <c r="A101" t="s">
        <v>272</v>
      </c>
      <c r="B101" s="1">
        <v>45389</v>
      </c>
      <c r="C101" t="s">
        <v>273</v>
      </c>
      <c r="D101" t="s">
        <v>29</v>
      </c>
      <c r="E101" t="s">
        <v>38</v>
      </c>
      <c r="F101" t="s">
        <v>21</v>
      </c>
      <c r="G101" t="s">
        <v>60</v>
      </c>
      <c r="H101" t="s">
        <v>119</v>
      </c>
      <c r="I101">
        <v>3</v>
      </c>
      <c r="J101">
        <v>1103.1600000000001</v>
      </c>
      <c r="K101">
        <v>0.15</v>
      </c>
      <c r="L101">
        <v>2813.06</v>
      </c>
      <c r="M101">
        <v>1779.22</v>
      </c>
      <c r="N101">
        <v>1033.8399999999999</v>
      </c>
      <c r="O101" t="s">
        <v>51</v>
      </c>
      <c r="P101">
        <v>2</v>
      </c>
    </row>
    <row r="102" spans="1:16" x14ac:dyDescent="0.35">
      <c r="A102" t="s">
        <v>274</v>
      </c>
      <c r="B102" s="1">
        <v>45495</v>
      </c>
      <c r="C102" t="s">
        <v>275</v>
      </c>
      <c r="D102" t="s">
        <v>66</v>
      </c>
      <c r="E102" t="s">
        <v>38</v>
      </c>
      <c r="F102" t="s">
        <v>21</v>
      </c>
      <c r="G102" t="s">
        <v>60</v>
      </c>
      <c r="H102" t="s">
        <v>110</v>
      </c>
      <c r="I102">
        <v>8</v>
      </c>
      <c r="J102">
        <v>416.16</v>
      </c>
      <c r="K102">
        <v>0.05</v>
      </c>
      <c r="L102">
        <v>3162.82</v>
      </c>
      <c r="M102">
        <v>2325.37</v>
      </c>
      <c r="N102">
        <v>837.45</v>
      </c>
      <c r="O102" t="s">
        <v>24</v>
      </c>
      <c r="P102">
        <v>4</v>
      </c>
    </row>
    <row r="103" spans="1:16" x14ac:dyDescent="0.35">
      <c r="A103" t="s">
        <v>276</v>
      </c>
      <c r="B103" s="1">
        <v>45590</v>
      </c>
      <c r="C103" t="s">
        <v>277</v>
      </c>
      <c r="D103" t="s">
        <v>66</v>
      </c>
      <c r="E103" t="s">
        <v>38</v>
      </c>
      <c r="F103" t="s">
        <v>31</v>
      </c>
      <c r="G103" t="s">
        <v>60</v>
      </c>
      <c r="H103" t="s">
        <v>61</v>
      </c>
      <c r="I103">
        <v>7</v>
      </c>
      <c r="J103">
        <v>217.95</v>
      </c>
      <c r="K103">
        <v>0.05</v>
      </c>
      <c r="L103">
        <v>1449.37</v>
      </c>
      <c r="M103">
        <v>906.18</v>
      </c>
      <c r="N103">
        <v>543.19000000000005</v>
      </c>
      <c r="O103" t="s">
        <v>33</v>
      </c>
      <c r="P103">
        <v>3</v>
      </c>
    </row>
    <row r="104" spans="1:16" x14ac:dyDescent="0.35">
      <c r="A104" t="s">
        <v>278</v>
      </c>
      <c r="B104" s="1">
        <v>45647</v>
      </c>
      <c r="C104" t="s">
        <v>279</v>
      </c>
      <c r="D104" t="s">
        <v>29</v>
      </c>
      <c r="E104" t="s">
        <v>30</v>
      </c>
      <c r="F104" t="s">
        <v>31</v>
      </c>
      <c r="G104" t="s">
        <v>43</v>
      </c>
      <c r="H104" t="s">
        <v>50</v>
      </c>
      <c r="I104">
        <v>2</v>
      </c>
      <c r="J104">
        <v>31.95</v>
      </c>
      <c r="K104">
        <v>0</v>
      </c>
      <c r="L104">
        <v>63.9</v>
      </c>
      <c r="M104">
        <v>45.93</v>
      </c>
      <c r="N104">
        <v>17.97</v>
      </c>
      <c r="O104" t="s">
        <v>51</v>
      </c>
      <c r="P104">
        <v>1</v>
      </c>
    </row>
    <row r="105" spans="1:16" x14ac:dyDescent="0.35">
      <c r="A105" t="s">
        <v>280</v>
      </c>
      <c r="B105" s="1">
        <v>45418</v>
      </c>
      <c r="C105" t="s">
        <v>281</v>
      </c>
      <c r="D105" t="s">
        <v>19</v>
      </c>
      <c r="E105" t="s">
        <v>38</v>
      </c>
      <c r="F105" t="s">
        <v>31</v>
      </c>
      <c r="G105" t="s">
        <v>60</v>
      </c>
      <c r="H105" t="s">
        <v>119</v>
      </c>
      <c r="I105">
        <v>11</v>
      </c>
      <c r="J105">
        <v>236.56</v>
      </c>
      <c r="K105">
        <v>0.1</v>
      </c>
      <c r="L105">
        <v>2341.94</v>
      </c>
      <c r="M105">
        <v>1369.37</v>
      </c>
      <c r="N105">
        <v>972.57</v>
      </c>
      <c r="O105" t="s">
        <v>62</v>
      </c>
      <c r="P105">
        <v>5</v>
      </c>
    </row>
    <row r="106" spans="1:16" x14ac:dyDescent="0.35">
      <c r="A106" t="s">
        <v>282</v>
      </c>
      <c r="B106" s="1">
        <v>45546</v>
      </c>
      <c r="C106" t="s">
        <v>283</v>
      </c>
      <c r="D106" t="s">
        <v>19</v>
      </c>
      <c r="E106" t="s">
        <v>20</v>
      </c>
      <c r="F106" t="s">
        <v>21</v>
      </c>
      <c r="G106" t="s">
        <v>60</v>
      </c>
      <c r="H106" t="s">
        <v>119</v>
      </c>
      <c r="I106">
        <v>6</v>
      </c>
      <c r="J106">
        <v>667.66</v>
      </c>
      <c r="K106">
        <v>0.05</v>
      </c>
      <c r="L106">
        <v>3805.66</v>
      </c>
      <c r="M106">
        <v>2882.5</v>
      </c>
      <c r="N106">
        <v>923.16</v>
      </c>
      <c r="O106" t="s">
        <v>51</v>
      </c>
      <c r="P106">
        <v>1</v>
      </c>
    </row>
    <row r="107" spans="1:16" x14ac:dyDescent="0.35">
      <c r="A107" t="s">
        <v>284</v>
      </c>
      <c r="B107" s="1">
        <v>45630</v>
      </c>
      <c r="C107" t="s">
        <v>285</v>
      </c>
      <c r="D107" t="s">
        <v>29</v>
      </c>
      <c r="E107" t="s">
        <v>98</v>
      </c>
      <c r="F107" t="s">
        <v>39</v>
      </c>
      <c r="G107" t="s">
        <v>43</v>
      </c>
      <c r="H107" t="s">
        <v>173</v>
      </c>
      <c r="I107">
        <v>8</v>
      </c>
      <c r="J107">
        <v>85.63</v>
      </c>
      <c r="K107">
        <v>0.1</v>
      </c>
      <c r="L107">
        <v>616.54</v>
      </c>
      <c r="M107">
        <v>491.12</v>
      </c>
      <c r="N107">
        <v>125.42</v>
      </c>
      <c r="O107" t="s">
        <v>51</v>
      </c>
      <c r="P107">
        <v>5</v>
      </c>
    </row>
    <row r="108" spans="1:16" x14ac:dyDescent="0.35">
      <c r="A108" t="s">
        <v>286</v>
      </c>
      <c r="B108" s="1">
        <v>45428</v>
      </c>
      <c r="C108" t="s">
        <v>287</v>
      </c>
      <c r="D108" t="s">
        <v>66</v>
      </c>
      <c r="E108" t="s">
        <v>85</v>
      </c>
      <c r="F108" t="s">
        <v>31</v>
      </c>
      <c r="G108" t="s">
        <v>60</v>
      </c>
      <c r="H108" t="s">
        <v>110</v>
      </c>
      <c r="I108">
        <v>4</v>
      </c>
      <c r="J108">
        <v>301.85000000000002</v>
      </c>
      <c r="K108">
        <v>0</v>
      </c>
      <c r="L108">
        <v>1207.4000000000001</v>
      </c>
      <c r="M108">
        <v>971.68</v>
      </c>
      <c r="N108">
        <v>235.72</v>
      </c>
      <c r="O108" t="s">
        <v>51</v>
      </c>
      <c r="P108">
        <v>2</v>
      </c>
    </row>
    <row r="109" spans="1:16" x14ac:dyDescent="0.35">
      <c r="A109" t="s">
        <v>288</v>
      </c>
      <c r="B109" s="1">
        <v>45451</v>
      </c>
      <c r="C109" t="s">
        <v>289</v>
      </c>
      <c r="D109" t="s">
        <v>29</v>
      </c>
      <c r="E109" t="s">
        <v>38</v>
      </c>
      <c r="F109" t="s">
        <v>21</v>
      </c>
      <c r="G109" t="s">
        <v>22</v>
      </c>
      <c r="H109" t="s">
        <v>23</v>
      </c>
      <c r="I109">
        <v>6</v>
      </c>
      <c r="J109">
        <v>1101.74</v>
      </c>
      <c r="K109">
        <v>0</v>
      </c>
      <c r="L109">
        <v>6610.44</v>
      </c>
      <c r="M109">
        <v>3858.32</v>
      </c>
      <c r="N109">
        <v>2752.12</v>
      </c>
      <c r="O109" t="s">
        <v>24</v>
      </c>
      <c r="P109">
        <v>1</v>
      </c>
    </row>
    <row r="110" spans="1:16" x14ac:dyDescent="0.35">
      <c r="A110" t="s">
        <v>290</v>
      </c>
      <c r="B110" s="1">
        <v>45399</v>
      </c>
      <c r="C110" t="s">
        <v>291</v>
      </c>
      <c r="D110" t="s">
        <v>66</v>
      </c>
      <c r="E110" t="s">
        <v>30</v>
      </c>
      <c r="F110" t="s">
        <v>39</v>
      </c>
      <c r="G110" t="s">
        <v>43</v>
      </c>
      <c r="H110" t="s">
        <v>173</v>
      </c>
      <c r="I110">
        <v>6</v>
      </c>
      <c r="J110">
        <v>1022.72</v>
      </c>
      <c r="K110">
        <v>0.15</v>
      </c>
      <c r="L110">
        <v>5215.87</v>
      </c>
      <c r="M110">
        <v>4178.28</v>
      </c>
      <c r="N110">
        <v>1037.5899999999999</v>
      </c>
      <c r="O110" t="s">
        <v>62</v>
      </c>
      <c r="P110">
        <v>1</v>
      </c>
    </row>
    <row r="111" spans="1:16" x14ac:dyDescent="0.35">
      <c r="A111" t="s">
        <v>292</v>
      </c>
      <c r="B111" s="1">
        <v>45650</v>
      </c>
      <c r="C111" t="s">
        <v>293</v>
      </c>
      <c r="D111" t="s">
        <v>66</v>
      </c>
      <c r="E111" t="s">
        <v>38</v>
      </c>
      <c r="F111" t="s">
        <v>21</v>
      </c>
      <c r="G111" t="s">
        <v>22</v>
      </c>
      <c r="H111" t="s">
        <v>74</v>
      </c>
      <c r="I111">
        <v>2</v>
      </c>
      <c r="J111">
        <v>1081.27</v>
      </c>
      <c r="K111">
        <v>0.15</v>
      </c>
      <c r="L111">
        <v>1838.16</v>
      </c>
      <c r="M111">
        <v>1045.79</v>
      </c>
      <c r="N111">
        <v>792.37</v>
      </c>
      <c r="O111" t="s">
        <v>51</v>
      </c>
      <c r="P111">
        <v>3</v>
      </c>
    </row>
    <row r="112" spans="1:16" x14ac:dyDescent="0.35">
      <c r="A112" t="s">
        <v>294</v>
      </c>
      <c r="B112" s="1">
        <v>45588</v>
      </c>
      <c r="C112" t="s">
        <v>295</v>
      </c>
      <c r="D112" t="s">
        <v>49</v>
      </c>
      <c r="E112" t="s">
        <v>85</v>
      </c>
      <c r="F112" t="s">
        <v>31</v>
      </c>
      <c r="G112" t="s">
        <v>60</v>
      </c>
      <c r="H112" t="s">
        <v>110</v>
      </c>
      <c r="I112">
        <v>12</v>
      </c>
      <c r="J112">
        <v>1030.02</v>
      </c>
      <c r="K112">
        <v>0.05</v>
      </c>
      <c r="L112">
        <v>11742.23</v>
      </c>
      <c r="M112">
        <v>8431.7000000000007</v>
      </c>
      <c r="N112">
        <v>3310.53</v>
      </c>
      <c r="O112" t="s">
        <v>33</v>
      </c>
      <c r="P112">
        <v>1</v>
      </c>
    </row>
    <row r="113" spans="1:16" x14ac:dyDescent="0.35">
      <c r="A113" t="s">
        <v>296</v>
      </c>
      <c r="B113" s="1">
        <v>45633</v>
      </c>
      <c r="C113" t="s">
        <v>297</v>
      </c>
      <c r="D113" t="s">
        <v>19</v>
      </c>
      <c r="E113" t="s">
        <v>85</v>
      </c>
      <c r="F113" t="s">
        <v>31</v>
      </c>
      <c r="G113" t="s">
        <v>22</v>
      </c>
      <c r="H113" t="s">
        <v>23</v>
      </c>
      <c r="I113">
        <v>9</v>
      </c>
      <c r="J113">
        <v>101.9</v>
      </c>
      <c r="K113">
        <v>0.15</v>
      </c>
      <c r="L113">
        <v>779.53</v>
      </c>
      <c r="M113">
        <v>571.4</v>
      </c>
      <c r="N113">
        <v>208.13</v>
      </c>
      <c r="O113" t="s">
        <v>51</v>
      </c>
      <c r="P113">
        <v>4</v>
      </c>
    </row>
    <row r="114" spans="1:16" x14ac:dyDescent="0.35">
      <c r="A114" t="s">
        <v>298</v>
      </c>
      <c r="B114" s="1">
        <v>45579</v>
      </c>
      <c r="C114" t="s">
        <v>299</v>
      </c>
      <c r="D114" t="s">
        <v>49</v>
      </c>
      <c r="E114" t="s">
        <v>30</v>
      </c>
      <c r="F114" t="s">
        <v>21</v>
      </c>
      <c r="G114" t="s">
        <v>60</v>
      </c>
      <c r="H114" t="s">
        <v>61</v>
      </c>
      <c r="I114">
        <v>9</v>
      </c>
      <c r="J114">
        <v>1108.27</v>
      </c>
      <c r="K114">
        <v>0.1</v>
      </c>
      <c r="L114">
        <v>8976.99</v>
      </c>
      <c r="M114">
        <v>6163.86</v>
      </c>
      <c r="N114">
        <v>2813.13</v>
      </c>
      <c r="O114" t="s">
        <v>24</v>
      </c>
      <c r="P114">
        <v>2</v>
      </c>
    </row>
    <row r="115" spans="1:16" x14ac:dyDescent="0.35">
      <c r="A115" t="s">
        <v>300</v>
      </c>
      <c r="B115" s="1">
        <v>45419</v>
      </c>
      <c r="C115" t="s">
        <v>301</v>
      </c>
      <c r="D115" t="s">
        <v>19</v>
      </c>
      <c r="E115" t="s">
        <v>30</v>
      </c>
      <c r="F115" t="s">
        <v>31</v>
      </c>
      <c r="G115" t="s">
        <v>60</v>
      </c>
      <c r="H115" t="s">
        <v>110</v>
      </c>
      <c r="I115">
        <v>11</v>
      </c>
      <c r="J115">
        <v>551.15</v>
      </c>
      <c r="K115">
        <v>0</v>
      </c>
      <c r="L115">
        <v>6062.65</v>
      </c>
      <c r="M115">
        <v>3229.86</v>
      </c>
      <c r="N115">
        <v>2832.79</v>
      </c>
      <c r="O115" t="s">
        <v>33</v>
      </c>
      <c r="P115">
        <v>3</v>
      </c>
    </row>
    <row r="116" spans="1:16" x14ac:dyDescent="0.35">
      <c r="A116" t="s">
        <v>302</v>
      </c>
      <c r="B116" s="1">
        <v>45573</v>
      </c>
      <c r="C116" t="s">
        <v>303</v>
      </c>
      <c r="D116" t="s">
        <v>66</v>
      </c>
      <c r="E116" t="s">
        <v>20</v>
      </c>
      <c r="F116" t="s">
        <v>21</v>
      </c>
      <c r="G116" t="s">
        <v>79</v>
      </c>
      <c r="H116" t="s">
        <v>103</v>
      </c>
      <c r="I116">
        <v>9</v>
      </c>
      <c r="J116">
        <v>849.04</v>
      </c>
      <c r="K116">
        <v>0.1</v>
      </c>
      <c r="L116">
        <v>6877.22</v>
      </c>
      <c r="M116">
        <v>5048.58</v>
      </c>
      <c r="N116">
        <v>1828.64</v>
      </c>
      <c r="O116" t="s">
        <v>62</v>
      </c>
      <c r="P116">
        <v>5</v>
      </c>
    </row>
    <row r="117" spans="1:16" x14ac:dyDescent="0.35">
      <c r="A117" t="s">
        <v>304</v>
      </c>
      <c r="B117" s="1">
        <v>45363</v>
      </c>
      <c r="C117" t="s">
        <v>305</v>
      </c>
      <c r="D117" t="s">
        <v>19</v>
      </c>
      <c r="E117" t="s">
        <v>38</v>
      </c>
      <c r="F117" t="s">
        <v>39</v>
      </c>
      <c r="G117" t="s">
        <v>22</v>
      </c>
      <c r="H117" t="s">
        <v>124</v>
      </c>
      <c r="I117">
        <v>11</v>
      </c>
      <c r="J117">
        <v>161.6</v>
      </c>
      <c r="K117">
        <v>0.15</v>
      </c>
      <c r="L117">
        <v>1510.96</v>
      </c>
      <c r="M117">
        <v>1224.06</v>
      </c>
      <c r="N117">
        <v>286.89999999999998</v>
      </c>
      <c r="O117" t="s">
        <v>51</v>
      </c>
      <c r="P117">
        <v>2</v>
      </c>
    </row>
    <row r="118" spans="1:16" x14ac:dyDescent="0.35">
      <c r="A118" t="s">
        <v>306</v>
      </c>
      <c r="B118" s="1">
        <v>45453</v>
      </c>
      <c r="C118" t="s">
        <v>307</v>
      </c>
      <c r="D118" t="s">
        <v>19</v>
      </c>
      <c r="E118" t="s">
        <v>85</v>
      </c>
      <c r="F118" t="s">
        <v>31</v>
      </c>
      <c r="G118" t="s">
        <v>22</v>
      </c>
      <c r="H118" t="s">
        <v>74</v>
      </c>
      <c r="I118">
        <v>10</v>
      </c>
      <c r="J118">
        <v>1155.72</v>
      </c>
      <c r="K118">
        <v>0.1</v>
      </c>
      <c r="L118">
        <v>10401.48</v>
      </c>
      <c r="M118">
        <v>6430.75</v>
      </c>
      <c r="N118">
        <v>3970.73</v>
      </c>
      <c r="O118" t="s">
        <v>51</v>
      </c>
      <c r="P118">
        <v>5</v>
      </c>
    </row>
    <row r="119" spans="1:16" x14ac:dyDescent="0.35">
      <c r="A119" t="s">
        <v>308</v>
      </c>
      <c r="B119" s="1">
        <v>45406</v>
      </c>
      <c r="C119" t="s">
        <v>309</v>
      </c>
      <c r="D119" t="s">
        <v>49</v>
      </c>
      <c r="E119" t="s">
        <v>30</v>
      </c>
      <c r="F119" t="s">
        <v>21</v>
      </c>
      <c r="G119" t="s">
        <v>22</v>
      </c>
      <c r="H119" t="s">
        <v>124</v>
      </c>
      <c r="I119">
        <v>6</v>
      </c>
      <c r="J119">
        <v>516.13</v>
      </c>
      <c r="K119">
        <v>0</v>
      </c>
      <c r="L119">
        <v>3096.78</v>
      </c>
      <c r="M119">
        <v>1832.29</v>
      </c>
      <c r="N119">
        <v>1264.49</v>
      </c>
      <c r="O119" t="s">
        <v>51</v>
      </c>
      <c r="P119">
        <v>4</v>
      </c>
    </row>
    <row r="120" spans="1:16" x14ac:dyDescent="0.35">
      <c r="A120" t="s">
        <v>310</v>
      </c>
      <c r="B120" s="1">
        <v>45642</v>
      </c>
      <c r="C120" t="s">
        <v>311</v>
      </c>
      <c r="D120" t="s">
        <v>49</v>
      </c>
      <c r="E120" t="s">
        <v>98</v>
      </c>
      <c r="F120" t="s">
        <v>39</v>
      </c>
      <c r="G120" t="s">
        <v>22</v>
      </c>
      <c r="H120" t="s">
        <v>32</v>
      </c>
      <c r="I120">
        <v>4</v>
      </c>
      <c r="J120">
        <v>1048.02</v>
      </c>
      <c r="K120">
        <v>0.05</v>
      </c>
      <c r="L120">
        <v>3982.48</v>
      </c>
      <c r="M120">
        <v>2705.23</v>
      </c>
      <c r="N120">
        <v>1277.25</v>
      </c>
      <c r="O120" t="s">
        <v>51</v>
      </c>
      <c r="P120">
        <v>3</v>
      </c>
    </row>
    <row r="121" spans="1:16" x14ac:dyDescent="0.35">
      <c r="A121" t="s">
        <v>312</v>
      </c>
      <c r="B121" s="1">
        <v>45521</v>
      </c>
      <c r="C121" t="s">
        <v>313</v>
      </c>
      <c r="D121" t="s">
        <v>37</v>
      </c>
      <c r="E121" t="s">
        <v>38</v>
      </c>
      <c r="F121" t="s">
        <v>39</v>
      </c>
      <c r="G121" t="s">
        <v>22</v>
      </c>
      <c r="H121" t="s">
        <v>124</v>
      </c>
      <c r="I121">
        <v>6</v>
      </c>
      <c r="J121">
        <v>988.31</v>
      </c>
      <c r="K121">
        <v>0.15</v>
      </c>
      <c r="L121">
        <v>5040.38</v>
      </c>
      <c r="M121">
        <v>4197.9399999999996</v>
      </c>
      <c r="N121">
        <v>842.44</v>
      </c>
      <c r="O121" t="s">
        <v>62</v>
      </c>
      <c r="P121">
        <v>2</v>
      </c>
    </row>
    <row r="122" spans="1:16" x14ac:dyDescent="0.35">
      <c r="A122" t="s">
        <v>314</v>
      </c>
      <c r="B122" s="1">
        <v>45320</v>
      </c>
      <c r="C122" t="s">
        <v>315</v>
      </c>
      <c r="D122" t="s">
        <v>37</v>
      </c>
      <c r="E122" t="s">
        <v>30</v>
      </c>
      <c r="F122" t="s">
        <v>31</v>
      </c>
      <c r="G122" t="s">
        <v>43</v>
      </c>
      <c r="H122" t="s">
        <v>44</v>
      </c>
      <c r="I122">
        <v>3</v>
      </c>
      <c r="J122">
        <v>978.46</v>
      </c>
      <c r="K122">
        <v>0.1</v>
      </c>
      <c r="L122">
        <v>2641.84</v>
      </c>
      <c r="M122">
        <v>1597.77</v>
      </c>
      <c r="N122">
        <v>1044.07</v>
      </c>
      <c r="O122" t="s">
        <v>62</v>
      </c>
      <c r="P122">
        <v>1</v>
      </c>
    </row>
    <row r="123" spans="1:16" x14ac:dyDescent="0.35">
      <c r="A123" t="s">
        <v>316</v>
      </c>
      <c r="B123" s="1">
        <v>45633</v>
      </c>
      <c r="C123" t="s">
        <v>317</v>
      </c>
      <c r="D123" t="s">
        <v>66</v>
      </c>
      <c r="E123" t="s">
        <v>38</v>
      </c>
      <c r="F123" t="s">
        <v>31</v>
      </c>
      <c r="G123" t="s">
        <v>79</v>
      </c>
      <c r="H123" t="s">
        <v>80</v>
      </c>
      <c r="I123">
        <v>3</v>
      </c>
      <c r="J123">
        <v>1051.57</v>
      </c>
      <c r="K123">
        <v>0.15</v>
      </c>
      <c r="L123">
        <v>2681.5</v>
      </c>
      <c r="M123">
        <v>2178.94</v>
      </c>
      <c r="N123">
        <v>502.56</v>
      </c>
      <c r="O123" t="s">
        <v>33</v>
      </c>
      <c r="P123">
        <v>2</v>
      </c>
    </row>
    <row r="124" spans="1:16" x14ac:dyDescent="0.35">
      <c r="A124" t="s">
        <v>318</v>
      </c>
      <c r="B124" s="1">
        <v>45338</v>
      </c>
      <c r="C124" t="s">
        <v>319</v>
      </c>
      <c r="D124" t="s">
        <v>37</v>
      </c>
      <c r="E124" t="s">
        <v>30</v>
      </c>
      <c r="F124" t="s">
        <v>39</v>
      </c>
      <c r="G124" t="s">
        <v>22</v>
      </c>
      <c r="H124" t="s">
        <v>32</v>
      </c>
      <c r="I124">
        <v>2</v>
      </c>
      <c r="J124">
        <v>182.86</v>
      </c>
      <c r="K124">
        <v>0</v>
      </c>
      <c r="L124">
        <v>365.72</v>
      </c>
      <c r="M124">
        <v>190.44</v>
      </c>
      <c r="N124">
        <v>175.28</v>
      </c>
      <c r="O124" t="s">
        <v>24</v>
      </c>
      <c r="P124">
        <v>2</v>
      </c>
    </row>
    <row r="125" spans="1:16" x14ac:dyDescent="0.35">
      <c r="A125" t="s">
        <v>320</v>
      </c>
      <c r="B125" s="1">
        <v>45617</v>
      </c>
      <c r="C125" t="s">
        <v>321</v>
      </c>
      <c r="D125" t="s">
        <v>19</v>
      </c>
      <c r="E125" t="s">
        <v>20</v>
      </c>
      <c r="F125" t="s">
        <v>21</v>
      </c>
      <c r="G125" t="s">
        <v>43</v>
      </c>
      <c r="H125" t="s">
        <v>44</v>
      </c>
      <c r="I125">
        <v>2</v>
      </c>
      <c r="J125">
        <v>39.479999999999997</v>
      </c>
      <c r="K125">
        <v>0.1</v>
      </c>
      <c r="L125">
        <v>71.06</v>
      </c>
      <c r="M125">
        <v>40.82</v>
      </c>
      <c r="N125">
        <v>30.24</v>
      </c>
      <c r="O125" t="s">
        <v>24</v>
      </c>
      <c r="P125">
        <v>5</v>
      </c>
    </row>
    <row r="126" spans="1:16" x14ac:dyDescent="0.35">
      <c r="A126" t="s">
        <v>322</v>
      </c>
      <c r="B126" s="1">
        <v>45547</v>
      </c>
      <c r="C126" t="s">
        <v>323</v>
      </c>
      <c r="D126" t="s">
        <v>29</v>
      </c>
      <c r="E126" t="s">
        <v>30</v>
      </c>
      <c r="F126" t="s">
        <v>31</v>
      </c>
      <c r="G126" t="s">
        <v>22</v>
      </c>
      <c r="H126" t="s">
        <v>32</v>
      </c>
      <c r="I126">
        <v>3</v>
      </c>
      <c r="J126">
        <v>248.07</v>
      </c>
      <c r="K126">
        <v>0.1</v>
      </c>
      <c r="L126">
        <v>669.79</v>
      </c>
      <c r="M126">
        <v>519.16</v>
      </c>
      <c r="N126">
        <v>150.63</v>
      </c>
      <c r="O126" t="s">
        <v>24</v>
      </c>
      <c r="P126">
        <v>5</v>
      </c>
    </row>
    <row r="127" spans="1:16" x14ac:dyDescent="0.35">
      <c r="A127" t="s">
        <v>324</v>
      </c>
      <c r="B127" s="1">
        <v>45407</v>
      </c>
      <c r="C127" t="s">
        <v>325</v>
      </c>
      <c r="D127" t="s">
        <v>66</v>
      </c>
      <c r="E127" t="s">
        <v>30</v>
      </c>
      <c r="F127" t="s">
        <v>21</v>
      </c>
      <c r="G127" t="s">
        <v>43</v>
      </c>
      <c r="H127" t="s">
        <v>50</v>
      </c>
      <c r="I127">
        <v>8</v>
      </c>
      <c r="J127">
        <v>866.11</v>
      </c>
      <c r="K127">
        <v>0.05</v>
      </c>
      <c r="L127">
        <v>6582.44</v>
      </c>
      <c r="M127">
        <v>5140.09</v>
      </c>
      <c r="N127">
        <v>1442.35</v>
      </c>
      <c r="O127" t="s">
        <v>24</v>
      </c>
      <c r="P127">
        <v>1</v>
      </c>
    </row>
    <row r="128" spans="1:16" x14ac:dyDescent="0.35">
      <c r="A128" t="s">
        <v>326</v>
      </c>
      <c r="B128" s="1">
        <v>45630</v>
      </c>
      <c r="C128" t="s">
        <v>327</v>
      </c>
      <c r="D128" t="s">
        <v>19</v>
      </c>
      <c r="E128" t="s">
        <v>38</v>
      </c>
      <c r="F128" t="s">
        <v>21</v>
      </c>
      <c r="G128" t="s">
        <v>60</v>
      </c>
      <c r="H128" t="s">
        <v>119</v>
      </c>
      <c r="I128">
        <v>11</v>
      </c>
      <c r="J128">
        <v>869.33</v>
      </c>
      <c r="K128">
        <v>0.05</v>
      </c>
      <c r="L128">
        <v>9084.5</v>
      </c>
      <c r="M128">
        <v>5487.37</v>
      </c>
      <c r="N128">
        <v>3597.13</v>
      </c>
      <c r="O128" t="s">
        <v>33</v>
      </c>
      <c r="P128">
        <v>4</v>
      </c>
    </row>
    <row r="129" spans="1:16" x14ac:dyDescent="0.35">
      <c r="A129" t="s">
        <v>328</v>
      </c>
      <c r="B129" s="1">
        <v>45626</v>
      </c>
      <c r="C129" t="s">
        <v>329</v>
      </c>
      <c r="D129" t="s">
        <v>37</v>
      </c>
      <c r="E129" t="s">
        <v>98</v>
      </c>
      <c r="F129" t="s">
        <v>31</v>
      </c>
      <c r="G129" t="s">
        <v>60</v>
      </c>
      <c r="H129" t="s">
        <v>110</v>
      </c>
      <c r="I129">
        <v>7</v>
      </c>
      <c r="J129">
        <v>153.30000000000001</v>
      </c>
      <c r="K129">
        <v>0.15</v>
      </c>
      <c r="L129">
        <v>912.14</v>
      </c>
      <c r="M129">
        <v>566.48</v>
      </c>
      <c r="N129">
        <v>345.66</v>
      </c>
      <c r="O129" t="s">
        <v>51</v>
      </c>
      <c r="P129">
        <v>5</v>
      </c>
    </row>
    <row r="130" spans="1:16" x14ac:dyDescent="0.35">
      <c r="A130" t="s">
        <v>330</v>
      </c>
      <c r="B130" s="1">
        <v>45294</v>
      </c>
      <c r="C130" t="s">
        <v>331</v>
      </c>
      <c r="D130" t="s">
        <v>49</v>
      </c>
      <c r="E130" t="s">
        <v>20</v>
      </c>
      <c r="F130" t="s">
        <v>39</v>
      </c>
      <c r="G130" t="s">
        <v>60</v>
      </c>
      <c r="H130" t="s">
        <v>110</v>
      </c>
      <c r="I130">
        <v>5</v>
      </c>
      <c r="J130">
        <v>500.74</v>
      </c>
      <c r="K130">
        <v>0.05</v>
      </c>
      <c r="L130">
        <v>2378.5100000000002</v>
      </c>
      <c r="M130">
        <v>1675.88</v>
      </c>
      <c r="N130">
        <v>702.63</v>
      </c>
      <c r="O130" t="s">
        <v>33</v>
      </c>
      <c r="P130">
        <v>1</v>
      </c>
    </row>
    <row r="131" spans="1:16" x14ac:dyDescent="0.35">
      <c r="A131" t="s">
        <v>332</v>
      </c>
      <c r="B131" s="1">
        <v>45531</v>
      </c>
      <c r="C131" t="s">
        <v>333</v>
      </c>
      <c r="D131" t="s">
        <v>19</v>
      </c>
      <c r="E131" t="s">
        <v>30</v>
      </c>
      <c r="F131" t="s">
        <v>31</v>
      </c>
      <c r="G131" t="s">
        <v>22</v>
      </c>
      <c r="H131" t="s">
        <v>23</v>
      </c>
      <c r="I131">
        <v>11</v>
      </c>
      <c r="J131">
        <v>476.45</v>
      </c>
      <c r="K131">
        <v>0.1</v>
      </c>
      <c r="L131">
        <v>4716.8500000000004</v>
      </c>
      <c r="M131">
        <v>3296.85</v>
      </c>
      <c r="N131">
        <v>1420</v>
      </c>
      <c r="O131" t="s">
        <v>51</v>
      </c>
      <c r="P131">
        <v>1</v>
      </c>
    </row>
    <row r="132" spans="1:16" x14ac:dyDescent="0.35">
      <c r="A132" t="s">
        <v>334</v>
      </c>
      <c r="B132" s="1">
        <v>45294</v>
      </c>
      <c r="C132" t="s">
        <v>335</v>
      </c>
      <c r="D132" t="s">
        <v>19</v>
      </c>
      <c r="E132" t="s">
        <v>98</v>
      </c>
      <c r="F132" t="s">
        <v>21</v>
      </c>
      <c r="G132" t="s">
        <v>43</v>
      </c>
      <c r="H132" t="s">
        <v>50</v>
      </c>
      <c r="I132">
        <v>2</v>
      </c>
      <c r="J132">
        <v>442.01</v>
      </c>
      <c r="K132">
        <v>0</v>
      </c>
      <c r="L132">
        <v>884.02</v>
      </c>
      <c r="M132">
        <v>659.45</v>
      </c>
      <c r="N132">
        <v>224.57</v>
      </c>
      <c r="O132" t="s">
        <v>62</v>
      </c>
      <c r="P132">
        <v>2</v>
      </c>
    </row>
    <row r="133" spans="1:16" x14ac:dyDescent="0.35">
      <c r="A133" t="s">
        <v>336</v>
      </c>
      <c r="B133" s="1">
        <v>45449</v>
      </c>
      <c r="C133" t="s">
        <v>337</v>
      </c>
      <c r="D133" t="s">
        <v>66</v>
      </c>
      <c r="E133" t="s">
        <v>98</v>
      </c>
      <c r="F133" t="s">
        <v>21</v>
      </c>
      <c r="G133" t="s">
        <v>79</v>
      </c>
      <c r="H133" t="s">
        <v>103</v>
      </c>
      <c r="I133">
        <v>6</v>
      </c>
      <c r="J133">
        <v>711.1</v>
      </c>
      <c r="K133">
        <v>0.1</v>
      </c>
      <c r="L133">
        <v>3839.94</v>
      </c>
      <c r="M133">
        <v>2687.45</v>
      </c>
      <c r="N133">
        <v>1152.49</v>
      </c>
      <c r="O133" t="s">
        <v>33</v>
      </c>
      <c r="P133">
        <v>5</v>
      </c>
    </row>
    <row r="134" spans="1:16" x14ac:dyDescent="0.35">
      <c r="A134" t="s">
        <v>338</v>
      </c>
      <c r="B134" s="1">
        <v>45568</v>
      </c>
      <c r="C134" t="s">
        <v>339</v>
      </c>
      <c r="D134" t="s">
        <v>29</v>
      </c>
      <c r="E134" t="s">
        <v>85</v>
      </c>
      <c r="F134" t="s">
        <v>21</v>
      </c>
      <c r="G134" t="s">
        <v>22</v>
      </c>
      <c r="H134" t="s">
        <v>23</v>
      </c>
      <c r="I134">
        <v>5</v>
      </c>
      <c r="J134">
        <v>348.14</v>
      </c>
      <c r="K134">
        <v>0</v>
      </c>
      <c r="L134">
        <v>1740.7</v>
      </c>
      <c r="M134">
        <v>1268.55</v>
      </c>
      <c r="N134">
        <v>472.15</v>
      </c>
      <c r="O134" t="s">
        <v>62</v>
      </c>
      <c r="P134">
        <v>3</v>
      </c>
    </row>
    <row r="135" spans="1:16" x14ac:dyDescent="0.35">
      <c r="A135" t="s">
        <v>340</v>
      </c>
      <c r="B135" s="1">
        <v>45357</v>
      </c>
      <c r="C135" t="s">
        <v>341</v>
      </c>
      <c r="D135" t="s">
        <v>49</v>
      </c>
      <c r="E135" t="s">
        <v>85</v>
      </c>
      <c r="F135" t="s">
        <v>39</v>
      </c>
      <c r="G135" t="s">
        <v>22</v>
      </c>
      <c r="H135" t="s">
        <v>32</v>
      </c>
      <c r="I135">
        <v>1</v>
      </c>
      <c r="J135">
        <v>643.79</v>
      </c>
      <c r="K135">
        <v>0.15</v>
      </c>
      <c r="L135">
        <v>547.22</v>
      </c>
      <c r="M135">
        <v>372.9</v>
      </c>
      <c r="N135">
        <v>174.32</v>
      </c>
      <c r="O135" t="s">
        <v>33</v>
      </c>
      <c r="P135">
        <v>3</v>
      </c>
    </row>
    <row r="136" spans="1:16" x14ac:dyDescent="0.35">
      <c r="A136" t="s">
        <v>342</v>
      </c>
      <c r="B136" s="1">
        <v>45526</v>
      </c>
      <c r="C136" t="s">
        <v>343</v>
      </c>
      <c r="D136" t="s">
        <v>19</v>
      </c>
      <c r="E136" t="s">
        <v>98</v>
      </c>
      <c r="F136" t="s">
        <v>31</v>
      </c>
      <c r="G136" t="s">
        <v>60</v>
      </c>
      <c r="H136" t="s">
        <v>61</v>
      </c>
      <c r="I136">
        <v>4</v>
      </c>
      <c r="J136">
        <v>1074.33</v>
      </c>
      <c r="K136">
        <v>0.05</v>
      </c>
      <c r="L136">
        <v>4082.45</v>
      </c>
      <c r="M136">
        <v>3376.47</v>
      </c>
      <c r="N136">
        <v>705.98</v>
      </c>
      <c r="O136" t="s">
        <v>51</v>
      </c>
      <c r="P136">
        <v>3</v>
      </c>
    </row>
    <row r="137" spans="1:16" x14ac:dyDescent="0.35">
      <c r="A137" t="s">
        <v>344</v>
      </c>
      <c r="B137" s="1">
        <v>45308</v>
      </c>
      <c r="C137" t="s">
        <v>345</v>
      </c>
      <c r="D137" t="s">
        <v>37</v>
      </c>
      <c r="E137" t="s">
        <v>30</v>
      </c>
      <c r="F137" t="s">
        <v>31</v>
      </c>
      <c r="G137" t="s">
        <v>43</v>
      </c>
      <c r="H137" t="s">
        <v>50</v>
      </c>
      <c r="I137">
        <v>8</v>
      </c>
      <c r="J137">
        <v>72.31</v>
      </c>
      <c r="K137">
        <v>0.1</v>
      </c>
      <c r="L137">
        <v>520.63</v>
      </c>
      <c r="M137">
        <v>312.19</v>
      </c>
      <c r="N137">
        <v>208.44</v>
      </c>
      <c r="O137" t="s">
        <v>24</v>
      </c>
      <c r="P137">
        <v>3</v>
      </c>
    </row>
    <row r="138" spans="1:16" x14ac:dyDescent="0.35">
      <c r="A138" t="s">
        <v>346</v>
      </c>
      <c r="B138" s="1">
        <v>45636</v>
      </c>
      <c r="C138" t="s">
        <v>347</v>
      </c>
      <c r="D138" t="s">
        <v>66</v>
      </c>
      <c r="E138" t="s">
        <v>98</v>
      </c>
      <c r="F138" t="s">
        <v>39</v>
      </c>
      <c r="G138" t="s">
        <v>79</v>
      </c>
      <c r="H138" t="s">
        <v>80</v>
      </c>
      <c r="I138">
        <v>9</v>
      </c>
      <c r="J138">
        <v>1180.46</v>
      </c>
      <c r="K138">
        <v>0</v>
      </c>
      <c r="L138">
        <v>10624.14</v>
      </c>
      <c r="M138">
        <v>5742.88</v>
      </c>
      <c r="N138">
        <v>4881.26</v>
      </c>
      <c r="O138" t="s">
        <v>24</v>
      </c>
      <c r="P138">
        <v>2</v>
      </c>
    </row>
    <row r="139" spans="1:16" x14ac:dyDescent="0.35">
      <c r="A139" t="s">
        <v>348</v>
      </c>
      <c r="B139" s="1">
        <v>45568</v>
      </c>
      <c r="C139" t="s">
        <v>349</v>
      </c>
      <c r="D139" t="s">
        <v>66</v>
      </c>
      <c r="E139" t="s">
        <v>20</v>
      </c>
      <c r="F139" t="s">
        <v>31</v>
      </c>
      <c r="G139" t="s">
        <v>79</v>
      </c>
      <c r="H139" t="s">
        <v>103</v>
      </c>
      <c r="I139">
        <v>12</v>
      </c>
      <c r="J139">
        <v>797.5</v>
      </c>
      <c r="K139">
        <v>0.15</v>
      </c>
      <c r="L139">
        <v>8134.5</v>
      </c>
      <c r="M139">
        <v>4880.34</v>
      </c>
      <c r="N139">
        <v>3254.16</v>
      </c>
      <c r="O139" t="s">
        <v>24</v>
      </c>
      <c r="P139">
        <v>4</v>
      </c>
    </row>
    <row r="140" spans="1:16" x14ac:dyDescent="0.35">
      <c r="A140" t="s">
        <v>350</v>
      </c>
      <c r="B140" s="1">
        <v>45320</v>
      </c>
      <c r="C140" t="s">
        <v>351</v>
      </c>
      <c r="D140" t="s">
        <v>66</v>
      </c>
      <c r="E140" t="s">
        <v>20</v>
      </c>
      <c r="F140" t="s">
        <v>21</v>
      </c>
      <c r="G140" t="s">
        <v>79</v>
      </c>
      <c r="H140" t="s">
        <v>103</v>
      </c>
      <c r="I140">
        <v>7</v>
      </c>
      <c r="J140">
        <v>841.3</v>
      </c>
      <c r="K140">
        <v>0.15</v>
      </c>
      <c r="L140">
        <v>5005.7299999999996</v>
      </c>
      <c r="M140">
        <v>3358.95</v>
      </c>
      <c r="N140">
        <v>1646.78</v>
      </c>
      <c r="O140" t="s">
        <v>62</v>
      </c>
      <c r="P140">
        <v>4</v>
      </c>
    </row>
    <row r="141" spans="1:16" x14ac:dyDescent="0.35">
      <c r="A141" t="s">
        <v>352</v>
      </c>
      <c r="B141" s="1">
        <v>45438</v>
      </c>
      <c r="C141" t="s">
        <v>353</v>
      </c>
      <c r="D141" t="s">
        <v>29</v>
      </c>
      <c r="E141" t="s">
        <v>38</v>
      </c>
      <c r="F141" t="s">
        <v>31</v>
      </c>
      <c r="G141" t="s">
        <v>60</v>
      </c>
      <c r="H141" t="s">
        <v>61</v>
      </c>
      <c r="I141">
        <v>5</v>
      </c>
      <c r="J141">
        <v>1149.07</v>
      </c>
      <c r="K141">
        <v>0.15</v>
      </c>
      <c r="L141">
        <v>4883.55</v>
      </c>
      <c r="M141">
        <v>2559.12</v>
      </c>
      <c r="N141">
        <v>2324.4299999999998</v>
      </c>
      <c r="O141" t="s">
        <v>33</v>
      </c>
      <c r="P141">
        <v>3</v>
      </c>
    </row>
    <row r="142" spans="1:16" x14ac:dyDescent="0.35">
      <c r="A142" t="s">
        <v>354</v>
      </c>
      <c r="B142" s="1">
        <v>45632</v>
      </c>
      <c r="C142" t="s">
        <v>355</v>
      </c>
      <c r="D142" t="s">
        <v>37</v>
      </c>
      <c r="E142" t="s">
        <v>85</v>
      </c>
      <c r="F142" t="s">
        <v>31</v>
      </c>
      <c r="G142" t="s">
        <v>60</v>
      </c>
      <c r="H142" t="s">
        <v>61</v>
      </c>
      <c r="I142">
        <v>11</v>
      </c>
      <c r="J142">
        <v>439.88</v>
      </c>
      <c r="K142">
        <v>0</v>
      </c>
      <c r="L142">
        <v>4838.68</v>
      </c>
      <c r="M142">
        <v>3487.51</v>
      </c>
      <c r="N142">
        <v>1351.17</v>
      </c>
      <c r="O142" t="s">
        <v>33</v>
      </c>
      <c r="P142">
        <v>1</v>
      </c>
    </row>
    <row r="143" spans="1:16" x14ac:dyDescent="0.35">
      <c r="A143" t="s">
        <v>356</v>
      </c>
      <c r="B143" s="1">
        <v>45414</v>
      </c>
      <c r="C143" t="s">
        <v>357</v>
      </c>
      <c r="D143" t="s">
        <v>29</v>
      </c>
      <c r="E143" t="s">
        <v>98</v>
      </c>
      <c r="F143" t="s">
        <v>21</v>
      </c>
      <c r="G143" t="s">
        <v>43</v>
      </c>
      <c r="H143" t="s">
        <v>173</v>
      </c>
      <c r="I143">
        <v>12</v>
      </c>
      <c r="J143">
        <v>533.51</v>
      </c>
      <c r="K143">
        <v>0.05</v>
      </c>
      <c r="L143">
        <v>6082.01</v>
      </c>
      <c r="M143">
        <v>4137.59</v>
      </c>
      <c r="N143">
        <v>1944.42</v>
      </c>
      <c r="O143" t="s">
        <v>51</v>
      </c>
      <c r="P143">
        <v>2</v>
      </c>
    </row>
    <row r="144" spans="1:16" x14ac:dyDescent="0.35">
      <c r="A144" t="s">
        <v>358</v>
      </c>
      <c r="B144" s="1">
        <v>45310</v>
      </c>
      <c r="C144" t="s">
        <v>359</v>
      </c>
      <c r="D144" t="s">
        <v>66</v>
      </c>
      <c r="E144" t="s">
        <v>98</v>
      </c>
      <c r="F144" t="s">
        <v>39</v>
      </c>
      <c r="G144" t="s">
        <v>22</v>
      </c>
      <c r="H144" t="s">
        <v>74</v>
      </c>
      <c r="I144">
        <v>9</v>
      </c>
      <c r="J144">
        <v>1186.7</v>
      </c>
      <c r="K144">
        <v>0</v>
      </c>
      <c r="L144">
        <v>10680.3</v>
      </c>
      <c r="M144">
        <v>6258.4</v>
      </c>
      <c r="N144">
        <v>4421.8999999999996</v>
      </c>
      <c r="O144" t="s">
        <v>33</v>
      </c>
      <c r="P144">
        <v>3</v>
      </c>
    </row>
    <row r="145" spans="1:16" x14ac:dyDescent="0.35">
      <c r="A145" t="s">
        <v>360</v>
      </c>
      <c r="B145" s="1">
        <v>45355</v>
      </c>
      <c r="C145" t="s">
        <v>361</v>
      </c>
      <c r="D145" t="s">
        <v>49</v>
      </c>
      <c r="E145" t="s">
        <v>20</v>
      </c>
      <c r="F145" t="s">
        <v>31</v>
      </c>
      <c r="G145" t="s">
        <v>60</v>
      </c>
      <c r="H145" t="s">
        <v>119</v>
      </c>
      <c r="I145">
        <v>1</v>
      </c>
      <c r="J145">
        <v>176.14</v>
      </c>
      <c r="K145">
        <v>0.05</v>
      </c>
      <c r="L145">
        <v>167.33</v>
      </c>
      <c r="M145">
        <v>133.97999999999999</v>
      </c>
      <c r="N145">
        <v>33.35</v>
      </c>
      <c r="O145" t="s">
        <v>62</v>
      </c>
      <c r="P145">
        <v>1</v>
      </c>
    </row>
    <row r="146" spans="1:16" x14ac:dyDescent="0.35">
      <c r="A146" t="s">
        <v>362</v>
      </c>
      <c r="B146" s="1">
        <v>45501</v>
      </c>
      <c r="C146" t="s">
        <v>363</v>
      </c>
      <c r="D146" t="s">
        <v>19</v>
      </c>
      <c r="E146" t="s">
        <v>38</v>
      </c>
      <c r="F146" t="s">
        <v>31</v>
      </c>
      <c r="G146" t="s">
        <v>22</v>
      </c>
      <c r="H146" t="s">
        <v>23</v>
      </c>
      <c r="I146">
        <v>3</v>
      </c>
      <c r="J146">
        <v>816.6</v>
      </c>
      <c r="K146">
        <v>0.15</v>
      </c>
      <c r="L146">
        <v>2082.33</v>
      </c>
      <c r="M146">
        <v>1638.63</v>
      </c>
      <c r="N146">
        <v>443.7</v>
      </c>
      <c r="O146" t="s">
        <v>51</v>
      </c>
      <c r="P146">
        <v>1</v>
      </c>
    </row>
    <row r="147" spans="1:16" x14ac:dyDescent="0.35">
      <c r="A147" t="s">
        <v>364</v>
      </c>
      <c r="B147" s="1">
        <v>45334</v>
      </c>
      <c r="C147" t="s">
        <v>365</v>
      </c>
      <c r="D147" t="s">
        <v>49</v>
      </c>
      <c r="E147" t="s">
        <v>20</v>
      </c>
      <c r="F147" t="s">
        <v>31</v>
      </c>
      <c r="G147" t="s">
        <v>60</v>
      </c>
      <c r="H147" t="s">
        <v>110</v>
      </c>
      <c r="I147">
        <v>7</v>
      </c>
      <c r="J147">
        <v>925.37</v>
      </c>
      <c r="K147">
        <v>0.05</v>
      </c>
      <c r="L147">
        <v>6153.71</v>
      </c>
      <c r="M147">
        <v>3527.58</v>
      </c>
      <c r="N147">
        <v>2626.13</v>
      </c>
      <c r="O147" t="s">
        <v>33</v>
      </c>
      <c r="P147">
        <v>4</v>
      </c>
    </row>
    <row r="148" spans="1:16" x14ac:dyDescent="0.35">
      <c r="A148" t="s">
        <v>366</v>
      </c>
      <c r="B148" s="1">
        <v>45412</v>
      </c>
      <c r="C148" t="s">
        <v>367</v>
      </c>
      <c r="D148" t="s">
        <v>29</v>
      </c>
      <c r="E148" t="s">
        <v>20</v>
      </c>
      <c r="F148" t="s">
        <v>39</v>
      </c>
      <c r="G148" t="s">
        <v>43</v>
      </c>
      <c r="H148" t="s">
        <v>44</v>
      </c>
      <c r="I148">
        <v>5</v>
      </c>
      <c r="J148">
        <v>1180.1199999999999</v>
      </c>
      <c r="K148">
        <v>0.05</v>
      </c>
      <c r="L148">
        <v>5605.57</v>
      </c>
      <c r="M148">
        <v>3628.41</v>
      </c>
      <c r="N148">
        <v>1977.16</v>
      </c>
      <c r="O148" t="s">
        <v>24</v>
      </c>
      <c r="P148">
        <v>5</v>
      </c>
    </row>
    <row r="149" spans="1:16" x14ac:dyDescent="0.35">
      <c r="A149" t="s">
        <v>368</v>
      </c>
      <c r="B149" s="1">
        <v>45323</v>
      </c>
      <c r="C149" t="s">
        <v>369</v>
      </c>
      <c r="D149" t="s">
        <v>19</v>
      </c>
      <c r="E149" t="s">
        <v>38</v>
      </c>
      <c r="F149" t="s">
        <v>39</v>
      </c>
      <c r="G149" t="s">
        <v>60</v>
      </c>
      <c r="H149" t="s">
        <v>119</v>
      </c>
      <c r="I149">
        <v>6</v>
      </c>
      <c r="J149">
        <v>429.16</v>
      </c>
      <c r="K149">
        <v>0.1</v>
      </c>
      <c r="L149">
        <v>2317.46</v>
      </c>
      <c r="M149">
        <v>1241.83</v>
      </c>
      <c r="N149">
        <v>1075.6300000000001</v>
      </c>
      <c r="O149" t="s">
        <v>24</v>
      </c>
      <c r="P149">
        <v>5</v>
      </c>
    </row>
    <row r="150" spans="1:16" x14ac:dyDescent="0.35">
      <c r="A150" t="s">
        <v>370</v>
      </c>
      <c r="B150" s="1">
        <v>45307</v>
      </c>
      <c r="C150" t="s">
        <v>371</v>
      </c>
      <c r="D150" t="s">
        <v>37</v>
      </c>
      <c r="E150" t="s">
        <v>30</v>
      </c>
      <c r="F150" t="s">
        <v>39</v>
      </c>
      <c r="G150" t="s">
        <v>79</v>
      </c>
      <c r="H150" t="s">
        <v>80</v>
      </c>
      <c r="I150">
        <v>12</v>
      </c>
      <c r="J150">
        <v>593.41999999999996</v>
      </c>
      <c r="K150">
        <v>0</v>
      </c>
      <c r="L150">
        <v>7121.04</v>
      </c>
      <c r="M150">
        <v>4942.33</v>
      </c>
      <c r="N150">
        <v>2178.71</v>
      </c>
      <c r="O150" t="s">
        <v>33</v>
      </c>
      <c r="P150">
        <v>4</v>
      </c>
    </row>
    <row r="151" spans="1:16" x14ac:dyDescent="0.35">
      <c r="A151" t="s">
        <v>372</v>
      </c>
      <c r="B151" s="1">
        <v>45587</v>
      </c>
      <c r="C151" t="s">
        <v>373</v>
      </c>
      <c r="D151" t="s">
        <v>19</v>
      </c>
      <c r="E151" t="s">
        <v>85</v>
      </c>
      <c r="F151" t="s">
        <v>21</v>
      </c>
      <c r="G151" t="s">
        <v>79</v>
      </c>
      <c r="H151" t="s">
        <v>80</v>
      </c>
      <c r="I151">
        <v>6</v>
      </c>
      <c r="J151">
        <v>1098.8499999999999</v>
      </c>
      <c r="K151">
        <v>0.15</v>
      </c>
      <c r="L151">
        <v>5604.13</v>
      </c>
      <c r="M151">
        <v>4547.3999999999996</v>
      </c>
      <c r="N151">
        <v>1056.73</v>
      </c>
      <c r="O151" t="s">
        <v>33</v>
      </c>
      <c r="P151">
        <v>1</v>
      </c>
    </row>
    <row r="152" spans="1:16" x14ac:dyDescent="0.35">
      <c r="A152" t="s">
        <v>374</v>
      </c>
      <c r="B152" s="1">
        <v>45654</v>
      </c>
      <c r="C152" t="s">
        <v>375</v>
      </c>
      <c r="D152" t="s">
        <v>66</v>
      </c>
      <c r="E152" t="s">
        <v>85</v>
      </c>
      <c r="F152" t="s">
        <v>21</v>
      </c>
      <c r="G152" t="s">
        <v>79</v>
      </c>
      <c r="H152" t="s">
        <v>80</v>
      </c>
      <c r="I152">
        <v>4</v>
      </c>
      <c r="J152">
        <v>250.99</v>
      </c>
      <c r="K152">
        <v>0</v>
      </c>
      <c r="L152">
        <v>1003.96</v>
      </c>
      <c r="M152">
        <v>827.42</v>
      </c>
      <c r="N152">
        <v>176.54</v>
      </c>
      <c r="O152" t="s">
        <v>33</v>
      </c>
      <c r="P152">
        <v>1</v>
      </c>
    </row>
    <row r="153" spans="1:16" x14ac:dyDescent="0.35">
      <c r="A153" t="s">
        <v>376</v>
      </c>
      <c r="B153" s="1">
        <v>45315</v>
      </c>
      <c r="C153" t="s">
        <v>377</v>
      </c>
      <c r="D153" t="s">
        <v>49</v>
      </c>
      <c r="E153" t="s">
        <v>38</v>
      </c>
      <c r="F153" t="s">
        <v>39</v>
      </c>
      <c r="G153" t="s">
        <v>43</v>
      </c>
      <c r="H153" t="s">
        <v>173</v>
      </c>
      <c r="I153">
        <v>8</v>
      </c>
      <c r="J153">
        <v>1112.3699999999999</v>
      </c>
      <c r="K153">
        <v>0</v>
      </c>
      <c r="L153">
        <v>8898.9599999999991</v>
      </c>
      <c r="M153">
        <v>4458.62</v>
      </c>
      <c r="N153">
        <v>4440.34</v>
      </c>
      <c r="O153" t="s">
        <v>51</v>
      </c>
      <c r="P153">
        <v>3</v>
      </c>
    </row>
    <row r="154" spans="1:16" x14ac:dyDescent="0.35">
      <c r="A154" t="s">
        <v>378</v>
      </c>
      <c r="B154" s="1">
        <v>45369</v>
      </c>
      <c r="C154" t="s">
        <v>379</v>
      </c>
      <c r="D154" t="s">
        <v>66</v>
      </c>
      <c r="E154" t="s">
        <v>38</v>
      </c>
      <c r="F154" t="s">
        <v>39</v>
      </c>
      <c r="G154" t="s">
        <v>60</v>
      </c>
      <c r="H154" t="s">
        <v>119</v>
      </c>
      <c r="I154">
        <v>11</v>
      </c>
      <c r="J154">
        <v>1113.8699999999999</v>
      </c>
      <c r="K154">
        <v>0</v>
      </c>
      <c r="L154">
        <v>12252.57</v>
      </c>
      <c r="M154">
        <v>9331.39</v>
      </c>
      <c r="N154">
        <v>2921.18</v>
      </c>
      <c r="O154" t="s">
        <v>24</v>
      </c>
      <c r="P154">
        <v>5</v>
      </c>
    </row>
    <row r="155" spans="1:16" x14ac:dyDescent="0.35">
      <c r="A155" t="s">
        <v>380</v>
      </c>
      <c r="B155" s="1">
        <v>45400</v>
      </c>
      <c r="C155" t="s">
        <v>381</v>
      </c>
      <c r="D155" t="s">
        <v>66</v>
      </c>
      <c r="E155" t="s">
        <v>38</v>
      </c>
      <c r="F155" t="s">
        <v>39</v>
      </c>
      <c r="G155" t="s">
        <v>60</v>
      </c>
      <c r="H155" t="s">
        <v>61</v>
      </c>
      <c r="I155">
        <v>10</v>
      </c>
      <c r="J155">
        <v>460.92</v>
      </c>
      <c r="K155">
        <v>0.15</v>
      </c>
      <c r="L155">
        <v>3917.82</v>
      </c>
      <c r="M155">
        <v>2382.69</v>
      </c>
      <c r="N155">
        <v>1535.13</v>
      </c>
      <c r="O155" t="s">
        <v>24</v>
      </c>
      <c r="P155">
        <v>2</v>
      </c>
    </row>
    <row r="156" spans="1:16" x14ac:dyDescent="0.35">
      <c r="A156" t="s">
        <v>382</v>
      </c>
      <c r="B156" s="1">
        <v>45406</v>
      </c>
      <c r="C156" t="s">
        <v>383</v>
      </c>
      <c r="D156" t="s">
        <v>66</v>
      </c>
      <c r="E156" t="s">
        <v>30</v>
      </c>
      <c r="F156" t="s">
        <v>31</v>
      </c>
      <c r="G156" t="s">
        <v>43</v>
      </c>
      <c r="H156" t="s">
        <v>44</v>
      </c>
      <c r="I156">
        <v>10</v>
      </c>
      <c r="J156">
        <v>993.99</v>
      </c>
      <c r="K156">
        <v>0</v>
      </c>
      <c r="L156">
        <v>9939.9</v>
      </c>
      <c r="M156">
        <v>5305.88</v>
      </c>
      <c r="N156">
        <v>4634.0200000000004</v>
      </c>
      <c r="O156" t="s">
        <v>51</v>
      </c>
      <c r="P156">
        <v>2</v>
      </c>
    </row>
    <row r="157" spans="1:16" x14ac:dyDescent="0.35">
      <c r="A157" t="s">
        <v>384</v>
      </c>
      <c r="B157" s="1">
        <v>45440</v>
      </c>
      <c r="C157" t="s">
        <v>385</v>
      </c>
      <c r="D157" t="s">
        <v>29</v>
      </c>
      <c r="E157" t="s">
        <v>38</v>
      </c>
      <c r="F157" t="s">
        <v>21</v>
      </c>
      <c r="G157" t="s">
        <v>43</v>
      </c>
      <c r="H157" t="s">
        <v>50</v>
      </c>
      <c r="I157">
        <v>11</v>
      </c>
      <c r="J157">
        <v>746.02</v>
      </c>
      <c r="K157">
        <v>0.1</v>
      </c>
      <c r="L157">
        <v>7385.6</v>
      </c>
      <c r="M157">
        <v>4798.93</v>
      </c>
      <c r="N157">
        <v>2586.67</v>
      </c>
      <c r="O157" t="s">
        <v>51</v>
      </c>
      <c r="P157">
        <v>2</v>
      </c>
    </row>
    <row r="158" spans="1:16" x14ac:dyDescent="0.35">
      <c r="A158" t="s">
        <v>386</v>
      </c>
      <c r="B158" s="1">
        <v>45465</v>
      </c>
      <c r="C158" t="s">
        <v>387</v>
      </c>
      <c r="D158" t="s">
        <v>19</v>
      </c>
      <c r="E158" t="s">
        <v>20</v>
      </c>
      <c r="F158" t="s">
        <v>39</v>
      </c>
      <c r="G158" t="s">
        <v>79</v>
      </c>
      <c r="H158" t="s">
        <v>103</v>
      </c>
      <c r="I158">
        <v>9</v>
      </c>
      <c r="J158">
        <v>333.49</v>
      </c>
      <c r="K158">
        <v>0.1</v>
      </c>
      <c r="L158">
        <v>2701.27</v>
      </c>
      <c r="M158">
        <v>1687.31</v>
      </c>
      <c r="N158">
        <v>1013.96</v>
      </c>
      <c r="O158" t="s">
        <v>24</v>
      </c>
      <c r="P158">
        <v>5</v>
      </c>
    </row>
    <row r="159" spans="1:16" x14ac:dyDescent="0.35">
      <c r="A159" t="s">
        <v>388</v>
      </c>
      <c r="B159" s="1">
        <v>45421</v>
      </c>
      <c r="C159" t="s">
        <v>389</v>
      </c>
      <c r="D159" t="s">
        <v>19</v>
      </c>
      <c r="E159" t="s">
        <v>98</v>
      </c>
      <c r="F159" t="s">
        <v>39</v>
      </c>
      <c r="G159" t="s">
        <v>22</v>
      </c>
      <c r="H159" t="s">
        <v>74</v>
      </c>
      <c r="I159">
        <v>7</v>
      </c>
      <c r="J159">
        <v>362.76</v>
      </c>
      <c r="K159">
        <v>0.05</v>
      </c>
      <c r="L159">
        <v>2412.35</v>
      </c>
      <c r="M159">
        <v>1770.79</v>
      </c>
      <c r="N159">
        <v>641.55999999999995</v>
      </c>
      <c r="O159" t="s">
        <v>24</v>
      </c>
      <c r="P159">
        <v>4</v>
      </c>
    </row>
    <row r="160" spans="1:16" x14ac:dyDescent="0.35">
      <c r="A160" t="s">
        <v>390</v>
      </c>
      <c r="B160" s="1">
        <v>45503</v>
      </c>
      <c r="C160" t="s">
        <v>391</v>
      </c>
      <c r="D160" t="s">
        <v>19</v>
      </c>
      <c r="E160" t="s">
        <v>20</v>
      </c>
      <c r="F160" t="s">
        <v>39</v>
      </c>
      <c r="G160" t="s">
        <v>60</v>
      </c>
      <c r="H160" t="s">
        <v>110</v>
      </c>
      <c r="I160">
        <v>3</v>
      </c>
      <c r="J160">
        <v>744.33</v>
      </c>
      <c r="K160">
        <v>0.1</v>
      </c>
      <c r="L160">
        <v>2009.69</v>
      </c>
      <c r="M160">
        <v>1138.49</v>
      </c>
      <c r="N160">
        <v>871.2</v>
      </c>
      <c r="O160" t="s">
        <v>24</v>
      </c>
      <c r="P160">
        <v>3</v>
      </c>
    </row>
    <row r="161" spans="1:16" x14ac:dyDescent="0.35">
      <c r="A161" t="s">
        <v>392</v>
      </c>
      <c r="B161" s="1">
        <v>45381</v>
      </c>
      <c r="C161" t="s">
        <v>393</v>
      </c>
      <c r="D161" t="s">
        <v>19</v>
      </c>
      <c r="E161" t="s">
        <v>38</v>
      </c>
      <c r="F161" t="s">
        <v>31</v>
      </c>
      <c r="G161" t="s">
        <v>79</v>
      </c>
      <c r="H161" t="s">
        <v>103</v>
      </c>
      <c r="I161">
        <v>9</v>
      </c>
      <c r="J161">
        <v>297.56</v>
      </c>
      <c r="K161">
        <v>0.1</v>
      </c>
      <c r="L161">
        <v>2410.2399999999998</v>
      </c>
      <c r="M161">
        <v>1775.36</v>
      </c>
      <c r="N161">
        <v>634.88</v>
      </c>
      <c r="O161" t="s">
        <v>62</v>
      </c>
      <c r="P161">
        <v>1</v>
      </c>
    </row>
    <row r="162" spans="1:16" x14ac:dyDescent="0.35">
      <c r="A162" t="s">
        <v>394</v>
      </c>
      <c r="B162" s="1">
        <v>45410</v>
      </c>
      <c r="C162" t="s">
        <v>395</v>
      </c>
      <c r="D162" t="s">
        <v>66</v>
      </c>
      <c r="E162" t="s">
        <v>20</v>
      </c>
      <c r="F162" t="s">
        <v>31</v>
      </c>
      <c r="G162" t="s">
        <v>60</v>
      </c>
      <c r="H162" t="s">
        <v>110</v>
      </c>
      <c r="I162">
        <v>4</v>
      </c>
      <c r="J162">
        <v>861.71</v>
      </c>
      <c r="K162">
        <v>0.05</v>
      </c>
      <c r="L162">
        <v>3274.5</v>
      </c>
      <c r="M162">
        <v>1746.07</v>
      </c>
      <c r="N162">
        <v>1528.43</v>
      </c>
      <c r="O162" t="s">
        <v>62</v>
      </c>
      <c r="P162">
        <v>5</v>
      </c>
    </row>
    <row r="163" spans="1:16" x14ac:dyDescent="0.35">
      <c r="A163" t="s">
        <v>396</v>
      </c>
      <c r="B163" s="1">
        <v>45546</v>
      </c>
      <c r="C163" t="s">
        <v>397</v>
      </c>
      <c r="D163" t="s">
        <v>37</v>
      </c>
      <c r="E163" t="s">
        <v>38</v>
      </c>
      <c r="F163" t="s">
        <v>31</v>
      </c>
      <c r="G163" t="s">
        <v>60</v>
      </c>
      <c r="H163" t="s">
        <v>110</v>
      </c>
      <c r="I163">
        <v>11</v>
      </c>
      <c r="J163">
        <v>142.61000000000001</v>
      </c>
      <c r="K163">
        <v>0.05</v>
      </c>
      <c r="L163">
        <v>1490.27</v>
      </c>
      <c r="M163">
        <v>1064.6300000000001</v>
      </c>
      <c r="N163">
        <v>425.64</v>
      </c>
      <c r="O163" t="s">
        <v>33</v>
      </c>
      <c r="P163">
        <v>3</v>
      </c>
    </row>
    <row r="164" spans="1:16" x14ac:dyDescent="0.35">
      <c r="A164" t="s">
        <v>398</v>
      </c>
      <c r="B164" s="1">
        <v>45479</v>
      </c>
      <c r="C164" t="s">
        <v>399</v>
      </c>
      <c r="D164" t="s">
        <v>49</v>
      </c>
      <c r="E164" t="s">
        <v>20</v>
      </c>
      <c r="F164" t="s">
        <v>31</v>
      </c>
      <c r="G164" t="s">
        <v>60</v>
      </c>
      <c r="H164" t="s">
        <v>61</v>
      </c>
      <c r="I164">
        <v>12</v>
      </c>
      <c r="J164">
        <v>121.32</v>
      </c>
      <c r="K164">
        <v>0.15</v>
      </c>
      <c r="L164">
        <v>1237.46</v>
      </c>
      <c r="M164">
        <v>977.78</v>
      </c>
      <c r="N164">
        <v>259.68</v>
      </c>
      <c r="O164" t="s">
        <v>62</v>
      </c>
      <c r="P164">
        <v>1</v>
      </c>
    </row>
    <row r="165" spans="1:16" x14ac:dyDescent="0.35">
      <c r="A165" t="s">
        <v>400</v>
      </c>
      <c r="B165" s="1">
        <v>45536</v>
      </c>
      <c r="C165" t="s">
        <v>401</v>
      </c>
      <c r="D165" t="s">
        <v>66</v>
      </c>
      <c r="E165" t="s">
        <v>20</v>
      </c>
      <c r="F165" t="s">
        <v>39</v>
      </c>
      <c r="G165" t="s">
        <v>79</v>
      </c>
      <c r="H165" t="s">
        <v>103</v>
      </c>
      <c r="I165">
        <v>9</v>
      </c>
      <c r="J165">
        <v>1104.55</v>
      </c>
      <c r="K165">
        <v>0.15</v>
      </c>
      <c r="L165">
        <v>8449.81</v>
      </c>
      <c r="M165">
        <v>5014.49</v>
      </c>
      <c r="N165">
        <v>3435.32</v>
      </c>
      <c r="O165" t="s">
        <v>33</v>
      </c>
      <c r="P165">
        <v>1</v>
      </c>
    </row>
    <row r="166" spans="1:16" x14ac:dyDescent="0.35">
      <c r="A166" t="s">
        <v>402</v>
      </c>
      <c r="B166" s="1">
        <v>45307</v>
      </c>
      <c r="C166" t="s">
        <v>403</v>
      </c>
      <c r="D166" t="s">
        <v>19</v>
      </c>
      <c r="E166" t="s">
        <v>38</v>
      </c>
      <c r="F166" t="s">
        <v>31</v>
      </c>
      <c r="G166" t="s">
        <v>79</v>
      </c>
      <c r="H166" t="s">
        <v>80</v>
      </c>
      <c r="I166">
        <v>4</v>
      </c>
      <c r="J166">
        <v>547.54</v>
      </c>
      <c r="K166">
        <v>0.1</v>
      </c>
      <c r="L166">
        <v>1971.14</v>
      </c>
      <c r="M166">
        <v>1567.82</v>
      </c>
      <c r="N166">
        <v>403.32</v>
      </c>
      <c r="O166" t="s">
        <v>33</v>
      </c>
      <c r="P166">
        <v>1</v>
      </c>
    </row>
    <row r="167" spans="1:16" x14ac:dyDescent="0.35">
      <c r="A167" t="s">
        <v>404</v>
      </c>
      <c r="B167" s="1">
        <v>45493</v>
      </c>
      <c r="C167" t="s">
        <v>405</v>
      </c>
      <c r="D167" t="s">
        <v>66</v>
      </c>
      <c r="E167" t="s">
        <v>85</v>
      </c>
      <c r="F167" t="s">
        <v>21</v>
      </c>
      <c r="G167" t="s">
        <v>43</v>
      </c>
      <c r="H167" t="s">
        <v>50</v>
      </c>
      <c r="I167">
        <v>11</v>
      </c>
      <c r="J167">
        <v>552.65</v>
      </c>
      <c r="K167">
        <v>0.05</v>
      </c>
      <c r="L167">
        <v>5775.19</v>
      </c>
      <c r="M167">
        <v>3738.02</v>
      </c>
      <c r="N167">
        <v>2037.17</v>
      </c>
      <c r="O167" t="s">
        <v>33</v>
      </c>
      <c r="P167">
        <v>5</v>
      </c>
    </row>
    <row r="168" spans="1:16" x14ac:dyDescent="0.35">
      <c r="A168" t="s">
        <v>406</v>
      </c>
      <c r="B168" s="1">
        <v>45457</v>
      </c>
      <c r="C168" t="s">
        <v>407</v>
      </c>
      <c r="D168" t="s">
        <v>66</v>
      </c>
      <c r="E168" t="s">
        <v>85</v>
      </c>
      <c r="F168" t="s">
        <v>21</v>
      </c>
      <c r="G168" t="s">
        <v>79</v>
      </c>
      <c r="H168" t="s">
        <v>80</v>
      </c>
      <c r="I168">
        <v>6</v>
      </c>
      <c r="J168">
        <v>861.6</v>
      </c>
      <c r="K168">
        <v>0.1</v>
      </c>
      <c r="L168">
        <v>4652.6400000000003</v>
      </c>
      <c r="M168">
        <v>3766.38</v>
      </c>
      <c r="N168">
        <v>886.26</v>
      </c>
      <c r="O168" t="s">
        <v>24</v>
      </c>
      <c r="P168">
        <v>4</v>
      </c>
    </row>
    <row r="169" spans="1:16" x14ac:dyDescent="0.35">
      <c r="A169" t="s">
        <v>408</v>
      </c>
      <c r="B169" s="1">
        <v>45386</v>
      </c>
      <c r="C169" t="s">
        <v>409</v>
      </c>
      <c r="D169" t="s">
        <v>49</v>
      </c>
      <c r="E169" t="s">
        <v>38</v>
      </c>
      <c r="F169" t="s">
        <v>21</v>
      </c>
      <c r="G169" t="s">
        <v>60</v>
      </c>
      <c r="H169" t="s">
        <v>61</v>
      </c>
      <c r="I169">
        <v>3</v>
      </c>
      <c r="J169">
        <v>717.64</v>
      </c>
      <c r="K169">
        <v>0</v>
      </c>
      <c r="L169">
        <v>2152.92</v>
      </c>
      <c r="M169">
        <v>1630.86</v>
      </c>
      <c r="N169">
        <v>522.05999999999995</v>
      </c>
      <c r="O169" t="s">
        <v>33</v>
      </c>
      <c r="P169">
        <v>3</v>
      </c>
    </row>
    <row r="170" spans="1:16" x14ac:dyDescent="0.35">
      <c r="A170" t="s">
        <v>410</v>
      </c>
      <c r="B170" s="1">
        <v>45373</v>
      </c>
      <c r="C170" t="s">
        <v>411</v>
      </c>
      <c r="D170" t="s">
        <v>66</v>
      </c>
      <c r="E170" t="s">
        <v>85</v>
      </c>
      <c r="F170" t="s">
        <v>39</v>
      </c>
      <c r="G170" t="s">
        <v>22</v>
      </c>
      <c r="H170" t="s">
        <v>23</v>
      </c>
      <c r="I170">
        <v>6</v>
      </c>
      <c r="J170">
        <v>930.47</v>
      </c>
      <c r="K170">
        <v>0</v>
      </c>
      <c r="L170">
        <v>5582.82</v>
      </c>
      <c r="M170">
        <v>3303.17</v>
      </c>
      <c r="N170">
        <v>2279.65</v>
      </c>
      <c r="O170" t="s">
        <v>62</v>
      </c>
      <c r="P170">
        <v>4</v>
      </c>
    </row>
    <row r="171" spans="1:16" x14ac:dyDescent="0.35">
      <c r="A171" t="s">
        <v>412</v>
      </c>
      <c r="B171" s="1">
        <v>45501</v>
      </c>
      <c r="C171" t="s">
        <v>413</v>
      </c>
      <c r="D171" t="s">
        <v>29</v>
      </c>
      <c r="E171" t="s">
        <v>38</v>
      </c>
      <c r="F171" t="s">
        <v>21</v>
      </c>
      <c r="G171" t="s">
        <v>79</v>
      </c>
      <c r="H171" t="s">
        <v>89</v>
      </c>
      <c r="I171">
        <v>9</v>
      </c>
      <c r="J171">
        <v>914.07</v>
      </c>
      <c r="K171">
        <v>0.1</v>
      </c>
      <c r="L171">
        <v>7403.97</v>
      </c>
      <c r="M171">
        <v>4077.18</v>
      </c>
      <c r="N171">
        <v>3326.79</v>
      </c>
      <c r="O171" t="s">
        <v>33</v>
      </c>
      <c r="P171">
        <v>1</v>
      </c>
    </row>
    <row r="172" spans="1:16" x14ac:dyDescent="0.35">
      <c r="A172" t="s">
        <v>414</v>
      </c>
      <c r="B172" s="1">
        <v>45535</v>
      </c>
      <c r="C172" t="s">
        <v>415</v>
      </c>
      <c r="D172" t="s">
        <v>29</v>
      </c>
      <c r="E172" t="s">
        <v>85</v>
      </c>
      <c r="F172" t="s">
        <v>31</v>
      </c>
      <c r="G172" t="s">
        <v>79</v>
      </c>
      <c r="H172" t="s">
        <v>89</v>
      </c>
      <c r="I172">
        <v>11</v>
      </c>
      <c r="J172">
        <v>169.99</v>
      </c>
      <c r="K172">
        <v>0.05</v>
      </c>
      <c r="L172">
        <v>1776.4</v>
      </c>
      <c r="M172">
        <v>1508.08</v>
      </c>
      <c r="N172">
        <v>268.32</v>
      </c>
      <c r="O172" t="s">
        <v>62</v>
      </c>
      <c r="P172">
        <v>4</v>
      </c>
    </row>
    <row r="173" spans="1:16" x14ac:dyDescent="0.35">
      <c r="A173" t="s">
        <v>416</v>
      </c>
      <c r="B173" s="1">
        <v>45622</v>
      </c>
      <c r="C173" t="s">
        <v>417</v>
      </c>
      <c r="D173" t="s">
        <v>49</v>
      </c>
      <c r="E173" t="s">
        <v>98</v>
      </c>
      <c r="F173" t="s">
        <v>39</v>
      </c>
      <c r="G173" t="s">
        <v>79</v>
      </c>
      <c r="H173" t="s">
        <v>80</v>
      </c>
      <c r="I173">
        <v>11</v>
      </c>
      <c r="J173">
        <v>141.86000000000001</v>
      </c>
      <c r="K173">
        <v>0.15</v>
      </c>
      <c r="L173">
        <v>1326.39</v>
      </c>
      <c r="M173">
        <v>940.73</v>
      </c>
      <c r="N173">
        <v>385.66</v>
      </c>
      <c r="O173" t="s">
        <v>62</v>
      </c>
      <c r="P173">
        <v>3</v>
      </c>
    </row>
    <row r="174" spans="1:16" x14ac:dyDescent="0.35">
      <c r="A174" t="s">
        <v>418</v>
      </c>
      <c r="B174" s="1">
        <v>45549</v>
      </c>
      <c r="C174" t="s">
        <v>419</v>
      </c>
      <c r="D174" t="s">
        <v>49</v>
      </c>
      <c r="E174" t="s">
        <v>85</v>
      </c>
      <c r="F174" t="s">
        <v>21</v>
      </c>
      <c r="G174" t="s">
        <v>43</v>
      </c>
      <c r="H174" t="s">
        <v>44</v>
      </c>
      <c r="I174">
        <v>12</v>
      </c>
      <c r="J174">
        <v>282.55</v>
      </c>
      <c r="K174">
        <v>0.05</v>
      </c>
      <c r="L174">
        <v>3221.07</v>
      </c>
      <c r="M174">
        <v>1725</v>
      </c>
      <c r="N174">
        <v>1496.07</v>
      </c>
      <c r="O174" t="s">
        <v>24</v>
      </c>
      <c r="P174">
        <v>2</v>
      </c>
    </row>
    <row r="175" spans="1:16" x14ac:dyDescent="0.35">
      <c r="A175" t="s">
        <v>420</v>
      </c>
      <c r="B175" s="1">
        <v>45365</v>
      </c>
      <c r="C175" t="s">
        <v>421</v>
      </c>
      <c r="D175" t="s">
        <v>29</v>
      </c>
      <c r="E175" t="s">
        <v>20</v>
      </c>
      <c r="F175" t="s">
        <v>39</v>
      </c>
      <c r="G175" t="s">
        <v>79</v>
      </c>
      <c r="H175" t="s">
        <v>89</v>
      </c>
      <c r="I175">
        <v>3</v>
      </c>
      <c r="J175">
        <v>584.77</v>
      </c>
      <c r="K175">
        <v>0</v>
      </c>
      <c r="L175">
        <v>1754.31</v>
      </c>
      <c r="M175">
        <v>1455.34</v>
      </c>
      <c r="N175">
        <v>298.97000000000003</v>
      </c>
      <c r="O175" t="s">
        <v>62</v>
      </c>
      <c r="P175">
        <v>4</v>
      </c>
    </row>
    <row r="176" spans="1:16" x14ac:dyDescent="0.35">
      <c r="A176" t="s">
        <v>422</v>
      </c>
      <c r="B176" s="1">
        <v>45582</v>
      </c>
      <c r="C176" t="s">
        <v>423</v>
      </c>
      <c r="D176" t="s">
        <v>49</v>
      </c>
      <c r="E176" t="s">
        <v>85</v>
      </c>
      <c r="F176" t="s">
        <v>39</v>
      </c>
      <c r="G176" t="s">
        <v>22</v>
      </c>
      <c r="H176" t="s">
        <v>32</v>
      </c>
      <c r="I176">
        <v>8</v>
      </c>
      <c r="J176">
        <v>456.58</v>
      </c>
      <c r="K176">
        <v>0</v>
      </c>
      <c r="L176">
        <v>3652.64</v>
      </c>
      <c r="M176">
        <v>2069.62</v>
      </c>
      <c r="N176">
        <v>1583.02</v>
      </c>
      <c r="O176" t="s">
        <v>62</v>
      </c>
      <c r="P176">
        <v>5</v>
      </c>
    </row>
    <row r="177" spans="1:16" x14ac:dyDescent="0.35">
      <c r="A177" t="s">
        <v>424</v>
      </c>
      <c r="B177" s="1">
        <v>45510</v>
      </c>
      <c r="C177" t="s">
        <v>425</v>
      </c>
      <c r="D177" t="s">
        <v>49</v>
      </c>
      <c r="E177" t="s">
        <v>30</v>
      </c>
      <c r="F177" t="s">
        <v>39</v>
      </c>
      <c r="G177" t="s">
        <v>60</v>
      </c>
      <c r="H177" t="s">
        <v>119</v>
      </c>
      <c r="I177">
        <v>8</v>
      </c>
      <c r="J177">
        <v>588.41</v>
      </c>
      <c r="K177">
        <v>0.15</v>
      </c>
      <c r="L177">
        <v>4001.19</v>
      </c>
      <c r="M177">
        <v>3379.78</v>
      </c>
      <c r="N177">
        <v>621.41</v>
      </c>
      <c r="O177" t="s">
        <v>62</v>
      </c>
      <c r="P177">
        <v>4</v>
      </c>
    </row>
    <row r="178" spans="1:16" x14ac:dyDescent="0.35">
      <c r="A178" t="s">
        <v>426</v>
      </c>
      <c r="B178" s="1">
        <v>45531</v>
      </c>
      <c r="C178" t="s">
        <v>427</v>
      </c>
      <c r="D178" t="s">
        <v>66</v>
      </c>
      <c r="E178" t="s">
        <v>30</v>
      </c>
      <c r="F178" t="s">
        <v>39</v>
      </c>
      <c r="G178" t="s">
        <v>43</v>
      </c>
      <c r="H178" t="s">
        <v>44</v>
      </c>
      <c r="I178">
        <v>4</v>
      </c>
      <c r="J178">
        <v>159.41</v>
      </c>
      <c r="K178">
        <v>0.15</v>
      </c>
      <c r="L178">
        <v>541.99</v>
      </c>
      <c r="M178">
        <v>392.7</v>
      </c>
      <c r="N178">
        <v>149.29</v>
      </c>
      <c r="O178" t="s">
        <v>62</v>
      </c>
      <c r="P178">
        <v>4</v>
      </c>
    </row>
    <row r="179" spans="1:16" x14ac:dyDescent="0.35">
      <c r="A179" t="s">
        <v>428</v>
      </c>
      <c r="B179" s="1">
        <v>45595</v>
      </c>
      <c r="C179" t="s">
        <v>429</v>
      </c>
      <c r="D179" t="s">
        <v>49</v>
      </c>
      <c r="E179" t="s">
        <v>38</v>
      </c>
      <c r="F179" t="s">
        <v>31</v>
      </c>
      <c r="G179" t="s">
        <v>79</v>
      </c>
      <c r="H179" t="s">
        <v>80</v>
      </c>
      <c r="I179">
        <v>10</v>
      </c>
      <c r="J179">
        <v>140.77000000000001</v>
      </c>
      <c r="K179">
        <v>0.15</v>
      </c>
      <c r="L179">
        <v>1196.55</v>
      </c>
      <c r="M179">
        <v>627.82000000000005</v>
      </c>
      <c r="N179">
        <v>568.73</v>
      </c>
      <c r="O179" t="s">
        <v>62</v>
      </c>
      <c r="P179">
        <v>1</v>
      </c>
    </row>
    <row r="180" spans="1:16" x14ac:dyDescent="0.35">
      <c r="A180" t="s">
        <v>430</v>
      </c>
      <c r="B180" s="1">
        <v>45550</v>
      </c>
      <c r="C180" t="s">
        <v>431</v>
      </c>
      <c r="D180" t="s">
        <v>29</v>
      </c>
      <c r="E180" t="s">
        <v>98</v>
      </c>
      <c r="F180" t="s">
        <v>21</v>
      </c>
      <c r="G180" t="s">
        <v>79</v>
      </c>
      <c r="H180" t="s">
        <v>89</v>
      </c>
      <c r="I180">
        <v>4</v>
      </c>
      <c r="J180">
        <v>643.5</v>
      </c>
      <c r="K180">
        <v>0</v>
      </c>
      <c r="L180">
        <v>2574</v>
      </c>
      <c r="M180">
        <v>1418.82</v>
      </c>
      <c r="N180">
        <v>1155.18</v>
      </c>
      <c r="O180" t="s">
        <v>33</v>
      </c>
      <c r="P180">
        <v>1</v>
      </c>
    </row>
    <row r="181" spans="1:16" x14ac:dyDescent="0.35">
      <c r="A181" t="s">
        <v>432</v>
      </c>
      <c r="B181" s="1">
        <v>45380</v>
      </c>
      <c r="C181" t="s">
        <v>433</v>
      </c>
      <c r="D181" t="s">
        <v>29</v>
      </c>
      <c r="E181" t="s">
        <v>38</v>
      </c>
      <c r="F181" t="s">
        <v>31</v>
      </c>
      <c r="G181" t="s">
        <v>43</v>
      </c>
      <c r="H181" t="s">
        <v>44</v>
      </c>
      <c r="I181">
        <v>2</v>
      </c>
      <c r="J181">
        <v>983.55</v>
      </c>
      <c r="K181">
        <v>0.1</v>
      </c>
      <c r="L181">
        <v>1770.39</v>
      </c>
      <c r="M181">
        <v>1158.31</v>
      </c>
      <c r="N181">
        <v>612.08000000000004</v>
      </c>
      <c r="O181" t="s">
        <v>62</v>
      </c>
      <c r="P181">
        <v>3</v>
      </c>
    </row>
    <row r="182" spans="1:16" x14ac:dyDescent="0.35">
      <c r="A182" t="s">
        <v>434</v>
      </c>
      <c r="B182" s="1">
        <v>45328</v>
      </c>
      <c r="C182" t="s">
        <v>435</v>
      </c>
      <c r="D182" t="s">
        <v>49</v>
      </c>
      <c r="E182" t="s">
        <v>30</v>
      </c>
      <c r="F182" t="s">
        <v>31</v>
      </c>
      <c r="G182" t="s">
        <v>60</v>
      </c>
      <c r="H182" t="s">
        <v>61</v>
      </c>
      <c r="I182">
        <v>1</v>
      </c>
      <c r="J182">
        <v>330.49</v>
      </c>
      <c r="K182">
        <v>0</v>
      </c>
      <c r="L182">
        <v>330.49</v>
      </c>
      <c r="M182">
        <v>187.48</v>
      </c>
      <c r="N182">
        <v>143.01</v>
      </c>
      <c r="O182" t="s">
        <v>62</v>
      </c>
      <c r="P182">
        <v>2</v>
      </c>
    </row>
    <row r="183" spans="1:16" x14ac:dyDescent="0.35">
      <c r="A183" t="s">
        <v>436</v>
      </c>
      <c r="B183" s="1">
        <v>45393</v>
      </c>
      <c r="C183" t="s">
        <v>437</v>
      </c>
      <c r="D183" t="s">
        <v>29</v>
      </c>
      <c r="E183" t="s">
        <v>85</v>
      </c>
      <c r="F183" t="s">
        <v>31</v>
      </c>
      <c r="G183" t="s">
        <v>79</v>
      </c>
      <c r="H183" t="s">
        <v>103</v>
      </c>
      <c r="I183">
        <v>7</v>
      </c>
      <c r="J183">
        <v>561.27</v>
      </c>
      <c r="K183">
        <v>0.15</v>
      </c>
      <c r="L183">
        <v>3339.56</v>
      </c>
      <c r="M183">
        <v>2827.02</v>
      </c>
      <c r="N183">
        <v>512.54</v>
      </c>
      <c r="O183" t="s">
        <v>51</v>
      </c>
      <c r="P183">
        <v>5</v>
      </c>
    </row>
    <row r="184" spans="1:16" x14ac:dyDescent="0.35">
      <c r="A184" t="s">
        <v>438</v>
      </c>
      <c r="B184" s="1">
        <v>45646</v>
      </c>
      <c r="C184" t="s">
        <v>439</v>
      </c>
      <c r="D184" t="s">
        <v>19</v>
      </c>
      <c r="E184" t="s">
        <v>98</v>
      </c>
      <c r="F184" t="s">
        <v>39</v>
      </c>
      <c r="G184" t="s">
        <v>60</v>
      </c>
      <c r="H184" t="s">
        <v>119</v>
      </c>
      <c r="I184">
        <v>2</v>
      </c>
      <c r="J184">
        <v>176.88</v>
      </c>
      <c r="K184">
        <v>0</v>
      </c>
      <c r="L184">
        <v>353.76</v>
      </c>
      <c r="M184">
        <v>229.24</v>
      </c>
      <c r="N184">
        <v>124.52</v>
      </c>
      <c r="O184" t="s">
        <v>24</v>
      </c>
      <c r="P184">
        <v>3</v>
      </c>
    </row>
    <row r="185" spans="1:16" x14ac:dyDescent="0.35">
      <c r="A185" t="s">
        <v>440</v>
      </c>
      <c r="B185" s="1">
        <v>45424</v>
      </c>
      <c r="C185" t="s">
        <v>441</v>
      </c>
      <c r="D185" t="s">
        <v>19</v>
      </c>
      <c r="E185" t="s">
        <v>85</v>
      </c>
      <c r="F185" t="s">
        <v>39</v>
      </c>
      <c r="G185" t="s">
        <v>43</v>
      </c>
      <c r="H185" t="s">
        <v>50</v>
      </c>
      <c r="I185">
        <v>6</v>
      </c>
      <c r="J185">
        <v>707.17</v>
      </c>
      <c r="K185">
        <v>0.15</v>
      </c>
      <c r="L185">
        <v>3606.57</v>
      </c>
      <c r="M185">
        <v>2036.57</v>
      </c>
      <c r="N185">
        <v>1570</v>
      </c>
      <c r="O185" t="s">
        <v>62</v>
      </c>
      <c r="P185">
        <v>4</v>
      </c>
    </row>
    <row r="186" spans="1:16" x14ac:dyDescent="0.35">
      <c r="A186" t="s">
        <v>442</v>
      </c>
      <c r="B186" s="1">
        <v>45552</v>
      </c>
      <c r="C186" t="s">
        <v>443</v>
      </c>
      <c r="D186" t="s">
        <v>37</v>
      </c>
      <c r="E186" t="s">
        <v>98</v>
      </c>
      <c r="F186" t="s">
        <v>31</v>
      </c>
      <c r="G186" t="s">
        <v>79</v>
      </c>
      <c r="H186" t="s">
        <v>103</v>
      </c>
      <c r="I186">
        <v>10</v>
      </c>
      <c r="J186">
        <v>334.06</v>
      </c>
      <c r="K186">
        <v>0.1</v>
      </c>
      <c r="L186">
        <v>3006.54</v>
      </c>
      <c r="M186">
        <v>1920.88</v>
      </c>
      <c r="N186">
        <v>1085.6600000000001</v>
      </c>
      <c r="O186" t="s">
        <v>33</v>
      </c>
      <c r="P186">
        <v>1</v>
      </c>
    </row>
    <row r="187" spans="1:16" x14ac:dyDescent="0.35">
      <c r="A187" t="s">
        <v>444</v>
      </c>
      <c r="B187" s="1">
        <v>45539</v>
      </c>
      <c r="C187" t="s">
        <v>445</v>
      </c>
      <c r="D187" t="s">
        <v>49</v>
      </c>
      <c r="E187" t="s">
        <v>85</v>
      </c>
      <c r="F187" t="s">
        <v>39</v>
      </c>
      <c r="G187" t="s">
        <v>60</v>
      </c>
      <c r="H187" t="s">
        <v>61</v>
      </c>
      <c r="I187">
        <v>4</v>
      </c>
      <c r="J187">
        <v>209.97</v>
      </c>
      <c r="K187">
        <v>0.1</v>
      </c>
      <c r="L187">
        <v>755.89</v>
      </c>
      <c r="M187">
        <v>534.25</v>
      </c>
      <c r="N187">
        <v>221.64</v>
      </c>
      <c r="O187" t="s">
        <v>24</v>
      </c>
      <c r="P187">
        <v>2</v>
      </c>
    </row>
    <row r="188" spans="1:16" x14ac:dyDescent="0.35">
      <c r="A188" t="s">
        <v>446</v>
      </c>
      <c r="B188" s="1">
        <v>45353</v>
      </c>
      <c r="C188" t="s">
        <v>447</v>
      </c>
      <c r="D188" t="s">
        <v>66</v>
      </c>
      <c r="E188" t="s">
        <v>98</v>
      </c>
      <c r="F188" t="s">
        <v>21</v>
      </c>
      <c r="G188" t="s">
        <v>43</v>
      </c>
      <c r="H188" t="s">
        <v>44</v>
      </c>
      <c r="I188">
        <v>8</v>
      </c>
      <c r="J188">
        <v>969.14</v>
      </c>
      <c r="K188">
        <v>0</v>
      </c>
      <c r="L188">
        <v>7753.12</v>
      </c>
      <c r="M188">
        <v>4600.1499999999996</v>
      </c>
      <c r="N188">
        <v>3152.97</v>
      </c>
      <c r="O188" t="s">
        <v>51</v>
      </c>
      <c r="P188">
        <v>1</v>
      </c>
    </row>
    <row r="189" spans="1:16" x14ac:dyDescent="0.35">
      <c r="A189" t="s">
        <v>448</v>
      </c>
      <c r="B189" s="1">
        <v>45648</v>
      </c>
      <c r="C189" t="s">
        <v>449</v>
      </c>
      <c r="D189" t="s">
        <v>19</v>
      </c>
      <c r="E189" t="s">
        <v>38</v>
      </c>
      <c r="F189" t="s">
        <v>21</v>
      </c>
      <c r="G189" t="s">
        <v>60</v>
      </c>
      <c r="H189" t="s">
        <v>110</v>
      </c>
      <c r="I189">
        <v>4</v>
      </c>
      <c r="J189">
        <v>865.66</v>
      </c>
      <c r="K189">
        <v>0</v>
      </c>
      <c r="L189">
        <v>3462.64</v>
      </c>
      <c r="M189">
        <v>2613.65</v>
      </c>
      <c r="N189">
        <v>848.99</v>
      </c>
      <c r="O189" t="s">
        <v>33</v>
      </c>
      <c r="P189">
        <v>3</v>
      </c>
    </row>
    <row r="190" spans="1:16" x14ac:dyDescent="0.35">
      <c r="A190" t="s">
        <v>450</v>
      </c>
      <c r="B190" s="1">
        <v>45473</v>
      </c>
      <c r="C190" t="s">
        <v>451</v>
      </c>
      <c r="D190" t="s">
        <v>37</v>
      </c>
      <c r="E190" t="s">
        <v>85</v>
      </c>
      <c r="F190" t="s">
        <v>21</v>
      </c>
      <c r="G190" t="s">
        <v>60</v>
      </c>
      <c r="H190" t="s">
        <v>61</v>
      </c>
      <c r="I190">
        <v>12</v>
      </c>
      <c r="J190">
        <v>315.32</v>
      </c>
      <c r="K190">
        <v>0</v>
      </c>
      <c r="L190">
        <v>3783.84</v>
      </c>
      <c r="M190">
        <v>2842.95</v>
      </c>
      <c r="N190">
        <v>940.89</v>
      </c>
      <c r="O190" t="s">
        <v>62</v>
      </c>
      <c r="P190">
        <v>4</v>
      </c>
    </row>
    <row r="191" spans="1:16" x14ac:dyDescent="0.35">
      <c r="A191" t="s">
        <v>452</v>
      </c>
      <c r="B191" s="1">
        <v>45434</v>
      </c>
      <c r="C191" t="s">
        <v>453</v>
      </c>
      <c r="D191" t="s">
        <v>66</v>
      </c>
      <c r="E191" t="s">
        <v>98</v>
      </c>
      <c r="F191" t="s">
        <v>31</v>
      </c>
      <c r="G191" t="s">
        <v>79</v>
      </c>
      <c r="H191" t="s">
        <v>103</v>
      </c>
      <c r="I191">
        <v>5</v>
      </c>
      <c r="J191">
        <v>456.22</v>
      </c>
      <c r="K191">
        <v>0.15</v>
      </c>
      <c r="L191">
        <v>1938.94</v>
      </c>
      <c r="M191">
        <v>999.8</v>
      </c>
      <c r="N191">
        <v>939.14</v>
      </c>
      <c r="O191" t="s">
        <v>24</v>
      </c>
      <c r="P191">
        <v>1</v>
      </c>
    </row>
    <row r="192" spans="1:16" x14ac:dyDescent="0.35">
      <c r="A192" t="s">
        <v>454</v>
      </c>
      <c r="B192" s="1">
        <v>45417</v>
      </c>
      <c r="C192" t="s">
        <v>455</v>
      </c>
      <c r="D192" t="s">
        <v>66</v>
      </c>
      <c r="E192" t="s">
        <v>98</v>
      </c>
      <c r="F192" t="s">
        <v>21</v>
      </c>
      <c r="G192" t="s">
        <v>22</v>
      </c>
      <c r="H192" t="s">
        <v>124</v>
      </c>
      <c r="I192">
        <v>8</v>
      </c>
      <c r="J192">
        <v>844.9</v>
      </c>
      <c r="K192">
        <v>0.1</v>
      </c>
      <c r="L192">
        <v>6083.28</v>
      </c>
      <c r="M192">
        <v>3393.44</v>
      </c>
      <c r="N192">
        <v>2689.84</v>
      </c>
      <c r="O192" t="s">
        <v>33</v>
      </c>
      <c r="P192">
        <v>5</v>
      </c>
    </row>
    <row r="193" spans="1:16" x14ac:dyDescent="0.35">
      <c r="A193" t="s">
        <v>456</v>
      </c>
      <c r="B193" s="1">
        <v>45306</v>
      </c>
      <c r="C193" t="s">
        <v>457</v>
      </c>
      <c r="D193" t="s">
        <v>37</v>
      </c>
      <c r="E193" t="s">
        <v>30</v>
      </c>
      <c r="F193" t="s">
        <v>31</v>
      </c>
      <c r="G193" t="s">
        <v>22</v>
      </c>
      <c r="H193" t="s">
        <v>74</v>
      </c>
      <c r="I193">
        <v>11</v>
      </c>
      <c r="J193">
        <v>763.65</v>
      </c>
      <c r="K193">
        <v>0.15</v>
      </c>
      <c r="L193">
        <v>7140.13</v>
      </c>
      <c r="M193">
        <v>4703.41</v>
      </c>
      <c r="N193">
        <v>2436.7199999999998</v>
      </c>
      <c r="O193" t="s">
        <v>24</v>
      </c>
      <c r="P193">
        <v>2</v>
      </c>
    </row>
    <row r="194" spans="1:16" x14ac:dyDescent="0.35">
      <c r="A194" t="s">
        <v>458</v>
      </c>
      <c r="B194" s="1">
        <v>45640</v>
      </c>
      <c r="C194" t="s">
        <v>459</v>
      </c>
      <c r="D194" t="s">
        <v>37</v>
      </c>
      <c r="E194" t="s">
        <v>98</v>
      </c>
      <c r="F194" t="s">
        <v>39</v>
      </c>
      <c r="G194" t="s">
        <v>79</v>
      </c>
      <c r="H194" t="s">
        <v>80</v>
      </c>
      <c r="I194">
        <v>12</v>
      </c>
      <c r="J194">
        <v>938.58</v>
      </c>
      <c r="K194">
        <v>0.15</v>
      </c>
      <c r="L194">
        <v>9573.52</v>
      </c>
      <c r="M194">
        <v>8126.08</v>
      </c>
      <c r="N194">
        <v>1447.44</v>
      </c>
      <c r="O194" t="s">
        <v>62</v>
      </c>
      <c r="P194">
        <v>1</v>
      </c>
    </row>
    <row r="195" spans="1:16" x14ac:dyDescent="0.35">
      <c r="A195" t="s">
        <v>460</v>
      </c>
      <c r="B195" s="1">
        <v>45602</v>
      </c>
      <c r="C195" t="s">
        <v>461</v>
      </c>
      <c r="D195" t="s">
        <v>29</v>
      </c>
      <c r="E195" t="s">
        <v>38</v>
      </c>
      <c r="F195" t="s">
        <v>21</v>
      </c>
      <c r="G195" t="s">
        <v>79</v>
      </c>
      <c r="H195" t="s">
        <v>103</v>
      </c>
      <c r="I195">
        <v>2</v>
      </c>
      <c r="J195">
        <v>82.34</v>
      </c>
      <c r="K195">
        <v>0.15</v>
      </c>
      <c r="L195">
        <v>139.97999999999999</v>
      </c>
      <c r="M195">
        <v>112.38</v>
      </c>
      <c r="N195">
        <v>27.6</v>
      </c>
      <c r="O195" t="s">
        <v>62</v>
      </c>
      <c r="P195">
        <v>2</v>
      </c>
    </row>
    <row r="196" spans="1:16" x14ac:dyDescent="0.35">
      <c r="A196" t="s">
        <v>462</v>
      </c>
      <c r="B196" s="1">
        <v>45387</v>
      </c>
      <c r="C196" t="s">
        <v>463</v>
      </c>
      <c r="D196" t="s">
        <v>66</v>
      </c>
      <c r="E196" t="s">
        <v>85</v>
      </c>
      <c r="F196" t="s">
        <v>31</v>
      </c>
      <c r="G196" t="s">
        <v>43</v>
      </c>
      <c r="H196" t="s">
        <v>50</v>
      </c>
      <c r="I196">
        <v>3</v>
      </c>
      <c r="J196">
        <v>1001.92</v>
      </c>
      <c r="K196">
        <v>0.15</v>
      </c>
      <c r="L196">
        <v>2554.9</v>
      </c>
      <c r="M196">
        <v>1517.96</v>
      </c>
      <c r="N196">
        <v>1036.94</v>
      </c>
      <c r="O196" t="s">
        <v>24</v>
      </c>
      <c r="P196">
        <v>5</v>
      </c>
    </row>
    <row r="197" spans="1:16" x14ac:dyDescent="0.35">
      <c r="A197" t="s">
        <v>464</v>
      </c>
      <c r="B197" s="1">
        <v>45511</v>
      </c>
      <c r="C197" t="s">
        <v>465</v>
      </c>
      <c r="D197" t="s">
        <v>37</v>
      </c>
      <c r="E197" t="s">
        <v>85</v>
      </c>
      <c r="F197" t="s">
        <v>31</v>
      </c>
      <c r="G197" t="s">
        <v>79</v>
      </c>
      <c r="H197" t="s">
        <v>89</v>
      </c>
      <c r="I197">
        <v>11</v>
      </c>
      <c r="J197">
        <v>942.38</v>
      </c>
      <c r="K197">
        <v>0.1</v>
      </c>
      <c r="L197">
        <v>9329.56</v>
      </c>
      <c r="M197">
        <v>7374.7</v>
      </c>
      <c r="N197">
        <v>1954.86</v>
      </c>
      <c r="O197" t="s">
        <v>62</v>
      </c>
      <c r="P197">
        <v>4</v>
      </c>
    </row>
    <row r="198" spans="1:16" x14ac:dyDescent="0.35">
      <c r="A198" t="s">
        <v>466</v>
      </c>
      <c r="B198" s="1">
        <v>45598</v>
      </c>
      <c r="C198" t="s">
        <v>467</v>
      </c>
      <c r="D198" t="s">
        <v>66</v>
      </c>
      <c r="E198" t="s">
        <v>20</v>
      </c>
      <c r="F198" t="s">
        <v>39</v>
      </c>
      <c r="G198" t="s">
        <v>79</v>
      </c>
      <c r="H198" t="s">
        <v>89</v>
      </c>
      <c r="I198">
        <v>10</v>
      </c>
      <c r="J198">
        <v>174.23</v>
      </c>
      <c r="K198">
        <v>0.05</v>
      </c>
      <c r="L198">
        <v>1655.18</v>
      </c>
      <c r="M198">
        <v>1390.28</v>
      </c>
      <c r="N198">
        <v>264.89999999999998</v>
      </c>
      <c r="O198" t="s">
        <v>62</v>
      </c>
      <c r="P198">
        <v>5</v>
      </c>
    </row>
    <row r="199" spans="1:16" x14ac:dyDescent="0.35">
      <c r="A199" t="s">
        <v>468</v>
      </c>
      <c r="B199" s="1">
        <v>45405</v>
      </c>
      <c r="C199" t="s">
        <v>469</v>
      </c>
      <c r="D199" t="s">
        <v>19</v>
      </c>
      <c r="E199" t="s">
        <v>20</v>
      </c>
      <c r="F199" t="s">
        <v>31</v>
      </c>
      <c r="G199" t="s">
        <v>79</v>
      </c>
      <c r="H199" t="s">
        <v>103</v>
      </c>
      <c r="I199">
        <v>1</v>
      </c>
      <c r="J199">
        <v>520.79</v>
      </c>
      <c r="K199">
        <v>0.15</v>
      </c>
      <c r="L199">
        <v>442.67</v>
      </c>
      <c r="M199">
        <v>339.16</v>
      </c>
      <c r="N199">
        <v>103.51</v>
      </c>
      <c r="O199" t="s">
        <v>62</v>
      </c>
      <c r="P199">
        <v>3</v>
      </c>
    </row>
    <row r="200" spans="1:16" x14ac:dyDescent="0.35">
      <c r="A200" t="s">
        <v>470</v>
      </c>
      <c r="B200" s="1">
        <v>45618</v>
      </c>
      <c r="C200" t="s">
        <v>471</v>
      </c>
      <c r="D200" t="s">
        <v>49</v>
      </c>
      <c r="E200" t="s">
        <v>98</v>
      </c>
      <c r="F200" t="s">
        <v>21</v>
      </c>
      <c r="G200" t="s">
        <v>43</v>
      </c>
      <c r="H200" t="s">
        <v>44</v>
      </c>
      <c r="I200">
        <v>3</v>
      </c>
      <c r="J200">
        <v>943.9</v>
      </c>
      <c r="K200">
        <v>0.1</v>
      </c>
      <c r="L200">
        <v>2548.5300000000002</v>
      </c>
      <c r="M200">
        <v>1992.2</v>
      </c>
      <c r="N200">
        <v>556.33000000000004</v>
      </c>
      <c r="O200" t="s">
        <v>24</v>
      </c>
      <c r="P200">
        <v>2</v>
      </c>
    </row>
    <row r="201" spans="1:16" x14ac:dyDescent="0.35">
      <c r="A201" t="s">
        <v>472</v>
      </c>
      <c r="B201" s="1">
        <v>45340</v>
      </c>
      <c r="C201" t="s">
        <v>473</v>
      </c>
      <c r="D201" t="s">
        <v>29</v>
      </c>
      <c r="E201" t="s">
        <v>85</v>
      </c>
      <c r="F201" t="s">
        <v>21</v>
      </c>
      <c r="G201" t="s">
        <v>22</v>
      </c>
      <c r="H201" t="s">
        <v>124</v>
      </c>
      <c r="I201">
        <v>2</v>
      </c>
      <c r="J201">
        <v>1095.21</v>
      </c>
      <c r="K201">
        <v>0.05</v>
      </c>
      <c r="L201">
        <v>2080.9</v>
      </c>
      <c r="M201">
        <v>1385.45</v>
      </c>
      <c r="N201">
        <v>695.45</v>
      </c>
      <c r="O201" t="s">
        <v>24</v>
      </c>
      <c r="P201">
        <v>4</v>
      </c>
    </row>
    <row r="202" spans="1:16" x14ac:dyDescent="0.35">
      <c r="A202" t="s">
        <v>474</v>
      </c>
      <c r="B202" s="1">
        <v>45543</v>
      </c>
      <c r="C202" t="s">
        <v>475</v>
      </c>
      <c r="D202" t="s">
        <v>37</v>
      </c>
      <c r="E202" t="s">
        <v>38</v>
      </c>
      <c r="F202" t="s">
        <v>21</v>
      </c>
      <c r="G202" t="s">
        <v>60</v>
      </c>
      <c r="H202" t="s">
        <v>110</v>
      </c>
      <c r="I202">
        <v>9</v>
      </c>
      <c r="J202">
        <v>64.45</v>
      </c>
      <c r="K202">
        <v>0.05</v>
      </c>
      <c r="L202">
        <v>551.04999999999995</v>
      </c>
      <c r="M202">
        <v>431.06</v>
      </c>
      <c r="N202">
        <v>119.99</v>
      </c>
      <c r="O202" t="s">
        <v>51</v>
      </c>
      <c r="P202">
        <v>2</v>
      </c>
    </row>
    <row r="203" spans="1:16" x14ac:dyDescent="0.35">
      <c r="A203" t="s">
        <v>476</v>
      </c>
      <c r="B203" s="1">
        <v>45330</v>
      </c>
      <c r="C203" t="s">
        <v>477</v>
      </c>
      <c r="D203" t="s">
        <v>66</v>
      </c>
      <c r="E203" t="s">
        <v>85</v>
      </c>
      <c r="F203" t="s">
        <v>31</v>
      </c>
      <c r="G203" t="s">
        <v>60</v>
      </c>
      <c r="H203" t="s">
        <v>110</v>
      </c>
      <c r="I203">
        <v>10</v>
      </c>
      <c r="J203">
        <v>400.83</v>
      </c>
      <c r="K203">
        <v>0.05</v>
      </c>
      <c r="L203">
        <v>3807.88</v>
      </c>
      <c r="M203">
        <v>2731.49</v>
      </c>
      <c r="N203">
        <v>1076.3900000000001</v>
      </c>
      <c r="O203" t="s">
        <v>62</v>
      </c>
      <c r="P203">
        <v>2</v>
      </c>
    </row>
    <row r="204" spans="1:16" x14ac:dyDescent="0.35">
      <c r="A204" t="s">
        <v>478</v>
      </c>
      <c r="B204" s="1">
        <v>45368</v>
      </c>
      <c r="C204" t="s">
        <v>479</v>
      </c>
      <c r="D204" t="s">
        <v>49</v>
      </c>
      <c r="E204" t="s">
        <v>98</v>
      </c>
      <c r="F204" t="s">
        <v>31</v>
      </c>
      <c r="G204" t="s">
        <v>43</v>
      </c>
      <c r="H204" t="s">
        <v>50</v>
      </c>
      <c r="I204">
        <v>12</v>
      </c>
      <c r="J204">
        <v>879.94</v>
      </c>
      <c r="K204">
        <v>0.1</v>
      </c>
      <c r="L204">
        <v>9503.35</v>
      </c>
      <c r="M204">
        <v>8051.07</v>
      </c>
      <c r="N204">
        <v>1452.28</v>
      </c>
      <c r="O204" t="s">
        <v>33</v>
      </c>
      <c r="P204">
        <v>4</v>
      </c>
    </row>
    <row r="205" spans="1:16" x14ac:dyDescent="0.35">
      <c r="A205" t="s">
        <v>480</v>
      </c>
      <c r="B205" s="1">
        <v>45481</v>
      </c>
      <c r="C205" t="s">
        <v>481</v>
      </c>
      <c r="D205" t="s">
        <v>66</v>
      </c>
      <c r="E205" t="s">
        <v>30</v>
      </c>
      <c r="F205" t="s">
        <v>31</v>
      </c>
      <c r="G205" t="s">
        <v>43</v>
      </c>
      <c r="H205" t="s">
        <v>173</v>
      </c>
      <c r="I205">
        <v>9</v>
      </c>
      <c r="J205">
        <v>825.69</v>
      </c>
      <c r="K205">
        <v>0</v>
      </c>
      <c r="L205">
        <v>7431.21</v>
      </c>
      <c r="M205">
        <v>4969.3100000000004</v>
      </c>
      <c r="N205">
        <v>2461.9</v>
      </c>
      <c r="O205" t="s">
        <v>62</v>
      </c>
      <c r="P205">
        <v>3</v>
      </c>
    </row>
    <row r="206" spans="1:16" x14ac:dyDescent="0.35">
      <c r="A206" t="s">
        <v>482</v>
      </c>
      <c r="B206" s="1">
        <v>45352</v>
      </c>
      <c r="C206" t="s">
        <v>483</v>
      </c>
      <c r="D206" t="s">
        <v>66</v>
      </c>
      <c r="E206" t="s">
        <v>98</v>
      </c>
      <c r="F206" t="s">
        <v>39</v>
      </c>
      <c r="G206" t="s">
        <v>22</v>
      </c>
      <c r="H206" t="s">
        <v>124</v>
      </c>
      <c r="I206">
        <v>3</v>
      </c>
      <c r="J206">
        <v>1065.44</v>
      </c>
      <c r="K206">
        <v>0.05</v>
      </c>
      <c r="L206">
        <v>3036.5</v>
      </c>
      <c r="M206">
        <v>2134.69</v>
      </c>
      <c r="N206">
        <v>901.81</v>
      </c>
      <c r="O206" t="s">
        <v>24</v>
      </c>
      <c r="P206">
        <v>3</v>
      </c>
    </row>
    <row r="207" spans="1:16" x14ac:dyDescent="0.35">
      <c r="A207" t="s">
        <v>484</v>
      </c>
      <c r="B207" s="1">
        <v>45439</v>
      </c>
      <c r="C207" t="s">
        <v>485</v>
      </c>
      <c r="D207" t="s">
        <v>49</v>
      </c>
      <c r="E207" t="s">
        <v>98</v>
      </c>
      <c r="F207" t="s">
        <v>31</v>
      </c>
      <c r="G207" t="s">
        <v>22</v>
      </c>
      <c r="H207" t="s">
        <v>74</v>
      </c>
      <c r="I207">
        <v>10</v>
      </c>
      <c r="J207">
        <v>410.39</v>
      </c>
      <c r="K207">
        <v>0</v>
      </c>
      <c r="L207">
        <v>4103.8999999999996</v>
      </c>
      <c r="M207">
        <v>2358.6799999999998</v>
      </c>
      <c r="N207">
        <v>1745.22</v>
      </c>
      <c r="O207" t="s">
        <v>62</v>
      </c>
      <c r="P207">
        <v>5</v>
      </c>
    </row>
    <row r="208" spans="1:16" x14ac:dyDescent="0.35">
      <c r="A208" t="s">
        <v>486</v>
      </c>
      <c r="B208" s="1">
        <v>45358</v>
      </c>
      <c r="C208" t="s">
        <v>487</v>
      </c>
      <c r="D208" t="s">
        <v>37</v>
      </c>
      <c r="E208" t="s">
        <v>20</v>
      </c>
      <c r="F208" t="s">
        <v>39</v>
      </c>
      <c r="G208" t="s">
        <v>79</v>
      </c>
      <c r="H208" t="s">
        <v>80</v>
      </c>
      <c r="I208">
        <v>12</v>
      </c>
      <c r="J208">
        <v>255.77</v>
      </c>
      <c r="K208">
        <v>0</v>
      </c>
      <c r="L208">
        <v>3069.24</v>
      </c>
      <c r="M208">
        <v>1630.88</v>
      </c>
      <c r="N208">
        <v>1438.36</v>
      </c>
      <c r="O208" t="s">
        <v>33</v>
      </c>
      <c r="P208">
        <v>1</v>
      </c>
    </row>
    <row r="209" spans="1:16" x14ac:dyDescent="0.35">
      <c r="A209" t="s">
        <v>488</v>
      </c>
      <c r="B209" s="1">
        <v>45498</v>
      </c>
      <c r="C209" t="s">
        <v>489</v>
      </c>
      <c r="D209" t="s">
        <v>29</v>
      </c>
      <c r="E209" t="s">
        <v>20</v>
      </c>
      <c r="F209" t="s">
        <v>21</v>
      </c>
      <c r="G209" t="s">
        <v>43</v>
      </c>
      <c r="H209" t="s">
        <v>173</v>
      </c>
      <c r="I209">
        <v>8</v>
      </c>
      <c r="J209">
        <v>80.319999999999993</v>
      </c>
      <c r="K209">
        <v>0.05</v>
      </c>
      <c r="L209">
        <v>610.42999999999995</v>
      </c>
      <c r="M209">
        <v>331.71</v>
      </c>
      <c r="N209">
        <v>278.72000000000003</v>
      </c>
      <c r="O209" t="s">
        <v>24</v>
      </c>
      <c r="P209">
        <v>1</v>
      </c>
    </row>
    <row r="210" spans="1:16" x14ac:dyDescent="0.35">
      <c r="A210" t="s">
        <v>490</v>
      </c>
      <c r="B210" s="1">
        <v>45558</v>
      </c>
      <c r="C210" t="s">
        <v>491</v>
      </c>
      <c r="D210" t="s">
        <v>66</v>
      </c>
      <c r="E210" t="s">
        <v>30</v>
      </c>
      <c r="F210" t="s">
        <v>31</v>
      </c>
      <c r="G210" t="s">
        <v>60</v>
      </c>
      <c r="H210" t="s">
        <v>61</v>
      </c>
      <c r="I210">
        <v>3</v>
      </c>
      <c r="J210">
        <v>187.83</v>
      </c>
      <c r="K210">
        <v>0.15</v>
      </c>
      <c r="L210">
        <v>478.97</v>
      </c>
      <c r="M210">
        <v>261.56</v>
      </c>
      <c r="N210">
        <v>217.41</v>
      </c>
      <c r="O210" t="s">
        <v>51</v>
      </c>
      <c r="P210">
        <v>2</v>
      </c>
    </row>
    <row r="211" spans="1:16" x14ac:dyDescent="0.35">
      <c r="A211" t="s">
        <v>492</v>
      </c>
      <c r="B211" s="1">
        <v>45362</v>
      </c>
      <c r="C211" t="s">
        <v>493</v>
      </c>
      <c r="D211" t="s">
        <v>29</v>
      </c>
      <c r="E211" t="s">
        <v>98</v>
      </c>
      <c r="F211" t="s">
        <v>31</v>
      </c>
      <c r="G211" t="s">
        <v>79</v>
      </c>
      <c r="H211" t="s">
        <v>103</v>
      </c>
      <c r="I211">
        <v>4</v>
      </c>
      <c r="J211">
        <v>500.37</v>
      </c>
      <c r="K211">
        <v>0.1</v>
      </c>
      <c r="L211">
        <v>1801.33</v>
      </c>
      <c r="M211">
        <v>1270.76</v>
      </c>
      <c r="N211">
        <v>530.57000000000005</v>
      </c>
      <c r="O211" t="s">
        <v>51</v>
      </c>
      <c r="P211">
        <v>2</v>
      </c>
    </row>
    <row r="212" spans="1:16" x14ac:dyDescent="0.35">
      <c r="A212" t="s">
        <v>494</v>
      </c>
      <c r="B212" s="1">
        <v>45501</v>
      </c>
      <c r="C212" t="s">
        <v>495</v>
      </c>
      <c r="D212" t="s">
        <v>37</v>
      </c>
      <c r="E212" t="s">
        <v>20</v>
      </c>
      <c r="F212" t="s">
        <v>39</v>
      </c>
      <c r="G212" t="s">
        <v>60</v>
      </c>
      <c r="H212" t="s">
        <v>110</v>
      </c>
      <c r="I212">
        <v>2</v>
      </c>
      <c r="J212">
        <v>72.25</v>
      </c>
      <c r="K212">
        <v>0.05</v>
      </c>
      <c r="L212">
        <v>137.28</v>
      </c>
      <c r="M212">
        <v>92.8</v>
      </c>
      <c r="N212">
        <v>44.48</v>
      </c>
      <c r="O212" t="s">
        <v>51</v>
      </c>
      <c r="P212">
        <v>5</v>
      </c>
    </row>
    <row r="213" spans="1:16" x14ac:dyDescent="0.35">
      <c r="A213" t="s">
        <v>496</v>
      </c>
      <c r="B213" s="1">
        <v>45475</v>
      </c>
      <c r="C213" t="s">
        <v>497</v>
      </c>
      <c r="D213" t="s">
        <v>19</v>
      </c>
      <c r="E213" t="s">
        <v>98</v>
      </c>
      <c r="F213" t="s">
        <v>31</v>
      </c>
      <c r="G213" t="s">
        <v>43</v>
      </c>
      <c r="H213" t="s">
        <v>50</v>
      </c>
      <c r="I213">
        <v>12</v>
      </c>
      <c r="J213">
        <v>82.99</v>
      </c>
      <c r="K213">
        <v>0</v>
      </c>
      <c r="L213">
        <v>995.88</v>
      </c>
      <c r="M213">
        <v>524.41</v>
      </c>
      <c r="N213">
        <v>471.47</v>
      </c>
      <c r="O213" t="s">
        <v>51</v>
      </c>
      <c r="P213">
        <v>4</v>
      </c>
    </row>
    <row r="214" spans="1:16" x14ac:dyDescent="0.35">
      <c r="A214" t="s">
        <v>498</v>
      </c>
      <c r="B214" s="1">
        <v>45499</v>
      </c>
      <c r="C214" t="s">
        <v>499</v>
      </c>
      <c r="D214" t="s">
        <v>49</v>
      </c>
      <c r="E214" t="s">
        <v>85</v>
      </c>
      <c r="F214" t="s">
        <v>21</v>
      </c>
      <c r="G214" t="s">
        <v>22</v>
      </c>
      <c r="H214" t="s">
        <v>23</v>
      </c>
      <c r="I214">
        <v>4</v>
      </c>
      <c r="J214">
        <v>1130.0899999999999</v>
      </c>
      <c r="K214">
        <v>0.05</v>
      </c>
      <c r="L214">
        <v>4294.34</v>
      </c>
      <c r="M214">
        <v>3564.75</v>
      </c>
      <c r="N214">
        <v>729.59</v>
      </c>
      <c r="O214" t="s">
        <v>62</v>
      </c>
      <c r="P214">
        <v>1</v>
      </c>
    </row>
    <row r="215" spans="1:16" x14ac:dyDescent="0.35">
      <c r="A215" t="s">
        <v>500</v>
      </c>
      <c r="B215" s="1">
        <v>45321</v>
      </c>
      <c r="C215" t="s">
        <v>501</v>
      </c>
      <c r="D215" t="s">
        <v>37</v>
      </c>
      <c r="E215" t="s">
        <v>85</v>
      </c>
      <c r="F215" t="s">
        <v>21</v>
      </c>
      <c r="G215" t="s">
        <v>60</v>
      </c>
      <c r="H215" t="s">
        <v>119</v>
      </c>
      <c r="I215">
        <v>5</v>
      </c>
      <c r="J215">
        <v>970.28</v>
      </c>
      <c r="K215">
        <v>0.05</v>
      </c>
      <c r="L215">
        <v>4608.83</v>
      </c>
      <c r="M215">
        <v>2943.96</v>
      </c>
      <c r="N215">
        <v>1664.87</v>
      </c>
      <c r="O215" t="s">
        <v>24</v>
      </c>
      <c r="P215">
        <v>3</v>
      </c>
    </row>
    <row r="216" spans="1:16" x14ac:dyDescent="0.35">
      <c r="A216" t="s">
        <v>502</v>
      </c>
      <c r="B216" s="1">
        <v>45317</v>
      </c>
      <c r="C216" t="s">
        <v>503</v>
      </c>
      <c r="D216" t="s">
        <v>29</v>
      </c>
      <c r="E216" t="s">
        <v>30</v>
      </c>
      <c r="F216" t="s">
        <v>21</v>
      </c>
      <c r="G216" t="s">
        <v>79</v>
      </c>
      <c r="H216" t="s">
        <v>103</v>
      </c>
      <c r="I216">
        <v>9</v>
      </c>
      <c r="J216">
        <v>586.1</v>
      </c>
      <c r="K216">
        <v>0</v>
      </c>
      <c r="L216">
        <v>5274.9</v>
      </c>
      <c r="M216">
        <v>2706.42</v>
      </c>
      <c r="N216">
        <v>2568.48</v>
      </c>
      <c r="O216" t="s">
        <v>24</v>
      </c>
      <c r="P216">
        <v>1</v>
      </c>
    </row>
    <row r="217" spans="1:16" x14ac:dyDescent="0.35">
      <c r="A217" t="s">
        <v>504</v>
      </c>
      <c r="B217" s="1">
        <v>45402</v>
      </c>
      <c r="C217" t="s">
        <v>505</v>
      </c>
      <c r="D217" t="s">
        <v>19</v>
      </c>
      <c r="E217" t="s">
        <v>98</v>
      </c>
      <c r="F217" t="s">
        <v>21</v>
      </c>
      <c r="G217" t="s">
        <v>60</v>
      </c>
      <c r="H217" t="s">
        <v>61</v>
      </c>
      <c r="I217">
        <v>2</v>
      </c>
      <c r="J217">
        <v>183.64</v>
      </c>
      <c r="K217">
        <v>0.1</v>
      </c>
      <c r="L217">
        <v>330.55</v>
      </c>
      <c r="M217">
        <v>171</v>
      </c>
      <c r="N217">
        <v>159.55000000000001</v>
      </c>
      <c r="O217" t="s">
        <v>24</v>
      </c>
      <c r="P217">
        <v>4</v>
      </c>
    </row>
    <row r="218" spans="1:16" x14ac:dyDescent="0.35">
      <c r="A218" t="s">
        <v>506</v>
      </c>
      <c r="B218" s="1">
        <v>45497</v>
      </c>
      <c r="C218" t="s">
        <v>507</v>
      </c>
      <c r="D218" t="s">
        <v>29</v>
      </c>
      <c r="E218" t="s">
        <v>20</v>
      </c>
      <c r="F218" t="s">
        <v>21</v>
      </c>
      <c r="G218" t="s">
        <v>22</v>
      </c>
      <c r="H218" t="s">
        <v>124</v>
      </c>
      <c r="I218">
        <v>8</v>
      </c>
      <c r="J218">
        <v>599.29999999999995</v>
      </c>
      <c r="K218">
        <v>0</v>
      </c>
      <c r="L218">
        <v>4794.3999999999996</v>
      </c>
      <c r="M218">
        <v>4006.5</v>
      </c>
      <c r="N218">
        <v>787.9</v>
      </c>
      <c r="O218" t="s">
        <v>51</v>
      </c>
      <c r="P218">
        <v>3</v>
      </c>
    </row>
    <row r="219" spans="1:16" x14ac:dyDescent="0.35">
      <c r="A219" t="s">
        <v>508</v>
      </c>
      <c r="B219" s="1">
        <v>45354</v>
      </c>
      <c r="C219" t="s">
        <v>509</v>
      </c>
      <c r="D219" t="s">
        <v>66</v>
      </c>
      <c r="E219" t="s">
        <v>85</v>
      </c>
      <c r="F219" t="s">
        <v>21</v>
      </c>
      <c r="G219" t="s">
        <v>79</v>
      </c>
      <c r="H219" t="s">
        <v>89</v>
      </c>
      <c r="I219">
        <v>9</v>
      </c>
      <c r="J219">
        <v>1186.71</v>
      </c>
      <c r="K219">
        <v>0.15</v>
      </c>
      <c r="L219">
        <v>9078.33</v>
      </c>
      <c r="M219">
        <v>5422.6</v>
      </c>
      <c r="N219">
        <v>3655.73</v>
      </c>
      <c r="O219" t="s">
        <v>33</v>
      </c>
      <c r="P219">
        <v>2</v>
      </c>
    </row>
    <row r="220" spans="1:16" x14ac:dyDescent="0.35">
      <c r="A220" t="s">
        <v>510</v>
      </c>
      <c r="B220" s="1">
        <v>45506</v>
      </c>
      <c r="C220" t="s">
        <v>511</v>
      </c>
      <c r="D220" t="s">
        <v>19</v>
      </c>
      <c r="E220" t="s">
        <v>30</v>
      </c>
      <c r="F220" t="s">
        <v>39</v>
      </c>
      <c r="G220" t="s">
        <v>60</v>
      </c>
      <c r="H220" t="s">
        <v>119</v>
      </c>
      <c r="I220">
        <v>7</v>
      </c>
      <c r="J220">
        <v>940.25</v>
      </c>
      <c r="K220">
        <v>0</v>
      </c>
      <c r="L220">
        <v>6581.75</v>
      </c>
      <c r="M220">
        <v>3381.86</v>
      </c>
      <c r="N220">
        <v>3199.89</v>
      </c>
      <c r="O220" t="s">
        <v>24</v>
      </c>
      <c r="P220">
        <v>4</v>
      </c>
    </row>
    <row r="221" spans="1:16" x14ac:dyDescent="0.35">
      <c r="A221" t="s">
        <v>512</v>
      </c>
      <c r="B221" s="1">
        <v>45323</v>
      </c>
      <c r="C221" t="s">
        <v>513</v>
      </c>
      <c r="D221" t="s">
        <v>49</v>
      </c>
      <c r="E221" t="s">
        <v>98</v>
      </c>
      <c r="F221" t="s">
        <v>31</v>
      </c>
      <c r="G221" t="s">
        <v>79</v>
      </c>
      <c r="H221" t="s">
        <v>80</v>
      </c>
      <c r="I221">
        <v>3</v>
      </c>
      <c r="J221">
        <v>624.1</v>
      </c>
      <c r="K221">
        <v>0.05</v>
      </c>
      <c r="L221">
        <v>1778.69</v>
      </c>
      <c r="M221">
        <v>904.8</v>
      </c>
      <c r="N221">
        <v>873.89</v>
      </c>
      <c r="O221" t="s">
        <v>33</v>
      </c>
      <c r="P221">
        <v>4</v>
      </c>
    </row>
    <row r="222" spans="1:16" x14ac:dyDescent="0.35">
      <c r="A222" t="s">
        <v>514</v>
      </c>
      <c r="B222" s="1">
        <v>45412</v>
      </c>
      <c r="C222" t="s">
        <v>515</v>
      </c>
      <c r="D222" t="s">
        <v>37</v>
      </c>
      <c r="E222" t="s">
        <v>20</v>
      </c>
      <c r="F222" t="s">
        <v>31</v>
      </c>
      <c r="G222" t="s">
        <v>79</v>
      </c>
      <c r="H222" t="s">
        <v>80</v>
      </c>
      <c r="I222">
        <v>6</v>
      </c>
      <c r="J222">
        <v>328.63</v>
      </c>
      <c r="K222">
        <v>0.1</v>
      </c>
      <c r="L222">
        <v>1774.6</v>
      </c>
      <c r="M222">
        <v>889.96</v>
      </c>
      <c r="N222">
        <v>884.64</v>
      </c>
      <c r="O222" t="s">
        <v>51</v>
      </c>
      <c r="P222">
        <v>5</v>
      </c>
    </row>
    <row r="223" spans="1:16" x14ac:dyDescent="0.35">
      <c r="A223" t="s">
        <v>516</v>
      </c>
      <c r="B223" s="1">
        <v>45626</v>
      </c>
      <c r="C223" t="s">
        <v>517</v>
      </c>
      <c r="D223" t="s">
        <v>49</v>
      </c>
      <c r="E223" t="s">
        <v>38</v>
      </c>
      <c r="F223" t="s">
        <v>31</v>
      </c>
      <c r="G223" t="s">
        <v>43</v>
      </c>
      <c r="H223" t="s">
        <v>50</v>
      </c>
      <c r="I223">
        <v>1</v>
      </c>
      <c r="J223">
        <v>48.47</v>
      </c>
      <c r="K223">
        <v>0.1</v>
      </c>
      <c r="L223">
        <v>43.62</v>
      </c>
      <c r="M223">
        <v>30.03</v>
      </c>
      <c r="N223">
        <v>13.59</v>
      </c>
      <c r="O223" t="s">
        <v>51</v>
      </c>
      <c r="P223">
        <v>5</v>
      </c>
    </row>
    <row r="224" spans="1:16" x14ac:dyDescent="0.35">
      <c r="A224" t="s">
        <v>518</v>
      </c>
      <c r="B224" s="1">
        <v>45430</v>
      </c>
      <c r="C224" t="s">
        <v>519</v>
      </c>
      <c r="D224" t="s">
        <v>66</v>
      </c>
      <c r="E224" t="s">
        <v>20</v>
      </c>
      <c r="F224" t="s">
        <v>31</v>
      </c>
      <c r="G224" t="s">
        <v>79</v>
      </c>
      <c r="H224" t="s">
        <v>80</v>
      </c>
      <c r="I224">
        <v>2</v>
      </c>
      <c r="J224">
        <v>954.46</v>
      </c>
      <c r="K224">
        <v>0.15</v>
      </c>
      <c r="L224">
        <v>1622.58</v>
      </c>
      <c r="M224">
        <v>1334.95</v>
      </c>
      <c r="N224">
        <v>287.63</v>
      </c>
      <c r="O224" t="s">
        <v>62</v>
      </c>
      <c r="P224">
        <v>3</v>
      </c>
    </row>
    <row r="225" spans="1:16" x14ac:dyDescent="0.35">
      <c r="A225" t="s">
        <v>520</v>
      </c>
      <c r="B225" s="1">
        <v>45327</v>
      </c>
      <c r="C225" t="s">
        <v>521</v>
      </c>
      <c r="D225" t="s">
        <v>19</v>
      </c>
      <c r="E225" t="s">
        <v>98</v>
      </c>
      <c r="F225" t="s">
        <v>31</v>
      </c>
      <c r="G225" t="s">
        <v>60</v>
      </c>
      <c r="H225" t="s">
        <v>119</v>
      </c>
      <c r="I225">
        <v>1</v>
      </c>
      <c r="J225">
        <v>617.24</v>
      </c>
      <c r="K225">
        <v>0.1</v>
      </c>
      <c r="L225">
        <v>555.52</v>
      </c>
      <c r="M225">
        <v>283.79000000000002</v>
      </c>
      <c r="N225">
        <v>271.73</v>
      </c>
      <c r="O225" t="s">
        <v>33</v>
      </c>
      <c r="P225">
        <v>3</v>
      </c>
    </row>
    <row r="226" spans="1:16" x14ac:dyDescent="0.35">
      <c r="A226" t="s">
        <v>522</v>
      </c>
      <c r="B226" s="1">
        <v>45299</v>
      </c>
      <c r="C226" t="s">
        <v>523</v>
      </c>
      <c r="D226" t="s">
        <v>49</v>
      </c>
      <c r="E226" t="s">
        <v>30</v>
      </c>
      <c r="F226" t="s">
        <v>39</v>
      </c>
      <c r="G226" t="s">
        <v>22</v>
      </c>
      <c r="H226" t="s">
        <v>32</v>
      </c>
      <c r="I226">
        <v>8</v>
      </c>
      <c r="J226">
        <v>924.25</v>
      </c>
      <c r="K226">
        <v>0.1</v>
      </c>
      <c r="L226">
        <v>6654.6</v>
      </c>
      <c r="M226">
        <v>4875.3999999999996</v>
      </c>
      <c r="N226">
        <v>1779.2</v>
      </c>
      <c r="O226" t="s">
        <v>33</v>
      </c>
      <c r="P226">
        <v>5</v>
      </c>
    </row>
    <row r="227" spans="1:16" x14ac:dyDescent="0.35">
      <c r="A227" t="s">
        <v>524</v>
      </c>
      <c r="B227" s="1">
        <v>45346</v>
      </c>
      <c r="C227" t="s">
        <v>525</v>
      </c>
      <c r="D227" t="s">
        <v>29</v>
      </c>
      <c r="E227" t="s">
        <v>98</v>
      </c>
      <c r="F227" t="s">
        <v>39</v>
      </c>
      <c r="G227" t="s">
        <v>22</v>
      </c>
      <c r="H227" t="s">
        <v>74</v>
      </c>
      <c r="I227">
        <v>11</v>
      </c>
      <c r="J227">
        <v>876.37</v>
      </c>
      <c r="K227">
        <v>0.05</v>
      </c>
      <c r="L227">
        <v>9158.07</v>
      </c>
      <c r="M227">
        <v>6713.59</v>
      </c>
      <c r="N227">
        <v>2444.48</v>
      </c>
      <c r="O227" t="s">
        <v>62</v>
      </c>
      <c r="P227">
        <v>3</v>
      </c>
    </row>
    <row r="228" spans="1:16" x14ac:dyDescent="0.35">
      <c r="A228" t="s">
        <v>526</v>
      </c>
      <c r="B228" s="1">
        <v>45456</v>
      </c>
      <c r="C228" t="s">
        <v>527</v>
      </c>
      <c r="D228" t="s">
        <v>29</v>
      </c>
      <c r="E228" t="s">
        <v>30</v>
      </c>
      <c r="F228" t="s">
        <v>31</v>
      </c>
      <c r="G228" t="s">
        <v>43</v>
      </c>
      <c r="H228" t="s">
        <v>173</v>
      </c>
      <c r="I228">
        <v>4</v>
      </c>
      <c r="J228">
        <v>1134.33</v>
      </c>
      <c r="K228">
        <v>0</v>
      </c>
      <c r="L228">
        <v>4537.32</v>
      </c>
      <c r="M228">
        <v>2455.9</v>
      </c>
      <c r="N228">
        <v>2081.42</v>
      </c>
      <c r="O228" t="s">
        <v>33</v>
      </c>
      <c r="P228">
        <v>2</v>
      </c>
    </row>
    <row r="229" spans="1:16" x14ac:dyDescent="0.35">
      <c r="A229" t="s">
        <v>528</v>
      </c>
      <c r="B229" s="1">
        <v>45303</v>
      </c>
      <c r="C229" t="s">
        <v>529</v>
      </c>
      <c r="D229" t="s">
        <v>66</v>
      </c>
      <c r="E229" t="s">
        <v>98</v>
      </c>
      <c r="F229" t="s">
        <v>31</v>
      </c>
      <c r="G229" t="s">
        <v>60</v>
      </c>
      <c r="H229" t="s">
        <v>61</v>
      </c>
      <c r="I229">
        <v>3</v>
      </c>
      <c r="J229">
        <v>193.88</v>
      </c>
      <c r="K229">
        <v>0</v>
      </c>
      <c r="L229">
        <v>581.64</v>
      </c>
      <c r="M229">
        <v>491.89</v>
      </c>
      <c r="N229">
        <v>89.75</v>
      </c>
      <c r="O229" t="s">
        <v>24</v>
      </c>
      <c r="P229">
        <v>1</v>
      </c>
    </row>
    <row r="230" spans="1:16" x14ac:dyDescent="0.35">
      <c r="A230" t="s">
        <v>530</v>
      </c>
      <c r="B230" s="1">
        <v>45448</v>
      </c>
      <c r="C230" t="s">
        <v>531</v>
      </c>
      <c r="D230" t="s">
        <v>66</v>
      </c>
      <c r="E230" t="s">
        <v>85</v>
      </c>
      <c r="F230" t="s">
        <v>21</v>
      </c>
      <c r="G230" t="s">
        <v>22</v>
      </c>
      <c r="H230" t="s">
        <v>32</v>
      </c>
      <c r="I230">
        <v>11</v>
      </c>
      <c r="J230">
        <v>1047.6600000000001</v>
      </c>
      <c r="K230">
        <v>0.05</v>
      </c>
      <c r="L230">
        <v>10948.05</v>
      </c>
      <c r="M230">
        <v>6324.64</v>
      </c>
      <c r="N230">
        <v>4623.41</v>
      </c>
      <c r="O230" t="s">
        <v>24</v>
      </c>
      <c r="P230">
        <v>1</v>
      </c>
    </row>
    <row r="231" spans="1:16" x14ac:dyDescent="0.35">
      <c r="A231" t="s">
        <v>532</v>
      </c>
      <c r="B231" s="1">
        <v>45435</v>
      </c>
      <c r="C231" t="s">
        <v>533</v>
      </c>
      <c r="D231" t="s">
        <v>19</v>
      </c>
      <c r="E231" t="s">
        <v>38</v>
      </c>
      <c r="F231" t="s">
        <v>39</v>
      </c>
      <c r="G231" t="s">
        <v>60</v>
      </c>
      <c r="H231" t="s">
        <v>61</v>
      </c>
      <c r="I231">
        <v>9</v>
      </c>
      <c r="J231">
        <v>817.3</v>
      </c>
      <c r="K231">
        <v>0.05</v>
      </c>
      <c r="L231">
        <v>6987.91</v>
      </c>
      <c r="M231">
        <v>4980.47</v>
      </c>
      <c r="N231">
        <v>2007.44</v>
      </c>
      <c r="O231" t="s">
        <v>24</v>
      </c>
      <c r="P231">
        <v>5</v>
      </c>
    </row>
    <row r="232" spans="1:16" x14ac:dyDescent="0.35">
      <c r="A232" t="s">
        <v>534</v>
      </c>
      <c r="B232" s="1">
        <v>45302</v>
      </c>
      <c r="C232" t="s">
        <v>535</v>
      </c>
      <c r="D232" t="s">
        <v>29</v>
      </c>
      <c r="E232" t="s">
        <v>38</v>
      </c>
      <c r="F232" t="s">
        <v>21</v>
      </c>
      <c r="G232" t="s">
        <v>22</v>
      </c>
      <c r="H232" t="s">
        <v>74</v>
      </c>
      <c r="I232">
        <v>10</v>
      </c>
      <c r="J232">
        <v>406.97</v>
      </c>
      <c r="K232">
        <v>0.15</v>
      </c>
      <c r="L232">
        <v>3459.25</v>
      </c>
      <c r="M232">
        <v>2576.3000000000002</v>
      </c>
      <c r="N232">
        <v>882.95</v>
      </c>
      <c r="O232" t="s">
        <v>24</v>
      </c>
      <c r="P232">
        <v>4</v>
      </c>
    </row>
    <row r="233" spans="1:16" x14ac:dyDescent="0.35">
      <c r="A233" t="s">
        <v>536</v>
      </c>
      <c r="B233" s="1">
        <v>45302</v>
      </c>
      <c r="C233" t="s">
        <v>537</v>
      </c>
      <c r="D233" t="s">
        <v>29</v>
      </c>
      <c r="E233" t="s">
        <v>30</v>
      </c>
      <c r="F233" t="s">
        <v>31</v>
      </c>
      <c r="G233" t="s">
        <v>22</v>
      </c>
      <c r="H233" t="s">
        <v>32</v>
      </c>
      <c r="I233">
        <v>11</v>
      </c>
      <c r="J233">
        <v>463.96</v>
      </c>
      <c r="K233">
        <v>0.05</v>
      </c>
      <c r="L233">
        <v>4848.38</v>
      </c>
      <c r="M233">
        <v>3475.31</v>
      </c>
      <c r="N233">
        <v>1373.07</v>
      </c>
      <c r="O233" t="s">
        <v>24</v>
      </c>
      <c r="P233">
        <v>3</v>
      </c>
    </row>
    <row r="234" spans="1:16" x14ac:dyDescent="0.35">
      <c r="A234" t="s">
        <v>538</v>
      </c>
      <c r="B234" s="1">
        <v>45499</v>
      </c>
      <c r="C234" t="s">
        <v>539</v>
      </c>
      <c r="D234" t="s">
        <v>19</v>
      </c>
      <c r="E234" t="s">
        <v>38</v>
      </c>
      <c r="F234" t="s">
        <v>39</v>
      </c>
      <c r="G234" t="s">
        <v>22</v>
      </c>
      <c r="H234" t="s">
        <v>124</v>
      </c>
      <c r="I234">
        <v>1</v>
      </c>
      <c r="J234">
        <v>985.15</v>
      </c>
      <c r="K234">
        <v>0.15</v>
      </c>
      <c r="L234">
        <v>837.38</v>
      </c>
      <c r="M234">
        <v>659.22</v>
      </c>
      <c r="N234">
        <v>178.16</v>
      </c>
      <c r="O234" t="s">
        <v>51</v>
      </c>
      <c r="P234">
        <v>1</v>
      </c>
    </row>
    <row r="235" spans="1:16" x14ac:dyDescent="0.35">
      <c r="A235" t="s">
        <v>540</v>
      </c>
      <c r="B235" s="1">
        <v>45458</v>
      </c>
      <c r="C235" t="s">
        <v>541</v>
      </c>
      <c r="D235" t="s">
        <v>49</v>
      </c>
      <c r="E235" t="s">
        <v>85</v>
      </c>
      <c r="F235" t="s">
        <v>31</v>
      </c>
      <c r="G235" t="s">
        <v>43</v>
      </c>
      <c r="H235" t="s">
        <v>44</v>
      </c>
      <c r="I235">
        <v>3</v>
      </c>
      <c r="J235">
        <v>616.14</v>
      </c>
      <c r="K235">
        <v>0.1</v>
      </c>
      <c r="L235">
        <v>1663.58</v>
      </c>
      <c r="M235">
        <v>1252.18</v>
      </c>
      <c r="N235">
        <v>411.4</v>
      </c>
      <c r="O235" t="s">
        <v>33</v>
      </c>
      <c r="P235">
        <v>3</v>
      </c>
    </row>
    <row r="236" spans="1:16" x14ac:dyDescent="0.35">
      <c r="A236" t="s">
        <v>542</v>
      </c>
      <c r="B236" s="1">
        <v>45299</v>
      </c>
      <c r="C236" t="s">
        <v>543</v>
      </c>
      <c r="D236" t="s">
        <v>66</v>
      </c>
      <c r="E236" t="s">
        <v>38</v>
      </c>
      <c r="F236" t="s">
        <v>39</v>
      </c>
      <c r="G236" t="s">
        <v>60</v>
      </c>
      <c r="H236" t="s">
        <v>110</v>
      </c>
      <c r="I236">
        <v>2</v>
      </c>
      <c r="J236">
        <v>29.23</v>
      </c>
      <c r="K236">
        <v>0.05</v>
      </c>
      <c r="L236">
        <v>55.54</v>
      </c>
      <c r="M236">
        <v>38.799999999999997</v>
      </c>
      <c r="N236">
        <v>16.739999999999998</v>
      </c>
      <c r="O236" t="s">
        <v>62</v>
      </c>
      <c r="P236">
        <v>4</v>
      </c>
    </row>
    <row r="237" spans="1:16" x14ac:dyDescent="0.35">
      <c r="A237" t="s">
        <v>544</v>
      </c>
      <c r="B237" s="1">
        <v>45404</v>
      </c>
      <c r="C237" t="s">
        <v>545</v>
      </c>
      <c r="D237" t="s">
        <v>29</v>
      </c>
      <c r="E237" t="s">
        <v>38</v>
      </c>
      <c r="F237" t="s">
        <v>39</v>
      </c>
      <c r="G237" t="s">
        <v>60</v>
      </c>
      <c r="H237" t="s">
        <v>61</v>
      </c>
      <c r="I237">
        <v>7</v>
      </c>
      <c r="J237">
        <v>77.209999999999994</v>
      </c>
      <c r="K237">
        <v>0</v>
      </c>
      <c r="L237">
        <v>540.47</v>
      </c>
      <c r="M237">
        <v>404.86</v>
      </c>
      <c r="N237">
        <v>135.61000000000001</v>
      </c>
      <c r="O237" t="s">
        <v>62</v>
      </c>
      <c r="P237">
        <v>2</v>
      </c>
    </row>
    <row r="238" spans="1:16" x14ac:dyDescent="0.35">
      <c r="A238" t="s">
        <v>546</v>
      </c>
      <c r="B238" s="1">
        <v>45571</v>
      </c>
      <c r="C238" t="s">
        <v>547</v>
      </c>
      <c r="D238" t="s">
        <v>37</v>
      </c>
      <c r="E238" t="s">
        <v>20</v>
      </c>
      <c r="F238" t="s">
        <v>39</v>
      </c>
      <c r="G238" t="s">
        <v>60</v>
      </c>
      <c r="H238" t="s">
        <v>119</v>
      </c>
      <c r="I238">
        <v>7</v>
      </c>
      <c r="J238">
        <v>780.58</v>
      </c>
      <c r="K238">
        <v>0.1</v>
      </c>
      <c r="L238">
        <v>4917.6499999999996</v>
      </c>
      <c r="M238">
        <v>4130.74</v>
      </c>
      <c r="N238">
        <v>786.91</v>
      </c>
      <c r="O238" t="s">
        <v>33</v>
      </c>
      <c r="P238">
        <v>4</v>
      </c>
    </row>
    <row r="239" spans="1:16" x14ac:dyDescent="0.35">
      <c r="A239" t="s">
        <v>548</v>
      </c>
      <c r="B239" s="1">
        <v>45490</v>
      </c>
      <c r="C239" t="s">
        <v>549</v>
      </c>
      <c r="D239" t="s">
        <v>37</v>
      </c>
      <c r="E239" t="s">
        <v>38</v>
      </c>
      <c r="F239" t="s">
        <v>39</v>
      </c>
      <c r="G239" t="s">
        <v>43</v>
      </c>
      <c r="H239" t="s">
        <v>44</v>
      </c>
      <c r="I239">
        <v>11</v>
      </c>
      <c r="J239">
        <v>724.28</v>
      </c>
      <c r="K239">
        <v>0.15</v>
      </c>
      <c r="L239">
        <v>6772.02</v>
      </c>
      <c r="M239">
        <v>3404.31</v>
      </c>
      <c r="N239">
        <v>3367.71</v>
      </c>
      <c r="O239" t="s">
        <v>33</v>
      </c>
      <c r="P239">
        <v>1</v>
      </c>
    </row>
    <row r="240" spans="1:16" x14ac:dyDescent="0.35">
      <c r="A240" t="s">
        <v>550</v>
      </c>
      <c r="B240" s="1">
        <v>45640</v>
      </c>
      <c r="C240" t="s">
        <v>551</v>
      </c>
      <c r="D240" t="s">
        <v>37</v>
      </c>
      <c r="E240" t="s">
        <v>38</v>
      </c>
      <c r="F240" t="s">
        <v>21</v>
      </c>
      <c r="G240" t="s">
        <v>79</v>
      </c>
      <c r="H240" t="s">
        <v>103</v>
      </c>
      <c r="I240">
        <v>5</v>
      </c>
      <c r="J240">
        <v>714.95</v>
      </c>
      <c r="K240">
        <v>0</v>
      </c>
      <c r="L240">
        <v>3574.75</v>
      </c>
      <c r="M240">
        <v>3021.5</v>
      </c>
      <c r="N240">
        <v>553.25</v>
      </c>
      <c r="O240" t="s">
        <v>51</v>
      </c>
      <c r="P240">
        <v>1</v>
      </c>
    </row>
    <row r="241" spans="1:16" x14ac:dyDescent="0.35">
      <c r="A241" t="s">
        <v>552</v>
      </c>
      <c r="B241" s="1">
        <v>45339</v>
      </c>
      <c r="C241" t="s">
        <v>553</v>
      </c>
      <c r="D241" t="s">
        <v>19</v>
      </c>
      <c r="E241" t="s">
        <v>98</v>
      </c>
      <c r="F241" t="s">
        <v>39</v>
      </c>
      <c r="G241" t="s">
        <v>79</v>
      </c>
      <c r="H241" t="s">
        <v>80</v>
      </c>
      <c r="I241">
        <v>4</v>
      </c>
      <c r="J241">
        <v>304.88</v>
      </c>
      <c r="K241">
        <v>0.1</v>
      </c>
      <c r="L241">
        <v>1097.57</v>
      </c>
      <c r="M241">
        <v>869.49</v>
      </c>
      <c r="N241">
        <v>228.08</v>
      </c>
      <c r="O241" t="s">
        <v>62</v>
      </c>
      <c r="P241">
        <v>4</v>
      </c>
    </row>
    <row r="242" spans="1:16" x14ac:dyDescent="0.35">
      <c r="A242" t="s">
        <v>554</v>
      </c>
      <c r="B242" s="1">
        <v>45633</v>
      </c>
      <c r="C242" t="s">
        <v>555</v>
      </c>
      <c r="D242" t="s">
        <v>37</v>
      </c>
      <c r="E242" t="s">
        <v>30</v>
      </c>
      <c r="F242" t="s">
        <v>21</v>
      </c>
      <c r="G242" t="s">
        <v>60</v>
      </c>
      <c r="H242" t="s">
        <v>110</v>
      </c>
      <c r="I242">
        <v>3</v>
      </c>
      <c r="J242">
        <v>55.05</v>
      </c>
      <c r="K242">
        <v>0.05</v>
      </c>
      <c r="L242">
        <v>156.88999999999999</v>
      </c>
      <c r="M242">
        <v>125.64</v>
      </c>
      <c r="N242">
        <v>31.25</v>
      </c>
      <c r="O242" t="s">
        <v>33</v>
      </c>
      <c r="P242">
        <v>5</v>
      </c>
    </row>
    <row r="243" spans="1:16" x14ac:dyDescent="0.35">
      <c r="A243" t="s">
        <v>556</v>
      </c>
      <c r="B243" s="1">
        <v>45544</v>
      </c>
      <c r="C243" t="s">
        <v>557</v>
      </c>
      <c r="D243" t="s">
        <v>29</v>
      </c>
      <c r="E243" t="s">
        <v>85</v>
      </c>
      <c r="F243" t="s">
        <v>21</v>
      </c>
      <c r="G243" t="s">
        <v>43</v>
      </c>
      <c r="H243" t="s">
        <v>50</v>
      </c>
      <c r="I243">
        <v>2</v>
      </c>
      <c r="J243">
        <v>238.23</v>
      </c>
      <c r="K243">
        <v>0.15</v>
      </c>
      <c r="L243">
        <v>404.99</v>
      </c>
      <c r="M243">
        <v>280.56</v>
      </c>
      <c r="N243">
        <v>124.43</v>
      </c>
      <c r="O243" t="s">
        <v>33</v>
      </c>
      <c r="P243">
        <v>2</v>
      </c>
    </row>
    <row r="244" spans="1:16" x14ac:dyDescent="0.35">
      <c r="A244" t="s">
        <v>558</v>
      </c>
      <c r="B244" s="1">
        <v>45442</v>
      </c>
      <c r="C244" t="s">
        <v>559</v>
      </c>
      <c r="D244" t="s">
        <v>19</v>
      </c>
      <c r="E244" t="s">
        <v>85</v>
      </c>
      <c r="F244" t="s">
        <v>39</v>
      </c>
      <c r="G244" t="s">
        <v>79</v>
      </c>
      <c r="H244" t="s">
        <v>80</v>
      </c>
      <c r="I244">
        <v>6</v>
      </c>
      <c r="J244">
        <v>187.72</v>
      </c>
      <c r="K244">
        <v>0</v>
      </c>
      <c r="L244">
        <v>1126.32</v>
      </c>
      <c r="M244">
        <v>752.63</v>
      </c>
      <c r="N244">
        <v>373.69</v>
      </c>
      <c r="O244" t="s">
        <v>33</v>
      </c>
      <c r="P244">
        <v>4</v>
      </c>
    </row>
    <row r="245" spans="1:16" x14ac:dyDescent="0.35">
      <c r="A245" t="s">
        <v>560</v>
      </c>
      <c r="B245" s="1">
        <v>45429</v>
      </c>
      <c r="C245" t="s">
        <v>561</v>
      </c>
      <c r="D245" t="s">
        <v>37</v>
      </c>
      <c r="E245" t="s">
        <v>85</v>
      </c>
      <c r="F245" t="s">
        <v>39</v>
      </c>
      <c r="G245" t="s">
        <v>22</v>
      </c>
      <c r="H245" t="s">
        <v>74</v>
      </c>
      <c r="I245">
        <v>4</v>
      </c>
      <c r="J245">
        <v>656.91</v>
      </c>
      <c r="K245">
        <v>0.05</v>
      </c>
      <c r="L245">
        <v>2496.2600000000002</v>
      </c>
      <c r="M245">
        <v>1905.09</v>
      </c>
      <c r="N245">
        <v>591.16999999999996</v>
      </c>
      <c r="O245" t="s">
        <v>24</v>
      </c>
      <c r="P245">
        <v>2</v>
      </c>
    </row>
    <row r="246" spans="1:16" x14ac:dyDescent="0.35">
      <c r="A246" t="s">
        <v>562</v>
      </c>
      <c r="B246" s="1">
        <v>45364</v>
      </c>
      <c r="C246" t="s">
        <v>563</v>
      </c>
      <c r="D246" t="s">
        <v>29</v>
      </c>
      <c r="E246" t="s">
        <v>85</v>
      </c>
      <c r="F246" t="s">
        <v>39</v>
      </c>
      <c r="G246" t="s">
        <v>22</v>
      </c>
      <c r="H246" t="s">
        <v>23</v>
      </c>
      <c r="I246">
        <v>12</v>
      </c>
      <c r="J246">
        <v>885.09</v>
      </c>
      <c r="K246">
        <v>0.1</v>
      </c>
      <c r="L246">
        <v>9558.9699999999993</v>
      </c>
      <c r="M246">
        <v>7779.3</v>
      </c>
      <c r="N246">
        <v>1779.67</v>
      </c>
      <c r="O246" t="s">
        <v>24</v>
      </c>
      <c r="P246">
        <v>4</v>
      </c>
    </row>
    <row r="247" spans="1:16" x14ac:dyDescent="0.35">
      <c r="A247" t="s">
        <v>564</v>
      </c>
      <c r="B247" s="1">
        <v>45356</v>
      </c>
      <c r="C247" t="s">
        <v>565</v>
      </c>
      <c r="D247" t="s">
        <v>37</v>
      </c>
      <c r="E247" t="s">
        <v>38</v>
      </c>
      <c r="F247" t="s">
        <v>39</v>
      </c>
      <c r="G247" t="s">
        <v>79</v>
      </c>
      <c r="H247" t="s">
        <v>80</v>
      </c>
      <c r="I247">
        <v>2</v>
      </c>
      <c r="J247">
        <v>222.08</v>
      </c>
      <c r="K247">
        <v>0.1</v>
      </c>
      <c r="L247">
        <v>399.74</v>
      </c>
      <c r="M247">
        <v>322.74</v>
      </c>
      <c r="N247">
        <v>77</v>
      </c>
      <c r="O247" t="s">
        <v>24</v>
      </c>
      <c r="P247">
        <v>3</v>
      </c>
    </row>
    <row r="248" spans="1:16" x14ac:dyDescent="0.35">
      <c r="A248" t="s">
        <v>566</v>
      </c>
      <c r="B248" s="1">
        <v>45395</v>
      </c>
      <c r="C248" t="s">
        <v>567</v>
      </c>
      <c r="D248" t="s">
        <v>66</v>
      </c>
      <c r="E248" t="s">
        <v>98</v>
      </c>
      <c r="F248" t="s">
        <v>39</v>
      </c>
      <c r="G248" t="s">
        <v>60</v>
      </c>
      <c r="H248" t="s">
        <v>110</v>
      </c>
      <c r="I248">
        <v>1</v>
      </c>
      <c r="J248">
        <v>473.41</v>
      </c>
      <c r="K248">
        <v>0.1</v>
      </c>
      <c r="L248">
        <v>426.07</v>
      </c>
      <c r="M248">
        <v>226.24</v>
      </c>
      <c r="N248">
        <v>199.83</v>
      </c>
      <c r="O248" t="s">
        <v>24</v>
      </c>
      <c r="P248">
        <v>2</v>
      </c>
    </row>
    <row r="249" spans="1:16" x14ac:dyDescent="0.35">
      <c r="A249" t="s">
        <v>568</v>
      </c>
      <c r="B249" s="1">
        <v>45630</v>
      </c>
      <c r="C249" t="s">
        <v>569</v>
      </c>
      <c r="D249" t="s">
        <v>19</v>
      </c>
      <c r="E249" t="s">
        <v>98</v>
      </c>
      <c r="F249" t="s">
        <v>21</v>
      </c>
      <c r="G249" t="s">
        <v>60</v>
      </c>
      <c r="H249" t="s">
        <v>110</v>
      </c>
      <c r="I249">
        <v>9</v>
      </c>
      <c r="J249">
        <v>135.27000000000001</v>
      </c>
      <c r="K249">
        <v>0.05</v>
      </c>
      <c r="L249">
        <v>1156.56</v>
      </c>
      <c r="M249">
        <v>733.25</v>
      </c>
      <c r="N249">
        <v>423.31</v>
      </c>
      <c r="O249" t="s">
        <v>33</v>
      </c>
      <c r="P249">
        <v>1</v>
      </c>
    </row>
    <row r="250" spans="1:16" x14ac:dyDescent="0.35">
      <c r="A250" t="s">
        <v>570</v>
      </c>
      <c r="B250" s="1">
        <v>45547</v>
      </c>
      <c r="C250" t="s">
        <v>571</v>
      </c>
      <c r="D250" t="s">
        <v>37</v>
      </c>
      <c r="E250" t="s">
        <v>85</v>
      </c>
      <c r="F250" t="s">
        <v>39</v>
      </c>
      <c r="G250" t="s">
        <v>43</v>
      </c>
      <c r="H250" t="s">
        <v>44</v>
      </c>
      <c r="I250">
        <v>1</v>
      </c>
      <c r="J250">
        <v>840.05</v>
      </c>
      <c r="K250">
        <v>0.15</v>
      </c>
      <c r="L250">
        <v>714.04</v>
      </c>
      <c r="M250">
        <v>368.25</v>
      </c>
      <c r="N250">
        <v>345.79</v>
      </c>
      <c r="O250" t="s">
        <v>24</v>
      </c>
      <c r="P250">
        <v>5</v>
      </c>
    </row>
    <row r="251" spans="1:16" x14ac:dyDescent="0.35">
      <c r="A251" t="s">
        <v>572</v>
      </c>
      <c r="B251" s="1">
        <v>45629</v>
      </c>
      <c r="C251" t="s">
        <v>573</v>
      </c>
      <c r="D251" t="s">
        <v>19</v>
      </c>
      <c r="E251" t="s">
        <v>85</v>
      </c>
      <c r="F251" t="s">
        <v>31</v>
      </c>
      <c r="G251" t="s">
        <v>60</v>
      </c>
      <c r="H251" t="s">
        <v>119</v>
      </c>
      <c r="I251">
        <v>5</v>
      </c>
      <c r="J251">
        <v>96.2</v>
      </c>
      <c r="K251">
        <v>0.15</v>
      </c>
      <c r="L251">
        <v>408.85</v>
      </c>
      <c r="M251">
        <v>233.77</v>
      </c>
      <c r="N251">
        <v>175.08</v>
      </c>
      <c r="O251" t="s">
        <v>24</v>
      </c>
      <c r="P251">
        <v>4</v>
      </c>
    </row>
    <row r="252" spans="1:16" x14ac:dyDescent="0.35">
      <c r="A252" t="s">
        <v>574</v>
      </c>
      <c r="B252" s="1">
        <v>45530</v>
      </c>
      <c r="C252" t="s">
        <v>575</v>
      </c>
      <c r="D252" t="s">
        <v>49</v>
      </c>
      <c r="E252" t="s">
        <v>38</v>
      </c>
      <c r="F252" t="s">
        <v>21</v>
      </c>
      <c r="G252" t="s">
        <v>79</v>
      </c>
      <c r="H252" t="s">
        <v>103</v>
      </c>
      <c r="I252">
        <v>11</v>
      </c>
      <c r="J252">
        <v>449.17</v>
      </c>
      <c r="K252">
        <v>0.1</v>
      </c>
      <c r="L252">
        <v>4446.78</v>
      </c>
      <c r="M252">
        <v>2875.7</v>
      </c>
      <c r="N252">
        <v>1571.08</v>
      </c>
      <c r="O252" t="s">
        <v>24</v>
      </c>
      <c r="P252">
        <v>3</v>
      </c>
    </row>
    <row r="253" spans="1:16" x14ac:dyDescent="0.35">
      <c r="A253" t="s">
        <v>576</v>
      </c>
      <c r="B253" s="1">
        <v>45639</v>
      </c>
      <c r="C253" t="s">
        <v>577</v>
      </c>
      <c r="D253" t="s">
        <v>37</v>
      </c>
      <c r="E253" t="s">
        <v>20</v>
      </c>
      <c r="F253" t="s">
        <v>21</v>
      </c>
      <c r="G253" t="s">
        <v>22</v>
      </c>
      <c r="H253" t="s">
        <v>32</v>
      </c>
      <c r="I253">
        <v>5</v>
      </c>
      <c r="J253">
        <v>61.98</v>
      </c>
      <c r="K253">
        <v>0.15</v>
      </c>
      <c r="L253">
        <v>263.41000000000003</v>
      </c>
      <c r="M253">
        <v>191.33</v>
      </c>
      <c r="N253">
        <v>72.08</v>
      </c>
      <c r="O253" t="s">
        <v>24</v>
      </c>
      <c r="P253">
        <v>5</v>
      </c>
    </row>
    <row r="254" spans="1:16" x14ac:dyDescent="0.35">
      <c r="A254" t="s">
        <v>578</v>
      </c>
      <c r="B254" s="1">
        <v>45485</v>
      </c>
      <c r="C254" t="s">
        <v>579</v>
      </c>
      <c r="D254" t="s">
        <v>66</v>
      </c>
      <c r="E254" t="s">
        <v>98</v>
      </c>
      <c r="F254" t="s">
        <v>39</v>
      </c>
      <c r="G254" t="s">
        <v>22</v>
      </c>
      <c r="H254" t="s">
        <v>32</v>
      </c>
      <c r="I254">
        <v>9</v>
      </c>
      <c r="J254">
        <v>278.94</v>
      </c>
      <c r="K254">
        <v>0</v>
      </c>
      <c r="L254">
        <v>2510.46</v>
      </c>
      <c r="M254">
        <v>1359.15</v>
      </c>
      <c r="N254">
        <v>1151.31</v>
      </c>
      <c r="O254" t="s">
        <v>51</v>
      </c>
      <c r="P254">
        <v>1</v>
      </c>
    </row>
    <row r="255" spans="1:16" x14ac:dyDescent="0.35">
      <c r="A255" t="s">
        <v>580</v>
      </c>
      <c r="B255" s="1">
        <v>45353</v>
      </c>
      <c r="C255" t="s">
        <v>581</v>
      </c>
      <c r="D255" t="s">
        <v>19</v>
      </c>
      <c r="E255" t="s">
        <v>30</v>
      </c>
      <c r="F255" t="s">
        <v>31</v>
      </c>
      <c r="G255" t="s">
        <v>22</v>
      </c>
      <c r="H255" t="s">
        <v>124</v>
      </c>
      <c r="I255">
        <v>3</v>
      </c>
      <c r="J255">
        <v>718.69</v>
      </c>
      <c r="K255">
        <v>0.05</v>
      </c>
      <c r="L255">
        <v>2048.27</v>
      </c>
      <c r="M255">
        <v>1269.1099999999999</v>
      </c>
      <c r="N255">
        <v>779.16</v>
      </c>
      <c r="O255" t="s">
        <v>33</v>
      </c>
      <c r="P255">
        <v>1</v>
      </c>
    </row>
    <row r="256" spans="1:16" x14ac:dyDescent="0.35">
      <c r="A256" t="s">
        <v>582</v>
      </c>
      <c r="B256" s="1">
        <v>45391</v>
      </c>
      <c r="C256" t="s">
        <v>583</v>
      </c>
      <c r="D256" t="s">
        <v>19</v>
      </c>
      <c r="E256" t="s">
        <v>85</v>
      </c>
      <c r="F256" t="s">
        <v>31</v>
      </c>
      <c r="G256" t="s">
        <v>43</v>
      </c>
      <c r="H256" t="s">
        <v>44</v>
      </c>
      <c r="I256">
        <v>10</v>
      </c>
      <c r="J256">
        <v>557.75</v>
      </c>
      <c r="K256">
        <v>0.1</v>
      </c>
      <c r="L256">
        <v>5019.75</v>
      </c>
      <c r="M256">
        <v>3826.67</v>
      </c>
      <c r="N256">
        <v>1193.08</v>
      </c>
      <c r="O256" t="s">
        <v>62</v>
      </c>
      <c r="P256">
        <v>5</v>
      </c>
    </row>
    <row r="257" spans="1:16" x14ac:dyDescent="0.35">
      <c r="A257" t="s">
        <v>584</v>
      </c>
      <c r="B257" s="1">
        <v>45441</v>
      </c>
      <c r="C257" t="s">
        <v>585</v>
      </c>
      <c r="D257" t="s">
        <v>66</v>
      </c>
      <c r="E257" t="s">
        <v>20</v>
      </c>
      <c r="F257" t="s">
        <v>21</v>
      </c>
      <c r="G257" t="s">
        <v>22</v>
      </c>
      <c r="H257" t="s">
        <v>23</v>
      </c>
      <c r="I257">
        <v>1</v>
      </c>
      <c r="J257">
        <v>29.24</v>
      </c>
      <c r="K257">
        <v>0.05</v>
      </c>
      <c r="L257">
        <v>27.78</v>
      </c>
      <c r="M257">
        <v>21.78</v>
      </c>
      <c r="N257">
        <v>6</v>
      </c>
      <c r="O257" t="s">
        <v>24</v>
      </c>
      <c r="P257">
        <v>5</v>
      </c>
    </row>
    <row r="258" spans="1:16" x14ac:dyDescent="0.35">
      <c r="A258" t="s">
        <v>586</v>
      </c>
      <c r="B258" s="1">
        <v>45650</v>
      </c>
      <c r="C258" t="s">
        <v>587</v>
      </c>
      <c r="D258" t="s">
        <v>19</v>
      </c>
      <c r="E258" t="s">
        <v>30</v>
      </c>
      <c r="F258" t="s">
        <v>31</v>
      </c>
      <c r="G258" t="s">
        <v>43</v>
      </c>
      <c r="H258" t="s">
        <v>173</v>
      </c>
      <c r="I258">
        <v>10</v>
      </c>
      <c r="J258">
        <v>789.96</v>
      </c>
      <c r="K258">
        <v>0.1</v>
      </c>
      <c r="L258">
        <v>7109.64</v>
      </c>
      <c r="M258">
        <v>5953.99</v>
      </c>
      <c r="N258">
        <v>1155.6500000000001</v>
      </c>
      <c r="O258" t="s">
        <v>33</v>
      </c>
      <c r="P258">
        <v>3</v>
      </c>
    </row>
    <row r="259" spans="1:16" x14ac:dyDescent="0.35">
      <c r="A259" t="s">
        <v>588</v>
      </c>
      <c r="B259" s="1">
        <v>45524</v>
      </c>
      <c r="C259" t="s">
        <v>589</v>
      </c>
      <c r="D259" t="s">
        <v>19</v>
      </c>
      <c r="E259" t="s">
        <v>85</v>
      </c>
      <c r="F259" t="s">
        <v>31</v>
      </c>
      <c r="G259" t="s">
        <v>60</v>
      </c>
      <c r="H259" t="s">
        <v>61</v>
      </c>
      <c r="I259">
        <v>8</v>
      </c>
      <c r="J259">
        <v>1007.76</v>
      </c>
      <c r="K259">
        <v>0</v>
      </c>
      <c r="L259">
        <v>8062.08</v>
      </c>
      <c r="M259">
        <v>5607.92</v>
      </c>
      <c r="N259">
        <v>2454.16</v>
      </c>
      <c r="O259" t="s">
        <v>51</v>
      </c>
      <c r="P259">
        <v>5</v>
      </c>
    </row>
    <row r="260" spans="1:16" x14ac:dyDescent="0.35">
      <c r="A260" t="s">
        <v>590</v>
      </c>
      <c r="B260" s="1">
        <v>45527</v>
      </c>
      <c r="C260" t="s">
        <v>591</v>
      </c>
      <c r="D260" t="s">
        <v>66</v>
      </c>
      <c r="E260" t="s">
        <v>85</v>
      </c>
      <c r="F260" t="s">
        <v>31</v>
      </c>
      <c r="G260" t="s">
        <v>22</v>
      </c>
      <c r="H260" t="s">
        <v>32</v>
      </c>
      <c r="I260">
        <v>8</v>
      </c>
      <c r="J260">
        <v>25.76</v>
      </c>
      <c r="K260">
        <v>0.1</v>
      </c>
      <c r="L260">
        <v>185.47</v>
      </c>
      <c r="M260">
        <v>113.19</v>
      </c>
      <c r="N260">
        <v>72.28</v>
      </c>
      <c r="O260" t="s">
        <v>24</v>
      </c>
      <c r="P260">
        <v>2</v>
      </c>
    </row>
    <row r="261" spans="1:16" x14ac:dyDescent="0.35">
      <c r="A261" t="s">
        <v>592</v>
      </c>
      <c r="B261" s="1">
        <v>45366</v>
      </c>
      <c r="C261" t="s">
        <v>593</v>
      </c>
      <c r="D261" t="s">
        <v>66</v>
      </c>
      <c r="E261" t="s">
        <v>85</v>
      </c>
      <c r="F261" t="s">
        <v>21</v>
      </c>
      <c r="G261" t="s">
        <v>43</v>
      </c>
      <c r="H261" t="s">
        <v>50</v>
      </c>
      <c r="I261">
        <v>8</v>
      </c>
      <c r="J261">
        <v>817.47</v>
      </c>
      <c r="K261">
        <v>0</v>
      </c>
      <c r="L261">
        <v>6539.76</v>
      </c>
      <c r="M261">
        <v>5447.3</v>
      </c>
      <c r="N261">
        <v>1092.46</v>
      </c>
      <c r="O261" t="s">
        <v>33</v>
      </c>
      <c r="P261">
        <v>1</v>
      </c>
    </row>
    <row r="262" spans="1:16" x14ac:dyDescent="0.35">
      <c r="A262" t="s">
        <v>594</v>
      </c>
      <c r="B262" s="1">
        <v>45449</v>
      </c>
      <c r="C262" t="s">
        <v>595</v>
      </c>
      <c r="D262" t="s">
        <v>19</v>
      </c>
      <c r="E262" t="s">
        <v>20</v>
      </c>
      <c r="F262" t="s">
        <v>31</v>
      </c>
      <c r="G262" t="s">
        <v>43</v>
      </c>
      <c r="H262" t="s">
        <v>50</v>
      </c>
      <c r="I262">
        <v>10</v>
      </c>
      <c r="J262">
        <v>417.43</v>
      </c>
      <c r="K262">
        <v>0.05</v>
      </c>
      <c r="L262">
        <v>3965.59</v>
      </c>
      <c r="M262">
        <v>3126.64</v>
      </c>
      <c r="N262">
        <v>838.95</v>
      </c>
      <c r="O262" t="s">
        <v>33</v>
      </c>
      <c r="P262">
        <v>1</v>
      </c>
    </row>
    <row r="263" spans="1:16" x14ac:dyDescent="0.35">
      <c r="A263" t="s">
        <v>596</v>
      </c>
      <c r="B263" s="1">
        <v>45646</v>
      </c>
      <c r="C263" t="s">
        <v>597</v>
      </c>
      <c r="D263" t="s">
        <v>66</v>
      </c>
      <c r="E263" t="s">
        <v>30</v>
      </c>
      <c r="F263" t="s">
        <v>31</v>
      </c>
      <c r="G263" t="s">
        <v>79</v>
      </c>
      <c r="H263" t="s">
        <v>103</v>
      </c>
      <c r="I263">
        <v>9</v>
      </c>
      <c r="J263">
        <v>575.1</v>
      </c>
      <c r="K263">
        <v>0</v>
      </c>
      <c r="L263">
        <v>5175.8999999999996</v>
      </c>
      <c r="M263">
        <v>4348.78</v>
      </c>
      <c r="N263">
        <v>827.12</v>
      </c>
      <c r="O263" t="s">
        <v>62</v>
      </c>
      <c r="P263">
        <v>4</v>
      </c>
    </row>
    <row r="264" spans="1:16" x14ac:dyDescent="0.35">
      <c r="A264" t="s">
        <v>598</v>
      </c>
      <c r="B264" s="1">
        <v>45503</v>
      </c>
      <c r="C264" t="s">
        <v>599</v>
      </c>
      <c r="D264" t="s">
        <v>29</v>
      </c>
      <c r="E264" t="s">
        <v>38</v>
      </c>
      <c r="F264" t="s">
        <v>31</v>
      </c>
      <c r="G264" t="s">
        <v>43</v>
      </c>
      <c r="H264" t="s">
        <v>173</v>
      </c>
      <c r="I264">
        <v>11</v>
      </c>
      <c r="J264">
        <v>303.20999999999998</v>
      </c>
      <c r="K264">
        <v>0.1</v>
      </c>
      <c r="L264">
        <v>3001.78</v>
      </c>
      <c r="M264">
        <v>1622.6</v>
      </c>
      <c r="N264">
        <v>1379.18</v>
      </c>
      <c r="O264" t="s">
        <v>51</v>
      </c>
      <c r="P264">
        <v>3</v>
      </c>
    </row>
    <row r="265" spans="1:16" x14ac:dyDescent="0.35">
      <c r="A265" t="s">
        <v>600</v>
      </c>
      <c r="B265" s="1">
        <v>45464</v>
      </c>
      <c r="C265" t="s">
        <v>601</v>
      </c>
      <c r="D265" t="s">
        <v>19</v>
      </c>
      <c r="E265" t="s">
        <v>20</v>
      </c>
      <c r="F265" t="s">
        <v>39</v>
      </c>
      <c r="G265" t="s">
        <v>22</v>
      </c>
      <c r="H265" t="s">
        <v>74</v>
      </c>
      <c r="I265">
        <v>8</v>
      </c>
      <c r="J265">
        <v>808.84</v>
      </c>
      <c r="K265">
        <v>0.1</v>
      </c>
      <c r="L265">
        <v>5823.65</v>
      </c>
      <c r="M265">
        <v>3329.85</v>
      </c>
      <c r="N265">
        <v>2493.8000000000002</v>
      </c>
      <c r="O265" t="s">
        <v>62</v>
      </c>
      <c r="P265">
        <v>5</v>
      </c>
    </row>
    <row r="266" spans="1:16" x14ac:dyDescent="0.35">
      <c r="A266" t="s">
        <v>602</v>
      </c>
      <c r="B266" s="1">
        <v>45620</v>
      </c>
      <c r="C266" t="s">
        <v>603</v>
      </c>
      <c r="D266" t="s">
        <v>37</v>
      </c>
      <c r="E266" t="s">
        <v>30</v>
      </c>
      <c r="F266" t="s">
        <v>31</v>
      </c>
      <c r="G266" t="s">
        <v>60</v>
      </c>
      <c r="H266" t="s">
        <v>119</v>
      </c>
      <c r="I266">
        <v>11</v>
      </c>
      <c r="J266">
        <v>818.01</v>
      </c>
      <c r="K266">
        <v>0</v>
      </c>
      <c r="L266">
        <v>8998.11</v>
      </c>
      <c r="M266">
        <v>6885.6</v>
      </c>
      <c r="N266">
        <v>2112.5100000000002</v>
      </c>
      <c r="O266" t="s">
        <v>51</v>
      </c>
      <c r="P266">
        <v>5</v>
      </c>
    </row>
    <row r="267" spans="1:16" x14ac:dyDescent="0.35">
      <c r="A267" t="s">
        <v>604</v>
      </c>
      <c r="B267" s="1">
        <v>45368</v>
      </c>
      <c r="C267" t="s">
        <v>605</v>
      </c>
      <c r="D267" t="s">
        <v>49</v>
      </c>
      <c r="E267" t="s">
        <v>38</v>
      </c>
      <c r="F267" t="s">
        <v>21</v>
      </c>
      <c r="G267" t="s">
        <v>60</v>
      </c>
      <c r="H267" t="s">
        <v>61</v>
      </c>
      <c r="I267">
        <v>2</v>
      </c>
      <c r="J267">
        <v>426.27</v>
      </c>
      <c r="K267">
        <v>0.1</v>
      </c>
      <c r="L267">
        <v>767.29</v>
      </c>
      <c r="M267">
        <v>437.65</v>
      </c>
      <c r="N267">
        <v>329.64</v>
      </c>
      <c r="O267" t="s">
        <v>33</v>
      </c>
      <c r="P267">
        <v>3</v>
      </c>
    </row>
    <row r="268" spans="1:16" x14ac:dyDescent="0.35">
      <c r="A268" t="s">
        <v>606</v>
      </c>
      <c r="B268" s="1">
        <v>45344</v>
      </c>
      <c r="C268" t="s">
        <v>607</v>
      </c>
      <c r="D268" t="s">
        <v>19</v>
      </c>
      <c r="E268" t="s">
        <v>38</v>
      </c>
      <c r="F268" t="s">
        <v>21</v>
      </c>
      <c r="G268" t="s">
        <v>22</v>
      </c>
      <c r="H268" t="s">
        <v>32</v>
      </c>
      <c r="I268">
        <v>9</v>
      </c>
      <c r="J268">
        <v>29.81</v>
      </c>
      <c r="K268">
        <v>0.1</v>
      </c>
      <c r="L268">
        <v>241.46</v>
      </c>
      <c r="M268">
        <v>174.03</v>
      </c>
      <c r="N268">
        <v>67.430000000000007</v>
      </c>
      <c r="O268" t="s">
        <v>33</v>
      </c>
      <c r="P268">
        <v>5</v>
      </c>
    </row>
    <row r="269" spans="1:16" x14ac:dyDescent="0.35">
      <c r="A269" t="s">
        <v>608</v>
      </c>
      <c r="B269" s="1">
        <v>45568</v>
      </c>
      <c r="C269" t="s">
        <v>609</v>
      </c>
      <c r="D269" t="s">
        <v>49</v>
      </c>
      <c r="E269" t="s">
        <v>20</v>
      </c>
      <c r="F269" t="s">
        <v>31</v>
      </c>
      <c r="G269" t="s">
        <v>79</v>
      </c>
      <c r="H269" t="s">
        <v>103</v>
      </c>
      <c r="I269">
        <v>2</v>
      </c>
      <c r="J269">
        <v>147.16</v>
      </c>
      <c r="K269">
        <v>0</v>
      </c>
      <c r="L269">
        <v>294.32</v>
      </c>
      <c r="M269">
        <v>181.72</v>
      </c>
      <c r="N269">
        <v>112.6</v>
      </c>
      <c r="O269" t="s">
        <v>51</v>
      </c>
      <c r="P269">
        <v>2</v>
      </c>
    </row>
    <row r="270" spans="1:16" x14ac:dyDescent="0.35">
      <c r="A270" t="s">
        <v>610</v>
      </c>
      <c r="B270" s="1">
        <v>45395</v>
      </c>
      <c r="C270" t="s">
        <v>611</v>
      </c>
      <c r="D270" t="s">
        <v>66</v>
      </c>
      <c r="E270" t="s">
        <v>30</v>
      </c>
      <c r="F270" t="s">
        <v>39</v>
      </c>
      <c r="G270" t="s">
        <v>60</v>
      </c>
      <c r="H270" t="s">
        <v>119</v>
      </c>
      <c r="I270">
        <v>2</v>
      </c>
      <c r="J270">
        <v>1103.4100000000001</v>
      </c>
      <c r="K270">
        <v>0.05</v>
      </c>
      <c r="L270">
        <v>2096.48</v>
      </c>
      <c r="M270">
        <v>1442.94</v>
      </c>
      <c r="N270">
        <v>653.54</v>
      </c>
      <c r="O270" t="s">
        <v>62</v>
      </c>
      <c r="P270">
        <v>1</v>
      </c>
    </row>
    <row r="271" spans="1:16" x14ac:dyDescent="0.35">
      <c r="A271" t="s">
        <v>612</v>
      </c>
      <c r="B271" s="1">
        <v>45484</v>
      </c>
      <c r="C271" t="s">
        <v>613</v>
      </c>
      <c r="D271" t="s">
        <v>37</v>
      </c>
      <c r="E271" t="s">
        <v>30</v>
      </c>
      <c r="F271" t="s">
        <v>21</v>
      </c>
      <c r="G271" t="s">
        <v>60</v>
      </c>
      <c r="H271" t="s">
        <v>61</v>
      </c>
      <c r="I271">
        <v>1</v>
      </c>
      <c r="J271">
        <v>206.79</v>
      </c>
      <c r="K271">
        <v>0</v>
      </c>
      <c r="L271">
        <v>206.79</v>
      </c>
      <c r="M271">
        <v>170.43</v>
      </c>
      <c r="N271">
        <v>36.36</v>
      </c>
      <c r="O271" t="s">
        <v>62</v>
      </c>
      <c r="P271">
        <v>1</v>
      </c>
    </row>
    <row r="272" spans="1:16" x14ac:dyDescent="0.35">
      <c r="A272" t="s">
        <v>614</v>
      </c>
      <c r="B272" s="1">
        <v>45473</v>
      </c>
      <c r="C272" t="s">
        <v>615</v>
      </c>
      <c r="D272" t="s">
        <v>29</v>
      </c>
      <c r="E272" t="s">
        <v>85</v>
      </c>
      <c r="F272" t="s">
        <v>21</v>
      </c>
      <c r="G272" t="s">
        <v>43</v>
      </c>
      <c r="H272" t="s">
        <v>44</v>
      </c>
      <c r="I272">
        <v>10</v>
      </c>
      <c r="J272">
        <v>648.89</v>
      </c>
      <c r="K272">
        <v>0.05</v>
      </c>
      <c r="L272">
        <v>6164.45</v>
      </c>
      <c r="M272">
        <v>3901.15</v>
      </c>
      <c r="N272">
        <v>2263.3000000000002</v>
      </c>
      <c r="O272" t="s">
        <v>24</v>
      </c>
      <c r="P272">
        <v>3</v>
      </c>
    </row>
    <row r="273" spans="1:16" x14ac:dyDescent="0.35">
      <c r="A273" t="s">
        <v>616</v>
      </c>
      <c r="B273" s="1">
        <v>45534</v>
      </c>
      <c r="C273" t="s">
        <v>617</v>
      </c>
      <c r="D273" t="s">
        <v>66</v>
      </c>
      <c r="E273" t="s">
        <v>20</v>
      </c>
      <c r="F273" t="s">
        <v>31</v>
      </c>
      <c r="G273" t="s">
        <v>22</v>
      </c>
      <c r="H273" t="s">
        <v>74</v>
      </c>
      <c r="I273">
        <v>8</v>
      </c>
      <c r="J273">
        <v>1159.08</v>
      </c>
      <c r="K273">
        <v>0</v>
      </c>
      <c r="L273">
        <v>9272.64</v>
      </c>
      <c r="M273">
        <v>6716.05</v>
      </c>
      <c r="N273">
        <v>2556.59</v>
      </c>
      <c r="O273" t="s">
        <v>62</v>
      </c>
      <c r="P273">
        <v>3</v>
      </c>
    </row>
    <row r="274" spans="1:16" x14ac:dyDescent="0.35">
      <c r="A274" t="s">
        <v>618</v>
      </c>
      <c r="B274" s="1">
        <v>45386</v>
      </c>
      <c r="C274" t="s">
        <v>619</v>
      </c>
      <c r="D274" t="s">
        <v>49</v>
      </c>
      <c r="E274" t="s">
        <v>98</v>
      </c>
      <c r="F274" t="s">
        <v>39</v>
      </c>
      <c r="G274" t="s">
        <v>79</v>
      </c>
      <c r="H274" t="s">
        <v>80</v>
      </c>
      <c r="I274">
        <v>8</v>
      </c>
      <c r="J274">
        <v>518.03</v>
      </c>
      <c r="K274">
        <v>0.05</v>
      </c>
      <c r="L274">
        <v>3937.03</v>
      </c>
      <c r="M274">
        <v>3199.71</v>
      </c>
      <c r="N274">
        <v>737.32</v>
      </c>
      <c r="O274" t="s">
        <v>62</v>
      </c>
      <c r="P274">
        <v>2</v>
      </c>
    </row>
    <row r="275" spans="1:16" x14ac:dyDescent="0.35">
      <c r="A275" t="s">
        <v>620</v>
      </c>
      <c r="B275" s="1">
        <v>45449</v>
      </c>
      <c r="C275" t="s">
        <v>621</v>
      </c>
      <c r="D275" t="s">
        <v>29</v>
      </c>
      <c r="E275" t="s">
        <v>85</v>
      </c>
      <c r="F275" t="s">
        <v>31</v>
      </c>
      <c r="G275" t="s">
        <v>79</v>
      </c>
      <c r="H275" t="s">
        <v>89</v>
      </c>
      <c r="I275">
        <v>3</v>
      </c>
      <c r="J275">
        <v>297.7</v>
      </c>
      <c r="K275">
        <v>0.15</v>
      </c>
      <c r="L275">
        <v>759.13</v>
      </c>
      <c r="M275">
        <v>436.91</v>
      </c>
      <c r="N275">
        <v>322.22000000000003</v>
      </c>
      <c r="O275" t="s">
        <v>24</v>
      </c>
      <c r="P275">
        <v>3</v>
      </c>
    </row>
    <row r="276" spans="1:16" x14ac:dyDescent="0.35">
      <c r="A276" t="s">
        <v>622</v>
      </c>
      <c r="B276" s="1">
        <v>45373</v>
      </c>
      <c r="C276" t="s">
        <v>623</v>
      </c>
      <c r="D276" t="s">
        <v>49</v>
      </c>
      <c r="E276" t="s">
        <v>20</v>
      </c>
      <c r="F276" t="s">
        <v>39</v>
      </c>
      <c r="G276" t="s">
        <v>43</v>
      </c>
      <c r="H276" t="s">
        <v>50</v>
      </c>
      <c r="I276">
        <v>3</v>
      </c>
      <c r="J276">
        <v>803.54</v>
      </c>
      <c r="K276">
        <v>0.15</v>
      </c>
      <c r="L276">
        <v>2049.0300000000002</v>
      </c>
      <c r="M276">
        <v>1589.11</v>
      </c>
      <c r="N276">
        <v>459.92</v>
      </c>
      <c r="O276" t="s">
        <v>24</v>
      </c>
      <c r="P276">
        <v>4</v>
      </c>
    </row>
    <row r="277" spans="1:16" x14ac:dyDescent="0.35">
      <c r="A277" t="s">
        <v>624</v>
      </c>
      <c r="B277" s="1">
        <v>45579</v>
      </c>
      <c r="C277" t="s">
        <v>625</v>
      </c>
      <c r="D277" t="s">
        <v>49</v>
      </c>
      <c r="E277" t="s">
        <v>38</v>
      </c>
      <c r="F277" t="s">
        <v>39</v>
      </c>
      <c r="G277" t="s">
        <v>60</v>
      </c>
      <c r="H277" t="s">
        <v>110</v>
      </c>
      <c r="I277">
        <v>8</v>
      </c>
      <c r="J277">
        <v>896.58</v>
      </c>
      <c r="K277">
        <v>0.05</v>
      </c>
      <c r="L277">
        <v>6814.01</v>
      </c>
      <c r="M277">
        <v>4129.5600000000004</v>
      </c>
      <c r="N277">
        <v>2684.45</v>
      </c>
      <c r="O277" t="s">
        <v>33</v>
      </c>
      <c r="P277">
        <v>5</v>
      </c>
    </row>
    <row r="278" spans="1:16" x14ac:dyDescent="0.35">
      <c r="A278" t="s">
        <v>626</v>
      </c>
      <c r="B278" s="1">
        <v>45642</v>
      </c>
      <c r="C278" t="s">
        <v>627</v>
      </c>
      <c r="D278" t="s">
        <v>29</v>
      </c>
      <c r="E278" t="s">
        <v>98</v>
      </c>
      <c r="F278" t="s">
        <v>39</v>
      </c>
      <c r="G278" t="s">
        <v>22</v>
      </c>
      <c r="H278" t="s">
        <v>23</v>
      </c>
      <c r="I278">
        <v>1</v>
      </c>
      <c r="J278">
        <v>359.85</v>
      </c>
      <c r="K278">
        <v>0.05</v>
      </c>
      <c r="L278">
        <v>341.86</v>
      </c>
      <c r="M278">
        <v>224.8</v>
      </c>
      <c r="N278">
        <v>117.06</v>
      </c>
      <c r="O278" t="s">
        <v>62</v>
      </c>
      <c r="P278">
        <v>2</v>
      </c>
    </row>
    <row r="279" spans="1:16" x14ac:dyDescent="0.35">
      <c r="A279" t="s">
        <v>628</v>
      </c>
      <c r="B279" s="1">
        <v>45640</v>
      </c>
      <c r="C279" t="s">
        <v>629</v>
      </c>
      <c r="D279" t="s">
        <v>49</v>
      </c>
      <c r="E279" t="s">
        <v>20</v>
      </c>
      <c r="F279" t="s">
        <v>21</v>
      </c>
      <c r="G279" t="s">
        <v>79</v>
      </c>
      <c r="H279" t="s">
        <v>89</v>
      </c>
      <c r="I279">
        <v>8</v>
      </c>
      <c r="J279">
        <v>1188.52</v>
      </c>
      <c r="K279">
        <v>0.05</v>
      </c>
      <c r="L279">
        <v>9032.75</v>
      </c>
      <c r="M279">
        <v>6870.5</v>
      </c>
      <c r="N279">
        <v>2162.25</v>
      </c>
      <c r="O279" t="s">
        <v>33</v>
      </c>
      <c r="P279">
        <v>5</v>
      </c>
    </row>
    <row r="280" spans="1:16" x14ac:dyDescent="0.35">
      <c r="A280" t="s">
        <v>630</v>
      </c>
      <c r="B280" s="1">
        <v>45385</v>
      </c>
      <c r="C280" t="s">
        <v>631</v>
      </c>
      <c r="D280" t="s">
        <v>19</v>
      </c>
      <c r="E280" t="s">
        <v>30</v>
      </c>
      <c r="F280" t="s">
        <v>21</v>
      </c>
      <c r="G280" t="s">
        <v>43</v>
      </c>
      <c r="H280" t="s">
        <v>44</v>
      </c>
      <c r="I280">
        <v>2</v>
      </c>
      <c r="J280">
        <v>62.18</v>
      </c>
      <c r="K280">
        <v>0</v>
      </c>
      <c r="L280">
        <v>124.36</v>
      </c>
      <c r="M280">
        <v>98.79</v>
      </c>
      <c r="N280">
        <v>25.57</v>
      </c>
      <c r="O280" t="s">
        <v>33</v>
      </c>
      <c r="P280">
        <v>1</v>
      </c>
    </row>
    <row r="281" spans="1:16" x14ac:dyDescent="0.35">
      <c r="A281" t="s">
        <v>632</v>
      </c>
      <c r="B281" s="1">
        <v>45590</v>
      </c>
      <c r="C281" t="s">
        <v>633</v>
      </c>
      <c r="D281" t="s">
        <v>29</v>
      </c>
      <c r="E281" t="s">
        <v>30</v>
      </c>
      <c r="F281" t="s">
        <v>21</v>
      </c>
      <c r="G281" t="s">
        <v>22</v>
      </c>
      <c r="H281" t="s">
        <v>124</v>
      </c>
      <c r="I281">
        <v>4</v>
      </c>
      <c r="J281">
        <v>603.96</v>
      </c>
      <c r="K281">
        <v>0.15</v>
      </c>
      <c r="L281">
        <v>2053.46</v>
      </c>
      <c r="M281">
        <v>1391.35</v>
      </c>
      <c r="N281">
        <v>662.11</v>
      </c>
      <c r="O281" t="s">
        <v>33</v>
      </c>
      <c r="P281">
        <v>5</v>
      </c>
    </row>
    <row r="282" spans="1:16" x14ac:dyDescent="0.35">
      <c r="A282" t="s">
        <v>634</v>
      </c>
      <c r="B282" s="1">
        <v>45324</v>
      </c>
      <c r="C282" t="s">
        <v>635</v>
      </c>
      <c r="D282" t="s">
        <v>66</v>
      </c>
      <c r="E282" t="s">
        <v>85</v>
      </c>
      <c r="F282" t="s">
        <v>39</v>
      </c>
      <c r="G282" t="s">
        <v>79</v>
      </c>
      <c r="H282" t="s">
        <v>103</v>
      </c>
      <c r="I282">
        <v>6</v>
      </c>
      <c r="J282">
        <v>863.53</v>
      </c>
      <c r="K282">
        <v>0.15</v>
      </c>
      <c r="L282">
        <v>4404</v>
      </c>
      <c r="M282">
        <v>3414.16</v>
      </c>
      <c r="N282">
        <v>989.84</v>
      </c>
      <c r="O282" t="s">
        <v>33</v>
      </c>
      <c r="P282">
        <v>2</v>
      </c>
    </row>
    <row r="283" spans="1:16" x14ac:dyDescent="0.35">
      <c r="A283" t="s">
        <v>636</v>
      </c>
      <c r="B283" s="1">
        <v>45603</v>
      </c>
      <c r="C283" t="s">
        <v>637</v>
      </c>
      <c r="D283" t="s">
        <v>49</v>
      </c>
      <c r="E283" t="s">
        <v>30</v>
      </c>
      <c r="F283" t="s">
        <v>21</v>
      </c>
      <c r="G283" t="s">
        <v>60</v>
      </c>
      <c r="H283" t="s">
        <v>110</v>
      </c>
      <c r="I283">
        <v>9</v>
      </c>
      <c r="J283">
        <v>1199.6600000000001</v>
      </c>
      <c r="K283">
        <v>0.1</v>
      </c>
      <c r="L283">
        <v>9717.25</v>
      </c>
      <c r="M283">
        <v>5775.37</v>
      </c>
      <c r="N283">
        <v>3941.88</v>
      </c>
      <c r="O283" t="s">
        <v>62</v>
      </c>
      <c r="P283">
        <v>4</v>
      </c>
    </row>
    <row r="284" spans="1:16" x14ac:dyDescent="0.35">
      <c r="A284" t="s">
        <v>638</v>
      </c>
      <c r="B284" s="1">
        <v>45600</v>
      </c>
      <c r="C284" t="s">
        <v>639</v>
      </c>
      <c r="D284" t="s">
        <v>19</v>
      </c>
      <c r="E284" t="s">
        <v>38</v>
      </c>
      <c r="F284" t="s">
        <v>39</v>
      </c>
      <c r="G284" t="s">
        <v>79</v>
      </c>
      <c r="H284" t="s">
        <v>89</v>
      </c>
      <c r="I284">
        <v>8</v>
      </c>
      <c r="J284">
        <v>220.88</v>
      </c>
      <c r="K284">
        <v>0.15</v>
      </c>
      <c r="L284">
        <v>1501.98</v>
      </c>
      <c r="M284">
        <v>955.85</v>
      </c>
      <c r="N284">
        <v>546.13</v>
      </c>
      <c r="O284" t="s">
        <v>62</v>
      </c>
      <c r="P284">
        <v>2</v>
      </c>
    </row>
    <row r="285" spans="1:16" x14ac:dyDescent="0.35">
      <c r="A285" t="s">
        <v>640</v>
      </c>
      <c r="B285" s="1">
        <v>45554</v>
      </c>
      <c r="C285" t="s">
        <v>641</v>
      </c>
      <c r="D285" t="s">
        <v>37</v>
      </c>
      <c r="E285" t="s">
        <v>38</v>
      </c>
      <c r="F285" t="s">
        <v>31</v>
      </c>
      <c r="G285" t="s">
        <v>43</v>
      </c>
      <c r="H285" t="s">
        <v>44</v>
      </c>
      <c r="I285">
        <v>7</v>
      </c>
      <c r="J285">
        <v>950.51</v>
      </c>
      <c r="K285">
        <v>0</v>
      </c>
      <c r="L285">
        <v>6653.57</v>
      </c>
      <c r="M285">
        <v>4589.1099999999997</v>
      </c>
      <c r="N285">
        <v>2064.46</v>
      </c>
      <c r="O285" t="s">
        <v>51</v>
      </c>
      <c r="P285">
        <v>5</v>
      </c>
    </row>
    <row r="286" spans="1:16" x14ac:dyDescent="0.35">
      <c r="A286" t="s">
        <v>642</v>
      </c>
      <c r="B286" s="1">
        <v>45568</v>
      </c>
      <c r="C286" t="s">
        <v>643</v>
      </c>
      <c r="D286" t="s">
        <v>29</v>
      </c>
      <c r="E286" t="s">
        <v>38</v>
      </c>
      <c r="F286" t="s">
        <v>39</v>
      </c>
      <c r="G286" t="s">
        <v>43</v>
      </c>
      <c r="H286" t="s">
        <v>44</v>
      </c>
      <c r="I286">
        <v>8</v>
      </c>
      <c r="J286">
        <v>542.28</v>
      </c>
      <c r="K286">
        <v>0.15</v>
      </c>
      <c r="L286">
        <v>3687.5</v>
      </c>
      <c r="M286">
        <v>2369.9899999999998</v>
      </c>
      <c r="N286">
        <v>1317.51</v>
      </c>
      <c r="O286" t="s">
        <v>51</v>
      </c>
      <c r="P286">
        <v>2</v>
      </c>
    </row>
    <row r="287" spans="1:16" x14ac:dyDescent="0.35">
      <c r="A287" t="s">
        <v>644</v>
      </c>
      <c r="B287" s="1">
        <v>45626</v>
      </c>
      <c r="C287" t="s">
        <v>645</v>
      </c>
      <c r="D287" t="s">
        <v>19</v>
      </c>
      <c r="E287" t="s">
        <v>38</v>
      </c>
      <c r="F287" t="s">
        <v>21</v>
      </c>
      <c r="G287" t="s">
        <v>60</v>
      </c>
      <c r="H287" t="s">
        <v>119</v>
      </c>
      <c r="I287">
        <v>8</v>
      </c>
      <c r="J287">
        <v>764.27</v>
      </c>
      <c r="K287">
        <v>0.1</v>
      </c>
      <c r="L287">
        <v>5502.74</v>
      </c>
      <c r="M287">
        <v>3791.17</v>
      </c>
      <c r="N287">
        <v>1711.57</v>
      </c>
      <c r="O287" t="s">
        <v>24</v>
      </c>
      <c r="P287">
        <v>4</v>
      </c>
    </row>
    <row r="288" spans="1:16" x14ac:dyDescent="0.35">
      <c r="A288" t="s">
        <v>646</v>
      </c>
      <c r="B288" s="1">
        <v>45411</v>
      </c>
      <c r="C288" t="s">
        <v>647</v>
      </c>
      <c r="D288" t="s">
        <v>66</v>
      </c>
      <c r="E288" t="s">
        <v>85</v>
      </c>
      <c r="F288" t="s">
        <v>31</v>
      </c>
      <c r="G288" t="s">
        <v>22</v>
      </c>
      <c r="H288" t="s">
        <v>74</v>
      </c>
      <c r="I288">
        <v>5</v>
      </c>
      <c r="J288">
        <v>492.7</v>
      </c>
      <c r="K288">
        <v>0.15</v>
      </c>
      <c r="L288">
        <v>2093.9699999999998</v>
      </c>
      <c r="M288">
        <v>1356.93</v>
      </c>
      <c r="N288">
        <v>737.04</v>
      </c>
      <c r="O288" t="s">
        <v>33</v>
      </c>
      <c r="P288">
        <v>5</v>
      </c>
    </row>
    <row r="289" spans="1:16" x14ac:dyDescent="0.35">
      <c r="A289" t="s">
        <v>648</v>
      </c>
      <c r="B289" s="1">
        <v>45624</v>
      </c>
      <c r="C289" t="s">
        <v>649</v>
      </c>
      <c r="D289" t="s">
        <v>49</v>
      </c>
      <c r="E289" t="s">
        <v>98</v>
      </c>
      <c r="F289" t="s">
        <v>31</v>
      </c>
      <c r="G289" t="s">
        <v>79</v>
      </c>
      <c r="H289" t="s">
        <v>103</v>
      </c>
      <c r="I289">
        <v>7</v>
      </c>
      <c r="J289">
        <v>1018.39</v>
      </c>
      <c r="K289">
        <v>0.1</v>
      </c>
      <c r="L289">
        <v>6415.86</v>
      </c>
      <c r="M289">
        <v>3700.82</v>
      </c>
      <c r="N289">
        <v>2715.04</v>
      </c>
      <c r="O289" t="s">
        <v>62</v>
      </c>
      <c r="P289">
        <v>2</v>
      </c>
    </row>
    <row r="290" spans="1:16" x14ac:dyDescent="0.35">
      <c r="A290" t="s">
        <v>650</v>
      </c>
      <c r="B290" s="1">
        <v>45608</v>
      </c>
      <c r="C290" t="s">
        <v>651</v>
      </c>
      <c r="D290" t="s">
        <v>37</v>
      </c>
      <c r="E290" t="s">
        <v>85</v>
      </c>
      <c r="F290" t="s">
        <v>31</v>
      </c>
      <c r="G290" t="s">
        <v>79</v>
      </c>
      <c r="H290" t="s">
        <v>89</v>
      </c>
      <c r="I290">
        <v>12</v>
      </c>
      <c r="J290">
        <v>246.65</v>
      </c>
      <c r="K290">
        <v>0</v>
      </c>
      <c r="L290">
        <v>2959.8</v>
      </c>
      <c r="M290">
        <v>1896.66</v>
      </c>
      <c r="N290">
        <v>1063.1400000000001</v>
      </c>
      <c r="O290" t="s">
        <v>62</v>
      </c>
      <c r="P290">
        <v>2</v>
      </c>
    </row>
    <row r="291" spans="1:16" x14ac:dyDescent="0.35">
      <c r="A291" t="s">
        <v>652</v>
      </c>
      <c r="B291" s="1">
        <v>45580</v>
      </c>
      <c r="C291" t="s">
        <v>653</v>
      </c>
      <c r="D291" t="s">
        <v>49</v>
      </c>
      <c r="E291" t="s">
        <v>20</v>
      </c>
      <c r="F291" t="s">
        <v>21</v>
      </c>
      <c r="G291" t="s">
        <v>43</v>
      </c>
      <c r="H291" t="s">
        <v>44</v>
      </c>
      <c r="I291">
        <v>12</v>
      </c>
      <c r="J291">
        <v>304.45</v>
      </c>
      <c r="K291">
        <v>0.05</v>
      </c>
      <c r="L291">
        <v>3470.73</v>
      </c>
      <c r="M291">
        <v>2049.98</v>
      </c>
      <c r="N291">
        <v>1420.75</v>
      </c>
      <c r="O291" t="s">
        <v>62</v>
      </c>
      <c r="P291">
        <v>1</v>
      </c>
    </row>
    <row r="292" spans="1:16" x14ac:dyDescent="0.35">
      <c r="A292" t="s">
        <v>654</v>
      </c>
      <c r="B292" s="1">
        <v>45336</v>
      </c>
      <c r="C292" t="s">
        <v>655</v>
      </c>
      <c r="D292" t="s">
        <v>29</v>
      </c>
      <c r="E292" t="s">
        <v>98</v>
      </c>
      <c r="F292" t="s">
        <v>21</v>
      </c>
      <c r="G292" t="s">
        <v>43</v>
      </c>
      <c r="H292" t="s">
        <v>50</v>
      </c>
      <c r="I292">
        <v>5</v>
      </c>
      <c r="J292">
        <v>1064.1199999999999</v>
      </c>
      <c r="K292">
        <v>0</v>
      </c>
      <c r="L292">
        <v>5320.6</v>
      </c>
      <c r="M292">
        <v>2776.45</v>
      </c>
      <c r="N292">
        <v>2544.15</v>
      </c>
      <c r="O292" t="s">
        <v>33</v>
      </c>
      <c r="P292">
        <v>3</v>
      </c>
    </row>
    <row r="293" spans="1:16" x14ac:dyDescent="0.35">
      <c r="A293" t="s">
        <v>656</v>
      </c>
      <c r="B293" s="1">
        <v>45656</v>
      </c>
      <c r="C293" t="s">
        <v>657</v>
      </c>
      <c r="D293" t="s">
        <v>29</v>
      </c>
      <c r="E293" t="s">
        <v>98</v>
      </c>
      <c r="F293" t="s">
        <v>21</v>
      </c>
      <c r="G293" t="s">
        <v>60</v>
      </c>
      <c r="H293" t="s">
        <v>110</v>
      </c>
      <c r="I293">
        <v>5</v>
      </c>
      <c r="J293">
        <v>113.57</v>
      </c>
      <c r="K293">
        <v>0.05</v>
      </c>
      <c r="L293">
        <v>539.46</v>
      </c>
      <c r="M293">
        <v>434.86</v>
      </c>
      <c r="N293">
        <v>104.6</v>
      </c>
      <c r="O293" t="s">
        <v>24</v>
      </c>
      <c r="P293">
        <v>1</v>
      </c>
    </row>
    <row r="294" spans="1:16" x14ac:dyDescent="0.35">
      <c r="A294" t="s">
        <v>658</v>
      </c>
      <c r="B294" s="1">
        <v>45372</v>
      </c>
      <c r="C294" t="s">
        <v>659</v>
      </c>
      <c r="D294" t="s">
        <v>66</v>
      </c>
      <c r="E294" t="s">
        <v>98</v>
      </c>
      <c r="F294" t="s">
        <v>39</v>
      </c>
      <c r="G294" t="s">
        <v>22</v>
      </c>
      <c r="H294" t="s">
        <v>74</v>
      </c>
      <c r="I294">
        <v>9</v>
      </c>
      <c r="J294">
        <v>1116.23</v>
      </c>
      <c r="K294">
        <v>0.05</v>
      </c>
      <c r="L294">
        <v>9543.77</v>
      </c>
      <c r="M294">
        <v>7260.44</v>
      </c>
      <c r="N294">
        <v>2283.33</v>
      </c>
      <c r="O294" t="s">
        <v>62</v>
      </c>
      <c r="P294">
        <v>5</v>
      </c>
    </row>
    <row r="295" spans="1:16" x14ac:dyDescent="0.35">
      <c r="A295" t="s">
        <v>660</v>
      </c>
      <c r="B295" s="1">
        <v>45401</v>
      </c>
      <c r="C295" t="s">
        <v>661</v>
      </c>
      <c r="D295" t="s">
        <v>29</v>
      </c>
      <c r="E295" t="s">
        <v>20</v>
      </c>
      <c r="F295" t="s">
        <v>31</v>
      </c>
      <c r="G295" t="s">
        <v>43</v>
      </c>
      <c r="H295" t="s">
        <v>50</v>
      </c>
      <c r="I295">
        <v>6</v>
      </c>
      <c r="J295">
        <v>1032.31</v>
      </c>
      <c r="K295">
        <v>0.15</v>
      </c>
      <c r="L295">
        <v>5264.78</v>
      </c>
      <c r="M295">
        <v>4329.47</v>
      </c>
      <c r="N295">
        <v>935.31</v>
      </c>
      <c r="O295" t="s">
        <v>33</v>
      </c>
      <c r="P295">
        <v>2</v>
      </c>
    </row>
    <row r="296" spans="1:16" x14ac:dyDescent="0.35">
      <c r="A296" t="s">
        <v>662</v>
      </c>
      <c r="B296" s="1">
        <v>45634</v>
      </c>
      <c r="C296" t="s">
        <v>663</v>
      </c>
      <c r="D296" t="s">
        <v>37</v>
      </c>
      <c r="E296" t="s">
        <v>98</v>
      </c>
      <c r="F296" t="s">
        <v>31</v>
      </c>
      <c r="G296" t="s">
        <v>43</v>
      </c>
      <c r="H296" t="s">
        <v>44</v>
      </c>
      <c r="I296">
        <v>10</v>
      </c>
      <c r="J296">
        <v>127.78</v>
      </c>
      <c r="K296">
        <v>0.15</v>
      </c>
      <c r="L296">
        <v>1086.1300000000001</v>
      </c>
      <c r="M296">
        <v>583.07000000000005</v>
      </c>
      <c r="N296">
        <v>503.06</v>
      </c>
      <c r="O296" t="s">
        <v>62</v>
      </c>
      <c r="P296">
        <v>4</v>
      </c>
    </row>
    <row r="297" spans="1:16" x14ac:dyDescent="0.35">
      <c r="A297" t="s">
        <v>664</v>
      </c>
      <c r="B297" s="1">
        <v>45497</v>
      </c>
      <c r="C297" t="s">
        <v>665</v>
      </c>
      <c r="D297" t="s">
        <v>19</v>
      </c>
      <c r="E297" t="s">
        <v>98</v>
      </c>
      <c r="F297" t="s">
        <v>31</v>
      </c>
      <c r="G297" t="s">
        <v>43</v>
      </c>
      <c r="H297" t="s">
        <v>173</v>
      </c>
      <c r="I297">
        <v>7</v>
      </c>
      <c r="J297">
        <v>462.1</v>
      </c>
      <c r="K297">
        <v>0.05</v>
      </c>
      <c r="L297">
        <v>3072.97</v>
      </c>
      <c r="M297">
        <v>1950.55</v>
      </c>
      <c r="N297">
        <v>1122.42</v>
      </c>
      <c r="O297" t="s">
        <v>51</v>
      </c>
      <c r="P297">
        <v>2</v>
      </c>
    </row>
    <row r="298" spans="1:16" x14ac:dyDescent="0.35">
      <c r="A298" t="s">
        <v>666</v>
      </c>
      <c r="B298" s="1">
        <v>45513</v>
      </c>
      <c r="C298" t="s">
        <v>667</v>
      </c>
      <c r="D298" t="s">
        <v>49</v>
      </c>
      <c r="E298" t="s">
        <v>98</v>
      </c>
      <c r="F298" t="s">
        <v>31</v>
      </c>
      <c r="G298" t="s">
        <v>79</v>
      </c>
      <c r="H298" t="s">
        <v>89</v>
      </c>
      <c r="I298">
        <v>2</v>
      </c>
      <c r="J298">
        <v>778.79</v>
      </c>
      <c r="K298">
        <v>0</v>
      </c>
      <c r="L298">
        <v>1557.58</v>
      </c>
      <c r="M298">
        <v>1196.31</v>
      </c>
      <c r="N298">
        <v>361.27</v>
      </c>
      <c r="O298" t="s">
        <v>33</v>
      </c>
      <c r="P298">
        <v>4</v>
      </c>
    </row>
    <row r="299" spans="1:16" x14ac:dyDescent="0.35">
      <c r="A299" t="s">
        <v>668</v>
      </c>
      <c r="B299" s="1">
        <v>45429</v>
      </c>
      <c r="C299" t="s">
        <v>669</v>
      </c>
      <c r="D299" t="s">
        <v>29</v>
      </c>
      <c r="E299" t="s">
        <v>38</v>
      </c>
      <c r="F299" t="s">
        <v>39</v>
      </c>
      <c r="G299" t="s">
        <v>60</v>
      </c>
      <c r="H299" t="s">
        <v>61</v>
      </c>
      <c r="I299">
        <v>9</v>
      </c>
      <c r="J299">
        <v>672.8</v>
      </c>
      <c r="K299">
        <v>0</v>
      </c>
      <c r="L299">
        <v>6055.2</v>
      </c>
      <c r="M299">
        <v>4011.46</v>
      </c>
      <c r="N299">
        <v>2043.74</v>
      </c>
      <c r="O299" t="s">
        <v>24</v>
      </c>
      <c r="P299">
        <v>3</v>
      </c>
    </row>
    <row r="300" spans="1:16" x14ac:dyDescent="0.35">
      <c r="A300" t="s">
        <v>670</v>
      </c>
      <c r="B300" s="1">
        <v>45560</v>
      </c>
      <c r="C300" t="s">
        <v>671</v>
      </c>
      <c r="D300" t="s">
        <v>29</v>
      </c>
      <c r="E300" t="s">
        <v>98</v>
      </c>
      <c r="F300" t="s">
        <v>39</v>
      </c>
      <c r="G300" t="s">
        <v>60</v>
      </c>
      <c r="H300" t="s">
        <v>110</v>
      </c>
      <c r="I300">
        <v>10</v>
      </c>
      <c r="J300">
        <v>28.65</v>
      </c>
      <c r="K300">
        <v>0.1</v>
      </c>
      <c r="L300">
        <v>257.85000000000002</v>
      </c>
      <c r="M300">
        <v>156.72999999999999</v>
      </c>
      <c r="N300">
        <v>101.12</v>
      </c>
      <c r="O300" t="s">
        <v>33</v>
      </c>
      <c r="P300">
        <v>5</v>
      </c>
    </row>
    <row r="301" spans="1:16" x14ac:dyDescent="0.35">
      <c r="A301" t="s">
        <v>672</v>
      </c>
      <c r="B301" s="1">
        <v>45465</v>
      </c>
      <c r="C301" t="s">
        <v>673</v>
      </c>
      <c r="D301" t="s">
        <v>66</v>
      </c>
      <c r="E301" t="s">
        <v>38</v>
      </c>
      <c r="F301" t="s">
        <v>21</v>
      </c>
      <c r="G301" t="s">
        <v>79</v>
      </c>
      <c r="H301" t="s">
        <v>80</v>
      </c>
      <c r="I301">
        <v>2</v>
      </c>
      <c r="J301">
        <v>911.13</v>
      </c>
      <c r="K301">
        <v>0.15</v>
      </c>
      <c r="L301">
        <v>1548.92</v>
      </c>
      <c r="M301">
        <v>1272.9100000000001</v>
      </c>
      <c r="N301">
        <v>276.01</v>
      </c>
      <c r="O301" t="s">
        <v>51</v>
      </c>
      <c r="P301">
        <v>1</v>
      </c>
    </row>
    <row r="302" spans="1:16" x14ac:dyDescent="0.35">
      <c r="A302" t="s">
        <v>674</v>
      </c>
      <c r="B302" s="1">
        <v>45648</v>
      </c>
      <c r="C302" t="s">
        <v>675</v>
      </c>
      <c r="D302" t="s">
        <v>19</v>
      </c>
      <c r="E302" t="s">
        <v>38</v>
      </c>
      <c r="F302" t="s">
        <v>39</v>
      </c>
      <c r="G302" t="s">
        <v>60</v>
      </c>
      <c r="H302" t="s">
        <v>110</v>
      </c>
      <c r="I302">
        <v>2</v>
      </c>
      <c r="J302">
        <v>106.02</v>
      </c>
      <c r="K302">
        <v>0.1</v>
      </c>
      <c r="L302">
        <v>190.84</v>
      </c>
      <c r="M302">
        <v>120.79</v>
      </c>
      <c r="N302">
        <v>70.05</v>
      </c>
      <c r="O302" t="s">
        <v>24</v>
      </c>
      <c r="P302">
        <v>3</v>
      </c>
    </row>
    <row r="303" spans="1:16" x14ac:dyDescent="0.35">
      <c r="A303" t="s">
        <v>676</v>
      </c>
      <c r="B303" s="1">
        <v>45576</v>
      </c>
      <c r="C303" t="s">
        <v>677</v>
      </c>
      <c r="D303" t="s">
        <v>19</v>
      </c>
      <c r="E303" t="s">
        <v>30</v>
      </c>
      <c r="F303" t="s">
        <v>21</v>
      </c>
      <c r="G303" t="s">
        <v>22</v>
      </c>
      <c r="H303" t="s">
        <v>32</v>
      </c>
      <c r="I303">
        <v>7</v>
      </c>
      <c r="J303">
        <v>1130.3</v>
      </c>
      <c r="K303">
        <v>0.05</v>
      </c>
      <c r="L303">
        <v>7516.49</v>
      </c>
      <c r="M303">
        <v>4743.8500000000004</v>
      </c>
      <c r="N303">
        <v>2772.64</v>
      </c>
      <c r="O303" t="s">
        <v>24</v>
      </c>
      <c r="P303">
        <v>5</v>
      </c>
    </row>
    <row r="304" spans="1:16" x14ac:dyDescent="0.35">
      <c r="A304" t="s">
        <v>678</v>
      </c>
      <c r="B304" s="1">
        <v>45508</v>
      </c>
      <c r="C304" t="s">
        <v>679</v>
      </c>
      <c r="D304" t="s">
        <v>49</v>
      </c>
      <c r="E304" t="s">
        <v>20</v>
      </c>
      <c r="F304" t="s">
        <v>39</v>
      </c>
      <c r="G304" t="s">
        <v>43</v>
      </c>
      <c r="H304" t="s">
        <v>44</v>
      </c>
      <c r="I304">
        <v>8</v>
      </c>
      <c r="J304">
        <v>1033.3399999999999</v>
      </c>
      <c r="K304">
        <v>0.15</v>
      </c>
      <c r="L304">
        <v>7026.71</v>
      </c>
      <c r="M304">
        <v>5267.02</v>
      </c>
      <c r="N304">
        <v>1759.69</v>
      </c>
      <c r="O304" t="s">
        <v>24</v>
      </c>
      <c r="P304">
        <v>3</v>
      </c>
    </row>
    <row r="305" spans="1:16" x14ac:dyDescent="0.35">
      <c r="A305" t="s">
        <v>680</v>
      </c>
      <c r="B305" s="1">
        <v>45409</v>
      </c>
      <c r="C305" t="s">
        <v>681</v>
      </c>
      <c r="D305" t="s">
        <v>66</v>
      </c>
      <c r="E305" t="s">
        <v>85</v>
      </c>
      <c r="F305" t="s">
        <v>21</v>
      </c>
      <c r="G305" t="s">
        <v>60</v>
      </c>
      <c r="H305" t="s">
        <v>119</v>
      </c>
      <c r="I305">
        <v>3</v>
      </c>
      <c r="J305">
        <v>1111.68</v>
      </c>
      <c r="K305">
        <v>0.05</v>
      </c>
      <c r="L305">
        <v>3168.29</v>
      </c>
      <c r="M305">
        <v>1826.17</v>
      </c>
      <c r="N305">
        <v>1342.12</v>
      </c>
      <c r="O305" t="s">
        <v>24</v>
      </c>
      <c r="P305">
        <v>2</v>
      </c>
    </row>
    <row r="306" spans="1:16" x14ac:dyDescent="0.35">
      <c r="A306" t="s">
        <v>682</v>
      </c>
      <c r="B306" s="1">
        <v>45637</v>
      </c>
      <c r="C306" t="s">
        <v>683</v>
      </c>
      <c r="D306" t="s">
        <v>66</v>
      </c>
      <c r="E306" t="s">
        <v>85</v>
      </c>
      <c r="F306" t="s">
        <v>39</v>
      </c>
      <c r="G306" t="s">
        <v>43</v>
      </c>
      <c r="H306" t="s">
        <v>50</v>
      </c>
      <c r="I306">
        <v>2</v>
      </c>
      <c r="J306">
        <v>1135.8399999999999</v>
      </c>
      <c r="K306">
        <v>0</v>
      </c>
      <c r="L306">
        <v>2271.6799999999998</v>
      </c>
      <c r="M306">
        <v>1484.31</v>
      </c>
      <c r="N306">
        <v>787.37</v>
      </c>
      <c r="O306" t="s">
        <v>24</v>
      </c>
      <c r="P306">
        <v>4</v>
      </c>
    </row>
    <row r="307" spans="1:16" x14ac:dyDescent="0.35">
      <c r="A307" t="s">
        <v>684</v>
      </c>
      <c r="B307" s="1">
        <v>45647</v>
      </c>
      <c r="C307" t="s">
        <v>685</v>
      </c>
      <c r="D307" t="s">
        <v>37</v>
      </c>
      <c r="E307" t="s">
        <v>20</v>
      </c>
      <c r="F307" t="s">
        <v>39</v>
      </c>
      <c r="G307" t="s">
        <v>22</v>
      </c>
      <c r="H307" t="s">
        <v>23</v>
      </c>
      <c r="I307">
        <v>10</v>
      </c>
      <c r="J307">
        <v>598.21</v>
      </c>
      <c r="K307">
        <v>0.05</v>
      </c>
      <c r="L307">
        <v>5682.99</v>
      </c>
      <c r="M307">
        <v>4714.3</v>
      </c>
      <c r="N307">
        <v>968.69</v>
      </c>
      <c r="O307" t="s">
        <v>24</v>
      </c>
      <c r="P307">
        <v>4</v>
      </c>
    </row>
    <row r="308" spans="1:16" x14ac:dyDescent="0.35">
      <c r="A308" t="s">
        <v>686</v>
      </c>
      <c r="B308" s="1">
        <v>45400</v>
      </c>
      <c r="C308" t="s">
        <v>687</v>
      </c>
      <c r="D308" t="s">
        <v>29</v>
      </c>
      <c r="E308" t="s">
        <v>20</v>
      </c>
      <c r="F308" t="s">
        <v>31</v>
      </c>
      <c r="G308" t="s">
        <v>79</v>
      </c>
      <c r="H308" t="s">
        <v>80</v>
      </c>
      <c r="I308">
        <v>3</v>
      </c>
      <c r="J308">
        <v>694.37</v>
      </c>
      <c r="K308">
        <v>0</v>
      </c>
      <c r="L308">
        <v>2083.11</v>
      </c>
      <c r="M308">
        <v>1099.79</v>
      </c>
      <c r="N308">
        <v>983.32</v>
      </c>
      <c r="O308" t="s">
        <v>51</v>
      </c>
      <c r="P308">
        <v>1</v>
      </c>
    </row>
    <row r="309" spans="1:16" x14ac:dyDescent="0.35">
      <c r="A309" t="s">
        <v>688</v>
      </c>
      <c r="B309" s="1">
        <v>45481</v>
      </c>
      <c r="C309" t="s">
        <v>689</v>
      </c>
      <c r="D309" t="s">
        <v>37</v>
      </c>
      <c r="E309" t="s">
        <v>30</v>
      </c>
      <c r="F309" t="s">
        <v>21</v>
      </c>
      <c r="G309" t="s">
        <v>22</v>
      </c>
      <c r="H309" t="s">
        <v>23</v>
      </c>
      <c r="I309">
        <v>8</v>
      </c>
      <c r="J309">
        <v>81.47</v>
      </c>
      <c r="K309">
        <v>0</v>
      </c>
      <c r="L309">
        <v>651.76</v>
      </c>
      <c r="M309">
        <v>380.9</v>
      </c>
      <c r="N309">
        <v>270.86</v>
      </c>
      <c r="O309" t="s">
        <v>51</v>
      </c>
      <c r="P309">
        <v>4</v>
      </c>
    </row>
    <row r="310" spans="1:16" x14ac:dyDescent="0.35">
      <c r="A310" t="s">
        <v>690</v>
      </c>
      <c r="B310" s="1">
        <v>45437</v>
      </c>
      <c r="C310" t="s">
        <v>691</v>
      </c>
      <c r="D310" t="s">
        <v>66</v>
      </c>
      <c r="E310" t="s">
        <v>38</v>
      </c>
      <c r="F310" t="s">
        <v>39</v>
      </c>
      <c r="G310" t="s">
        <v>22</v>
      </c>
      <c r="H310" t="s">
        <v>74</v>
      </c>
      <c r="I310">
        <v>12</v>
      </c>
      <c r="J310">
        <v>96.31</v>
      </c>
      <c r="K310">
        <v>0.15</v>
      </c>
      <c r="L310">
        <v>982.36</v>
      </c>
      <c r="M310">
        <v>606.77</v>
      </c>
      <c r="N310">
        <v>375.59</v>
      </c>
      <c r="O310" t="s">
        <v>24</v>
      </c>
      <c r="P310">
        <v>3</v>
      </c>
    </row>
    <row r="311" spans="1:16" x14ac:dyDescent="0.35">
      <c r="A311" t="s">
        <v>692</v>
      </c>
      <c r="B311" s="1">
        <v>45439</v>
      </c>
      <c r="C311" t="s">
        <v>693</v>
      </c>
      <c r="D311" t="s">
        <v>19</v>
      </c>
      <c r="E311" t="s">
        <v>38</v>
      </c>
      <c r="F311" t="s">
        <v>21</v>
      </c>
      <c r="G311" t="s">
        <v>79</v>
      </c>
      <c r="H311" t="s">
        <v>103</v>
      </c>
      <c r="I311">
        <v>11</v>
      </c>
      <c r="J311">
        <v>603.08000000000004</v>
      </c>
      <c r="K311">
        <v>0.05</v>
      </c>
      <c r="L311">
        <v>6302.19</v>
      </c>
      <c r="M311">
        <v>4911.4399999999996</v>
      </c>
      <c r="N311">
        <v>1390.75</v>
      </c>
      <c r="O311" t="s">
        <v>62</v>
      </c>
      <c r="P311">
        <v>5</v>
      </c>
    </row>
    <row r="312" spans="1:16" x14ac:dyDescent="0.35">
      <c r="A312" t="s">
        <v>694</v>
      </c>
      <c r="B312" s="1">
        <v>45639</v>
      </c>
      <c r="C312" t="s">
        <v>695</v>
      </c>
      <c r="D312" t="s">
        <v>29</v>
      </c>
      <c r="E312" t="s">
        <v>85</v>
      </c>
      <c r="F312" t="s">
        <v>31</v>
      </c>
      <c r="G312" t="s">
        <v>79</v>
      </c>
      <c r="H312" t="s">
        <v>103</v>
      </c>
      <c r="I312">
        <v>5</v>
      </c>
      <c r="J312">
        <v>1148.3699999999999</v>
      </c>
      <c r="K312">
        <v>0</v>
      </c>
      <c r="L312">
        <v>5741.85</v>
      </c>
      <c r="M312">
        <v>3222.26</v>
      </c>
      <c r="N312">
        <v>2519.59</v>
      </c>
      <c r="O312" t="s">
        <v>33</v>
      </c>
      <c r="P312">
        <v>1</v>
      </c>
    </row>
    <row r="313" spans="1:16" x14ac:dyDescent="0.35">
      <c r="A313" t="s">
        <v>696</v>
      </c>
      <c r="B313" s="1">
        <v>45561</v>
      </c>
      <c r="C313" t="s">
        <v>697</v>
      </c>
      <c r="D313" t="s">
        <v>49</v>
      </c>
      <c r="E313" t="s">
        <v>30</v>
      </c>
      <c r="F313" t="s">
        <v>31</v>
      </c>
      <c r="G313" t="s">
        <v>43</v>
      </c>
      <c r="H313" t="s">
        <v>173</v>
      </c>
      <c r="I313">
        <v>9</v>
      </c>
      <c r="J313">
        <v>273.52999999999997</v>
      </c>
      <c r="K313">
        <v>0.05</v>
      </c>
      <c r="L313">
        <v>2338.6799999999998</v>
      </c>
      <c r="M313">
        <v>1659.84</v>
      </c>
      <c r="N313">
        <v>678.84</v>
      </c>
      <c r="O313" t="s">
        <v>51</v>
      </c>
      <c r="P313">
        <v>5</v>
      </c>
    </row>
    <row r="314" spans="1:16" x14ac:dyDescent="0.35">
      <c r="A314" t="s">
        <v>698</v>
      </c>
      <c r="B314" s="1">
        <v>45589</v>
      </c>
      <c r="C314" t="s">
        <v>699</v>
      </c>
      <c r="D314" t="s">
        <v>66</v>
      </c>
      <c r="E314" t="s">
        <v>30</v>
      </c>
      <c r="F314" t="s">
        <v>21</v>
      </c>
      <c r="G314" t="s">
        <v>43</v>
      </c>
      <c r="H314" t="s">
        <v>173</v>
      </c>
      <c r="I314">
        <v>7</v>
      </c>
      <c r="J314">
        <v>657.69</v>
      </c>
      <c r="K314">
        <v>0.15</v>
      </c>
      <c r="L314">
        <v>3913.26</v>
      </c>
      <c r="M314">
        <v>2954.82</v>
      </c>
      <c r="N314">
        <v>958.44</v>
      </c>
      <c r="O314" t="s">
        <v>33</v>
      </c>
      <c r="P314">
        <v>5</v>
      </c>
    </row>
    <row r="315" spans="1:16" x14ac:dyDescent="0.35">
      <c r="A315" t="s">
        <v>700</v>
      </c>
      <c r="B315" s="1">
        <v>45404</v>
      </c>
      <c r="C315" t="s">
        <v>701</v>
      </c>
      <c r="D315" t="s">
        <v>66</v>
      </c>
      <c r="E315" t="s">
        <v>30</v>
      </c>
      <c r="F315" t="s">
        <v>31</v>
      </c>
      <c r="G315" t="s">
        <v>22</v>
      </c>
      <c r="H315" t="s">
        <v>23</v>
      </c>
      <c r="I315">
        <v>3</v>
      </c>
      <c r="J315">
        <v>37.94</v>
      </c>
      <c r="K315">
        <v>0</v>
      </c>
      <c r="L315">
        <v>113.82</v>
      </c>
      <c r="M315">
        <v>85.17</v>
      </c>
      <c r="N315">
        <v>28.65</v>
      </c>
      <c r="O315" t="s">
        <v>24</v>
      </c>
      <c r="P315">
        <v>4</v>
      </c>
    </row>
    <row r="316" spans="1:16" x14ac:dyDescent="0.35">
      <c r="A316" t="s">
        <v>702</v>
      </c>
      <c r="B316" s="1">
        <v>45435</v>
      </c>
      <c r="C316" t="s">
        <v>703</v>
      </c>
      <c r="D316" t="s">
        <v>19</v>
      </c>
      <c r="E316" t="s">
        <v>30</v>
      </c>
      <c r="F316" t="s">
        <v>31</v>
      </c>
      <c r="G316" t="s">
        <v>60</v>
      </c>
      <c r="H316" t="s">
        <v>110</v>
      </c>
      <c r="I316">
        <v>3</v>
      </c>
      <c r="J316">
        <v>296.14999999999998</v>
      </c>
      <c r="K316">
        <v>0.1</v>
      </c>
      <c r="L316">
        <v>799.6</v>
      </c>
      <c r="M316">
        <v>510.95</v>
      </c>
      <c r="N316">
        <v>288.64999999999998</v>
      </c>
      <c r="O316" t="s">
        <v>51</v>
      </c>
      <c r="P316">
        <v>5</v>
      </c>
    </row>
    <row r="317" spans="1:16" x14ac:dyDescent="0.35">
      <c r="A317" t="s">
        <v>704</v>
      </c>
      <c r="B317" s="1">
        <v>45402</v>
      </c>
      <c r="C317" t="s">
        <v>705</v>
      </c>
      <c r="D317" t="s">
        <v>49</v>
      </c>
      <c r="E317" t="s">
        <v>98</v>
      </c>
      <c r="F317" t="s">
        <v>31</v>
      </c>
      <c r="G317" t="s">
        <v>79</v>
      </c>
      <c r="H317" t="s">
        <v>80</v>
      </c>
      <c r="I317">
        <v>11</v>
      </c>
      <c r="J317">
        <v>689.66</v>
      </c>
      <c r="K317">
        <v>0.15</v>
      </c>
      <c r="L317">
        <v>6448.32</v>
      </c>
      <c r="M317">
        <v>5180.42</v>
      </c>
      <c r="N317">
        <v>1267.9000000000001</v>
      </c>
      <c r="O317" t="s">
        <v>62</v>
      </c>
      <c r="P317">
        <v>4</v>
      </c>
    </row>
    <row r="318" spans="1:16" x14ac:dyDescent="0.35">
      <c r="A318" t="s">
        <v>706</v>
      </c>
      <c r="B318" s="1">
        <v>45356</v>
      </c>
      <c r="C318" t="s">
        <v>707</v>
      </c>
      <c r="D318" t="s">
        <v>37</v>
      </c>
      <c r="E318" t="s">
        <v>20</v>
      </c>
      <c r="F318" t="s">
        <v>39</v>
      </c>
      <c r="G318" t="s">
        <v>79</v>
      </c>
      <c r="H318" t="s">
        <v>89</v>
      </c>
      <c r="I318">
        <v>3</v>
      </c>
      <c r="J318">
        <v>1190.23</v>
      </c>
      <c r="K318">
        <v>0</v>
      </c>
      <c r="L318">
        <v>3570.69</v>
      </c>
      <c r="M318">
        <v>1801.49</v>
      </c>
      <c r="N318">
        <v>1769.2</v>
      </c>
      <c r="O318" t="s">
        <v>24</v>
      </c>
      <c r="P318">
        <v>3</v>
      </c>
    </row>
    <row r="319" spans="1:16" x14ac:dyDescent="0.35">
      <c r="A319" t="s">
        <v>708</v>
      </c>
      <c r="B319" s="1">
        <v>45380</v>
      </c>
      <c r="C319" t="s">
        <v>709</v>
      </c>
      <c r="D319" t="s">
        <v>29</v>
      </c>
      <c r="E319" t="s">
        <v>98</v>
      </c>
      <c r="F319" t="s">
        <v>39</v>
      </c>
      <c r="G319" t="s">
        <v>79</v>
      </c>
      <c r="H319" t="s">
        <v>80</v>
      </c>
      <c r="I319">
        <v>12</v>
      </c>
      <c r="J319">
        <v>220.55</v>
      </c>
      <c r="K319">
        <v>0.1</v>
      </c>
      <c r="L319">
        <v>2381.94</v>
      </c>
      <c r="M319">
        <v>1233.02</v>
      </c>
      <c r="N319">
        <v>1148.92</v>
      </c>
      <c r="O319" t="s">
        <v>51</v>
      </c>
      <c r="P319">
        <v>5</v>
      </c>
    </row>
    <row r="320" spans="1:16" x14ac:dyDescent="0.35">
      <c r="A320" t="s">
        <v>710</v>
      </c>
      <c r="B320" s="1">
        <v>45366</v>
      </c>
      <c r="C320" t="s">
        <v>711</v>
      </c>
      <c r="D320" t="s">
        <v>66</v>
      </c>
      <c r="E320" t="s">
        <v>38</v>
      </c>
      <c r="F320" t="s">
        <v>31</v>
      </c>
      <c r="G320" t="s">
        <v>22</v>
      </c>
      <c r="H320" t="s">
        <v>124</v>
      </c>
      <c r="I320">
        <v>7</v>
      </c>
      <c r="J320">
        <v>923.89</v>
      </c>
      <c r="K320">
        <v>0.1</v>
      </c>
      <c r="L320">
        <v>5820.51</v>
      </c>
      <c r="M320">
        <v>4641.13</v>
      </c>
      <c r="N320">
        <v>1179.3800000000001</v>
      </c>
      <c r="O320" t="s">
        <v>62</v>
      </c>
      <c r="P320">
        <v>3</v>
      </c>
    </row>
    <row r="321" spans="1:16" x14ac:dyDescent="0.35">
      <c r="A321" t="s">
        <v>712</v>
      </c>
      <c r="B321" s="1">
        <v>45451</v>
      </c>
      <c r="C321" t="s">
        <v>713</v>
      </c>
      <c r="D321" t="s">
        <v>29</v>
      </c>
      <c r="E321" t="s">
        <v>30</v>
      </c>
      <c r="F321" t="s">
        <v>21</v>
      </c>
      <c r="G321" t="s">
        <v>60</v>
      </c>
      <c r="H321" t="s">
        <v>119</v>
      </c>
      <c r="I321">
        <v>7</v>
      </c>
      <c r="J321">
        <v>257.95</v>
      </c>
      <c r="K321">
        <v>0.15</v>
      </c>
      <c r="L321">
        <v>1534.8</v>
      </c>
      <c r="M321">
        <v>809.34</v>
      </c>
      <c r="N321">
        <v>725.46</v>
      </c>
      <c r="O321" t="s">
        <v>51</v>
      </c>
      <c r="P321">
        <v>5</v>
      </c>
    </row>
    <row r="322" spans="1:16" x14ac:dyDescent="0.35">
      <c r="A322" t="s">
        <v>714</v>
      </c>
      <c r="B322" s="1">
        <v>45327</v>
      </c>
      <c r="C322" t="s">
        <v>715</v>
      </c>
      <c r="D322" t="s">
        <v>37</v>
      </c>
      <c r="E322" t="s">
        <v>30</v>
      </c>
      <c r="F322" t="s">
        <v>39</v>
      </c>
      <c r="G322" t="s">
        <v>79</v>
      </c>
      <c r="H322" t="s">
        <v>103</v>
      </c>
      <c r="I322">
        <v>3</v>
      </c>
      <c r="J322">
        <v>48.27</v>
      </c>
      <c r="K322">
        <v>0.15</v>
      </c>
      <c r="L322">
        <v>123.09</v>
      </c>
      <c r="M322">
        <v>94.23</v>
      </c>
      <c r="N322">
        <v>28.86</v>
      </c>
      <c r="O322" t="s">
        <v>62</v>
      </c>
      <c r="P322">
        <v>3</v>
      </c>
    </row>
    <row r="323" spans="1:16" x14ac:dyDescent="0.35">
      <c r="A323" t="s">
        <v>716</v>
      </c>
      <c r="B323" s="1">
        <v>45573</v>
      </c>
      <c r="C323" t="s">
        <v>717</v>
      </c>
      <c r="D323" t="s">
        <v>19</v>
      </c>
      <c r="E323" t="s">
        <v>98</v>
      </c>
      <c r="F323" t="s">
        <v>31</v>
      </c>
      <c r="G323" t="s">
        <v>60</v>
      </c>
      <c r="H323" t="s">
        <v>61</v>
      </c>
      <c r="I323">
        <v>12</v>
      </c>
      <c r="J323">
        <v>1048.7</v>
      </c>
      <c r="K323">
        <v>0.1</v>
      </c>
      <c r="L323">
        <v>11325.96</v>
      </c>
      <c r="M323">
        <v>9574.42</v>
      </c>
      <c r="N323">
        <v>1751.54</v>
      </c>
      <c r="O323" t="s">
        <v>33</v>
      </c>
      <c r="P323">
        <v>3</v>
      </c>
    </row>
    <row r="324" spans="1:16" x14ac:dyDescent="0.35">
      <c r="A324" t="s">
        <v>718</v>
      </c>
      <c r="B324" s="1">
        <v>45597</v>
      </c>
      <c r="C324" t="s">
        <v>719</v>
      </c>
      <c r="D324" t="s">
        <v>66</v>
      </c>
      <c r="E324" t="s">
        <v>98</v>
      </c>
      <c r="F324" t="s">
        <v>21</v>
      </c>
      <c r="G324" t="s">
        <v>60</v>
      </c>
      <c r="H324" t="s">
        <v>119</v>
      </c>
      <c r="I324">
        <v>3</v>
      </c>
      <c r="J324">
        <v>431.23</v>
      </c>
      <c r="K324">
        <v>0.1</v>
      </c>
      <c r="L324">
        <v>1164.32</v>
      </c>
      <c r="M324">
        <v>661.2</v>
      </c>
      <c r="N324">
        <v>503.12</v>
      </c>
      <c r="O324" t="s">
        <v>24</v>
      </c>
      <c r="P324">
        <v>5</v>
      </c>
    </row>
    <row r="325" spans="1:16" x14ac:dyDescent="0.35">
      <c r="A325" t="s">
        <v>720</v>
      </c>
      <c r="B325" s="1">
        <v>45342</v>
      </c>
      <c r="C325" t="s">
        <v>721</v>
      </c>
      <c r="D325" t="s">
        <v>37</v>
      </c>
      <c r="E325" t="s">
        <v>98</v>
      </c>
      <c r="F325" t="s">
        <v>39</v>
      </c>
      <c r="G325" t="s">
        <v>79</v>
      </c>
      <c r="H325" t="s">
        <v>89</v>
      </c>
      <c r="I325">
        <v>6</v>
      </c>
      <c r="J325">
        <v>1084.4100000000001</v>
      </c>
      <c r="K325">
        <v>0.05</v>
      </c>
      <c r="L325">
        <v>6181.14</v>
      </c>
      <c r="M325">
        <v>3941.18</v>
      </c>
      <c r="N325">
        <v>2239.96</v>
      </c>
      <c r="O325" t="s">
        <v>62</v>
      </c>
      <c r="P325">
        <v>5</v>
      </c>
    </row>
    <row r="326" spans="1:16" x14ac:dyDescent="0.35">
      <c r="A326" t="s">
        <v>722</v>
      </c>
      <c r="B326" s="1">
        <v>45453</v>
      </c>
      <c r="C326" t="s">
        <v>723</v>
      </c>
      <c r="D326" t="s">
        <v>37</v>
      </c>
      <c r="E326" t="s">
        <v>38</v>
      </c>
      <c r="F326" t="s">
        <v>31</v>
      </c>
      <c r="G326" t="s">
        <v>79</v>
      </c>
      <c r="H326" t="s">
        <v>89</v>
      </c>
      <c r="I326">
        <v>5</v>
      </c>
      <c r="J326">
        <v>142.41999999999999</v>
      </c>
      <c r="K326">
        <v>0</v>
      </c>
      <c r="L326">
        <v>712.1</v>
      </c>
      <c r="M326">
        <v>449.79</v>
      </c>
      <c r="N326">
        <v>262.31</v>
      </c>
      <c r="O326" t="s">
        <v>24</v>
      </c>
      <c r="P326">
        <v>1</v>
      </c>
    </row>
    <row r="327" spans="1:16" x14ac:dyDescent="0.35">
      <c r="A327" t="s">
        <v>724</v>
      </c>
      <c r="B327" s="1">
        <v>45547</v>
      </c>
      <c r="C327" t="s">
        <v>725</v>
      </c>
      <c r="D327" t="s">
        <v>49</v>
      </c>
      <c r="E327" t="s">
        <v>30</v>
      </c>
      <c r="F327" t="s">
        <v>21</v>
      </c>
      <c r="G327" t="s">
        <v>22</v>
      </c>
      <c r="H327" t="s">
        <v>32</v>
      </c>
      <c r="I327">
        <v>8</v>
      </c>
      <c r="J327">
        <v>1034.6600000000001</v>
      </c>
      <c r="K327">
        <v>0.15</v>
      </c>
      <c r="L327">
        <v>7035.69</v>
      </c>
      <c r="M327">
        <v>4020.33</v>
      </c>
      <c r="N327">
        <v>3015.36</v>
      </c>
      <c r="O327" t="s">
        <v>24</v>
      </c>
      <c r="P327">
        <v>1</v>
      </c>
    </row>
    <row r="328" spans="1:16" x14ac:dyDescent="0.35">
      <c r="A328" t="s">
        <v>726</v>
      </c>
      <c r="B328" s="1">
        <v>45541</v>
      </c>
      <c r="C328" t="s">
        <v>727</v>
      </c>
      <c r="D328" t="s">
        <v>49</v>
      </c>
      <c r="E328" t="s">
        <v>85</v>
      </c>
      <c r="F328" t="s">
        <v>21</v>
      </c>
      <c r="G328" t="s">
        <v>60</v>
      </c>
      <c r="H328" t="s">
        <v>110</v>
      </c>
      <c r="I328">
        <v>12</v>
      </c>
      <c r="J328">
        <v>893.79</v>
      </c>
      <c r="K328">
        <v>0</v>
      </c>
      <c r="L328">
        <v>10725.48</v>
      </c>
      <c r="M328">
        <v>6637.05</v>
      </c>
      <c r="N328">
        <v>4088.43</v>
      </c>
      <c r="O328" t="s">
        <v>62</v>
      </c>
      <c r="P328">
        <v>1</v>
      </c>
    </row>
    <row r="329" spans="1:16" x14ac:dyDescent="0.35">
      <c r="A329" t="s">
        <v>728</v>
      </c>
      <c r="B329" s="1">
        <v>45293</v>
      </c>
      <c r="C329" t="s">
        <v>729</v>
      </c>
      <c r="D329" t="s">
        <v>49</v>
      </c>
      <c r="E329" t="s">
        <v>98</v>
      </c>
      <c r="F329" t="s">
        <v>21</v>
      </c>
      <c r="G329" t="s">
        <v>43</v>
      </c>
      <c r="H329" t="s">
        <v>173</v>
      </c>
      <c r="I329">
        <v>5</v>
      </c>
      <c r="J329">
        <v>508.01</v>
      </c>
      <c r="K329">
        <v>0</v>
      </c>
      <c r="L329">
        <v>2540.0500000000002</v>
      </c>
      <c r="M329">
        <v>1447.99</v>
      </c>
      <c r="N329">
        <v>1092.06</v>
      </c>
      <c r="O329" t="s">
        <v>51</v>
      </c>
      <c r="P329">
        <v>1</v>
      </c>
    </row>
    <row r="330" spans="1:16" x14ac:dyDescent="0.35">
      <c r="A330" t="s">
        <v>730</v>
      </c>
      <c r="B330" s="1">
        <v>45586</v>
      </c>
      <c r="C330" t="s">
        <v>731</v>
      </c>
      <c r="D330" t="s">
        <v>37</v>
      </c>
      <c r="E330" t="s">
        <v>85</v>
      </c>
      <c r="F330" t="s">
        <v>39</v>
      </c>
      <c r="G330" t="s">
        <v>60</v>
      </c>
      <c r="H330" t="s">
        <v>110</v>
      </c>
      <c r="I330">
        <v>7</v>
      </c>
      <c r="J330">
        <v>312.57</v>
      </c>
      <c r="K330">
        <v>0.05</v>
      </c>
      <c r="L330">
        <v>2078.59</v>
      </c>
      <c r="M330">
        <v>1688.37</v>
      </c>
      <c r="N330">
        <v>390.22</v>
      </c>
      <c r="O330" t="s">
        <v>62</v>
      </c>
      <c r="P330">
        <v>1</v>
      </c>
    </row>
    <row r="331" spans="1:16" x14ac:dyDescent="0.35">
      <c r="A331" t="s">
        <v>732</v>
      </c>
      <c r="B331" s="1">
        <v>45412</v>
      </c>
      <c r="C331" t="s">
        <v>733</v>
      </c>
      <c r="D331" t="s">
        <v>49</v>
      </c>
      <c r="E331" t="s">
        <v>98</v>
      </c>
      <c r="F331" t="s">
        <v>21</v>
      </c>
      <c r="G331" t="s">
        <v>43</v>
      </c>
      <c r="H331" t="s">
        <v>173</v>
      </c>
      <c r="I331">
        <v>6</v>
      </c>
      <c r="J331">
        <v>670.04</v>
      </c>
      <c r="K331">
        <v>0.1</v>
      </c>
      <c r="L331">
        <v>3618.22</v>
      </c>
      <c r="M331">
        <v>1987.22</v>
      </c>
      <c r="N331">
        <v>1631</v>
      </c>
      <c r="O331" t="s">
        <v>24</v>
      </c>
      <c r="P331">
        <v>5</v>
      </c>
    </row>
    <row r="332" spans="1:16" x14ac:dyDescent="0.35">
      <c r="A332" t="s">
        <v>734</v>
      </c>
      <c r="B332" s="1">
        <v>45636</v>
      </c>
      <c r="C332" t="s">
        <v>735</v>
      </c>
      <c r="D332" t="s">
        <v>49</v>
      </c>
      <c r="E332" t="s">
        <v>20</v>
      </c>
      <c r="F332" t="s">
        <v>21</v>
      </c>
      <c r="G332" t="s">
        <v>60</v>
      </c>
      <c r="H332" t="s">
        <v>61</v>
      </c>
      <c r="I332">
        <v>4</v>
      </c>
      <c r="J332">
        <v>69.69</v>
      </c>
      <c r="K332">
        <v>0</v>
      </c>
      <c r="L332">
        <v>278.76</v>
      </c>
      <c r="M332">
        <v>233.31</v>
      </c>
      <c r="N332">
        <v>45.45</v>
      </c>
      <c r="O332" t="s">
        <v>33</v>
      </c>
      <c r="P332">
        <v>1</v>
      </c>
    </row>
    <row r="333" spans="1:16" x14ac:dyDescent="0.35">
      <c r="A333" t="s">
        <v>736</v>
      </c>
      <c r="B333" s="1">
        <v>45522</v>
      </c>
      <c r="C333" t="s">
        <v>737</v>
      </c>
      <c r="D333" t="s">
        <v>29</v>
      </c>
      <c r="E333" t="s">
        <v>38</v>
      </c>
      <c r="F333" t="s">
        <v>31</v>
      </c>
      <c r="G333" t="s">
        <v>43</v>
      </c>
      <c r="H333" t="s">
        <v>44</v>
      </c>
      <c r="I333">
        <v>10</v>
      </c>
      <c r="J333">
        <v>275.64999999999998</v>
      </c>
      <c r="K333">
        <v>0.05</v>
      </c>
      <c r="L333">
        <v>2618.67</v>
      </c>
      <c r="M333">
        <v>1379.05</v>
      </c>
      <c r="N333">
        <v>1239.6199999999999</v>
      </c>
      <c r="O333" t="s">
        <v>24</v>
      </c>
      <c r="P333">
        <v>3</v>
      </c>
    </row>
    <row r="334" spans="1:16" x14ac:dyDescent="0.35">
      <c r="A334" t="s">
        <v>738</v>
      </c>
      <c r="B334" s="1">
        <v>45372</v>
      </c>
      <c r="C334" t="s">
        <v>739</v>
      </c>
      <c r="D334" t="s">
        <v>37</v>
      </c>
      <c r="E334" t="s">
        <v>38</v>
      </c>
      <c r="F334" t="s">
        <v>31</v>
      </c>
      <c r="G334" t="s">
        <v>79</v>
      </c>
      <c r="H334" t="s">
        <v>80</v>
      </c>
      <c r="I334">
        <v>10</v>
      </c>
      <c r="J334">
        <v>932.99</v>
      </c>
      <c r="K334">
        <v>0</v>
      </c>
      <c r="L334">
        <v>9329.9</v>
      </c>
      <c r="M334">
        <v>6265.8</v>
      </c>
      <c r="N334">
        <v>3064.1</v>
      </c>
      <c r="O334" t="s">
        <v>24</v>
      </c>
      <c r="P334">
        <v>4</v>
      </c>
    </row>
    <row r="335" spans="1:16" x14ac:dyDescent="0.35">
      <c r="A335" t="s">
        <v>740</v>
      </c>
      <c r="B335" s="1">
        <v>45483</v>
      </c>
      <c r="C335" t="s">
        <v>741</v>
      </c>
      <c r="D335" t="s">
        <v>49</v>
      </c>
      <c r="E335" t="s">
        <v>85</v>
      </c>
      <c r="F335" t="s">
        <v>31</v>
      </c>
      <c r="G335" t="s">
        <v>43</v>
      </c>
      <c r="H335" t="s">
        <v>50</v>
      </c>
      <c r="I335">
        <v>6</v>
      </c>
      <c r="J335">
        <v>106.64</v>
      </c>
      <c r="K335">
        <v>0.15</v>
      </c>
      <c r="L335">
        <v>543.86</v>
      </c>
      <c r="M335">
        <v>419.52</v>
      </c>
      <c r="N335">
        <v>124.34</v>
      </c>
      <c r="O335" t="s">
        <v>62</v>
      </c>
      <c r="P335">
        <v>2</v>
      </c>
    </row>
    <row r="336" spans="1:16" x14ac:dyDescent="0.35">
      <c r="A336" t="s">
        <v>742</v>
      </c>
      <c r="B336" s="1">
        <v>45413</v>
      </c>
      <c r="C336" t="s">
        <v>743</v>
      </c>
      <c r="D336" t="s">
        <v>19</v>
      </c>
      <c r="E336" t="s">
        <v>38</v>
      </c>
      <c r="F336" t="s">
        <v>31</v>
      </c>
      <c r="G336" t="s">
        <v>43</v>
      </c>
      <c r="H336" t="s">
        <v>50</v>
      </c>
      <c r="I336">
        <v>5</v>
      </c>
      <c r="J336">
        <v>984.48</v>
      </c>
      <c r="K336">
        <v>0.1</v>
      </c>
      <c r="L336">
        <v>4430.16</v>
      </c>
      <c r="M336">
        <v>3583.85</v>
      </c>
      <c r="N336">
        <v>846.31</v>
      </c>
      <c r="O336" t="s">
        <v>24</v>
      </c>
      <c r="P336">
        <v>1</v>
      </c>
    </row>
    <row r="337" spans="1:16" x14ac:dyDescent="0.35">
      <c r="A337" t="s">
        <v>744</v>
      </c>
      <c r="B337" s="1">
        <v>45372</v>
      </c>
      <c r="C337" t="s">
        <v>745</v>
      </c>
      <c r="D337" t="s">
        <v>29</v>
      </c>
      <c r="E337" t="s">
        <v>38</v>
      </c>
      <c r="F337" t="s">
        <v>21</v>
      </c>
      <c r="G337" t="s">
        <v>60</v>
      </c>
      <c r="H337" t="s">
        <v>119</v>
      </c>
      <c r="I337">
        <v>8</v>
      </c>
      <c r="J337">
        <v>1047.6400000000001</v>
      </c>
      <c r="K337">
        <v>0.05</v>
      </c>
      <c r="L337">
        <v>7962.06</v>
      </c>
      <c r="M337">
        <v>6198.95</v>
      </c>
      <c r="N337">
        <v>1763.11</v>
      </c>
      <c r="O337" t="s">
        <v>51</v>
      </c>
      <c r="P337">
        <v>5</v>
      </c>
    </row>
    <row r="338" spans="1:16" x14ac:dyDescent="0.35">
      <c r="A338" t="s">
        <v>746</v>
      </c>
      <c r="B338" s="1">
        <v>45408</v>
      </c>
      <c r="C338" t="s">
        <v>747</v>
      </c>
      <c r="D338" t="s">
        <v>37</v>
      </c>
      <c r="E338" t="s">
        <v>38</v>
      </c>
      <c r="F338" t="s">
        <v>39</v>
      </c>
      <c r="G338" t="s">
        <v>22</v>
      </c>
      <c r="H338" t="s">
        <v>74</v>
      </c>
      <c r="I338">
        <v>12</v>
      </c>
      <c r="J338">
        <v>349.6</v>
      </c>
      <c r="K338">
        <v>0.15</v>
      </c>
      <c r="L338">
        <v>3565.92</v>
      </c>
      <c r="M338">
        <v>2051.7600000000002</v>
      </c>
      <c r="N338">
        <v>1514.16</v>
      </c>
      <c r="O338" t="s">
        <v>62</v>
      </c>
      <c r="P338">
        <v>2</v>
      </c>
    </row>
    <row r="339" spans="1:16" x14ac:dyDescent="0.35">
      <c r="A339" t="s">
        <v>748</v>
      </c>
      <c r="B339" s="1">
        <v>45371</v>
      </c>
      <c r="C339" t="s">
        <v>749</v>
      </c>
      <c r="D339" t="s">
        <v>29</v>
      </c>
      <c r="E339" t="s">
        <v>38</v>
      </c>
      <c r="F339" t="s">
        <v>21</v>
      </c>
      <c r="G339" t="s">
        <v>79</v>
      </c>
      <c r="H339" t="s">
        <v>89</v>
      </c>
      <c r="I339">
        <v>8</v>
      </c>
      <c r="J339">
        <v>1126.8800000000001</v>
      </c>
      <c r="K339">
        <v>0.05</v>
      </c>
      <c r="L339">
        <v>8564.2900000000009</v>
      </c>
      <c r="M339">
        <v>7136.33</v>
      </c>
      <c r="N339">
        <v>1427.96</v>
      </c>
      <c r="O339" t="s">
        <v>62</v>
      </c>
      <c r="P339">
        <v>4</v>
      </c>
    </row>
    <row r="340" spans="1:16" x14ac:dyDescent="0.35">
      <c r="A340" t="s">
        <v>750</v>
      </c>
      <c r="B340" s="1">
        <v>45482</v>
      </c>
      <c r="C340" t="s">
        <v>751</v>
      </c>
      <c r="D340" t="s">
        <v>49</v>
      </c>
      <c r="E340" t="s">
        <v>98</v>
      </c>
      <c r="F340" t="s">
        <v>21</v>
      </c>
      <c r="G340" t="s">
        <v>79</v>
      </c>
      <c r="H340" t="s">
        <v>103</v>
      </c>
      <c r="I340">
        <v>5</v>
      </c>
      <c r="J340">
        <v>237.12</v>
      </c>
      <c r="K340">
        <v>0.1</v>
      </c>
      <c r="L340">
        <v>1067.04</v>
      </c>
      <c r="M340">
        <v>587.70000000000005</v>
      </c>
      <c r="N340">
        <v>479.34</v>
      </c>
      <c r="O340" t="s">
        <v>51</v>
      </c>
      <c r="P340">
        <v>2</v>
      </c>
    </row>
    <row r="341" spans="1:16" x14ac:dyDescent="0.35">
      <c r="A341" t="s">
        <v>752</v>
      </c>
      <c r="B341" s="1">
        <v>45425</v>
      </c>
      <c r="C341" t="s">
        <v>753</v>
      </c>
      <c r="D341" t="s">
        <v>19</v>
      </c>
      <c r="E341" t="s">
        <v>38</v>
      </c>
      <c r="F341" t="s">
        <v>39</v>
      </c>
      <c r="G341" t="s">
        <v>60</v>
      </c>
      <c r="H341" t="s">
        <v>119</v>
      </c>
      <c r="I341">
        <v>3</v>
      </c>
      <c r="J341">
        <v>435.31</v>
      </c>
      <c r="K341">
        <v>0</v>
      </c>
      <c r="L341">
        <v>1305.93</v>
      </c>
      <c r="M341">
        <v>805.21</v>
      </c>
      <c r="N341">
        <v>500.72</v>
      </c>
      <c r="O341" t="s">
        <v>24</v>
      </c>
      <c r="P341">
        <v>2</v>
      </c>
    </row>
    <row r="342" spans="1:16" x14ac:dyDescent="0.35">
      <c r="A342" t="s">
        <v>754</v>
      </c>
      <c r="B342" s="1">
        <v>45627</v>
      </c>
      <c r="C342" t="s">
        <v>755</v>
      </c>
      <c r="D342" t="s">
        <v>49</v>
      </c>
      <c r="E342" t="s">
        <v>98</v>
      </c>
      <c r="F342" t="s">
        <v>21</v>
      </c>
      <c r="G342" t="s">
        <v>60</v>
      </c>
      <c r="H342" t="s">
        <v>110</v>
      </c>
      <c r="I342">
        <v>7</v>
      </c>
      <c r="J342">
        <v>432.81</v>
      </c>
      <c r="K342">
        <v>0.05</v>
      </c>
      <c r="L342">
        <v>2878.19</v>
      </c>
      <c r="M342">
        <v>2056.34</v>
      </c>
      <c r="N342">
        <v>821.85</v>
      </c>
      <c r="O342" t="s">
        <v>24</v>
      </c>
      <c r="P342">
        <v>2</v>
      </c>
    </row>
    <row r="343" spans="1:16" x14ac:dyDescent="0.35">
      <c r="A343" t="s">
        <v>756</v>
      </c>
      <c r="B343" s="1">
        <v>45630</v>
      </c>
      <c r="C343" t="s">
        <v>757</v>
      </c>
      <c r="D343" t="s">
        <v>19</v>
      </c>
      <c r="E343" t="s">
        <v>85</v>
      </c>
      <c r="F343" t="s">
        <v>39</v>
      </c>
      <c r="G343" t="s">
        <v>79</v>
      </c>
      <c r="H343" t="s">
        <v>80</v>
      </c>
      <c r="I343">
        <v>11</v>
      </c>
      <c r="J343">
        <v>215.77</v>
      </c>
      <c r="K343">
        <v>0.05</v>
      </c>
      <c r="L343">
        <v>2254.8000000000002</v>
      </c>
      <c r="M343">
        <v>1730.53</v>
      </c>
      <c r="N343">
        <v>524.27</v>
      </c>
      <c r="O343" t="s">
        <v>24</v>
      </c>
      <c r="P343">
        <v>2</v>
      </c>
    </row>
    <row r="344" spans="1:16" x14ac:dyDescent="0.35">
      <c r="A344" t="s">
        <v>758</v>
      </c>
      <c r="B344" s="1">
        <v>45438</v>
      </c>
      <c r="C344" t="s">
        <v>759</v>
      </c>
      <c r="D344" t="s">
        <v>49</v>
      </c>
      <c r="E344" t="s">
        <v>20</v>
      </c>
      <c r="F344" t="s">
        <v>21</v>
      </c>
      <c r="G344" t="s">
        <v>43</v>
      </c>
      <c r="H344" t="s">
        <v>44</v>
      </c>
      <c r="I344">
        <v>7</v>
      </c>
      <c r="J344">
        <v>1121.82</v>
      </c>
      <c r="K344">
        <v>0</v>
      </c>
      <c r="L344">
        <v>7852.74</v>
      </c>
      <c r="M344">
        <v>4118.76</v>
      </c>
      <c r="N344">
        <v>3733.98</v>
      </c>
      <c r="O344" t="s">
        <v>51</v>
      </c>
      <c r="P344">
        <v>5</v>
      </c>
    </row>
    <row r="345" spans="1:16" x14ac:dyDescent="0.35">
      <c r="A345" t="s">
        <v>760</v>
      </c>
      <c r="B345" s="1">
        <v>45533</v>
      </c>
      <c r="C345" t="s">
        <v>761</v>
      </c>
      <c r="D345" t="s">
        <v>37</v>
      </c>
      <c r="E345" t="s">
        <v>38</v>
      </c>
      <c r="F345" t="s">
        <v>39</v>
      </c>
      <c r="G345" t="s">
        <v>79</v>
      </c>
      <c r="H345" t="s">
        <v>103</v>
      </c>
      <c r="I345">
        <v>9</v>
      </c>
      <c r="J345">
        <v>1138.51</v>
      </c>
      <c r="K345">
        <v>0</v>
      </c>
      <c r="L345">
        <v>10246.59</v>
      </c>
      <c r="M345">
        <v>5900.19</v>
      </c>
      <c r="N345">
        <v>4346.3999999999996</v>
      </c>
      <c r="O345" t="s">
        <v>24</v>
      </c>
      <c r="P345">
        <v>3</v>
      </c>
    </row>
    <row r="346" spans="1:16" x14ac:dyDescent="0.35">
      <c r="A346" t="s">
        <v>762</v>
      </c>
      <c r="B346" s="1">
        <v>45475</v>
      </c>
      <c r="C346" t="s">
        <v>763</v>
      </c>
      <c r="D346" t="s">
        <v>29</v>
      </c>
      <c r="E346" t="s">
        <v>98</v>
      </c>
      <c r="F346" t="s">
        <v>21</v>
      </c>
      <c r="G346" t="s">
        <v>43</v>
      </c>
      <c r="H346" t="s">
        <v>173</v>
      </c>
      <c r="I346">
        <v>10</v>
      </c>
      <c r="J346">
        <v>476.66</v>
      </c>
      <c r="K346">
        <v>0.05</v>
      </c>
      <c r="L346">
        <v>4528.2700000000004</v>
      </c>
      <c r="M346">
        <v>2922.57</v>
      </c>
      <c r="N346">
        <v>1605.7</v>
      </c>
      <c r="O346" t="s">
        <v>51</v>
      </c>
      <c r="P346">
        <v>1</v>
      </c>
    </row>
    <row r="347" spans="1:16" x14ac:dyDescent="0.35">
      <c r="A347" t="s">
        <v>764</v>
      </c>
      <c r="B347" s="1">
        <v>45457</v>
      </c>
      <c r="C347" t="s">
        <v>765</v>
      </c>
      <c r="D347" t="s">
        <v>49</v>
      </c>
      <c r="E347" t="s">
        <v>85</v>
      </c>
      <c r="F347" t="s">
        <v>39</v>
      </c>
      <c r="G347" t="s">
        <v>22</v>
      </c>
      <c r="H347" t="s">
        <v>124</v>
      </c>
      <c r="I347">
        <v>5</v>
      </c>
      <c r="J347">
        <v>264.27</v>
      </c>
      <c r="K347">
        <v>0.1</v>
      </c>
      <c r="L347">
        <v>1189.21</v>
      </c>
      <c r="M347">
        <v>714.73</v>
      </c>
      <c r="N347">
        <v>474.48</v>
      </c>
      <c r="O347" t="s">
        <v>51</v>
      </c>
      <c r="P347">
        <v>4</v>
      </c>
    </row>
    <row r="348" spans="1:16" x14ac:dyDescent="0.35">
      <c r="A348" t="s">
        <v>766</v>
      </c>
      <c r="B348" s="1">
        <v>45652</v>
      </c>
      <c r="C348" t="s">
        <v>767</v>
      </c>
      <c r="D348" t="s">
        <v>19</v>
      </c>
      <c r="E348" t="s">
        <v>20</v>
      </c>
      <c r="F348" t="s">
        <v>31</v>
      </c>
      <c r="G348" t="s">
        <v>43</v>
      </c>
      <c r="H348" t="s">
        <v>44</v>
      </c>
      <c r="I348">
        <v>8</v>
      </c>
      <c r="J348">
        <v>1159.1500000000001</v>
      </c>
      <c r="K348">
        <v>0.15</v>
      </c>
      <c r="L348">
        <v>7882.22</v>
      </c>
      <c r="M348">
        <v>4579.8900000000003</v>
      </c>
      <c r="N348">
        <v>3302.33</v>
      </c>
      <c r="O348" t="s">
        <v>33</v>
      </c>
      <c r="P348">
        <v>3</v>
      </c>
    </row>
    <row r="349" spans="1:16" x14ac:dyDescent="0.35">
      <c r="A349" t="s">
        <v>768</v>
      </c>
      <c r="B349" s="1">
        <v>45598</v>
      </c>
      <c r="C349" t="s">
        <v>769</v>
      </c>
      <c r="D349" t="s">
        <v>19</v>
      </c>
      <c r="E349" t="s">
        <v>98</v>
      </c>
      <c r="F349" t="s">
        <v>39</v>
      </c>
      <c r="G349" t="s">
        <v>22</v>
      </c>
      <c r="H349" t="s">
        <v>74</v>
      </c>
      <c r="I349">
        <v>1</v>
      </c>
      <c r="J349">
        <v>1078.3</v>
      </c>
      <c r="K349">
        <v>0.15</v>
      </c>
      <c r="L349">
        <v>916.55</v>
      </c>
      <c r="M349">
        <v>554.54999999999995</v>
      </c>
      <c r="N349">
        <v>362</v>
      </c>
      <c r="O349" t="s">
        <v>51</v>
      </c>
      <c r="P349">
        <v>4</v>
      </c>
    </row>
    <row r="350" spans="1:16" x14ac:dyDescent="0.35">
      <c r="A350" t="s">
        <v>770</v>
      </c>
      <c r="B350" s="1">
        <v>45524</v>
      </c>
      <c r="C350" t="s">
        <v>771</v>
      </c>
      <c r="D350" t="s">
        <v>49</v>
      </c>
      <c r="E350" t="s">
        <v>98</v>
      </c>
      <c r="F350" t="s">
        <v>21</v>
      </c>
      <c r="G350" t="s">
        <v>22</v>
      </c>
      <c r="H350" t="s">
        <v>32</v>
      </c>
      <c r="I350">
        <v>3</v>
      </c>
      <c r="J350">
        <v>430.26</v>
      </c>
      <c r="K350">
        <v>0.15</v>
      </c>
      <c r="L350">
        <v>1097.1600000000001</v>
      </c>
      <c r="M350">
        <v>613.74</v>
      </c>
      <c r="N350">
        <v>483.42</v>
      </c>
      <c r="O350" t="s">
        <v>33</v>
      </c>
      <c r="P350">
        <v>4</v>
      </c>
    </row>
    <row r="351" spans="1:16" x14ac:dyDescent="0.35">
      <c r="A351" t="s">
        <v>772</v>
      </c>
      <c r="B351" s="1">
        <v>45408</v>
      </c>
      <c r="C351" t="s">
        <v>773</v>
      </c>
      <c r="D351" t="s">
        <v>49</v>
      </c>
      <c r="E351" t="s">
        <v>30</v>
      </c>
      <c r="F351" t="s">
        <v>21</v>
      </c>
      <c r="G351" t="s">
        <v>43</v>
      </c>
      <c r="H351" t="s">
        <v>44</v>
      </c>
      <c r="I351">
        <v>3</v>
      </c>
      <c r="J351">
        <v>936.78</v>
      </c>
      <c r="K351">
        <v>0.1</v>
      </c>
      <c r="L351">
        <v>2529.31</v>
      </c>
      <c r="M351">
        <v>1486.99</v>
      </c>
      <c r="N351">
        <v>1042.32</v>
      </c>
      <c r="O351" t="s">
        <v>51</v>
      </c>
      <c r="P351">
        <v>2</v>
      </c>
    </row>
    <row r="352" spans="1:16" x14ac:dyDescent="0.35">
      <c r="A352" t="s">
        <v>774</v>
      </c>
      <c r="B352" s="1">
        <v>45577</v>
      </c>
      <c r="C352" t="s">
        <v>775</v>
      </c>
      <c r="D352" t="s">
        <v>49</v>
      </c>
      <c r="E352" t="s">
        <v>20</v>
      </c>
      <c r="F352" t="s">
        <v>21</v>
      </c>
      <c r="G352" t="s">
        <v>79</v>
      </c>
      <c r="H352" t="s">
        <v>80</v>
      </c>
      <c r="I352">
        <v>9</v>
      </c>
      <c r="J352">
        <v>547.11</v>
      </c>
      <c r="K352">
        <v>0.05</v>
      </c>
      <c r="L352">
        <v>4677.79</v>
      </c>
      <c r="M352">
        <v>2972.56</v>
      </c>
      <c r="N352">
        <v>1705.23</v>
      </c>
      <c r="O352" t="s">
        <v>24</v>
      </c>
      <c r="P352">
        <v>4</v>
      </c>
    </row>
    <row r="353" spans="1:16" x14ac:dyDescent="0.35">
      <c r="A353" t="s">
        <v>776</v>
      </c>
      <c r="B353" s="1">
        <v>45625</v>
      </c>
      <c r="C353" t="s">
        <v>777</v>
      </c>
      <c r="D353" t="s">
        <v>66</v>
      </c>
      <c r="E353" t="s">
        <v>38</v>
      </c>
      <c r="F353" t="s">
        <v>39</v>
      </c>
      <c r="G353" t="s">
        <v>60</v>
      </c>
      <c r="H353" t="s">
        <v>61</v>
      </c>
      <c r="I353">
        <v>4</v>
      </c>
      <c r="J353">
        <v>890.88</v>
      </c>
      <c r="K353">
        <v>0</v>
      </c>
      <c r="L353">
        <v>3563.52</v>
      </c>
      <c r="M353">
        <v>2712.25</v>
      </c>
      <c r="N353">
        <v>851.27</v>
      </c>
      <c r="O353" t="s">
        <v>62</v>
      </c>
      <c r="P353">
        <v>5</v>
      </c>
    </row>
    <row r="354" spans="1:16" x14ac:dyDescent="0.35">
      <c r="A354" t="s">
        <v>778</v>
      </c>
      <c r="B354" s="1">
        <v>45629</v>
      </c>
      <c r="C354" t="s">
        <v>779</v>
      </c>
      <c r="D354" t="s">
        <v>37</v>
      </c>
      <c r="E354" t="s">
        <v>20</v>
      </c>
      <c r="F354" t="s">
        <v>39</v>
      </c>
      <c r="G354" t="s">
        <v>22</v>
      </c>
      <c r="H354" t="s">
        <v>32</v>
      </c>
      <c r="I354">
        <v>11</v>
      </c>
      <c r="J354">
        <v>733.94</v>
      </c>
      <c r="K354">
        <v>0.05</v>
      </c>
      <c r="L354">
        <v>7669.67</v>
      </c>
      <c r="M354">
        <v>6174.04</v>
      </c>
      <c r="N354">
        <v>1495.63</v>
      </c>
      <c r="O354" t="s">
        <v>33</v>
      </c>
      <c r="P354">
        <v>1</v>
      </c>
    </row>
    <row r="355" spans="1:16" x14ac:dyDescent="0.35">
      <c r="A355" t="s">
        <v>780</v>
      </c>
      <c r="B355" s="1">
        <v>45566</v>
      </c>
      <c r="C355" t="s">
        <v>781</v>
      </c>
      <c r="D355" t="s">
        <v>66</v>
      </c>
      <c r="E355" t="s">
        <v>30</v>
      </c>
      <c r="F355" t="s">
        <v>31</v>
      </c>
      <c r="G355" t="s">
        <v>43</v>
      </c>
      <c r="H355" t="s">
        <v>50</v>
      </c>
      <c r="I355">
        <v>8</v>
      </c>
      <c r="J355">
        <v>815.66</v>
      </c>
      <c r="K355">
        <v>0</v>
      </c>
      <c r="L355">
        <v>6525.28</v>
      </c>
      <c r="M355">
        <v>5428.64</v>
      </c>
      <c r="N355">
        <v>1096.6400000000001</v>
      </c>
      <c r="O355" t="s">
        <v>51</v>
      </c>
      <c r="P355">
        <v>4</v>
      </c>
    </row>
    <row r="356" spans="1:16" x14ac:dyDescent="0.35">
      <c r="A356" t="s">
        <v>782</v>
      </c>
      <c r="B356" s="1">
        <v>45426</v>
      </c>
      <c r="C356" t="s">
        <v>783</v>
      </c>
      <c r="D356" t="s">
        <v>49</v>
      </c>
      <c r="E356" t="s">
        <v>38</v>
      </c>
      <c r="F356" t="s">
        <v>39</v>
      </c>
      <c r="G356" t="s">
        <v>43</v>
      </c>
      <c r="H356" t="s">
        <v>44</v>
      </c>
      <c r="I356">
        <v>4</v>
      </c>
      <c r="J356">
        <v>589.51</v>
      </c>
      <c r="K356">
        <v>0.1</v>
      </c>
      <c r="L356">
        <v>2122.2399999999998</v>
      </c>
      <c r="M356">
        <v>1625.86</v>
      </c>
      <c r="N356">
        <v>496.38</v>
      </c>
      <c r="O356" t="s">
        <v>62</v>
      </c>
      <c r="P356">
        <v>4</v>
      </c>
    </row>
    <row r="357" spans="1:16" x14ac:dyDescent="0.35">
      <c r="A357" t="s">
        <v>784</v>
      </c>
      <c r="B357" s="1">
        <v>45358</v>
      </c>
      <c r="C357" t="s">
        <v>785</v>
      </c>
      <c r="D357" t="s">
        <v>29</v>
      </c>
      <c r="E357" t="s">
        <v>20</v>
      </c>
      <c r="F357" t="s">
        <v>39</v>
      </c>
      <c r="G357" t="s">
        <v>60</v>
      </c>
      <c r="H357" t="s">
        <v>61</v>
      </c>
      <c r="I357">
        <v>1</v>
      </c>
      <c r="J357">
        <v>402.11</v>
      </c>
      <c r="K357">
        <v>0</v>
      </c>
      <c r="L357">
        <v>402.11</v>
      </c>
      <c r="M357">
        <v>224.35</v>
      </c>
      <c r="N357">
        <v>177.76</v>
      </c>
      <c r="O357" t="s">
        <v>62</v>
      </c>
      <c r="P357">
        <v>1</v>
      </c>
    </row>
    <row r="358" spans="1:16" x14ac:dyDescent="0.35">
      <c r="A358" t="s">
        <v>786</v>
      </c>
      <c r="B358" s="1">
        <v>45309</v>
      </c>
      <c r="C358" t="s">
        <v>787</v>
      </c>
      <c r="D358" t="s">
        <v>29</v>
      </c>
      <c r="E358" t="s">
        <v>85</v>
      </c>
      <c r="F358" t="s">
        <v>31</v>
      </c>
      <c r="G358" t="s">
        <v>22</v>
      </c>
      <c r="H358" t="s">
        <v>124</v>
      </c>
      <c r="I358">
        <v>5</v>
      </c>
      <c r="J358">
        <v>512.53</v>
      </c>
      <c r="K358">
        <v>0.15</v>
      </c>
      <c r="L358">
        <v>2178.25</v>
      </c>
      <c r="M358">
        <v>1179.49</v>
      </c>
      <c r="N358">
        <v>998.76</v>
      </c>
      <c r="O358" t="s">
        <v>51</v>
      </c>
      <c r="P358">
        <v>1</v>
      </c>
    </row>
    <row r="359" spans="1:16" x14ac:dyDescent="0.35">
      <c r="A359" t="s">
        <v>788</v>
      </c>
      <c r="B359" s="1">
        <v>45481</v>
      </c>
      <c r="C359" t="s">
        <v>789</v>
      </c>
      <c r="D359" t="s">
        <v>37</v>
      </c>
      <c r="E359" t="s">
        <v>38</v>
      </c>
      <c r="F359" t="s">
        <v>39</v>
      </c>
      <c r="G359" t="s">
        <v>79</v>
      </c>
      <c r="H359" t="s">
        <v>89</v>
      </c>
      <c r="I359">
        <v>9</v>
      </c>
      <c r="J359">
        <v>738.05</v>
      </c>
      <c r="K359">
        <v>0.15</v>
      </c>
      <c r="L359">
        <v>5646.08</v>
      </c>
      <c r="M359">
        <v>3781.66</v>
      </c>
      <c r="N359">
        <v>1864.42</v>
      </c>
      <c r="O359" t="s">
        <v>24</v>
      </c>
      <c r="P359">
        <v>4</v>
      </c>
    </row>
    <row r="360" spans="1:16" x14ac:dyDescent="0.35">
      <c r="A360" t="s">
        <v>790</v>
      </c>
      <c r="B360" s="1">
        <v>45503</v>
      </c>
      <c r="C360" t="s">
        <v>791</v>
      </c>
      <c r="D360" t="s">
        <v>49</v>
      </c>
      <c r="E360" t="s">
        <v>38</v>
      </c>
      <c r="F360" t="s">
        <v>21</v>
      </c>
      <c r="G360" t="s">
        <v>43</v>
      </c>
      <c r="H360" t="s">
        <v>173</v>
      </c>
      <c r="I360">
        <v>3</v>
      </c>
      <c r="J360">
        <v>224.04</v>
      </c>
      <c r="K360">
        <v>0.05</v>
      </c>
      <c r="L360">
        <v>638.51</v>
      </c>
      <c r="M360">
        <v>417.09</v>
      </c>
      <c r="N360">
        <v>221.42</v>
      </c>
      <c r="O360" t="s">
        <v>24</v>
      </c>
      <c r="P360">
        <v>4</v>
      </c>
    </row>
    <row r="361" spans="1:16" x14ac:dyDescent="0.35">
      <c r="A361" t="s">
        <v>792</v>
      </c>
      <c r="B361" s="1">
        <v>45619</v>
      </c>
      <c r="C361" t="s">
        <v>793</v>
      </c>
      <c r="D361" t="s">
        <v>37</v>
      </c>
      <c r="E361" t="s">
        <v>20</v>
      </c>
      <c r="F361" t="s">
        <v>31</v>
      </c>
      <c r="G361" t="s">
        <v>43</v>
      </c>
      <c r="H361" t="s">
        <v>44</v>
      </c>
      <c r="I361">
        <v>12</v>
      </c>
      <c r="J361">
        <v>343.93</v>
      </c>
      <c r="K361">
        <v>0.1</v>
      </c>
      <c r="L361">
        <v>3714.44</v>
      </c>
      <c r="M361">
        <v>2531.33</v>
      </c>
      <c r="N361">
        <v>1183.1099999999999</v>
      </c>
      <c r="O361" t="s">
        <v>51</v>
      </c>
      <c r="P361">
        <v>2</v>
      </c>
    </row>
    <row r="362" spans="1:16" x14ac:dyDescent="0.35">
      <c r="A362" t="s">
        <v>794</v>
      </c>
      <c r="B362" s="1">
        <v>45528</v>
      </c>
      <c r="C362" t="s">
        <v>795</v>
      </c>
      <c r="D362" t="s">
        <v>49</v>
      </c>
      <c r="E362" t="s">
        <v>20</v>
      </c>
      <c r="F362" t="s">
        <v>21</v>
      </c>
      <c r="G362" t="s">
        <v>60</v>
      </c>
      <c r="H362" t="s">
        <v>119</v>
      </c>
      <c r="I362">
        <v>8</v>
      </c>
      <c r="J362">
        <v>1040.07</v>
      </c>
      <c r="K362">
        <v>0.05</v>
      </c>
      <c r="L362">
        <v>7904.53</v>
      </c>
      <c r="M362">
        <v>5574.55</v>
      </c>
      <c r="N362">
        <v>2329.98</v>
      </c>
      <c r="O362" t="s">
        <v>51</v>
      </c>
      <c r="P362">
        <v>2</v>
      </c>
    </row>
    <row r="363" spans="1:16" x14ac:dyDescent="0.35">
      <c r="A363" t="s">
        <v>796</v>
      </c>
      <c r="B363" s="1">
        <v>45393</v>
      </c>
      <c r="C363" t="s">
        <v>797</v>
      </c>
      <c r="D363" t="s">
        <v>66</v>
      </c>
      <c r="E363" t="s">
        <v>85</v>
      </c>
      <c r="F363" t="s">
        <v>31</v>
      </c>
      <c r="G363" t="s">
        <v>60</v>
      </c>
      <c r="H363" t="s">
        <v>61</v>
      </c>
      <c r="I363">
        <v>12</v>
      </c>
      <c r="J363">
        <v>397.65</v>
      </c>
      <c r="K363">
        <v>0.1</v>
      </c>
      <c r="L363">
        <v>4294.62</v>
      </c>
      <c r="M363">
        <v>2291.71</v>
      </c>
      <c r="N363">
        <v>2002.91</v>
      </c>
      <c r="O363" t="s">
        <v>62</v>
      </c>
      <c r="P363">
        <v>3</v>
      </c>
    </row>
    <row r="364" spans="1:16" x14ac:dyDescent="0.35">
      <c r="A364" t="s">
        <v>798</v>
      </c>
      <c r="B364" s="1">
        <v>45316</v>
      </c>
      <c r="C364" t="s">
        <v>799</v>
      </c>
      <c r="D364" t="s">
        <v>66</v>
      </c>
      <c r="E364" t="s">
        <v>38</v>
      </c>
      <c r="F364" t="s">
        <v>39</v>
      </c>
      <c r="G364" t="s">
        <v>60</v>
      </c>
      <c r="H364" t="s">
        <v>61</v>
      </c>
      <c r="I364">
        <v>9</v>
      </c>
      <c r="J364">
        <v>1111.68</v>
      </c>
      <c r="K364">
        <v>0.05</v>
      </c>
      <c r="L364">
        <v>9504.86</v>
      </c>
      <c r="M364">
        <v>4876.62</v>
      </c>
      <c r="N364">
        <v>4628.24</v>
      </c>
      <c r="O364" t="s">
        <v>33</v>
      </c>
      <c r="P364">
        <v>4</v>
      </c>
    </row>
    <row r="365" spans="1:16" x14ac:dyDescent="0.35">
      <c r="A365" t="s">
        <v>800</v>
      </c>
      <c r="B365" s="1">
        <v>45650</v>
      </c>
      <c r="C365" t="s">
        <v>801</v>
      </c>
      <c r="D365" t="s">
        <v>29</v>
      </c>
      <c r="E365" t="s">
        <v>30</v>
      </c>
      <c r="F365" t="s">
        <v>21</v>
      </c>
      <c r="G365" t="s">
        <v>79</v>
      </c>
      <c r="H365" t="s">
        <v>103</v>
      </c>
      <c r="I365">
        <v>10</v>
      </c>
      <c r="J365">
        <v>853.52</v>
      </c>
      <c r="K365">
        <v>0.15</v>
      </c>
      <c r="L365">
        <v>7254.92</v>
      </c>
      <c r="M365">
        <v>4407.01</v>
      </c>
      <c r="N365">
        <v>2847.91</v>
      </c>
      <c r="O365" t="s">
        <v>24</v>
      </c>
      <c r="P365">
        <v>2</v>
      </c>
    </row>
    <row r="366" spans="1:16" x14ac:dyDescent="0.35">
      <c r="A366" t="s">
        <v>802</v>
      </c>
      <c r="B366" s="1">
        <v>45615</v>
      </c>
      <c r="C366" t="s">
        <v>803</v>
      </c>
      <c r="D366" t="s">
        <v>49</v>
      </c>
      <c r="E366" t="s">
        <v>98</v>
      </c>
      <c r="F366" t="s">
        <v>21</v>
      </c>
      <c r="G366" t="s">
        <v>22</v>
      </c>
      <c r="H366" t="s">
        <v>23</v>
      </c>
      <c r="I366">
        <v>4</v>
      </c>
      <c r="J366">
        <v>872.01</v>
      </c>
      <c r="K366">
        <v>0.15</v>
      </c>
      <c r="L366">
        <v>2964.83</v>
      </c>
      <c r="M366">
        <v>1814.62</v>
      </c>
      <c r="N366">
        <v>1150.21</v>
      </c>
      <c r="O366" t="s">
        <v>62</v>
      </c>
      <c r="P366">
        <v>2</v>
      </c>
    </row>
    <row r="367" spans="1:16" x14ac:dyDescent="0.35">
      <c r="A367" t="s">
        <v>804</v>
      </c>
      <c r="B367" s="1">
        <v>45520</v>
      </c>
      <c r="C367" t="s">
        <v>805</v>
      </c>
      <c r="D367" t="s">
        <v>29</v>
      </c>
      <c r="E367" t="s">
        <v>98</v>
      </c>
      <c r="F367" t="s">
        <v>39</v>
      </c>
      <c r="G367" t="s">
        <v>79</v>
      </c>
      <c r="H367" t="s">
        <v>103</v>
      </c>
      <c r="I367">
        <v>2</v>
      </c>
      <c r="J367">
        <v>972.36</v>
      </c>
      <c r="K367">
        <v>0</v>
      </c>
      <c r="L367">
        <v>1944.72</v>
      </c>
      <c r="M367">
        <v>1290.01</v>
      </c>
      <c r="N367">
        <v>654.71</v>
      </c>
      <c r="O367" t="s">
        <v>62</v>
      </c>
      <c r="P367">
        <v>3</v>
      </c>
    </row>
    <row r="368" spans="1:16" x14ac:dyDescent="0.35">
      <c r="A368" t="s">
        <v>806</v>
      </c>
      <c r="B368" s="1">
        <v>45579</v>
      </c>
      <c r="C368" t="s">
        <v>807</v>
      </c>
      <c r="D368" t="s">
        <v>29</v>
      </c>
      <c r="E368" t="s">
        <v>85</v>
      </c>
      <c r="F368" t="s">
        <v>39</v>
      </c>
      <c r="G368" t="s">
        <v>60</v>
      </c>
      <c r="H368" t="s">
        <v>61</v>
      </c>
      <c r="I368">
        <v>12</v>
      </c>
      <c r="J368">
        <v>360.81</v>
      </c>
      <c r="K368">
        <v>0.1</v>
      </c>
      <c r="L368">
        <v>3896.75</v>
      </c>
      <c r="M368">
        <v>2871.74</v>
      </c>
      <c r="N368">
        <v>1025.01</v>
      </c>
      <c r="O368" t="s">
        <v>62</v>
      </c>
      <c r="P368">
        <v>4</v>
      </c>
    </row>
    <row r="369" spans="1:16" x14ac:dyDescent="0.35">
      <c r="A369" t="s">
        <v>808</v>
      </c>
      <c r="B369" s="1">
        <v>45513</v>
      </c>
      <c r="C369" t="s">
        <v>809</v>
      </c>
      <c r="D369" t="s">
        <v>66</v>
      </c>
      <c r="E369" t="s">
        <v>85</v>
      </c>
      <c r="F369" t="s">
        <v>31</v>
      </c>
      <c r="G369" t="s">
        <v>43</v>
      </c>
      <c r="H369" t="s">
        <v>50</v>
      </c>
      <c r="I369">
        <v>12</v>
      </c>
      <c r="J369">
        <v>565.41999999999996</v>
      </c>
      <c r="K369">
        <v>0.1</v>
      </c>
      <c r="L369">
        <v>6106.54</v>
      </c>
      <c r="M369">
        <v>3384.86</v>
      </c>
      <c r="N369">
        <v>2721.68</v>
      </c>
      <c r="O369" t="s">
        <v>33</v>
      </c>
      <c r="P369">
        <v>2</v>
      </c>
    </row>
    <row r="370" spans="1:16" x14ac:dyDescent="0.35">
      <c r="A370" t="s">
        <v>810</v>
      </c>
      <c r="B370" s="1">
        <v>45634</v>
      </c>
      <c r="C370" t="s">
        <v>811</v>
      </c>
      <c r="D370" t="s">
        <v>66</v>
      </c>
      <c r="E370" t="s">
        <v>30</v>
      </c>
      <c r="F370" t="s">
        <v>39</v>
      </c>
      <c r="G370" t="s">
        <v>79</v>
      </c>
      <c r="H370" t="s">
        <v>103</v>
      </c>
      <c r="I370">
        <v>4</v>
      </c>
      <c r="J370">
        <v>168.8</v>
      </c>
      <c r="K370">
        <v>0.1</v>
      </c>
      <c r="L370">
        <v>607.67999999999995</v>
      </c>
      <c r="M370">
        <v>390.12</v>
      </c>
      <c r="N370">
        <v>217.56</v>
      </c>
      <c r="O370" t="s">
        <v>62</v>
      </c>
      <c r="P370">
        <v>1</v>
      </c>
    </row>
    <row r="371" spans="1:16" x14ac:dyDescent="0.35">
      <c r="A371" t="s">
        <v>812</v>
      </c>
      <c r="B371" s="1">
        <v>45470</v>
      </c>
      <c r="C371" t="s">
        <v>813</v>
      </c>
      <c r="D371" t="s">
        <v>37</v>
      </c>
      <c r="E371" t="s">
        <v>30</v>
      </c>
      <c r="F371" t="s">
        <v>39</v>
      </c>
      <c r="G371" t="s">
        <v>60</v>
      </c>
      <c r="H371" t="s">
        <v>61</v>
      </c>
      <c r="I371">
        <v>6</v>
      </c>
      <c r="J371">
        <v>300.60000000000002</v>
      </c>
      <c r="K371">
        <v>0.15</v>
      </c>
      <c r="L371">
        <v>1533.06</v>
      </c>
      <c r="M371">
        <v>805.23</v>
      </c>
      <c r="N371">
        <v>727.83</v>
      </c>
      <c r="O371" t="s">
        <v>33</v>
      </c>
      <c r="P371">
        <v>2</v>
      </c>
    </row>
    <row r="372" spans="1:16" x14ac:dyDescent="0.35">
      <c r="A372" t="s">
        <v>814</v>
      </c>
      <c r="B372" s="1">
        <v>45364</v>
      </c>
      <c r="C372" t="s">
        <v>815</v>
      </c>
      <c r="D372" t="s">
        <v>29</v>
      </c>
      <c r="E372" t="s">
        <v>98</v>
      </c>
      <c r="F372" t="s">
        <v>31</v>
      </c>
      <c r="G372" t="s">
        <v>79</v>
      </c>
      <c r="H372" t="s">
        <v>103</v>
      </c>
      <c r="I372">
        <v>8</v>
      </c>
      <c r="J372">
        <v>346.14</v>
      </c>
      <c r="K372">
        <v>0.15</v>
      </c>
      <c r="L372">
        <v>2353.75</v>
      </c>
      <c r="M372">
        <v>1853.38</v>
      </c>
      <c r="N372">
        <v>500.37</v>
      </c>
      <c r="O372" t="s">
        <v>62</v>
      </c>
      <c r="P372">
        <v>2</v>
      </c>
    </row>
    <row r="373" spans="1:16" x14ac:dyDescent="0.35">
      <c r="A373" t="s">
        <v>816</v>
      </c>
      <c r="B373" s="1">
        <v>45355</v>
      </c>
      <c r="C373" t="s">
        <v>817</v>
      </c>
      <c r="D373" t="s">
        <v>66</v>
      </c>
      <c r="E373" t="s">
        <v>38</v>
      </c>
      <c r="F373" t="s">
        <v>31</v>
      </c>
      <c r="G373" t="s">
        <v>60</v>
      </c>
      <c r="H373" t="s">
        <v>110</v>
      </c>
      <c r="I373">
        <v>10</v>
      </c>
      <c r="J373">
        <v>459.99</v>
      </c>
      <c r="K373">
        <v>0.1</v>
      </c>
      <c r="L373">
        <v>4139.91</v>
      </c>
      <c r="M373">
        <v>2406.65</v>
      </c>
      <c r="N373">
        <v>1733.26</v>
      </c>
      <c r="O373" t="s">
        <v>62</v>
      </c>
      <c r="P373">
        <v>1</v>
      </c>
    </row>
    <row r="374" spans="1:16" x14ac:dyDescent="0.35">
      <c r="A374" t="s">
        <v>818</v>
      </c>
      <c r="B374" s="1">
        <v>45639</v>
      </c>
      <c r="C374" t="s">
        <v>819</v>
      </c>
      <c r="D374" t="s">
        <v>49</v>
      </c>
      <c r="E374" t="s">
        <v>20</v>
      </c>
      <c r="F374" t="s">
        <v>31</v>
      </c>
      <c r="G374" t="s">
        <v>79</v>
      </c>
      <c r="H374" t="s">
        <v>103</v>
      </c>
      <c r="I374">
        <v>7</v>
      </c>
      <c r="J374">
        <v>313.97000000000003</v>
      </c>
      <c r="K374">
        <v>0.05</v>
      </c>
      <c r="L374">
        <v>2087.9</v>
      </c>
      <c r="M374">
        <v>1514.08</v>
      </c>
      <c r="N374">
        <v>573.82000000000005</v>
      </c>
      <c r="O374" t="s">
        <v>24</v>
      </c>
      <c r="P374">
        <v>1</v>
      </c>
    </row>
    <row r="375" spans="1:16" x14ac:dyDescent="0.35">
      <c r="A375" t="s">
        <v>820</v>
      </c>
      <c r="B375" s="1">
        <v>45392</v>
      </c>
      <c r="C375" t="s">
        <v>821</v>
      </c>
      <c r="D375" t="s">
        <v>19</v>
      </c>
      <c r="E375" t="s">
        <v>20</v>
      </c>
      <c r="F375" t="s">
        <v>39</v>
      </c>
      <c r="G375" t="s">
        <v>79</v>
      </c>
      <c r="H375" t="s">
        <v>80</v>
      </c>
      <c r="I375">
        <v>9</v>
      </c>
      <c r="J375">
        <v>968.89</v>
      </c>
      <c r="K375">
        <v>0</v>
      </c>
      <c r="L375">
        <v>8720.01</v>
      </c>
      <c r="M375">
        <v>4891.1499999999996</v>
      </c>
      <c r="N375">
        <v>3828.86</v>
      </c>
      <c r="O375" t="s">
        <v>33</v>
      </c>
      <c r="P375">
        <v>1</v>
      </c>
    </row>
    <row r="376" spans="1:16" x14ac:dyDescent="0.35">
      <c r="A376" t="s">
        <v>822</v>
      </c>
      <c r="B376" s="1">
        <v>45321</v>
      </c>
      <c r="C376" t="s">
        <v>823</v>
      </c>
      <c r="D376" t="s">
        <v>37</v>
      </c>
      <c r="E376" t="s">
        <v>98</v>
      </c>
      <c r="F376" t="s">
        <v>39</v>
      </c>
      <c r="G376" t="s">
        <v>60</v>
      </c>
      <c r="H376" t="s">
        <v>110</v>
      </c>
      <c r="I376">
        <v>1</v>
      </c>
      <c r="J376">
        <v>436.53</v>
      </c>
      <c r="K376">
        <v>0.05</v>
      </c>
      <c r="L376">
        <v>414.7</v>
      </c>
      <c r="M376">
        <v>222.32</v>
      </c>
      <c r="N376">
        <v>192.38</v>
      </c>
      <c r="O376" t="s">
        <v>62</v>
      </c>
      <c r="P376">
        <v>4</v>
      </c>
    </row>
    <row r="377" spans="1:16" x14ac:dyDescent="0.35">
      <c r="A377" t="s">
        <v>824</v>
      </c>
      <c r="B377" s="1">
        <v>45527</v>
      </c>
      <c r="C377" t="s">
        <v>825</v>
      </c>
      <c r="D377" t="s">
        <v>19</v>
      </c>
      <c r="E377" t="s">
        <v>38</v>
      </c>
      <c r="F377" t="s">
        <v>31</v>
      </c>
      <c r="G377" t="s">
        <v>60</v>
      </c>
      <c r="H377" t="s">
        <v>119</v>
      </c>
      <c r="I377">
        <v>10</v>
      </c>
      <c r="J377">
        <v>775.11</v>
      </c>
      <c r="K377">
        <v>0.1</v>
      </c>
      <c r="L377">
        <v>6975.99</v>
      </c>
      <c r="M377">
        <v>3503.63</v>
      </c>
      <c r="N377">
        <v>3472.36</v>
      </c>
      <c r="O377" t="s">
        <v>24</v>
      </c>
      <c r="P377">
        <v>5</v>
      </c>
    </row>
    <row r="378" spans="1:16" x14ac:dyDescent="0.35">
      <c r="A378" t="s">
        <v>826</v>
      </c>
      <c r="B378" s="1">
        <v>45375</v>
      </c>
      <c r="C378" t="s">
        <v>827</v>
      </c>
      <c r="D378" t="s">
        <v>66</v>
      </c>
      <c r="E378" t="s">
        <v>30</v>
      </c>
      <c r="F378" t="s">
        <v>31</v>
      </c>
      <c r="G378" t="s">
        <v>43</v>
      </c>
      <c r="H378" t="s">
        <v>173</v>
      </c>
      <c r="I378">
        <v>1</v>
      </c>
      <c r="J378">
        <v>250.61</v>
      </c>
      <c r="K378">
        <v>0.05</v>
      </c>
      <c r="L378">
        <v>238.08</v>
      </c>
      <c r="M378">
        <v>154.22</v>
      </c>
      <c r="N378">
        <v>83.86</v>
      </c>
      <c r="O378" t="s">
        <v>24</v>
      </c>
      <c r="P378">
        <v>4</v>
      </c>
    </row>
    <row r="379" spans="1:16" x14ac:dyDescent="0.35">
      <c r="A379" t="s">
        <v>828</v>
      </c>
      <c r="B379" s="1">
        <v>45566</v>
      </c>
      <c r="C379" t="s">
        <v>829</v>
      </c>
      <c r="D379" t="s">
        <v>49</v>
      </c>
      <c r="E379" t="s">
        <v>30</v>
      </c>
      <c r="F379" t="s">
        <v>39</v>
      </c>
      <c r="G379" t="s">
        <v>60</v>
      </c>
      <c r="H379" t="s">
        <v>110</v>
      </c>
      <c r="I379">
        <v>1</v>
      </c>
      <c r="J379">
        <v>335.9</v>
      </c>
      <c r="K379">
        <v>0</v>
      </c>
      <c r="L379">
        <v>335.9</v>
      </c>
      <c r="M379">
        <v>260.54000000000002</v>
      </c>
      <c r="N379">
        <v>75.36</v>
      </c>
      <c r="O379" t="s">
        <v>24</v>
      </c>
      <c r="P379">
        <v>1</v>
      </c>
    </row>
    <row r="380" spans="1:16" x14ac:dyDescent="0.35">
      <c r="A380" t="s">
        <v>830</v>
      </c>
      <c r="B380" s="1">
        <v>45642</v>
      </c>
      <c r="C380" t="s">
        <v>831</v>
      </c>
      <c r="D380" t="s">
        <v>49</v>
      </c>
      <c r="E380" t="s">
        <v>20</v>
      </c>
      <c r="F380" t="s">
        <v>31</v>
      </c>
      <c r="G380" t="s">
        <v>79</v>
      </c>
      <c r="H380" t="s">
        <v>103</v>
      </c>
      <c r="I380">
        <v>3</v>
      </c>
      <c r="J380">
        <v>749.37</v>
      </c>
      <c r="K380">
        <v>0.05</v>
      </c>
      <c r="L380">
        <v>2135.6999999999998</v>
      </c>
      <c r="M380">
        <v>1618.54</v>
      </c>
      <c r="N380">
        <v>517.16</v>
      </c>
      <c r="O380" t="s">
        <v>33</v>
      </c>
      <c r="P380">
        <v>2</v>
      </c>
    </row>
    <row r="381" spans="1:16" x14ac:dyDescent="0.35">
      <c r="A381" t="s">
        <v>832</v>
      </c>
      <c r="B381" s="1">
        <v>45503</v>
      </c>
      <c r="C381" t="s">
        <v>833</v>
      </c>
      <c r="D381" t="s">
        <v>29</v>
      </c>
      <c r="E381" t="s">
        <v>38</v>
      </c>
      <c r="F381" t="s">
        <v>21</v>
      </c>
      <c r="G381" t="s">
        <v>79</v>
      </c>
      <c r="H381" t="s">
        <v>80</v>
      </c>
      <c r="I381">
        <v>12</v>
      </c>
      <c r="J381">
        <v>1087.43</v>
      </c>
      <c r="K381">
        <v>0.05</v>
      </c>
      <c r="L381">
        <v>12396.7</v>
      </c>
      <c r="M381">
        <v>9828.2099999999991</v>
      </c>
      <c r="N381">
        <v>2568.4899999999998</v>
      </c>
      <c r="O381" t="s">
        <v>33</v>
      </c>
      <c r="P381">
        <v>3</v>
      </c>
    </row>
    <row r="382" spans="1:16" x14ac:dyDescent="0.35">
      <c r="A382" t="s">
        <v>834</v>
      </c>
      <c r="B382" s="1">
        <v>45524</v>
      </c>
      <c r="C382" t="s">
        <v>835</v>
      </c>
      <c r="D382" t="s">
        <v>66</v>
      </c>
      <c r="E382" t="s">
        <v>98</v>
      </c>
      <c r="F382" t="s">
        <v>31</v>
      </c>
      <c r="G382" t="s">
        <v>43</v>
      </c>
      <c r="H382" t="s">
        <v>173</v>
      </c>
      <c r="I382">
        <v>4</v>
      </c>
      <c r="J382">
        <v>929.13</v>
      </c>
      <c r="K382">
        <v>0.1</v>
      </c>
      <c r="L382">
        <v>3344.87</v>
      </c>
      <c r="M382">
        <v>2454.66</v>
      </c>
      <c r="N382">
        <v>890.21</v>
      </c>
      <c r="O382" t="s">
        <v>33</v>
      </c>
      <c r="P382">
        <v>2</v>
      </c>
    </row>
    <row r="383" spans="1:16" x14ac:dyDescent="0.35">
      <c r="A383" t="s">
        <v>836</v>
      </c>
      <c r="B383" s="1">
        <v>45341</v>
      </c>
      <c r="C383" t="s">
        <v>837</v>
      </c>
      <c r="D383" t="s">
        <v>66</v>
      </c>
      <c r="E383" t="s">
        <v>98</v>
      </c>
      <c r="F383" t="s">
        <v>21</v>
      </c>
      <c r="G383" t="s">
        <v>60</v>
      </c>
      <c r="H383" t="s">
        <v>119</v>
      </c>
      <c r="I383">
        <v>11</v>
      </c>
      <c r="J383">
        <v>476.03</v>
      </c>
      <c r="K383">
        <v>0</v>
      </c>
      <c r="L383">
        <v>5236.33</v>
      </c>
      <c r="M383">
        <v>3252.71</v>
      </c>
      <c r="N383">
        <v>1983.62</v>
      </c>
      <c r="O383" t="s">
        <v>62</v>
      </c>
      <c r="P383">
        <v>3</v>
      </c>
    </row>
    <row r="384" spans="1:16" x14ac:dyDescent="0.35">
      <c r="A384" t="s">
        <v>838</v>
      </c>
      <c r="B384" s="1">
        <v>45582</v>
      </c>
      <c r="C384" t="s">
        <v>839</v>
      </c>
      <c r="D384" t="s">
        <v>49</v>
      </c>
      <c r="E384" t="s">
        <v>38</v>
      </c>
      <c r="F384" t="s">
        <v>21</v>
      </c>
      <c r="G384" t="s">
        <v>60</v>
      </c>
      <c r="H384" t="s">
        <v>61</v>
      </c>
      <c r="I384">
        <v>6</v>
      </c>
      <c r="J384">
        <v>436.05</v>
      </c>
      <c r="K384">
        <v>0.05</v>
      </c>
      <c r="L384">
        <v>2485.4899999999998</v>
      </c>
      <c r="M384">
        <v>1385.81</v>
      </c>
      <c r="N384">
        <v>1099.68</v>
      </c>
      <c r="O384" t="s">
        <v>24</v>
      </c>
      <c r="P384">
        <v>1</v>
      </c>
    </row>
    <row r="385" spans="1:16" x14ac:dyDescent="0.35">
      <c r="A385" t="s">
        <v>840</v>
      </c>
      <c r="B385" s="1">
        <v>45636</v>
      </c>
      <c r="C385" t="s">
        <v>841</v>
      </c>
      <c r="D385" t="s">
        <v>66</v>
      </c>
      <c r="E385" t="s">
        <v>38</v>
      </c>
      <c r="F385" t="s">
        <v>31</v>
      </c>
      <c r="G385" t="s">
        <v>43</v>
      </c>
      <c r="H385" t="s">
        <v>44</v>
      </c>
      <c r="I385">
        <v>1</v>
      </c>
      <c r="J385">
        <v>494.67</v>
      </c>
      <c r="K385">
        <v>0.05</v>
      </c>
      <c r="L385">
        <v>469.94</v>
      </c>
      <c r="M385">
        <v>298.93</v>
      </c>
      <c r="N385">
        <v>171.01</v>
      </c>
      <c r="O385" t="s">
        <v>33</v>
      </c>
      <c r="P385">
        <v>2</v>
      </c>
    </row>
    <row r="386" spans="1:16" x14ac:dyDescent="0.35">
      <c r="A386" t="s">
        <v>842</v>
      </c>
      <c r="B386" s="1">
        <v>45314</v>
      </c>
      <c r="C386" t="s">
        <v>843</v>
      </c>
      <c r="D386" t="s">
        <v>37</v>
      </c>
      <c r="E386" t="s">
        <v>20</v>
      </c>
      <c r="F386" t="s">
        <v>31</v>
      </c>
      <c r="G386" t="s">
        <v>79</v>
      </c>
      <c r="H386" t="s">
        <v>89</v>
      </c>
      <c r="I386">
        <v>9</v>
      </c>
      <c r="J386">
        <v>283.01</v>
      </c>
      <c r="K386">
        <v>0.15</v>
      </c>
      <c r="L386">
        <v>2165.0300000000002</v>
      </c>
      <c r="M386">
        <v>1538.07</v>
      </c>
      <c r="N386">
        <v>626.96</v>
      </c>
      <c r="O386" t="s">
        <v>33</v>
      </c>
      <c r="P386">
        <v>3</v>
      </c>
    </row>
    <row r="387" spans="1:16" x14ac:dyDescent="0.35">
      <c r="A387" t="s">
        <v>844</v>
      </c>
      <c r="B387" s="1">
        <v>45445</v>
      </c>
      <c r="C387" t="s">
        <v>845</v>
      </c>
      <c r="D387" t="s">
        <v>19</v>
      </c>
      <c r="E387" t="s">
        <v>98</v>
      </c>
      <c r="F387" t="s">
        <v>39</v>
      </c>
      <c r="G387" t="s">
        <v>60</v>
      </c>
      <c r="H387" t="s">
        <v>61</v>
      </c>
      <c r="I387">
        <v>2</v>
      </c>
      <c r="J387">
        <v>241.58</v>
      </c>
      <c r="K387">
        <v>0.05</v>
      </c>
      <c r="L387">
        <v>459</v>
      </c>
      <c r="M387">
        <v>319.58</v>
      </c>
      <c r="N387">
        <v>139.41999999999999</v>
      </c>
      <c r="O387" t="s">
        <v>62</v>
      </c>
      <c r="P387">
        <v>4</v>
      </c>
    </row>
    <row r="388" spans="1:16" x14ac:dyDescent="0.35">
      <c r="A388" t="s">
        <v>846</v>
      </c>
      <c r="B388" s="1">
        <v>45515</v>
      </c>
      <c r="C388" t="s">
        <v>847</v>
      </c>
      <c r="D388" t="s">
        <v>19</v>
      </c>
      <c r="E388" t="s">
        <v>38</v>
      </c>
      <c r="F388" t="s">
        <v>39</v>
      </c>
      <c r="G388" t="s">
        <v>79</v>
      </c>
      <c r="H388" t="s">
        <v>80</v>
      </c>
      <c r="I388">
        <v>11</v>
      </c>
      <c r="J388">
        <v>1087.4100000000001</v>
      </c>
      <c r="K388">
        <v>0</v>
      </c>
      <c r="L388">
        <v>11961.51</v>
      </c>
      <c r="M388">
        <v>6648.31</v>
      </c>
      <c r="N388">
        <v>5313.2</v>
      </c>
      <c r="O388" t="s">
        <v>24</v>
      </c>
      <c r="P388">
        <v>1</v>
      </c>
    </row>
    <row r="389" spans="1:16" x14ac:dyDescent="0.35">
      <c r="A389" t="s">
        <v>848</v>
      </c>
      <c r="B389" s="1">
        <v>45455</v>
      </c>
      <c r="C389" t="s">
        <v>849</v>
      </c>
      <c r="D389" t="s">
        <v>19</v>
      </c>
      <c r="E389" t="s">
        <v>98</v>
      </c>
      <c r="F389" t="s">
        <v>21</v>
      </c>
      <c r="G389" t="s">
        <v>43</v>
      </c>
      <c r="H389" t="s">
        <v>44</v>
      </c>
      <c r="I389">
        <v>10</v>
      </c>
      <c r="J389">
        <v>593.35</v>
      </c>
      <c r="K389">
        <v>0.15</v>
      </c>
      <c r="L389">
        <v>5043.47</v>
      </c>
      <c r="M389">
        <v>3994.18</v>
      </c>
      <c r="N389">
        <v>1049.29</v>
      </c>
      <c r="O389" t="s">
        <v>24</v>
      </c>
      <c r="P389">
        <v>5</v>
      </c>
    </row>
    <row r="390" spans="1:16" x14ac:dyDescent="0.35">
      <c r="A390" t="s">
        <v>850</v>
      </c>
      <c r="B390" s="1">
        <v>45600</v>
      </c>
      <c r="C390" t="s">
        <v>851</v>
      </c>
      <c r="D390" t="s">
        <v>37</v>
      </c>
      <c r="E390" t="s">
        <v>20</v>
      </c>
      <c r="F390" t="s">
        <v>39</v>
      </c>
      <c r="G390" t="s">
        <v>79</v>
      </c>
      <c r="H390" t="s">
        <v>89</v>
      </c>
      <c r="I390">
        <v>12</v>
      </c>
      <c r="J390">
        <v>164.85</v>
      </c>
      <c r="K390">
        <v>0.15</v>
      </c>
      <c r="L390">
        <v>1681.47</v>
      </c>
      <c r="M390">
        <v>911.2</v>
      </c>
      <c r="N390">
        <v>770.27</v>
      </c>
      <c r="O390" t="s">
        <v>33</v>
      </c>
      <c r="P390">
        <v>4</v>
      </c>
    </row>
    <row r="391" spans="1:16" x14ac:dyDescent="0.35">
      <c r="A391" t="s">
        <v>852</v>
      </c>
      <c r="B391" s="1">
        <v>45451</v>
      </c>
      <c r="C391" t="s">
        <v>853</v>
      </c>
      <c r="D391" t="s">
        <v>19</v>
      </c>
      <c r="E391" t="s">
        <v>98</v>
      </c>
      <c r="F391" t="s">
        <v>39</v>
      </c>
      <c r="G391" t="s">
        <v>22</v>
      </c>
      <c r="H391" t="s">
        <v>124</v>
      </c>
      <c r="I391">
        <v>2</v>
      </c>
      <c r="J391">
        <v>256.77</v>
      </c>
      <c r="K391">
        <v>0.05</v>
      </c>
      <c r="L391">
        <v>487.86</v>
      </c>
      <c r="M391">
        <v>248.32</v>
      </c>
      <c r="N391">
        <v>239.54</v>
      </c>
      <c r="O391" t="s">
        <v>51</v>
      </c>
      <c r="P391">
        <v>5</v>
      </c>
    </row>
    <row r="392" spans="1:16" x14ac:dyDescent="0.35">
      <c r="A392" t="s">
        <v>854</v>
      </c>
      <c r="B392" s="1">
        <v>45482</v>
      </c>
      <c r="C392" t="s">
        <v>855</v>
      </c>
      <c r="D392" t="s">
        <v>37</v>
      </c>
      <c r="E392" t="s">
        <v>20</v>
      </c>
      <c r="F392" t="s">
        <v>39</v>
      </c>
      <c r="G392" t="s">
        <v>60</v>
      </c>
      <c r="H392" t="s">
        <v>61</v>
      </c>
      <c r="I392">
        <v>3</v>
      </c>
      <c r="J392">
        <v>165.18</v>
      </c>
      <c r="K392">
        <v>0</v>
      </c>
      <c r="L392">
        <v>495.54</v>
      </c>
      <c r="M392">
        <v>380.03</v>
      </c>
      <c r="N392">
        <v>115.51</v>
      </c>
      <c r="O392" t="s">
        <v>33</v>
      </c>
      <c r="P392">
        <v>2</v>
      </c>
    </row>
    <row r="393" spans="1:16" x14ac:dyDescent="0.35">
      <c r="A393" t="s">
        <v>856</v>
      </c>
      <c r="B393" s="1">
        <v>45599</v>
      </c>
      <c r="C393" t="s">
        <v>857</v>
      </c>
      <c r="D393" t="s">
        <v>19</v>
      </c>
      <c r="E393" t="s">
        <v>38</v>
      </c>
      <c r="F393" t="s">
        <v>21</v>
      </c>
      <c r="G393" t="s">
        <v>22</v>
      </c>
      <c r="H393" t="s">
        <v>23</v>
      </c>
      <c r="I393">
        <v>4</v>
      </c>
      <c r="J393">
        <v>669.57</v>
      </c>
      <c r="K393">
        <v>0.1</v>
      </c>
      <c r="L393">
        <v>2410.4499999999998</v>
      </c>
      <c r="M393">
        <v>1718.34</v>
      </c>
      <c r="N393">
        <v>692.11</v>
      </c>
      <c r="O393" t="s">
        <v>33</v>
      </c>
      <c r="P393">
        <v>5</v>
      </c>
    </row>
    <row r="394" spans="1:16" x14ac:dyDescent="0.35">
      <c r="A394" t="s">
        <v>858</v>
      </c>
      <c r="B394" s="1">
        <v>45644</v>
      </c>
      <c r="C394" t="s">
        <v>859</v>
      </c>
      <c r="D394" t="s">
        <v>19</v>
      </c>
      <c r="E394" t="s">
        <v>30</v>
      </c>
      <c r="F394" t="s">
        <v>21</v>
      </c>
      <c r="G394" t="s">
        <v>43</v>
      </c>
      <c r="H394" t="s">
        <v>44</v>
      </c>
      <c r="I394">
        <v>2</v>
      </c>
      <c r="J394">
        <v>1023.07</v>
      </c>
      <c r="K394">
        <v>0.15</v>
      </c>
      <c r="L394">
        <v>1739.22</v>
      </c>
      <c r="M394">
        <v>1389.49</v>
      </c>
      <c r="N394">
        <v>349.73</v>
      </c>
      <c r="O394" t="s">
        <v>33</v>
      </c>
      <c r="P394">
        <v>1</v>
      </c>
    </row>
    <row r="395" spans="1:16" x14ac:dyDescent="0.35">
      <c r="A395" t="s">
        <v>860</v>
      </c>
      <c r="B395" s="1">
        <v>45631</v>
      </c>
      <c r="C395" t="s">
        <v>861</v>
      </c>
      <c r="D395" t="s">
        <v>37</v>
      </c>
      <c r="E395" t="s">
        <v>30</v>
      </c>
      <c r="F395" t="s">
        <v>21</v>
      </c>
      <c r="G395" t="s">
        <v>22</v>
      </c>
      <c r="H395" t="s">
        <v>32</v>
      </c>
      <c r="I395">
        <v>5</v>
      </c>
      <c r="J395">
        <v>31.16</v>
      </c>
      <c r="K395">
        <v>0.1</v>
      </c>
      <c r="L395">
        <v>140.22</v>
      </c>
      <c r="M395">
        <v>105.73</v>
      </c>
      <c r="N395">
        <v>34.49</v>
      </c>
      <c r="O395" t="s">
        <v>33</v>
      </c>
      <c r="P395">
        <v>4</v>
      </c>
    </row>
    <row r="396" spans="1:16" x14ac:dyDescent="0.35">
      <c r="A396" t="s">
        <v>862</v>
      </c>
      <c r="B396" s="1">
        <v>45312</v>
      </c>
      <c r="C396" t="s">
        <v>863</v>
      </c>
      <c r="D396" t="s">
        <v>66</v>
      </c>
      <c r="E396" t="s">
        <v>20</v>
      </c>
      <c r="F396" t="s">
        <v>21</v>
      </c>
      <c r="G396" t="s">
        <v>22</v>
      </c>
      <c r="H396" t="s">
        <v>23</v>
      </c>
      <c r="I396">
        <v>1</v>
      </c>
      <c r="J396">
        <v>370.51</v>
      </c>
      <c r="K396">
        <v>0.1</v>
      </c>
      <c r="L396">
        <v>333.46</v>
      </c>
      <c r="M396">
        <v>226.06</v>
      </c>
      <c r="N396">
        <v>107.4</v>
      </c>
      <c r="O396" t="s">
        <v>33</v>
      </c>
      <c r="P396">
        <v>3</v>
      </c>
    </row>
    <row r="397" spans="1:16" x14ac:dyDescent="0.35">
      <c r="A397" t="s">
        <v>864</v>
      </c>
      <c r="B397" s="1">
        <v>45649</v>
      </c>
      <c r="C397" t="s">
        <v>865</v>
      </c>
      <c r="D397" t="s">
        <v>49</v>
      </c>
      <c r="E397" t="s">
        <v>30</v>
      </c>
      <c r="F397" t="s">
        <v>31</v>
      </c>
      <c r="G397" t="s">
        <v>79</v>
      </c>
      <c r="H397" t="s">
        <v>80</v>
      </c>
      <c r="I397">
        <v>11</v>
      </c>
      <c r="J397">
        <v>952.69</v>
      </c>
      <c r="K397">
        <v>0.15</v>
      </c>
      <c r="L397">
        <v>8907.65</v>
      </c>
      <c r="M397">
        <v>6388.62</v>
      </c>
      <c r="N397">
        <v>2519.0300000000002</v>
      </c>
      <c r="O397" t="s">
        <v>33</v>
      </c>
      <c r="P397">
        <v>4</v>
      </c>
    </row>
    <row r="398" spans="1:16" x14ac:dyDescent="0.35">
      <c r="A398" t="s">
        <v>866</v>
      </c>
      <c r="B398" s="1">
        <v>45307</v>
      </c>
      <c r="C398" t="s">
        <v>867</v>
      </c>
      <c r="D398" t="s">
        <v>66</v>
      </c>
      <c r="E398" t="s">
        <v>98</v>
      </c>
      <c r="F398" t="s">
        <v>31</v>
      </c>
      <c r="G398" t="s">
        <v>79</v>
      </c>
      <c r="H398" t="s">
        <v>103</v>
      </c>
      <c r="I398">
        <v>6</v>
      </c>
      <c r="J398">
        <v>134.38</v>
      </c>
      <c r="K398">
        <v>0</v>
      </c>
      <c r="L398">
        <v>806.28</v>
      </c>
      <c r="M398">
        <v>541.32000000000005</v>
      </c>
      <c r="N398">
        <v>264.95999999999998</v>
      </c>
      <c r="O398" t="s">
        <v>51</v>
      </c>
      <c r="P398">
        <v>3</v>
      </c>
    </row>
    <row r="399" spans="1:16" x14ac:dyDescent="0.35">
      <c r="A399" t="s">
        <v>868</v>
      </c>
      <c r="B399" s="1">
        <v>45506</v>
      </c>
      <c r="C399" t="s">
        <v>869</v>
      </c>
      <c r="D399" t="s">
        <v>66</v>
      </c>
      <c r="E399" t="s">
        <v>85</v>
      </c>
      <c r="F399" t="s">
        <v>21</v>
      </c>
      <c r="G399" t="s">
        <v>60</v>
      </c>
      <c r="H399" t="s">
        <v>110</v>
      </c>
      <c r="I399">
        <v>10</v>
      </c>
      <c r="J399">
        <v>1032.3900000000001</v>
      </c>
      <c r="K399">
        <v>0.1</v>
      </c>
      <c r="L399">
        <v>9291.51</v>
      </c>
      <c r="M399">
        <v>7607.4</v>
      </c>
      <c r="N399">
        <v>1684.11</v>
      </c>
      <c r="O399" t="s">
        <v>24</v>
      </c>
      <c r="P399">
        <v>1</v>
      </c>
    </row>
    <row r="400" spans="1:16" x14ac:dyDescent="0.35">
      <c r="A400" t="s">
        <v>870</v>
      </c>
      <c r="B400" s="1">
        <v>45465</v>
      </c>
      <c r="C400" t="s">
        <v>871</v>
      </c>
      <c r="D400" t="s">
        <v>66</v>
      </c>
      <c r="E400" t="s">
        <v>38</v>
      </c>
      <c r="F400" t="s">
        <v>21</v>
      </c>
      <c r="G400" t="s">
        <v>43</v>
      </c>
      <c r="H400" t="s">
        <v>50</v>
      </c>
      <c r="I400">
        <v>3</v>
      </c>
      <c r="J400">
        <v>226.34</v>
      </c>
      <c r="K400">
        <v>0</v>
      </c>
      <c r="L400">
        <v>679.02</v>
      </c>
      <c r="M400">
        <v>394.14</v>
      </c>
      <c r="N400">
        <v>284.88</v>
      </c>
      <c r="O400" t="s">
        <v>62</v>
      </c>
      <c r="P400">
        <v>1</v>
      </c>
    </row>
    <row r="401" spans="1:16" x14ac:dyDescent="0.35">
      <c r="A401" t="s">
        <v>872</v>
      </c>
      <c r="B401" s="1">
        <v>45431</v>
      </c>
      <c r="C401" t="s">
        <v>873</v>
      </c>
      <c r="D401" t="s">
        <v>37</v>
      </c>
      <c r="E401" t="s">
        <v>38</v>
      </c>
      <c r="F401" t="s">
        <v>39</v>
      </c>
      <c r="G401" t="s">
        <v>79</v>
      </c>
      <c r="H401" t="s">
        <v>89</v>
      </c>
      <c r="I401">
        <v>1</v>
      </c>
      <c r="J401">
        <v>46.43</v>
      </c>
      <c r="K401">
        <v>0.05</v>
      </c>
      <c r="L401">
        <v>44.11</v>
      </c>
      <c r="M401">
        <v>23.92</v>
      </c>
      <c r="N401">
        <v>20.190000000000001</v>
      </c>
      <c r="O401" t="s">
        <v>24</v>
      </c>
      <c r="P401">
        <v>1</v>
      </c>
    </row>
    <row r="402" spans="1:16" x14ac:dyDescent="0.35">
      <c r="A402" t="s">
        <v>874</v>
      </c>
      <c r="B402" s="1">
        <v>45491</v>
      </c>
      <c r="C402" t="s">
        <v>875</v>
      </c>
      <c r="D402" t="s">
        <v>37</v>
      </c>
      <c r="E402" t="s">
        <v>85</v>
      </c>
      <c r="F402" t="s">
        <v>31</v>
      </c>
      <c r="G402" t="s">
        <v>79</v>
      </c>
      <c r="H402" t="s">
        <v>80</v>
      </c>
      <c r="I402">
        <v>3</v>
      </c>
      <c r="J402">
        <v>839.53</v>
      </c>
      <c r="K402">
        <v>0.05</v>
      </c>
      <c r="L402">
        <v>2392.66</v>
      </c>
      <c r="M402">
        <v>1781.11</v>
      </c>
      <c r="N402">
        <v>611.54999999999995</v>
      </c>
      <c r="O402" t="s">
        <v>62</v>
      </c>
      <c r="P402">
        <v>1</v>
      </c>
    </row>
    <row r="403" spans="1:16" x14ac:dyDescent="0.35">
      <c r="A403" t="s">
        <v>876</v>
      </c>
      <c r="B403" s="1">
        <v>45543</v>
      </c>
      <c r="C403" t="s">
        <v>877</v>
      </c>
      <c r="D403" t="s">
        <v>37</v>
      </c>
      <c r="E403" t="s">
        <v>38</v>
      </c>
      <c r="F403" t="s">
        <v>21</v>
      </c>
      <c r="G403" t="s">
        <v>43</v>
      </c>
      <c r="H403" t="s">
        <v>173</v>
      </c>
      <c r="I403">
        <v>7</v>
      </c>
      <c r="J403">
        <v>435.94</v>
      </c>
      <c r="K403">
        <v>0</v>
      </c>
      <c r="L403">
        <v>3051.58</v>
      </c>
      <c r="M403">
        <v>1895.05</v>
      </c>
      <c r="N403">
        <v>1156.53</v>
      </c>
      <c r="O403" t="s">
        <v>24</v>
      </c>
      <c r="P403">
        <v>1</v>
      </c>
    </row>
    <row r="404" spans="1:16" x14ac:dyDescent="0.35">
      <c r="A404" t="s">
        <v>878</v>
      </c>
      <c r="B404" s="1">
        <v>45652</v>
      </c>
      <c r="C404" t="s">
        <v>879</v>
      </c>
      <c r="D404" t="s">
        <v>37</v>
      </c>
      <c r="E404" t="s">
        <v>20</v>
      </c>
      <c r="F404" t="s">
        <v>39</v>
      </c>
      <c r="G404" t="s">
        <v>43</v>
      </c>
      <c r="H404" t="s">
        <v>44</v>
      </c>
      <c r="I404">
        <v>8</v>
      </c>
      <c r="J404">
        <v>1110.76</v>
      </c>
      <c r="K404">
        <v>0.1</v>
      </c>
      <c r="L404">
        <v>7997.47</v>
      </c>
      <c r="M404">
        <v>5371.8</v>
      </c>
      <c r="N404">
        <v>2625.67</v>
      </c>
      <c r="O404" t="s">
        <v>62</v>
      </c>
      <c r="P404">
        <v>1</v>
      </c>
    </row>
    <row r="405" spans="1:16" x14ac:dyDescent="0.35">
      <c r="A405" t="s">
        <v>880</v>
      </c>
      <c r="B405" s="1">
        <v>45357</v>
      </c>
      <c r="C405" t="s">
        <v>881</v>
      </c>
      <c r="D405" t="s">
        <v>29</v>
      </c>
      <c r="E405" t="s">
        <v>38</v>
      </c>
      <c r="F405" t="s">
        <v>31</v>
      </c>
      <c r="G405" t="s">
        <v>60</v>
      </c>
      <c r="H405" t="s">
        <v>61</v>
      </c>
      <c r="I405">
        <v>7</v>
      </c>
      <c r="J405">
        <v>975.82</v>
      </c>
      <c r="K405">
        <v>0</v>
      </c>
      <c r="L405">
        <v>6830.74</v>
      </c>
      <c r="M405">
        <v>5429.42</v>
      </c>
      <c r="N405">
        <v>1401.32</v>
      </c>
      <c r="O405" t="s">
        <v>51</v>
      </c>
      <c r="P405">
        <v>2</v>
      </c>
    </row>
    <row r="406" spans="1:16" x14ac:dyDescent="0.35">
      <c r="A406" t="s">
        <v>882</v>
      </c>
      <c r="B406" s="1">
        <v>45578</v>
      </c>
      <c r="C406" t="s">
        <v>883</v>
      </c>
      <c r="D406" t="s">
        <v>49</v>
      </c>
      <c r="E406" t="s">
        <v>38</v>
      </c>
      <c r="F406" t="s">
        <v>21</v>
      </c>
      <c r="G406" t="s">
        <v>43</v>
      </c>
      <c r="H406" t="s">
        <v>173</v>
      </c>
      <c r="I406">
        <v>5</v>
      </c>
      <c r="J406">
        <v>1093.97</v>
      </c>
      <c r="K406">
        <v>0</v>
      </c>
      <c r="L406">
        <v>5469.85</v>
      </c>
      <c r="M406">
        <v>2831.49</v>
      </c>
      <c r="N406">
        <v>2638.36</v>
      </c>
      <c r="O406" t="s">
        <v>51</v>
      </c>
      <c r="P406">
        <v>2</v>
      </c>
    </row>
    <row r="407" spans="1:16" x14ac:dyDescent="0.35">
      <c r="A407" t="s">
        <v>884</v>
      </c>
      <c r="B407" s="1">
        <v>45577</v>
      </c>
      <c r="C407" t="s">
        <v>885</v>
      </c>
      <c r="D407" t="s">
        <v>66</v>
      </c>
      <c r="E407" t="s">
        <v>85</v>
      </c>
      <c r="F407" t="s">
        <v>31</v>
      </c>
      <c r="G407" t="s">
        <v>22</v>
      </c>
      <c r="H407" t="s">
        <v>74</v>
      </c>
      <c r="I407">
        <v>11</v>
      </c>
      <c r="J407">
        <v>65.42</v>
      </c>
      <c r="K407">
        <v>0</v>
      </c>
      <c r="L407">
        <v>719.62</v>
      </c>
      <c r="M407">
        <v>483.59</v>
      </c>
      <c r="N407">
        <v>236.03</v>
      </c>
      <c r="O407" t="s">
        <v>62</v>
      </c>
      <c r="P407">
        <v>2</v>
      </c>
    </row>
    <row r="408" spans="1:16" x14ac:dyDescent="0.35">
      <c r="A408" t="s">
        <v>886</v>
      </c>
      <c r="B408" s="1">
        <v>45529</v>
      </c>
      <c r="C408" t="s">
        <v>887</v>
      </c>
      <c r="D408" t="s">
        <v>66</v>
      </c>
      <c r="E408" t="s">
        <v>98</v>
      </c>
      <c r="F408" t="s">
        <v>31</v>
      </c>
      <c r="G408" t="s">
        <v>22</v>
      </c>
      <c r="H408" t="s">
        <v>124</v>
      </c>
      <c r="I408">
        <v>10</v>
      </c>
      <c r="J408">
        <v>640.23</v>
      </c>
      <c r="K408">
        <v>0.1</v>
      </c>
      <c r="L408">
        <v>5762.07</v>
      </c>
      <c r="M408">
        <v>2946.94</v>
      </c>
      <c r="N408">
        <v>2815.13</v>
      </c>
      <c r="O408" t="s">
        <v>33</v>
      </c>
      <c r="P408">
        <v>3</v>
      </c>
    </row>
    <row r="409" spans="1:16" x14ac:dyDescent="0.35">
      <c r="A409" t="s">
        <v>888</v>
      </c>
      <c r="B409" s="1">
        <v>45363</v>
      </c>
      <c r="C409" t="s">
        <v>889</v>
      </c>
      <c r="D409" t="s">
        <v>66</v>
      </c>
      <c r="E409" t="s">
        <v>85</v>
      </c>
      <c r="F409" t="s">
        <v>21</v>
      </c>
      <c r="G409" t="s">
        <v>79</v>
      </c>
      <c r="H409" t="s">
        <v>103</v>
      </c>
      <c r="I409">
        <v>12</v>
      </c>
      <c r="J409">
        <v>1157.8800000000001</v>
      </c>
      <c r="K409">
        <v>0.1</v>
      </c>
      <c r="L409">
        <v>12505.1</v>
      </c>
      <c r="M409">
        <v>8772.99</v>
      </c>
      <c r="N409">
        <v>3732.11</v>
      </c>
      <c r="O409" t="s">
        <v>51</v>
      </c>
      <c r="P409">
        <v>2</v>
      </c>
    </row>
    <row r="410" spans="1:16" x14ac:dyDescent="0.35">
      <c r="A410" t="s">
        <v>890</v>
      </c>
      <c r="B410" s="1">
        <v>45550</v>
      </c>
      <c r="C410" t="s">
        <v>891</v>
      </c>
      <c r="D410" t="s">
        <v>66</v>
      </c>
      <c r="E410" t="s">
        <v>20</v>
      </c>
      <c r="F410" t="s">
        <v>21</v>
      </c>
      <c r="G410" t="s">
        <v>79</v>
      </c>
      <c r="H410" t="s">
        <v>103</v>
      </c>
      <c r="I410">
        <v>7</v>
      </c>
      <c r="J410">
        <v>364.07</v>
      </c>
      <c r="K410">
        <v>0.15</v>
      </c>
      <c r="L410">
        <v>2166.2199999999998</v>
      </c>
      <c r="M410">
        <v>1172.51</v>
      </c>
      <c r="N410">
        <v>993.71</v>
      </c>
      <c r="O410" t="s">
        <v>51</v>
      </c>
      <c r="P410">
        <v>5</v>
      </c>
    </row>
    <row r="411" spans="1:16" x14ac:dyDescent="0.35">
      <c r="A411" t="s">
        <v>892</v>
      </c>
      <c r="B411" s="1">
        <v>45377</v>
      </c>
      <c r="C411" t="s">
        <v>893</v>
      </c>
      <c r="D411" t="s">
        <v>66</v>
      </c>
      <c r="E411" t="s">
        <v>30</v>
      </c>
      <c r="F411" t="s">
        <v>21</v>
      </c>
      <c r="G411" t="s">
        <v>43</v>
      </c>
      <c r="H411" t="s">
        <v>44</v>
      </c>
      <c r="I411">
        <v>8</v>
      </c>
      <c r="J411">
        <v>605.54</v>
      </c>
      <c r="K411">
        <v>0.05</v>
      </c>
      <c r="L411">
        <v>4602.1000000000004</v>
      </c>
      <c r="M411">
        <v>3245.8</v>
      </c>
      <c r="N411">
        <v>1356.3</v>
      </c>
      <c r="O411" t="s">
        <v>24</v>
      </c>
      <c r="P411">
        <v>1</v>
      </c>
    </row>
    <row r="412" spans="1:16" x14ac:dyDescent="0.35">
      <c r="A412" t="s">
        <v>894</v>
      </c>
      <c r="B412" s="1">
        <v>45442</v>
      </c>
      <c r="C412" t="s">
        <v>895</v>
      </c>
      <c r="D412" t="s">
        <v>49</v>
      </c>
      <c r="E412" t="s">
        <v>20</v>
      </c>
      <c r="F412" t="s">
        <v>31</v>
      </c>
      <c r="G412" t="s">
        <v>43</v>
      </c>
      <c r="H412" t="s">
        <v>50</v>
      </c>
      <c r="I412">
        <v>6</v>
      </c>
      <c r="J412">
        <v>1158.9100000000001</v>
      </c>
      <c r="K412">
        <v>0.1</v>
      </c>
      <c r="L412">
        <v>6258.11</v>
      </c>
      <c r="M412">
        <v>5263.98</v>
      </c>
      <c r="N412">
        <v>994.13</v>
      </c>
      <c r="O412" t="s">
        <v>33</v>
      </c>
      <c r="P412">
        <v>1</v>
      </c>
    </row>
    <row r="413" spans="1:16" x14ac:dyDescent="0.35">
      <c r="A413" t="s">
        <v>896</v>
      </c>
      <c r="B413" s="1">
        <v>45438</v>
      </c>
      <c r="C413" t="s">
        <v>897</v>
      </c>
      <c r="D413" t="s">
        <v>29</v>
      </c>
      <c r="E413" t="s">
        <v>38</v>
      </c>
      <c r="F413" t="s">
        <v>39</v>
      </c>
      <c r="G413" t="s">
        <v>22</v>
      </c>
      <c r="H413" t="s">
        <v>74</v>
      </c>
      <c r="I413">
        <v>10</v>
      </c>
      <c r="J413">
        <v>250.46</v>
      </c>
      <c r="K413">
        <v>0.15</v>
      </c>
      <c r="L413">
        <v>2128.91</v>
      </c>
      <c r="M413">
        <v>1166.1099999999999</v>
      </c>
      <c r="N413">
        <v>962.8</v>
      </c>
      <c r="O413" t="s">
        <v>62</v>
      </c>
      <c r="P413">
        <v>2</v>
      </c>
    </row>
    <row r="414" spans="1:16" x14ac:dyDescent="0.35">
      <c r="A414" t="s">
        <v>898</v>
      </c>
      <c r="B414" s="1">
        <v>45376</v>
      </c>
      <c r="C414" t="s">
        <v>899</v>
      </c>
      <c r="D414" t="s">
        <v>29</v>
      </c>
      <c r="E414" t="s">
        <v>98</v>
      </c>
      <c r="F414" t="s">
        <v>39</v>
      </c>
      <c r="G414" t="s">
        <v>60</v>
      </c>
      <c r="H414" t="s">
        <v>61</v>
      </c>
      <c r="I414">
        <v>7</v>
      </c>
      <c r="J414">
        <v>315.85000000000002</v>
      </c>
      <c r="K414">
        <v>0.1</v>
      </c>
      <c r="L414">
        <v>1989.86</v>
      </c>
      <c r="M414">
        <v>1642.33</v>
      </c>
      <c r="N414">
        <v>347.53</v>
      </c>
      <c r="O414" t="s">
        <v>24</v>
      </c>
      <c r="P414">
        <v>5</v>
      </c>
    </row>
    <row r="415" spans="1:16" x14ac:dyDescent="0.35">
      <c r="A415" t="s">
        <v>900</v>
      </c>
      <c r="B415" s="1">
        <v>45337</v>
      </c>
      <c r="C415" t="s">
        <v>901</v>
      </c>
      <c r="D415" t="s">
        <v>49</v>
      </c>
      <c r="E415" t="s">
        <v>98</v>
      </c>
      <c r="F415" t="s">
        <v>21</v>
      </c>
      <c r="G415" t="s">
        <v>22</v>
      </c>
      <c r="H415" t="s">
        <v>124</v>
      </c>
      <c r="I415">
        <v>12</v>
      </c>
      <c r="J415">
        <v>933.37</v>
      </c>
      <c r="K415">
        <v>0.05</v>
      </c>
      <c r="L415">
        <v>10640.42</v>
      </c>
      <c r="M415">
        <v>7172.83</v>
      </c>
      <c r="N415">
        <v>3467.59</v>
      </c>
      <c r="O415" t="s">
        <v>24</v>
      </c>
      <c r="P415">
        <v>1</v>
      </c>
    </row>
    <row r="416" spans="1:16" x14ac:dyDescent="0.35">
      <c r="A416" t="s">
        <v>902</v>
      </c>
      <c r="B416" s="1">
        <v>45546</v>
      </c>
      <c r="C416" t="s">
        <v>903</v>
      </c>
      <c r="D416" t="s">
        <v>37</v>
      </c>
      <c r="E416" t="s">
        <v>20</v>
      </c>
      <c r="F416" t="s">
        <v>21</v>
      </c>
      <c r="G416" t="s">
        <v>43</v>
      </c>
      <c r="H416" t="s">
        <v>173</v>
      </c>
      <c r="I416">
        <v>6</v>
      </c>
      <c r="J416">
        <v>840.76</v>
      </c>
      <c r="K416">
        <v>0</v>
      </c>
      <c r="L416">
        <v>5044.5600000000004</v>
      </c>
      <c r="M416">
        <v>2972.28</v>
      </c>
      <c r="N416">
        <v>2072.2800000000002</v>
      </c>
      <c r="O416" t="s">
        <v>24</v>
      </c>
      <c r="P416">
        <v>5</v>
      </c>
    </row>
    <row r="417" spans="1:16" x14ac:dyDescent="0.35">
      <c r="A417" t="s">
        <v>904</v>
      </c>
      <c r="B417" s="1">
        <v>45413</v>
      </c>
      <c r="C417" t="s">
        <v>905</v>
      </c>
      <c r="D417" t="s">
        <v>29</v>
      </c>
      <c r="E417" t="s">
        <v>38</v>
      </c>
      <c r="F417" t="s">
        <v>31</v>
      </c>
      <c r="G417" t="s">
        <v>43</v>
      </c>
      <c r="H417" t="s">
        <v>50</v>
      </c>
      <c r="I417">
        <v>10</v>
      </c>
      <c r="J417">
        <v>220.08</v>
      </c>
      <c r="K417">
        <v>0.1</v>
      </c>
      <c r="L417">
        <v>1980.72</v>
      </c>
      <c r="M417">
        <v>1133.0899999999999</v>
      </c>
      <c r="N417">
        <v>847.63</v>
      </c>
      <c r="O417" t="s">
        <v>24</v>
      </c>
      <c r="P417">
        <v>4</v>
      </c>
    </row>
    <row r="418" spans="1:16" x14ac:dyDescent="0.35">
      <c r="A418" t="s">
        <v>906</v>
      </c>
      <c r="B418" s="1">
        <v>45542</v>
      </c>
      <c r="C418" t="s">
        <v>907</v>
      </c>
      <c r="D418" t="s">
        <v>49</v>
      </c>
      <c r="E418" t="s">
        <v>85</v>
      </c>
      <c r="F418" t="s">
        <v>31</v>
      </c>
      <c r="G418" t="s">
        <v>22</v>
      </c>
      <c r="H418" t="s">
        <v>23</v>
      </c>
      <c r="I418">
        <v>2</v>
      </c>
      <c r="J418">
        <v>855.81</v>
      </c>
      <c r="K418">
        <v>0.1</v>
      </c>
      <c r="L418">
        <v>1540.46</v>
      </c>
      <c r="M418">
        <v>814.27</v>
      </c>
      <c r="N418">
        <v>726.19</v>
      </c>
      <c r="O418" t="s">
        <v>62</v>
      </c>
      <c r="P418">
        <v>1</v>
      </c>
    </row>
    <row r="419" spans="1:16" x14ac:dyDescent="0.35">
      <c r="A419" t="s">
        <v>908</v>
      </c>
      <c r="B419" s="1">
        <v>45459</v>
      </c>
      <c r="C419" t="s">
        <v>909</v>
      </c>
      <c r="D419" t="s">
        <v>19</v>
      </c>
      <c r="E419" t="s">
        <v>38</v>
      </c>
      <c r="F419" t="s">
        <v>21</v>
      </c>
      <c r="G419" t="s">
        <v>43</v>
      </c>
      <c r="H419" t="s">
        <v>50</v>
      </c>
      <c r="I419">
        <v>9</v>
      </c>
      <c r="J419">
        <v>438.58</v>
      </c>
      <c r="K419">
        <v>0.05</v>
      </c>
      <c r="L419">
        <v>3749.86</v>
      </c>
      <c r="M419">
        <v>2484.04</v>
      </c>
      <c r="N419">
        <v>1265.82</v>
      </c>
      <c r="O419" t="s">
        <v>62</v>
      </c>
      <c r="P419">
        <v>1</v>
      </c>
    </row>
    <row r="420" spans="1:16" x14ac:dyDescent="0.35">
      <c r="A420" t="s">
        <v>910</v>
      </c>
      <c r="B420" s="1">
        <v>45636</v>
      </c>
      <c r="C420" t="s">
        <v>911</v>
      </c>
      <c r="D420" t="s">
        <v>19</v>
      </c>
      <c r="E420" t="s">
        <v>85</v>
      </c>
      <c r="F420" t="s">
        <v>31</v>
      </c>
      <c r="G420" t="s">
        <v>22</v>
      </c>
      <c r="H420" t="s">
        <v>23</v>
      </c>
      <c r="I420">
        <v>2</v>
      </c>
      <c r="J420">
        <v>721.84</v>
      </c>
      <c r="K420">
        <v>0.15</v>
      </c>
      <c r="L420">
        <v>1227.1300000000001</v>
      </c>
      <c r="M420">
        <v>1029.77</v>
      </c>
      <c r="N420">
        <v>197.36</v>
      </c>
      <c r="O420" t="s">
        <v>51</v>
      </c>
      <c r="P420">
        <v>1</v>
      </c>
    </row>
    <row r="421" spans="1:16" x14ac:dyDescent="0.35">
      <c r="A421" t="s">
        <v>912</v>
      </c>
      <c r="B421" s="1">
        <v>45418</v>
      </c>
      <c r="C421" t="s">
        <v>913</v>
      </c>
      <c r="D421" t="s">
        <v>49</v>
      </c>
      <c r="E421" t="s">
        <v>85</v>
      </c>
      <c r="F421" t="s">
        <v>21</v>
      </c>
      <c r="G421" t="s">
        <v>60</v>
      </c>
      <c r="H421" t="s">
        <v>119</v>
      </c>
      <c r="I421">
        <v>2</v>
      </c>
      <c r="J421">
        <v>582.73</v>
      </c>
      <c r="K421">
        <v>0.05</v>
      </c>
      <c r="L421">
        <v>1107.19</v>
      </c>
      <c r="M421">
        <v>702.22</v>
      </c>
      <c r="N421">
        <v>404.97</v>
      </c>
      <c r="O421" t="s">
        <v>33</v>
      </c>
      <c r="P421">
        <v>1</v>
      </c>
    </row>
    <row r="422" spans="1:16" x14ac:dyDescent="0.35">
      <c r="A422" t="s">
        <v>914</v>
      </c>
      <c r="B422" s="1">
        <v>45362</v>
      </c>
      <c r="C422" t="s">
        <v>915</v>
      </c>
      <c r="D422" t="s">
        <v>66</v>
      </c>
      <c r="E422" t="s">
        <v>85</v>
      </c>
      <c r="F422" t="s">
        <v>31</v>
      </c>
      <c r="G422" t="s">
        <v>22</v>
      </c>
      <c r="H422" t="s">
        <v>23</v>
      </c>
      <c r="I422">
        <v>2</v>
      </c>
      <c r="J422">
        <v>109.03</v>
      </c>
      <c r="K422">
        <v>0.15</v>
      </c>
      <c r="L422">
        <v>185.35</v>
      </c>
      <c r="M422">
        <v>103.06</v>
      </c>
      <c r="N422">
        <v>82.29</v>
      </c>
      <c r="O422" t="s">
        <v>62</v>
      </c>
      <c r="P422">
        <v>3</v>
      </c>
    </row>
    <row r="423" spans="1:16" x14ac:dyDescent="0.35">
      <c r="A423" t="s">
        <v>916</v>
      </c>
      <c r="B423" s="1">
        <v>45603</v>
      </c>
      <c r="C423" t="s">
        <v>917</v>
      </c>
      <c r="D423" t="s">
        <v>66</v>
      </c>
      <c r="E423" t="s">
        <v>20</v>
      </c>
      <c r="F423" t="s">
        <v>21</v>
      </c>
      <c r="G423" t="s">
        <v>22</v>
      </c>
      <c r="H423" t="s">
        <v>32</v>
      </c>
      <c r="I423">
        <v>3</v>
      </c>
      <c r="J423">
        <v>184.44</v>
      </c>
      <c r="K423">
        <v>0.05</v>
      </c>
      <c r="L423">
        <v>525.65</v>
      </c>
      <c r="M423">
        <v>329.79</v>
      </c>
      <c r="N423">
        <v>195.86</v>
      </c>
      <c r="O423" t="s">
        <v>33</v>
      </c>
      <c r="P423">
        <v>5</v>
      </c>
    </row>
    <row r="424" spans="1:16" x14ac:dyDescent="0.35">
      <c r="A424" t="s">
        <v>918</v>
      </c>
      <c r="B424" s="1">
        <v>45590</v>
      </c>
      <c r="C424" t="s">
        <v>919</v>
      </c>
      <c r="D424" t="s">
        <v>66</v>
      </c>
      <c r="E424" t="s">
        <v>30</v>
      </c>
      <c r="F424" t="s">
        <v>31</v>
      </c>
      <c r="G424" t="s">
        <v>79</v>
      </c>
      <c r="H424" t="s">
        <v>103</v>
      </c>
      <c r="I424">
        <v>1</v>
      </c>
      <c r="J424">
        <v>750.97</v>
      </c>
      <c r="K424">
        <v>0.05</v>
      </c>
      <c r="L424">
        <v>713.42</v>
      </c>
      <c r="M424">
        <v>411.9</v>
      </c>
      <c r="N424">
        <v>301.52</v>
      </c>
      <c r="O424" t="s">
        <v>33</v>
      </c>
      <c r="P424">
        <v>5</v>
      </c>
    </row>
    <row r="425" spans="1:16" x14ac:dyDescent="0.35">
      <c r="A425" t="s">
        <v>920</v>
      </c>
      <c r="B425" s="1">
        <v>45436</v>
      </c>
      <c r="C425" t="s">
        <v>921</v>
      </c>
      <c r="D425" t="s">
        <v>66</v>
      </c>
      <c r="E425" t="s">
        <v>98</v>
      </c>
      <c r="F425" t="s">
        <v>21</v>
      </c>
      <c r="G425" t="s">
        <v>22</v>
      </c>
      <c r="H425" t="s">
        <v>124</v>
      </c>
      <c r="I425">
        <v>6</v>
      </c>
      <c r="J425">
        <v>177.42</v>
      </c>
      <c r="K425">
        <v>0.15</v>
      </c>
      <c r="L425">
        <v>904.84</v>
      </c>
      <c r="M425">
        <v>562.1</v>
      </c>
      <c r="N425">
        <v>342.74</v>
      </c>
      <c r="O425" t="s">
        <v>51</v>
      </c>
      <c r="P425">
        <v>3</v>
      </c>
    </row>
    <row r="426" spans="1:16" x14ac:dyDescent="0.35">
      <c r="A426" t="s">
        <v>922</v>
      </c>
      <c r="B426" s="1">
        <v>45649</v>
      </c>
      <c r="C426" t="s">
        <v>923</v>
      </c>
      <c r="D426" t="s">
        <v>37</v>
      </c>
      <c r="E426" t="s">
        <v>98</v>
      </c>
      <c r="F426" t="s">
        <v>31</v>
      </c>
      <c r="G426" t="s">
        <v>43</v>
      </c>
      <c r="H426" t="s">
        <v>173</v>
      </c>
      <c r="I426">
        <v>12</v>
      </c>
      <c r="J426">
        <v>992.54</v>
      </c>
      <c r="K426">
        <v>0.05</v>
      </c>
      <c r="L426">
        <v>11314.96</v>
      </c>
      <c r="M426">
        <v>8829.1299999999992</v>
      </c>
      <c r="N426">
        <v>2485.83</v>
      </c>
      <c r="O426" t="s">
        <v>51</v>
      </c>
      <c r="P426">
        <v>2</v>
      </c>
    </row>
    <row r="427" spans="1:16" x14ac:dyDescent="0.35">
      <c r="A427" t="s">
        <v>924</v>
      </c>
      <c r="B427" s="1">
        <v>45622</v>
      </c>
      <c r="C427" t="s">
        <v>925</v>
      </c>
      <c r="D427" t="s">
        <v>19</v>
      </c>
      <c r="E427" t="s">
        <v>20</v>
      </c>
      <c r="F427" t="s">
        <v>39</v>
      </c>
      <c r="G427" t="s">
        <v>60</v>
      </c>
      <c r="H427" t="s">
        <v>110</v>
      </c>
      <c r="I427">
        <v>11</v>
      </c>
      <c r="J427">
        <v>735.79</v>
      </c>
      <c r="K427">
        <v>0</v>
      </c>
      <c r="L427">
        <v>8093.69</v>
      </c>
      <c r="M427">
        <v>5875.53</v>
      </c>
      <c r="N427">
        <v>2218.16</v>
      </c>
      <c r="O427" t="s">
        <v>62</v>
      </c>
      <c r="P427">
        <v>1</v>
      </c>
    </row>
    <row r="428" spans="1:16" x14ac:dyDescent="0.35">
      <c r="A428" t="s">
        <v>926</v>
      </c>
      <c r="B428" s="1">
        <v>45357</v>
      </c>
      <c r="C428" t="s">
        <v>927</v>
      </c>
      <c r="D428" t="s">
        <v>37</v>
      </c>
      <c r="E428" t="s">
        <v>98</v>
      </c>
      <c r="F428" t="s">
        <v>39</v>
      </c>
      <c r="G428" t="s">
        <v>60</v>
      </c>
      <c r="H428" t="s">
        <v>61</v>
      </c>
      <c r="I428">
        <v>5</v>
      </c>
      <c r="J428">
        <v>264.74</v>
      </c>
      <c r="K428">
        <v>0.05</v>
      </c>
      <c r="L428">
        <v>1257.51</v>
      </c>
      <c r="M428">
        <v>647.39</v>
      </c>
      <c r="N428">
        <v>610.12</v>
      </c>
      <c r="O428" t="s">
        <v>33</v>
      </c>
      <c r="P428">
        <v>2</v>
      </c>
    </row>
    <row r="429" spans="1:16" x14ac:dyDescent="0.35">
      <c r="A429" t="s">
        <v>928</v>
      </c>
      <c r="B429" s="1">
        <v>45647</v>
      </c>
      <c r="C429" t="s">
        <v>929</v>
      </c>
      <c r="D429" t="s">
        <v>37</v>
      </c>
      <c r="E429" t="s">
        <v>30</v>
      </c>
      <c r="F429" t="s">
        <v>31</v>
      </c>
      <c r="G429" t="s">
        <v>43</v>
      </c>
      <c r="H429" t="s">
        <v>44</v>
      </c>
      <c r="I429">
        <v>2</v>
      </c>
      <c r="J429">
        <v>141.49</v>
      </c>
      <c r="K429">
        <v>0.05</v>
      </c>
      <c r="L429">
        <v>268.83</v>
      </c>
      <c r="M429">
        <v>188.15</v>
      </c>
      <c r="N429">
        <v>80.680000000000007</v>
      </c>
      <c r="O429" t="s">
        <v>62</v>
      </c>
      <c r="P429">
        <v>5</v>
      </c>
    </row>
    <row r="430" spans="1:16" x14ac:dyDescent="0.35">
      <c r="A430" t="s">
        <v>930</v>
      </c>
      <c r="B430" s="1">
        <v>45581</v>
      </c>
      <c r="C430" t="s">
        <v>931</v>
      </c>
      <c r="D430" t="s">
        <v>37</v>
      </c>
      <c r="E430" t="s">
        <v>85</v>
      </c>
      <c r="F430" t="s">
        <v>21</v>
      </c>
      <c r="G430" t="s">
        <v>43</v>
      </c>
      <c r="H430" t="s">
        <v>173</v>
      </c>
      <c r="I430">
        <v>12</v>
      </c>
      <c r="J430">
        <v>858.3</v>
      </c>
      <c r="K430">
        <v>0.1</v>
      </c>
      <c r="L430">
        <v>9269.64</v>
      </c>
      <c r="M430">
        <v>7518.02</v>
      </c>
      <c r="N430">
        <v>1751.62</v>
      </c>
      <c r="O430" t="s">
        <v>24</v>
      </c>
      <c r="P430">
        <v>3</v>
      </c>
    </row>
    <row r="431" spans="1:16" x14ac:dyDescent="0.35">
      <c r="A431" t="s">
        <v>932</v>
      </c>
      <c r="B431" s="1">
        <v>45622</v>
      </c>
      <c r="C431" t="s">
        <v>933</v>
      </c>
      <c r="D431" t="s">
        <v>66</v>
      </c>
      <c r="E431" t="s">
        <v>98</v>
      </c>
      <c r="F431" t="s">
        <v>39</v>
      </c>
      <c r="G431" t="s">
        <v>79</v>
      </c>
      <c r="H431" t="s">
        <v>89</v>
      </c>
      <c r="I431">
        <v>2</v>
      </c>
      <c r="J431">
        <v>529.42999999999995</v>
      </c>
      <c r="K431">
        <v>0</v>
      </c>
      <c r="L431">
        <v>1058.8599999999999</v>
      </c>
      <c r="M431">
        <v>875.2</v>
      </c>
      <c r="N431">
        <v>183.66</v>
      </c>
      <c r="O431" t="s">
        <v>62</v>
      </c>
      <c r="P431">
        <v>1</v>
      </c>
    </row>
    <row r="432" spans="1:16" x14ac:dyDescent="0.35">
      <c r="A432" t="s">
        <v>934</v>
      </c>
      <c r="B432" s="1">
        <v>45493</v>
      </c>
      <c r="C432" t="s">
        <v>935</v>
      </c>
      <c r="D432" t="s">
        <v>19</v>
      </c>
      <c r="E432" t="s">
        <v>20</v>
      </c>
      <c r="F432" t="s">
        <v>21</v>
      </c>
      <c r="G432" t="s">
        <v>22</v>
      </c>
      <c r="H432" t="s">
        <v>74</v>
      </c>
      <c r="I432">
        <v>8</v>
      </c>
      <c r="J432">
        <v>795.68</v>
      </c>
      <c r="K432">
        <v>0</v>
      </c>
      <c r="L432">
        <v>6365.44</v>
      </c>
      <c r="M432">
        <v>4996.1099999999997</v>
      </c>
      <c r="N432">
        <v>1369.33</v>
      </c>
      <c r="O432" t="s">
        <v>24</v>
      </c>
      <c r="P432">
        <v>2</v>
      </c>
    </row>
    <row r="433" spans="1:16" x14ac:dyDescent="0.35">
      <c r="A433" t="s">
        <v>936</v>
      </c>
      <c r="B433" s="1">
        <v>45338</v>
      </c>
      <c r="C433" t="s">
        <v>937</v>
      </c>
      <c r="D433" t="s">
        <v>37</v>
      </c>
      <c r="E433" t="s">
        <v>85</v>
      </c>
      <c r="F433" t="s">
        <v>21</v>
      </c>
      <c r="G433" t="s">
        <v>60</v>
      </c>
      <c r="H433" t="s">
        <v>119</v>
      </c>
      <c r="I433">
        <v>3</v>
      </c>
      <c r="J433">
        <v>871.56</v>
      </c>
      <c r="K433">
        <v>0.1</v>
      </c>
      <c r="L433">
        <v>2353.21</v>
      </c>
      <c r="M433">
        <v>1499.73</v>
      </c>
      <c r="N433">
        <v>853.48</v>
      </c>
      <c r="O433" t="s">
        <v>62</v>
      </c>
      <c r="P433">
        <v>5</v>
      </c>
    </row>
    <row r="434" spans="1:16" x14ac:dyDescent="0.35">
      <c r="A434" t="s">
        <v>938</v>
      </c>
      <c r="B434" s="1">
        <v>45368</v>
      </c>
      <c r="C434" t="s">
        <v>411</v>
      </c>
      <c r="D434" t="s">
        <v>49</v>
      </c>
      <c r="E434" t="s">
        <v>38</v>
      </c>
      <c r="F434" t="s">
        <v>39</v>
      </c>
      <c r="G434" t="s">
        <v>79</v>
      </c>
      <c r="H434" t="s">
        <v>80</v>
      </c>
      <c r="I434">
        <v>2</v>
      </c>
      <c r="J434">
        <v>409.59</v>
      </c>
      <c r="K434">
        <v>0.1</v>
      </c>
      <c r="L434">
        <v>737.26</v>
      </c>
      <c r="M434">
        <v>473.39</v>
      </c>
      <c r="N434">
        <v>263.87</v>
      </c>
      <c r="O434" t="s">
        <v>62</v>
      </c>
      <c r="P434">
        <v>2</v>
      </c>
    </row>
    <row r="435" spans="1:16" x14ac:dyDescent="0.35">
      <c r="A435" t="s">
        <v>939</v>
      </c>
      <c r="B435" s="1">
        <v>45537</v>
      </c>
      <c r="C435" t="s">
        <v>940</v>
      </c>
      <c r="D435" t="s">
        <v>49</v>
      </c>
      <c r="E435" t="s">
        <v>20</v>
      </c>
      <c r="F435" t="s">
        <v>31</v>
      </c>
      <c r="G435" t="s">
        <v>22</v>
      </c>
      <c r="H435" t="s">
        <v>23</v>
      </c>
      <c r="I435">
        <v>8</v>
      </c>
      <c r="J435">
        <v>1020.91</v>
      </c>
      <c r="K435">
        <v>0</v>
      </c>
      <c r="L435">
        <v>8167.28</v>
      </c>
      <c r="M435">
        <v>5892.83</v>
      </c>
      <c r="N435">
        <v>2274.4499999999998</v>
      </c>
      <c r="O435" t="s">
        <v>51</v>
      </c>
      <c r="P435">
        <v>5</v>
      </c>
    </row>
    <row r="436" spans="1:16" x14ac:dyDescent="0.35">
      <c r="A436" t="s">
        <v>941</v>
      </c>
      <c r="B436" s="1">
        <v>45622</v>
      </c>
      <c r="C436" t="s">
        <v>942</v>
      </c>
      <c r="D436" t="s">
        <v>49</v>
      </c>
      <c r="E436" t="s">
        <v>30</v>
      </c>
      <c r="F436" t="s">
        <v>39</v>
      </c>
      <c r="G436" t="s">
        <v>60</v>
      </c>
      <c r="H436" t="s">
        <v>61</v>
      </c>
      <c r="I436">
        <v>2</v>
      </c>
      <c r="J436">
        <v>328.9</v>
      </c>
      <c r="K436">
        <v>0.1</v>
      </c>
      <c r="L436">
        <v>592.02</v>
      </c>
      <c r="M436">
        <v>437.98</v>
      </c>
      <c r="N436">
        <v>154.04</v>
      </c>
      <c r="O436" t="s">
        <v>33</v>
      </c>
      <c r="P436">
        <v>5</v>
      </c>
    </row>
    <row r="437" spans="1:16" x14ac:dyDescent="0.35">
      <c r="A437" t="s">
        <v>943</v>
      </c>
      <c r="B437" s="1">
        <v>45610</v>
      </c>
      <c r="C437" t="s">
        <v>944</v>
      </c>
      <c r="D437" t="s">
        <v>49</v>
      </c>
      <c r="E437" t="s">
        <v>85</v>
      </c>
      <c r="F437" t="s">
        <v>21</v>
      </c>
      <c r="G437" t="s">
        <v>79</v>
      </c>
      <c r="H437" t="s">
        <v>103</v>
      </c>
      <c r="I437">
        <v>8</v>
      </c>
      <c r="J437">
        <v>209.65</v>
      </c>
      <c r="K437">
        <v>0</v>
      </c>
      <c r="L437">
        <v>1677.2</v>
      </c>
      <c r="M437">
        <v>1362.99</v>
      </c>
      <c r="N437">
        <v>314.20999999999998</v>
      </c>
      <c r="O437" t="s">
        <v>51</v>
      </c>
      <c r="P437">
        <v>5</v>
      </c>
    </row>
    <row r="438" spans="1:16" x14ac:dyDescent="0.35">
      <c r="A438" t="s">
        <v>945</v>
      </c>
      <c r="B438" s="1">
        <v>45539</v>
      </c>
      <c r="C438" t="s">
        <v>946</v>
      </c>
      <c r="D438" t="s">
        <v>66</v>
      </c>
      <c r="E438" t="s">
        <v>85</v>
      </c>
      <c r="F438" t="s">
        <v>31</v>
      </c>
      <c r="G438" t="s">
        <v>22</v>
      </c>
      <c r="H438" t="s">
        <v>23</v>
      </c>
      <c r="I438">
        <v>5</v>
      </c>
      <c r="J438">
        <v>1180.44</v>
      </c>
      <c r="K438">
        <v>0.1</v>
      </c>
      <c r="L438">
        <v>5311.98</v>
      </c>
      <c r="M438">
        <v>3370.63</v>
      </c>
      <c r="N438">
        <v>1941.35</v>
      </c>
      <c r="O438" t="s">
        <v>24</v>
      </c>
      <c r="P438">
        <v>4</v>
      </c>
    </row>
    <row r="439" spans="1:16" x14ac:dyDescent="0.35">
      <c r="A439" t="s">
        <v>947</v>
      </c>
      <c r="B439" s="1">
        <v>45508</v>
      </c>
      <c r="C439" t="s">
        <v>948</v>
      </c>
      <c r="D439" t="s">
        <v>37</v>
      </c>
      <c r="E439" t="s">
        <v>20</v>
      </c>
      <c r="F439" t="s">
        <v>21</v>
      </c>
      <c r="G439" t="s">
        <v>43</v>
      </c>
      <c r="H439" t="s">
        <v>173</v>
      </c>
      <c r="I439">
        <v>3</v>
      </c>
      <c r="J439">
        <v>1109.76</v>
      </c>
      <c r="K439">
        <v>0</v>
      </c>
      <c r="L439">
        <v>3329.28</v>
      </c>
      <c r="M439">
        <v>2468.6999999999998</v>
      </c>
      <c r="N439">
        <v>860.58</v>
      </c>
      <c r="O439" t="s">
        <v>51</v>
      </c>
      <c r="P439">
        <v>1</v>
      </c>
    </row>
    <row r="440" spans="1:16" x14ac:dyDescent="0.35">
      <c r="A440" t="s">
        <v>949</v>
      </c>
      <c r="B440" s="1">
        <v>45370</v>
      </c>
      <c r="C440" t="s">
        <v>373</v>
      </c>
      <c r="D440" t="s">
        <v>37</v>
      </c>
      <c r="E440" t="s">
        <v>38</v>
      </c>
      <c r="F440" t="s">
        <v>39</v>
      </c>
      <c r="G440" t="s">
        <v>43</v>
      </c>
      <c r="H440" t="s">
        <v>50</v>
      </c>
      <c r="I440">
        <v>9</v>
      </c>
      <c r="J440">
        <v>356.52</v>
      </c>
      <c r="K440">
        <v>0</v>
      </c>
      <c r="L440">
        <v>3208.68</v>
      </c>
      <c r="M440">
        <v>2567.19</v>
      </c>
      <c r="N440">
        <v>641.49</v>
      </c>
      <c r="O440" t="s">
        <v>24</v>
      </c>
      <c r="P440">
        <v>4</v>
      </c>
    </row>
    <row r="441" spans="1:16" x14ac:dyDescent="0.35">
      <c r="A441" t="s">
        <v>950</v>
      </c>
      <c r="B441" s="1">
        <v>45488</v>
      </c>
      <c r="C441" t="s">
        <v>951</v>
      </c>
      <c r="D441" t="s">
        <v>19</v>
      </c>
      <c r="E441" t="s">
        <v>30</v>
      </c>
      <c r="F441" t="s">
        <v>31</v>
      </c>
      <c r="G441" t="s">
        <v>43</v>
      </c>
      <c r="H441" t="s">
        <v>44</v>
      </c>
      <c r="I441">
        <v>9</v>
      </c>
      <c r="J441">
        <v>22.19</v>
      </c>
      <c r="K441">
        <v>0.15</v>
      </c>
      <c r="L441">
        <v>169.75</v>
      </c>
      <c r="M441">
        <v>137.88</v>
      </c>
      <c r="N441">
        <v>31.87</v>
      </c>
      <c r="O441" t="s">
        <v>62</v>
      </c>
      <c r="P441">
        <v>1</v>
      </c>
    </row>
    <row r="442" spans="1:16" x14ac:dyDescent="0.35">
      <c r="A442" t="s">
        <v>952</v>
      </c>
      <c r="B442" s="1">
        <v>45423</v>
      </c>
      <c r="C442" t="s">
        <v>953</v>
      </c>
      <c r="D442" t="s">
        <v>49</v>
      </c>
      <c r="E442" t="s">
        <v>20</v>
      </c>
      <c r="F442" t="s">
        <v>31</v>
      </c>
      <c r="G442" t="s">
        <v>22</v>
      </c>
      <c r="H442" t="s">
        <v>23</v>
      </c>
      <c r="I442">
        <v>12</v>
      </c>
      <c r="J442">
        <v>54.05</v>
      </c>
      <c r="K442">
        <v>0.05</v>
      </c>
      <c r="L442">
        <v>616.16999999999996</v>
      </c>
      <c r="M442">
        <v>443.6</v>
      </c>
      <c r="N442">
        <v>172.57</v>
      </c>
      <c r="O442" t="s">
        <v>33</v>
      </c>
      <c r="P442">
        <v>1</v>
      </c>
    </row>
    <row r="443" spans="1:16" x14ac:dyDescent="0.35">
      <c r="A443" t="s">
        <v>954</v>
      </c>
      <c r="B443" s="1">
        <v>45400</v>
      </c>
      <c r="C443" t="s">
        <v>955</v>
      </c>
      <c r="D443" t="s">
        <v>66</v>
      </c>
      <c r="E443" t="s">
        <v>20</v>
      </c>
      <c r="F443" t="s">
        <v>39</v>
      </c>
      <c r="G443" t="s">
        <v>79</v>
      </c>
      <c r="H443" t="s">
        <v>80</v>
      </c>
      <c r="I443">
        <v>1</v>
      </c>
      <c r="J443">
        <v>764.28</v>
      </c>
      <c r="K443">
        <v>0.15</v>
      </c>
      <c r="L443">
        <v>649.64</v>
      </c>
      <c r="M443">
        <v>539.84</v>
      </c>
      <c r="N443">
        <v>109.8</v>
      </c>
      <c r="O443" t="s">
        <v>24</v>
      </c>
      <c r="P443">
        <v>4</v>
      </c>
    </row>
    <row r="444" spans="1:16" x14ac:dyDescent="0.35">
      <c r="A444" t="s">
        <v>956</v>
      </c>
      <c r="B444" s="1">
        <v>45394</v>
      </c>
      <c r="C444" t="s">
        <v>957</v>
      </c>
      <c r="D444" t="s">
        <v>37</v>
      </c>
      <c r="E444" t="s">
        <v>20</v>
      </c>
      <c r="F444" t="s">
        <v>39</v>
      </c>
      <c r="G444" t="s">
        <v>60</v>
      </c>
      <c r="H444" t="s">
        <v>61</v>
      </c>
      <c r="I444">
        <v>5</v>
      </c>
      <c r="J444">
        <v>409.53</v>
      </c>
      <c r="K444">
        <v>0.1</v>
      </c>
      <c r="L444">
        <v>1842.88</v>
      </c>
      <c r="M444">
        <v>1079.3499999999999</v>
      </c>
      <c r="N444">
        <v>763.53</v>
      </c>
      <c r="O444" t="s">
        <v>51</v>
      </c>
      <c r="P444">
        <v>2</v>
      </c>
    </row>
    <row r="445" spans="1:16" x14ac:dyDescent="0.35">
      <c r="A445" t="s">
        <v>958</v>
      </c>
      <c r="B445" s="1">
        <v>45296</v>
      </c>
      <c r="C445" t="s">
        <v>959</v>
      </c>
      <c r="D445" t="s">
        <v>29</v>
      </c>
      <c r="E445" t="s">
        <v>38</v>
      </c>
      <c r="F445" t="s">
        <v>39</v>
      </c>
      <c r="G445" t="s">
        <v>22</v>
      </c>
      <c r="H445" t="s">
        <v>23</v>
      </c>
      <c r="I445">
        <v>7</v>
      </c>
      <c r="J445">
        <v>1046.33</v>
      </c>
      <c r="K445">
        <v>0.05</v>
      </c>
      <c r="L445">
        <v>6958.09</v>
      </c>
      <c r="M445">
        <v>5530.77</v>
      </c>
      <c r="N445">
        <v>1427.32</v>
      </c>
      <c r="O445" t="s">
        <v>33</v>
      </c>
      <c r="P445">
        <v>5</v>
      </c>
    </row>
    <row r="446" spans="1:16" x14ac:dyDescent="0.35">
      <c r="A446" t="s">
        <v>960</v>
      </c>
      <c r="B446" s="1">
        <v>45649</v>
      </c>
      <c r="C446" t="s">
        <v>961</v>
      </c>
      <c r="D446" t="s">
        <v>29</v>
      </c>
      <c r="E446" t="s">
        <v>38</v>
      </c>
      <c r="F446" t="s">
        <v>39</v>
      </c>
      <c r="G446" t="s">
        <v>60</v>
      </c>
      <c r="H446" t="s">
        <v>110</v>
      </c>
      <c r="I446">
        <v>9</v>
      </c>
      <c r="J446">
        <v>1087.6199999999999</v>
      </c>
      <c r="K446">
        <v>0.1</v>
      </c>
      <c r="L446">
        <v>8809.7199999999993</v>
      </c>
      <c r="M446">
        <v>6858.35</v>
      </c>
      <c r="N446">
        <v>1951.37</v>
      </c>
      <c r="O446" t="s">
        <v>33</v>
      </c>
      <c r="P446">
        <v>4</v>
      </c>
    </row>
    <row r="447" spans="1:16" x14ac:dyDescent="0.35">
      <c r="A447" t="s">
        <v>962</v>
      </c>
      <c r="B447" s="1">
        <v>45382</v>
      </c>
      <c r="C447" t="s">
        <v>963</v>
      </c>
      <c r="D447" t="s">
        <v>29</v>
      </c>
      <c r="E447" t="s">
        <v>98</v>
      </c>
      <c r="F447" t="s">
        <v>39</v>
      </c>
      <c r="G447" t="s">
        <v>43</v>
      </c>
      <c r="H447" t="s">
        <v>173</v>
      </c>
      <c r="I447">
        <v>8</v>
      </c>
      <c r="J447">
        <v>692.66</v>
      </c>
      <c r="K447">
        <v>0.15</v>
      </c>
      <c r="L447">
        <v>4710.09</v>
      </c>
      <c r="M447">
        <v>2919.26</v>
      </c>
      <c r="N447">
        <v>1790.83</v>
      </c>
      <c r="O447" t="s">
        <v>62</v>
      </c>
      <c r="P447">
        <v>5</v>
      </c>
    </row>
    <row r="448" spans="1:16" x14ac:dyDescent="0.35">
      <c r="A448" t="s">
        <v>964</v>
      </c>
      <c r="B448" s="1">
        <v>45465</v>
      </c>
      <c r="C448" t="s">
        <v>965</v>
      </c>
      <c r="D448" t="s">
        <v>29</v>
      </c>
      <c r="E448" t="s">
        <v>30</v>
      </c>
      <c r="F448" t="s">
        <v>31</v>
      </c>
      <c r="G448" t="s">
        <v>22</v>
      </c>
      <c r="H448" t="s">
        <v>124</v>
      </c>
      <c r="I448">
        <v>9</v>
      </c>
      <c r="J448">
        <v>603.76</v>
      </c>
      <c r="K448">
        <v>0.15</v>
      </c>
      <c r="L448">
        <v>4618.76</v>
      </c>
      <c r="M448">
        <v>2888.75</v>
      </c>
      <c r="N448">
        <v>1730.01</v>
      </c>
      <c r="O448" t="s">
        <v>51</v>
      </c>
      <c r="P448">
        <v>4</v>
      </c>
    </row>
    <row r="449" spans="1:16" x14ac:dyDescent="0.35">
      <c r="A449" t="s">
        <v>966</v>
      </c>
      <c r="B449" s="1">
        <v>45369</v>
      </c>
      <c r="C449" t="s">
        <v>967</v>
      </c>
      <c r="D449" t="s">
        <v>49</v>
      </c>
      <c r="E449" t="s">
        <v>85</v>
      </c>
      <c r="F449" t="s">
        <v>31</v>
      </c>
      <c r="G449" t="s">
        <v>22</v>
      </c>
      <c r="H449" t="s">
        <v>74</v>
      </c>
      <c r="I449">
        <v>10</v>
      </c>
      <c r="J449">
        <v>884.51</v>
      </c>
      <c r="K449">
        <v>0.05</v>
      </c>
      <c r="L449">
        <v>8402.84</v>
      </c>
      <c r="M449">
        <v>6189.16</v>
      </c>
      <c r="N449">
        <v>2213.6799999999998</v>
      </c>
      <c r="O449" t="s">
        <v>51</v>
      </c>
      <c r="P449">
        <v>2</v>
      </c>
    </row>
    <row r="450" spans="1:16" x14ac:dyDescent="0.35">
      <c r="A450" t="s">
        <v>968</v>
      </c>
      <c r="B450" s="1">
        <v>45560</v>
      </c>
      <c r="C450" t="s">
        <v>969</v>
      </c>
      <c r="D450" t="s">
        <v>29</v>
      </c>
      <c r="E450" t="s">
        <v>98</v>
      </c>
      <c r="F450" t="s">
        <v>39</v>
      </c>
      <c r="G450" t="s">
        <v>22</v>
      </c>
      <c r="H450" t="s">
        <v>23</v>
      </c>
      <c r="I450">
        <v>1</v>
      </c>
      <c r="J450">
        <v>646.87</v>
      </c>
      <c r="K450">
        <v>0.15</v>
      </c>
      <c r="L450">
        <v>549.84</v>
      </c>
      <c r="M450">
        <v>391.69</v>
      </c>
      <c r="N450">
        <v>158.15</v>
      </c>
      <c r="O450" t="s">
        <v>24</v>
      </c>
      <c r="P450">
        <v>4</v>
      </c>
    </row>
    <row r="451" spans="1:16" x14ac:dyDescent="0.35">
      <c r="A451" t="s">
        <v>970</v>
      </c>
      <c r="B451" s="1">
        <v>45602</v>
      </c>
      <c r="C451" t="s">
        <v>971</v>
      </c>
      <c r="D451" t="s">
        <v>66</v>
      </c>
      <c r="E451" t="s">
        <v>38</v>
      </c>
      <c r="F451" t="s">
        <v>31</v>
      </c>
      <c r="G451" t="s">
        <v>79</v>
      </c>
      <c r="H451" t="s">
        <v>80</v>
      </c>
      <c r="I451">
        <v>5</v>
      </c>
      <c r="J451">
        <v>881.74</v>
      </c>
      <c r="K451">
        <v>0.15</v>
      </c>
      <c r="L451">
        <v>3747.39</v>
      </c>
      <c r="M451">
        <v>2489.61</v>
      </c>
      <c r="N451">
        <v>1257.78</v>
      </c>
      <c r="O451" t="s">
        <v>24</v>
      </c>
      <c r="P451">
        <v>2</v>
      </c>
    </row>
    <row r="452" spans="1:16" x14ac:dyDescent="0.35">
      <c r="A452" t="s">
        <v>972</v>
      </c>
      <c r="B452" s="1">
        <v>45407</v>
      </c>
      <c r="C452" t="s">
        <v>973</v>
      </c>
      <c r="D452" t="s">
        <v>19</v>
      </c>
      <c r="E452" t="s">
        <v>30</v>
      </c>
      <c r="F452" t="s">
        <v>39</v>
      </c>
      <c r="G452" t="s">
        <v>22</v>
      </c>
      <c r="H452" t="s">
        <v>32</v>
      </c>
      <c r="I452">
        <v>4</v>
      </c>
      <c r="J452">
        <v>258.38</v>
      </c>
      <c r="K452">
        <v>0</v>
      </c>
      <c r="L452">
        <v>1033.52</v>
      </c>
      <c r="M452">
        <v>557.49</v>
      </c>
      <c r="N452">
        <v>476.03</v>
      </c>
      <c r="O452" t="s">
        <v>33</v>
      </c>
      <c r="P452">
        <v>3</v>
      </c>
    </row>
    <row r="453" spans="1:16" x14ac:dyDescent="0.35">
      <c r="A453" t="s">
        <v>974</v>
      </c>
      <c r="B453" s="1">
        <v>45307</v>
      </c>
      <c r="C453" t="s">
        <v>975</v>
      </c>
      <c r="D453" t="s">
        <v>66</v>
      </c>
      <c r="E453" t="s">
        <v>30</v>
      </c>
      <c r="F453" t="s">
        <v>39</v>
      </c>
      <c r="G453" t="s">
        <v>22</v>
      </c>
      <c r="H453" t="s">
        <v>32</v>
      </c>
      <c r="I453">
        <v>10</v>
      </c>
      <c r="J453">
        <v>784.73</v>
      </c>
      <c r="K453">
        <v>0</v>
      </c>
      <c r="L453">
        <v>7847.3</v>
      </c>
      <c r="M453">
        <v>5451.56</v>
      </c>
      <c r="N453">
        <v>2395.7399999999998</v>
      </c>
      <c r="O453" t="s">
        <v>62</v>
      </c>
      <c r="P453">
        <v>3</v>
      </c>
    </row>
    <row r="454" spans="1:16" x14ac:dyDescent="0.35">
      <c r="A454" t="s">
        <v>976</v>
      </c>
      <c r="B454" s="1">
        <v>45368</v>
      </c>
      <c r="C454" t="s">
        <v>977</v>
      </c>
      <c r="D454" t="s">
        <v>49</v>
      </c>
      <c r="E454" t="s">
        <v>20</v>
      </c>
      <c r="F454" t="s">
        <v>21</v>
      </c>
      <c r="G454" t="s">
        <v>60</v>
      </c>
      <c r="H454" t="s">
        <v>61</v>
      </c>
      <c r="I454">
        <v>11</v>
      </c>
      <c r="J454">
        <v>675.43</v>
      </c>
      <c r="K454">
        <v>0.1</v>
      </c>
      <c r="L454">
        <v>6686.76</v>
      </c>
      <c r="M454">
        <v>3640.29</v>
      </c>
      <c r="N454">
        <v>3046.47</v>
      </c>
      <c r="O454" t="s">
        <v>51</v>
      </c>
      <c r="P454">
        <v>5</v>
      </c>
    </row>
    <row r="455" spans="1:16" x14ac:dyDescent="0.35">
      <c r="A455" t="s">
        <v>978</v>
      </c>
      <c r="B455" s="1">
        <v>45554</v>
      </c>
      <c r="C455" t="s">
        <v>979</v>
      </c>
      <c r="D455" t="s">
        <v>37</v>
      </c>
      <c r="E455" t="s">
        <v>85</v>
      </c>
      <c r="F455" t="s">
        <v>31</v>
      </c>
      <c r="G455" t="s">
        <v>79</v>
      </c>
      <c r="H455" t="s">
        <v>80</v>
      </c>
      <c r="I455">
        <v>8</v>
      </c>
      <c r="J455">
        <v>756.03</v>
      </c>
      <c r="K455">
        <v>0.15</v>
      </c>
      <c r="L455">
        <v>5141</v>
      </c>
      <c r="M455">
        <v>3070.01</v>
      </c>
      <c r="N455">
        <v>2070.9899999999998</v>
      </c>
      <c r="O455" t="s">
        <v>33</v>
      </c>
      <c r="P455">
        <v>3</v>
      </c>
    </row>
    <row r="456" spans="1:16" x14ac:dyDescent="0.35">
      <c r="A456" t="s">
        <v>980</v>
      </c>
      <c r="B456" s="1">
        <v>45314</v>
      </c>
      <c r="C456" t="s">
        <v>981</v>
      </c>
      <c r="D456" t="s">
        <v>49</v>
      </c>
      <c r="E456" t="s">
        <v>38</v>
      </c>
      <c r="F456" t="s">
        <v>31</v>
      </c>
      <c r="G456" t="s">
        <v>22</v>
      </c>
      <c r="H456" t="s">
        <v>124</v>
      </c>
      <c r="I456">
        <v>3</v>
      </c>
      <c r="J456">
        <v>59.7</v>
      </c>
      <c r="K456">
        <v>0.15</v>
      </c>
      <c r="L456">
        <v>152.24</v>
      </c>
      <c r="M456">
        <v>82.49</v>
      </c>
      <c r="N456">
        <v>69.75</v>
      </c>
      <c r="O456" t="s">
        <v>51</v>
      </c>
      <c r="P456">
        <v>3</v>
      </c>
    </row>
    <row r="457" spans="1:16" x14ac:dyDescent="0.35">
      <c r="A457" t="s">
        <v>982</v>
      </c>
      <c r="B457" s="1">
        <v>45501</v>
      </c>
      <c r="C457" t="s">
        <v>983</v>
      </c>
      <c r="D457" t="s">
        <v>37</v>
      </c>
      <c r="E457" t="s">
        <v>38</v>
      </c>
      <c r="F457" t="s">
        <v>31</v>
      </c>
      <c r="G457" t="s">
        <v>22</v>
      </c>
      <c r="H457" t="s">
        <v>32</v>
      </c>
      <c r="I457">
        <v>9</v>
      </c>
      <c r="J457">
        <v>1103.96</v>
      </c>
      <c r="K457">
        <v>0</v>
      </c>
      <c r="L457">
        <v>9935.64</v>
      </c>
      <c r="M457">
        <v>8185.98</v>
      </c>
      <c r="N457">
        <v>1749.66</v>
      </c>
      <c r="O457" t="s">
        <v>62</v>
      </c>
      <c r="P457">
        <v>4</v>
      </c>
    </row>
    <row r="458" spans="1:16" x14ac:dyDescent="0.35">
      <c r="A458" t="s">
        <v>984</v>
      </c>
      <c r="B458" s="1">
        <v>45452</v>
      </c>
      <c r="C458" t="s">
        <v>985</v>
      </c>
      <c r="D458" t="s">
        <v>37</v>
      </c>
      <c r="E458" t="s">
        <v>20</v>
      </c>
      <c r="F458" t="s">
        <v>21</v>
      </c>
      <c r="G458" t="s">
        <v>60</v>
      </c>
      <c r="H458" t="s">
        <v>61</v>
      </c>
      <c r="I458">
        <v>7</v>
      </c>
      <c r="J458">
        <v>774.47</v>
      </c>
      <c r="K458">
        <v>0.05</v>
      </c>
      <c r="L458">
        <v>5150.2299999999996</v>
      </c>
      <c r="M458">
        <v>3165.14</v>
      </c>
      <c r="N458">
        <v>1985.09</v>
      </c>
      <c r="O458" t="s">
        <v>24</v>
      </c>
      <c r="P458">
        <v>3</v>
      </c>
    </row>
    <row r="459" spans="1:16" x14ac:dyDescent="0.35">
      <c r="A459" t="s">
        <v>986</v>
      </c>
      <c r="B459" s="1">
        <v>45320</v>
      </c>
      <c r="C459" t="s">
        <v>987</v>
      </c>
      <c r="D459" t="s">
        <v>37</v>
      </c>
      <c r="E459" t="s">
        <v>85</v>
      </c>
      <c r="F459" t="s">
        <v>21</v>
      </c>
      <c r="G459" t="s">
        <v>79</v>
      </c>
      <c r="H459" t="s">
        <v>89</v>
      </c>
      <c r="I459">
        <v>8</v>
      </c>
      <c r="J459">
        <v>586.15</v>
      </c>
      <c r="K459">
        <v>0.15</v>
      </c>
      <c r="L459">
        <v>3985.82</v>
      </c>
      <c r="M459">
        <v>3184.38</v>
      </c>
      <c r="N459">
        <v>801.44</v>
      </c>
      <c r="O459" t="s">
        <v>51</v>
      </c>
      <c r="P459">
        <v>1</v>
      </c>
    </row>
    <row r="460" spans="1:16" x14ac:dyDescent="0.35">
      <c r="A460" t="s">
        <v>988</v>
      </c>
      <c r="B460" s="1">
        <v>45593</v>
      </c>
      <c r="C460" t="s">
        <v>989</v>
      </c>
      <c r="D460" t="s">
        <v>66</v>
      </c>
      <c r="E460" t="s">
        <v>98</v>
      </c>
      <c r="F460" t="s">
        <v>39</v>
      </c>
      <c r="G460" t="s">
        <v>22</v>
      </c>
      <c r="H460" t="s">
        <v>32</v>
      </c>
      <c r="I460">
        <v>3</v>
      </c>
      <c r="J460">
        <v>748.4</v>
      </c>
      <c r="K460">
        <v>0.05</v>
      </c>
      <c r="L460">
        <v>2132.94</v>
      </c>
      <c r="M460">
        <v>1556.96</v>
      </c>
      <c r="N460">
        <v>575.98</v>
      </c>
      <c r="O460" t="s">
        <v>62</v>
      </c>
      <c r="P460">
        <v>2</v>
      </c>
    </row>
    <row r="461" spans="1:16" x14ac:dyDescent="0.35">
      <c r="A461" t="s">
        <v>990</v>
      </c>
      <c r="B461" s="1">
        <v>45657</v>
      </c>
      <c r="C461" t="s">
        <v>991</v>
      </c>
      <c r="D461" t="s">
        <v>19</v>
      </c>
      <c r="E461" t="s">
        <v>38</v>
      </c>
      <c r="F461" t="s">
        <v>39</v>
      </c>
      <c r="G461" t="s">
        <v>60</v>
      </c>
      <c r="H461" t="s">
        <v>110</v>
      </c>
      <c r="I461">
        <v>11</v>
      </c>
      <c r="J461">
        <v>705.06</v>
      </c>
      <c r="K461">
        <v>0.1</v>
      </c>
      <c r="L461">
        <v>6980.09</v>
      </c>
      <c r="M461">
        <v>5785.27</v>
      </c>
      <c r="N461">
        <v>1194.82</v>
      </c>
      <c r="O461" t="s">
        <v>33</v>
      </c>
      <c r="P461">
        <v>3</v>
      </c>
    </row>
    <row r="462" spans="1:16" x14ac:dyDescent="0.35">
      <c r="A462" t="s">
        <v>992</v>
      </c>
      <c r="B462" s="1">
        <v>45468</v>
      </c>
      <c r="C462" t="s">
        <v>993</v>
      </c>
      <c r="D462" t="s">
        <v>37</v>
      </c>
      <c r="E462" t="s">
        <v>20</v>
      </c>
      <c r="F462" t="s">
        <v>31</v>
      </c>
      <c r="G462" t="s">
        <v>60</v>
      </c>
      <c r="H462" t="s">
        <v>110</v>
      </c>
      <c r="I462">
        <v>2</v>
      </c>
      <c r="J462">
        <v>86.62</v>
      </c>
      <c r="K462">
        <v>0.15</v>
      </c>
      <c r="L462">
        <v>147.25</v>
      </c>
      <c r="M462">
        <v>89.78</v>
      </c>
      <c r="N462">
        <v>57.47</v>
      </c>
      <c r="O462" t="s">
        <v>33</v>
      </c>
      <c r="P462">
        <v>4</v>
      </c>
    </row>
    <row r="463" spans="1:16" x14ac:dyDescent="0.35">
      <c r="A463" t="s">
        <v>994</v>
      </c>
      <c r="B463" s="1">
        <v>45419</v>
      </c>
      <c r="C463" t="s">
        <v>995</v>
      </c>
      <c r="D463" t="s">
        <v>49</v>
      </c>
      <c r="E463" t="s">
        <v>20</v>
      </c>
      <c r="F463" t="s">
        <v>31</v>
      </c>
      <c r="G463" t="s">
        <v>22</v>
      </c>
      <c r="H463" t="s">
        <v>23</v>
      </c>
      <c r="I463">
        <v>4</v>
      </c>
      <c r="J463">
        <v>88.53</v>
      </c>
      <c r="K463">
        <v>0</v>
      </c>
      <c r="L463">
        <v>354.12</v>
      </c>
      <c r="M463">
        <v>276.85000000000002</v>
      </c>
      <c r="N463">
        <v>77.27</v>
      </c>
      <c r="O463" t="s">
        <v>24</v>
      </c>
      <c r="P463">
        <v>2</v>
      </c>
    </row>
    <row r="464" spans="1:16" x14ac:dyDescent="0.35">
      <c r="A464" t="s">
        <v>996</v>
      </c>
      <c r="B464" s="1">
        <v>45331</v>
      </c>
      <c r="C464" t="s">
        <v>997</v>
      </c>
      <c r="D464" t="s">
        <v>49</v>
      </c>
      <c r="E464" t="s">
        <v>38</v>
      </c>
      <c r="F464" t="s">
        <v>31</v>
      </c>
      <c r="G464" t="s">
        <v>22</v>
      </c>
      <c r="H464" t="s">
        <v>32</v>
      </c>
      <c r="I464">
        <v>3</v>
      </c>
      <c r="J464">
        <v>1190.57</v>
      </c>
      <c r="K464">
        <v>0.15</v>
      </c>
      <c r="L464">
        <v>3035.95</v>
      </c>
      <c r="M464">
        <v>1649.7</v>
      </c>
      <c r="N464">
        <v>1386.25</v>
      </c>
      <c r="O464" t="s">
        <v>24</v>
      </c>
      <c r="P464">
        <v>1</v>
      </c>
    </row>
    <row r="465" spans="1:16" x14ac:dyDescent="0.35">
      <c r="A465" t="s">
        <v>998</v>
      </c>
      <c r="B465" s="1">
        <v>45404</v>
      </c>
      <c r="C465" t="s">
        <v>999</v>
      </c>
      <c r="D465" t="s">
        <v>66</v>
      </c>
      <c r="E465" t="s">
        <v>30</v>
      </c>
      <c r="F465" t="s">
        <v>21</v>
      </c>
      <c r="G465" t="s">
        <v>79</v>
      </c>
      <c r="H465" t="s">
        <v>89</v>
      </c>
      <c r="I465">
        <v>11</v>
      </c>
      <c r="J465">
        <v>683.83</v>
      </c>
      <c r="K465">
        <v>0.1</v>
      </c>
      <c r="L465">
        <v>6769.92</v>
      </c>
      <c r="M465">
        <v>4195.58</v>
      </c>
      <c r="N465">
        <v>2574.34</v>
      </c>
      <c r="O465" t="s">
        <v>51</v>
      </c>
      <c r="P465">
        <v>3</v>
      </c>
    </row>
    <row r="466" spans="1:16" x14ac:dyDescent="0.35">
      <c r="A466" t="s">
        <v>1000</v>
      </c>
      <c r="B466" s="1">
        <v>45398</v>
      </c>
      <c r="C466" t="s">
        <v>1001</v>
      </c>
      <c r="D466" t="s">
        <v>37</v>
      </c>
      <c r="E466" t="s">
        <v>30</v>
      </c>
      <c r="F466" t="s">
        <v>21</v>
      </c>
      <c r="G466" t="s">
        <v>60</v>
      </c>
      <c r="H466" t="s">
        <v>110</v>
      </c>
      <c r="I466">
        <v>2</v>
      </c>
      <c r="J466">
        <v>338.9</v>
      </c>
      <c r="K466">
        <v>0.05</v>
      </c>
      <c r="L466">
        <v>643.91</v>
      </c>
      <c r="M466">
        <v>423.74</v>
      </c>
      <c r="N466">
        <v>220.17</v>
      </c>
      <c r="O466" t="s">
        <v>24</v>
      </c>
      <c r="P466">
        <v>5</v>
      </c>
    </row>
    <row r="467" spans="1:16" x14ac:dyDescent="0.35">
      <c r="A467" t="s">
        <v>1002</v>
      </c>
      <c r="B467" s="1">
        <v>45651</v>
      </c>
      <c r="C467" t="s">
        <v>1003</v>
      </c>
      <c r="D467" t="s">
        <v>66</v>
      </c>
      <c r="E467" t="s">
        <v>98</v>
      </c>
      <c r="F467" t="s">
        <v>31</v>
      </c>
      <c r="G467" t="s">
        <v>22</v>
      </c>
      <c r="H467" t="s">
        <v>32</v>
      </c>
      <c r="I467">
        <v>4</v>
      </c>
      <c r="J467">
        <v>202.17</v>
      </c>
      <c r="K467">
        <v>0</v>
      </c>
      <c r="L467">
        <v>808.68</v>
      </c>
      <c r="M467">
        <v>611.71</v>
      </c>
      <c r="N467">
        <v>196.97</v>
      </c>
      <c r="O467" t="s">
        <v>24</v>
      </c>
      <c r="P467">
        <v>2</v>
      </c>
    </row>
    <row r="468" spans="1:16" x14ac:dyDescent="0.35">
      <c r="A468" t="s">
        <v>1004</v>
      </c>
      <c r="B468" s="1">
        <v>45295</v>
      </c>
      <c r="C468" t="s">
        <v>1005</v>
      </c>
      <c r="D468" t="s">
        <v>29</v>
      </c>
      <c r="E468" t="s">
        <v>85</v>
      </c>
      <c r="F468" t="s">
        <v>39</v>
      </c>
      <c r="G468" t="s">
        <v>43</v>
      </c>
      <c r="H468" t="s">
        <v>44</v>
      </c>
      <c r="I468">
        <v>6</v>
      </c>
      <c r="J468">
        <v>645.9</v>
      </c>
      <c r="K468">
        <v>0.15</v>
      </c>
      <c r="L468">
        <v>3294.09</v>
      </c>
      <c r="M468">
        <v>2516.4499999999998</v>
      </c>
      <c r="N468">
        <v>777.64</v>
      </c>
      <c r="O468" t="s">
        <v>33</v>
      </c>
      <c r="P468">
        <v>2</v>
      </c>
    </row>
    <row r="469" spans="1:16" x14ac:dyDescent="0.35">
      <c r="A469" t="s">
        <v>1006</v>
      </c>
      <c r="B469" s="1">
        <v>45653</v>
      </c>
      <c r="C469" t="s">
        <v>1007</v>
      </c>
      <c r="D469" t="s">
        <v>29</v>
      </c>
      <c r="E469" t="s">
        <v>30</v>
      </c>
      <c r="F469" t="s">
        <v>31</v>
      </c>
      <c r="G469" t="s">
        <v>79</v>
      </c>
      <c r="H469" t="s">
        <v>80</v>
      </c>
      <c r="I469">
        <v>10</v>
      </c>
      <c r="J469">
        <v>336.66</v>
      </c>
      <c r="K469">
        <v>0.05</v>
      </c>
      <c r="L469">
        <v>3198.27</v>
      </c>
      <c r="M469">
        <v>2688.05</v>
      </c>
      <c r="N469">
        <v>510.22</v>
      </c>
      <c r="O469" t="s">
        <v>62</v>
      </c>
      <c r="P469">
        <v>1</v>
      </c>
    </row>
    <row r="470" spans="1:16" x14ac:dyDescent="0.35">
      <c r="A470" t="s">
        <v>1008</v>
      </c>
      <c r="B470" s="1">
        <v>45479</v>
      </c>
      <c r="C470" t="s">
        <v>1009</v>
      </c>
      <c r="D470" t="s">
        <v>37</v>
      </c>
      <c r="E470" t="s">
        <v>98</v>
      </c>
      <c r="F470" t="s">
        <v>39</v>
      </c>
      <c r="G470" t="s">
        <v>22</v>
      </c>
      <c r="H470" t="s">
        <v>32</v>
      </c>
      <c r="I470">
        <v>12</v>
      </c>
      <c r="J470">
        <v>211.85</v>
      </c>
      <c r="K470">
        <v>0</v>
      </c>
      <c r="L470">
        <v>2542.1999999999998</v>
      </c>
      <c r="M470">
        <v>1435.85</v>
      </c>
      <c r="N470">
        <v>1106.3499999999999</v>
      </c>
      <c r="O470" t="s">
        <v>33</v>
      </c>
      <c r="P470">
        <v>2</v>
      </c>
    </row>
    <row r="471" spans="1:16" x14ac:dyDescent="0.35">
      <c r="A471" t="s">
        <v>1010</v>
      </c>
      <c r="B471" s="1">
        <v>45541</v>
      </c>
      <c r="C471" t="s">
        <v>1011</v>
      </c>
      <c r="D471" t="s">
        <v>49</v>
      </c>
      <c r="E471" t="s">
        <v>20</v>
      </c>
      <c r="F471" t="s">
        <v>31</v>
      </c>
      <c r="G471" t="s">
        <v>43</v>
      </c>
      <c r="H471" t="s">
        <v>173</v>
      </c>
      <c r="I471">
        <v>11</v>
      </c>
      <c r="J471">
        <v>866.01</v>
      </c>
      <c r="K471">
        <v>0.05</v>
      </c>
      <c r="L471">
        <v>9049.7999999999993</v>
      </c>
      <c r="M471">
        <v>4546.6400000000003</v>
      </c>
      <c r="N471">
        <v>4503.16</v>
      </c>
      <c r="O471" t="s">
        <v>24</v>
      </c>
      <c r="P471">
        <v>5</v>
      </c>
    </row>
    <row r="472" spans="1:16" x14ac:dyDescent="0.35">
      <c r="A472" t="s">
        <v>1012</v>
      </c>
      <c r="B472" s="1">
        <v>45619</v>
      </c>
      <c r="C472" t="s">
        <v>1013</v>
      </c>
      <c r="D472" t="s">
        <v>37</v>
      </c>
      <c r="E472" t="s">
        <v>85</v>
      </c>
      <c r="F472" t="s">
        <v>31</v>
      </c>
      <c r="G472" t="s">
        <v>60</v>
      </c>
      <c r="H472" t="s">
        <v>110</v>
      </c>
      <c r="I472">
        <v>6</v>
      </c>
      <c r="J472">
        <v>730.03</v>
      </c>
      <c r="K472">
        <v>0.15</v>
      </c>
      <c r="L472">
        <v>3723.15</v>
      </c>
      <c r="M472">
        <v>2294.6</v>
      </c>
      <c r="N472">
        <v>1428.55</v>
      </c>
      <c r="O472" t="s">
        <v>24</v>
      </c>
      <c r="P472">
        <v>3</v>
      </c>
    </row>
    <row r="473" spans="1:16" x14ac:dyDescent="0.35">
      <c r="A473" t="s">
        <v>1014</v>
      </c>
      <c r="B473" s="1">
        <v>45525</v>
      </c>
      <c r="C473" t="s">
        <v>1015</v>
      </c>
      <c r="D473" t="s">
        <v>29</v>
      </c>
      <c r="E473" t="s">
        <v>20</v>
      </c>
      <c r="F473" t="s">
        <v>21</v>
      </c>
      <c r="G473" t="s">
        <v>43</v>
      </c>
      <c r="H473" t="s">
        <v>44</v>
      </c>
      <c r="I473">
        <v>2</v>
      </c>
      <c r="J473">
        <v>642.58000000000004</v>
      </c>
      <c r="K473">
        <v>0.15</v>
      </c>
      <c r="L473">
        <v>1092.3900000000001</v>
      </c>
      <c r="M473">
        <v>821.81</v>
      </c>
      <c r="N473">
        <v>270.58</v>
      </c>
      <c r="O473" t="s">
        <v>62</v>
      </c>
      <c r="P473">
        <v>2</v>
      </c>
    </row>
    <row r="474" spans="1:16" x14ac:dyDescent="0.35">
      <c r="A474" t="s">
        <v>1016</v>
      </c>
      <c r="B474" s="1">
        <v>45539</v>
      </c>
      <c r="C474" t="s">
        <v>1017</v>
      </c>
      <c r="D474" t="s">
        <v>66</v>
      </c>
      <c r="E474" t="s">
        <v>85</v>
      </c>
      <c r="F474" t="s">
        <v>21</v>
      </c>
      <c r="G474" t="s">
        <v>79</v>
      </c>
      <c r="H474" t="s">
        <v>103</v>
      </c>
      <c r="I474">
        <v>9</v>
      </c>
      <c r="J474">
        <v>987.83</v>
      </c>
      <c r="K474">
        <v>0.05</v>
      </c>
      <c r="L474">
        <v>8445.9500000000007</v>
      </c>
      <c r="M474">
        <v>6734.75</v>
      </c>
      <c r="N474">
        <v>1711.2</v>
      </c>
      <c r="O474" t="s">
        <v>33</v>
      </c>
      <c r="P474">
        <v>1</v>
      </c>
    </row>
    <row r="475" spans="1:16" x14ac:dyDescent="0.35">
      <c r="A475" t="s">
        <v>1018</v>
      </c>
      <c r="B475" s="1">
        <v>45324</v>
      </c>
      <c r="C475" t="s">
        <v>1019</v>
      </c>
      <c r="D475" t="s">
        <v>29</v>
      </c>
      <c r="E475" t="s">
        <v>30</v>
      </c>
      <c r="F475" t="s">
        <v>39</v>
      </c>
      <c r="G475" t="s">
        <v>60</v>
      </c>
      <c r="H475" t="s">
        <v>61</v>
      </c>
      <c r="I475">
        <v>11</v>
      </c>
      <c r="J475">
        <v>12.54</v>
      </c>
      <c r="K475">
        <v>0.05</v>
      </c>
      <c r="L475">
        <v>131.04</v>
      </c>
      <c r="M475">
        <v>89.16</v>
      </c>
      <c r="N475">
        <v>41.88</v>
      </c>
      <c r="O475" t="s">
        <v>24</v>
      </c>
      <c r="P475">
        <v>1</v>
      </c>
    </row>
    <row r="476" spans="1:16" x14ac:dyDescent="0.35">
      <c r="A476" t="s">
        <v>1020</v>
      </c>
      <c r="B476" s="1">
        <v>45647</v>
      </c>
      <c r="C476" t="s">
        <v>1021</v>
      </c>
      <c r="D476" t="s">
        <v>49</v>
      </c>
      <c r="E476" t="s">
        <v>30</v>
      </c>
      <c r="F476" t="s">
        <v>21</v>
      </c>
      <c r="G476" t="s">
        <v>22</v>
      </c>
      <c r="H476" t="s">
        <v>74</v>
      </c>
      <c r="I476">
        <v>9</v>
      </c>
      <c r="J476">
        <v>1120.54</v>
      </c>
      <c r="K476">
        <v>0.1</v>
      </c>
      <c r="L476">
        <v>9076.3700000000008</v>
      </c>
      <c r="M476">
        <v>5918.91</v>
      </c>
      <c r="N476">
        <v>3157.46</v>
      </c>
      <c r="O476" t="s">
        <v>24</v>
      </c>
      <c r="P476">
        <v>5</v>
      </c>
    </row>
    <row r="477" spans="1:16" x14ac:dyDescent="0.35">
      <c r="A477" t="s">
        <v>1022</v>
      </c>
      <c r="B477" s="1">
        <v>45517</v>
      </c>
      <c r="C477" t="s">
        <v>1023</v>
      </c>
      <c r="D477" t="s">
        <v>29</v>
      </c>
      <c r="E477" t="s">
        <v>20</v>
      </c>
      <c r="F477" t="s">
        <v>31</v>
      </c>
      <c r="G477" t="s">
        <v>22</v>
      </c>
      <c r="H477" t="s">
        <v>23</v>
      </c>
      <c r="I477">
        <v>5</v>
      </c>
      <c r="J477">
        <v>282.73</v>
      </c>
      <c r="K477">
        <v>0.15</v>
      </c>
      <c r="L477">
        <v>1201.5999999999999</v>
      </c>
      <c r="M477">
        <v>632.65</v>
      </c>
      <c r="N477">
        <v>568.95000000000005</v>
      </c>
      <c r="O477" t="s">
        <v>51</v>
      </c>
      <c r="P477">
        <v>4</v>
      </c>
    </row>
    <row r="478" spans="1:16" x14ac:dyDescent="0.35">
      <c r="A478" t="s">
        <v>1024</v>
      </c>
      <c r="B478" s="1">
        <v>45510</v>
      </c>
      <c r="C478" t="s">
        <v>1025</v>
      </c>
      <c r="D478" t="s">
        <v>19</v>
      </c>
      <c r="E478" t="s">
        <v>20</v>
      </c>
      <c r="F478" t="s">
        <v>39</v>
      </c>
      <c r="G478" t="s">
        <v>22</v>
      </c>
      <c r="H478" t="s">
        <v>124</v>
      </c>
      <c r="I478">
        <v>6</v>
      </c>
      <c r="J478">
        <v>696.76</v>
      </c>
      <c r="K478">
        <v>0</v>
      </c>
      <c r="L478">
        <v>4180.5600000000004</v>
      </c>
      <c r="M478">
        <v>3492.75</v>
      </c>
      <c r="N478">
        <v>687.81</v>
      </c>
      <c r="O478" t="s">
        <v>24</v>
      </c>
      <c r="P478">
        <v>2</v>
      </c>
    </row>
    <row r="479" spans="1:16" x14ac:dyDescent="0.35">
      <c r="A479" t="s">
        <v>1026</v>
      </c>
      <c r="B479" s="1">
        <v>45536</v>
      </c>
      <c r="C479" t="s">
        <v>1027</v>
      </c>
      <c r="D479" t="s">
        <v>19</v>
      </c>
      <c r="E479" t="s">
        <v>85</v>
      </c>
      <c r="F479" t="s">
        <v>39</v>
      </c>
      <c r="G479" t="s">
        <v>22</v>
      </c>
      <c r="H479" t="s">
        <v>74</v>
      </c>
      <c r="I479">
        <v>10</v>
      </c>
      <c r="J479">
        <v>340.97</v>
      </c>
      <c r="K479">
        <v>0</v>
      </c>
      <c r="L479">
        <v>3409.7</v>
      </c>
      <c r="M479">
        <v>2747.38</v>
      </c>
      <c r="N479">
        <v>662.32</v>
      </c>
      <c r="O479" t="s">
        <v>24</v>
      </c>
      <c r="P479">
        <v>4</v>
      </c>
    </row>
    <row r="480" spans="1:16" x14ac:dyDescent="0.35">
      <c r="A480" t="s">
        <v>1028</v>
      </c>
      <c r="B480" s="1">
        <v>45454</v>
      </c>
      <c r="C480" t="s">
        <v>1029</v>
      </c>
      <c r="D480" t="s">
        <v>37</v>
      </c>
      <c r="E480" t="s">
        <v>85</v>
      </c>
      <c r="F480" t="s">
        <v>31</v>
      </c>
      <c r="G480" t="s">
        <v>22</v>
      </c>
      <c r="H480" t="s">
        <v>124</v>
      </c>
      <c r="I480">
        <v>8</v>
      </c>
      <c r="J480">
        <v>343.94</v>
      </c>
      <c r="K480">
        <v>0.1</v>
      </c>
      <c r="L480">
        <v>2476.37</v>
      </c>
      <c r="M480">
        <v>1448.92</v>
      </c>
      <c r="N480">
        <v>1027.45</v>
      </c>
      <c r="O480" t="s">
        <v>33</v>
      </c>
      <c r="P480">
        <v>5</v>
      </c>
    </row>
    <row r="481" spans="1:16" x14ac:dyDescent="0.35">
      <c r="A481" t="s">
        <v>1030</v>
      </c>
      <c r="B481" s="1">
        <v>45532</v>
      </c>
      <c r="C481" t="s">
        <v>1031</v>
      </c>
      <c r="D481" t="s">
        <v>49</v>
      </c>
      <c r="E481" t="s">
        <v>38</v>
      </c>
      <c r="F481" t="s">
        <v>39</v>
      </c>
      <c r="G481" t="s">
        <v>60</v>
      </c>
      <c r="H481" t="s">
        <v>119</v>
      </c>
      <c r="I481">
        <v>9</v>
      </c>
      <c r="J481">
        <v>886.22</v>
      </c>
      <c r="K481">
        <v>0</v>
      </c>
      <c r="L481">
        <v>7975.98</v>
      </c>
      <c r="M481">
        <v>5408</v>
      </c>
      <c r="N481">
        <v>2567.98</v>
      </c>
      <c r="O481" t="s">
        <v>24</v>
      </c>
      <c r="P481">
        <v>3</v>
      </c>
    </row>
    <row r="482" spans="1:16" x14ac:dyDescent="0.35">
      <c r="A482" t="s">
        <v>1032</v>
      </c>
      <c r="B482" s="1">
        <v>45445</v>
      </c>
      <c r="C482" t="s">
        <v>1033</v>
      </c>
      <c r="D482" t="s">
        <v>66</v>
      </c>
      <c r="E482" t="s">
        <v>98</v>
      </c>
      <c r="F482" t="s">
        <v>21</v>
      </c>
      <c r="G482" t="s">
        <v>79</v>
      </c>
      <c r="H482" t="s">
        <v>103</v>
      </c>
      <c r="I482">
        <v>2</v>
      </c>
      <c r="J482">
        <v>593.76</v>
      </c>
      <c r="K482">
        <v>0.05</v>
      </c>
      <c r="L482">
        <v>1128.1400000000001</v>
      </c>
      <c r="M482">
        <v>801.16</v>
      </c>
      <c r="N482">
        <v>326.98</v>
      </c>
      <c r="O482" t="s">
        <v>51</v>
      </c>
      <c r="P482">
        <v>5</v>
      </c>
    </row>
    <row r="483" spans="1:16" x14ac:dyDescent="0.35">
      <c r="A483" t="s">
        <v>1034</v>
      </c>
      <c r="B483" s="1">
        <v>45584</v>
      </c>
      <c r="C483" t="s">
        <v>1035</v>
      </c>
      <c r="D483" t="s">
        <v>37</v>
      </c>
      <c r="E483" t="s">
        <v>20</v>
      </c>
      <c r="F483" t="s">
        <v>31</v>
      </c>
      <c r="G483" t="s">
        <v>60</v>
      </c>
      <c r="H483" t="s">
        <v>110</v>
      </c>
      <c r="I483">
        <v>12</v>
      </c>
      <c r="J483">
        <v>313.74</v>
      </c>
      <c r="K483">
        <v>0.05</v>
      </c>
      <c r="L483">
        <v>3576.64</v>
      </c>
      <c r="M483">
        <v>2308.4299999999998</v>
      </c>
      <c r="N483">
        <v>1268.21</v>
      </c>
      <c r="O483" t="s">
        <v>51</v>
      </c>
      <c r="P483">
        <v>3</v>
      </c>
    </row>
    <row r="484" spans="1:16" x14ac:dyDescent="0.35">
      <c r="A484" t="s">
        <v>1036</v>
      </c>
      <c r="B484" s="1">
        <v>45353</v>
      </c>
      <c r="C484" t="s">
        <v>1037</v>
      </c>
      <c r="D484" t="s">
        <v>19</v>
      </c>
      <c r="E484" t="s">
        <v>98</v>
      </c>
      <c r="F484" t="s">
        <v>39</v>
      </c>
      <c r="G484" t="s">
        <v>79</v>
      </c>
      <c r="H484" t="s">
        <v>89</v>
      </c>
      <c r="I484">
        <v>9</v>
      </c>
      <c r="J484">
        <v>969.89</v>
      </c>
      <c r="K484">
        <v>0.1</v>
      </c>
      <c r="L484">
        <v>7856.11</v>
      </c>
      <c r="M484">
        <v>5037.8100000000004</v>
      </c>
      <c r="N484">
        <v>2818.3</v>
      </c>
      <c r="O484" t="s">
        <v>33</v>
      </c>
      <c r="P484">
        <v>2</v>
      </c>
    </row>
    <row r="485" spans="1:16" x14ac:dyDescent="0.35">
      <c r="A485" t="s">
        <v>1038</v>
      </c>
      <c r="B485" s="1">
        <v>45297</v>
      </c>
      <c r="C485" t="s">
        <v>1039</v>
      </c>
      <c r="D485" t="s">
        <v>19</v>
      </c>
      <c r="E485" t="s">
        <v>98</v>
      </c>
      <c r="F485" t="s">
        <v>21</v>
      </c>
      <c r="G485" t="s">
        <v>79</v>
      </c>
      <c r="H485" t="s">
        <v>89</v>
      </c>
      <c r="I485">
        <v>4</v>
      </c>
      <c r="J485">
        <v>618.28</v>
      </c>
      <c r="K485">
        <v>0.05</v>
      </c>
      <c r="L485">
        <v>2349.46</v>
      </c>
      <c r="M485">
        <v>1921.95</v>
      </c>
      <c r="N485">
        <v>427.51</v>
      </c>
      <c r="O485" t="s">
        <v>33</v>
      </c>
      <c r="P485">
        <v>5</v>
      </c>
    </row>
    <row r="486" spans="1:16" x14ac:dyDescent="0.35">
      <c r="A486" t="s">
        <v>1040</v>
      </c>
      <c r="B486" s="1">
        <v>45655</v>
      </c>
      <c r="C486" t="s">
        <v>1041</v>
      </c>
      <c r="D486" t="s">
        <v>49</v>
      </c>
      <c r="E486" t="s">
        <v>98</v>
      </c>
      <c r="F486" t="s">
        <v>21</v>
      </c>
      <c r="G486" t="s">
        <v>60</v>
      </c>
      <c r="H486" t="s">
        <v>61</v>
      </c>
      <c r="I486">
        <v>11</v>
      </c>
      <c r="J486">
        <v>195.3</v>
      </c>
      <c r="K486">
        <v>0.1</v>
      </c>
      <c r="L486">
        <v>1933.47</v>
      </c>
      <c r="M486">
        <v>1105.6500000000001</v>
      </c>
      <c r="N486">
        <v>827.82</v>
      </c>
      <c r="O486" t="s">
        <v>24</v>
      </c>
      <c r="P486">
        <v>4</v>
      </c>
    </row>
    <row r="487" spans="1:16" x14ac:dyDescent="0.35">
      <c r="A487" t="s">
        <v>1042</v>
      </c>
      <c r="B487" s="1">
        <v>45408</v>
      </c>
      <c r="C487" t="s">
        <v>1043</v>
      </c>
      <c r="D487" t="s">
        <v>19</v>
      </c>
      <c r="E487" t="s">
        <v>38</v>
      </c>
      <c r="F487" t="s">
        <v>21</v>
      </c>
      <c r="G487" t="s">
        <v>43</v>
      </c>
      <c r="H487" t="s">
        <v>44</v>
      </c>
      <c r="I487">
        <v>1</v>
      </c>
      <c r="J487">
        <v>1087.46</v>
      </c>
      <c r="K487">
        <v>0.1</v>
      </c>
      <c r="L487">
        <v>978.71</v>
      </c>
      <c r="M487">
        <v>808.39</v>
      </c>
      <c r="N487">
        <v>170.32</v>
      </c>
      <c r="O487" t="s">
        <v>24</v>
      </c>
      <c r="P487">
        <v>5</v>
      </c>
    </row>
    <row r="488" spans="1:16" x14ac:dyDescent="0.35">
      <c r="A488" t="s">
        <v>1044</v>
      </c>
      <c r="B488" s="1">
        <v>45438</v>
      </c>
      <c r="C488" t="s">
        <v>1045</v>
      </c>
      <c r="D488" t="s">
        <v>29</v>
      </c>
      <c r="E488" t="s">
        <v>38</v>
      </c>
      <c r="F488" t="s">
        <v>39</v>
      </c>
      <c r="G488" t="s">
        <v>60</v>
      </c>
      <c r="H488" t="s">
        <v>119</v>
      </c>
      <c r="I488">
        <v>5</v>
      </c>
      <c r="J488">
        <v>505.27</v>
      </c>
      <c r="K488">
        <v>0.15</v>
      </c>
      <c r="L488">
        <v>2147.4</v>
      </c>
      <c r="M488">
        <v>1105.57</v>
      </c>
      <c r="N488">
        <v>1041.83</v>
      </c>
      <c r="O488" t="s">
        <v>24</v>
      </c>
      <c r="P488">
        <v>2</v>
      </c>
    </row>
    <row r="489" spans="1:16" x14ac:dyDescent="0.35">
      <c r="A489" t="s">
        <v>1046</v>
      </c>
      <c r="B489" s="1">
        <v>45453</v>
      </c>
      <c r="C489" t="s">
        <v>1047</v>
      </c>
      <c r="D489" t="s">
        <v>29</v>
      </c>
      <c r="E489" t="s">
        <v>38</v>
      </c>
      <c r="F489" t="s">
        <v>21</v>
      </c>
      <c r="G489" t="s">
        <v>22</v>
      </c>
      <c r="H489" t="s">
        <v>23</v>
      </c>
      <c r="I489">
        <v>9</v>
      </c>
      <c r="J489">
        <v>505.25</v>
      </c>
      <c r="K489">
        <v>0</v>
      </c>
      <c r="L489">
        <v>4547.25</v>
      </c>
      <c r="M489">
        <v>2493.0300000000002</v>
      </c>
      <c r="N489">
        <v>2054.2199999999998</v>
      </c>
      <c r="O489" t="s">
        <v>51</v>
      </c>
      <c r="P489">
        <v>1</v>
      </c>
    </row>
    <row r="490" spans="1:16" x14ac:dyDescent="0.35">
      <c r="A490" t="s">
        <v>1048</v>
      </c>
      <c r="B490" s="1">
        <v>45607</v>
      </c>
      <c r="C490" t="s">
        <v>1049</v>
      </c>
      <c r="D490" t="s">
        <v>49</v>
      </c>
      <c r="E490" t="s">
        <v>38</v>
      </c>
      <c r="F490" t="s">
        <v>39</v>
      </c>
      <c r="G490" t="s">
        <v>60</v>
      </c>
      <c r="H490" t="s">
        <v>61</v>
      </c>
      <c r="I490">
        <v>6</v>
      </c>
      <c r="J490">
        <v>1022.4</v>
      </c>
      <c r="K490">
        <v>0.15</v>
      </c>
      <c r="L490">
        <v>5214.24</v>
      </c>
      <c r="M490">
        <v>2792.26</v>
      </c>
      <c r="N490">
        <v>2421.98</v>
      </c>
      <c r="O490" t="s">
        <v>51</v>
      </c>
      <c r="P490">
        <v>1</v>
      </c>
    </row>
    <row r="491" spans="1:16" x14ac:dyDescent="0.35">
      <c r="A491" t="s">
        <v>1050</v>
      </c>
      <c r="B491" s="1">
        <v>45489</v>
      </c>
      <c r="C491" t="s">
        <v>1051</v>
      </c>
      <c r="D491" t="s">
        <v>66</v>
      </c>
      <c r="E491" t="s">
        <v>85</v>
      </c>
      <c r="F491" t="s">
        <v>31</v>
      </c>
      <c r="G491" t="s">
        <v>79</v>
      </c>
      <c r="H491" t="s">
        <v>103</v>
      </c>
      <c r="I491">
        <v>4</v>
      </c>
      <c r="J491">
        <v>784.09</v>
      </c>
      <c r="K491">
        <v>0.05</v>
      </c>
      <c r="L491">
        <v>2979.54</v>
      </c>
      <c r="M491">
        <v>2471.5700000000002</v>
      </c>
      <c r="N491">
        <v>507.97</v>
      </c>
      <c r="O491" t="s">
        <v>51</v>
      </c>
      <c r="P491">
        <v>2</v>
      </c>
    </row>
    <row r="492" spans="1:16" x14ac:dyDescent="0.35">
      <c r="A492" t="s">
        <v>1052</v>
      </c>
      <c r="B492" s="1">
        <v>45481</v>
      </c>
      <c r="C492" t="s">
        <v>1053</v>
      </c>
      <c r="D492" t="s">
        <v>19</v>
      </c>
      <c r="E492" t="s">
        <v>30</v>
      </c>
      <c r="F492" t="s">
        <v>31</v>
      </c>
      <c r="G492" t="s">
        <v>60</v>
      </c>
      <c r="H492" t="s">
        <v>61</v>
      </c>
      <c r="I492">
        <v>1</v>
      </c>
      <c r="J492">
        <v>558.75</v>
      </c>
      <c r="K492">
        <v>0.1</v>
      </c>
      <c r="L492">
        <v>502.88</v>
      </c>
      <c r="M492">
        <v>387.5</v>
      </c>
      <c r="N492">
        <v>115.38</v>
      </c>
      <c r="O492" t="s">
        <v>51</v>
      </c>
      <c r="P492">
        <v>4</v>
      </c>
    </row>
    <row r="493" spans="1:16" x14ac:dyDescent="0.35">
      <c r="A493" t="s">
        <v>1054</v>
      </c>
      <c r="B493" s="1">
        <v>45611</v>
      </c>
      <c r="C493" t="s">
        <v>1055</v>
      </c>
      <c r="D493" t="s">
        <v>49</v>
      </c>
      <c r="E493" t="s">
        <v>30</v>
      </c>
      <c r="F493" t="s">
        <v>39</v>
      </c>
      <c r="G493" t="s">
        <v>22</v>
      </c>
      <c r="H493" t="s">
        <v>23</v>
      </c>
      <c r="I493">
        <v>5</v>
      </c>
      <c r="J493">
        <v>983.72</v>
      </c>
      <c r="K493">
        <v>0.05</v>
      </c>
      <c r="L493">
        <v>4672.67</v>
      </c>
      <c r="M493">
        <v>2790.1</v>
      </c>
      <c r="N493">
        <v>1882.57</v>
      </c>
      <c r="O493" t="s">
        <v>33</v>
      </c>
      <c r="P493">
        <v>3</v>
      </c>
    </row>
    <row r="494" spans="1:16" x14ac:dyDescent="0.35">
      <c r="A494" t="s">
        <v>1056</v>
      </c>
      <c r="B494" s="1">
        <v>45474</v>
      </c>
      <c r="C494" t="s">
        <v>1057</v>
      </c>
      <c r="D494" t="s">
        <v>19</v>
      </c>
      <c r="E494" t="s">
        <v>30</v>
      </c>
      <c r="F494" t="s">
        <v>21</v>
      </c>
      <c r="G494" t="s">
        <v>22</v>
      </c>
      <c r="H494" t="s">
        <v>124</v>
      </c>
      <c r="I494">
        <v>3</v>
      </c>
      <c r="J494">
        <v>61.21</v>
      </c>
      <c r="K494">
        <v>0.15</v>
      </c>
      <c r="L494">
        <v>156.09</v>
      </c>
      <c r="M494">
        <v>121.84</v>
      </c>
      <c r="N494">
        <v>34.25</v>
      </c>
      <c r="O494" t="s">
        <v>51</v>
      </c>
      <c r="P494">
        <v>1</v>
      </c>
    </row>
    <row r="495" spans="1:16" x14ac:dyDescent="0.35">
      <c r="A495" t="s">
        <v>1058</v>
      </c>
      <c r="B495" s="1">
        <v>45454</v>
      </c>
      <c r="C495" t="s">
        <v>1059</v>
      </c>
      <c r="D495" t="s">
        <v>37</v>
      </c>
      <c r="E495" t="s">
        <v>98</v>
      </c>
      <c r="F495" t="s">
        <v>21</v>
      </c>
      <c r="G495" t="s">
        <v>79</v>
      </c>
      <c r="H495" t="s">
        <v>103</v>
      </c>
      <c r="I495">
        <v>7</v>
      </c>
      <c r="J495">
        <v>147.97999999999999</v>
      </c>
      <c r="K495">
        <v>0.15</v>
      </c>
      <c r="L495">
        <v>880.48</v>
      </c>
      <c r="M495">
        <v>538.26</v>
      </c>
      <c r="N495">
        <v>342.22</v>
      </c>
      <c r="O495" t="s">
        <v>24</v>
      </c>
      <c r="P495">
        <v>3</v>
      </c>
    </row>
    <row r="496" spans="1:16" x14ac:dyDescent="0.35">
      <c r="A496" t="s">
        <v>1060</v>
      </c>
      <c r="B496" s="1">
        <v>45540</v>
      </c>
      <c r="C496" t="s">
        <v>1061</v>
      </c>
      <c r="D496" t="s">
        <v>29</v>
      </c>
      <c r="E496" t="s">
        <v>98</v>
      </c>
      <c r="F496" t="s">
        <v>21</v>
      </c>
      <c r="G496" t="s">
        <v>22</v>
      </c>
      <c r="H496" t="s">
        <v>74</v>
      </c>
      <c r="I496">
        <v>1</v>
      </c>
      <c r="J496">
        <v>161.38999999999999</v>
      </c>
      <c r="K496">
        <v>0.1</v>
      </c>
      <c r="L496">
        <v>145.25</v>
      </c>
      <c r="M496">
        <v>90.9</v>
      </c>
      <c r="N496">
        <v>54.35</v>
      </c>
      <c r="O496" t="s">
        <v>24</v>
      </c>
      <c r="P496">
        <v>5</v>
      </c>
    </row>
    <row r="497" spans="1:16" x14ac:dyDescent="0.35">
      <c r="A497" t="s">
        <v>1062</v>
      </c>
      <c r="B497" s="1">
        <v>45323</v>
      </c>
      <c r="C497" t="s">
        <v>1063</v>
      </c>
      <c r="D497" t="s">
        <v>29</v>
      </c>
      <c r="E497" t="s">
        <v>38</v>
      </c>
      <c r="F497" t="s">
        <v>31</v>
      </c>
      <c r="G497" t="s">
        <v>60</v>
      </c>
      <c r="H497" t="s">
        <v>110</v>
      </c>
      <c r="I497">
        <v>9</v>
      </c>
      <c r="J497">
        <v>938.64</v>
      </c>
      <c r="K497">
        <v>0</v>
      </c>
      <c r="L497">
        <v>8447.76</v>
      </c>
      <c r="M497">
        <v>5930.15</v>
      </c>
      <c r="N497">
        <v>2517.61</v>
      </c>
      <c r="O497" t="s">
        <v>62</v>
      </c>
      <c r="P497">
        <v>3</v>
      </c>
    </row>
    <row r="498" spans="1:16" x14ac:dyDescent="0.35">
      <c r="A498" t="s">
        <v>1064</v>
      </c>
      <c r="B498" s="1">
        <v>45351</v>
      </c>
      <c r="C498" t="s">
        <v>1065</v>
      </c>
      <c r="D498" t="s">
        <v>29</v>
      </c>
      <c r="E498" t="s">
        <v>20</v>
      </c>
      <c r="F498" t="s">
        <v>39</v>
      </c>
      <c r="G498" t="s">
        <v>43</v>
      </c>
      <c r="H498" t="s">
        <v>50</v>
      </c>
      <c r="I498">
        <v>9</v>
      </c>
      <c r="J498">
        <v>233.66</v>
      </c>
      <c r="K498">
        <v>0.1</v>
      </c>
      <c r="L498">
        <v>1892.65</v>
      </c>
      <c r="M498">
        <v>1327.41</v>
      </c>
      <c r="N498">
        <v>565.24</v>
      </c>
      <c r="O498" t="s">
        <v>33</v>
      </c>
      <c r="P498">
        <v>3</v>
      </c>
    </row>
    <row r="499" spans="1:16" x14ac:dyDescent="0.35">
      <c r="A499" t="s">
        <v>1066</v>
      </c>
      <c r="B499" s="1">
        <v>45410</v>
      </c>
      <c r="C499" t="s">
        <v>1067</v>
      </c>
      <c r="D499" t="s">
        <v>37</v>
      </c>
      <c r="E499" t="s">
        <v>30</v>
      </c>
      <c r="F499" t="s">
        <v>31</v>
      </c>
      <c r="G499" t="s">
        <v>22</v>
      </c>
      <c r="H499" t="s">
        <v>74</v>
      </c>
      <c r="I499">
        <v>8</v>
      </c>
      <c r="J499">
        <v>817.21</v>
      </c>
      <c r="K499">
        <v>0.05</v>
      </c>
      <c r="L499">
        <v>6210.8</v>
      </c>
      <c r="M499">
        <v>3836.84</v>
      </c>
      <c r="N499">
        <v>2373.96</v>
      </c>
      <c r="O499" t="s">
        <v>51</v>
      </c>
      <c r="P499">
        <v>3</v>
      </c>
    </row>
    <row r="500" spans="1:16" x14ac:dyDescent="0.35">
      <c r="A500" t="s">
        <v>1068</v>
      </c>
      <c r="B500" s="1">
        <v>45308</v>
      </c>
      <c r="C500" t="s">
        <v>1069</v>
      </c>
      <c r="D500" t="s">
        <v>29</v>
      </c>
      <c r="E500" t="s">
        <v>30</v>
      </c>
      <c r="F500" t="s">
        <v>31</v>
      </c>
      <c r="G500" t="s">
        <v>79</v>
      </c>
      <c r="H500" t="s">
        <v>89</v>
      </c>
      <c r="I500">
        <v>11</v>
      </c>
      <c r="J500">
        <v>1085.49</v>
      </c>
      <c r="K500">
        <v>0.1</v>
      </c>
      <c r="L500">
        <v>10746.35</v>
      </c>
      <c r="M500">
        <v>7932.81</v>
      </c>
      <c r="N500">
        <v>2813.54</v>
      </c>
      <c r="O500" t="s">
        <v>24</v>
      </c>
      <c r="P500">
        <v>1</v>
      </c>
    </row>
    <row r="501" spans="1:16" x14ac:dyDescent="0.35">
      <c r="A501" t="s">
        <v>1070</v>
      </c>
      <c r="B501" s="1">
        <v>45419</v>
      </c>
      <c r="C501" t="s">
        <v>1071</v>
      </c>
      <c r="D501" t="s">
        <v>66</v>
      </c>
      <c r="E501" t="s">
        <v>30</v>
      </c>
      <c r="F501" t="s">
        <v>21</v>
      </c>
      <c r="G501" t="s">
        <v>43</v>
      </c>
      <c r="H501" t="s">
        <v>173</v>
      </c>
      <c r="I501">
        <v>7</v>
      </c>
      <c r="J501">
        <v>241.65</v>
      </c>
      <c r="K501">
        <v>0</v>
      </c>
      <c r="L501">
        <v>1691.55</v>
      </c>
      <c r="M501">
        <v>1203.6099999999999</v>
      </c>
      <c r="N501">
        <v>487.94</v>
      </c>
      <c r="O501" t="s">
        <v>33</v>
      </c>
      <c r="P501">
        <v>4</v>
      </c>
    </row>
    <row r="502" spans="1:16" x14ac:dyDescent="0.35">
      <c r="A502" t="s">
        <v>1072</v>
      </c>
      <c r="B502" s="1">
        <v>45486</v>
      </c>
      <c r="C502" t="s">
        <v>1073</v>
      </c>
      <c r="D502" t="s">
        <v>49</v>
      </c>
      <c r="E502" t="s">
        <v>38</v>
      </c>
      <c r="F502" t="s">
        <v>39</v>
      </c>
      <c r="G502" t="s">
        <v>22</v>
      </c>
      <c r="H502" t="s">
        <v>74</v>
      </c>
      <c r="I502">
        <v>12</v>
      </c>
      <c r="J502">
        <v>653.55999999999995</v>
      </c>
      <c r="K502">
        <v>0.05</v>
      </c>
      <c r="L502">
        <v>7450.58</v>
      </c>
      <c r="M502">
        <v>5106.03</v>
      </c>
      <c r="N502">
        <v>2344.5500000000002</v>
      </c>
      <c r="O502" t="s">
        <v>33</v>
      </c>
      <c r="P502">
        <v>5</v>
      </c>
    </row>
    <row r="503" spans="1:16" x14ac:dyDescent="0.35">
      <c r="A503" t="s">
        <v>1074</v>
      </c>
      <c r="B503" s="1">
        <v>45569</v>
      </c>
      <c r="C503" t="s">
        <v>1075</v>
      </c>
      <c r="D503" t="s">
        <v>19</v>
      </c>
      <c r="E503" t="s">
        <v>38</v>
      </c>
      <c r="F503" t="s">
        <v>31</v>
      </c>
      <c r="G503" t="s">
        <v>79</v>
      </c>
      <c r="H503" t="s">
        <v>103</v>
      </c>
      <c r="I503">
        <v>4</v>
      </c>
      <c r="J503">
        <v>223.31</v>
      </c>
      <c r="K503">
        <v>0.15</v>
      </c>
      <c r="L503">
        <v>759.25</v>
      </c>
      <c r="M503">
        <v>402</v>
      </c>
      <c r="N503">
        <v>357.25</v>
      </c>
      <c r="O503" t="s">
        <v>51</v>
      </c>
      <c r="P503">
        <v>3</v>
      </c>
    </row>
    <row r="504" spans="1:16" x14ac:dyDescent="0.35">
      <c r="A504" t="s">
        <v>1076</v>
      </c>
      <c r="B504" s="1">
        <v>45459</v>
      </c>
      <c r="C504" t="s">
        <v>1077</v>
      </c>
      <c r="D504" t="s">
        <v>29</v>
      </c>
      <c r="E504" t="s">
        <v>20</v>
      </c>
      <c r="F504" t="s">
        <v>31</v>
      </c>
      <c r="G504" t="s">
        <v>22</v>
      </c>
      <c r="H504" t="s">
        <v>74</v>
      </c>
      <c r="I504">
        <v>11</v>
      </c>
      <c r="J504">
        <v>924.55</v>
      </c>
      <c r="K504">
        <v>0.1</v>
      </c>
      <c r="L504">
        <v>9153.0499999999993</v>
      </c>
      <c r="M504">
        <v>6061</v>
      </c>
      <c r="N504">
        <v>3092.05</v>
      </c>
      <c r="O504" t="s">
        <v>33</v>
      </c>
      <c r="P504">
        <v>3</v>
      </c>
    </row>
    <row r="505" spans="1:16" x14ac:dyDescent="0.35">
      <c r="A505" t="s">
        <v>1078</v>
      </c>
      <c r="B505" s="1">
        <v>45380</v>
      </c>
      <c r="C505" t="s">
        <v>1079</v>
      </c>
      <c r="D505" t="s">
        <v>66</v>
      </c>
      <c r="E505" t="s">
        <v>20</v>
      </c>
      <c r="F505" t="s">
        <v>31</v>
      </c>
      <c r="G505" t="s">
        <v>22</v>
      </c>
      <c r="H505" t="s">
        <v>124</v>
      </c>
      <c r="I505">
        <v>10</v>
      </c>
      <c r="J505">
        <v>227.5</v>
      </c>
      <c r="K505">
        <v>0.15</v>
      </c>
      <c r="L505">
        <v>1933.75</v>
      </c>
      <c r="M505">
        <v>1410.65</v>
      </c>
      <c r="N505">
        <v>523.1</v>
      </c>
      <c r="O505" t="s">
        <v>51</v>
      </c>
      <c r="P505">
        <v>2</v>
      </c>
    </row>
    <row r="506" spans="1:16" x14ac:dyDescent="0.35">
      <c r="A506" t="s">
        <v>1080</v>
      </c>
      <c r="B506" s="1">
        <v>45568</v>
      </c>
      <c r="C506" t="s">
        <v>1081</v>
      </c>
      <c r="D506" t="s">
        <v>49</v>
      </c>
      <c r="E506" t="s">
        <v>30</v>
      </c>
      <c r="F506" t="s">
        <v>21</v>
      </c>
      <c r="G506" t="s">
        <v>43</v>
      </c>
      <c r="H506" t="s">
        <v>44</v>
      </c>
      <c r="I506">
        <v>1</v>
      </c>
      <c r="J506">
        <v>858.15</v>
      </c>
      <c r="K506">
        <v>0.05</v>
      </c>
      <c r="L506">
        <v>815.24</v>
      </c>
      <c r="M506">
        <v>508.99</v>
      </c>
      <c r="N506">
        <v>306.25</v>
      </c>
      <c r="O506" t="s">
        <v>33</v>
      </c>
      <c r="P506">
        <v>1</v>
      </c>
    </row>
    <row r="507" spans="1:16" x14ac:dyDescent="0.35">
      <c r="A507" t="s">
        <v>1082</v>
      </c>
      <c r="B507" s="1">
        <v>45621</v>
      </c>
      <c r="C507" t="s">
        <v>1083</v>
      </c>
      <c r="D507" t="s">
        <v>29</v>
      </c>
      <c r="E507" t="s">
        <v>20</v>
      </c>
      <c r="F507" t="s">
        <v>21</v>
      </c>
      <c r="G507" t="s">
        <v>60</v>
      </c>
      <c r="H507" t="s">
        <v>119</v>
      </c>
      <c r="I507">
        <v>11</v>
      </c>
      <c r="J507">
        <v>836.67</v>
      </c>
      <c r="K507">
        <v>0.05</v>
      </c>
      <c r="L507">
        <v>8743.2000000000007</v>
      </c>
      <c r="M507">
        <v>6658.05</v>
      </c>
      <c r="N507">
        <v>2085.15</v>
      </c>
      <c r="O507" t="s">
        <v>62</v>
      </c>
      <c r="P507">
        <v>3</v>
      </c>
    </row>
    <row r="508" spans="1:16" x14ac:dyDescent="0.35">
      <c r="A508" t="s">
        <v>1084</v>
      </c>
      <c r="B508" s="1">
        <v>45645</v>
      </c>
      <c r="C508" t="s">
        <v>1085</v>
      </c>
      <c r="D508" t="s">
        <v>19</v>
      </c>
      <c r="E508" t="s">
        <v>85</v>
      </c>
      <c r="F508" t="s">
        <v>21</v>
      </c>
      <c r="G508" t="s">
        <v>43</v>
      </c>
      <c r="H508" t="s">
        <v>50</v>
      </c>
      <c r="I508">
        <v>10</v>
      </c>
      <c r="J508">
        <v>720.41</v>
      </c>
      <c r="K508">
        <v>0.1</v>
      </c>
      <c r="L508">
        <v>6483.69</v>
      </c>
      <c r="M508">
        <v>5448.24</v>
      </c>
      <c r="N508">
        <v>1035.45</v>
      </c>
      <c r="O508" t="s">
        <v>33</v>
      </c>
      <c r="P508">
        <v>1</v>
      </c>
    </row>
    <row r="509" spans="1:16" x14ac:dyDescent="0.35">
      <c r="A509" t="s">
        <v>1086</v>
      </c>
      <c r="B509" s="1">
        <v>45410</v>
      </c>
      <c r="C509" t="s">
        <v>1087</v>
      </c>
      <c r="D509" t="s">
        <v>29</v>
      </c>
      <c r="E509" t="s">
        <v>98</v>
      </c>
      <c r="F509" t="s">
        <v>21</v>
      </c>
      <c r="G509" t="s">
        <v>79</v>
      </c>
      <c r="H509" t="s">
        <v>89</v>
      </c>
      <c r="I509">
        <v>5</v>
      </c>
      <c r="J509">
        <v>446.03</v>
      </c>
      <c r="K509">
        <v>0</v>
      </c>
      <c r="L509">
        <v>2230.15</v>
      </c>
      <c r="M509">
        <v>1194.43</v>
      </c>
      <c r="N509">
        <v>1035.72</v>
      </c>
      <c r="O509" t="s">
        <v>24</v>
      </c>
      <c r="P509">
        <v>3</v>
      </c>
    </row>
    <row r="510" spans="1:16" x14ac:dyDescent="0.35">
      <c r="A510" t="s">
        <v>1088</v>
      </c>
      <c r="B510" s="1">
        <v>45538</v>
      </c>
      <c r="C510" t="s">
        <v>1089</v>
      </c>
      <c r="D510" t="s">
        <v>19</v>
      </c>
      <c r="E510" t="s">
        <v>98</v>
      </c>
      <c r="F510" t="s">
        <v>39</v>
      </c>
      <c r="G510" t="s">
        <v>60</v>
      </c>
      <c r="H510" t="s">
        <v>119</v>
      </c>
      <c r="I510">
        <v>1</v>
      </c>
      <c r="J510">
        <v>902.06</v>
      </c>
      <c r="K510">
        <v>0.15</v>
      </c>
      <c r="L510">
        <v>766.75</v>
      </c>
      <c r="M510">
        <v>484.4</v>
      </c>
      <c r="N510">
        <v>282.35000000000002</v>
      </c>
      <c r="O510" t="s">
        <v>62</v>
      </c>
      <c r="P510">
        <v>5</v>
      </c>
    </row>
    <row r="511" spans="1:16" x14ac:dyDescent="0.35">
      <c r="A511" t="s">
        <v>1090</v>
      </c>
      <c r="B511" s="1">
        <v>45385</v>
      </c>
      <c r="C511" t="s">
        <v>1091</v>
      </c>
      <c r="D511" t="s">
        <v>66</v>
      </c>
      <c r="E511" t="s">
        <v>30</v>
      </c>
      <c r="F511" t="s">
        <v>31</v>
      </c>
      <c r="G511" t="s">
        <v>60</v>
      </c>
      <c r="H511" t="s">
        <v>110</v>
      </c>
      <c r="I511">
        <v>12</v>
      </c>
      <c r="J511">
        <v>180.05</v>
      </c>
      <c r="K511">
        <v>0</v>
      </c>
      <c r="L511">
        <v>2160.6</v>
      </c>
      <c r="M511">
        <v>1183.0899999999999</v>
      </c>
      <c r="N511">
        <v>977.51</v>
      </c>
      <c r="O511" t="s">
        <v>24</v>
      </c>
      <c r="P511">
        <v>1</v>
      </c>
    </row>
    <row r="512" spans="1:16" x14ac:dyDescent="0.35">
      <c r="A512" t="s">
        <v>1092</v>
      </c>
      <c r="B512" s="1">
        <v>45454</v>
      </c>
      <c r="C512" t="s">
        <v>1093</v>
      </c>
      <c r="D512" t="s">
        <v>49</v>
      </c>
      <c r="E512" t="s">
        <v>98</v>
      </c>
      <c r="F512" t="s">
        <v>39</v>
      </c>
      <c r="G512" t="s">
        <v>22</v>
      </c>
      <c r="H512" t="s">
        <v>23</v>
      </c>
      <c r="I512">
        <v>5</v>
      </c>
      <c r="J512">
        <v>740.96</v>
      </c>
      <c r="K512">
        <v>0.05</v>
      </c>
      <c r="L512">
        <v>3519.56</v>
      </c>
      <c r="M512">
        <v>1808.06</v>
      </c>
      <c r="N512">
        <v>1711.5</v>
      </c>
      <c r="O512" t="s">
        <v>24</v>
      </c>
      <c r="P512">
        <v>1</v>
      </c>
    </row>
    <row r="513" spans="1:16" x14ac:dyDescent="0.35">
      <c r="A513" t="s">
        <v>1094</v>
      </c>
      <c r="B513" s="1">
        <v>45474</v>
      </c>
      <c r="C513" t="s">
        <v>1095</v>
      </c>
      <c r="D513" t="s">
        <v>66</v>
      </c>
      <c r="E513" t="s">
        <v>85</v>
      </c>
      <c r="F513" t="s">
        <v>39</v>
      </c>
      <c r="G513" t="s">
        <v>60</v>
      </c>
      <c r="H513" t="s">
        <v>110</v>
      </c>
      <c r="I513">
        <v>2</v>
      </c>
      <c r="J513">
        <v>881.99</v>
      </c>
      <c r="K513">
        <v>0.15</v>
      </c>
      <c r="L513">
        <v>1499.38</v>
      </c>
      <c r="M513">
        <v>1075.19</v>
      </c>
      <c r="N513">
        <v>424.19</v>
      </c>
      <c r="O513" t="s">
        <v>33</v>
      </c>
      <c r="P513">
        <v>4</v>
      </c>
    </row>
    <row r="514" spans="1:16" x14ac:dyDescent="0.35">
      <c r="A514" t="s">
        <v>1096</v>
      </c>
      <c r="B514" s="1">
        <v>45314</v>
      </c>
      <c r="C514" t="s">
        <v>1097</v>
      </c>
      <c r="D514" t="s">
        <v>29</v>
      </c>
      <c r="E514" t="s">
        <v>98</v>
      </c>
      <c r="F514" t="s">
        <v>21</v>
      </c>
      <c r="G514" t="s">
        <v>43</v>
      </c>
      <c r="H514" t="s">
        <v>173</v>
      </c>
      <c r="I514">
        <v>8</v>
      </c>
      <c r="J514">
        <v>1029.78</v>
      </c>
      <c r="K514">
        <v>0.15</v>
      </c>
      <c r="L514">
        <v>7002.5</v>
      </c>
      <c r="M514">
        <v>5869.58</v>
      </c>
      <c r="N514">
        <v>1132.92</v>
      </c>
      <c r="O514" t="s">
        <v>51</v>
      </c>
      <c r="P514">
        <v>2</v>
      </c>
    </row>
    <row r="515" spans="1:16" x14ac:dyDescent="0.35">
      <c r="A515" t="s">
        <v>1098</v>
      </c>
      <c r="B515" s="1">
        <v>45444</v>
      </c>
      <c r="C515" t="s">
        <v>1099</v>
      </c>
      <c r="D515" t="s">
        <v>19</v>
      </c>
      <c r="E515" t="s">
        <v>20</v>
      </c>
      <c r="F515" t="s">
        <v>31</v>
      </c>
      <c r="G515" t="s">
        <v>43</v>
      </c>
      <c r="H515" t="s">
        <v>50</v>
      </c>
      <c r="I515">
        <v>2</v>
      </c>
      <c r="J515">
        <v>231.13</v>
      </c>
      <c r="K515">
        <v>0.1</v>
      </c>
      <c r="L515">
        <v>416.03</v>
      </c>
      <c r="M515">
        <v>304.5</v>
      </c>
      <c r="N515">
        <v>111.53</v>
      </c>
      <c r="O515" t="s">
        <v>33</v>
      </c>
      <c r="P515">
        <v>5</v>
      </c>
    </row>
    <row r="516" spans="1:16" x14ac:dyDescent="0.35">
      <c r="A516" t="s">
        <v>1100</v>
      </c>
      <c r="B516" s="1">
        <v>45416</v>
      </c>
      <c r="C516" t="s">
        <v>1101</v>
      </c>
      <c r="D516" t="s">
        <v>29</v>
      </c>
      <c r="E516" t="s">
        <v>20</v>
      </c>
      <c r="F516" t="s">
        <v>31</v>
      </c>
      <c r="G516" t="s">
        <v>79</v>
      </c>
      <c r="H516" t="s">
        <v>103</v>
      </c>
      <c r="I516">
        <v>7</v>
      </c>
      <c r="J516">
        <v>557.85</v>
      </c>
      <c r="K516">
        <v>0</v>
      </c>
      <c r="L516">
        <v>3904.95</v>
      </c>
      <c r="M516">
        <v>1959.53</v>
      </c>
      <c r="N516">
        <v>1945.42</v>
      </c>
      <c r="O516" t="s">
        <v>62</v>
      </c>
      <c r="P516">
        <v>2</v>
      </c>
    </row>
    <row r="517" spans="1:16" x14ac:dyDescent="0.35">
      <c r="A517" t="s">
        <v>1102</v>
      </c>
      <c r="B517" s="1">
        <v>45389</v>
      </c>
      <c r="C517" t="s">
        <v>1103</v>
      </c>
      <c r="D517" t="s">
        <v>37</v>
      </c>
      <c r="E517" t="s">
        <v>98</v>
      </c>
      <c r="F517" t="s">
        <v>39</v>
      </c>
      <c r="G517" t="s">
        <v>79</v>
      </c>
      <c r="H517" t="s">
        <v>80</v>
      </c>
      <c r="I517">
        <v>11</v>
      </c>
      <c r="J517">
        <v>896.1</v>
      </c>
      <c r="K517">
        <v>0.1</v>
      </c>
      <c r="L517">
        <v>8871.39</v>
      </c>
      <c r="M517">
        <v>5602.63</v>
      </c>
      <c r="N517">
        <v>3268.76</v>
      </c>
      <c r="O517" t="s">
        <v>62</v>
      </c>
      <c r="P517">
        <v>4</v>
      </c>
    </row>
    <row r="518" spans="1:16" x14ac:dyDescent="0.35">
      <c r="A518" t="s">
        <v>1104</v>
      </c>
      <c r="B518" s="1">
        <v>45488</v>
      </c>
      <c r="C518" t="s">
        <v>1105</v>
      </c>
      <c r="D518" t="s">
        <v>19</v>
      </c>
      <c r="E518" t="s">
        <v>85</v>
      </c>
      <c r="F518" t="s">
        <v>31</v>
      </c>
      <c r="G518" t="s">
        <v>43</v>
      </c>
      <c r="H518" t="s">
        <v>44</v>
      </c>
      <c r="I518">
        <v>6</v>
      </c>
      <c r="J518">
        <v>490.84</v>
      </c>
      <c r="K518">
        <v>0.05</v>
      </c>
      <c r="L518">
        <v>2797.79</v>
      </c>
      <c r="M518">
        <v>1852.65</v>
      </c>
      <c r="N518">
        <v>945.14</v>
      </c>
      <c r="O518" t="s">
        <v>33</v>
      </c>
      <c r="P518">
        <v>2</v>
      </c>
    </row>
    <row r="519" spans="1:16" x14ac:dyDescent="0.35">
      <c r="A519" t="s">
        <v>1106</v>
      </c>
      <c r="B519" s="1">
        <v>45382</v>
      </c>
      <c r="C519" t="s">
        <v>1107</v>
      </c>
      <c r="D519" t="s">
        <v>37</v>
      </c>
      <c r="E519" t="s">
        <v>20</v>
      </c>
      <c r="F519" t="s">
        <v>39</v>
      </c>
      <c r="G519" t="s">
        <v>79</v>
      </c>
      <c r="H519" t="s">
        <v>80</v>
      </c>
      <c r="I519">
        <v>6</v>
      </c>
      <c r="J519">
        <v>979.28</v>
      </c>
      <c r="K519">
        <v>0</v>
      </c>
      <c r="L519">
        <v>5875.68</v>
      </c>
      <c r="M519">
        <v>3524.74</v>
      </c>
      <c r="N519">
        <v>2350.94</v>
      </c>
      <c r="O519" t="s">
        <v>33</v>
      </c>
      <c r="P519">
        <v>5</v>
      </c>
    </row>
    <row r="520" spans="1:16" x14ac:dyDescent="0.35">
      <c r="A520" t="s">
        <v>1108</v>
      </c>
      <c r="B520" s="1">
        <v>45511</v>
      </c>
      <c r="C520" t="s">
        <v>1109</v>
      </c>
      <c r="D520" t="s">
        <v>29</v>
      </c>
      <c r="E520" t="s">
        <v>30</v>
      </c>
      <c r="F520" t="s">
        <v>31</v>
      </c>
      <c r="G520" t="s">
        <v>60</v>
      </c>
      <c r="H520" t="s">
        <v>61</v>
      </c>
      <c r="I520">
        <v>2</v>
      </c>
      <c r="J520">
        <v>695.23</v>
      </c>
      <c r="K520">
        <v>0</v>
      </c>
      <c r="L520">
        <v>1390.46</v>
      </c>
      <c r="M520">
        <v>1042.5999999999999</v>
      </c>
      <c r="N520">
        <v>347.86</v>
      </c>
      <c r="O520" t="s">
        <v>51</v>
      </c>
      <c r="P520">
        <v>5</v>
      </c>
    </row>
    <row r="521" spans="1:16" x14ac:dyDescent="0.35">
      <c r="A521" t="s">
        <v>1110</v>
      </c>
      <c r="B521" s="1">
        <v>45558</v>
      </c>
      <c r="C521" t="s">
        <v>1111</v>
      </c>
      <c r="D521" t="s">
        <v>29</v>
      </c>
      <c r="E521" t="s">
        <v>38</v>
      </c>
      <c r="F521" t="s">
        <v>31</v>
      </c>
      <c r="G521" t="s">
        <v>43</v>
      </c>
      <c r="H521" t="s">
        <v>44</v>
      </c>
      <c r="I521">
        <v>11</v>
      </c>
      <c r="J521">
        <v>46.24</v>
      </c>
      <c r="K521">
        <v>0.05</v>
      </c>
      <c r="L521">
        <v>483.21</v>
      </c>
      <c r="M521">
        <v>242.12</v>
      </c>
      <c r="N521">
        <v>241.09</v>
      </c>
      <c r="O521" t="s">
        <v>51</v>
      </c>
      <c r="P521">
        <v>5</v>
      </c>
    </row>
    <row r="522" spans="1:16" x14ac:dyDescent="0.35">
      <c r="A522" t="s">
        <v>1112</v>
      </c>
      <c r="B522" s="1">
        <v>45549</v>
      </c>
      <c r="C522" t="s">
        <v>1113</v>
      </c>
      <c r="D522" t="s">
        <v>29</v>
      </c>
      <c r="E522" t="s">
        <v>30</v>
      </c>
      <c r="F522" t="s">
        <v>21</v>
      </c>
      <c r="G522" t="s">
        <v>22</v>
      </c>
      <c r="H522" t="s">
        <v>23</v>
      </c>
      <c r="I522">
        <v>8</v>
      </c>
      <c r="J522">
        <v>939.04</v>
      </c>
      <c r="K522">
        <v>0</v>
      </c>
      <c r="L522">
        <v>7512.32</v>
      </c>
      <c r="M522">
        <v>4173.59</v>
      </c>
      <c r="N522">
        <v>3338.73</v>
      </c>
      <c r="O522" t="s">
        <v>51</v>
      </c>
      <c r="P522">
        <v>3</v>
      </c>
    </row>
    <row r="523" spans="1:16" x14ac:dyDescent="0.35">
      <c r="A523" t="s">
        <v>1114</v>
      </c>
      <c r="B523" s="1">
        <v>45628</v>
      </c>
      <c r="C523" t="s">
        <v>1115</v>
      </c>
      <c r="D523" t="s">
        <v>49</v>
      </c>
      <c r="E523" t="s">
        <v>20</v>
      </c>
      <c r="F523" t="s">
        <v>39</v>
      </c>
      <c r="G523" t="s">
        <v>79</v>
      </c>
      <c r="H523" t="s">
        <v>80</v>
      </c>
      <c r="I523">
        <v>2</v>
      </c>
      <c r="J523">
        <v>314.77999999999997</v>
      </c>
      <c r="K523">
        <v>0.1</v>
      </c>
      <c r="L523">
        <v>566.6</v>
      </c>
      <c r="M523">
        <v>422.09</v>
      </c>
      <c r="N523">
        <v>144.51</v>
      </c>
      <c r="O523" t="s">
        <v>51</v>
      </c>
      <c r="P523">
        <v>1</v>
      </c>
    </row>
    <row r="524" spans="1:16" x14ac:dyDescent="0.35">
      <c r="A524" t="s">
        <v>1116</v>
      </c>
      <c r="B524" s="1">
        <v>45559</v>
      </c>
      <c r="C524" t="s">
        <v>1117</v>
      </c>
      <c r="D524" t="s">
        <v>49</v>
      </c>
      <c r="E524" t="s">
        <v>30</v>
      </c>
      <c r="F524" t="s">
        <v>39</v>
      </c>
      <c r="G524" t="s">
        <v>43</v>
      </c>
      <c r="H524" t="s">
        <v>50</v>
      </c>
      <c r="I524">
        <v>5</v>
      </c>
      <c r="J524">
        <v>824.03</v>
      </c>
      <c r="K524">
        <v>0.15</v>
      </c>
      <c r="L524">
        <v>3502.13</v>
      </c>
      <c r="M524">
        <v>2698.88</v>
      </c>
      <c r="N524">
        <v>803.25</v>
      </c>
      <c r="O524" t="s">
        <v>24</v>
      </c>
      <c r="P524">
        <v>1</v>
      </c>
    </row>
    <row r="525" spans="1:16" x14ac:dyDescent="0.35">
      <c r="A525" t="s">
        <v>1118</v>
      </c>
      <c r="B525" s="1">
        <v>45474</v>
      </c>
      <c r="C525" t="s">
        <v>1119</v>
      </c>
      <c r="D525" t="s">
        <v>49</v>
      </c>
      <c r="E525" t="s">
        <v>30</v>
      </c>
      <c r="F525" t="s">
        <v>31</v>
      </c>
      <c r="G525" t="s">
        <v>79</v>
      </c>
      <c r="H525" t="s">
        <v>80</v>
      </c>
      <c r="I525">
        <v>4</v>
      </c>
      <c r="J525">
        <v>46</v>
      </c>
      <c r="K525">
        <v>0</v>
      </c>
      <c r="L525">
        <v>184</v>
      </c>
      <c r="M525">
        <v>137.91999999999999</v>
      </c>
      <c r="N525">
        <v>46.08</v>
      </c>
      <c r="O525" t="s">
        <v>51</v>
      </c>
      <c r="P525">
        <v>1</v>
      </c>
    </row>
    <row r="526" spans="1:16" x14ac:dyDescent="0.35">
      <c r="A526" t="s">
        <v>1120</v>
      </c>
      <c r="B526" s="1">
        <v>45568</v>
      </c>
      <c r="C526" t="s">
        <v>1121</v>
      </c>
      <c r="D526" t="s">
        <v>37</v>
      </c>
      <c r="E526" t="s">
        <v>98</v>
      </c>
      <c r="F526" t="s">
        <v>31</v>
      </c>
      <c r="G526" t="s">
        <v>60</v>
      </c>
      <c r="H526" t="s">
        <v>61</v>
      </c>
      <c r="I526">
        <v>8</v>
      </c>
      <c r="J526">
        <v>71.489999999999995</v>
      </c>
      <c r="K526">
        <v>0.1</v>
      </c>
      <c r="L526">
        <v>514.73</v>
      </c>
      <c r="M526">
        <v>393.68</v>
      </c>
      <c r="N526">
        <v>121.05</v>
      </c>
      <c r="O526" t="s">
        <v>24</v>
      </c>
      <c r="P526">
        <v>3</v>
      </c>
    </row>
    <row r="527" spans="1:16" x14ac:dyDescent="0.35">
      <c r="A527" t="s">
        <v>1122</v>
      </c>
      <c r="B527" s="1">
        <v>45444</v>
      </c>
      <c r="C527" t="s">
        <v>1123</v>
      </c>
      <c r="D527" t="s">
        <v>37</v>
      </c>
      <c r="E527" t="s">
        <v>20</v>
      </c>
      <c r="F527" t="s">
        <v>21</v>
      </c>
      <c r="G527" t="s">
        <v>79</v>
      </c>
      <c r="H527" t="s">
        <v>89</v>
      </c>
      <c r="I527">
        <v>9</v>
      </c>
      <c r="J527">
        <v>743.92</v>
      </c>
      <c r="K527">
        <v>0.15</v>
      </c>
      <c r="L527">
        <v>5690.99</v>
      </c>
      <c r="M527">
        <v>2977.02</v>
      </c>
      <c r="N527">
        <v>2713.97</v>
      </c>
      <c r="O527" t="s">
        <v>51</v>
      </c>
      <c r="P527">
        <v>1</v>
      </c>
    </row>
    <row r="528" spans="1:16" x14ac:dyDescent="0.35">
      <c r="A528" t="s">
        <v>1124</v>
      </c>
      <c r="B528" s="1">
        <v>45438</v>
      </c>
      <c r="C528" t="s">
        <v>1125</v>
      </c>
      <c r="D528" t="s">
        <v>19</v>
      </c>
      <c r="E528" t="s">
        <v>30</v>
      </c>
      <c r="F528" t="s">
        <v>31</v>
      </c>
      <c r="G528" t="s">
        <v>79</v>
      </c>
      <c r="H528" t="s">
        <v>103</v>
      </c>
      <c r="I528">
        <v>8</v>
      </c>
      <c r="J528">
        <v>806.58</v>
      </c>
      <c r="K528">
        <v>0</v>
      </c>
      <c r="L528">
        <v>6452.64</v>
      </c>
      <c r="M528">
        <v>5428.69</v>
      </c>
      <c r="N528">
        <v>1023.95</v>
      </c>
      <c r="O528" t="s">
        <v>62</v>
      </c>
      <c r="P528">
        <v>5</v>
      </c>
    </row>
    <row r="529" spans="1:16" x14ac:dyDescent="0.35">
      <c r="A529" t="s">
        <v>1126</v>
      </c>
      <c r="B529" s="1">
        <v>45420</v>
      </c>
      <c r="C529" t="s">
        <v>1127</v>
      </c>
      <c r="D529" t="s">
        <v>19</v>
      </c>
      <c r="E529" t="s">
        <v>98</v>
      </c>
      <c r="F529" t="s">
        <v>31</v>
      </c>
      <c r="G529" t="s">
        <v>43</v>
      </c>
      <c r="H529" t="s">
        <v>50</v>
      </c>
      <c r="I529">
        <v>2</v>
      </c>
      <c r="J529">
        <v>766.23</v>
      </c>
      <c r="K529">
        <v>0</v>
      </c>
      <c r="L529">
        <v>1532.46</v>
      </c>
      <c r="M529">
        <v>1293.6400000000001</v>
      </c>
      <c r="N529">
        <v>238.82</v>
      </c>
      <c r="O529" t="s">
        <v>62</v>
      </c>
      <c r="P529">
        <v>3</v>
      </c>
    </row>
    <row r="530" spans="1:16" x14ac:dyDescent="0.35">
      <c r="A530" t="s">
        <v>1128</v>
      </c>
      <c r="B530" s="1">
        <v>45502</v>
      </c>
      <c r="C530" t="s">
        <v>1129</v>
      </c>
      <c r="D530" t="s">
        <v>29</v>
      </c>
      <c r="E530" t="s">
        <v>85</v>
      </c>
      <c r="F530" t="s">
        <v>39</v>
      </c>
      <c r="G530" t="s">
        <v>60</v>
      </c>
      <c r="H530" t="s">
        <v>119</v>
      </c>
      <c r="I530">
        <v>5</v>
      </c>
      <c r="J530">
        <v>457.34</v>
      </c>
      <c r="K530">
        <v>0</v>
      </c>
      <c r="L530">
        <v>2286.6999999999998</v>
      </c>
      <c r="M530">
        <v>1145</v>
      </c>
      <c r="N530">
        <v>1141.7</v>
      </c>
      <c r="O530" t="s">
        <v>51</v>
      </c>
      <c r="P530">
        <v>5</v>
      </c>
    </row>
    <row r="531" spans="1:16" x14ac:dyDescent="0.35">
      <c r="A531" t="s">
        <v>1130</v>
      </c>
      <c r="B531" s="1">
        <v>45352</v>
      </c>
      <c r="C531" t="s">
        <v>1131</v>
      </c>
      <c r="D531" t="s">
        <v>19</v>
      </c>
      <c r="E531" t="s">
        <v>20</v>
      </c>
      <c r="F531" t="s">
        <v>39</v>
      </c>
      <c r="G531" t="s">
        <v>60</v>
      </c>
      <c r="H531" t="s">
        <v>61</v>
      </c>
      <c r="I531">
        <v>7</v>
      </c>
      <c r="J531">
        <v>422.4</v>
      </c>
      <c r="K531">
        <v>0.1</v>
      </c>
      <c r="L531">
        <v>2661.12</v>
      </c>
      <c r="M531">
        <v>1344.28</v>
      </c>
      <c r="N531">
        <v>1316.84</v>
      </c>
      <c r="O531" t="s">
        <v>62</v>
      </c>
      <c r="P531">
        <v>5</v>
      </c>
    </row>
    <row r="532" spans="1:16" x14ac:dyDescent="0.35">
      <c r="A532" t="s">
        <v>1132</v>
      </c>
      <c r="B532" s="1">
        <v>45502</v>
      </c>
      <c r="C532" t="s">
        <v>1133</v>
      </c>
      <c r="D532" t="s">
        <v>37</v>
      </c>
      <c r="E532" t="s">
        <v>30</v>
      </c>
      <c r="F532" t="s">
        <v>39</v>
      </c>
      <c r="G532" t="s">
        <v>60</v>
      </c>
      <c r="H532" t="s">
        <v>110</v>
      </c>
      <c r="I532">
        <v>3</v>
      </c>
      <c r="J532">
        <v>435.93</v>
      </c>
      <c r="K532">
        <v>0.1</v>
      </c>
      <c r="L532">
        <v>1177.01</v>
      </c>
      <c r="M532">
        <v>962.62</v>
      </c>
      <c r="N532">
        <v>214.39</v>
      </c>
      <c r="O532" t="s">
        <v>62</v>
      </c>
      <c r="P532">
        <v>5</v>
      </c>
    </row>
    <row r="533" spans="1:16" x14ac:dyDescent="0.35">
      <c r="A533" t="s">
        <v>1134</v>
      </c>
      <c r="B533" s="1">
        <v>45343</v>
      </c>
      <c r="C533" t="s">
        <v>1135</v>
      </c>
      <c r="D533" t="s">
        <v>49</v>
      </c>
      <c r="E533" t="s">
        <v>20</v>
      </c>
      <c r="F533" t="s">
        <v>39</v>
      </c>
      <c r="G533" t="s">
        <v>79</v>
      </c>
      <c r="H533" t="s">
        <v>103</v>
      </c>
      <c r="I533">
        <v>4</v>
      </c>
      <c r="J533">
        <v>695.64</v>
      </c>
      <c r="K533">
        <v>0</v>
      </c>
      <c r="L533">
        <v>2782.56</v>
      </c>
      <c r="M533">
        <v>2352.27</v>
      </c>
      <c r="N533">
        <v>430.29</v>
      </c>
      <c r="O533" t="s">
        <v>33</v>
      </c>
      <c r="P533">
        <v>5</v>
      </c>
    </row>
    <row r="534" spans="1:16" x14ac:dyDescent="0.35">
      <c r="A534" t="s">
        <v>1136</v>
      </c>
      <c r="B534" s="1">
        <v>45294</v>
      </c>
      <c r="C534" t="s">
        <v>1137</v>
      </c>
      <c r="D534" t="s">
        <v>29</v>
      </c>
      <c r="E534" t="s">
        <v>98</v>
      </c>
      <c r="F534" t="s">
        <v>21</v>
      </c>
      <c r="G534" t="s">
        <v>79</v>
      </c>
      <c r="H534" t="s">
        <v>80</v>
      </c>
      <c r="I534">
        <v>6</v>
      </c>
      <c r="J534">
        <v>1188.33</v>
      </c>
      <c r="K534">
        <v>0.15</v>
      </c>
      <c r="L534">
        <v>6060.48</v>
      </c>
      <c r="M534">
        <v>3533.5</v>
      </c>
      <c r="N534">
        <v>2526.98</v>
      </c>
      <c r="O534" t="s">
        <v>33</v>
      </c>
      <c r="P534">
        <v>4</v>
      </c>
    </row>
    <row r="535" spans="1:16" x14ac:dyDescent="0.35">
      <c r="A535" t="s">
        <v>1138</v>
      </c>
      <c r="B535" s="1">
        <v>45612</v>
      </c>
      <c r="C535" t="s">
        <v>1139</v>
      </c>
      <c r="D535" t="s">
        <v>29</v>
      </c>
      <c r="E535" t="s">
        <v>38</v>
      </c>
      <c r="F535" t="s">
        <v>21</v>
      </c>
      <c r="G535" t="s">
        <v>79</v>
      </c>
      <c r="H535" t="s">
        <v>103</v>
      </c>
      <c r="I535">
        <v>12</v>
      </c>
      <c r="J535">
        <v>976.49</v>
      </c>
      <c r="K535">
        <v>0.05</v>
      </c>
      <c r="L535">
        <v>11131.99</v>
      </c>
      <c r="M535">
        <v>8886.26</v>
      </c>
      <c r="N535">
        <v>2245.73</v>
      </c>
      <c r="O535" t="s">
        <v>24</v>
      </c>
      <c r="P535">
        <v>2</v>
      </c>
    </row>
    <row r="536" spans="1:16" x14ac:dyDescent="0.35">
      <c r="A536" t="s">
        <v>1140</v>
      </c>
      <c r="B536" s="1">
        <v>45498</v>
      </c>
      <c r="C536" t="s">
        <v>1141</v>
      </c>
      <c r="D536" t="s">
        <v>66</v>
      </c>
      <c r="E536" t="s">
        <v>30</v>
      </c>
      <c r="F536" t="s">
        <v>39</v>
      </c>
      <c r="G536" t="s">
        <v>79</v>
      </c>
      <c r="H536" t="s">
        <v>103</v>
      </c>
      <c r="I536">
        <v>10</v>
      </c>
      <c r="J536">
        <v>500.15</v>
      </c>
      <c r="K536">
        <v>0.15</v>
      </c>
      <c r="L536">
        <v>4251.2700000000004</v>
      </c>
      <c r="M536">
        <v>2842.8</v>
      </c>
      <c r="N536">
        <v>1408.47</v>
      </c>
      <c r="O536" t="s">
        <v>24</v>
      </c>
      <c r="P536">
        <v>4</v>
      </c>
    </row>
    <row r="537" spans="1:16" x14ac:dyDescent="0.35">
      <c r="A537" t="s">
        <v>1142</v>
      </c>
      <c r="B537" s="1">
        <v>45444</v>
      </c>
      <c r="C537" t="s">
        <v>1143</v>
      </c>
      <c r="D537" t="s">
        <v>66</v>
      </c>
      <c r="E537" t="s">
        <v>98</v>
      </c>
      <c r="F537" t="s">
        <v>21</v>
      </c>
      <c r="G537" t="s">
        <v>60</v>
      </c>
      <c r="H537" t="s">
        <v>61</v>
      </c>
      <c r="I537">
        <v>8</v>
      </c>
      <c r="J537">
        <v>1092.3699999999999</v>
      </c>
      <c r="K537">
        <v>0.1</v>
      </c>
      <c r="L537">
        <v>7865.06</v>
      </c>
      <c r="M537">
        <v>5827.57</v>
      </c>
      <c r="N537">
        <v>2037.49</v>
      </c>
      <c r="O537" t="s">
        <v>51</v>
      </c>
      <c r="P537">
        <v>4</v>
      </c>
    </row>
    <row r="538" spans="1:16" x14ac:dyDescent="0.35">
      <c r="A538" t="s">
        <v>1144</v>
      </c>
      <c r="B538" s="1">
        <v>45580</v>
      </c>
      <c r="C538" t="s">
        <v>1145</v>
      </c>
      <c r="D538" t="s">
        <v>29</v>
      </c>
      <c r="E538" t="s">
        <v>20</v>
      </c>
      <c r="F538" t="s">
        <v>21</v>
      </c>
      <c r="G538" t="s">
        <v>22</v>
      </c>
      <c r="H538" t="s">
        <v>74</v>
      </c>
      <c r="I538">
        <v>8</v>
      </c>
      <c r="J538">
        <v>414.53</v>
      </c>
      <c r="K538">
        <v>0</v>
      </c>
      <c r="L538">
        <v>3316.24</v>
      </c>
      <c r="M538">
        <v>2600.85</v>
      </c>
      <c r="N538">
        <v>715.39</v>
      </c>
      <c r="O538" t="s">
        <v>24</v>
      </c>
      <c r="P538">
        <v>4</v>
      </c>
    </row>
    <row r="539" spans="1:16" x14ac:dyDescent="0.35">
      <c r="A539" t="s">
        <v>1146</v>
      </c>
      <c r="B539" s="1">
        <v>45654</v>
      </c>
      <c r="C539" t="s">
        <v>1147</v>
      </c>
      <c r="D539" t="s">
        <v>49</v>
      </c>
      <c r="E539" t="s">
        <v>85</v>
      </c>
      <c r="F539" t="s">
        <v>39</v>
      </c>
      <c r="G539" t="s">
        <v>22</v>
      </c>
      <c r="H539" t="s">
        <v>32</v>
      </c>
      <c r="I539">
        <v>11</v>
      </c>
      <c r="J539">
        <v>1026.3699999999999</v>
      </c>
      <c r="K539">
        <v>0</v>
      </c>
      <c r="L539">
        <v>11290.07</v>
      </c>
      <c r="M539">
        <v>5661</v>
      </c>
      <c r="N539">
        <v>5629.07</v>
      </c>
      <c r="O539" t="s">
        <v>51</v>
      </c>
      <c r="P539">
        <v>2</v>
      </c>
    </row>
    <row r="540" spans="1:16" x14ac:dyDescent="0.35">
      <c r="A540" t="s">
        <v>1148</v>
      </c>
      <c r="B540" s="1">
        <v>45292</v>
      </c>
      <c r="C540" t="s">
        <v>1149</v>
      </c>
      <c r="D540" t="s">
        <v>37</v>
      </c>
      <c r="E540" t="s">
        <v>38</v>
      </c>
      <c r="F540" t="s">
        <v>31</v>
      </c>
      <c r="G540" t="s">
        <v>43</v>
      </c>
      <c r="H540" t="s">
        <v>173</v>
      </c>
      <c r="I540">
        <v>11</v>
      </c>
      <c r="J540">
        <v>1035.68</v>
      </c>
      <c r="K540">
        <v>0</v>
      </c>
      <c r="L540">
        <v>11392.48</v>
      </c>
      <c r="M540">
        <v>9277.74</v>
      </c>
      <c r="N540">
        <v>2114.7399999999998</v>
      </c>
      <c r="O540" t="s">
        <v>51</v>
      </c>
      <c r="P540">
        <v>5</v>
      </c>
    </row>
    <row r="541" spans="1:16" x14ac:dyDescent="0.35">
      <c r="A541" t="s">
        <v>1150</v>
      </c>
      <c r="B541" s="1">
        <v>45536</v>
      </c>
      <c r="C541" t="s">
        <v>1151</v>
      </c>
      <c r="D541" t="s">
        <v>66</v>
      </c>
      <c r="E541" t="s">
        <v>85</v>
      </c>
      <c r="F541" t="s">
        <v>31</v>
      </c>
      <c r="G541" t="s">
        <v>60</v>
      </c>
      <c r="H541" t="s">
        <v>61</v>
      </c>
      <c r="I541">
        <v>5</v>
      </c>
      <c r="J541">
        <v>255.72</v>
      </c>
      <c r="K541">
        <v>0</v>
      </c>
      <c r="L541">
        <v>1278.5999999999999</v>
      </c>
      <c r="M541">
        <v>803.05</v>
      </c>
      <c r="N541">
        <v>475.55</v>
      </c>
      <c r="O541" t="s">
        <v>51</v>
      </c>
      <c r="P541">
        <v>5</v>
      </c>
    </row>
    <row r="542" spans="1:16" x14ac:dyDescent="0.35">
      <c r="A542" t="s">
        <v>1152</v>
      </c>
      <c r="B542" s="1">
        <v>45618</v>
      </c>
      <c r="C542" t="s">
        <v>1153</v>
      </c>
      <c r="D542" t="s">
        <v>66</v>
      </c>
      <c r="E542" t="s">
        <v>38</v>
      </c>
      <c r="F542" t="s">
        <v>39</v>
      </c>
      <c r="G542" t="s">
        <v>79</v>
      </c>
      <c r="H542" t="s">
        <v>80</v>
      </c>
      <c r="I542">
        <v>11</v>
      </c>
      <c r="J542">
        <v>542.23</v>
      </c>
      <c r="K542">
        <v>0.15</v>
      </c>
      <c r="L542">
        <v>5069.8500000000004</v>
      </c>
      <c r="M542">
        <v>4217.7700000000004</v>
      </c>
      <c r="N542">
        <v>852.08</v>
      </c>
      <c r="O542" t="s">
        <v>33</v>
      </c>
      <c r="P542">
        <v>5</v>
      </c>
    </row>
    <row r="543" spans="1:16" x14ac:dyDescent="0.35">
      <c r="A543" t="s">
        <v>1154</v>
      </c>
      <c r="B543" s="1">
        <v>45426</v>
      </c>
      <c r="C543" t="s">
        <v>1155</v>
      </c>
      <c r="D543" t="s">
        <v>29</v>
      </c>
      <c r="E543" t="s">
        <v>85</v>
      </c>
      <c r="F543" t="s">
        <v>31</v>
      </c>
      <c r="G543" t="s">
        <v>79</v>
      </c>
      <c r="H543" t="s">
        <v>103</v>
      </c>
      <c r="I543">
        <v>12</v>
      </c>
      <c r="J543">
        <v>757.94</v>
      </c>
      <c r="K543">
        <v>0</v>
      </c>
      <c r="L543">
        <v>9095.2800000000007</v>
      </c>
      <c r="M543">
        <v>5856.02</v>
      </c>
      <c r="N543">
        <v>3239.26</v>
      </c>
      <c r="O543" t="s">
        <v>51</v>
      </c>
      <c r="P543">
        <v>1</v>
      </c>
    </row>
    <row r="544" spans="1:16" x14ac:dyDescent="0.35">
      <c r="A544" t="s">
        <v>1156</v>
      </c>
      <c r="B544" s="1">
        <v>45304</v>
      </c>
      <c r="C544" t="s">
        <v>1157</v>
      </c>
      <c r="D544" t="s">
        <v>19</v>
      </c>
      <c r="E544" t="s">
        <v>85</v>
      </c>
      <c r="F544" t="s">
        <v>21</v>
      </c>
      <c r="G544" t="s">
        <v>60</v>
      </c>
      <c r="H544" t="s">
        <v>110</v>
      </c>
      <c r="I544">
        <v>5</v>
      </c>
      <c r="J544">
        <v>578.34</v>
      </c>
      <c r="K544">
        <v>0.15</v>
      </c>
      <c r="L544">
        <v>2457.9499999999998</v>
      </c>
      <c r="M544">
        <v>1272.83</v>
      </c>
      <c r="N544">
        <v>1185.1199999999999</v>
      </c>
      <c r="O544" t="s">
        <v>51</v>
      </c>
      <c r="P544">
        <v>1</v>
      </c>
    </row>
    <row r="545" spans="1:16" x14ac:dyDescent="0.35">
      <c r="A545" t="s">
        <v>1158</v>
      </c>
      <c r="B545" s="1">
        <v>45367</v>
      </c>
      <c r="C545" t="s">
        <v>1159</v>
      </c>
      <c r="D545" t="s">
        <v>19</v>
      </c>
      <c r="E545" t="s">
        <v>98</v>
      </c>
      <c r="F545" t="s">
        <v>39</v>
      </c>
      <c r="G545" t="s">
        <v>79</v>
      </c>
      <c r="H545" t="s">
        <v>80</v>
      </c>
      <c r="I545">
        <v>10</v>
      </c>
      <c r="J545">
        <v>382.88</v>
      </c>
      <c r="K545">
        <v>0.15</v>
      </c>
      <c r="L545">
        <v>3254.48</v>
      </c>
      <c r="M545">
        <v>2543.8200000000002</v>
      </c>
      <c r="N545">
        <v>710.66</v>
      </c>
      <c r="O545" t="s">
        <v>24</v>
      </c>
      <c r="P545">
        <v>3</v>
      </c>
    </row>
    <row r="546" spans="1:16" x14ac:dyDescent="0.35">
      <c r="A546" t="s">
        <v>1160</v>
      </c>
      <c r="B546" s="1">
        <v>45492</v>
      </c>
      <c r="C546" t="s">
        <v>1161</v>
      </c>
      <c r="D546" t="s">
        <v>49</v>
      </c>
      <c r="E546" t="s">
        <v>98</v>
      </c>
      <c r="F546" t="s">
        <v>39</v>
      </c>
      <c r="G546" t="s">
        <v>79</v>
      </c>
      <c r="H546" t="s">
        <v>103</v>
      </c>
      <c r="I546">
        <v>9</v>
      </c>
      <c r="J546">
        <v>1147.06</v>
      </c>
      <c r="K546">
        <v>0.15</v>
      </c>
      <c r="L546">
        <v>8775.01</v>
      </c>
      <c r="M546">
        <v>7361.33</v>
      </c>
      <c r="N546">
        <v>1413.68</v>
      </c>
      <c r="O546" t="s">
        <v>33</v>
      </c>
      <c r="P546">
        <v>4</v>
      </c>
    </row>
    <row r="547" spans="1:16" x14ac:dyDescent="0.35">
      <c r="A547" t="s">
        <v>1162</v>
      </c>
      <c r="B547" s="1">
        <v>45582</v>
      </c>
      <c r="C547" t="s">
        <v>1163</v>
      </c>
      <c r="D547" t="s">
        <v>66</v>
      </c>
      <c r="E547" t="s">
        <v>20</v>
      </c>
      <c r="F547" t="s">
        <v>21</v>
      </c>
      <c r="G547" t="s">
        <v>79</v>
      </c>
      <c r="H547" t="s">
        <v>89</v>
      </c>
      <c r="I547">
        <v>5</v>
      </c>
      <c r="J547">
        <v>186.84</v>
      </c>
      <c r="K547">
        <v>0</v>
      </c>
      <c r="L547">
        <v>934.2</v>
      </c>
      <c r="M547">
        <v>670.35</v>
      </c>
      <c r="N547">
        <v>263.85000000000002</v>
      </c>
      <c r="O547" t="s">
        <v>62</v>
      </c>
      <c r="P547">
        <v>3</v>
      </c>
    </row>
    <row r="548" spans="1:16" x14ac:dyDescent="0.35">
      <c r="A548" t="s">
        <v>1164</v>
      </c>
      <c r="B548" s="1">
        <v>45313</v>
      </c>
      <c r="C548" t="s">
        <v>1165</v>
      </c>
      <c r="D548" t="s">
        <v>37</v>
      </c>
      <c r="E548" t="s">
        <v>38</v>
      </c>
      <c r="F548" t="s">
        <v>39</v>
      </c>
      <c r="G548" t="s">
        <v>22</v>
      </c>
      <c r="H548" t="s">
        <v>23</v>
      </c>
      <c r="I548">
        <v>9</v>
      </c>
      <c r="J548">
        <v>326.75</v>
      </c>
      <c r="K548">
        <v>0.15</v>
      </c>
      <c r="L548">
        <v>2499.64</v>
      </c>
      <c r="M548">
        <v>2097.81</v>
      </c>
      <c r="N548">
        <v>401.83</v>
      </c>
      <c r="O548" t="s">
        <v>51</v>
      </c>
      <c r="P548">
        <v>5</v>
      </c>
    </row>
    <row r="549" spans="1:16" x14ac:dyDescent="0.35">
      <c r="A549" t="s">
        <v>1166</v>
      </c>
      <c r="B549" s="1">
        <v>45616</v>
      </c>
      <c r="C549" t="s">
        <v>1167</v>
      </c>
      <c r="D549" t="s">
        <v>19</v>
      </c>
      <c r="E549" t="s">
        <v>30</v>
      </c>
      <c r="F549" t="s">
        <v>21</v>
      </c>
      <c r="G549" t="s">
        <v>79</v>
      </c>
      <c r="H549" t="s">
        <v>103</v>
      </c>
      <c r="I549">
        <v>3</v>
      </c>
      <c r="J549">
        <v>200.1</v>
      </c>
      <c r="K549">
        <v>0.05</v>
      </c>
      <c r="L549">
        <v>570.28</v>
      </c>
      <c r="M549">
        <v>458.54</v>
      </c>
      <c r="N549">
        <v>111.74</v>
      </c>
      <c r="O549" t="s">
        <v>62</v>
      </c>
      <c r="P549">
        <v>3</v>
      </c>
    </row>
    <row r="550" spans="1:16" x14ac:dyDescent="0.35">
      <c r="A550" t="s">
        <v>1168</v>
      </c>
      <c r="B550" s="1">
        <v>45626</v>
      </c>
      <c r="C550" t="s">
        <v>1169</v>
      </c>
      <c r="D550" t="s">
        <v>29</v>
      </c>
      <c r="E550" t="s">
        <v>30</v>
      </c>
      <c r="F550" t="s">
        <v>39</v>
      </c>
      <c r="G550" t="s">
        <v>22</v>
      </c>
      <c r="H550" t="s">
        <v>23</v>
      </c>
      <c r="I550">
        <v>7</v>
      </c>
      <c r="J550">
        <v>291.27</v>
      </c>
      <c r="K550">
        <v>0.15</v>
      </c>
      <c r="L550">
        <v>1733.06</v>
      </c>
      <c r="M550">
        <v>1062.8599999999999</v>
      </c>
      <c r="N550">
        <v>670.2</v>
      </c>
      <c r="O550" t="s">
        <v>24</v>
      </c>
      <c r="P550">
        <v>1</v>
      </c>
    </row>
    <row r="551" spans="1:16" x14ac:dyDescent="0.35">
      <c r="A551" t="s">
        <v>1170</v>
      </c>
      <c r="B551" s="1">
        <v>45340</v>
      </c>
      <c r="C551" t="s">
        <v>1171</v>
      </c>
      <c r="D551" t="s">
        <v>66</v>
      </c>
      <c r="E551" t="s">
        <v>38</v>
      </c>
      <c r="F551" t="s">
        <v>39</v>
      </c>
      <c r="G551" t="s">
        <v>79</v>
      </c>
      <c r="H551" t="s">
        <v>80</v>
      </c>
      <c r="I551">
        <v>5</v>
      </c>
      <c r="J551">
        <v>607.07000000000005</v>
      </c>
      <c r="K551">
        <v>0.1</v>
      </c>
      <c r="L551">
        <v>2731.82</v>
      </c>
      <c r="M551">
        <v>1843.98</v>
      </c>
      <c r="N551">
        <v>887.84</v>
      </c>
      <c r="O551" t="s">
        <v>62</v>
      </c>
      <c r="P551">
        <v>3</v>
      </c>
    </row>
    <row r="552" spans="1:16" x14ac:dyDescent="0.35">
      <c r="A552" t="s">
        <v>1172</v>
      </c>
      <c r="B552" s="1">
        <v>45346</v>
      </c>
      <c r="C552" t="s">
        <v>1173</v>
      </c>
      <c r="D552" t="s">
        <v>49</v>
      </c>
      <c r="E552" t="s">
        <v>20</v>
      </c>
      <c r="F552" t="s">
        <v>21</v>
      </c>
      <c r="G552" t="s">
        <v>43</v>
      </c>
      <c r="H552" t="s">
        <v>50</v>
      </c>
      <c r="I552">
        <v>12</v>
      </c>
      <c r="J552">
        <v>1193.76</v>
      </c>
      <c r="K552">
        <v>0.05</v>
      </c>
      <c r="L552">
        <v>13608.86</v>
      </c>
      <c r="M552">
        <v>10086.07</v>
      </c>
      <c r="N552">
        <v>3522.79</v>
      </c>
      <c r="O552" t="s">
        <v>62</v>
      </c>
      <c r="P552">
        <v>5</v>
      </c>
    </row>
    <row r="553" spans="1:16" x14ac:dyDescent="0.35">
      <c r="A553" t="s">
        <v>1174</v>
      </c>
      <c r="B553" s="1">
        <v>45494</v>
      </c>
      <c r="C553" t="s">
        <v>1175</v>
      </c>
      <c r="D553" t="s">
        <v>66</v>
      </c>
      <c r="E553" t="s">
        <v>98</v>
      </c>
      <c r="F553" t="s">
        <v>39</v>
      </c>
      <c r="G553" t="s">
        <v>60</v>
      </c>
      <c r="H553" t="s">
        <v>110</v>
      </c>
      <c r="I553">
        <v>2</v>
      </c>
      <c r="J553">
        <v>25.51</v>
      </c>
      <c r="K553">
        <v>0.15</v>
      </c>
      <c r="L553">
        <v>43.37</v>
      </c>
      <c r="M553">
        <v>21.9</v>
      </c>
      <c r="N553">
        <v>21.47</v>
      </c>
      <c r="O553" t="s">
        <v>62</v>
      </c>
      <c r="P553">
        <v>1</v>
      </c>
    </row>
    <row r="554" spans="1:16" x14ac:dyDescent="0.35">
      <c r="A554" t="s">
        <v>1176</v>
      </c>
      <c r="B554" s="1">
        <v>45383</v>
      </c>
      <c r="C554" t="s">
        <v>1177</v>
      </c>
      <c r="D554" t="s">
        <v>66</v>
      </c>
      <c r="E554" t="s">
        <v>38</v>
      </c>
      <c r="F554" t="s">
        <v>31</v>
      </c>
      <c r="G554" t="s">
        <v>43</v>
      </c>
      <c r="H554" t="s">
        <v>50</v>
      </c>
      <c r="I554">
        <v>10</v>
      </c>
      <c r="J554">
        <v>601.19000000000005</v>
      </c>
      <c r="K554">
        <v>0.15</v>
      </c>
      <c r="L554">
        <v>5110.12</v>
      </c>
      <c r="M554">
        <v>4314.22</v>
      </c>
      <c r="N554">
        <v>795.9</v>
      </c>
      <c r="O554" t="s">
        <v>24</v>
      </c>
      <c r="P554">
        <v>3</v>
      </c>
    </row>
    <row r="555" spans="1:16" x14ac:dyDescent="0.35">
      <c r="A555" t="s">
        <v>1178</v>
      </c>
      <c r="B555" s="1">
        <v>45343</v>
      </c>
      <c r="C555" t="s">
        <v>1179</v>
      </c>
      <c r="D555" t="s">
        <v>49</v>
      </c>
      <c r="E555" t="s">
        <v>85</v>
      </c>
      <c r="F555" t="s">
        <v>31</v>
      </c>
      <c r="G555" t="s">
        <v>43</v>
      </c>
      <c r="H555" t="s">
        <v>44</v>
      </c>
      <c r="I555">
        <v>5</v>
      </c>
      <c r="J555">
        <v>185.09</v>
      </c>
      <c r="K555">
        <v>0.15</v>
      </c>
      <c r="L555">
        <v>786.63</v>
      </c>
      <c r="M555">
        <v>629.01</v>
      </c>
      <c r="N555">
        <v>157.62</v>
      </c>
      <c r="O555" t="s">
        <v>24</v>
      </c>
      <c r="P555">
        <v>2</v>
      </c>
    </row>
    <row r="556" spans="1:16" x14ac:dyDescent="0.35">
      <c r="A556" t="s">
        <v>1180</v>
      </c>
      <c r="B556" s="1">
        <v>45595</v>
      </c>
      <c r="C556" t="s">
        <v>1181</v>
      </c>
      <c r="D556" t="s">
        <v>19</v>
      </c>
      <c r="E556" t="s">
        <v>38</v>
      </c>
      <c r="F556" t="s">
        <v>31</v>
      </c>
      <c r="G556" t="s">
        <v>60</v>
      </c>
      <c r="H556" t="s">
        <v>61</v>
      </c>
      <c r="I556">
        <v>10</v>
      </c>
      <c r="J556">
        <v>701.64</v>
      </c>
      <c r="K556">
        <v>0.1</v>
      </c>
      <c r="L556">
        <v>6314.76</v>
      </c>
      <c r="M556">
        <v>3733.32</v>
      </c>
      <c r="N556">
        <v>2581.44</v>
      </c>
      <c r="O556" t="s">
        <v>51</v>
      </c>
      <c r="P556">
        <v>3</v>
      </c>
    </row>
    <row r="557" spans="1:16" x14ac:dyDescent="0.35">
      <c r="A557" t="s">
        <v>1182</v>
      </c>
      <c r="B557" s="1">
        <v>45379</v>
      </c>
      <c r="C557" t="s">
        <v>1183</v>
      </c>
      <c r="D557" t="s">
        <v>66</v>
      </c>
      <c r="E557" t="s">
        <v>98</v>
      </c>
      <c r="F557" t="s">
        <v>21</v>
      </c>
      <c r="G557" t="s">
        <v>79</v>
      </c>
      <c r="H557" t="s">
        <v>89</v>
      </c>
      <c r="I557">
        <v>9</v>
      </c>
      <c r="J557">
        <v>717.98</v>
      </c>
      <c r="K557">
        <v>0</v>
      </c>
      <c r="L557">
        <v>6461.82</v>
      </c>
      <c r="M557">
        <v>4178.37</v>
      </c>
      <c r="N557">
        <v>2283.4499999999998</v>
      </c>
      <c r="O557" t="s">
        <v>33</v>
      </c>
      <c r="P557">
        <v>5</v>
      </c>
    </row>
    <row r="558" spans="1:16" x14ac:dyDescent="0.35">
      <c r="A558" t="s">
        <v>1184</v>
      </c>
      <c r="B558" s="1">
        <v>45325</v>
      </c>
      <c r="C558" t="s">
        <v>1185</v>
      </c>
      <c r="D558" t="s">
        <v>49</v>
      </c>
      <c r="E558" t="s">
        <v>20</v>
      </c>
      <c r="F558" t="s">
        <v>21</v>
      </c>
      <c r="G558" t="s">
        <v>60</v>
      </c>
      <c r="H558" t="s">
        <v>61</v>
      </c>
      <c r="I558">
        <v>11</v>
      </c>
      <c r="J558">
        <v>1158.71</v>
      </c>
      <c r="K558">
        <v>0</v>
      </c>
      <c r="L558">
        <v>12745.81</v>
      </c>
      <c r="M558">
        <v>7074.58</v>
      </c>
      <c r="N558">
        <v>5671.23</v>
      </c>
      <c r="O558" t="s">
        <v>33</v>
      </c>
      <c r="P558">
        <v>3</v>
      </c>
    </row>
    <row r="559" spans="1:16" x14ac:dyDescent="0.35">
      <c r="A559" t="s">
        <v>1186</v>
      </c>
      <c r="B559" s="1">
        <v>45354</v>
      </c>
      <c r="C559" t="s">
        <v>1187</v>
      </c>
      <c r="D559" t="s">
        <v>66</v>
      </c>
      <c r="E559" t="s">
        <v>98</v>
      </c>
      <c r="F559" t="s">
        <v>39</v>
      </c>
      <c r="G559" t="s">
        <v>43</v>
      </c>
      <c r="H559" t="s">
        <v>44</v>
      </c>
      <c r="I559">
        <v>12</v>
      </c>
      <c r="J559">
        <v>541.33000000000004</v>
      </c>
      <c r="K559">
        <v>0.15</v>
      </c>
      <c r="L559">
        <v>5521.57</v>
      </c>
      <c r="M559">
        <v>4215.6099999999997</v>
      </c>
      <c r="N559">
        <v>1305.96</v>
      </c>
      <c r="O559" t="s">
        <v>62</v>
      </c>
      <c r="P559">
        <v>2</v>
      </c>
    </row>
    <row r="560" spans="1:16" x14ac:dyDescent="0.35">
      <c r="A560" t="s">
        <v>1188</v>
      </c>
      <c r="B560" s="1">
        <v>45430</v>
      </c>
      <c r="C560" t="s">
        <v>1189</v>
      </c>
      <c r="D560" t="s">
        <v>29</v>
      </c>
      <c r="E560" t="s">
        <v>98</v>
      </c>
      <c r="F560" t="s">
        <v>39</v>
      </c>
      <c r="G560" t="s">
        <v>60</v>
      </c>
      <c r="H560" t="s">
        <v>119</v>
      </c>
      <c r="I560">
        <v>6</v>
      </c>
      <c r="J560">
        <v>735.88</v>
      </c>
      <c r="K560">
        <v>0.05</v>
      </c>
      <c r="L560">
        <v>4194.5200000000004</v>
      </c>
      <c r="M560">
        <v>3094.6</v>
      </c>
      <c r="N560">
        <v>1099.92</v>
      </c>
      <c r="O560" t="s">
        <v>62</v>
      </c>
      <c r="P560">
        <v>1</v>
      </c>
    </row>
    <row r="561" spans="1:16" x14ac:dyDescent="0.35">
      <c r="A561" t="s">
        <v>1190</v>
      </c>
      <c r="B561" s="1">
        <v>45493</v>
      </c>
      <c r="C561" t="s">
        <v>1191</v>
      </c>
      <c r="D561" t="s">
        <v>19</v>
      </c>
      <c r="E561" t="s">
        <v>85</v>
      </c>
      <c r="F561" t="s">
        <v>39</v>
      </c>
      <c r="G561" t="s">
        <v>60</v>
      </c>
      <c r="H561" t="s">
        <v>61</v>
      </c>
      <c r="I561">
        <v>9</v>
      </c>
      <c r="J561">
        <v>979.76</v>
      </c>
      <c r="K561">
        <v>0.1</v>
      </c>
      <c r="L561">
        <v>7936.06</v>
      </c>
      <c r="M561">
        <v>4116.87</v>
      </c>
      <c r="N561">
        <v>3819.19</v>
      </c>
      <c r="O561" t="s">
        <v>62</v>
      </c>
      <c r="P561">
        <v>2</v>
      </c>
    </row>
    <row r="562" spans="1:16" x14ac:dyDescent="0.35">
      <c r="A562" t="s">
        <v>1192</v>
      </c>
      <c r="B562" s="1">
        <v>45309</v>
      </c>
      <c r="C562" t="s">
        <v>1193</v>
      </c>
      <c r="D562" t="s">
        <v>37</v>
      </c>
      <c r="E562" t="s">
        <v>85</v>
      </c>
      <c r="F562" t="s">
        <v>31</v>
      </c>
      <c r="G562" t="s">
        <v>22</v>
      </c>
      <c r="H562" t="s">
        <v>32</v>
      </c>
      <c r="I562">
        <v>5</v>
      </c>
      <c r="J562">
        <v>446.04</v>
      </c>
      <c r="K562">
        <v>0</v>
      </c>
      <c r="L562">
        <v>2230.1999999999998</v>
      </c>
      <c r="M562">
        <v>1692.84</v>
      </c>
      <c r="N562">
        <v>537.36</v>
      </c>
      <c r="O562" t="s">
        <v>62</v>
      </c>
      <c r="P562">
        <v>5</v>
      </c>
    </row>
    <row r="563" spans="1:16" x14ac:dyDescent="0.35">
      <c r="A563" t="s">
        <v>1194</v>
      </c>
      <c r="B563" s="1">
        <v>45423</v>
      </c>
      <c r="C563" t="s">
        <v>1195</v>
      </c>
      <c r="D563" t="s">
        <v>66</v>
      </c>
      <c r="E563" t="s">
        <v>38</v>
      </c>
      <c r="F563" t="s">
        <v>21</v>
      </c>
      <c r="G563" t="s">
        <v>43</v>
      </c>
      <c r="H563" t="s">
        <v>44</v>
      </c>
      <c r="I563">
        <v>4</v>
      </c>
      <c r="J563">
        <v>302.42</v>
      </c>
      <c r="K563">
        <v>0.1</v>
      </c>
      <c r="L563">
        <v>1088.71</v>
      </c>
      <c r="M563">
        <v>754.45</v>
      </c>
      <c r="N563">
        <v>334.26</v>
      </c>
      <c r="O563" t="s">
        <v>33</v>
      </c>
      <c r="P563">
        <v>3</v>
      </c>
    </row>
    <row r="564" spans="1:16" x14ac:dyDescent="0.35">
      <c r="A564" t="s">
        <v>1196</v>
      </c>
      <c r="B564" s="1">
        <v>45596</v>
      </c>
      <c r="C564" t="s">
        <v>1197</v>
      </c>
      <c r="D564" t="s">
        <v>66</v>
      </c>
      <c r="E564" t="s">
        <v>20</v>
      </c>
      <c r="F564" t="s">
        <v>21</v>
      </c>
      <c r="G564" t="s">
        <v>22</v>
      </c>
      <c r="H564" t="s">
        <v>23</v>
      </c>
      <c r="I564">
        <v>5</v>
      </c>
      <c r="J564">
        <v>36.369999999999997</v>
      </c>
      <c r="K564">
        <v>0</v>
      </c>
      <c r="L564">
        <v>181.85</v>
      </c>
      <c r="M564">
        <v>114.57</v>
      </c>
      <c r="N564">
        <v>67.28</v>
      </c>
      <c r="O564" t="s">
        <v>24</v>
      </c>
      <c r="P564">
        <v>4</v>
      </c>
    </row>
    <row r="565" spans="1:16" x14ac:dyDescent="0.35">
      <c r="A565" t="s">
        <v>1198</v>
      </c>
      <c r="B565" s="1">
        <v>45612</v>
      </c>
      <c r="C565" t="s">
        <v>1199</v>
      </c>
      <c r="D565" t="s">
        <v>29</v>
      </c>
      <c r="E565" t="s">
        <v>20</v>
      </c>
      <c r="F565" t="s">
        <v>21</v>
      </c>
      <c r="G565" t="s">
        <v>79</v>
      </c>
      <c r="H565" t="s">
        <v>103</v>
      </c>
      <c r="I565">
        <v>6</v>
      </c>
      <c r="J565">
        <v>1127.68</v>
      </c>
      <c r="K565">
        <v>0.05</v>
      </c>
      <c r="L565">
        <v>6427.78</v>
      </c>
      <c r="M565">
        <v>3296.55</v>
      </c>
      <c r="N565">
        <v>3131.23</v>
      </c>
      <c r="O565" t="s">
        <v>62</v>
      </c>
      <c r="P565">
        <v>2</v>
      </c>
    </row>
    <row r="566" spans="1:16" x14ac:dyDescent="0.35">
      <c r="A566" t="s">
        <v>1200</v>
      </c>
      <c r="B566" s="1">
        <v>45432</v>
      </c>
      <c r="C566" t="s">
        <v>1201</v>
      </c>
      <c r="D566" t="s">
        <v>37</v>
      </c>
      <c r="E566" t="s">
        <v>98</v>
      </c>
      <c r="F566" t="s">
        <v>39</v>
      </c>
      <c r="G566" t="s">
        <v>22</v>
      </c>
      <c r="H566" t="s">
        <v>32</v>
      </c>
      <c r="I566">
        <v>8</v>
      </c>
      <c r="J566">
        <v>207.31</v>
      </c>
      <c r="K566">
        <v>0.05</v>
      </c>
      <c r="L566">
        <v>1575.56</v>
      </c>
      <c r="M566">
        <v>829.7</v>
      </c>
      <c r="N566">
        <v>745.86</v>
      </c>
      <c r="O566" t="s">
        <v>62</v>
      </c>
      <c r="P566">
        <v>1</v>
      </c>
    </row>
    <row r="567" spans="1:16" x14ac:dyDescent="0.35">
      <c r="A567" t="s">
        <v>1202</v>
      </c>
      <c r="B567" s="1">
        <v>45496</v>
      </c>
      <c r="C567" t="s">
        <v>1203</v>
      </c>
      <c r="D567" t="s">
        <v>37</v>
      </c>
      <c r="E567" t="s">
        <v>85</v>
      </c>
      <c r="F567" t="s">
        <v>31</v>
      </c>
      <c r="G567" t="s">
        <v>79</v>
      </c>
      <c r="H567" t="s">
        <v>89</v>
      </c>
      <c r="I567">
        <v>7</v>
      </c>
      <c r="J567">
        <v>144.41</v>
      </c>
      <c r="K567">
        <v>0.05</v>
      </c>
      <c r="L567">
        <v>960.33</v>
      </c>
      <c r="M567">
        <v>623.82000000000005</v>
      </c>
      <c r="N567">
        <v>336.51</v>
      </c>
      <c r="O567" t="s">
        <v>51</v>
      </c>
      <c r="P567">
        <v>4</v>
      </c>
    </row>
    <row r="568" spans="1:16" x14ac:dyDescent="0.35">
      <c r="A568" t="s">
        <v>1204</v>
      </c>
      <c r="B568" s="1">
        <v>45426</v>
      </c>
      <c r="C568" t="s">
        <v>1205</v>
      </c>
      <c r="D568" t="s">
        <v>29</v>
      </c>
      <c r="E568" t="s">
        <v>20</v>
      </c>
      <c r="F568" t="s">
        <v>21</v>
      </c>
      <c r="G568" t="s">
        <v>43</v>
      </c>
      <c r="H568" t="s">
        <v>50</v>
      </c>
      <c r="I568">
        <v>6</v>
      </c>
      <c r="J568">
        <v>1153.42</v>
      </c>
      <c r="K568">
        <v>0.15</v>
      </c>
      <c r="L568">
        <v>5882.44</v>
      </c>
      <c r="M568">
        <v>3703.59</v>
      </c>
      <c r="N568">
        <v>2178.85</v>
      </c>
      <c r="O568" t="s">
        <v>33</v>
      </c>
      <c r="P568">
        <v>1</v>
      </c>
    </row>
    <row r="569" spans="1:16" x14ac:dyDescent="0.35">
      <c r="A569" t="s">
        <v>1206</v>
      </c>
      <c r="B569" s="1">
        <v>45657</v>
      </c>
      <c r="C569" t="s">
        <v>1207</v>
      </c>
      <c r="D569" t="s">
        <v>37</v>
      </c>
      <c r="E569" t="s">
        <v>98</v>
      </c>
      <c r="F569" t="s">
        <v>39</v>
      </c>
      <c r="G569" t="s">
        <v>22</v>
      </c>
      <c r="H569" t="s">
        <v>23</v>
      </c>
      <c r="I569">
        <v>11</v>
      </c>
      <c r="J569">
        <v>713.11</v>
      </c>
      <c r="K569">
        <v>0.05</v>
      </c>
      <c r="L569">
        <v>7452</v>
      </c>
      <c r="M569">
        <v>5786.04</v>
      </c>
      <c r="N569">
        <v>1665.96</v>
      </c>
      <c r="O569" t="s">
        <v>24</v>
      </c>
      <c r="P569">
        <v>1</v>
      </c>
    </row>
    <row r="570" spans="1:16" x14ac:dyDescent="0.35">
      <c r="A570" t="s">
        <v>1208</v>
      </c>
      <c r="B570" s="1">
        <v>45390</v>
      </c>
      <c r="C570" t="s">
        <v>1209</v>
      </c>
      <c r="D570" t="s">
        <v>66</v>
      </c>
      <c r="E570" t="s">
        <v>30</v>
      </c>
      <c r="F570" t="s">
        <v>21</v>
      </c>
      <c r="G570" t="s">
        <v>43</v>
      </c>
      <c r="H570" t="s">
        <v>173</v>
      </c>
      <c r="I570">
        <v>5</v>
      </c>
      <c r="J570">
        <v>756.37</v>
      </c>
      <c r="K570">
        <v>0</v>
      </c>
      <c r="L570">
        <v>3781.85</v>
      </c>
      <c r="M570">
        <v>2058.79</v>
      </c>
      <c r="N570">
        <v>1723.06</v>
      </c>
      <c r="O570" t="s">
        <v>62</v>
      </c>
      <c r="P570">
        <v>4</v>
      </c>
    </row>
    <row r="571" spans="1:16" x14ac:dyDescent="0.35">
      <c r="A571" t="s">
        <v>1210</v>
      </c>
      <c r="B571" s="1">
        <v>45331</v>
      </c>
      <c r="C571" t="s">
        <v>1211</v>
      </c>
      <c r="D571" t="s">
        <v>66</v>
      </c>
      <c r="E571" t="s">
        <v>20</v>
      </c>
      <c r="F571" t="s">
        <v>31</v>
      </c>
      <c r="G571" t="s">
        <v>43</v>
      </c>
      <c r="H571" t="s">
        <v>173</v>
      </c>
      <c r="I571">
        <v>12</v>
      </c>
      <c r="J571">
        <v>307.77</v>
      </c>
      <c r="K571">
        <v>0.1</v>
      </c>
      <c r="L571">
        <v>3323.92</v>
      </c>
      <c r="M571">
        <v>2070.33</v>
      </c>
      <c r="N571">
        <v>1253.5899999999999</v>
      </c>
      <c r="O571" t="s">
        <v>24</v>
      </c>
      <c r="P571">
        <v>5</v>
      </c>
    </row>
    <row r="572" spans="1:16" x14ac:dyDescent="0.35">
      <c r="A572" t="s">
        <v>1212</v>
      </c>
      <c r="B572" s="1">
        <v>45456</v>
      </c>
      <c r="C572" t="s">
        <v>1213</v>
      </c>
      <c r="D572" t="s">
        <v>19</v>
      </c>
      <c r="E572" t="s">
        <v>38</v>
      </c>
      <c r="F572" t="s">
        <v>39</v>
      </c>
      <c r="G572" t="s">
        <v>79</v>
      </c>
      <c r="H572" t="s">
        <v>103</v>
      </c>
      <c r="I572">
        <v>3</v>
      </c>
      <c r="J572">
        <v>677.35</v>
      </c>
      <c r="K572">
        <v>0.05</v>
      </c>
      <c r="L572">
        <v>1930.45</v>
      </c>
      <c r="M572">
        <v>973.93</v>
      </c>
      <c r="N572">
        <v>956.52</v>
      </c>
      <c r="O572" t="s">
        <v>24</v>
      </c>
      <c r="P572">
        <v>4</v>
      </c>
    </row>
    <row r="573" spans="1:16" x14ac:dyDescent="0.35">
      <c r="A573" t="s">
        <v>1214</v>
      </c>
      <c r="B573" s="1">
        <v>45390</v>
      </c>
      <c r="C573" t="s">
        <v>1215</v>
      </c>
      <c r="D573" t="s">
        <v>37</v>
      </c>
      <c r="E573" t="s">
        <v>20</v>
      </c>
      <c r="F573" t="s">
        <v>21</v>
      </c>
      <c r="G573" t="s">
        <v>22</v>
      </c>
      <c r="H573" t="s">
        <v>124</v>
      </c>
      <c r="I573">
        <v>5</v>
      </c>
      <c r="J573">
        <v>823.66</v>
      </c>
      <c r="K573">
        <v>0.15</v>
      </c>
      <c r="L573">
        <v>3500.55</v>
      </c>
      <c r="M573">
        <v>2925.35</v>
      </c>
      <c r="N573">
        <v>575.20000000000005</v>
      </c>
      <c r="O573" t="s">
        <v>24</v>
      </c>
      <c r="P573">
        <v>4</v>
      </c>
    </row>
    <row r="574" spans="1:16" x14ac:dyDescent="0.35">
      <c r="A574" t="s">
        <v>1216</v>
      </c>
      <c r="B574" s="1">
        <v>45534</v>
      </c>
      <c r="C574" t="s">
        <v>1217</v>
      </c>
      <c r="D574" t="s">
        <v>49</v>
      </c>
      <c r="E574" t="s">
        <v>98</v>
      </c>
      <c r="F574" t="s">
        <v>31</v>
      </c>
      <c r="G574" t="s">
        <v>43</v>
      </c>
      <c r="H574" t="s">
        <v>50</v>
      </c>
      <c r="I574">
        <v>10</v>
      </c>
      <c r="J574">
        <v>849.4</v>
      </c>
      <c r="K574">
        <v>0.15</v>
      </c>
      <c r="L574">
        <v>7219.9</v>
      </c>
      <c r="M574">
        <v>5502.1</v>
      </c>
      <c r="N574">
        <v>1717.8</v>
      </c>
      <c r="O574" t="s">
        <v>33</v>
      </c>
      <c r="P574">
        <v>5</v>
      </c>
    </row>
    <row r="575" spans="1:16" x14ac:dyDescent="0.35">
      <c r="A575" t="s">
        <v>1218</v>
      </c>
      <c r="B575" s="1">
        <v>45581</v>
      </c>
      <c r="C575" t="s">
        <v>1219</v>
      </c>
      <c r="D575" t="s">
        <v>19</v>
      </c>
      <c r="E575" t="s">
        <v>30</v>
      </c>
      <c r="F575" t="s">
        <v>39</v>
      </c>
      <c r="G575" t="s">
        <v>60</v>
      </c>
      <c r="H575" t="s">
        <v>119</v>
      </c>
      <c r="I575">
        <v>3</v>
      </c>
      <c r="J575">
        <v>781.39</v>
      </c>
      <c r="K575">
        <v>0.1</v>
      </c>
      <c r="L575">
        <v>2109.75</v>
      </c>
      <c r="M575">
        <v>1107.42</v>
      </c>
      <c r="N575">
        <v>1002.33</v>
      </c>
      <c r="O575" t="s">
        <v>62</v>
      </c>
      <c r="P575">
        <v>3</v>
      </c>
    </row>
    <row r="576" spans="1:16" x14ac:dyDescent="0.35">
      <c r="A576" t="s">
        <v>1220</v>
      </c>
      <c r="B576" s="1">
        <v>45308</v>
      </c>
      <c r="C576" t="s">
        <v>1221</v>
      </c>
      <c r="D576" t="s">
        <v>29</v>
      </c>
      <c r="E576" t="s">
        <v>20</v>
      </c>
      <c r="F576" t="s">
        <v>39</v>
      </c>
      <c r="G576" t="s">
        <v>43</v>
      </c>
      <c r="H576" t="s">
        <v>44</v>
      </c>
      <c r="I576">
        <v>7</v>
      </c>
      <c r="J576">
        <v>1093.9000000000001</v>
      </c>
      <c r="K576">
        <v>0</v>
      </c>
      <c r="L576">
        <v>7657.3</v>
      </c>
      <c r="M576">
        <v>5127.5</v>
      </c>
      <c r="N576">
        <v>2529.8000000000002</v>
      </c>
      <c r="O576" t="s">
        <v>24</v>
      </c>
      <c r="P576">
        <v>1</v>
      </c>
    </row>
    <row r="577" spans="1:16" x14ac:dyDescent="0.35">
      <c r="A577" t="s">
        <v>1222</v>
      </c>
      <c r="B577" s="1">
        <v>45544</v>
      </c>
      <c r="C577" t="s">
        <v>1223</v>
      </c>
      <c r="D577" t="s">
        <v>19</v>
      </c>
      <c r="E577" t="s">
        <v>30</v>
      </c>
      <c r="F577" t="s">
        <v>21</v>
      </c>
      <c r="G577" t="s">
        <v>79</v>
      </c>
      <c r="H577" t="s">
        <v>89</v>
      </c>
      <c r="I577">
        <v>5</v>
      </c>
      <c r="J577">
        <v>130.04</v>
      </c>
      <c r="K577">
        <v>0.15</v>
      </c>
      <c r="L577">
        <v>552.66999999999996</v>
      </c>
      <c r="M577">
        <v>308.48</v>
      </c>
      <c r="N577">
        <v>244.19</v>
      </c>
      <c r="O577" t="s">
        <v>62</v>
      </c>
      <c r="P577">
        <v>5</v>
      </c>
    </row>
    <row r="578" spans="1:16" x14ac:dyDescent="0.35">
      <c r="A578" t="s">
        <v>1224</v>
      </c>
      <c r="B578" s="1">
        <v>45521</v>
      </c>
      <c r="C578" t="s">
        <v>1225</v>
      </c>
      <c r="D578" t="s">
        <v>19</v>
      </c>
      <c r="E578" t="s">
        <v>30</v>
      </c>
      <c r="F578" t="s">
        <v>31</v>
      </c>
      <c r="G578" t="s">
        <v>43</v>
      </c>
      <c r="H578" t="s">
        <v>44</v>
      </c>
      <c r="I578">
        <v>11</v>
      </c>
      <c r="J578">
        <v>664.45</v>
      </c>
      <c r="K578">
        <v>0.05</v>
      </c>
      <c r="L578">
        <v>6943.5</v>
      </c>
      <c r="M578">
        <v>4631.21</v>
      </c>
      <c r="N578">
        <v>2312.29</v>
      </c>
      <c r="O578" t="s">
        <v>33</v>
      </c>
      <c r="P578">
        <v>3</v>
      </c>
    </row>
    <row r="579" spans="1:16" x14ac:dyDescent="0.35">
      <c r="A579" t="s">
        <v>1226</v>
      </c>
      <c r="B579" s="1">
        <v>45439</v>
      </c>
      <c r="C579" t="s">
        <v>1227</v>
      </c>
      <c r="D579" t="s">
        <v>49</v>
      </c>
      <c r="E579" t="s">
        <v>98</v>
      </c>
      <c r="F579" t="s">
        <v>21</v>
      </c>
      <c r="G579" t="s">
        <v>79</v>
      </c>
      <c r="H579" t="s">
        <v>103</v>
      </c>
      <c r="I579">
        <v>4</v>
      </c>
      <c r="J579">
        <v>654.29</v>
      </c>
      <c r="K579">
        <v>0.05</v>
      </c>
      <c r="L579">
        <v>2486.3000000000002</v>
      </c>
      <c r="M579">
        <v>1723.22</v>
      </c>
      <c r="N579">
        <v>763.08</v>
      </c>
      <c r="O579" t="s">
        <v>33</v>
      </c>
      <c r="P579">
        <v>5</v>
      </c>
    </row>
    <row r="580" spans="1:16" x14ac:dyDescent="0.35">
      <c r="A580" t="s">
        <v>1228</v>
      </c>
      <c r="B580" s="1">
        <v>45393</v>
      </c>
      <c r="C580" t="s">
        <v>1229</v>
      </c>
      <c r="D580" t="s">
        <v>37</v>
      </c>
      <c r="E580" t="s">
        <v>98</v>
      </c>
      <c r="F580" t="s">
        <v>39</v>
      </c>
      <c r="G580" t="s">
        <v>60</v>
      </c>
      <c r="H580" t="s">
        <v>110</v>
      </c>
      <c r="I580">
        <v>5</v>
      </c>
      <c r="J580">
        <v>769.41</v>
      </c>
      <c r="K580">
        <v>0.05</v>
      </c>
      <c r="L580">
        <v>3654.7</v>
      </c>
      <c r="M580">
        <v>2598.56</v>
      </c>
      <c r="N580">
        <v>1056.1400000000001</v>
      </c>
      <c r="O580" t="s">
        <v>62</v>
      </c>
      <c r="P580">
        <v>4</v>
      </c>
    </row>
    <row r="581" spans="1:16" x14ac:dyDescent="0.35">
      <c r="A581" t="s">
        <v>1230</v>
      </c>
      <c r="B581" s="1">
        <v>45427</v>
      </c>
      <c r="C581" t="s">
        <v>73</v>
      </c>
      <c r="D581" t="s">
        <v>49</v>
      </c>
      <c r="E581" t="s">
        <v>30</v>
      </c>
      <c r="F581" t="s">
        <v>31</v>
      </c>
      <c r="G581" t="s">
        <v>22</v>
      </c>
      <c r="H581" t="s">
        <v>32</v>
      </c>
      <c r="I581">
        <v>7</v>
      </c>
      <c r="J581">
        <v>1159.02</v>
      </c>
      <c r="K581">
        <v>0.05</v>
      </c>
      <c r="L581">
        <v>7707.48</v>
      </c>
      <c r="M581">
        <v>5089.38</v>
      </c>
      <c r="N581">
        <v>2618.1</v>
      </c>
      <c r="O581" t="s">
        <v>62</v>
      </c>
      <c r="P581">
        <v>4</v>
      </c>
    </row>
    <row r="582" spans="1:16" x14ac:dyDescent="0.35">
      <c r="A582" t="s">
        <v>1231</v>
      </c>
      <c r="B582" s="1">
        <v>45307</v>
      </c>
      <c r="C582" t="s">
        <v>1232</v>
      </c>
      <c r="D582" t="s">
        <v>66</v>
      </c>
      <c r="E582" t="s">
        <v>98</v>
      </c>
      <c r="F582" t="s">
        <v>31</v>
      </c>
      <c r="G582" t="s">
        <v>43</v>
      </c>
      <c r="H582" t="s">
        <v>44</v>
      </c>
      <c r="I582">
        <v>9</v>
      </c>
      <c r="J582">
        <v>1169.06</v>
      </c>
      <c r="K582">
        <v>0.1</v>
      </c>
      <c r="L582">
        <v>9469.39</v>
      </c>
      <c r="M582">
        <v>6878.36</v>
      </c>
      <c r="N582">
        <v>2591.0300000000002</v>
      </c>
      <c r="O582" t="s">
        <v>62</v>
      </c>
      <c r="P582">
        <v>1</v>
      </c>
    </row>
    <row r="583" spans="1:16" x14ac:dyDescent="0.35">
      <c r="A583" t="s">
        <v>1233</v>
      </c>
      <c r="B583" s="1">
        <v>45545</v>
      </c>
      <c r="C583" t="s">
        <v>1234</v>
      </c>
      <c r="D583" t="s">
        <v>49</v>
      </c>
      <c r="E583" t="s">
        <v>85</v>
      </c>
      <c r="F583" t="s">
        <v>21</v>
      </c>
      <c r="G583" t="s">
        <v>22</v>
      </c>
      <c r="H583" t="s">
        <v>124</v>
      </c>
      <c r="I583">
        <v>5</v>
      </c>
      <c r="J583">
        <v>141.9</v>
      </c>
      <c r="K583">
        <v>0.05</v>
      </c>
      <c r="L583">
        <v>674.02</v>
      </c>
      <c r="M583">
        <v>491.08</v>
      </c>
      <c r="N583">
        <v>182.94</v>
      </c>
      <c r="O583" t="s">
        <v>24</v>
      </c>
      <c r="P583">
        <v>4</v>
      </c>
    </row>
    <row r="584" spans="1:16" x14ac:dyDescent="0.35">
      <c r="A584" t="s">
        <v>1235</v>
      </c>
      <c r="B584" s="1">
        <v>45572</v>
      </c>
      <c r="C584" t="s">
        <v>1236</v>
      </c>
      <c r="D584" t="s">
        <v>19</v>
      </c>
      <c r="E584" t="s">
        <v>98</v>
      </c>
      <c r="F584" t="s">
        <v>21</v>
      </c>
      <c r="G584" t="s">
        <v>43</v>
      </c>
      <c r="H584" t="s">
        <v>50</v>
      </c>
      <c r="I584">
        <v>9</v>
      </c>
      <c r="J584">
        <v>355.73</v>
      </c>
      <c r="K584">
        <v>0.15</v>
      </c>
      <c r="L584">
        <v>2721.33</v>
      </c>
      <c r="M584">
        <v>2264.0300000000002</v>
      </c>
      <c r="N584">
        <v>457.3</v>
      </c>
      <c r="O584" t="s">
        <v>51</v>
      </c>
      <c r="P584">
        <v>1</v>
      </c>
    </row>
    <row r="585" spans="1:16" x14ac:dyDescent="0.35">
      <c r="A585" t="s">
        <v>1237</v>
      </c>
      <c r="B585" s="1">
        <v>45413</v>
      </c>
      <c r="C585" t="s">
        <v>1238</v>
      </c>
      <c r="D585" t="s">
        <v>19</v>
      </c>
      <c r="E585" t="s">
        <v>38</v>
      </c>
      <c r="F585" t="s">
        <v>31</v>
      </c>
      <c r="G585" t="s">
        <v>60</v>
      </c>
      <c r="H585" t="s">
        <v>110</v>
      </c>
      <c r="I585">
        <v>11</v>
      </c>
      <c r="J585">
        <v>1001.39</v>
      </c>
      <c r="K585">
        <v>0</v>
      </c>
      <c r="L585">
        <v>11015.29</v>
      </c>
      <c r="M585">
        <v>9084.64</v>
      </c>
      <c r="N585">
        <v>1930.65</v>
      </c>
      <c r="O585" t="s">
        <v>62</v>
      </c>
      <c r="P585">
        <v>3</v>
      </c>
    </row>
    <row r="586" spans="1:16" x14ac:dyDescent="0.35">
      <c r="A586" t="s">
        <v>1239</v>
      </c>
      <c r="B586" s="1">
        <v>45568</v>
      </c>
      <c r="C586" t="s">
        <v>1240</v>
      </c>
      <c r="D586" t="s">
        <v>49</v>
      </c>
      <c r="E586" t="s">
        <v>30</v>
      </c>
      <c r="F586" t="s">
        <v>39</v>
      </c>
      <c r="G586" t="s">
        <v>60</v>
      </c>
      <c r="H586" t="s">
        <v>110</v>
      </c>
      <c r="I586">
        <v>11</v>
      </c>
      <c r="J586">
        <v>636.57000000000005</v>
      </c>
      <c r="K586">
        <v>0</v>
      </c>
      <c r="L586">
        <v>7002.27</v>
      </c>
      <c r="M586">
        <v>5656.64</v>
      </c>
      <c r="N586">
        <v>1345.63</v>
      </c>
      <c r="O586" t="s">
        <v>51</v>
      </c>
      <c r="P586">
        <v>4</v>
      </c>
    </row>
    <row r="587" spans="1:16" x14ac:dyDescent="0.35">
      <c r="A587" t="s">
        <v>1241</v>
      </c>
      <c r="B587" s="1">
        <v>45587</v>
      </c>
      <c r="C587" t="s">
        <v>1242</v>
      </c>
      <c r="D587" t="s">
        <v>29</v>
      </c>
      <c r="E587" t="s">
        <v>20</v>
      </c>
      <c r="F587" t="s">
        <v>39</v>
      </c>
      <c r="G587" t="s">
        <v>22</v>
      </c>
      <c r="H587" t="s">
        <v>23</v>
      </c>
      <c r="I587">
        <v>11</v>
      </c>
      <c r="J587">
        <v>1120.8</v>
      </c>
      <c r="K587">
        <v>0.1</v>
      </c>
      <c r="L587">
        <v>11095.92</v>
      </c>
      <c r="M587">
        <v>5593.39</v>
      </c>
      <c r="N587">
        <v>5502.53</v>
      </c>
      <c r="O587" t="s">
        <v>62</v>
      </c>
      <c r="P587">
        <v>5</v>
      </c>
    </row>
    <row r="588" spans="1:16" x14ac:dyDescent="0.35">
      <c r="A588" t="s">
        <v>1243</v>
      </c>
      <c r="B588" s="1">
        <v>45518</v>
      </c>
      <c r="C588" t="s">
        <v>1244</v>
      </c>
      <c r="D588" t="s">
        <v>49</v>
      </c>
      <c r="E588" t="s">
        <v>38</v>
      </c>
      <c r="F588" t="s">
        <v>21</v>
      </c>
      <c r="G588" t="s">
        <v>22</v>
      </c>
      <c r="H588" t="s">
        <v>32</v>
      </c>
      <c r="I588">
        <v>3</v>
      </c>
      <c r="J588">
        <v>319.64</v>
      </c>
      <c r="K588">
        <v>0</v>
      </c>
      <c r="L588">
        <v>958.92</v>
      </c>
      <c r="M588">
        <v>636.28</v>
      </c>
      <c r="N588">
        <v>322.64</v>
      </c>
      <c r="O588" t="s">
        <v>33</v>
      </c>
      <c r="P588">
        <v>3</v>
      </c>
    </row>
    <row r="589" spans="1:16" x14ac:dyDescent="0.35">
      <c r="A589" t="s">
        <v>1245</v>
      </c>
      <c r="B589" s="1">
        <v>45408</v>
      </c>
      <c r="C589" t="s">
        <v>1246</v>
      </c>
      <c r="D589" t="s">
        <v>66</v>
      </c>
      <c r="E589" t="s">
        <v>85</v>
      </c>
      <c r="F589" t="s">
        <v>39</v>
      </c>
      <c r="G589" t="s">
        <v>60</v>
      </c>
      <c r="H589" t="s">
        <v>119</v>
      </c>
      <c r="I589">
        <v>12</v>
      </c>
      <c r="J589">
        <v>629.22</v>
      </c>
      <c r="K589">
        <v>0.15</v>
      </c>
      <c r="L589">
        <v>6418.04</v>
      </c>
      <c r="M589">
        <v>3389.81</v>
      </c>
      <c r="N589">
        <v>3028.23</v>
      </c>
      <c r="O589" t="s">
        <v>62</v>
      </c>
      <c r="P589">
        <v>4</v>
      </c>
    </row>
    <row r="590" spans="1:16" x14ac:dyDescent="0.35">
      <c r="A590" t="s">
        <v>1247</v>
      </c>
      <c r="B590" s="1">
        <v>45634</v>
      </c>
      <c r="C590" t="s">
        <v>1248</v>
      </c>
      <c r="D590" t="s">
        <v>29</v>
      </c>
      <c r="E590" t="s">
        <v>98</v>
      </c>
      <c r="F590" t="s">
        <v>31</v>
      </c>
      <c r="G590" t="s">
        <v>22</v>
      </c>
      <c r="H590" t="s">
        <v>74</v>
      </c>
      <c r="I590">
        <v>4</v>
      </c>
      <c r="J590">
        <v>1000.74</v>
      </c>
      <c r="K590">
        <v>0.1</v>
      </c>
      <c r="L590">
        <v>3602.66</v>
      </c>
      <c r="M590">
        <v>2432.65</v>
      </c>
      <c r="N590">
        <v>1170.01</v>
      </c>
      <c r="O590" t="s">
        <v>51</v>
      </c>
      <c r="P590">
        <v>5</v>
      </c>
    </row>
    <row r="591" spans="1:16" x14ac:dyDescent="0.35">
      <c r="A591" t="s">
        <v>1249</v>
      </c>
      <c r="B591" s="1">
        <v>45534</v>
      </c>
      <c r="C591" t="s">
        <v>1250</v>
      </c>
      <c r="D591" t="s">
        <v>49</v>
      </c>
      <c r="E591" t="s">
        <v>38</v>
      </c>
      <c r="F591" t="s">
        <v>21</v>
      </c>
      <c r="G591" t="s">
        <v>22</v>
      </c>
      <c r="H591" t="s">
        <v>23</v>
      </c>
      <c r="I591">
        <v>10</v>
      </c>
      <c r="J591">
        <v>122.32</v>
      </c>
      <c r="K591">
        <v>0.1</v>
      </c>
      <c r="L591">
        <v>1100.8800000000001</v>
      </c>
      <c r="M591">
        <v>646.34</v>
      </c>
      <c r="N591">
        <v>454.54</v>
      </c>
      <c r="O591" t="s">
        <v>51</v>
      </c>
      <c r="P591">
        <v>1</v>
      </c>
    </row>
    <row r="592" spans="1:16" x14ac:dyDescent="0.35">
      <c r="A592" t="s">
        <v>1251</v>
      </c>
      <c r="B592" s="1">
        <v>45457</v>
      </c>
      <c r="C592" t="s">
        <v>1252</v>
      </c>
      <c r="D592" t="s">
        <v>49</v>
      </c>
      <c r="E592" t="s">
        <v>20</v>
      </c>
      <c r="F592" t="s">
        <v>31</v>
      </c>
      <c r="G592" t="s">
        <v>43</v>
      </c>
      <c r="H592" t="s">
        <v>173</v>
      </c>
      <c r="I592">
        <v>11</v>
      </c>
      <c r="J592">
        <v>413.76</v>
      </c>
      <c r="K592">
        <v>0.15</v>
      </c>
      <c r="L592">
        <v>3868.66</v>
      </c>
      <c r="M592">
        <v>2720.54</v>
      </c>
      <c r="N592">
        <v>1148.1199999999999</v>
      </c>
      <c r="O592" t="s">
        <v>62</v>
      </c>
      <c r="P592">
        <v>1</v>
      </c>
    </row>
    <row r="593" spans="1:16" x14ac:dyDescent="0.35">
      <c r="A593" t="s">
        <v>1253</v>
      </c>
      <c r="B593" s="1">
        <v>45442</v>
      </c>
      <c r="C593" t="s">
        <v>1254</v>
      </c>
      <c r="D593" t="s">
        <v>19</v>
      </c>
      <c r="E593" t="s">
        <v>38</v>
      </c>
      <c r="F593" t="s">
        <v>31</v>
      </c>
      <c r="G593" t="s">
        <v>79</v>
      </c>
      <c r="H593" t="s">
        <v>89</v>
      </c>
      <c r="I593">
        <v>5</v>
      </c>
      <c r="J593">
        <v>906.25</v>
      </c>
      <c r="K593">
        <v>0</v>
      </c>
      <c r="L593">
        <v>4531.25</v>
      </c>
      <c r="M593">
        <v>3850.01</v>
      </c>
      <c r="N593">
        <v>681.24</v>
      </c>
      <c r="O593" t="s">
        <v>62</v>
      </c>
      <c r="P593">
        <v>5</v>
      </c>
    </row>
    <row r="594" spans="1:16" x14ac:dyDescent="0.35">
      <c r="A594" t="s">
        <v>1255</v>
      </c>
      <c r="B594" s="1">
        <v>45530</v>
      </c>
      <c r="C594" t="s">
        <v>1256</v>
      </c>
      <c r="D594" t="s">
        <v>29</v>
      </c>
      <c r="E594" t="s">
        <v>38</v>
      </c>
      <c r="F594" t="s">
        <v>21</v>
      </c>
      <c r="G594" t="s">
        <v>22</v>
      </c>
      <c r="H594" t="s">
        <v>74</v>
      </c>
      <c r="I594">
        <v>12</v>
      </c>
      <c r="J594">
        <v>406.47</v>
      </c>
      <c r="K594">
        <v>0.05</v>
      </c>
      <c r="L594">
        <v>4633.76</v>
      </c>
      <c r="M594">
        <v>3476.32</v>
      </c>
      <c r="N594">
        <v>1157.44</v>
      </c>
      <c r="O594" t="s">
        <v>62</v>
      </c>
      <c r="P594">
        <v>2</v>
      </c>
    </row>
    <row r="595" spans="1:16" x14ac:dyDescent="0.35">
      <c r="A595" t="s">
        <v>1257</v>
      </c>
      <c r="B595" s="1">
        <v>45426</v>
      </c>
      <c r="C595" t="s">
        <v>1258</v>
      </c>
      <c r="D595" t="s">
        <v>49</v>
      </c>
      <c r="E595" t="s">
        <v>30</v>
      </c>
      <c r="F595" t="s">
        <v>31</v>
      </c>
      <c r="G595" t="s">
        <v>22</v>
      </c>
      <c r="H595" t="s">
        <v>74</v>
      </c>
      <c r="I595">
        <v>11</v>
      </c>
      <c r="J595">
        <v>566.44000000000005</v>
      </c>
      <c r="K595">
        <v>0.05</v>
      </c>
      <c r="L595">
        <v>5919.3</v>
      </c>
      <c r="M595">
        <v>4638.25</v>
      </c>
      <c r="N595">
        <v>1281.05</v>
      </c>
      <c r="O595" t="s">
        <v>24</v>
      </c>
      <c r="P595">
        <v>4</v>
      </c>
    </row>
    <row r="596" spans="1:16" x14ac:dyDescent="0.35">
      <c r="A596" t="s">
        <v>1259</v>
      </c>
      <c r="B596" s="1">
        <v>45639</v>
      </c>
      <c r="C596" t="s">
        <v>1260</v>
      </c>
      <c r="D596" t="s">
        <v>66</v>
      </c>
      <c r="E596" t="s">
        <v>85</v>
      </c>
      <c r="F596" t="s">
        <v>39</v>
      </c>
      <c r="G596" t="s">
        <v>79</v>
      </c>
      <c r="H596" t="s">
        <v>80</v>
      </c>
      <c r="I596">
        <v>11</v>
      </c>
      <c r="J596">
        <v>115.08</v>
      </c>
      <c r="K596">
        <v>0.1</v>
      </c>
      <c r="L596">
        <v>1139.29</v>
      </c>
      <c r="M596">
        <v>924.32</v>
      </c>
      <c r="N596">
        <v>214.97</v>
      </c>
      <c r="O596" t="s">
        <v>33</v>
      </c>
      <c r="P596">
        <v>2</v>
      </c>
    </row>
    <row r="597" spans="1:16" x14ac:dyDescent="0.35">
      <c r="A597" t="s">
        <v>1261</v>
      </c>
      <c r="B597" s="1">
        <v>45397</v>
      </c>
      <c r="C597" t="s">
        <v>1262</v>
      </c>
      <c r="D597" t="s">
        <v>66</v>
      </c>
      <c r="E597" t="s">
        <v>20</v>
      </c>
      <c r="F597" t="s">
        <v>21</v>
      </c>
      <c r="G597" t="s">
        <v>43</v>
      </c>
      <c r="H597" t="s">
        <v>44</v>
      </c>
      <c r="I597">
        <v>10</v>
      </c>
      <c r="J597">
        <v>461.01</v>
      </c>
      <c r="K597">
        <v>0</v>
      </c>
      <c r="L597">
        <v>4610.1000000000004</v>
      </c>
      <c r="M597">
        <v>3657.71</v>
      </c>
      <c r="N597">
        <v>952.39</v>
      </c>
      <c r="O597" t="s">
        <v>51</v>
      </c>
      <c r="P597">
        <v>4</v>
      </c>
    </row>
    <row r="598" spans="1:16" x14ac:dyDescent="0.35">
      <c r="A598" t="s">
        <v>1263</v>
      </c>
      <c r="B598" s="1">
        <v>45302</v>
      </c>
      <c r="C598" t="s">
        <v>1264</v>
      </c>
      <c r="D598" t="s">
        <v>29</v>
      </c>
      <c r="E598" t="s">
        <v>38</v>
      </c>
      <c r="F598" t="s">
        <v>39</v>
      </c>
      <c r="G598" t="s">
        <v>79</v>
      </c>
      <c r="H598" t="s">
        <v>80</v>
      </c>
      <c r="I598">
        <v>3</v>
      </c>
      <c r="J598">
        <v>926.54</v>
      </c>
      <c r="K598">
        <v>0.1</v>
      </c>
      <c r="L598">
        <v>2501.66</v>
      </c>
      <c r="M598">
        <v>1808.85</v>
      </c>
      <c r="N598">
        <v>692.81</v>
      </c>
      <c r="O598" t="s">
        <v>62</v>
      </c>
      <c r="P598">
        <v>1</v>
      </c>
    </row>
    <row r="599" spans="1:16" x14ac:dyDescent="0.35">
      <c r="A599" t="s">
        <v>1265</v>
      </c>
      <c r="B599" s="1">
        <v>45501</v>
      </c>
      <c r="C599" t="s">
        <v>1266</v>
      </c>
      <c r="D599" t="s">
        <v>29</v>
      </c>
      <c r="E599" t="s">
        <v>30</v>
      </c>
      <c r="F599" t="s">
        <v>31</v>
      </c>
      <c r="G599" t="s">
        <v>22</v>
      </c>
      <c r="H599" t="s">
        <v>23</v>
      </c>
      <c r="I599">
        <v>11</v>
      </c>
      <c r="J599">
        <v>626.42999999999995</v>
      </c>
      <c r="K599">
        <v>0</v>
      </c>
      <c r="L599">
        <v>6890.73</v>
      </c>
      <c r="M599">
        <v>5352.43</v>
      </c>
      <c r="N599">
        <v>1538.3</v>
      </c>
      <c r="O599" t="s">
        <v>51</v>
      </c>
      <c r="P599">
        <v>4</v>
      </c>
    </row>
    <row r="600" spans="1:16" x14ac:dyDescent="0.35">
      <c r="A600" t="s">
        <v>1267</v>
      </c>
      <c r="B600" s="1">
        <v>45485</v>
      </c>
      <c r="C600" t="s">
        <v>1268</v>
      </c>
      <c r="D600" t="s">
        <v>37</v>
      </c>
      <c r="E600" t="s">
        <v>85</v>
      </c>
      <c r="F600" t="s">
        <v>39</v>
      </c>
      <c r="G600" t="s">
        <v>60</v>
      </c>
      <c r="H600" t="s">
        <v>61</v>
      </c>
      <c r="I600">
        <v>3</v>
      </c>
      <c r="J600">
        <v>473.19</v>
      </c>
      <c r="K600">
        <v>0.15</v>
      </c>
      <c r="L600">
        <v>1206.6300000000001</v>
      </c>
      <c r="M600">
        <v>728.57</v>
      </c>
      <c r="N600">
        <v>478.06</v>
      </c>
      <c r="O600" t="s">
        <v>24</v>
      </c>
      <c r="P600">
        <v>5</v>
      </c>
    </row>
    <row r="601" spans="1:16" x14ac:dyDescent="0.35">
      <c r="A601" t="s">
        <v>1269</v>
      </c>
      <c r="B601" s="1">
        <v>45574</v>
      </c>
      <c r="C601" t="s">
        <v>1270</v>
      </c>
      <c r="D601" t="s">
        <v>19</v>
      </c>
      <c r="E601" t="s">
        <v>85</v>
      </c>
      <c r="F601" t="s">
        <v>21</v>
      </c>
      <c r="G601" t="s">
        <v>79</v>
      </c>
      <c r="H601" t="s">
        <v>89</v>
      </c>
      <c r="I601">
        <v>9</v>
      </c>
      <c r="J601">
        <v>1001.9</v>
      </c>
      <c r="K601">
        <v>0.05</v>
      </c>
      <c r="L601">
        <v>8566.25</v>
      </c>
      <c r="M601">
        <v>5825.85</v>
      </c>
      <c r="N601">
        <v>2740.4</v>
      </c>
      <c r="O601" t="s">
        <v>51</v>
      </c>
      <c r="P601">
        <v>2</v>
      </c>
    </row>
    <row r="602" spans="1:16" x14ac:dyDescent="0.35">
      <c r="A602" t="s">
        <v>1271</v>
      </c>
      <c r="B602" s="1">
        <v>45311</v>
      </c>
      <c r="C602" t="s">
        <v>1272</v>
      </c>
      <c r="D602" t="s">
        <v>29</v>
      </c>
      <c r="E602" t="s">
        <v>98</v>
      </c>
      <c r="F602" t="s">
        <v>39</v>
      </c>
      <c r="G602" t="s">
        <v>22</v>
      </c>
      <c r="H602" t="s">
        <v>124</v>
      </c>
      <c r="I602">
        <v>10</v>
      </c>
      <c r="J602">
        <v>1124.56</v>
      </c>
      <c r="K602">
        <v>0.05</v>
      </c>
      <c r="L602">
        <v>10683.32</v>
      </c>
      <c r="M602">
        <v>9054.48</v>
      </c>
      <c r="N602">
        <v>1628.84</v>
      </c>
      <c r="O602" t="s">
        <v>33</v>
      </c>
      <c r="P602">
        <v>4</v>
      </c>
    </row>
    <row r="603" spans="1:16" x14ac:dyDescent="0.35">
      <c r="A603" t="s">
        <v>1273</v>
      </c>
      <c r="B603" s="1">
        <v>45650</v>
      </c>
      <c r="C603" t="s">
        <v>1274</v>
      </c>
      <c r="D603" t="s">
        <v>37</v>
      </c>
      <c r="E603" t="s">
        <v>38</v>
      </c>
      <c r="F603" t="s">
        <v>31</v>
      </c>
      <c r="G603" t="s">
        <v>43</v>
      </c>
      <c r="H603" t="s">
        <v>44</v>
      </c>
      <c r="I603">
        <v>3</v>
      </c>
      <c r="J603">
        <v>990.31</v>
      </c>
      <c r="K603">
        <v>0.05</v>
      </c>
      <c r="L603">
        <v>2822.38</v>
      </c>
      <c r="M603">
        <v>2107.0300000000002</v>
      </c>
      <c r="N603">
        <v>715.35</v>
      </c>
      <c r="O603" t="s">
        <v>51</v>
      </c>
      <c r="P603">
        <v>4</v>
      </c>
    </row>
    <row r="604" spans="1:16" x14ac:dyDescent="0.35">
      <c r="A604" t="s">
        <v>1275</v>
      </c>
      <c r="B604" s="1">
        <v>45445</v>
      </c>
      <c r="C604" t="s">
        <v>1276</v>
      </c>
      <c r="D604" t="s">
        <v>37</v>
      </c>
      <c r="E604" t="s">
        <v>85</v>
      </c>
      <c r="F604" t="s">
        <v>31</v>
      </c>
      <c r="G604" t="s">
        <v>22</v>
      </c>
      <c r="H604" t="s">
        <v>23</v>
      </c>
      <c r="I604">
        <v>9</v>
      </c>
      <c r="J604">
        <v>796.82</v>
      </c>
      <c r="K604">
        <v>0.1</v>
      </c>
      <c r="L604">
        <v>6454.24</v>
      </c>
      <c r="M604">
        <v>4261.21</v>
      </c>
      <c r="N604">
        <v>2193.0300000000002</v>
      </c>
      <c r="O604" t="s">
        <v>62</v>
      </c>
      <c r="P604">
        <v>4</v>
      </c>
    </row>
    <row r="605" spans="1:16" x14ac:dyDescent="0.35">
      <c r="A605" t="s">
        <v>1277</v>
      </c>
      <c r="B605" s="1">
        <v>45322</v>
      </c>
      <c r="C605" t="s">
        <v>1278</v>
      </c>
      <c r="D605" t="s">
        <v>66</v>
      </c>
      <c r="E605" t="s">
        <v>98</v>
      </c>
      <c r="F605" t="s">
        <v>31</v>
      </c>
      <c r="G605" t="s">
        <v>60</v>
      </c>
      <c r="H605" t="s">
        <v>110</v>
      </c>
      <c r="I605">
        <v>7</v>
      </c>
      <c r="J605">
        <v>1142.04</v>
      </c>
      <c r="K605">
        <v>0</v>
      </c>
      <c r="L605">
        <v>7994.28</v>
      </c>
      <c r="M605">
        <v>5017.8500000000004</v>
      </c>
      <c r="N605">
        <v>2976.43</v>
      </c>
      <c r="O605" t="s">
        <v>33</v>
      </c>
      <c r="P605">
        <v>2</v>
      </c>
    </row>
    <row r="606" spans="1:16" x14ac:dyDescent="0.35">
      <c r="A606" t="s">
        <v>1279</v>
      </c>
      <c r="B606" s="1">
        <v>45510</v>
      </c>
      <c r="C606" t="s">
        <v>1280</v>
      </c>
      <c r="D606" t="s">
        <v>29</v>
      </c>
      <c r="E606" t="s">
        <v>98</v>
      </c>
      <c r="F606" t="s">
        <v>21</v>
      </c>
      <c r="G606" t="s">
        <v>22</v>
      </c>
      <c r="H606" t="s">
        <v>74</v>
      </c>
      <c r="I606">
        <v>11</v>
      </c>
      <c r="J606">
        <v>354.73</v>
      </c>
      <c r="K606">
        <v>0.1</v>
      </c>
      <c r="L606">
        <v>3511.83</v>
      </c>
      <c r="M606">
        <v>2526.4899999999998</v>
      </c>
      <c r="N606">
        <v>985.34</v>
      </c>
      <c r="O606" t="s">
        <v>33</v>
      </c>
      <c r="P606">
        <v>5</v>
      </c>
    </row>
    <row r="607" spans="1:16" x14ac:dyDescent="0.35">
      <c r="A607" t="s">
        <v>1281</v>
      </c>
      <c r="B607" s="1">
        <v>45623</v>
      </c>
      <c r="C607" t="s">
        <v>1282</v>
      </c>
      <c r="D607" t="s">
        <v>19</v>
      </c>
      <c r="E607" t="s">
        <v>30</v>
      </c>
      <c r="F607" t="s">
        <v>31</v>
      </c>
      <c r="G607" t="s">
        <v>43</v>
      </c>
      <c r="H607" t="s">
        <v>173</v>
      </c>
      <c r="I607">
        <v>1</v>
      </c>
      <c r="J607">
        <v>390.41</v>
      </c>
      <c r="K607">
        <v>0</v>
      </c>
      <c r="L607">
        <v>390.41</v>
      </c>
      <c r="M607">
        <v>228.43</v>
      </c>
      <c r="N607">
        <v>161.97999999999999</v>
      </c>
      <c r="O607" t="s">
        <v>51</v>
      </c>
      <c r="P607">
        <v>3</v>
      </c>
    </row>
    <row r="608" spans="1:16" x14ac:dyDescent="0.35">
      <c r="A608" t="s">
        <v>1283</v>
      </c>
      <c r="B608" s="1">
        <v>45328</v>
      </c>
      <c r="C608" t="s">
        <v>1284</v>
      </c>
      <c r="D608" t="s">
        <v>37</v>
      </c>
      <c r="E608" t="s">
        <v>98</v>
      </c>
      <c r="F608" t="s">
        <v>39</v>
      </c>
      <c r="G608" t="s">
        <v>43</v>
      </c>
      <c r="H608" t="s">
        <v>173</v>
      </c>
      <c r="I608">
        <v>11</v>
      </c>
      <c r="J608">
        <v>935.03</v>
      </c>
      <c r="K608">
        <v>0</v>
      </c>
      <c r="L608">
        <v>10285.33</v>
      </c>
      <c r="M608">
        <v>8334.18</v>
      </c>
      <c r="N608">
        <v>1951.15</v>
      </c>
      <c r="O608" t="s">
        <v>62</v>
      </c>
      <c r="P608">
        <v>2</v>
      </c>
    </row>
    <row r="609" spans="1:16" x14ac:dyDescent="0.35">
      <c r="A609" t="s">
        <v>1285</v>
      </c>
      <c r="B609" s="1">
        <v>45422</v>
      </c>
      <c r="C609" t="s">
        <v>1286</v>
      </c>
      <c r="D609" t="s">
        <v>66</v>
      </c>
      <c r="E609" t="s">
        <v>38</v>
      </c>
      <c r="F609" t="s">
        <v>39</v>
      </c>
      <c r="G609" t="s">
        <v>79</v>
      </c>
      <c r="H609" t="s">
        <v>80</v>
      </c>
      <c r="I609">
        <v>8</v>
      </c>
      <c r="J609">
        <v>402.24</v>
      </c>
      <c r="K609">
        <v>0</v>
      </c>
      <c r="L609">
        <v>3217.92</v>
      </c>
      <c r="M609">
        <v>2107.16</v>
      </c>
      <c r="N609">
        <v>1110.76</v>
      </c>
      <c r="O609" t="s">
        <v>62</v>
      </c>
      <c r="P609">
        <v>4</v>
      </c>
    </row>
    <row r="610" spans="1:16" x14ac:dyDescent="0.35">
      <c r="A610" t="s">
        <v>1287</v>
      </c>
      <c r="B610" s="1">
        <v>45510</v>
      </c>
      <c r="C610" t="s">
        <v>1288</v>
      </c>
      <c r="D610" t="s">
        <v>19</v>
      </c>
      <c r="E610" t="s">
        <v>38</v>
      </c>
      <c r="F610" t="s">
        <v>21</v>
      </c>
      <c r="G610" t="s">
        <v>60</v>
      </c>
      <c r="H610" t="s">
        <v>119</v>
      </c>
      <c r="I610">
        <v>5</v>
      </c>
      <c r="J610">
        <v>493.93</v>
      </c>
      <c r="K610">
        <v>0.05</v>
      </c>
      <c r="L610">
        <v>2346.17</v>
      </c>
      <c r="M610">
        <v>1786.45</v>
      </c>
      <c r="N610">
        <v>559.72</v>
      </c>
      <c r="O610" t="s">
        <v>62</v>
      </c>
      <c r="P610">
        <v>1</v>
      </c>
    </row>
    <row r="611" spans="1:16" x14ac:dyDescent="0.35">
      <c r="A611" t="s">
        <v>1289</v>
      </c>
      <c r="B611" s="1">
        <v>45639</v>
      </c>
      <c r="C611" t="s">
        <v>1290</v>
      </c>
      <c r="D611" t="s">
        <v>49</v>
      </c>
      <c r="E611" t="s">
        <v>85</v>
      </c>
      <c r="F611" t="s">
        <v>39</v>
      </c>
      <c r="G611" t="s">
        <v>79</v>
      </c>
      <c r="H611" t="s">
        <v>80</v>
      </c>
      <c r="I611">
        <v>10</v>
      </c>
      <c r="J611">
        <v>525.34</v>
      </c>
      <c r="K611">
        <v>0</v>
      </c>
      <c r="L611">
        <v>5253.4</v>
      </c>
      <c r="M611">
        <v>2924.61</v>
      </c>
      <c r="N611">
        <v>2328.79</v>
      </c>
      <c r="O611" t="s">
        <v>33</v>
      </c>
      <c r="P611">
        <v>2</v>
      </c>
    </row>
    <row r="612" spans="1:16" x14ac:dyDescent="0.35">
      <c r="A612" t="s">
        <v>1291</v>
      </c>
      <c r="B612" s="1">
        <v>45537</v>
      </c>
      <c r="C612" t="s">
        <v>1292</v>
      </c>
      <c r="D612" t="s">
        <v>29</v>
      </c>
      <c r="E612" t="s">
        <v>20</v>
      </c>
      <c r="F612" t="s">
        <v>39</v>
      </c>
      <c r="G612" t="s">
        <v>79</v>
      </c>
      <c r="H612" t="s">
        <v>103</v>
      </c>
      <c r="I612">
        <v>5</v>
      </c>
      <c r="J612">
        <v>85.42</v>
      </c>
      <c r="K612">
        <v>0</v>
      </c>
      <c r="L612">
        <v>427.1</v>
      </c>
      <c r="M612">
        <v>340.7</v>
      </c>
      <c r="N612">
        <v>86.4</v>
      </c>
      <c r="O612" t="s">
        <v>33</v>
      </c>
      <c r="P612">
        <v>4</v>
      </c>
    </row>
    <row r="613" spans="1:16" x14ac:dyDescent="0.35">
      <c r="A613" t="s">
        <v>1293</v>
      </c>
      <c r="B613" s="1">
        <v>45542</v>
      </c>
      <c r="C613" t="s">
        <v>1294</v>
      </c>
      <c r="D613" t="s">
        <v>49</v>
      </c>
      <c r="E613" t="s">
        <v>20</v>
      </c>
      <c r="F613" t="s">
        <v>39</v>
      </c>
      <c r="G613" t="s">
        <v>60</v>
      </c>
      <c r="H613" t="s">
        <v>61</v>
      </c>
      <c r="I613">
        <v>5</v>
      </c>
      <c r="J613">
        <v>570.01</v>
      </c>
      <c r="K613">
        <v>0.15</v>
      </c>
      <c r="L613">
        <v>2422.54</v>
      </c>
      <c r="M613">
        <v>1483.51</v>
      </c>
      <c r="N613">
        <v>939.03</v>
      </c>
      <c r="O613" t="s">
        <v>62</v>
      </c>
      <c r="P613">
        <v>2</v>
      </c>
    </row>
    <row r="614" spans="1:16" x14ac:dyDescent="0.35">
      <c r="A614" t="s">
        <v>1295</v>
      </c>
      <c r="B614" s="1">
        <v>45552</v>
      </c>
      <c r="C614" t="s">
        <v>1296</v>
      </c>
      <c r="D614" t="s">
        <v>49</v>
      </c>
      <c r="E614" t="s">
        <v>98</v>
      </c>
      <c r="F614" t="s">
        <v>31</v>
      </c>
      <c r="G614" t="s">
        <v>22</v>
      </c>
      <c r="H614" t="s">
        <v>32</v>
      </c>
      <c r="I614">
        <v>11</v>
      </c>
      <c r="J614">
        <v>762.06</v>
      </c>
      <c r="K614">
        <v>0.1</v>
      </c>
      <c r="L614">
        <v>7544.39</v>
      </c>
      <c r="M614">
        <v>4395.1099999999997</v>
      </c>
      <c r="N614">
        <v>3149.28</v>
      </c>
      <c r="O614" t="s">
        <v>62</v>
      </c>
      <c r="P614">
        <v>4</v>
      </c>
    </row>
    <row r="615" spans="1:16" x14ac:dyDescent="0.35">
      <c r="A615" t="s">
        <v>1297</v>
      </c>
      <c r="B615" s="1">
        <v>45484</v>
      </c>
      <c r="C615" t="s">
        <v>1298</v>
      </c>
      <c r="D615" t="s">
        <v>19</v>
      </c>
      <c r="E615" t="s">
        <v>85</v>
      </c>
      <c r="F615" t="s">
        <v>31</v>
      </c>
      <c r="G615" t="s">
        <v>79</v>
      </c>
      <c r="H615" t="s">
        <v>80</v>
      </c>
      <c r="I615">
        <v>8</v>
      </c>
      <c r="J615">
        <v>308.98</v>
      </c>
      <c r="K615">
        <v>0.15</v>
      </c>
      <c r="L615">
        <v>2101.06</v>
      </c>
      <c r="M615">
        <v>1705.59</v>
      </c>
      <c r="N615">
        <v>395.47</v>
      </c>
      <c r="O615" t="s">
        <v>24</v>
      </c>
      <c r="P615">
        <v>5</v>
      </c>
    </row>
    <row r="616" spans="1:16" x14ac:dyDescent="0.35">
      <c r="A616" t="s">
        <v>1299</v>
      </c>
      <c r="B616" s="1">
        <v>45439</v>
      </c>
      <c r="C616" t="s">
        <v>1300</v>
      </c>
      <c r="D616" t="s">
        <v>66</v>
      </c>
      <c r="E616" t="s">
        <v>98</v>
      </c>
      <c r="F616" t="s">
        <v>31</v>
      </c>
      <c r="G616" t="s">
        <v>60</v>
      </c>
      <c r="H616" t="s">
        <v>119</v>
      </c>
      <c r="I616">
        <v>1</v>
      </c>
      <c r="J616">
        <v>671.97</v>
      </c>
      <c r="K616">
        <v>0.1</v>
      </c>
      <c r="L616">
        <v>604.77</v>
      </c>
      <c r="M616">
        <v>449.53</v>
      </c>
      <c r="N616">
        <v>155.24</v>
      </c>
      <c r="O616" t="s">
        <v>51</v>
      </c>
      <c r="P616">
        <v>5</v>
      </c>
    </row>
    <row r="617" spans="1:16" x14ac:dyDescent="0.35">
      <c r="A617" t="s">
        <v>1301</v>
      </c>
      <c r="B617" s="1">
        <v>45396</v>
      </c>
      <c r="C617" t="s">
        <v>1302</v>
      </c>
      <c r="D617" t="s">
        <v>37</v>
      </c>
      <c r="E617" t="s">
        <v>85</v>
      </c>
      <c r="F617" t="s">
        <v>39</v>
      </c>
      <c r="G617" t="s">
        <v>43</v>
      </c>
      <c r="H617" t="s">
        <v>173</v>
      </c>
      <c r="I617">
        <v>6</v>
      </c>
      <c r="J617">
        <v>218.81</v>
      </c>
      <c r="K617">
        <v>0</v>
      </c>
      <c r="L617">
        <v>1312.86</v>
      </c>
      <c r="M617">
        <v>876.5</v>
      </c>
      <c r="N617">
        <v>436.36</v>
      </c>
      <c r="O617" t="s">
        <v>24</v>
      </c>
      <c r="P617">
        <v>4</v>
      </c>
    </row>
    <row r="618" spans="1:16" x14ac:dyDescent="0.35">
      <c r="A618" t="s">
        <v>1303</v>
      </c>
      <c r="B618" s="1">
        <v>45562</v>
      </c>
      <c r="C618" t="s">
        <v>1304</v>
      </c>
      <c r="D618" t="s">
        <v>19</v>
      </c>
      <c r="E618" t="s">
        <v>98</v>
      </c>
      <c r="F618" t="s">
        <v>31</v>
      </c>
      <c r="G618" t="s">
        <v>43</v>
      </c>
      <c r="H618" t="s">
        <v>173</v>
      </c>
      <c r="I618">
        <v>9</v>
      </c>
      <c r="J618">
        <v>144.11000000000001</v>
      </c>
      <c r="K618">
        <v>0</v>
      </c>
      <c r="L618">
        <v>1296.99</v>
      </c>
      <c r="M618">
        <v>904.34</v>
      </c>
      <c r="N618">
        <v>392.65</v>
      </c>
      <c r="O618" t="s">
        <v>51</v>
      </c>
      <c r="P618">
        <v>2</v>
      </c>
    </row>
    <row r="619" spans="1:16" x14ac:dyDescent="0.35">
      <c r="A619" t="s">
        <v>1305</v>
      </c>
      <c r="B619" s="1">
        <v>45460</v>
      </c>
      <c r="C619" t="s">
        <v>1306</v>
      </c>
      <c r="D619" t="s">
        <v>66</v>
      </c>
      <c r="E619" t="s">
        <v>20</v>
      </c>
      <c r="F619" t="s">
        <v>39</v>
      </c>
      <c r="G619" t="s">
        <v>22</v>
      </c>
      <c r="H619" t="s">
        <v>32</v>
      </c>
      <c r="I619">
        <v>9</v>
      </c>
      <c r="J619">
        <v>471.44</v>
      </c>
      <c r="K619">
        <v>0.1</v>
      </c>
      <c r="L619">
        <v>3818.66</v>
      </c>
      <c r="M619">
        <v>2130.6999999999998</v>
      </c>
      <c r="N619">
        <v>1687.96</v>
      </c>
      <c r="O619" t="s">
        <v>33</v>
      </c>
      <c r="P619">
        <v>3</v>
      </c>
    </row>
    <row r="620" spans="1:16" x14ac:dyDescent="0.35">
      <c r="A620" t="s">
        <v>1307</v>
      </c>
      <c r="B620" s="1">
        <v>45562</v>
      </c>
      <c r="C620" t="s">
        <v>1308</v>
      </c>
      <c r="D620" t="s">
        <v>19</v>
      </c>
      <c r="E620" t="s">
        <v>20</v>
      </c>
      <c r="F620" t="s">
        <v>21</v>
      </c>
      <c r="G620" t="s">
        <v>79</v>
      </c>
      <c r="H620" t="s">
        <v>80</v>
      </c>
      <c r="I620">
        <v>8</v>
      </c>
      <c r="J620">
        <v>957.7</v>
      </c>
      <c r="K620">
        <v>0.05</v>
      </c>
      <c r="L620">
        <v>7278.52</v>
      </c>
      <c r="M620">
        <v>5447.13</v>
      </c>
      <c r="N620">
        <v>1831.39</v>
      </c>
      <c r="O620" t="s">
        <v>62</v>
      </c>
      <c r="P620">
        <v>4</v>
      </c>
    </row>
    <row r="621" spans="1:16" x14ac:dyDescent="0.35">
      <c r="A621" t="s">
        <v>1309</v>
      </c>
      <c r="B621" s="1">
        <v>45488</v>
      </c>
      <c r="C621" t="s">
        <v>1310</v>
      </c>
      <c r="D621" t="s">
        <v>66</v>
      </c>
      <c r="E621" t="s">
        <v>98</v>
      </c>
      <c r="F621" t="s">
        <v>21</v>
      </c>
      <c r="G621" t="s">
        <v>43</v>
      </c>
      <c r="H621" t="s">
        <v>173</v>
      </c>
      <c r="I621">
        <v>11</v>
      </c>
      <c r="J621">
        <v>694.03</v>
      </c>
      <c r="K621">
        <v>0.1</v>
      </c>
      <c r="L621">
        <v>6870.9</v>
      </c>
      <c r="M621">
        <v>4266.37</v>
      </c>
      <c r="N621">
        <v>2604.5300000000002</v>
      </c>
      <c r="O621" t="s">
        <v>62</v>
      </c>
      <c r="P621">
        <v>1</v>
      </c>
    </row>
    <row r="622" spans="1:16" x14ac:dyDescent="0.35">
      <c r="A622" t="s">
        <v>1311</v>
      </c>
      <c r="B622" s="1">
        <v>45641</v>
      </c>
      <c r="C622" t="s">
        <v>1312</v>
      </c>
      <c r="D622" t="s">
        <v>37</v>
      </c>
      <c r="E622" t="s">
        <v>98</v>
      </c>
      <c r="F622" t="s">
        <v>39</v>
      </c>
      <c r="G622" t="s">
        <v>60</v>
      </c>
      <c r="H622" t="s">
        <v>110</v>
      </c>
      <c r="I622">
        <v>10</v>
      </c>
      <c r="J622">
        <v>924.77</v>
      </c>
      <c r="K622">
        <v>0.15</v>
      </c>
      <c r="L622">
        <v>7860.55</v>
      </c>
      <c r="M622">
        <v>6249.98</v>
      </c>
      <c r="N622">
        <v>1610.57</v>
      </c>
      <c r="O622" t="s">
        <v>33</v>
      </c>
      <c r="P622">
        <v>1</v>
      </c>
    </row>
    <row r="623" spans="1:16" x14ac:dyDescent="0.35">
      <c r="A623" t="s">
        <v>1313</v>
      </c>
      <c r="B623" s="1">
        <v>45314</v>
      </c>
      <c r="C623" t="s">
        <v>1314</v>
      </c>
      <c r="D623" t="s">
        <v>66</v>
      </c>
      <c r="E623" t="s">
        <v>85</v>
      </c>
      <c r="F623" t="s">
        <v>39</v>
      </c>
      <c r="G623" t="s">
        <v>22</v>
      </c>
      <c r="H623" t="s">
        <v>74</v>
      </c>
      <c r="I623">
        <v>2</v>
      </c>
      <c r="J623">
        <v>1077.23</v>
      </c>
      <c r="K623">
        <v>0.1</v>
      </c>
      <c r="L623">
        <v>1939.01</v>
      </c>
      <c r="M623">
        <v>1400.1</v>
      </c>
      <c r="N623">
        <v>538.91</v>
      </c>
      <c r="O623" t="s">
        <v>33</v>
      </c>
      <c r="P623">
        <v>1</v>
      </c>
    </row>
    <row r="624" spans="1:16" x14ac:dyDescent="0.35">
      <c r="A624" t="s">
        <v>1315</v>
      </c>
      <c r="B624" s="1">
        <v>45313</v>
      </c>
      <c r="C624" t="s">
        <v>1316</v>
      </c>
      <c r="D624" t="s">
        <v>49</v>
      </c>
      <c r="E624" t="s">
        <v>30</v>
      </c>
      <c r="F624" t="s">
        <v>21</v>
      </c>
      <c r="G624" t="s">
        <v>60</v>
      </c>
      <c r="H624" t="s">
        <v>119</v>
      </c>
      <c r="I624">
        <v>12</v>
      </c>
      <c r="J624">
        <v>912.87</v>
      </c>
      <c r="K624">
        <v>0.15</v>
      </c>
      <c r="L624">
        <v>9311.27</v>
      </c>
      <c r="M624">
        <v>5208.46</v>
      </c>
      <c r="N624">
        <v>4102.8100000000004</v>
      </c>
      <c r="O624" t="s">
        <v>62</v>
      </c>
      <c r="P624">
        <v>4</v>
      </c>
    </row>
    <row r="625" spans="1:16" x14ac:dyDescent="0.35">
      <c r="A625" t="s">
        <v>1317</v>
      </c>
      <c r="B625" s="1">
        <v>45594</v>
      </c>
      <c r="C625" t="s">
        <v>1318</v>
      </c>
      <c r="D625" t="s">
        <v>66</v>
      </c>
      <c r="E625" t="s">
        <v>38</v>
      </c>
      <c r="F625" t="s">
        <v>31</v>
      </c>
      <c r="G625" t="s">
        <v>79</v>
      </c>
      <c r="H625" t="s">
        <v>89</v>
      </c>
      <c r="I625">
        <v>4</v>
      </c>
      <c r="J625">
        <v>684.91</v>
      </c>
      <c r="K625">
        <v>0.05</v>
      </c>
      <c r="L625">
        <v>2602.66</v>
      </c>
      <c r="M625">
        <v>1934.47</v>
      </c>
      <c r="N625">
        <v>668.19</v>
      </c>
      <c r="O625" t="s">
        <v>24</v>
      </c>
      <c r="P625">
        <v>5</v>
      </c>
    </row>
    <row r="626" spans="1:16" x14ac:dyDescent="0.35">
      <c r="A626" t="s">
        <v>1319</v>
      </c>
      <c r="B626" s="1">
        <v>45620</v>
      </c>
      <c r="C626" t="s">
        <v>1320</v>
      </c>
      <c r="D626" t="s">
        <v>19</v>
      </c>
      <c r="E626" t="s">
        <v>38</v>
      </c>
      <c r="F626" t="s">
        <v>39</v>
      </c>
      <c r="G626" t="s">
        <v>60</v>
      </c>
      <c r="H626" t="s">
        <v>110</v>
      </c>
      <c r="I626">
        <v>8</v>
      </c>
      <c r="J626">
        <v>541.37</v>
      </c>
      <c r="K626">
        <v>0.1</v>
      </c>
      <c r="L626">
        <v>3897.86</v>
      </c>
      <c r="M626">
        <v>2106.1799999999998</v>
      </c>
      <c r="N626">
        <v>1791.68</v>
      </c>
      <c r="O626" t="s">
        <v>33</v>
      </c>
      <c r="P626">
        <v>2</v>
      </c>
    </row>
    <row r="627" spans="1:16" x14ac:dyDescent="0.35">
      <c r="A627" t="s">
        <v>1321</v>
      </c>
      <c r="B627" s="1">
        <v>45501</v>
      </c>
      <c r="C627" t="s">
        <v>1322</v>
      </c>
      <c r="D627" t="s">
        <v>37</v>
      </c>
      <c r="E627" t="s">
        <v>30</v>
      </c>
      <c r="F627" t="s">
        <v>21</v>
      </c>
      <c r="G627" t="s">
        <v>79</v>
      </c>
      <c r="H627" t="s">
        <v>103</v>
      </c>
      <c r="I627">
        <v>11</v>
      </c>
      <c r="J627">
        <v>933.83</v>
      </c>
      <c r="K627">
        <v>0.05</v>
      </c>
      <c r="L627">
        <v>9758.52</v>
      </c>
      <c r="M627">
        <v>6101.06</v>
      </c>
      <c r="N627">
        <v>3657.46</v>
      </c>
      <c r="O627" t="s">
        <v>24</v>
      </c>
      <c r="P627">
        <v>1</v>
      </c>
    </row>
    <row r="628" spans="1:16" x14ac:dyDescent="0.35">
      <c r="A628" t="s">
        <v>1323</v>
      </c>
      <c r="B628" s="1">
        <v>45618</v>
      </c>
      <c r="C628" t="s">
        <v>851</v>
      </c>
      <c r="D628" t="s">
        <v>49</v>
      </c>
      <c r="E628" t="s">
        <v>98</v>
      </c>
      <c r="F628" t="s">
        <v>39</v>
      </c>
      <c r="G628" t="s">
        <v>60</v>
      </c>
      <c r="H628" t="s">
        <v>119</v>
      </c>
      <c r="I628">
        <v>7</v>
      </c>
      <c r="J628">
        <v>771.44</v>
      </c>
      <c r="K628">
        <v>0</v>
      </c>
      <c r="L628">
        <v>5400.08</v>
      </c>
      <c r="M628">
        <v>4245.0600000000004</v>
      </c>
      <c r="N628">
        <v>1155.02</v>
      </c>
      <c r="O628" t="s">
        <v>62</v>
      </c>
      <c r="P628">
        <v>5</v>
      </c>
    </row>
    <row r="629" spans="1:16" x14ac:dyDescent="0.35">
      <c r="A629" t="s">
        <v>1324</v>
      </c>
      <c r="B629" s="1">
        <v>45531</v>
      </c>
      <c r="C629" t="s">
        <v>1325</v>
      </c>
      <c r="D629" t="s">
        <v>49</v>
      </c>
      <c r="E629" t="s">
        <v>98</v>
      </c>
      <c r="F629" t="s">
        <v>39</v>
      </c>
      <c r="G629" t="s">
        <v>79</v>
      </c>
      <c r="H629" t="s">
        <v>89</v>
      </c>
      <c r="I629">
        <v>12</v>
      </c>
      <c r="J629">
        <v>854.12</v>
      </c>
      <c r="K629">
        <v>0.05</v>
      </c>
      <c r="L629">
        <v>9736.9699999999993</v>
      </c>
      <c r="M629">
        <v>6197.32</v>
      </c>
      <c r="N629">
        <v>3539.65</v>
      </c>
      <c r="O629" t="s">
        <v>62</v>
      </c>
      <c r="P629">
        <v>1</v>
      </c>
    </row>
    <row r="630" spans="1:16" x14ac:dyDescent="0.35">
      <c r="A630" t="s">
        <v>1326</v>
      </c>
      <c r="B630" s="1">
        <v>45366</v>
      </c>
      <c r="C630" t="s">
        <v>1327</v>
      </c>
      <c r="D630" t="s">
        <v>29</v>
      </c>
      <c r="E630" t="s">
        <v>85</v>
      </c>
      <c r="F630" t="s">
        <v>39</v>
      </c>
      <c r="G630" t="s">
        <v>79</v>
      </c>
      <c r="H630" t="s">
        <v>80</v>
      </c>
      <c r="I630">
        <v>7</v>
      </c>
      <c r="J630">
        <v>141.47</v>
      </c>
      <c r="K630">
        <v>0.1</v>
      </c>
      <c r="L630">
        <v>891.26</v>
      </c>
      <c r="M630">
        <v>507.25</v>
      </c>
      <c r="N630">
        <v>384.01</v>
      </c>
      <c r="O630" t="s">
        <v>33</v>
      </c>
      <c r="P630">
        <v>3</v>
      </c>
    </row>
    <row r="631" spans="1:16" x14ac:dyDescent="0.35">
      <c r="A631" t="s">
        <v>1328</v>
      </c>
      <c r="B631" s="1">
        <v>45421</v>
      </c>
      <c r="C631" t="s">
        <v>1329</v>
      </c>
      <c r="D631" t="s">
        <v>29</v>
      </c>
      <c r="E631" t="s">
        <v>85</v>
      </c>
      <c r="F631" t="s">
        <v>21</v>
      </c>
      <c r="G631" t="s">
        <v>60</v>
      </c>
      <c r="H631" t="s">
        <v>110</v>
      </c>
      <c r="I631">
        <v>6</v>
      </c>
      <c r="J631">
        <v>1074.4000000000001</v>
      </c>
      <c r="K631">
        <v>0.05</v>
      </c>
      <c r="L631">
        <v>6124.08</v>
      </c>
      <c r="M631">
        <v>4784.76</v>
      </c>
      <c r="N631">
        <v>1339.32</v>
      </c>
      <c r="O631" t="s">
        <v>51</v>
      </c>
      <c r="P631">
        <v>1</v>
      </c>
    </row>
    <row r="632" spans="1:16" x14ac:dyDescent="0.35">
      <c r="A632" t="s">
        <v>1330</v>
      </c>
      <c r="B632" s="1">
        <v>45342</v>
      </c>
      <c r="C632" t="s">
        <v>1331</v>
      </c>
      <c r="D632" t="s">
        <v>19</v>
      </c>
      <c r="E632" t="s">
        <v>20</v>
      </c>
      <c r="F632" t="s">
        <v>39</v>
      </c>
      <c r="G632" t="s">
        <v>79</v>
      </c>
      <c r="H632" t="s">
        <v>80</v>
      </c>
      <c r="I632">
        <v>6</v>
      </c>
      <c r="J632">
        <v>556.45000000000005</v>
      </c>
      <c r="K632">
        <v>0.15</v>
      </c>
      <c r="L632">
        <v>2837.89</v>
      </c>
      <c r="M632">
        <v>2292.94</v>
      </c>
      <c r="N632">
        <v>544.95000000000005</v>
      </c>
      <c r="O632" t="s">
        <v>62</v>
      </c>
      <c r="P632">
        <v>1</v>
      </c>
    </row>
    <row r="633" spans="1:16" x14ac:dyDescent="0.35">
      <c r="A633" t="s">
        <v>1332</v>
      </c>
      <c r="B633" s="1">
        <v>45599</v>
      </c>
      <c r="C633" t="s">
        <v>1333</v>
      </c>
      <c r="D633" t="s">
        <v>19</v>
      </c>
      <c r="E633" t="s">
        <v>98</v>
      </c>
      <c r="F633" t="s">
        <v>39</v>
      </c>
      <c r="G633" t="s">
        <v>43</v>
      </c>
      <c r="H633" t="s">
        <v>50</v>
      </c>
      <c r="I633">
        <v>10</v>
      </c>
      <c r="J633">
        <v>365.69</v>
      </c>
      <c r="K633">
        <v>0.15</v>
      </c>
      <c r="L633">
        <v>3108.36</v>
      </c>
      <c r="M633">
        <v>2122.98</v>
      </c>
      <c r="N633">
        <v>985.38</v>
      </c>
      <c r="O633" t="s">
        <v>62</v>
      </c>
      <c r="P633">
        <v>5</v>
      </c>
    </row>
    <row r="634" spans="1:16" x14ac:dyDescent="0.35">
      <c r="A634" t="s">
        <v>1334</v>
      </c>
      <c r="B634" s="1">
        <v>45293</v>
      </c>
      <c r="C634" t="s">
        <v>1335</v>
      </c>
      <c r="D634" t="s">
        <v>49</v>
      </c>
      <c r="E634" t="s">
        <v>30</v>
      </c>
      <c r="F634" t="s">
        <v>39</v>
      </c>
      <c r="G634" t="s">
        <v>60</v>
      </c>
      <c r="H634" t="s">
        <v>110</v>
      </c>
      <c r="I634">
        <v>10</v>
      </c>
      <c r="J634">
        <v>364.38</v>
      </c>
      <c r="K634">
        <v>0.1</v>
      </c>
      <c r="L634">
        <v>3279.42</v>
      </c>
      <c r="M634">
        <v>2372.4499999999998</v>
      </c>
      <c r="N634">
        <v>906.97</v>
      </c>
      <c r="O634" t="s">
        <v>33</v>
      </c>
      <c r="P634">
        <v>5</v>
      </c>
    </row>
    <row r="635" spans="1:16" x14ac:dyDescent="0.35">
      <c r="A635" t="s">
        <v>1336</v>
      </c>
      <c r="B635" s="1">
        <v>45521</v>
      </c>
      <c r="C635" t="s">
        <v>1337</v>
      </c>
      <c r="D635" t="s">
        <v>37</v>
      </c>
      <c r="E635" t="s">
        <v>98</v>
      </c>
      <c r="F635" t="s">
        <v>39</v>
      </c>
      <c r="G635" t="s">
        <v>79</v>
      </c>
      <c r="H635" t="s">
        <v>103</v>
      </c>
      <c r="I635">
        <v>11</v>
      </c>
      <c r="J635">
        <v>1140.95</v>
      </c>
      <c r="K635">
        <v>0.05</v>
      </c>
      <c r="L635">
        <v>11922.93</v>
      </c>
      <c r="M635">
        <v>7252.06</v>
      </c>
      <c r="N635">
        <v>4670.87</v>
      </c>
      <c r="O635" t="s">
        <v>51</v>
      </c>
      <c r="P635">
        <v>3</v>
      </c>
    </row>
    <row r="636" spans="1:16" x14ac:dyDescent="0.35">
      <c r="A636" t="s">
        <v>1338</v>
      </c>
      <c r="B636" s="1">
        <v>45315</v>
      </c>
      <c r="C636" t="s">
        <v>1339</v>
      </c>
      <c r="D636" t="s">
        <v>66</v>
      </c>
      <c r="E636" t="s">
        <v>30</v>
      </c>
      <c r="F636" t="s">
        <v>39</v>
      </c>
      <c r="G636" t="s">
        <v>22</v>
      </c>
      <c r="H636" t="s">
        <v>32</v>
      </c>
      <c r="I636">
        <v>4</v>
      </c>
      <c r="J636">
        <v>886.18</v>
      </c>
      <c r="K636">
        <v>0.1</v>
      </c>
      <c r="L636">
        <v>3190.25</v>
      </c>
      <c r="M636">
        <v>1685.57</v>
      </c>
      <c r="N636">
        <v>1504.68</v>
      </c>
      <c r="O636" t="s">
        <v>24</v>
      </c>
      <c r="P636">
        <v>2</v>
      </c>
    </row>
    <row r="637" spans="1:16" x14ac:dyDescent="0.35">
      <c r="A637" t="s">
        <v>1340</v>
      </c>
      <c r="B637" s="1">
        <v>45444</v>
      </c>
      <c r="C637" t="s">
        <v>1341</v>
      </c>
      <c r="D637" t="s">
        <v>49</v>
      </c>
      <c r="E637" t="s">
        <v>20</v>
      </c>
      <c r="F637" t="s">
        <v>31</v>
      </c>
      <c r="G637" t="s">
        <v>79</v>
      </c>
      <c r="H637" t="s">
        <v>89</v>
      </c>
      <c r="I637">
        <v>3</v>
      </c>
      <c r="J637">
        <v>1162.76</v>
      </c>
      <c r="K637">
        <v>0.1</v>
      </c>
      <c r="L637">
        <v>3139.45</v>
      </c>
      <c r="M637">
        <v>2009.08</v>
      </c>
      <c r="N637">
        <v>1130.3699999999999</v>
      </c>
      <c r="O637" t="s">
        <v>24</v>
      </c>
      <c r="P637">
        <v>2</v>
      </c>
    </row>
    <row r="638" spans="1:16" x14ac:dyDescent="0.35">
      <c r="A638" t="s">
        <v>1342</v>
      </c>
      <c r="B638" s="1">
        <v>45516</v>
      </c>
      <c r="C638" t="s">
        <v>1343</v>
      </c>
      <c r="D638" t="s">
        <v>66</v>
      </c>
      <c r="E638" t="s">
        <v>20</v>
      </c>
      <c r="F638" t="s">
        <v>31</v>
      </c>
      <c r="G638" t="s">
        <v>79</v>
      </c>
      <c r="H638" t="s">
        <v>89</v>
      </c>
      <c r="I638">
        <v>8</v>
      </c>
      <c r="J638">
        <v>441.73</v>
      </c>
      <c r="K638">
        <v>0.15</v>
      </c>
      <c r="L638">
        <v>3003.76</v>
      </c>
      <c r="M638">
        <v>1531.68</v>
      </c>
      <c r="N638">
        <v>1472.08</v>
      </c>
      <c r="O638" t="s">
        <v>24</v>
      </c>
      <c r="P638">
        <v>3</v>
      </c>
    </row>
    <row r="639" spans="1:16" x14ac:dyDescent="0.35">
      <c r="A639" t="s">
        <v>1344</v>
      </c>
      <c r="B639" s="1">
        <v>45354</v>
      </c>
      <c r="C639" t="s">
        <v>1345</v>
      </c>
      <c r="D639" t="s">
        <v>37</v>
      </c>
      <c r="E639" t="s">
        <v>20</v>
      </c>
      <c r="F639" t="s">
        <v>39</v>
      </c>
      <c r="G639" t="s">
        <v>79</v>
      </c>
      <c r="H639" t="s">
        <v>80</v>
      </c>
      <c r="I639">
        <v>5</v>
      </c>
      <c r="J639">
        <v>839.76</v>
      </c>
      <c r="K639">
        <v>0.1</v>
      </c>
      <c r="L639">
        <v>3778.92</v>
      </c>
      <c r="M639">
        <v>2021.68</v>
      </c>
      <c r="N639">
        <v>1757.24</v>
      </c>
      <c r="O639" t="s">
        <v>62</v>
      </c>
      <c r="P639">
        <v>4</v>
      </c>
    </row>
    <row r="640" spans="1:16" x14ac:dyDescent="0.35">
      <c r="A640" t="s">
        <v>1346</v>
      </c>
      <c r="B640" s="1">
        <v>45654</v>
      </c>
      <c r="C640" t="s">
        <v>1347</v>
      </c>
      <c r="D640" t="s">
        <v>37</v>
      </c>
      <c r="E640" t="s">
        <v>20</v>
      </c>
      <c r="F640" t="s">
        <v>21</v>
      </c>
      <c r="G640" t="s">
        <v>22</v>
      </c>
      <c r="H640" t="s">
        <v>74</v>
      </c>
      <c r="I640">
        <v>7</v>
      </c>
      <c r="J640">
        <v>205.79</v>
      </c>
      <c r="K640">
        <v>0.15</v>
      </c>
      <c r="L640">
        <v>1224.45</v>
      </c>
      <c r="M640">
        <v>739.48</v>
      </c>
      <c r="N640">
        <v>484.97</v>
      </c>
      <c r="O640" t="s">
        <v>24</v>
      </c>
      <c r="P640">
        <v>4</v>
      </c>
    </row>
    <row r="641" spans="1:16" x14ac:dyDescent="0.35">
      <c r="A641" t="s">
        <v>1348</v>
      </c>
      <c r="B641" s="1">
        <v>45646</v>
      </c>
      <c r="C641" t="s">
        <v>1349</v>
      </c>
      <c r="D641" t="s">
        <v>37</v>
      </c>
      <c r="E641" t="s">
        <v>20</v>
      </c>
      <c r="F641" t="s">
        <v>21</v>
      </c>
      <c r="G641" t="s">
        <v>60</v>
      </c>
      <c r="H641" t="s">
        <v>110</v>
      </c>
      <c r="I641">
        <v>4</v>
      </c>
      <c r="J641">
        <v>434.46</v>
      </c>
      <c r="K641">
        <v>0.15</v>
      </c>
      <c r="L641">
        <v>1477.16</v>
      </c>
      <c r="M641">
        <v>1210.96</v>
      </c>
      <c r="N641">
        <v>266.2</v>
      </c>
      <c r="O641" t="s">
        <v>51</v>
      </c>
      <c r="P641">
        <v>4</v>
      </c>
    </row>
    <row r="642" spans="1:16" x14ac:dyDescent="0.35">
      <c r="A642" t="s">
        <v>1350</v>
      </c>
      <c r="B642" s="1">
        <v>45648</v>
      </c>
      <c r="C642" t="s">
        <v>1351</v>
      </c>
      <c r="D642" t="s">
        <v>29</v>
      </c>
      <c r="E642" t="s">
        <v>85</v>
      </c>
      <c r="F642" t="s">
        <v>21</v>
      </c>
      <c r="G642" t="s">
        <v>22</v>
      </c>
      <c r="H642" t="s">
        <v>124</v>
      </c>
      <c r="I642">
        <v>9</v>
      </c>
      <c r="J642">
        <v>666.33</v>
      </c>
      <c r="K642">
        <v>0</v>
      </c>
      <c r="L642">
        <v>5996.97</v>
      </c>
      <c r="M642">
        <v>3602.04</v>
      </c>
      <c r="N642">
        <v>2394.9299999999998</v>
      </c>
      <c r="O642" t="s">
        <v>62</v>
      </c>
      <c r="P642">
        <v>2</v>
      </c>
    </row>
    <row r="643" spans="1:16" x14ac:dyDescent="0.35">
      <c r="A643" t="s">
        <v>1352</v>
      </c>
      <c r="B643" s="1">
        <v>45478</v>
      </c>
      <c r="C643" t="s">
        <v>1353</v>
      </c>
      <c r="D643" t="s">
        <v>29</v>
      </c>
      <c r="E643" t="s">
        <v>30</v>
      </c>
      <c r="F643" t="s">
        <v>21</v>
      </c>
      <c r="G643" t="s">
        <v>60</v>
      </c>
      <c r="H643" t="s">
        <v>110</v>
      </c>
      <c r="I643">
        <v>9</v>
      </c>
      <c r="J643">
        <v>717.04</v>
      </c>
      <c r="K643">
        <v>0</v>
      </c>
      <c r="L643">
        <v>6453.36</v>
      </c>
      <c r="M643">
        <v>4298.8</v>
      </c>
      <c r="N643">
        <v>2154.56</v>
      </c>
      <c r="O643" t="s">
        <v>24</v>
      </c>
      <c r="P643">
        <v>4</v>
      </c>
    </row>
    <row r="644" spans="1:16" x14ac:dyDescent="0.35">
      <c r="A644" t="s">
        <v>1354</v>
      </c>
      <c r="B644" s="1">
        <v>45522</v>
      </c>
      <c r="C644" t="s">
        <v>1355</v>
      </c>
      <c r="D644" t="s">
        <v>49</v>
      </c>
      <c r="E644" t="s">
        <v>20</v>
      </c>
      <c r="F644" t="s">
        <v>21</v>
      </c>
      <c r="G644" t="s">
        <v>60</v>
      </c>
      <c r="H644" t="s">
        <v>61</v>
      </c>
      <c r="I644">
        <v>8</v>
      </c>
      <c r="J644">
        <v>608.74</v>
      </c>
      <c r="K644">
        <v>0.15</v>
      </c>
      <c r="L644">
        <v>4139.43</v>
      </c>
      <c r="M644">
        <v>2752.92</v>
      </c>
      <c r="N644">
        <v>1386.51</v>
      </c>
      <c r="O644" t="s">
        <v>33</v>
      </c>
      <c r="P644">
        <v>4</v>
      </c>
    </row>
    <row r="645" spans="1:16" x14ac:dyDescent="0.35">
      <c r="A645" t="s">
        <v>1356</v>
      </c>
      <c r="B645" s="1">
        <v>45583</v>
      </c>
      <c r="C645" t="s">
        <v>1357</v>
      </c>
      <c r="D645" t="s">
        <v>66</v>
      </c>
      <c r="E645" t="s">
        <v>20</v>
      </c>
      <c r="F645" t="s">
        <v>21</v>
      </c>
      <c r="G645" t="s">
        <v>22</v>
      </c>
      <c r="H645" t="s">
        <v>32</v>
      </c>
      <c r="I645">
        <v>10</v>
      </c>
      <c r="J645">
        <v>618.38</v>
      </c>
      <c r="K645">
        <v>0.05</v>
      </c>
      <c r="L645">
        <v>5874.61</v>
      </c>
      <c r="M645">
        <v>4862.24</v>
      </c>
      <c r="N645">
        <v>1012.37</v>
      </c>
      <c r="O645" t="s">
        <v>33</v>
      </c>
      <c r="P645">
        <v>5</v>
      </c>
    </row>
    <row r="646" spans="1:16" x14ac:dyDescent="0.35">
      <c r="A646" t="s">
        <v>1358</v>
      </c>
      <c r="B646" s="1">
        <v>45498</v>
      </c>
      <c r="C646" t="s">
        <v>1359</v>
      </c>
      <c r="D646" t="s">
        <v>66</v>
      </c>
      <c r="E646" t="s">
        <v>98</v>
      </c>
      <c r="F646" t="s">
        <v>39</v>
      </c>
      <c r="G646" t="s">
        <v>22</v>
      </c>
      <c r="H646" t="s">
        <v>74</v>
      </c>
      <c r="I646">
        <v>2</v>
      </c>
      <c r="J646">
        <v>120.66</v>
      </c>
      <c r="K646">
        <v>0</v>
      </c>
      <c r="L646">
        <v>241.32</v>
      </c>
      <c r="M646">
        <v>183.17</v>
      </c>
      <c r="N646">
        <v>58.15</v>
      </c>
      <c r="O646" t="s">
        <v>33</v>
      </c>
      <c r="P646">
        <v>5</v>
      </c>
    </row>
    <row r="647" spans="1:16" x14ac:dyDescent="0.35">
      <c r="A647" t="s">
        <v>1360</v>
      </c>
      <c r="B647" s="1">
        <v>45527</v>
      </c>
      <c r="C647" t="s">
        <v>1361</v>
      </c>
      <c r="D647" t="s">
        <v>37</v>
      </c>
      <c r="E647" t="s">
        <v>30</v>
      </c>
      <c r="F647" t="s">
        <v>31</v>
      </c>
      <c r="G647" t="s">
        <v>60</v>
      </c>
      <c r="H647" t="s">
        <v>61</v>
      </c>
      <c r="I647">
        <v>10</v>
      </c>
      <c r="J647">
        <v>927.14</v>
      </c>
      <c r="K647">
        <v>0.05</v>
      </c>
      <c r="L647">
        <v>8807.83</v>
      </c>
      <c r="M647">
        <v>4653.2299999999996</v>
      </c>
      <c r="N647">
        <v>4154.6000000000004</v>
      </c>
      <c r="O647" t="s">
        <v>51</v>
      </c>
      <c r="P647">
        <v>1</v>
      </c>
    </row>
    <row r="648" spans="1:16" x14ac:dyDescent="0.35">
      <c r="A648" t="s">
        <v>1362</v>
      </c>
      <c r="B648" s="1">
        <v>45521</v>
      </c>
      <c r="C648" t="s">
        <v>217</v>
      </c>
      <c r="D648" t="s">
        <v>19</v>
      </c>
      <c r="E648" t="s">
        <v>20</v>
      </c>
      <c r="F648" t="s">
        <v>31</v>
      </c>
      <c r="G648" t="s">
        <v>22</v>
      </c>
      <c r="H648" t="s">
        <v>32</v>
      </c>
      <c r="I648">
        <v>4</v>
      </c>
      <c r="J648">
        <v>644.97</v>
      </c>
      <c r="K648">
        <v>0.05</v>
      </c>
      <c r="L648">
        <v>2450.89</v>
      </c>
      <c r="M648">
        <v>2010.48</v>
      </c>
      <c r="N648">
        <v>440.41</v>
      </c>
      <c r="O648" t="s">
        <v>33</v>
      </c>
      <c r="P648">
        <v>1</v>
      </c>
    </row>
    <row r="649" spans="1:16" x14ac:dyDescent="0.35">
      <c r="A649" t="s">
        <v>1363</v>
      </c>
      <c r="B649" s="1">
        <v>45456</v>
      </c>
      <c r="C649" t="s">
        <v>1364</v>
      </c>
      <c r="D649" t="s">
        <v>29</v>
      </c>
      <c r="E649" t="s">
        <v>38</v>
      </c>
      <c r="F649" t="s">
        <v>39</v>
      </c>
      <c r="G649" t="s">
        <v>43</v>
      </c>
      <c r="H649" t="s">
        <v>173</v>
      </c>
      <c r="I649">
        <v>7</v>
      </c>
      <c r="J649">
        <v>1045.93</v>
      </c>
      <c r="K649">
        <v>0.15</v>
      </c>
      <c r="L649">
        <v>6223.28</v>
      </c>
      <c r="M649">
        <v>3820.85</v>
      </c>
      <c r="N649">
        <v>2402.4299999999998</v>
      </c>
      <c r="O649" t="s">
        <v>24</v>
      </c>
      <c r="P649">
        <v>5</v>
      </c>
    </row>
    <row r="650" spans="1:16" x14ac:dyDescent="0.35">
      <c r="A650" t="s">
        <v>1365</v>
      </c>
      <c r="B650" s="1">
        <v>45511</v>
      </c>
      <c r="C650" t="s">
        <v>1366</v>
      </c>
      <c r="D650" t="s">
        <v>37</v>
      </c>
      <c r="E650" t="s">
        <v>20</v>
      </c>
      <c r="F650" t="s">
        <v>21</v>
      </c>
      <c r="G650" t="s">
        <v>22</v>
      </c>
      <c r="H650" t="s">
        <v>23</v>
      </c>
      <c r="I650">
        <v>12</v>
      </c>
      <c r="J650">
        <v>358.16</v>
      </c>
      <c r="K650">
        <v>0.05</v>
      </c>
      <c r="L650">
        <v>4083.02</v>
      </c>
      <c r="M650">
        <v>2074.27</v>
      </c>
      <c r="N650">
        <v>2008.75</v>
      </c>
      <c r="O650" t="s">
        <v>24</v>
      </c>
      <c r="P650">
        <v>2</v>
      </c>
    </row>
    <row r="651" spans="1:16" x14ac:dyDescent="0.35">
      <c r="A651" t="s">
        <v>1367</v>
      </c>
      <c r="B651" s="1">
        <v>45619</v>
      </c>
      <c r="C651" t="s">
        <v>1368</v>
      </c>
      <c r="D651" t="s">
        <v>37</v>
      </c>
      <c r="E651" t="s">
        <v>85</v>
      </c>
      <c r="F651" t="s">
        <v>31</v>
      </c>
      <c r="G651" t="s">
        <v>22</v>
      </c>
      <c r="H651" t="s">
        <v>74</v>
      </c>
      <c r="I651">
        <v>7</v>
      </c>
      <c r="J651">
        <v>555.83000000000004</v>
      </c>
      <c r="K651">
        <v>0.15</v>
      </c>
      <c r="L651">
        <v>3307.19</v>
      </c>
      <c r="M651">
        <v>2031.71</v>
      </c>
      <c r="N651">
        <v>1275.48</v>
      </c>
      <c r="O651" t="s">
        <v>51</v>
      </c>
      <c r="P651">
        <v>3</v>
      </c>
    </row>
    <row r="652" spans="1:16" x14ac:dyDescent="0.35">
      <c r="A652" t="s">
        <v>1369</v>
      </c>
      <c r="B652" s="1">
        <v>45606</v>
      </c>
      <c r="C652" t="s">
        <v>1370</v>
      </c>
      <c r="D652" t="s">
        <v>19</v>
      </c>
      <c r="E652" t="s">
        <v>20</v>
      </c>
      <c r="F652" t="s">
        <v>21</v>
      </c>
      <c r="G652" t="s">
        <v>60</v>
      </c>
      <c r="H652" t="s">
        <v>110</v>
      </c>
      <c r="I652">
        <v>9</v>
      </c>
      <c r="J652">
        <v>157.82</v>
      </c>
      <c r="K652">
        <v>0.15</v>
      </c>
      <c r="L652">
        <v>1207.32</v>
      </c>
      <c r="M652">
        <v>673.11</v>
      </c>
      <c r="N652">
        <v>534.21</v>
      </c>
      <c r="O652" t="s">
        <v>33</v>
      </c>
      <c r="P652">
        <v>3</v>
      </c>
    </row>
    <row r="653" spans="1:16" x14ac:dyDescent="0.35">
      <c r="A653" t="s">
        <v>1371</v>
      </c>
      <c r="B653" s="1">
        <v>45337</v>
      </c>
      <c r="C653" t="s">
        <v>1372</v>
      </c>
      <c r="D653" t="s">
        <v>49</v>
      </c>
      <c r="E653" t="s">
        <v>30</v>
      </c>
      <c r="F653" t="s">
        <v>21</v>
      </c>
      <c r="G653" t="s">
        <v>43</v>
      </c>
      <c r="H653" t="s">
        <v>173</v>
      </c>
      <c r="I653">
        <v>7</v>
      </c>
      <c r="J653">
        <v>129.12</v>
      </c>
      <c r="K653">
        <v>0.05</v>
      </c>
      <c r="L653">
        <v>858.65</v>
      </c>
      <c r="M653">
        <v>711.39</v>
      </c>
      <c r="N653">
        <v>147.26</v>
      </c>
      <c r="O653" t="s">
        <v>33</v>
      </c>
      <c r="P653">
        <v>1</v>
      </c>
    </row>
    <row r="654" spans="1:16" x14ac:dyDescent="0.35">
      <c r="A654" t="s">
        <v>1373</v>
      </c>
      <c r="B654" s="1">
        <v>45308</v>
      </c>
      <c r="C654" t="s">
        <v>1374</v>
      </c>
      <c r="D654" t="s">
        <v>66</v>
      </c>
      <c r="E654" t="s">
        <v>30</v>
      </c>
      <c r="F654" t="s">
        <v>21</v>
      </c>
      <c r="G654" t="s">
        <v>79</v>
      </c>
      <c r="H654" t="s">
        <v>89</v>
      </c>
      <c r="I654">
        <v>9</v>
      </c>
      <c r="J654">
        <v>48.7</v>
      </c>
      <c r="K654">
        <v>0.15</v>
      </c>
      <c r="L654">
        <v>372.56</v>
      </c>
      <c r="M654">
        <v>282.51</v>
      </c>
      <c r="N654">
        <v>90.05</v>
      </c>
      <c r="O654" t="s">
        <v>62</v>
      </c>
      <c r="P654">
        <v>5</v>
      </c>
    </row>
    <row r="655" spans="1:16" x14ac:dyDescent="0.35">
      <c r="A655" t="s">
        <v>1375</v>
      </c>
      <c r="B655" s="1">
        <v>45449</v>
      </c>
      <c r="C655" t="s">
        <v>1376</v>
      </c>
      <c r="D655" t="s">
        <v>29</v>
      </c>
      <c r="E655" t="s">
        <v>98</v>
      </c>
      <c r="F655" t="s">
        <v>39</v>
      </c>
      <c r="G655" t="s">
        <v>22</v>
      </c>
      <c r="H655" t="s">
        <v>124</v>
      </c>
      <c r="I655">
        <v>12</v>
      </c>
      <c r="J655">
        <v>818.7</v>
      </c>
      <c r="K655">
        <v>0.15</v>
      </c>
      <c r="L655">
        <v>8350.74</v>
      </c>
      <c r="M655">
        <v>4907.5</v>
      </c>
      <c r="N655">
        <v>3443.24</v>
      </c>
      <c r="O655" t="s">
        <v>33</v>
      </c>
      <c r="P655">
        <v>4</v>
      </c>
    </row>
    <row r="656" spans="1:16" x14ac:dyDescent="0.35">
      <c r="A656" t="s">
        <v>1377</v>
      </c>
      <c r="B656" s="1">
        <v>45572</v>
      </c>
      <c r="C656" t="s">
        <v>1378</v>
      </c>
      <c r="D656" t="s">
        <v>49</v>
      </c>
      <c r="E656" t="s">
        <v>85</v>
      </c>
      <c r="F656" t="s">
        <v>31</v>
      </c>
      <c r="G656" t="s">
        <v>43</v>
      </c>
      <c r="H656" t="s">
        <v>173</v>
      </c>
      <c r="I656">
        <v>1</v>
      </c>
      <c r="J656">
        <v>356.01</v>
      </c>
      <c r="K656">
        <v>0.1</v>
      </c>
      <c r="L656">
        <v>320.41000000000003</v>
      </c>
      <c r="M656">
        <v>161.96</v>
      </c>
      <c r="N656">
        <v>158.44999999999999</v>
      </c>
      <c r="O656" t="s">
        <v>33</v>
      </c>
      <c r="P656">
        <v>5</v>
      </c>
    </row>
    <row r="657" spans="1:16" x14ac:dyDescent="0.35">
      <c r="A657" t="s">
        <v>1379</v>
      </c>
      <c r="B657" s="1">
        <v>45528</v>
      </c>
      <c r="C657" t="s">
        <v>1380</v>
      </c>
      <c r="D657" t="s">
        <v>37</v>
      </c>
      <c r="E657" t="s">
        <v>20</v>
      </c>
      <c r="F657" t="s">
        <v>31</v>
      </c>
      <c r="G657" t="s">
        <v>22</v>
      </c>
      <c r="H657" t="s">
        <v>124</v>
      </c>
      <c r="I657">
        <v>7</v>
      </c>
      <c r="J657">
        <v>467.48</v>
      </c>
      <c r="K657">
        <v>0</v>
      </c>
      <c r="L657">
        <v>3272.36</v>
      </c>
      <c r="M657">
        <v>2170.52</v>
      </c>
      <c r="N657">
        <v>1101.8399999999999</v>
      </c>
      <c r="O657" t="s">
        <v>51</v>
      </c>
      <c r="P657">
        <v>4</v>
      </c>
    </row>
    <row r="658" spans="1:16" x14ac:dyDescent="0.35">
      <c r="A658" t="s">
        <v>1381</v>
      </c>
      <c r="B658" s="1">
        <v>45448</v>
      </c>
      <c r="C658" t="s">
        <v>1382</v>
      </c>
      <c r="D658" t="s">
        <v>29</v>
      </c>
      <c r="E658" t="s">
        <v>30</v>
      </c>
      <c r="F658" t="s">
        <v>31</v>
      </c>
      <c r="G658" t="s">
        <v>79</v>
      </c>
      <c r="H658" t="s">
        <v>80</v>
      </c>
      <c r="I658">
        <v>6</v>
      </c>
      <c r="J658">
        <v>153.69999999999999</v>
      </c>
      <c r="K658">
        <v>0.1</v>
      </c>
      <c r="L658">
        <v>829.98</v>
      </c>
      <c r="M658">
        <v>527.95000000000005</v>
      </c>
      <c r="N658">
        <v>302.02999999999997</v>
      </c>
      <c r="O658" t="s">
        <v>33</v>
      </c>
      <c r="P658">
        <v>4</v>
      </c>
    </row>
    <row r="659" spans="1:16" x14ac:dyDescent="0.35">
      <c r="A659" t="s">
        <v>1383</v>
      </c>
      <c r="B659" s="1">
        <v>45563</v>
      </c>
      <c r="C659" t="s">
        <v>1384</v>
      </c>
      <c r="D659" t="s">
        <v>66</v>
      </c>
      <c r="E659" t="s">
        <v>98</v>
      </c>
      <c r="F659" t="s">
        <v>31</v>
      </c>
      <c r="G659" t="s">
        <v>43</v>
      </c>
      <c r="H659" t="s">
        <v>50</v>
      </c>
      <c r="I659">
        <v>8</v>
      </c>
      <c r="J659">
        <v>1091.3</v>
      </c>
      <c r="K659">
        <v>0.05</v>
      </c>
      <c r="L659">
        <v>8293.8799999999992</v>
      </c>
      <c r="M659">
        <v>6238.63</v>
      </c>
      <c r="N659">
        <v>2055.25</v>
      </c>
      <c r="O659" t="s">
        <v>62</v>
      </c>
      <c r="P659">
        <v>1</v>
      </c>
    </row>
    <row r="660" spans="1:16" x14ac:dyDescent="0.35">
      <c r="A660" t="s">
        <v>1385</v>
      </c>
      <c r="B660" s="1">
        <v>45647</v>
      </c>
      <c r="C660" t="s">
        <v>1386</v>
      </c>
      <c r="D660" t="s">
        <v>19</v>
      </c>
      <c r="E660" t="s">
        <v>30</v>
      </c>
      <c r="F660" t="s">
        <v>31</v>
      </c>
      <c r="G660" t="s">
        <v>22</v>
      </c>
      <c r="H660" t="s">
        <v>32</v>
      </c>
      <c r="I660">
        <v>8</v>
      </c>
      <c r="J660">
        <v>55.84</v>
      </c>
      <c r="K660">
        <v>0.15</v>
      </c>
      <c r="L660">
        <v>379.71</v>
      </c>
      <c r="M660">
        <v>218.76</v>
      </c>
      <c r="N660">
        <v>160.94999999999999</v>
      </c>
      <c r="O660" t="s">
        <v>24</v>
      </c>
      <c r="P660">
        <v>3</v>
      </c>
    </row>
    <row r="661" spans="1:16" x14ac:dyDescent="0.35">
      <c r="A661" t="s">
        <v>1387</v>
      </c>
      <c r="B661" s="1">
        <v>45619</v>
      </c>
      <c r="C661" t="s">
        <v>1388</v>
      </c>
      <c r="D661" t="s">
        <v>49</v>
      </c>
      <c r="E661" t="s">
        <v>38</v>
      </c>
      <c r="F661" t="s">
        <v>21</v>
      </c>
      <c r="G661" t="s">
        <v>79</v>
      </c>
      <c r="H661" t="s">
        <v>103</v>
      </c>
      <c r="I661">
        <v>10</v>
      </c>
      <c r="J661">
        <v>725.79</v>
      </c>
      <c r="K661">
        <v>0</v>
      </c>
      <c r="L661">
        <v>7257.9</v>
      </c>
      <c r="M661">
        <v>3813.66</v>
      </c>
      <c r="N661">
        <v>3444.24</v>
      </c>
      <c r="O661" t="s">
        <v>33</v>
      </c>
      <c r="P661">
        <v>4</v>
      </c>
    </row>
    <row r="662" spans="1:16" x14ac:dyDescent="0.35">
      <c r="A662" t="s">
        <v>1389</v>
      </c>
      <c r="B662" s="1">
        <v>45338</v>
      </c>
      <c r="C662" t="s">
        <v>1390</v>
      </c>
      <c r="D662" t="s">
        <v>29</v>
      </c>
      <c r="E662" t="s">
        <v>38</v>
      </c>
      <c r="F662" t="s">
        <v>31</v>
      </c>
      <c r="G662" t="s">
        <v>43</v>
      </c>
      <c r="H662" t="s">
        <v>173</v>
      </c>
      <c r="I662">
        <v>7</v>
      </c>
      <c r="J662">
        <v>252.95</v>
      </c>
      <c r="K662">
        <v>0</v>
      </c>
      <c r="L662">
        <v>1770.65</v>
      </c>
      <c r="M662">
        <v>1372.37</v>
      </c>
      <c r="N662">
        <v>398.28</v>
      </c>
      <c r="O662" t="s">
        <v>62</v>
      </c>
      <c r="P662">
        <v>3</v>
      </c>
    </row>
    <row r="663" spans="1:16" x14ac:dyDescent="0.35">
      <c r="A663" t="s">
        <v>1391</v>
      </c>
      <c r="B663" s="1">
        <v>45563</v>
      </c>
      <c r="C663" t="s">
        <v>1392</v>
      </c>
      <c r="D663" t="s">
        <v>29</v>
      </c>
      <c r="E663" t="s">
        <v>85</v>
      </c>
      <c r="F663" t="s">
        <v>21</v>
      </c>
      <c r="G663" t="s">
        <v>60</v>
      </c>
      <c r="H663" t="s">
        <v>110</v>
      </c>
      <c r="I663">
        <v>3</v>
      </c>
      <c r="J663">
        <v>632.79</v>
      </c>
      <c r="K663">
        <v>0.15</v>
      </c>
      <c r="L663">
        <v>1613.61</v>
      </c>
      <c r="M663">
        <v>1011.61</v>
      </c>
      <c r="N663">
        <v>602</v>
      </c>
      <c r="O663" t="s">
        <v>24</v>
      </c>
      <c r="P663">
        <v>2</v>
      </c>
    </row>
    <row r="664" spans="1:16" x14ac:dyDescent="0.35">
      <c r="A664" t="s">
        <v>1393</v>
      </c>
      <c r="B664" s="1">
        <v>45626</v>
      </c>
      <c r="C664" t="s">
        <v>1394</v>
      </c>
      <c r="D664" t="s">
        <v>37</v>
      </c>
      <c r="E664" t="s">
        <v>38</v>
      </c>
      <c r="F664" t="s">
        <v>39</v>
      </c>
      <c r="G664" t="s">
        <v>60</v>
      </c>
      <c r="H664" t="s">
        <v>110</v>
      </c>
      <c r="I664">
        <v>11</v>
      </c>
      <c r="J664">
        <v>1085.74</v>
      </c>
      <c r="K664">
        <v>0.05</v>
      </c>
      <c r="L664">
        <v>11345.98</v>
      </c>
      <c r="M664">
        <v>7817.97</v>
      </c>
      <c r="N664">
        <v>3528.01</v>
      </c>
      <c r="O664" t="s">
        <v>24</v>
      </c>
      <c r="P664">
        <v>1</v>
      </c>
    </row>
    <row r="665" spans="1:16" x14ac:dyDescent="0.35">
      <c r="A665" t="s">
        <v>1395</v>
      </c>
      <c r="B665" s="1">
        <v>45609</v>
      </c>
      <c r="C665" t="s">
        <v>1396</v>
      </c>
      <c r="D665" t="s">
        <v>37</v>
      </c>
      <c r="E665" t="s">
        <v>85</v>
      </c>
      <c r="F665" t="s">
        <v>21</v>
      </c>
      <c r="G665" t="s">
        <v>79</v>
      </c>
      <c r="H665" t="s">
        <v>80</v>
      </c>
      <c r="I665">
        <v>11</v>
      </c>
      <c r="J665">
        <v>440.46</v>
      </c>
      <c r="K665">
        <v>0</v>
      </c>
      <c r="L665">
        <v>4845.0600000000004</v>
      </c>
      <c r="M665">
        <v>2712.81</v>
      </c>
      <c r="N665">
        <v>2132.25</v>
      </c>
      <c r="O665" t="s">
        <v>24</v>
      </c>
      <c r="P665">
        <v>1</v>
      </c>
    </row>
    <row r="666" spans="1:16" x14ac:dyDescent="0.35">
      <c r="A666" t="s">
        <v>1397</v>
      </c>
      <c r="B666" s="1">
        <v>45477</v>
      </c>
      <c r="C666" t="s">
        <v>1398</v>
      </c>
      <c r="D666" t="s">
        <v>66</v>
      </c>
      <c r="E666" t="s">
        <v>20</v>
      </c>
      <c r="F666" t="s">
        <v>31</v>
      </c>
      <c r="G666" t="s">
        <v>43</v>
      </c>
      <c r="H666" t="s">
        <v>44</v>
      </c>
      <c r="I666">
        <v>8</v>
      </c>
      <c r="J666">
        <v>1015.86</v>
      </c>
      <c r="K666">
        <v>0</v>
      </c>
      <c r="L666">
        <v>8126.88</v>
      </c>
      <c r="M666">
        <v>4923</v>
      </c>
      <c r="N666">
        <v>3203.88</v>
      </c>
      <c r="O666" t="s">
        <v>51</v>
      </c>
      <c r="P666">
        <v>4</v>
      </c>
    </row>
    <row r="667" spans="1:16" x14ac:dyDescent="0.35">
      <c r="A667" t="s">
        <v>1399</v>
      </c>
      <c r="B667" s="1">
        <v>45649</v>
      </c>
      <c r="C667" t="s">
        <v>1400</v>
      </c>
      <c r="D667" t="s">
        <v>29</v>
      </c>
      <c r="E667" t="s">
        <v>85</v>
      </c>
      <c r="F667" t="s">
        <v>21</v>
      </c>
      <c r="G667" t="s">
        <v>43</v>
      </c>
      <c r="H667" t="s">
        <v>50</v>
      </c>
      <c r="I667">
        <v>6</v>
      </c>
      <c r="J667">
        <v>375.68</v>
      </c>
      <c r="K667">
        <v>0.15</v>
      </c>
      <c r="L667">
        <v>1915.97</v>
      </c>
      <c r="M667">
        <v>1256.76</v>
      </c>
      <c r="N667">
        <v>659.21</v>
      </c>
      <c r="O667" t="s">
        <v>62</v>
      </c>
      <c r="P667">
        <v>1</v>
      </c>
    </row>
    <row r="668" spans="1:16" x14ac:dyDescent="0.35">
      <c r="A668" t="s">
        <v>1401</v>
      </c>
      <c r="B668" s="1">
        <v>45444</v>
      </c>
      <c r="C668" t="s">
        <v>1402</v>
      </c>
      <c r="D668" t="s">
        <v>49</v>
      </c>
      <c r="E668" t="s">
        <v>85</v>
      </c>
      <c r="F668" t="s">
        <v>31</v>
      </c>
      <c r="G668" t="s">
        <v>60</v>
      </c>
      <c r="H668" t="s">
        <v>110</v>
      </c>
      <c r="I668">
        <v>6</v>
      </c>
      <c r="J668">
        <v>743.3</v>
      </c>
      <c r="K668">
        <v>0.1</v>
      </c>
      <c r="L668">
        <v>4013.82</v>
      </c>
      <c r="M668">
        <v>2713.37</v>
      </c>
      <c r="N668">
        <v>1300.45</v>
      </c>
      <c r="O668" t="s">
        <v>33</v>
      </c>
      <c r="P668">
        <v>3</v>
      </c>
    </row>
    <row r="669" spans="1:16" x14ac:dyDescent="0.35">
      <c r="A669" t="s">
        <v>1403</v>
      </c>
      <c r="B669" s="1">
        <v>45319</v>
      </c>
      <c r="C669" t="s">
        <v>1404</v>
      </c>
      <c r="D669" t="s">
        <v>49</v>
      </c>
      <c r="E669" t="s">
        <v>30</v>
      </c>
      <c r="F669" t="s">
        <v>39</v>
      </c>
      <c r="G669" t="s">
        <v>43</v>
      </c>
      <c r="H669" t="s">
        <v>173</v>
      </c>
      <c r="I669">
        <v>2</v>
      </c>
      <c r="J669">
        <v>124.03</v>
      </c>
      <c r="K669">
        <v>0.05</v>
      </c>
      <c r="L669">
        <v>235.66</v>
      </c>
      <c r="M669">
        <v>191.9</v>
      </c>
      <c r="N669">
        <v>43.76</v>
      </c>
      <c r="O669" t="s">
        <v>62</v>
      </c>
      <c r="P669">
        <v>3</v>
      </c>
    </row>
    <row r="670" spans="1:16" x14ac:dyDescent="0.35">
      <c r="A670" t="s">
        <v>1405</v>
      </c>
      <c r="B670" s="1">
        <v>45406</v>
      </c>
      <c r="C670" t="s">
        <v>1406</v>
      </c>
      <c r="D670" t="s">
        <v>19</v>
      </c>
      <c r="E670" t="s">
        <v>30</v>
      </c>
      <c r="F670" t="s">
        <v>21</v>
      </c>
      <c r="G670" t="s">
        <v>22</v>
      </c>
      <c r="H670" t="s">
        <v>74</v>
      </c>
      <c r="I670">
        <v>4</v>
      </c>
      <c r="J670">
        <v>1076.1300000000001</v>
      </c>
      <c r="K670">
        <v>0.1</v>
      </c>
      <c r="L670">
        <v>3874.07</v>
      </c>
      <c r="M670">
        <v>2078.36</v>
      </c>
      <c r="N670">
        <v>1795.71</v>
      </c>
      <c r="O670" t="s">
        <v>51</v>
      </c>
      <c r="P670">
        <v>2</v>
      </c>
    </row>
    <row r="671" spans="1:16" x14ac:dyDescent="0.35">
      <c r="A671" t="s">
        <v>1407</v>
      </c>
      <c r="B671" s="1">
        <v>45389</v>
      </c>
      <c r="C671" t="s">
        <v>1408</v>
      </c>
      <c r="D671" t="s">
        <v>49</v>
      </c>
      <c r="E671" t="s">
        <v>20</v>
      </c>
      <c r="F671" t="s">
        <v>31</v>
      </c>
      <c r="G671" t="s">
        <v>22</v>
      </c>
      <c r="H671" t="s">
        <v>32</v>
      </c>
      <c r="I671">
        <v>3</v>
      </c>
      <c r="J671">
        <v>905.41</v>
      </c>
      <c r="K671">
        <v>0</v>
      </c>
      <c r="L671">
        <v>2716.23</v>
      </c>
      <c r="M671">
        <v>2204.36</v>
      </c>
      <c r="N671">
        <v>511.87</v>
      </c>
      <c r="O671" t="s">
        <v>62</v>
      </c>
      <c r="P671">
        <v>4</v>
      </c>
    </row>
    <row r="672" spans="1:16" x14ac:dyDescent="0.35">
      <c r="A672" t="s">
        <v>1409</v>
      </c>
      <c r="B672" s="1">
        <v>45516</v>
      </c>
      <c r="C672" t="s">
        <v>1410</v>
      </c>
      <c r="D672" t="s">
        <v>66</v>
      </c>
      <c r="E672" t="s">
        <v>98</v>
      </c>
      <c r="F672" t="s">
        <v>21</v>
      </c>
      <c r="G672" t="s">
        <v>43</v>
      </c>
      <c r="H672" t="s">
        <v>50</v>
      </c>
      <c r="I672">
        <v>9</v>
      </c>
      <c r="J672">
        <v>32.51</v>
      </c>
      <c r="K672">
        <v>0</v>
      </c>
      <c r="L672">
        <v>292.58999999999997</v>
      </c>
      <c r="M672">
        <v>198.1</v>
      </c>
      <c r="N672">
        <v>94.49</v>
      </c>
      <c r="O672" t="s">
        <v>51</v>
      </c>
      <c r="P672">
        <v>5</v>
      </c>
    </row>
    <row r="673" spans="1:16" x14ac:dyDescent="0.35">
      <c r="A673" t="s">
        <v>1411</v>
      </c>
      <c r="B673" s="1">
        <v>45565</v>
      </c>
      <c r="C673" t="s">
        <v>1412</v>
      </c>
      <c r="D673" t="s">
        <v>19</v>
      </c>
      <c r="E673" t="s">
        <v>20</v>
      </c>
      <c r="F673" t="s">
        <v>39</v>
      </c>
      <c r="G673" t="s">
        <v>60</v>
      </c>
      <c r="H673" t="s">
        <v>61</v>
      </c>
      <c r="I673">
        <v>8</v>
      </c>
      <c r="J673">
        <v>790.43</v>
      </c>
      <c r="K673">
        <v>0.1</v>
      </c>
      <c r="L673">
        <v>5691.1</v>
      </c>
      <c r="M673">
        <v>4746.9399999999996</v>
      </c>
      <c r="N673">
        <v>944.16</v>
      </c>
      <c r="O673" t="s">
        <v>51</v>
      </c>
      <c r="P673">
        <v>1</v>
      </c>
    </row>
    <row r="674" spans="1:16" x14ac:dyDescent="0.35">
      <c r="A674" t="s">
        <v>1413</v>
      </c>
      <c r="B674" s="1">
        <v>45385</v>
      </c>
      <c r="C674" t="s">
        <v>1414</v>
      </c>
      <c r="D674" t="s">
        <v>19</v>
      </c>
      <c r="E674" t="s">
        <v>20</v>
      </c>
      <c r="F674" t="s">
        <v>21</v>
      </c>
      <c r="G674" t="s">
        <v>43</v>
      </c>
      <c r="H674" t="s">
        <v>50</v>
      </c>
      <c r="I674">
        <v>8</v>
      </c>
      <c r="J674">
        <v>118.44</v>
      </c>
      <c r="K674">
        <v>0.05</v>
      </c>
      <c r="L674">
        <v>900.14</v>
      </c>
      <c r="M674">
        <v>470.32</v>
      </c>
      <c r="N674">
        <v>429.82</v>
      </c>
      <c r="O674" t="s">
        <v>24</v>
      </c>
      <c r="P674">
        <v>1</v>
      </c>
    </row>
    <row r="675" spans="1:16" x14ac:dyDescent="0.35">
      <c r="A675" t="s">
        <v>1415</v>
      </c>
      <c r="B675" s="1">
        <v>45528</v>
      </c>
      <c r="C675" t="s">
        <v>1416</v>
      </c>
      <c r="D675" t="s">
        <v>66</v>
      </c>
      <c r="E675" t="s">
        <v>85</v>
      </c>
      <c r="F675" t="s">
        <v>39</v>
      </c>
      <c r="G675" t="s">
        <v>79</v>
      </c>
      <c r="H675" t="s">
        <v>103</v>
      </c>
      <c r="I675">
        <v>3</v>
      </c>
      <c r="J675">
        <v>32.92</v>
      </c>
      <c r="K675">
        <v>0</v>
      </c>
      <c r="L675">
        <v>98.76</v>
      </c>
      <c r="M675">
        <v>59.75</v>
      </c>
      <c r="N675">
        <v>39.01</v>
      </c>
      <c r="O675" t="s">
        <v>51</v>
      </c>
      <c r="P675">
        <v>2</v>
      </c>
    </row>
    <row r="676" spans="1:16" x14ac:dyDescent="0.35">
      <c r="A676" t="s">
        <v>1417</v>
      </c>
      <c r="B676" s="1">
        <v>45611</v>
      </c>
      <c r="C676" t="s">
        <v>1418</v>
      </c>
      <c r="D676" t="s">
        <v>19</v>
      </c>
      <c r="E676" t="s">
        <v>38</v>
      </c>
      <c r="F676" t="s">
        <v>39</v>
      </c>
      <c r="G676" t="s">
        <v>22</v>
      </c>
      <c r="H676" t="s">
        <v>74</v>
      </c>
      <c r="I676">
        <v>4</v>
      </c>
      <c r="J676">
        <v>282.52</v>
      </c>
      <c r="K676">
        <v>0</v>
      </c>
      <c r="L676">
        <v>1130.08</v>
      </c>
      <c r="M676">
        <v>878.14</v>
      </c>
      <c r="N676">
        <v>251.94</v>
      </c>
      <c r="O676" t="s">
        <v>62</v>
      </c>
      <c r="P676">
        <v>3</v>
      </c>
    </row>
    <row r="677" spans="1:16" x14ac:dyDescent="0.35">
      <c r="A677" t="s">
        <v>1419</v>
      </c>
      <c r="B677" s="1">
        <v>45385</v>
      </c>
      <c r="C677" t="s">
        <v>1420</v>
      </c>
      <c r="D677" t="s">
        <v>19</v>
      </c>
      <c r="E677" t="s">
        <v>98</v>
      </c>
      <c r="F677" t="s">
        <v>39</v>
      </c>
      <c r="G677" t="s">
        <v>79</v>
      </c>
      <c r="H677" t="s">
        <v>89</v>
      </c>
      <c r="I677">
        <v>1</v>
      </c>
      <c r="J677">
        <v>500.5</v>
      </c>
      <c r="K677">
        <v>0.1</v>
      </c>
      <c r="L677">
        <v>450.45</v>
      </c>
      <c r="M677">
        <v>332.6</v>
      </c>
      <c r="N677">
        <v>117.85</v>
      </c>
      <c r="O677" t="s">
        <v>62</v>
      </c>
      <c r="P677">
        <v>4</v>
      </c>
    </row>
    <row r="678" spans="1:16" x14ac:dyDescent="0.35">
      <c r="A678" t="s">
        <v>1421</v>
      </c>
      <c r="B678" s="1">
        <v>45313</v>
      </c>
      <c r="C678" t="s">
        <v>1422</v>
      </c>
      <c r="D678" t="s">
        <v>66</v>
      </c>
      <c r="E678" t="s">
        <v>38</v>
      </c>
      <c r="F678" t="s">
        <v>31</v>
      </c>
      <c r="G678" t="s">
        <v>79</v>
      </c>
      <c r="H678" t="s">
        <v>89</v>
      </c>
      <c r="I678">
        <v>7</v>
      </c>
      <c r="J678">
        <v>317.93</v>
      </c>
      <c r="K678">
        <v>0.1</v>
      </c>
      <c r="L678">
        <v>2002.96</v>
      </c>
      <c r="M678">
        <v>1100.07</v>
      </c>
      <c r="N678">
        <v>902.89</v>
      </c>
      <c r="O678" t="s">
        <v>62</v>
      </c>
      <c r="P678">
        <v>4</v>
      </c>
    </row>
    <row r="679" spans="1:16" x14ac:dyDescent="0.35">
      <c r="A679" t="s">
        <v>1423</v>
      </c>
      <c r="B679" s="1">
        <v>45444</v>
      </c>
      <c r="C679" t="s">
        <v>1424</v>
      </c>
      <c r="D679" t="s">
        <v>29</v>
      </c>
      <c r="E679" t="s">
        <v>30</v>
      </c>
      <c r="F679" t="s">
        <v>21</v>
      </c>
      <c r="G679" t="s">
        <v>22</v>
      </c>
      <c r="H679" t="s">
        <v>124</v>
      </c>
      <c r="I679">
        <v>12</v>
      </c>
      <c r="J679">
        <v>593.02</v>
      </c>
      <c r="K679">
        <v>0.1</v>
      </c>
      <c r="L679">
        <v>6404.62</v>
      </c>
      <c r="M679">
        <v>4783.37</v>
      </c>
      <c r="N679">
        <v>1621.25</v>
      </c>
      <c r="O679" t="s">
        <v>62</v>
      </c>
      <c r="P679">
        <v>5</v>
      </c>
    </row>
    <row r="680" spans="1:16" x14ac:dyDescent="0.35">
      <c r="A680" t="s">
        <v>1425</v>
      </c>
      <c r="B680" s="1">
        <v>45431</v>
      </c>
      <c r="C680" t="s">
        <v>1426</v>
      </c>
      <c r="D680" t="s">
        <v>19</v>
      </c>
      <c r="E680" t="s">
        <v>20</v>
      </c>
      <c r="F680" t="s">
        <v>31</v>
      </c>
      <c r="G680" t="s">
        <v>60</v>
      </c>
      <c r="H680" t="s">
        <v>61</v>
      </c>
      <c r="I680">
        <v>7</v>
      </c>
      <c r="J680">
        <v>681.5</v>
      </c>
      <c r="K680">
        <v>0.15</v>
      </c>
      <c r="L680">
        <v>4054.92</v>
      </c>
      <c r="M680">
        <v>2383.0100000000002</v>
      </c>
      <c r="N680">
        <v>1671.91</v>
      </c>
      <c r="O680" t="s">
        <v>33</v>
      </c>
      <c r="P680">
        <v>1</v>
      </c>
    </row>
    <row r="681" spans="1:16" x14ac:dyDescent="0.35">
      <c r="A681" t="s">
        <v>1427</v>
      </c>
      <c r="B681" s="1">
        <v>45472</v>
      </c>
      <c r="C681" t="s">
        <v>1364</v>
      </c>
      <c r="D681" t="s">
        <v>29</v>
      </c>
      <c r="E681" t="s">
        <v>98</v>
      </c>
      <c r="F681" t="s">
        <v>31</v>
      </c>
      <c r="G681" t="s">
        <v>22</v>
      </c>
      <c r="H681" t="s">
        <v>124</v>
      </c>
      <c r="I681">
        <v>1</v>
      </c>
      <c r="J681">
        <v>543.59</v>
      </c>
      <c r="K681">
        <v>0.05</v>
      </c>
      <c r="L681">
        <v>516.41</v>
      </c>
      <c r="M681">
        <v>266.04000000000002</v>
      </c>
      <c r="N681">
        <v>250.37</v>
      </c>
      <c r="O681" t="s">
        <v>51</v>
      </c>
      <c r="P681">
        <v>4</v>
      </c>
    </row>
    <row r="682" spans="1:16" x14ac:dyDescent="0.35">
      <c r="A682" t="s">
        <v>1428</v>
      </c>
      <c r="B682" s="1">
        <v>45552</v>
      </c>
      <c r="C682" t="s">
        <v>1429</v>
      </c>
      <c r="D682" t="s">
        <v>49</v>
      </c>
      <c r="E682" t="s">
        <v>38</v>
      </c>
      <c r="F682" t="s">
        <v>31</v>
      </c>
      <c r="G682" t="s">
        <v>79</v>
      </c>
      <c r="H682" t="s">
        <v>103</v>
      </c>
      <c r="I682">
        <v>9</v>
      </c>
      <c r="J682">
        <v>1111.93</v>
      </c>
      <c r="K682">
        <v>0.05</v>
      </c>
      <c r="L682">
        <v>9507</v>
      </c>
      <c r="M682">
        <v>7982.56</v>
      </c>
      <c r="N682">
        <v>1524.44</v>
      </c>
      <c r="O682" t="s">
        <v>33</v>
      </c>
      <c r="P682">
        <v>3</v>
      </c>
    </row>
    <row r="683" spans="1:16" x14ac:dyDescent="0.35">
      <c r="A683" t="s">
        <v>1430</v>
      </c>
      <c r="B683" s="1">
        <v>45328</v>
      </c>
      <c r="C683" t="s">
        <v>1431</v>
      </c>
      <c r="D683" t="s">
        <v>19</v>
      </c>
      <c r="E683" t="s">
        <v>38</v>
      </c>
      <c r="F683" t="s">
        <v>31</v>
      </c>
      <c r="G683" t="s">
        <v>22</v>
      </c>
      <c r="H683" t="s">
        <v>74</v>
      </c>
      <c r="I683">
        <v>12</v>
      </c>
      <c r="J683">
        <v>762.84</v>
      </c>
      <c r="K683">
        <v>0.05</v>
      </c>
      <c r="L683">
        <v>8696.3799999999992</v>
      </c>
      <c r="M683">
        <v>6753.92</v>
      </c>
      <c r="N683">
        <v>1942.46</v>
      </c>
      <c r="O683" t="s">
        <v>33</v>
      </c>
      <c r="P683">
        <v>2</v>
      </c>
    </row>
    <row r="684" spans="1:16" x14ac:dyDescent="0.35">
      <c r="A684" t="s">
        <v>1432</v>
      </c>
      <c r="B684" s="1">
        <v>45618</v>
      </c>
      <c r="C684" t="s">
        <v>1433</v>
      </c>
      <c r="D684" t="s">
        <v>49</v>
      </c>
      <c r="E684" t="s">
        <v>38</v>
      </c>
      <c r="F684" t="s">
        <v>31</v>
      </c>
      <c r="G684" t="s">
        <v>43</v>
      </c>
      <c r="H684" t="s">
        <v>44</v>
      </c>
      <c r="I684">
        <v>7</v>
      </c>
      <c r="J684">
        <v>295.14</v>
      </c>
      <c r="K684">
        <v>0.1</v>
      </c>
      <c r="L684">
        <v>1859.38</v>
      </c>
      <c r="M684">
        <v>956.2</v>
      </c>
      <c r="N684">
        <v>903.18</v>
      </c>
      <c r="O684" t="s">
        <v>51</v>
      </c>
      <c r="P684">
        <v>2</v>
      </c>
    </row>
    <row r="685" spans="1:16" x14ac:dyDescent="0.35">
      <c r="A685" t="s">
        <v>1434</v>
      </c>
      <c r="B685" s="1">
        <v>45542</v>
      </c>
      <c r="C685" t="s">
        <v>1435</v>
      </c>
      <c r="D685" t="s">
        <v>66</v>
      </c>
      <c r="E685" t="s">
        <v>98</v>
      </c>
      <c r="F685" t="s">
        <v>39</v>
      </c>
      <c r="G685" t="s">
        <v>60</v>
      </c>
      <c r="H685" t="s">
        <v>61</v>
      </c>
      <c r="I685">
        <v>8</v>
      </c>
      <c r="J685">
        <v>400.29</v>
      </c>
      <c r="K685">
        <v>0</v>
      </c>
      <c r="L685">
        <v>3202.32</v>
      </c>
      <c r="M685">
        <v>1654.76</v>
      </c>
      <c r="N685">
        <v>1547.56</v>
      </c>
      <c r="O685" t="s">
        <v>24</v>
      </c>
      <c r="P685">
        <v>3</v>
      </c>
    </row>
    <row r="686" spans="1:16" x14ac:dyDescent="0.35">
      <c r="A686" t="s">
        <v>1436</v>
      </c>
      <c r="B686" s="1">
        <v>45594</v>
      </c>
      <c r="C686" t="s">
        <v>1437</v>
      </c>
      <c r="D686" t="s">
        <v>49</v>
      </c>
      <c r="E686" t="s">
        <v>38</v>
      </c>
      <c r="F686" t="s">
        <v>31</v>
      </c>
      <c r="G686" t="s">
        <v>43</v>
      </c>
      <c r="H686" t="s">
        <v>50</v>
      </c>
      <c r="I686">
        <v>7</v>
      </c>
      <c r="J686">
        <v>409.34</v>
      </c>
      <c r="K686">
        <v>0.15</v>
      </c>
      <c r="L686">
        <v>2435.5700000000002</v>
      </c>
      <c r="M686">
        <v>1541.92</v>
      </c>
      <c r="N686">
        <v>893.65</v>
      </c>
      <c r="O686" t="s">
        <v>62</v>
      </c>
      <c r="P686">
        <v>2</v>
      </c>
    </row>
    <row r="687" spans="1:16" x14ac:dyDescent="0.35">
      <c r="A687" t="s">
        <v>1438</v>
      </c>
      <c r="B687" s="1">
        <v>45624</v>
      </c>
      <c r="C687" t="s">
        <v>1439</v>
      </c>
      <c r="D687" t="s">
        <v>29</v>
      </c>
      <c r="E687" t="s">
        <v>20</v>
      </c>
      <c r="F687" t="s">
        <v>39</v>
      </c>
      <c r="G687" t="s">
        <v>22</v>
      </c>
      <c r="H687" t="s">
        <v>74</v>
      </c>
      <c r="I687">
        <v>8</v>
      </c>
      <c r="J687">
        <v>760.38</v>
      </c>
      <c r="K687">
        <v>0</v>
      </c>
      <c r="L687">
        <v>6083.04</v>
      </c>
      <c r="M687">
        <v>3918.58</v>
      </c>
      <c r="N687">
        <v>2164.46</v>
      </c>
      <c r="O687" t="s">
        <v>62</v>
      </c>
      <c r="P687">
        <v>2</v>
      </c>
    </row>
    <row r="688" spans="1:16" x14ac:dyDescent="0.35">
      <c r="A688" t="s">
        <v>1440</v>
      </c>
      <c r="B688" s="1">
        <v>45337</v>
      </c>
      <c r="C688" t="s">
        <v>1441</v>
      </c>
      <c r="D688" t="s">
        <v>49</v>
      </c>
      <c r="E688" t="s">
        <v>85</v>
      </c>
      <c r="F688" t="s">
        <v>21</v>
      </c>
      <c r="G688" t="s">
        <v>43</v>
      </c>
      <c r="H688" t="s">
        <v>44</v>
      </c>
      <c r="I688">
        <v>11</v>
      </c>
      <c r="J688">
        <v>868.25</v>
      </c>
      <c r="K688">
        <v>0.1</v>
      </c>
      <c r="L688">
        <v>8595.68</v>
      </c>
      <c r="M688">
        <v>4513.8999999999996</v>
      </c>
      <c r="N688">
        <v>4081.78</v>
      </c>
      <c r="O688" t="s">
        <v>62</v>
      </c>
      <c r="P688">
        <v>2</v>
      </c>
    </row>
    <row r="689" spans="1:16" x14ac:dyDescent="0.35">
      <c r="A689" t="s">
        <v>1442</v>
      </c>
      <c r="B689" s="1">
        <v>45641</v>
      </c>
      <c r="C689" t="s">
        <v>1443</v>
      </c>
      <c r="D689" t="s">
        <v>19</v>
      </c>
      <c r="E689" t="s">
        <v>20</v>
      </c>
      <c r="F689" t="s">
        <v>39</v>
      </c>
      <c r="G689" t="s">
        <v>22</v>
      </c>
      <c r="H689" t="s">
        <v>124</v>
      </c>
      <c r="I689">
        <v>9</v>
      </c>
      <c r="J689">
        <v>473.84</v>
      </c>
      <c r="K689">
        <v>0</v>
      </c>
      <c r="L689">
        <v>4264.5600000000004</v>
      </c>
      <c r="M689">
        <v>2402.14</v>
      </c>
      <c r="N689">
        <v>1862.42</v>
      </c>
      <c r="O689" t="s">
        <v>33</v>
      </c>
      <c r="P689">
        <v>5</v>
      </c>
    </row>
    <row r="690" spans="1:16" x14ac:dyDescent="0.35">
      <c r="A690" t="s">
        <v>1444</v>
      </c>
      <c r="B690" s="1">
        <v>45486</v>
      </c>
      <c r="C690" t="s">
        <v>1445</v>
      </c>
      <c r="D690" t="s">
        <v>37</v>
      </c>
      <c r="E690" t="s">
        <v>85</v>
      </c>
      <c r="F690" t="s">
        <v>31</v>
      </c>
      <c r="G690" t="s">
        <v>79</v>
      </c>
      <c r="H690" t="s">
        <v>89</v>
      </c>
      <c r="I690">
        <v>12</v>
      </c>
      <c r="J690">
        <v>583.94000000000005</v>
      </c>
      <c r="K690">
        <v>0.1</v>
      </c>
      <c r="L690">
        <v>6306.55</v>
      </c>
      <c r="M690">
        <v>4053.26</v>
      </c>
      <c r="N690">
        <v>2253.29</v>
      </c>
      <c r="O690" t="s">
        <v>24</v>
      </c>
      <c r="P690">
        <v>5</v>
      </c>
    </row>
    <row r="691" spans="1:16" x14ac:dyDescent="0.35">
      <c r="A691" t="s">
        <v>1446</v>
      </c>
      <c r="B691" s="1">
        <v>45623</v>
      </c>
      <c r="C691" t="s">
        <v>1447</v>
      </c>
      <c r="D691" t="s">
        <v>37</v>
      </c>
      <c r="E691" t="s">
        <v>85</v>
      </c>
      <c r="F691" t="s">
        <v>31</v>
      </c>
      <c r="G691" t="s">
        <v>60</v>
      </c>
      <c r="H691" t="s">
        <v>61</v>
      </c>
      <c r="I691">
        <v>2</v>
      </c>
      <c r="J691">
        <v>354.86</v>
      </c>
      <c r="K691">
        <v>0</v>
      </c>
      <c r="L691">
        <v>709.72</v>
      </c>
      <c r="M691">
        <v>572.72</v>
      </c>
      <c r="N691">
        <v>137</v>
      </c>
      <c r="O691" t="s">
        <v>33</v>
      </c>
      <c r="P691">
        <v>3</v>
      </c>
    </row>
    <row r="692" spans="1:16" x14ac:dyDescent="0.35">
      <c r="A692" t="s">
        <v>1448</v>
      </c>
      <c r="B692" s="1">
        <v>45610</v>
      </c>
      <c r="C692" t="s">
        <v>1449</v>
      </c>
      <c r="D692" t="s">
        <v>29</v>
      </c>
      <c r="E692" t="s">
        <v>85</v>
      </c>
      <c r="F692" t="s">
        <v>21</v>
      </c>
      <c r="G692" t="s">
        <v>22</v>
      </c>
      <c r="H692" t="s">
        <v>124</v>
      </c>
      <c r="I692">
        <v>5</v>
      </c>
      <c r="J692">
        <v>460.11</v>
      </c>
      <c r="K692">
        <v>0.15</v>
      </c>
      <c r="L692">
        <v>1955.47</v>
      </c>
      <c r="M692">
        <v>1440.3</v>
      </c>
      <c r="N692">
        <v>515.16999999999996</v>
      </c>
      <c r="O692" t="s">
        <v>51</v>
      </c>
      <c r="P692">
        <v>5</v>
      </c>
    </row>
    <row r="693" spans="1:16" x14ac:dyDescent="0.35">
      <c r="A693" t="s">
        <v>1450</v>
      </c>
      <c r="B693" s="1">
        <v>45549</v>
      </c>
      <c r="C693" t="s">
        <v>1451</v>
      </c>
      <c r="D693" t="s">
        <v>29</v>
      </c>
      <c r="E693" t="s">
        <v>85</v>
      </c>
      <c r="F693" t="s">
        <v>31</v>
      </c>
      <c r="G693" t="s">
        <v>22</v>
      </c>
      <c r="H693" t="s">
        <v>124</v>
      </c>
      <c r="I693">
        <v>8</v>
      </c>
      <c r="J693">
        <v>1184.1600000000001</v>
      </c>
      <c r="K693">
        <v>0.05</v>
      </c>
      <c r="L693">
        <v>8999.6200000000008</v>
      </c>
      <c r="M693">
        <v>5924.18</v>
      </c>
      <c r="N693">
        <v>3075.44</v>
      </c>
      <c r="O693" t="s">
        <v>62</v>
      </c>
      <c r="P693">
        <v>2</v>
      </c>
    </row>
    <row r="694" spans="1:16" x14ac:dyDescent="0.35">
      <c r="A694" t="s">
        <v>1452</v>
      </c>
      <c r="B694" s="1">
        <v>45572</v>
      </c>
      <c r="C694" t="s">
        <v>1453</v>
      </c>
      <c r="D694" t="s">
        <v>19</v>
      </c>
      <c r="E694" t="s">
        <v>85</v>
      </c>
      <c r="F694" t="s">
        <v>31</v>
      </c>
      <c r="G694" t="s">
        <v>43</v>
      </c>
      <c r="H694" t="s">
        <v>44</v>
      </c>
      <c r="I694">
        <v>12</v>
      </c>
      <c r="J694">
        <v>64.069999999999993</v>
      </c>
      <c r="K694">
        <v>0.15</v>
      </c>
      <c r="L694">
        <v>653.51</v>
      </c>
      <c r="M694">
        <v>541.84</v>
      </c>
      <c r="N694">
        <v>111.67</v>
      </c>
      <c r="O694" t="s">
        <v>62</v>
      </c>
      <c r="P694">
        <v>5</v>
      </c>
    </row>
    <row r="695" spans="1:16" x14ac:dyDescent="0.35">
      <c r="A695" t="s">
        <v>1454</v>
      </c>
      <c r="B695" s="1">
        <v>45295</v>
      </c>
      <c r="C695" t="s">
        <v>1455</v>
      </c>
      <c r="D695" t="s">
        <v>37</v>
      </c>
      <c r="E695" t="s">
        <v>85</v>
      </c>
      <c r="F695" t="s">
        <v>39</v>
      </c>
      <c r="G695" t="s">
        <v>22</v>
      </c>
      <c r="H695" t="s">
        <v>23</v>
      </c>
      <c r="I695">
        <v>7</v>
      </c>
      <c r="J695">
        <v>107.62</v>
      </c>
      <c r="K695">
        <v>0.15</v>
      </c>
      <c r="L695">
        <v>640.34</v>
      </c>
      <c r="M695">
        <v>447.75</v>
      </c>
      <c r="N695">
        <v>192.59</v>
      </c>
      <c r="O695" t="s">
        <v>24</v>
      </c>
      <c r="P695">
        <v>5</v>
      </c>
    </row>
    <row r="696" spans="1:16" x14ac:dyDescent="0.35">
      <c r="A696" t="s">
        <v>1456</v>
      </c>
      <c r="B696" s="1">
        <v>45521</v>
      </c>
      <c r="C696" t="s">
        <v>1457</v>
      </c>
      <c r="D696" t="s">
        <v>66</v>
      </c>
      <c r="E696" t="s">
        <v>98</v>
      </c>
      <c r="F696" t="s">
        <v>39</v>
      </c>
      <c r="G696" t="s">
        <v>22</v>
      </c>
      <c r="H696" t="s">
        <v>74</v>
      </c>
      <c r="I696">
        <v>3</v>
      </c>
      <c r="J696">
        <v>924.29</v>
      </c>
      <c r="K696">
        <v>0.15</v>
      </c>
      <c r="L696">
        <v>2356.94</v>
      </c>
      <c r="M696">
        <v>1483.88</v>
      </c>
      <c r="N696">
        <v>873.06</v>
      </c>
      <c r="O696" t="s">
        <v>24</v>
      </c>
      <c r="P696">
        <v>2</v>
      </c>
    </row>
    <row r="697" spans="1:16" x14ac:dyDescent="0.35">
      <c r="A697" t="s">
        <v>1458</v>
      </c>
      <c r="B697" s="1">
        <v>45354</v>
      </c>
      <c r="C697" t="s">
        <v>1459</v>
      </c>
      <c r="D697" t="s">
        <v>19</v>
      </c>
      <c r="E697" t="s">
        <v>30</v>
      </c>
      <c r="F697" t="s">
        <v>21</v>
      </c>
      <c r="G697" t="s">
        <v>79</v>
      </c>
      <c r="H697" t="s">
        <v>103</v>
      </c>
      <c r="I697">
        <v>2</v>
      </c>
      <c r="J697">
        <v>489.93</v>
      </c>
      <c r="K697">
        <v>0.15</v>
      </c>
      <c r="L697">
        <v>832.88</v>
      </c>
      <c r="M697">
        <v>651.71</v>
      </c>
      <c r="N697">
        <v>181.17</v>
      </c>
      <c r="O697" t="s">
        <v>62</v>
      </c>
      <c r="P697">
        <v>3</v>
      </c>
    </row>
    <row r="698" spans="1:16" x14ac:dyDescent="0.35">
      <c r="A698" t="s">
        <v>1460</v>
      </c>
      <c r="B698" s="1">
        <v>45601</v>
      </c>
      <c r="C698" t="s">
        <v>1461</v>
      </c>
      <c r="D698" t="s">
        <v>49</v>
      </c>
      <c r="E698" t="s">
        <v>20</v>
      </c>
      <c r="F698" t="s">
        <v>39</v>
      </c>
      <c r="G698" t="s">
        <v>79</v>
      </c>
      <c r="H698" t="s">
        <v>89</v>
      </c>
      <c r="I698">
        <v>12</v>
      </c>
      <c r="J698">
        <v>300.08</v>
      </c>
      <c r="K698">
        <v>0.1</v>
      </c>
      <c r="L698">
        <v>3240.86</v>
      </c>
      <c r="M698">
        <v>2052.0300000000002</v>
      </c>
      <c r="N698">
        <v>1188.83</v>
      </c>
      <c r="O698" t="s">
        <v>51</v>
      </c>
      <c r="P698">
        <v>5</v>
      </c>
    </row>
    <row r="699" spans="1:16" x14ac:dyDescent="0.35">
      <c r="A699" t="s">
        <v>1462</v>
      </c>
      <c r="B699" s="1">
        <v>45516</v>
      </c>
      <c r="C699" t="s">
        <v>1463</v>
      </c>
      <c r="D699" t="s">
        <v>66</v>
      </c>
      <c r="E699" t="s">
        <v>38</v>
      </c>
      <c r="F699" t="s">
        <v>21</v>
      </c>
      <c r="G699" t="s">
        <v>79</v>
      </c>
      <c r="H699" t="s">
        <v>80</v>
      </c>
      <c r="I699">
        <v>7</v>
      </c>
      <c r="J699">
        <v>609.42999999999995</v>
      </c>
      <c r="K699">
        <v>0.15</v>
      </c>
      <c r="L699">
        <v>3626.11</v>
      </c>
      <c r="M699">
        <v>2407.9699999999998</v>
      </c>
      <c r="N699">
        <v>1218.1400000000001</v>
      </c>
      <c r="O699" t="s">
        <v>51</v>
      </c>
      <c r="P699">
        <v>2</v>
      </c>
    </row>
    <row r="700" spans="1:16" x14ac:dyDescent="0.35">
      <c r="A700" t="s">
        <v>1464</v>
      </c>
      <c r="B700" s="1">
        <v>45615</v>
      </c>
      <c r="C700" t="s">
        <v>1465</v>
      </c>
      <c r="D700" t="s">
        <v>19</v>
      </c>
      <c r="E700" t="s">
        <v>38</v>
      </c>
      <c r="F700" t="s">
        <v>21</v>
      </c>
      <c r="G700" t="s">
        <v>22</v>
      </c>
      <c r="H700" t="s">
        <v>23</v>
      </c>
      <c r="I700">
        <v>4</v>
      </c>
      <c r="J700">
        <v>210.68</v>
      </c>
      <c r="K700">
        <v>0</v>
      </c>
      <c r="L700">
        <v>842.72</v>
      </c>
      <c r="M700">
        <v>690.39</v>
      </c>
      <c r="N700">
        <v>152.33000000000001</v>
      </c>
      <c r="O700" t="s">
        <v>62</v>
      </c>
      <c r="P700">
        <v>2</v>
      </c>
    </row>
    <row r="701" spans="1:16" x14ac:dyDescent="0.35">
      <c r="A701" t="s">
        <v>1466</v>
      </c>
      <c r="B701" s="1">
        <v>45557</v>
      </c>
      <c r="C701" t="s">
        <v>1467</v>
      </c>
      <c r="D701" t="s">
        <v>29</v>
      </c>
      <c r="E701" t="s">
        <v>20</v>
      </c>
      <c r="F701" t="s">
        <v>39</v>
      </c>
      <c r="G701" t="s">
        <v>22</v>
      </c>
      <c r="H701" t="s">
        <v>23</v>
      </c>
      <c r="I701">
        <v>8</v>
      </c>
      <c r="J701">
        <v>731.21</v>
      </c>
      <c r="K701">
        <v>0.15</v>
      </c>
      <c r="L701">
        <v>4972.2299999999996</v>
      </c>
      <c r="M701">
        <v>2564.16</v>
      </c>
      <c r="N701">
        <v>2408.0700000000002</v>
      </c>
      <c r="O701" t="s">
        <v>62</v>
      </c>
      <c r="P701">
        <v>2</v>
      </c>
    </row>
    <row r="702" spans="1:16" x14ac:dyDescent="0.35">
      <c r="A702" t="s">
        <v>1468</v>
      </c>
      <c r="B702" s="1">
        <v>45398</v>
      </c>
      <c r="C702" t="s">
        <v>1469</v>
      </c>
      <c r="D702" t="s">
        <v>19</v>
      </c>
      <c r="E702" t="s">
        <v>30</v>
      </c>
      <c r="F702" t="s">
        <v>31</v>
      </c>
      <c r="G702" t="s">
        <v>79</v>
      </c>
      <c r="H702" t="s">
        <v>89</v>
      </c>
      <c r="I702">
        <v>3</v>
      </c>
      <c r="J702">
        <v>13.74</v>
      </c>
      <c r="K702">
        <v>0</v>
      </c>
      <c r="L702">
        <v>41.22</v>
      </c>
      <c r="M702">
        <v>26.73</v>
      </c>
      <c r="N702">
        <v>14.49</v>
      </c>
      <c r="O702" t="s">
        <v>62</v>
      </c>
      <c r="P702">
        <v>2</v>
      </c>
    </row>
    <row r="703" spans="1:16" x14ac:dyDescent="0.35">
      <c r="A703" t="s">
        <v>1470</v>
      </c>
      <c r="B703" s="1">
        <v>45584</v>
      </c>
      <c r="C703" t="s">
        <v>1471</v>
      </c>
      <c r="D703" t="s">
        <v>29</v>
      </c>
      <c r="E703" t="s">
        <v>20</v>
      </c>
      <c r="F703" t="s">
        <v>31</v>
      </c>
      <c r="G703" t="s">
        <v>79</v>
      </c>
      <c r="H703" t="s">
        <v>103</v>
      </c>
      <c r="I703">
        <v>8</v>
      </c>
      <c r="J703">
        <v>217.67</v>
      </c>
      <c r="K703">
        <v>0.15</v>
      </c>
      <c r="L703">
        <v>1480.16</v>
      </c>
      <c r="M703">
        <v>964.12</v>
      </c>
      <c r="N703">
        <v>516.04</v>
      </c>
      <c r="O703" t="s">
        <v>33</v>
      </c>
      <c r="P703">
        <v>3</v>
      </c>
    </row>
    <row r="704" spans="1:16" x14ac:dyDescent="0.35">
      <c r="A704" t="s">
        <v>1472</v>
      </c>
      <c r="B704" s="1">
        <v>45522</v>
      </c>
      <c r="C704" t="s">
        <v>1473</v>
      </c>
      <c r="D704" t="s">
        <v>66</v>
      </c>
      <c r="E704" t="s">
        <v>30</v>
      </c>
      <c r="F704" t="s">
        <v>39</v>
      </c>
      <c r="G704" t="s">
        <v>43</v>
      </c>
      <c r="H704" t="s">
        <v>50</v>
      </c>
      <c r="I704">
        <v>1</v>
      </c>
      <c r="J704">
        <v>709.37</v>
      </c>
      <c r="K704">
        <v>0.1</v>
      </c>
      <c r="L704">
        <v>638.42999999999995</v>
      </c>
      <c r="M704">
        <v>336.97</v>
      </c>
      <c r="N704">
        <v>301.45999999999998</v>
      </c>
      <c r="O704" t="s">
        <v>51</v>
      </c>
      <c r="P704">
        <v>5</v>
      </c>
    </row>
    <row r="705" spans="1:16" x14ac:dyDescent="0.35">
      <c r="A705" t="s">
        <v>1474</v>
      </c>
      <c r="B705" s="1">
        <v>45536</v>
      </c>
      <c r="C705" t="s">
        <v>1475</v>
      </c>
      <c r="D705" t="s">
        <v>37</v>
      </c>
      <c r="E705" t="s">
        <v>38</v>
      </c>
      <c r="F705" t="s">
        <v>21</v>
      </c>
      <c r="G705" t="s">
        <v>43</v>
      </c>
      <c r="H705" t="s">
        <v>50</v>
      </c>
      <c r="I705">
        <v>11</v>
      </c>
      <c r="J705">
        <v>332.76</v>
      </c>
      <c r="K705">
        <v>0.15</v>
      </c>
      <c r="L705">
        <v>3111.31</v>
      </c>
      <c r="M705">
        <v>2114</v>
      </c>
      <c r="N705">
        <v>997.31</v>
      </c>
      <c r="O705" t="s">
        <v>62</v>
      </c>
      <c r="P705">
        <v>2</v>
      </c>
    </row>
    <row r="706" spans="1:16" x14ac:dyDescent="0.35">
      <c r="A706" t="s">
        <v>1476</v>
      </c>
      <c r="B706" s="1">
        <v>45638</v>
      </c>
      <c r="C706" t="s">
        <v>1477</v>
      </c>
      <c r="D706" t="s">
        <v>49</v>
      </c>
      <c r="E706" t="s">
        <v>20</v>
      </c>
      <c r="F706" t="s">
        <v>39</v>
      </c>
      <c r="G706" t="s">
        <v>43</v>
      </c>
      <c r="H706" t="s">
        <v>173</v>
      </c>
      <c r="I706">
        <v>3</v>
      </c>
      <c r="J706">
        <v>720.78</v>
      </c>
      <c r="K706">
        <v>0</v>
      </c>
      <c r="L706">
        <v>2162.34</v>
      </c>
      <c r="M706">
        <v>1616.88</v>
      </c>
      <c r="N706">
        <v>545.46</v>
      </c>
      <c r="O706" t="s">
        <v>24</v>
      </c>
      <c r="P706">
        <v>5</v>
      </c>
    </row>
    <row r="707" spans="1:16" x14ac:dyDescent="0.35">
      <c r="A707" t="s">
        <v>1478</v>
      </c>
      <c r="B707" s="1">
        <v>45650</v>
      </c>
      <c r="C707" t="s">
        <v>1479</v>
      </c>
      <c r="D707" t="s">
        <v>49</v>
      </c>
      <c r="E707" t="s">
        <v>38</v>
      </c>
      <c r="F707" t="s">
        <v>31</v>
      </c>
      <c r="G707" t="s">
        <v>22</v>
      </c>
      <c r="H707" t="s">
        <v>74</v>
      </c>
      <c r="I707">
        <v>12</v>
      </c>
      <c r="J707">
        <v>381.62</v>
      </c>
      <c r="K707">
        <v>0</v>
      </c>
      <c r="L707">
        <v>4579.4399999999996</v>
      </c>
      <c r="M707">
        <v>3843.49</v>
      </c>
      <c r="N707">
        <v>735.95</v>
      </c>
      <c r="O707" t="s">
        <v>24</v>
      </c>
      <c r="P707">
        <v>2</v>
      </c>
    </row>
    <row r="708" spans="1:16" x14ac:dyDescent="0.35">
      <c r="A708" t="s">
        <v>1480</v>
      </c>
      <c r="B708" s="1">
        <v>45342</v>
      </c>
      <c r="C708" t="s">
        <v>1481</v>
      </c>
      <c r="D708" t="s">
        <v>29</v>
      </c>
      <c r="E708" t="s">
        <v>20</v>
      </c>
      <c r="F708" t="s">
        <v>21</v>
      </c>
      <c r="G708" t="s">
        <v>43</v>
      </c>
      <c r="H708" t="s">
        <v>50</v>
      </c>
      <c r="I708">
        <v>2</v>
      </c>
      <c r="J708">
        <v>453</v>
      </c>
      <c r="K708">
        <v>0.15</v>
      </c>
      <c r="L708">
        <v>770.1</v>
      </c>
      <c r="M708">
        <v>591.1</v>
      </c>
      <c r="N708">
        <v>179</v>
      </c>
      <c r="O708" t="s">
        <v>33</v>
      </c>
      <c r="P708">
        <v>1</v>
      </c>
    </row>
    <row r="709" spans="1:16" x14ac:dyDescent="0.35">
      <c r="A709" t="s">
        <v>1482</v>
      </c>
      <c r="B709" s="1">
        <v>45473</v>
      </c>
      <c r="C709" t="s">
        <v>1483</v>
      </c>
      <c r="D709" t="s">
        <v>49</v>
      </c>
      <c r="E709" t="s">
        <v>20</v>
      </c>
      <c r="F709" t="s">
        <v>39</v>
      </c>
      <c r="G709" t="s">
        <v>79</v>
      </c>
      <c r="H709" t="s">
        <v>89</v>
      </c>
      <c r="I709">
        <v>3</v>
      </c>
      <c r="J709">
        <v>683.01</v>
      </c>
      <c r="K709">
        <v>0.05</v>
      </c>
      <c r="L709">
        <v>1946.58</v>
      </c>
      <c r="M709">
        <v>1184.54</v>
      </c>
      <c r="N709">
        <v>762.04</v>
      </c>
      <c r="O709" t="s">
        <v>62</v>
      </c>
      <c r="P709">
        <v>3</v>
      </c>
    </row>
    <row r="710" spans="1:16" x14ac:dyDescent="0.35">
      <c r="A710" t="s">
        <v>1484</v>
      </c>
      <c r="B710" s="1">
        <v>45470</v>
      </c>
      <c r="C710" t="s">
        <v>1485</v>
      </c>
      <c r="D710" t="s">
        <v>19</v>
      </c>
      <c r="E710" t="s">
        <v>85</v>
      </c>
      <c r="F710" t="s">
        <v>31</v>
      </c>
      <c r="G710" t="s">
        <v>22</v>
      </c>
      <c r="H710" t="s">
        <v>124</v>
      </c>
      <c r="I710">
        <v>10</v>
      </c>
      <c r="J710">
        <v>638.55999999999995</v>
      </c>
      <c r="K710">
        <v>0.1</v>
      </c>
      <c r="L710">
        <v>5747.04</v>
      </c>
      <c r="M710">
        <v>3949.94</v>
      </c>
      <c r="N710">
        <v>1797.1</v>
      </c>
      <c r="O710" t="s">
        <v>24</v>
      </c>
      <c r="P710">
        <v>4</v>
      </c>
    </row>
    <row r="711" spans="1:16" x14ac:dyDescent="0.35">
      <c r="A711" t="s">
        <v>1486</v>
      </c>
      <c r="B711" s="1">
        <v>45508</v>
      </c>
      <c r="C711" t="s">
        <v>1487</v>
      </c>
      <c r="D711" t="s">
        <v>29</v>
      </c>
      <c r="E711" t="s">
        <v>20</v>
      </c>
      <c r="F711" t="s">
        <v>21</v>
      </c>
      <c r="G711" t="s">
        <v>60</v>
      </c>
      <c r="H711" t="s">
        <v>119</v>
      </c>
      <c r="I711">
        <v>7</v>
      </c>
      <c r="J711">
        <v>517.97</v>
      </c>
      <c r="K711">
        <v>0</v>
      </c>
      <c r="L711">
        <v>3625.79</v>
      </c>
      <c r="M711">
        <v>1921.8</v>
      </c>
      <c r="N711">
        <v>1703.99</v>
      </c>
      <c r="O711" t="s">
        <v>33</v>
      </c>
      <c r="P711">
        <v>3</v>
      </c>
    </row>
    <row r="712" spans="1:16" x14ac:dyDescent="0.35">
      <c r="A712" t="s">
        <v>1488</v>
      </c>
      <c r="B712" s="1">
        <v>45513</v>
      </c>
      <c r="C712" t="s">
        <v>1489</v>
      </c>
      <c r="D712" t="s">
        <v>19</v>
      </c>
      <c r="E712" t="s">
        <v>30</v>
      </c>
      <c r="F712" t="s">
        <v>31</v>
      </c>
      <c r="G712" t="s">
        <v>60</v>
      </c>
      <c r="H712" t="s">
        <v>119</v>
      </c>
      <c r="I712">
        <v>8</v>
      </c>
      <c r="J712">
        <v>472.21</v>
      </c>
      <c r="K712">
        <v>0</v>
      </c>
      <c r="L712">
        <v>3777.68</v>
      </c>
      <c r="M712">
        <v>2327.9699999999998</v>
      </c>
      <c r="N712">
        <v>1449.71</v>
      </c>
      <c r="O712" t="s">
        <v>62</v>
      </c>
      <c r="P712">
        <v>1</v>
      </c>
    </row>
    <row r="713" spans="1:16" x14ac:dyDescent="0.35">
      <c r="A713" t="s">
        <v>1490</v>
      </c>
      <c r="B713" s="1">
        <v>45521</v>
      </c>
      <c r="C713" t="s">
        <v>1491</v>
      </c>
      <c r="D713" t="s">
        <v>49</v>
      </c>
      <c r="E713" t="s">
        <v>85</v>
      </c>
      <c r="F713" t="s">
        <v>31</v>
      </c>
      <c r="G713" t="s">
        <v>22</v>
      </c>
      <c r="H713" t="s">
        <v>23</v>
      </c>
      <c r="I713">
        <v>8</v>
      </c>
      <c r="J713">
        <v>177.37</v>
      </c>
      <c r="K713">
        <v>0</v>
      </c>
      <c r="L713">
        <v>1418.96</v>
      </c>
      <c r="M713">
        <v>849.61</v>
      </c>
      <c r="N713">
        <v>569.35</v>
      </c>
      <c r="O713" t="s">
        <v>24</v>
      </c>
      <c r="P713">
        <v>5</v>
      </c>
    </row>
    <row r="714" spans="1:16" x14ac:dyDescent="0.35">
      <c r="A714" t="s">
        <v>1492</v>
      </c>
      <c r="B714" s="1">
        <v>45615</v>
      </c>
      <c r="C714" t="s">
        <v>1493</v>
      </c>
      <c r="D714" t="s">
        <v>19</v>
      </c>
      <c r="E714" t="s">
        <v>98</v>
      </c>
      <c r="F714" t="s">
        <v>21</v>
      </c>
      <c r="G714" t="s">
        <v>22</v>
      </c>
      <c r="H714" t="s">
        <v>74</v>
      </c>
      <c r="I714">
        <v>9</v>
      </c>
      <c r="J714">
        <v>1182.57</v>
      </c>
      <c r="K714">
        <v>0</v>
      </c>
      <c r="L714">
        <v>10643.13</v>
      </c>
      <c r="M714">
        <v>7804.48</v>
      </c>
      <c r="N714">
        <v>2838.65</v>
      </c>
      <c r="O714" t="s">
        <v>33</v>
      </c>
      <c r="P714">
        <v>3</v>
      </c>
    </row>
    <row r="715" spans="1:16" x14ac:dyDescent="0.35">
      <c r="A715" t="s">
        <v>1494</v>
      </c>
      <c r="B715" s="1">
        <v>45634</v>
      </c>
      <c r="C715" t="s">
        <v>1495</v>
      </c>
      <c r="D715" t="s">
        <v>49</v>
      </c>
      <c r="E715" t="s">
        <v>85</v>
      </c>
      <c r="F715" t="s">
        <v>21</v>
      </c>
      <c r="G715" t="s">
        <v>79</v>
      </c>
      <c r="H715" t="s">
        <v>103</v>
      </c>
      <c r="I715">
        <v>3</v>
      </c>
      <c r="J715">
        <v>465.12</v>
      </c>
      <c r="K715">
        <v>0</v>
      </c>
      <c r="L715">
        <v>1395.36</v>
      </c>
      <c r="M715">
        <v>850.55</v>
      </c>
      <c r="N715">
        <v>544.80999999999995</v>
      </c>
      <c r="O715" t="s">
        <v>24</v>
      </c>
      <c r="P715">
        <v>3</v>
      </c>
    </row>
    <row r="716" spans="1:16" x14ac:dyDescent="0.35">
      <c r="A716" t="s">
        <v>1496</v>
      </c>
      <c r="B716" s="1">
        <v>45540</v>
      </c>
      <c r="C716" t="s">
        <v>1497</v>
      </c>
      <c r="D716" t="s">
        <v>49</v>
      </c>
      <c r="E716" t="s">
        <v>38</v>
      </c>
      <c r="F716" t="s">
        <v>31</v>
      </c>
      <c r="G716" t="s">
        <v>79</v>
      </c>
      <c r="H716" t="s">
        <v>80</v>
      </c>
      <c r="I716">
        <v>8</v>
      </c>
      <c r="J716">
        <v>181.93</v>
      </c>
      <c r="K716">
        <v>0.15</v>
      </c>
      <c r="L716">
        <v>1237.1199999999999</v>
      </c>
      <c r="M716">
        <v>755.35</v>
      </c>
      <c r="N716">
        <v>481.77</v>
      </c>
      <c r="O716" t="s">
        <v>51</v>
      </c>
      <c r="P716">
        <v>1</v>
      </c>
    </row>
    <row r="717" spans="1:16" x14ac:dyDescent="0.35">
      <c r="A717" t="s">
        <v>1498</v>
      </c>
      <c r="B717" s="1">
        <v>45640</v>
      </c>
      <c r="C717" t="s">
        <v>1499</v>
      </c>
      <c r="D717" t="s">
        <v>19</v>
      </c>
      <c r="E717" t="s">
        <v>98</v>
      </c>
      <c r="F717" t="s">
        <v>21</v>
      </c>
      <c r="G717" t="s">
        <v>43</v>
      </c>
      <c r="H717" t="s">
        <v>44</v>
      </c>
      <c r="I717">
        <v>12</v>
      </c>
      <c r="J717">
        <v>157.24</v>
      </c>
      <c r="K717">
        <v>0.1</v>
      </c>
      <c r="L717">
        <v>1698.19</v>
      </c>
      <c r="M717">
        <v>1272.05</v>
      </c>
      <c r="N717">
        <v>426.14</v>
      </c>
      <c r="O717" t="s">
        <v>33</v>
      </c>
      <c r="P717">
        <v>1</v>
      </c>
    </row>
    <row r="718" spans="1:16" x14ac:dyDescent="0.35">
      <c r="A718" t="s">
        <v>1500</v>
      </c>
      <c r="B718" s="1">
        <v>45428</v>
      </c>
      <c r="C718" t="s">
        <v>1501</v>
      </c>
      <c r="D718" t="s">
        <v>49</v>
      </c>
      <c r="E718" t="s">
        <v>30</v>
      </c>
      <c r="F718" t="s">
        <v>21</v>
      </c>
      <c r="G718" t="s">
        <v>22</v>
      </c>
      <c r="H718" t="s">
        <v>23</v>
      </c>
      <c r="I718">
        <v>2</v>
      </c>
      <c r="J718">
        <v>1030.1099999999999</v>
      </c>
      <c r="K718">
        <v>0.1</v>
      </c>
      <c r="L718">
        <v>1854.2</v>
      </c>
      <c r="M718">
        <v>1206.19</v>
      </c>
      <c r="N718">
        <v>648.01</v>
      </c>
      <c r="O718" t="s">
        <v>51</v>
      </c>
      <c r="P718">
        <v>2</v>
      </c>
    </row>
    <row r="719" spans="1:16" x14ac:dyDescent="0.35">
      <c r="A719" t="s">
        <v>1502</v>
      </c>
      <c r="B719" s="1">
        <v>45607</v>
      </c>
      <c r="C719" t="s">
        <v>1503</v>
      </c>
      <c r="D719" t="s">
        <v>66</v>
      </c>
      <c r="E719" t="s">
        <v>85</v>
      </c>
      <c r="F719" t="s">
        <v>21</v>
      </c>
      <c r="G719" t="s">
        <v>22</v>
      </c>
      <c r="H719" t="s">
        <v>23</v>
      </c>
      <c r="I719">
        <v>5</v>
      </c>
      <c r="J719">
        <v>142.16</v>
      </c>
      <c r="K719">
        <v>0.15</v>
      </c>
      <c r="L719">
        <v>604.17999999999995</v>
      </c>
      <c r="M719">
        <v>475.5</v>
      </c>
      <c r="N719">
        <v>128.68</v>
      </c>
      <c r="O719" t="s">
        <v>51</v>
      </c>
      <c r="P719">
        <v>5</v>
      </c>
    </row>
    <row r="720" spans="1:16" x14ac:dyDescent="0.35">
      <c r="A720" t="s">
        <v>1504</v>
      </c>
      <c r="B720" s="1">
        <v>45315</v>
      </c>
      <c r="C720" t="s">
        <v>1505</v>
      </c>
      <c r="D720" t="s">
        <v>66</v>
      </c>
      <c r="E720" t="s">
        <v>98</v>
      </c>
      <c r="F720" t="s">
        <v>21</v>
      </c>
      <c r="G720" t="s">
        <v>22</v>
      </c>
      <c r="H720" t="s">
        <v>74</v>
      </c>
      <c r="I720">
        <v>11</v>
      </c>
      <c r="J720">
        <v>277.05</v>
      </c>
      <c r="K720">
        <v>0.1</v>
      </c>
      <c r="L720">
        <v>2742.8</v>
      </c>
      <c r="M720">
        <v>2175.16</v>
      </c>
      <c r="N720">
        <v>567.64</v>
      </c>
      <c r="O720" t="s">
        <v>62</v>
      </c>
      <c r="P720">
        <v>3</v>
      </c>
    </row>
    <row r="721" spans="1:16" x14ac:dyDescent="0.35">
      <c r="A721" t="s">
        <v>1506</v>
      </c>
      <c r="B721" s="1">
        <v>45563</v>
      </c>
      <c r="C721" t="s">
        <v>1507</v>
      </c>
      <c r="D721" t="s">
        <v>66</v>
      </c>
      <c r="E721" t="s">
        <v>85</v>
      </c>
      <c r="F721" t="s">
        <v>31</v>
      </c>
      <c r="G721" t="s">
        <v>60</v>
      </c>
      <c r="H721" t="s">
        <v>119</v>
      </c>
      <c r="I721">
        <v>7</v>
      </c>
      <c r="J721">
        <v>638.08000000000004</v>
      </c>
      <c r="K721">
        <v>0.05</v>
      </c>
      <c r="L721">
        <v>4243.2299999999996</v>
      </c>
      <c r="M721">
        <v>2685.72</v>
      </c>
      <c r="N721">
        <v>1557.51</v>
      </c>
      <c r="O721" t="s">
        <v>33</v>
      </c>
      <c r="P721">
        <v>2</v>
      </c>
    </row>
    <row r="722" spans="1:16" x14ac:dyDescent="0.35">
      <c r="A722" t="s">
        <v>1508</v>
      </c>
      <c r="B722" s="1">
        <v>45360</v>
      </c>
      <c r="C722" t="s">
        <v>1509</v>
      </c>
      <c r="D722" t="s">
        <v>19</v>
      </c>
      <c r="E722" t="s">
        <v>98</v>
      </c>
      <c r="F722" t="s">
        <v>31</v>
      </c>
      <c r="G722" t="s">
        <v>22</v>
      </c>
      <c r="H722" t="s">
        <v>124</v>
      </c>
      <c r="I722">
        <v>8</v>
      </c>
      <c r="J722">
        <v>67.28</v>
      </c>
      <c r="K722">
        <v>0.05</v>
      </c>
      <c r="L722">
        <v>511.33</v>
      </c>
      <c r="M722">
        <v>301.14999999999998</v>
      </c>
      <c r="N722">
        <v>210.18</v>
      </c>
      <c r="O722" t="s">
        <v>33</v>
      </c>
      <c r="P722">
        <v>2</v>
      </c>
    </row>
    <row r="723" spans="1:16" x14ac:dyDescent="0.35">
      <c r="A723" t="s">
        <v>1510</v>
      </c>
      <c r="B723" s="1">
        <v>45636</v>
      </c>
      <c r="C723" t="s">
        <v>1511</v>
      </c>
      <c r="D723" t="s">
        <v>66</v>
      </c>
      <c r="E723" t="s">
        <v>30</v>
      </c>
      <c r="F723" t="s">
        <v>21</v>
      </c>
      <c r="G723" t="s">
        <v>22</v>
      </c>
      <c r="H723" t="s">
        <v>124</v>
      </c>
      <c r="I723">
        <v>4</v>
      </c>
      <c r="J723">
        <v>676</v>
      </c>
      <c r="K723">
        <v>0.15</v>
      </c>
      <c r="L723">
        <v>2298.4</v>
      </c>
      <c r="M723">
        <v>1754.33</v>
      </c>
      <c r="N723">
        <v>544.07000000000005</v>
      </c>
      <c r="O723" t="s">
        <v>33</v>
      </c>
      <c r="P723">
        <v>5</v>
      </c>
    </row>
    <row r="724" spans="1:16" x14ac:dyDescent="0.35">
      <c r="A724" t="s">
        <v>1512</v>
      </c>
      <c r="B724" s="1">
        <v>45509</v>
      </c>
      <c r="C724" t="s">
        <v>1513</v>
      </c>
      <c r="D724" t="s">
        <v>37</v>
      </c>
      <c r="E724" t="s">
        <v>20</v>
      </c>
      <c r="F724" t="s">
        <v>21</v>
      </c>
      <c r="G724" t="s">
        <v>60</v>
      </c>
      <c r="H724" t="s">
        <v>61</v>
      </c>
      <c r="I724">
        <v>5</v>
      </c>
      <c r="J724">
        <v>194.45</v>
      </c>
      <c r="K724">
        <v>0.15</v>
      </c>
      <c r="L724">
        <v>826.41</v>
      </c>
      <c r="M724">
        <v>508.76</v>
      </c>
      <c r="N724">
        <v>317.64999999999998</v>
      </c>
      <c r="O724" t="s">
        <v>24</v>
      </c>
      <c r="P724">
        <v>2</v>
      </c>
    </row>
    <row r="725" spans="1:16" x14ac:dyDescent="0.35">
      <c r="A725" t="s">
        <v>1514</v>
      </c>
      <c r="B725" s="1">
        <v>45476</v>
      </c>
      <c r="C725" t="s">
        <v>1515</v>
      </c>
      <c r="D725" t="s">
        <v>37</v>
      </c>
      <c r="E725" t="s">
        <v>38</v>
      </c>
      <c r="F725" t="s">
        <v>39</v>
      </c>
      <c r="G725" t="s">
        <v>60</v>
      </c>
      <c r="H725" t="s">
        <v>110</v>
      </c>
      <c r="I725">
        <v>3</v>
      </c>
      <c r="J725">
        <v>216.6</v>
      </c>
      <c r="K725">
        <v>0</v>
      </c>
      <c r="L725">
        <v>649.79999999999995</v>
      </c>
      <c r="M725">
        <v>411.09</v>
      </c>
      <c r="N725">
        <v>238.71</v>
      </c>
      <c r="O725" t="s">
        <v>24</v>
      </c>
      <c r="P725">
        <v>4</v>
      </c>
    </row>
    <row r="726" spans="1:16" x14ac:dyDescent="0.35">
      <c r="A726" t="s">
        <v>1516</v>
      </c>
      <c r="B726" s="1">
        <v>45370</v>
      </c>
      <c r="C726" t="s">
        <v>1517</v>
      </c>
      <c r="D726" t="s">
        <v>19</v>
      </c>
      <c r="E726" t="s">
        <v>30</v>
      </c>
      <c r="F726" t="s">
        <v>21</v>
      </c>
      <c r="G726" t="s">
        <v>79</v>
      </c>
      <c r="H726" t="s">
        <v>89</v>
      </c>
      <c r="I726">
        <v>11</v>
      </c>
      <c r="J726">
        <v>782.86</v>
      </c>
      <c r="K726">
        <v>0.15</v>
      </c>
      <c r="L726">
        <v>7319.74</v>
      </c>
      <c r="M726">
        <v>4844.8</v>
      </c>
      <c r="N726">
        <v>2474.94</v>
      </c>
      <c r="O726" t="s">
        <v>51</v>
      </c>
      <c r="P726">
        <v>1</v>
      </c>
    </row>
    <row r="727" spans="1:16" x14ac:dyDescent="0.35">
      <c r="A727" t="s">
        <v>1518</v>
      </c>
      <c r="B727" s="1">
        <v>45619</v>
      </c>
      <c r="C727" t="s">
        <v>1519</v>
      </c>
      <c r="D727" t="s">
        <v>49</v>
      </c>
      <c r="E727" t="s">
        <v>30</v>
      </c>
      <c r="F727" t="s">
        <v>21</v>
      </c>
      <c r="G727" t="s">
        <v>43</v>
      </c>
      <c r="H727" t="s">
        <v>50</v>
      </c>
      <c r="I727">
        <v>12</v>
      </c>
      <c r="J727">
        <v>42.01</v>
      </c>
      <c r="K727">
        <v>0.15</v>
      </c>
      <c r="L727">
        <v>428.5</v>
      </c>
      <c r="M727">
        <v>336.73</v>
      </c>
      <c r="N727">
        <v>91.77</v>
      </c>
      <c r="O727" t="s">
        <v>33</v>
      </c>
      <c r="P727">
        <v>4</v>
      </c>
    </row>
    <row r="728" spans="1:16" x14ac:dyDescent="0.35">
      <c r="A728" t="s">
        <v>1520</v>
      </c>
      <c r="B728" s="1">
        <v>45446</v>
      </c>
      <c r="C728" t="s">
        <v>1521</v>
      </c>
      <c r="D728" t="s">
        <v>37</v>
      </c>
      <c r="E728" t="s">
        <v>38</v>
      </c>
      <c r="F728" t="s">
        <v>31</v>
      </c>
      <c r="G728" t="s">
        <v>22</v>
      </c>
      <c r="H728" t="s">
        <v>32</v>
      </c>
      <c r="I728">
        <v>4</v>
      </c>
      <c r="J728">
        <v>860.91</v>
      </c>
      <c r="K728">
        <v>0</v>
      </c>
      <c r="L728">
        <v>3443.64</v>
      </c>
      <c r="M728">
        <v>1872.44</v>
      </c>
      <c r="N728">
        <v>1571.2</v>
      </c>
      <c r="O728" t="s">
        <v>24</v>
      </c>
      <c r="P728">
        <v>1</v>
      </c>
    </row>
    <row r="729" spans="1:16" x14ac:dyDescent="0.35">
      <c r="A729" t="s">
        <v>1522</v>
      </c>
      <c r="B729" s="1">
        <v>45623</v>
      </c>
      <c r="C729" t="s">
        <v>1523</v>
      </c>
      <c r="D729" t="s">
        <v>29</v>
      </c>
      <c r="E729" t="s">
        <v>85</v>
      </c>
      <c r="F729" t="s">
        <v>31</v>
      </c>
      <c r="G729" t="s">
        <v>79</v>
      </c>
      <c r="H729" t="s">
        <v>89</v>
      </c>
      <c r="I729">
        <v>10</v>
      </c>
      <c r="J729">
        <v>312.68</v>
      </c>
      <c r="K729">
        <v>0.15</v>
      </c>
      <c r="L729">
        <v>2657.78</v>
      </c>
      <c r="M729">
        <v>1377.02</v>
      </c>
      <c r="N729">
        <v>1280.76</v>
      </c>
      <c r="O729" t="s">
        <v>51</v>
      </c>
      <c r="P729">
        <v>4</v>
      </c>
    </row>
    <row r="730" spans="1:16" x14ac:dyDescent="0.35">
      <c r="A730" t="s">
        <v>1524</v>
      </c>
      <c r="B730" s="1">
        <v>45600</v>
      </c>
      <c r="C730" t="s">
        <v>1525</v>
      </c>
      <c r="D730" t="s">
        <v>19</v>
      </c>
      <c r="E730" t="s">
        <v>38</v>
      </c>
      <c r="F730" t="s">
        <v>31</v>
      </c>
      <c r="G730" t="s">
        <v>79</v>
      </c>
      <c r="H730" t="s">
        <v>89</v>
      </c>
      <c r="I730">
        <v>12</v>
      </c>
      <c r="J730">
        <v>949.12</v>
      </c>
      <c r="K730">
        <v>0.15</v>
      </c>
      <c r="L730">
        <v>9681.02</v>
      </c>
      <c r="M730">
        <v>7880.11</v>
      </c>
      <c r="N730">
        <v>1800.91</v>
      </c>
      <c r="O730" t="s">
        <v>62</v>
      </c>
      <c r="P730">
        <v>3</v>
      </c>
    </row>
    <row r="731" spans="1:16" x14ac:dyDescent="0.35">
      <c r="A731" t="s">
        <v>1526</v>
      </c>
      <c r="B731" s="1">
        <v>45336</v>
      </c>
      <c r="C731" t="s">
        <v>1527</v>
      </c>
      <c r="D731" t="s">
        <v>37</v>
      </c>
      <c r="E731" t="s">
        <v>30</v>
      </c>
      <c r="F731" t="s">
        <v>21</v>
      </c>
      <c r="G731" t="s">
        <v>79</v>
      </c>
      <c r="H731" t="s">
        <v>89</v>
      </c>
      <c r="I731">
        <v>3</v>
      </c>
      <c r="J731">
        <v>1136.45</v>
      </c>
      <c r="K731">
        <v>0.1</v>
      </c>
      <c r="L731">
        <v>3068.42</v>
      </c>
      <c r="M731">
        <v>1839.39</v>
      </c>
      <c r="N731">
        <v>1229.03</v>
      </c>
      <c r="O731" t="s">
        <v>62</v>
      </c>
      <c r="P731">
        <v>3</v>
      </c>
    </row>
    <row r="732" spans="1:16" x14ac:dyDescent="0.35">
      <c r="A732" t="s">
        <v>1528</v>
      </c>
      <c r="B732" s="1">
        <v>45362</v>
      </c>
      <c r="C732" t="s">
        <v>1529</v>
      </c>
      <c r="D732" t="s">
        <v>37</v>
      </c>
      <c r="E732" t="s">
        <v>20</v>
      </c>
      <c r="F732" t="s">
        <v>39</v>
      </c>
      <c r="G732" t="s">
        <v>22</v>
      </c>
      <c r="H732" t="s">
        <v>124</v>
      </c>
      <c r="I732">
        <v>10</v>
      </c>
      <c r="J732">
        <v>409.14</v>
      </c>
      <c r="K732">
        <v>0.1</v>
      </c>
      <c r="L732">
        <v>3682.26</v>
      </c>
      <c r="M732">
        <v>2142.84</v>
      </c>
      <c r="N732">
        <v>1539.42</v>
      </c>
      <c r="O732" t="s">
        <v>24</v>
      </c>
      <c r="P732">
        <v>2</v>
      </c>
    </row>
    <row r="733" spans="1:16" x14ac:dyDescent="0.35">
      <c r="A733" t="s">
        <v>1530</v>
      </c>
      <c r="B733" s="1">
        <v>45516</v>
      </c>
      <c r="C733" t="s">
        <v>1531</v>
      </c>
      <c r="D733" t="s">
        <v>29</v>
      </c>
      <c r="E733" t="s">
        <v>30</v>
      </c>
      <c r="F733" t="s">
        <v>21</v>
      </c>
      <c r="G733" t="s">
        <v>22</v>
      </c>
      <c r="H733" t="s">
        <v>32</v>
      </c>
      <c r="I733">
        <v>9</v>
      </c>
      <c r="J733">
        <v>274.08999999999997</v>
      </c>
      <c r="K733">
        <v>0</v>
      </c>
      <c r="L733">
        <v>2466.81</v>
      </c>
      <c r="M733">
        <v>1979.4</v>
      </c>
      <c r="N733">
        <v>487.41</v>
      </c>
      <c r="O733" t="s">
        <v>24</v>
      </c>
      <c r="P733">
        <v>1</v>
      </c>
    </row>
    <row r="734" spans="1:16" x14ac:dyDescent="0.35">
      <c r="A734" t="s">
        <v>1532</v>
      </c>
      <c r="B734" s="1">
        <v>45556</v>
      </c>
      <c r="C734" t="s">
        <v>1533</v>
      </c>
      <c r="D734" t="s">
        <v>19</v>
      </c>
      <c r="E734" t="s">
        <v>85</v>
      </c>
      <c r="F734" t="s">
        <v>21</v>
      </c>
      <c r="G734" t="s">
        <v>22</v>
      </c>
      <c r="H734" t="s">
        <v>23</v>
      </c>
      <c r="I734">
        <v>12</v>
      </c>
      <c r="J734">
        <v>891.68</v>
      </c>
      <c r="K734">
        <v>0.05</v>
      </c>
      <c r="L734">
        <v>10165.15</v>
      </c>
      <c r="M734">
        <v>7657.37</v>
      </c>
      <c r="N734">
        <v>2507.7800000000002</v>
      </c>
      <c r="O734" t="s">
        <v>24</v>
      </c>
      <c r="P734">
        <v>2</v>
      </c>
    </row>
    <row r="735" spans="1:16" x14ac:dyDescent="0.35">
      <c r="A735" t="s">
        <v>1534</v>
      </c>
      <c r="B735" s="1">
        <v>45438</v>
      </c>
      <c r="C735" t="s">
        <v>1535</v>
      </c>
      <c r="D735" t="s">
        <v>29</v>
      </c>
      <c r="E735" t="s">
        <v>38</v>
      </c>
      <c r="F735" t="s">
        <v>39</v>
      </c>
      <c r="G735" t="s">
        <v>79</v>
      </c>
      <c r="H735" t="s">
        <v>80</v>
      </c>
      <c r="I735">
        <v>5</v>
      </c>
      <c r="J735">
        <v>456.61</v>
      </c>
      <c r="K735">
        <v>0.05</v>
      </c>
      <c r="L735">
        <v>2168.9</v>
      </c>
      <c r="M735">
        <v>1347.45</v>
      </c>
      <c r="N735">
        <v>821.45</v>
      </c>
      <c r="O735" t="s">
        <v>51</v>
      </c>
      <c r="P735">
        <v>1</v>
      </c>
    </row>
    <row r="736" spans="1:16" x14ac:dyDescent="0.35">
      <c r="A736" t="s">
        <v>1536</v>
      </c>
      <c r="B736" s="1">
        <v>45591</v>
      </c>
      <c r="C736" t="s">
        <v>1537</v>
      </c>
      <c r="D736" t="s">
        <v>19</v>
      </c>
      <c r="E736" t="s">
        <v>98</v>
      </c>
      <c r="F736" t="s">
        <v>31</v>
      </c>
      <c r="G736" t="s">
        <v>79</v>
      </c>
      <c r="H736" t="s">
        <v>89</v>
      </c>
      <c r="I736">
        <v>8</v>
      </c>
      <c r="J736">
        <v>395.25</v>
      </c>
      <c r="K736">
        <v>0.15</v>
      </c>
      <c r="L736">
        <v>2687.7</v>
      </c>
      <c r="M736">
        <v>1759.57</v>
      </c>
      <c r="N736">
        <v>928.13</v>
      </c>
      <c r="O736" t="s">
        <v>33</v>
      </c>
      <c r="P736">
        <v>2</v>
      </c>
    </row>
    <row r="737" spans="1:16" x14ac:dyDescent="0.35">
      <c r="A737" t="s">
        <v>1538</v>
      </c>
      <c r="B737" s="1">
        <v>45556</v>
      </c>
      <c r="C737" t="s">
        <v>1539</v>
      </c>
      <c r="D737" t="s">
        <v>66</v>
      </c>
      <c r="E737" t="s">
        <v>38</v>
      </c>
      <c r="F737" t="s">
        <v>21</v>
      </c>
      <c r="G737" t="s">
        <v>43</v>
      </c>
      <c r="H737" t="s">
        <v>44</v>
      </c>
      <c r="I737">
        <v>1</v>
      </c>
      <c r="J737">
        <v>379.68</v>
      </c>
      <c r="K737">
        <v>0.1</v>
      </c>
      <c r="L737">
        <v>341.71</v>
      </c>
      <c r="M737">
        <v>287.41000000000003</v>
      </c>
      <c r="N737">
        <v>54.3</v>
      </c>
      <c r="O737" t="s">
        <v>24</v>
      </c>
      <c r="P737">
        <v>5</v>
      </c>
    </row>
    <row r="738" spans="1:16" x14ac:dyDescent="0.35">
      <c r="A738" t="s">
        <v>1540</v>
      </c>
      <c r="B738" s="1">
        <v>45511</v>
      </c>
      <c r="C738" t="s">
        <v>1541</v>
      </c>
      <c r="D738" t="s">
        <v>19</v>
      </c>
      <c r="E738" t="s">
        <v>98</v>
      </c>
      <c r="F738" t="s">
        <v>31</v>
      </c>
      <c r="G738" t="s">
        <v>79</v>
      </c>
      <c r="H738" t="s">
        <v>89</v>
      </c>
      <c r="I738">
        <v>5</v>
      </c>
      <c r="J738">
        <v>434.24</v>
      </c>
      <c r="K738">
        <v>0.15</v>
      </c>
      <c r="L738">
        <v>1845.52</v>
      </c>
      <c r="M738">
        <v>1151.82</v>
      </c>
      <c r="N738">
        <v>693.7</v>
      </c>
      <c r="O738" t="s">
        <v>51</v>
      </c>
      <c r="P738">
        <v>5</v>
      </c>
    </row>
    <row r="739" spans="1:16" x14ac:dyDescent="0.35">
      <c r="A739" t="s">
        <v>1542</v>
      </c>
      <c r="B739" s="1">
        <v>45465</v>
      </c>
      <c r="C739" t="s">
        <v>1543</v>
      </c>
      <c r="D739" t="s">
        <v>66</v>
      </c>
      <c r="E739" t="s">
        <v>30</v>
      </c>
      <c r="F739" t="s">
        <v>31</v>
      </c>
      <c r="G739" t="s">
        <v>22</v>
      </c>
      <c r="H739" t="s">
        <v>32</v>
      </c>
      <c r="I739">
        <v>1</v>
      </c>
      <c r="J739">
        <v>950.82</v>
      </c>
      <c r="K739">
        <v>0.15</v>
      </c>
      <c r="L739">
        <v>808.2</v>
      </c>
      <c r="M739">
        <v>481.52</v>
      </c>
      <c r="N739">
        <v>326.68</v>
      </c>
      <c r="O739" t="s">
        <v>33</v>
      </c>
      <c r="P739">
        <v>1</v>
      </c>
    </row>
    <row r="740" spans="1:16" x14ac:dyDescent="0.35">
      <c r="A740" t="s">
        <v>1544</v>
      </c>
      <c r="B740" s="1">
        <v>45639</v>
      </c>
      <c r="C740" t="s">
        <v>1545</v>
      </c>
      <c r="D740" t="s">
        <v>37</v>
      </c>
      <c r="E740" t="s">
        <v>98</v>
      </c>
      <c r="F740" t="s">
        <v>21</v>
      </c>
      <c r="G740" t="s">
        <v>43</v>
      </c>
      <c r="H740" t="s">
        <v>173</v>
      </c>
      <c r="I740">
        <v>9</v>
      </c>
      <c r="J740">
        <v>1149.55</v>
      </c>
      <c r="K740">
        <v>0.05</v>
      </c>
      <c r="L740">
        <v>9828.65</v>
      </c>
      <c r="M740">
        <v>6604.44</v>
      </c>
      <c r="N740">
        <v>3224.21</v>
      </c>
      <c r="O740" t="s">
        <v>33</v>
      </c>
      <c r="P740">
        <v>1</v>
      </c>
    </row>
    <row r="741" spans="1:16" x14ac:dyDescent="0.35">
      <c r="A741" t="s">
        <v>1546</v>
      </c>
      <c r="B741" s="1">
        <v>45493</v>
      </c>
      <c r="C741" t="s">
        <v>1547</v>
      </c>
      <c r="D741" t="s">
        <v>29</v>
      </c>
      <c r="E741" t="s">
        <v>85</v>
      </c>
      <c r="F741" t="s">
        <v>39</v>
      </c>
      <c r="G741" t="s">
        <v>79</v>
      </c>
      <c r="H741" t="s">
        <v>80</v>
      </c>
      <c r="I741">
        <v>2</v>
      </c>
      <c r="J741">
        <v>138.16</v>
      </c>
      <c r="K741">
        <v>0</v>
      </c>
      <c r="L741">
        <v>276.32</v>
      </c>
      <c r="M741">
        <v>176.69</v>
      </c>
      <c r="N741">
        <v>99.63</v>
      </c>
      <c r="O741" t="s">
        <v>62</v>
      </c>
      <c r="P741">
        <v>1</v>
      </c>
    </row>
    <row r="742" spans="1:16" x14ac:dyDescent="0.35">
      <c r="A742" t="s">
        <v>1548</v>
      </c>
      <c r="B742" s="1">
        <v>45592</v>
      </c>
      <c r="C742" t="s">
        <v>1549</v>
      </c>
      <c r="D742" t="s">
        <v>66</v>
      </c>
      <c r="E742" t="s">
        <v>30</v>
      </c>
      <c r="F742" t="s">
        <v>21</v>
      </c>
      <c r="G742" t="s">
        <v>43</v>
      </c>
      <c r="H742" t="s">
        <v>44</v>
      </c>
      <c r="I742">
        <v>2</v>
      </c>
      <c r="J742">
        <v>290.14999999999998</v>
      </c>
      <c r="K742">
        <v>0.05</v>
      </c>
      <c r="L742">
        <v>551.28</v>
      </c>
      <c r="M742">
        <v>291.94</v>
      </c>
      <c r="N742">
        <v>259.33999999999997</v>
      </c>
      <c r="O742" t="s">
        <v>62</v>
      </c>
      <c r="P742">
        <v>5</v>
      </c>
    </row>
    <row r="743" spans="1:16" x14ac:dyDescent="0.35">
      <c r="A743" t="s">
        <v>1550</v>
      </c>
      <c r="B743" s="1">
        <v>45501</v>
      </c>
      <c r="C743" t="s">
        <v>1551</v>
      </c>
      <c r="D743" t="s">
        <v>37</v>
      </c>
      <c r="E743" t="s">
        <v>30</v>
      </c>
      <c r="F743" t="s">
        <v>39</v>
      </c>
      <c r="G743" t="s">
        <v>79</v>
      </c>
      <c r="H743" t="s">
        <v>103</v>
      </c>
      <c r="I743">
        <v>3</v>
      </c>
      <c r="J743">
        <v>323.02</v>
      </c>
      <c r="K743">
        <v>0</v>
      </c>
      <c r="L743">
        <v>969.06</v>
      </c>
      <c r="M743">
        <v>504.06</v>
      </c>
      <c r="N743">
        <v>465</v>
      </c>
      <c r="O743" t="s">
        <v>33</v>
      </c>
      <c r="P743">
        <v>1</v>
      </c>
    </row>
    <row r="744" spans="1:16" x14ac:dyDescent="0.35">
      <c r="A744" t="s">
        <v>1552</v>
      </c>
      <c r="B744" s="1">
        <v>45472</v>
      </c>
      <c r="C744" t="s">
        <v>1519</v>
      </c>
      <c r="D744" t="s">
        <v>37</v>
      </c>
      <c r="E744" t="s">
        <v>20</v>
      </c>
      <c r="F744" t="s">
        <v>39</v>
      </c>
      <c r="G744" t="s">
        <v>22</v>
      </c>
      <c r="H744" t="s">
        <v>32</v>
      </c>
      <c r="I744">
        <v>11</v>
      </c>
      <c r="J744">
        <v>228.49</v>
      </c>
      <c r="K744">
        <v>0.1</v>
      </c>
      <c r="L744">
        <v>2262.0500000000002</v>
      </c>
      <c r="M744">
        <v>1189.9000000000001</v>
      </c>
      <c r="N744">
        <v>1072.1500000000001</v>
      </c>
      <c r="O744" t="s">
        <v>51</v>
      </c>
      <c r="P744">
        <v>1</v>
      </c>
    </row>
    <row r="745" spans="1:16" x14ac:dyDescent="0.35">
      <c r="A745" t="s">
        <v>1553</v>
      </c>
      <c r="B745" s="1">
        <v>45329</v>
      </c>
      <c r="C745" t="s">
        <v>1554</v>
      </c>
      <c r="D745" t="s">
        <v>19</v>
      </c>
      <c r="E745" t="s">
        <v>20</v>
      </c>
      <c r="F745" t="s">
        <v>39</v>
      </c>
      <c r="G745" t="s">
        <v>22</v>
      </c>
      <c r="H745" t="s">
        <v>74</v>
      </c>
      <c r="I745">
        <v>6</v>
      </c>
      <c r="J745">
        <v>677</v>
      </c>
      <c r="K745">
        <v>0.15</v>
      </c>
      <c r="L745">
        <v>3452.7</v>
      </c>
      <c r="M745">
        <v>2171.19</v>
      </c>
      <c r="N745">
        <v>1281.51</v>
      </c>
      <c r="O745" t="s">
        <v>62</v>
      </c>
      <c r="P745">
        <v>4</v>
      </c>
    </row>
    <row r="746" spans="1:16" x14ac:dyDescent="0.35">
      <c r="A746" t="s">
        <v>1555</v>
      </c>
      <c r="B746" s="1">
        <v>45485</v>
      </c>
      <c r="C746" t="s">
        <v>1556</v>
      </c>
      <c r="D746" t="s">
        <v>29</v>
      </c>
      <c r="E746" t="s">
        <v>98</v>
      </c>
      <c r="F746" t="s">
        <v>39</v>
      </c>
      <c r="G746" t="s">
        <v>79</v>
      </c>
      <c r="H746" t="s">
        <v>103</v>
      </c>
      <c r="I746">
        <v>11</v>
      </c>
      <c r="J746">
        <v>46.09</v>
      </c>
      <c r="K746">
        <v>0</v>
      </c>
      <c r="L746">
        <v>506.99</v>
      </c>
      <c r="M746">
        <v>364.6</v>
      </c>
      <c r="N746">
        <v>142.38999999999999</v>
      </c>
      <c r="O746" t="s">
        <v>24</v>
      </c>
      <c r="P746">
        <v>4</v>
      </c>
    </row>
    <row r="747" spans="1:16" x14ac:dyDescent="0.35">
      <c r="A747" t="s">
        <v>1557</v>
      </c>
      <c r="B747" s="1">
        <v>45620</v>
      </c>
      <c r="C747" t="s">
        <v>1558</v>
      </c>
      <c r="D747" t="s">
        <v>37</v>
      </c>
      <c r="E747" t="s">
        <v>20</v>
      </c>
      <c r="F747" t="s">
        <v>31</v>
      </c>
      <c r="G747" t="s">
        <v>79</v>
      </c>
      <c r="H747" t="s">
        <v>80</v>
      </c>
      <c r="I747">
        <v>3</v>
      </c>
      <c r="J747">
        <v>442.86</v>
      </c>
      <c r="K747">
        <v>0.05</v>
      </c>
      <c r="L747">
        <v>1262.1500000000001</v>
      </c>
      <c r="M747">
        <v>944.1</v>
      </c>
      <c r="N747">
        <v>318.05</v>
      </c>
      <c r="O747" t="s">
        <v>24</v>
      </c>
      <c r="P747">
        <v>4</v>
      </c>
    </row>
    <row r="748" spans="1:16" x14ac:dyDescent="0.35">
      <c r="A748" t="s">
        <v>1559</v>
      </c>
      <c r="B748" s="1">
        <v>45540</v>
      </c>
      <c r="C748" t="s">
        <v>1560</v>
      </c>
      <c r="D748" t="s">
        <v>37</v>
      </c>
      <c r="E748" t="s">
        <v>98</v>
      </c>
      <c r="F748" t="s">
        <v>31</v>
      </c>
      <c r="G748" t="s">
        <v>43</v>
      </c>
      <c r="H748" t="s">
        <v>44</v>
      </c>
      <c r="I748">
        <v>4</v>
      </c>
      <c r="J748">
        <v>542.49</v>
      </c>
      <c r="K748">
        <v>0.15</v>
      </c>
      <c r="L748">
        <v>1844.47</v>
      </c>
      <c r="M748">
        <v>1055.6400000000001</v>
      </c>
      <c r="N748">
        <v>788.83</v>
      </c>
      <c r="O748" t="s">
        <v>24</v>
      </c>
      <c r="P748">
        <v>2</v>
      </c>
    </row>
    <row r="749" spans="1:16" x14ac:dyDescent="0.35">
      <c r="A749" t="s">
        <v>1561</v>
      </c>
      <c r="B749" s="1">
        <v>45553</v>
      </c>
      <c r="C749" t="s">
        <v>1562</v>
      </c>
      <c r="D749" t="s">
        <v>19</v>
      </c>
      <c r="E749" t="s">
        <v>30</v>
      </c>
      <c r="F749" t="s">
        <v>39</v>
      </c>
      <c r="G749" t="s">
        <v>43</v>
      </c>
      <c r="H749" t="s">
        <v>173</v>
      </c>
      <c r="I749">
        <v>1</v>
      </c>
      <c r="J749">
        <v>920.84</v>
      </c>
      <c r="K749">
        <v>0</v>
      </c>
      <c r="L749">
        <v>920.84</v>
      </c>
      <c r="M749">
        <v>705.1</v>
      </c>
      <c r="N749">
        <v>215.74</v>
      </c>
      <c r="O749" t="s">
        <v>51</v>
      </c>
      <c r="P749">
        <v>1</v>
      </c>
    </row>
    <row r="750" spans="1:16" x14ac:dyDescent="0.35">
      <c r="A750" t="s">
        <v>1563</v>
      </c>
      <c r="B750" s="1">
        <v>45348</v>
      </c>
      <c r="C750" t="s">
        <v>1564</v>
      </c>
      <c r="D750" t="s">
        <v>19</v>
      </c>
      <c r="E750" t="s">
        <v>38</v>
      </c>
      <c r="F750" t="s">
        <v>39</v>
      </c>
      <c r="G750" t="s">
        <v>43</v>
      </c>
      <c r="H750" t="s">
        <v>44</v>
      </c>
      <c r="I750">
        <v>2</v>
      </c>
      <c r="J750">
        <v>834.64</v>
      </c>
      <c r="K750">
        <v>0</v>
      </c>
      <c r="L750">
        <v>1669.28</v>
      </c>
      <c r="M750">
        <v>1165.68</v>
      </c>
      <c r="N750">
        <v>503.6</v>
      </c>
      <c r="O750" t="s">
        <v>33</v>
      </c>
      <c r="P750">
        <v>1</v>
      </c>
    </row>
    <row r="751" spans="1:16" x14ac:dyDescent="0.35">
      <c r="A751" t="s">
        <v>1565</v>
      </c>
      <c r="B751" s="1">
        <v>45468</v>
      </c>
      <c r="C751" t="s">
        <v>1566</v>
      </c>
      <c r="D751" t="s">
        <v>29</v>
      </c>
      <c r="E751" t="s">
        <v>20</v>
      </c>
      <c r="F751" t="s">
        <v>39</v>
      </c>
      <c r="G751" t="s">
        <v>60</v>
      </c>
      <c r="H751" t="s">
        <v>61</v>
      </c>
      <c r="I751">
        <v>9</v>
      </c>
      <c r="J751">
        <v>164.1</v>
      </c>
      <c r="K751">
        <v>0.15</v>
      </c>
      <c r="L751">
        <v>1255.3599999999999</v>
      </c>
      <c r="M751">
        <v>678.22</v>
      </c>
      <c r="N751">
        <v>577.14</v>
      </c>
      <c r="O751" t="s">
        <v>24</v>
      </c>
      <c r="P751">
        <v>4</v>
      </c>
    </row>
    <row r="752" spans="1:16" x14ac:dyDescent="0.35">
      <c r="A752" t="s">
        <v>1567</v>
      </c>
      <c r="B752" s="1">
        <v>45324</v>
      </c>
      <c r="C752" t="s">
        <v>1568</v>
      </c>
      <c r="D752" t="s">
        <v>49</v>
      </c>
      <c r="E752" t="s">
        <v>98</v>
      </c>
      <c r="F752" t="s">
        <v>31</v>
      </c>
      <c r="G752" t="s">
        <v>60</v>
      </c>
      <c r="H752" t="s">
        <v>110</v>
      </c>
      <c r="I752">
        <v>1</v>
      </c>
      <c r="J752">
        <v>29.87</v>
      </c>
      <c r="K752">
        <v>0</v>
      </c>
      <c r="L752">
        <v>29.87</v>
      </c>
      <c r="M752">
        <v>21.1</v>
      </c>
      <c r="N752">
        <v>8.77</v>
      </c>
      <c r="O752" t="s">
        <v>62</v>
      </c>
      <c r="P752">
        <v>4</v>
      </c>
    </row>
    <row r="753" spans="1:16" x14ac:dyDescent="0.35">
      <c r="A753" t="s">
        <v>1569</v>
      </c>
      <c r="B753" s="1">
        <v>45535</v>
      </c>
      <c r="C753" t="s">
        <v>1570</v>
      </c>
      <c r="D753" t="s">
        <v>37</v>
      </c>
      <c r="E753" t="s">
        <v>85</v>
      </c>
      <c r="F753" t="s">
        <v>31</v>
      </c>
      <c r="G753" t="s">
        <v>43</v>
      </c>
      <c r="H753" t="s">
        <v>44</v>
      </c>
      <c r="I753">
        <v>4</v>
      </c>
      <c r="J753">
        <v>746.83</v>
      </c>
      <c r="K753">
        <v>0.1</v>
      </c>
      <c r="L753">
        <v>2688.59</v>
      </c>
      <c r="M753">
        <v>1646.18</v>
      </c>
      <c r="N753">
        <v>1042.4100000000001</v>
      </c>
      <c r="O753" t="s">
        <v>51</v>
      </c>
      <c r="P753">
        <v>3</v>
      </c>
    </row>
    <row r="754" spans="1:16" x14ac:dyDescent="0.35">
      <c r="A754" t="s">
        <v>1571</v>
      </c>
      <c r="B754" s="1">
        <v>45569</v>
      </c>
      <c r="C754" t="s">
        <v>1572</v>
      </c>
      <c r="D754" t="s">
        <v>66</v>
      </c>
      <c r="E754" t="s">
        <v>30</v>
      </c>
      <c r="F754" t="s">
        <v>39</v>
      </c>
      <c r="G754" t="s">
        <v>79</v>
      </c>
      <c r="H754" t="s">
        <v>89</v>
      </c>
      <c r="I754">
        <v>7</v>
      </c>
      <c r="J754">
        <v>893.46</v>
      </c>
      <c r="K754">
        <v>0.05</v>
      </c>
      <c r="L754">
        <v>5941.51</v>
      </c>
      <c r="M754">
        <v>4069.03</v>
      </c>
      <c r="N754">
        <v>1872.48</v>
      </c>
      <c r="O754" t="s">
        <v>62</v>
      </c>
      <c r="P754">
        <v>4</v>
      </c>
    </row>
    <row r="755" spans="1:16" x14ac:dyDescent="0.35">
      <c r="A755" t="s">
        <v>1573</v>
      </c>
      <c r="B755" s="1">
        <v>45435</v>
      </c>
      <c r="C755" t="s">
        <v>1574</v>
      </c>
      <c r="D755" t="s">
        <v>19</v>
      </c>
      <c r="E755" t="s">
        <v>98</v>
      </c>
      <c r="F755" t="s">
        <v>39</v>
      </c>
      <c r="G755" t="s">
        <v>43</v>
      </c>
      <c r="H755" t="s">
        <v>50</v>
      </c>
      <c r="I755">
        <v>5</v>
      </c>
      <c r="J755">
        <v>556.89</v>
      </c>
      <c r="K755">
        <v>0</v>
      </c>
      <c r="L755">
        <v>2784.45</v>
      </c>
      <c r="M755">
        <v>2295.11</v>
      </c>
      <c r="N755">
        <v>489.34</v>
      </c>
      <c r="O755" t="s">
        <v>24</v>
      </c>
      <c r="P755">
        <v>5</v>
      </c>
    </row>
    <row r="756" spans="1:16" x14ac:dyDescent="0.35">
      <c r="A756" t="s">
        <v>1575</v>
      </c>
      <c r="B756" s="1">
        <v>45601</v>
      </c>
      <c r="C756" t="s">
        <v>1576</v>
      </c>
      <c r="D756" t="s">
        <v>19</v>
      </c>
      <c r="E756" t="s">
        <v>98</v>
      </c>
      <c r="F756" t="s">
        <v>31</v>
      </c>
      <c r="G756" t="s">
        <v>43</v>
      </c>
      <c r="H756" t="s">
        <v>44</v>
      </c>
      <c r="I756">
        <v>10</v>
      </c>
      <c r="J756">
        <v>290.77999999999997</v>
      </c>
      <c r="K756">
        <v>0</v>
      </c>
      <c r="L756">
        <v>2907.8</v>
      </c>
      <c r="M756">
        <v>2364.5300000000002</v>
      </c>
      <c r="N756">
        <v>543.27</v>
      </c>
      <c r="O756" t="s">
        <v>51</v>
      </c>
      <c r="P756">
        <v>2</v>
      </c>
    </row>
    <row r="757" spans="1:16" x14ac:dyDescent="0.35">
      <c r="A757" t="s">
        <v>1577</v>
      </c>
      <c r="B757" s="1">
        <v>45341</v>
      </c>
      <c r="C757" t="s">
        <v>1578</v>
      </c>
      <c r="D757" t="s">
        <v>66</v>
      </c>
      <c r="E757" t="s">
        <v>30</v>
      </c>
      <c r="F757" t="s">
        <v>39</v>
      </c>
      <c r="G757" t="s">
        <v>22</v>
      </c>
      <c r="H757" t="s">
        <v>32</v>
      </c>
      <c r="I757">
        <v>10</v>
      </c>
      <c r="J757">
        <v>512.87</v>
      </c>
      <c r="K757">
        <v>0.1</v>
      </c>
      <c r="L757">
        <v>4615.83</v>
      </c>
      <c r="M757">
        <v>2423.75</v>
      </c>
      <c r="N757">
        <v>2192.08</v>
      </c>
      <c r="O757" t="s">
        <v>33</v>
      </c>
      <c r="P757">
        <v>2</v>
      </c>
    </row>
    <row r="758" spans="1:16" x14ac:dyDescent="0.35">
      <c r="A758" t="s">
        <v>1579</v>
      </c>
      <c r="B758" s="1">
        <v>45489</v>
      </c>
      <c r="C758" t="s">
        <v>1580</v>
      </c>
      <c r="D758" t="s">
        <v>66</v>
      </c>
      <c r="E758" t="s">
        <v>20</v>
      </c>
      <c r="F758" t="s">
        <v>21</v>
      </c>
      <c r="G758" t="s">
        <v>43</v>
      </c>
      <c r="H758" t="s">
        <v>50</v>
      </c>
      <c r="I758">
        <v>9</v>
      </c>
      <c r="J758">
        <v>189.71</v>
      </c>
      <c r="K758">
        <v>0</v>
      </c>
      <c r="L758">
        <v>1707.39</v>
      </c>
      <c r="M758">
        <v>1000.85</v>
      </c>
      <c r="N758">
        <v>706.54</v>
      </c>
      <c r="O758" t="s">
        <v>33</v>
      </c>
      <c r="P758">
        <v>4</v>
      </c>
    </row>
    <row r="759" spans="1:16" x14ac:dyDescent="0.35">
      <c r="A759" t="s">
        <v>1581</v>
      </c>
      <c r="B759" s="1">
        <v>45477</v>
      </c>
      <c r="C759" t="s">
        <v>1582</v>
      </c>
      <c r="D759" t="s">
        <v>19</v>
      </c>
      <c r="E759" t="s">
        <v>85</v>
      </c>
      <c r="F759" t="s">
        <v>21</v>
      </c>
      <c r="G759" t="s">
        <v>60</v>
      </c>
      <c r="H759" t="s">
        <v>110</v>
      </c>
      <c r="I759">
        <v>1</v>
      </c>
      <c r="J759">
        <v>630.24</v>
      </c>
      <c r="K759">
        <v>0.15</v>
      </c>
      <c r="L759">
        <v>535.70000000000005</v>
      </c>
      <c r="M759">
        <v>320.33999999999997</v>
      </c>
      <c r="N759">
        <v>215.36</v>
      </c>
      <c r="O759" t="s">
        <v>24</v>
      </c>
      <c r="P759">
        <v>4</v>
      </c>
    </row>
    <row r="760" spans="1:16" x14ac:dyDescent="0.35">
      <c r="A760" t="s">
        <v>1583</v>
      </c>
      <c r="B760" s="1">
        <v>45390</v>
      </c>
      <c r="C760" t="s">
        <v>1584</v>
      </c>
      <c r="D760" t="s">
        <v>37</v>
      </c>
      <c r="E760" t="s">
        <v>20</v>
      </c>
      <c r="F760" t="s">
        <v>21</v>
      </c>
      <c r="G760" t="s">
        <v>79</v>
      </c>
      <c r="H760" t="s">
        <v>80</v>
      </c>
      <c r="I760">
        <v>4</v>
      </c>
      <c r="J760">
        <v>1066.06</v>
      </c>
      <c r="K760">
        <v>0.1</v>
      </c>
      <c r="L760">
        <v>3837.82</v>
      </c>
      <c r="M760">
        <v>1974.02</v>
      </c>
      <c r="N760">
        <v>1863.8</v>
      </c>
      <c r="O760" t="s">
        <v>62</v>
      </c>
      <c r="P760">
        <v>4</v>
      </c>
    </row>
    <row r="761" spans="1:16" x14ac:dyDescent="0.35">
      <c r="A761" t="s">
        <v>1585</v>
      </c>
      <c r="B761" s="1">
        <v>45641</v>
      </c>
      <c r="C761" t="s">
        <v>1586</v>
      </c>
      <c r="D761" t="s">
        <v>29</v>
      </c>
      <c r="E761" t="s">
        <v>85</v>
      </c>
      <c r="F761" t="s">
        <v>31</v>
      </c>
      <c r="G761" t="s">
        <v>22</v>
      </c>
      <c r="H761" t="s">
        <v>74</v>
      </c>
      <c r="I761">
        <v>10</v>
      </c>
      <c r="J761">
        <v>1006.44</v>
      </c>
      <c r="K761">
        <v>0.05</v>
      </c>
      <c r="L761">
        <v>9561.18</v>
      </c>
      <c r="M761">
        <v>7743</v>
      </c>
      <c r="N761">
        <v>1818.18</v>
      </c>
      <c r="O761" t="s">
        <v>62</v>
      </c>
      <c r="P761">
        <v>1</v>
      </c>
    </row>
    <row r="762" spans="1:16" x14ac:dyDescent="0.35">
      <c r="A762" t="s">
        <v>1587</v>
      </c>
      <c r="B762" s="1">
        <v>45353</v>
      </c>
      <c r="C762" t="s">
        <v>1588</v>
      </c>
      <c r="D762" t="s">
        <v>37</v>
      </c>
      <c r="E762" t="s">
        <v>98</v>
      </c>
      <c r="F762" t="s">
        <v>21</v>
      </c>
      <c r="G762" t="s">
        <v>60</v>
      </c>
      <c r="H762" t="s">
        <v>119</v>
      </c>
      <c r="I762">
        <v>2</v>
      </c>
      <c r="J762">
        <v>463.15</v>
      </c>
      <c r="K762">
        <v>0.15</v>
      </c>
      <c r="L762">
        <v>787.35</v>
      </c>
      <c r="M762">
        <v>650.87</v>
      </c>
      <c r="N762">
        <v>136.47999999999999</v>
      </c>
      <c r="O762" t="s">
        <v>51</v>
      </c>
      <c r="P762">
        <v>4</v>
      </c>
    </row>
    <row r="763" spans="1:16" x14ac:dyDescent="0.35">
      <c r="A763" t="s">
        <v>1589</v>
      </c>
      <c r="B763" s="1">
        <v>45497</v>
      </c>
      <c r="C763" t="s">
        <v>1590</v>
      </c>
      <c r="D763" t="s">
        <v>29</v>
      </c>
      <c r="E763" t="s">
        <v>98</v>
      </c>
      <c r="F763" t="s">
        <v>39</v>
      </c>
      <c r="G763" t="s">
        <v>60</v>
      </c>
      <c r="H763" t="s">
        <v>110</v>
      </c>
      <c r="I763">
        <v>3</v>
      </c>
      <c r="J763">
        <v>533.35</v>
      </c>
      <c r="K763">
        <v>0.05</v>
      </c>
      <c r="L763">
        <v>1520.05</v>
      </c>
      <c r="M763">
        <v>937.78</v>
      </c>
      <c r="N763">
        <v>582.27</v>
      </c>
      <c r="O763" t="s">
        <v>51</v>
      </c>
      <c r="P763">
        <v>5</v>
      </c>
    </row>
    <row r="764" spans="1:16" x14ac:dyDescent="0.35">
      <c r="A764" t="s">
        <v>1591</v>
      </c>
      <c r="B764" s="1">
        <v>45328</v>
      </c>
      <c r="C764" t="s">
        <v>1592</v>
      </c>
      <c r="D764" t="s">
        <v>19</v>
      </c>
      <c r="E764" t="s">
        <v>85</v>
      </c>
      <c r="F764" t="s">
        <v>31</v>
      </c>
      <c r="G764" t="s">
        <v>43</v>
      </c>
      <c r="H764" t="s">
        <v>50</v>
      </c>
      <c r="I764">
        <v>11</v>
      </c>
      <c r="J764">
        <v>985.62</v>
      </c>
      <c r="K764">
        <v>0.1</v>
      </c>
      <c r="L764">
        <v>9757.64</v>
      </c>
      <c r="M764">
        <v>5309.17</v>
      </c>
      <c r="N764">
        <v>4448.47</v>
      </c>
      <c r="O764" t="s">
        <v>51</v>
      </c>
      <c r="P764">
        <v>2</v>
      </c>
    </row>
    <row r="765" spans="1:16" x14ac:dyDescent="0.35">
      <c r="A765" t="s">
        <v>1593</v>
      </c>
      <c r="B765" s="1">
        <v>45565</v>
      </c>
      <c r="C765" t="s">
        <v>1594</v>
      </c>
      <c r="D765" t="s">
        <v>29</v>
      </c>
      <c r="E765" t="s">
        <v>30</v>
      </c>
      <c r="F765" t="s">
        <v>21</v>
      </c>
      <c r="G765" t="s">
        <v>60</v>
      </c>
      <c r="H765" t="s">
        <v>110</v>
      </c>
      <c r="I765">
        <v>5</v>
      </c>
      <c r="J765">
        <v>304.68</v>
      </c>
      <c r="K765">
        <v>0.15</v>
      </c>
      <c r="L765">
        <v>1294.8900000000001</v>
      </c>
      <c r="M765">
        <v>805.27</v>
      </c>
      <c r="N765">
        <v>489.62</v>
      </c>
      <c r="O765" t="s">
        <v>24</v>
      </c>
      <c r="P765">
        <v>2</v>
      </c>
    </row>
    <row r="766" spans="1:16" x14ac:dyDescent="0.35">
      <c r="A766" t="s">
        <v>1595</v>
      </c>
      <c r="B766" s="1">
        <v>45441</v>
      </c>
      <c r="C766" t="s">
        <v>1596</v>
      </c>
      <c r="D766" t="s">
        <v>37</v>
      </c>
      <c r="E766" t="s">
        <v>20</v>
      </c>
      <c r="F766" t="s">
        <v>21</v>
      </c>
      <c r="G766" t="s">
        <v>22</v>
      </c>
      <c r="H766" t="s">
        <v>32</v>
      </c>
      <c r="I766">
        <v>12</v>
      </c>
      <c r="J766">
        <v>563.16999999999996</v>
      </c>
      <c r="K766">
        <v>0.1</v>
      </c>
      <c r="L766">
        <v>6082.24</v>
      </c>
      <c r="M766">
        <v>4878.5200000000004</v>
      </c>
      <c r="N766">
        <v>1203.72</v>
      </c>
      <c r="O766" t="s">
        <v>33</v>
      </c>
      <c r="P766">
        <v>1</v>
      </c>
    </row>
    <row r="767" spans="1:16" x14ac:dyDescent="0.35">
      <c r="A767" t="s">
        <v>1597</v>
      </c>
      <c r="B767" s="1">
        <v>45423</v>
      </c>
      <c r="C767" t="s">
        <v>1598</v>
      </c>
      <c r="D767" t="s">
        <v>37</v>
      </c>
      <c r="E767" t="s">
        <v>38</v>
      </c>
      <c r="F767" t="s">
        <v>39</v>
      </c>
      <c r="G767" t="s">
        <v>79</v>
      </c>
      <c r="H767" t="s">
        <v>89</v>
      </c>
      <c r="I767">
        <v>2</v>
      </c>
      <c r="J767">
        <v>218.6</v>
      </c>
      <c r="K767">
        <v>0</v>
      </c>
      <c r="L767">
        <v>437.2</v>
      </c>
      <c r="M767">
        <v>232.65</v>
      </c>
      <c r="N767">
        <v>204.55</v>
      </c>
      <c r="O767" t="s">
        <v>24</v>
      </c>
      <c r="P767">
        <v>2</v>
      </c>
    </row>
    <row r="768" spans="1:16" x14ac:dyDescent="0.35">
      <c r="A768" t="s">
        <v>1599</v>
      </c>
      <c r="B768" s="1">
        <v>45297</v>
      </c>
      <c r="C768" t="s">
        <v>1600</v>
      </c>
      <c r="D768" t="s">
        <v>49</v>
      </c>
      <c r="E768" t="s">
        <v>20</v>
      </c>
      <c r="F768" t="s">
        <v>31</v>
      </c>
      <c r="G768" t="s">
        <v>22</v>
      </c>
      <c r="H768" t="s">
        <v>74</v>
      </c>
      <c r="I768">
        <v>3</v>
      </c>
      <c r="J768">
        <v>565.08000000000004</v>
      </c>
      <c r="K768">
        <v>0.05</v>
      </c>
      <c r="L768">
        <v>1610.48</v>
      </c>
      <c r="M768">
        <v>1340.13</v>
      </c>
      <c r="N768">
        <v>270.35000000000002</v>
      </c>
      <c r="O768" t="s">
        <v>24</v>
      </c>
      <c r="P768">
        <v>1</v>
      </c>
    </row>
    <row r="769" spans="1:16" x14ac:dyDescent="0.35">
      <c r="A769" t="s">
        <v>1601</v>
      </c>
      <c r="B769" s="1">
        <v>45365</v>
      </c>
      <c r="C769" t="s">
        <v>1602</v>
      </c>
      <c r="D769" t="s">
        <v>37</v>
      </c>
      <c r="E769" t="s">
        <v>20</v>
      </c>
      <c r="F769" t="s">
        <v>31</v>
      </c>
      <c r="G769" t="s">
        <v>79</v>
      </c>
      <c r="H769" t="s">
        <v>80</v>
      </c>
      <c r="I769">
        <v>7</v>
      </c>
      <c r="J769">
        <v>398.98</v>
      </c>
      <c r="K769">
        <v>0.05</v>
      </c>
      <c r="L769">
        <v>2653.22</v>
      </c>
      <c r="M769">
        <v>2040.02</v>
      </c>
      <c r="N769">
        <v>613.20000000000005</v>
      </c>
      <c r="O769" t="s">
        <v>51</v>
      </c>
      <c r="P769">
        <v>4</v>
      </c>
    </row>
    <row r="770" spans="1:16" x14ac:dyDescent="0.35">
      <c r="A770" t="s">
        <v>1603</v>
      </c>
      <c r="B770" s="1">
        <v>45351</v>
      </c>
      <c r="C770" t="s">
        <v>1604</v>
      </c>
      <c r="D770" t="s">
        <v>37</v>
      </c>
      <c r="E770" t="s">
        <v>38</v>
      </c>
      <c r="F770" t="s">
        <v>31</v>
      </c>
      <c r="G770" t="s">
        <v>79</v>
      </c>
      <c r="H770" t="s">
        <v>80</v>
      </c>
      <c r="I770">
        <v>1</v>
      </c>
      <c r="J770">
        <v>701.37</v>
      </c>
      <c r="K770">
        <v>0.1</v>
      </c>
      <c r="L770">
        <v>631.23</v>
      </c>
      <c r="M770">
        <v>347.12</v>
      </c>
      <c r="N770">
        <v>284.11</v>
      </c>
      <c r="O770" t="s">
        <v>33</v>
      </c>
      <c r="P770">
        <v>1</v>
      </c>
    </row>
    <row r="771" spans="1:16" x14ac:dyDescent="0.35">
      <c r="A771" t="s">
        <v>1605</v>
      </c>
      <c r="B771" s="1">
        <v>45438</v>
      </c>
      <c r="C771" t="s">
        <v>1606</v>
      </c>
      <c r="D771" t="s">
        <v>29</v>
      </c>
      <c r="E771" t="s">
        <v>20</v>
      </c>
      <c r="F771" t="s">
        <v>31</v>
      </c>
      <c r="G771" t="s">
        <v>43</v>
      </c>
      <c r="H771" t="s">
        <v>173</v>
      </c>
      <c r="I771">
        <v>3</v>
      </c>
      <c r="J771">
        <v>912.33</v>
      </c>
      <c r="K771">
        <v>0.1</v>
      </c>
      <c r="L771">
        <v>2463.29</v>
      </c>
      <c r="M771">
        <v>1564.57</v>
      </c>
      <c r="N771">
        <v>898.72</v>
      </c>
      <c r="O771" t="s">
        <v>24</v>
      </c>
      <c r="P771">
        <v>3</v>
      </c>
    </row>
    <row r="772" spans="1:16" x14ac:dyDescent="0.35">
      <c r="A772" t="s">
        <v>1607</v>
      </c>
      <c r="B772" s="1">
        <v>45465</v>
      </c>
      <c r="C772" t="s">
        <v>1608</v>
      </c>
      <c r="D772" t="s">
        <v>37</v>
      </c>
      <c r="E772" t="s">
        <v>98</v>
      </c>
      <c r="F772" t="s">
        <v>21</v>
      </c>
      <c r="G772" t="s">
        <v>43</v>
      </c>
      <c r="H772" t="s">
        <v>173</v>
      </c>
      <c r="I772">
        <v>4</v>
      </c>
      <c r="J772">
        <v>1150.31</v>
      </c>
      <c r="K772">
        <v>0</v>
      </c>
      <c r="L772">
        <v>4601.24</v>
      </c>
      <c r="M772">
        <v>2303.83</v>
      </c>
      <c r="N772">
        <v>2297.41</v>
      </c>
      <c r="O772" t="s">
        <v>24</v>
      </c>
      <c r="P772">
        <v>5</v>
      </c>
    </row>
    <row r="773" spans="1:16" x14ac:dyDescent="0.35">
      <c r="A773" t="s">
        <v>1609</v>
      </c>
      <c r="B773" s="1">
        <v>45571</v>
      </c>
      <c r="C773" t="s">
        <v>1610</v>
      </c>
      <c r="D773" t="s">
        <v>66</v>
      </c>
      <c r="E773" t="s">
        <v>85</v>
      </c>
      <c r="F773" t="s">
        <v>39</v>
      </c>
      <c r="G773" t="s">
        <v>60</v>
      </c>
      <c r="H773" t="s">
        <v>61</v>
      </c>
      <c r="I773">
        <v>12</v>
      </c>
      <c r="J773">
        <v>1018.21</v>
      </c>
      <c r="K773">
        <v>0.1</v>
      </c>
      <c r="L773">
        <v>10996.67</v>
      </c>
      <c r="M773">
        <v>8175.08</v>
      </c>
      <c r="N773">
        <v>2821.59</v>
      </c>
      <c r="O773" t="s">
        <v>33</v>
      </c>
      <c r="P773">
        <v>3</v>
      </c>
    </row>
    <row r="774" spans="1:16" x14ac:dyDescent="0.35">
      <c r="A774" t="s">
        <v>1611</v>
      </c>
      <c r="B774" s="1">
        <v>45296</v>
      </c>
      <c r="C774" t="s">
        <v>1612</v>
      </c>
      <c r="D774" t="s">
        <v>66</v>
      </c>
      <c r="E774" t="s">
        <v>20</v>
      </c>
      <c r="F774" t="s">
        <v>39</v>
      </c>
      <c r="G774" t="s">
        <v>22</v>
      </c>
      <c r="H774" t="s">
        <v>74</v>
      </c>
      <c r="I774">
        <v>3</v>
      </c>
      <c r="J774">
        <v>605.55999999999995</v>
      </c>
      <c r="K774">
        <v>0.15</v>
      </c>
      <c r="L774">
        <v>1544.18</v>
      </c>
      <c r="M774">
        <v>1203.45</v>
      </c>
      <c r="N774">
        <v>340.73</v>
      </c>
      <c r="O774" t="s">
        <v>24</v>
      </c>
      <c r="P774">
        <v>5</v>
      </c>
    </row>
    <row r="775" spans="1:16" x14ac:dyDescent="0.35">
      <c r="A775" t="s">
        <v>1613</v>
      </c>
      <c r="B775" s="1">
        <v>45619</v>
      </c>
      <c r="C775" t="s">
        <v>1614</v>
      </c>
      <c r="D775" t="s">
        <v>66</v>
      </c>
      <c r="E775" t="s">
        <v>85</v>
      </c>
      <c r="F775" t="s">
        <v>21</v>
      </c>
      <c r="G775" t="s">
        <v>60</v>
      </c>
      <c r="H775" t="s">
        <v>110</v>
      </c>
      <c r="I775">
        <v>2</v>
      </c>
      <c r="J775">
        <v>650.98</v>
      </c>
      <c r="K775">
        <v>0</v>
      </c>
      <c r="L775">
        <v>1301.96</v>
      </c>
      <c r="M775">
        <v>957.76</v>
      </c>
      <c r="N775">
        <v>344.2</v>
      </c>
      <c r="O775" t="s">
        <v>62</v>
      </c>
      <c r="P775">
        <v>4</v>
      </c>
    </row>
    <row r="776" spans="1:16" x14ac:dyDescent="0.35">
      <c r="A776" t="s">
        <v>1615</v>
      </c>
      <c r="B776" s="1">
        <v>45566</v>
      </c>
      <c r="C776" t="s">
        <v>1616</v>
      </c>
      <c r="D776" t="s">
        <v>29</v>
      </c>
      <c r="E776" t="s">
        <v>98</v>
      </c>
      <c r="F776" t="s">
        <v>39</v>
      </c>
      <c r="G776" t="s">
        <v>22</v>
      </c>
      <c r="H776" t="s">
        <v>23</v>
      </c>
      <c r="I776">
        <v>6</v>
      </c>
      <c r="J776">
        <v>758.4</v>
      </c>
      <c r="K776">
        <v>0</v>
      </c>
      <c r="L776">
        <v>4550.3999999999996</v>
      </c>
      <c r="M776">
        <v>3272.74</v>
      </c>
      <c r="N776">
        <v>1277.6600000000001</v>
      </c>
      <c r="O776" t="s">
        <v>24</v>
      </c>
      <c r="P776">
        <v>3</v>
      </c>
    </row>
    <row r="777" spans="1:16" x14ac:dyDescent="0.35">
      <c r="A777" t="s">
        <v>1617</v>
      </c>
      <c r="B777" s="1">
        <v>45533</v>
      </c>
      <c r="C777" t="s">
        <v>1618</v>
      </c>
      <c r="D777" t="s">
        <v>66</v>
      </c>
      <c r="E777" t="s">
        <v>85</v>
      </c>
      <c r="F777" t="s">
        <v>31</v>
      </c>
      <c r="G777" t="s">
        <v>60</v>
      </c>
      <c r="H777" t="s">
        <v>110</v>
      </c>
      <c r="I777">
        <v>12</v>
      </c>
      <c r="J777">
        <v>150.19</v>
      </c>
      <c r="K777">
        <v>0.05</v>
      </c>
      <c r="L777">
        <v>1712.17</v>
      </c>
      <c r="M777">
        <v>1140.83</v>
      </c>
      <c r="N777">
        <v>571.34</v>
      </c>
      <c r="O777" t="s">
        <v>24</v>
      </c>
      <c r="P777">
        <v>4</v>
      </c>
    </row>
    <row r="778" spans="1:16" x14ac:dyDescent="0.35">
      <c r="A778" t="s">
        <v>1619</v>
      </c>
      <c r="B778" s="1">
        <v>45390</v>
      </c>
      <c r="C778" t="s">
        <v>1620</v>
      </c>
      <c r="D778" t="s">
        <v>19</v>
      </c>
      <c r="E778" t="s">
        <v>20</v>
      </c>
      <c r="F778" t="s">
        <v>31</v>
      </c>
      <c r="G778" t="s">
        <v>22</v>
      </c>
      <c r="H778" t="s">
        <v>74</v>
      </c>
      <c r="I778">
        <v>2</v>
      </c>
      <c r="J778">
        <v>528.09</v>
      </c>
      <c r="K778">
        <v>0.1</v>
      </c>
      <c r="L778">
        <v>950.56</v>
      </c>
      <c r="M778">
        <v>674.83</v>
      </c>
      <c r="N778">
        <v>275.73</v>
      </c>
      <c r="O778" t="s">
        <v>33</v>
      </c>
      <c r="P778">
        <v>5</v>
      </c>
    </row>
    <row r="779" spans="1:16" x14ac:dyDescent="0.35">
      <c r="A779" t="s">
        <v>1621</v>
      </c>
      <c r="B779" s="1">
        <v>45610</v>
      </c>
      <c r="C779" t="s">
        <v>1622</v>
      </c>
      <c r="D779" t="s">
        <v>66</v>
      </c>
      <c r="E779" t="s">
        <v>85</v>
      </c>
      <c r="F779" t="s">
        <v>21</v>
      </c>
      <c r="G779" t="s">
        <v>79</v>
      </c>
      <c r="H779" t="s">
        <v>89</v>
      </c>
      <c r="I779">
        <v>8</v>
      </c>
      <c r="J779">
        <v>579.28</v>
      </c>
      <c r="K779">
        <v>0.05</v>
      </c>
      <c r="L779">
        <v>4402.53</v>
      </c>
      <c r="M779">
        <v>2288.94</v>
      </c>
      <c r="N779">
        <v>2113.59</v>
      </c>
      <c r="O779" t="s">
        <v>62</v>
      </c>
      <c r="P779">
        <v>2</v>
      </c>
    </row>
    <row r="780" spans="1:16" x14ac:dyDescent="0.35">
      <c r="A780" t="s">
        <v>1623</v>
      </c>
      <c r="B780" s="1">
        <v>45527</v>
      </c>
      <c r="C780" t="s">
        <v>1624</v>
      </c>
      <c r="D780" t="s">
        <v>19</v>
      </c>
      <c r="E780" t="s">
        <v>20</v>
      </c>
      <c r="F780" t="s">
        <v>39</v>
      </c>
      <c r="G780" t="s">
        <v>60</v>
      </c>
      <c r="H780" t="s">
        <v>119</v>
      </c>
      <c r="I780">
        <v>1</v>
      </c>
      <c r="J780">
        <v>850.51</v>
      </c>
      <c r="K780">
        <v>0.15</v>
      </c>
      <c r="L780">
        <v>722.93</v>
      </c>
      <c r="M780">
        <v>511.82</v>
      </c>
      <c r="N780">
        <v>211.11</v>
      </c>
      <c r="O780" t="s">
        <v>33</v>
      </c>
      <c r="P780">
        <v>3</v>
      </c>
    </row>
    <row r="781" spans="1:16" x14ac:dyDescent="0.35">
      <c r="A781" t="s">
        <v>1625</v>
      </c>
      <c r="B781" s="1">
        <v>45404</v>
      </c>
      <c r="C781" t="s">
        <v>1626</v>
      </c>
      <c r="D781" t="s">
        <v>29</v>
      </c>
      <c r="E781" t="s">
        <v>20</v>
      </c>
      <c r="F781" t="s">
        <v>39</v>
      </c>
      <c r="G781" t="s">
        <v>22</v>
      </c>
      <c r="H781" t="s">
        <v>74</v>
      </c>
      <c r="I781">
        <v>6</v>
      </c>
      <c r="J781">
        <v>91.46</v>
      </c>
      <c r="K781">
        <v>0.1</v>
      </c>
      <c r="L781">
        <v>493.88</v>
      </c>
      <c r="M781">
        <v>275.3</v>
      </c>
      <c r="N781">
        <v>218.58</v>
      </c>
      <c r="O781" t="s">
        <v>62</v>
      </c>
      <c r="P781">
        <v>5</v>
      </c>
    </row>
    <row r="782" spans="1:16" x14ac:dyDescent="0.35">
      <c r="A782" t="s">
        <v>1627</v>
      </c>
      <c r="B782" s="1">
        <v>45517</v>
      </c>
      <c r="C782" t="s">
        <v>1628</v>
      </c>
      <c r="D782" t="s">
        <v>66</v>
      </c>
      <c r="E782" t="s">
        <v>30</v>
      </c>
      <c r="F782" t="s">
        <v>21</v>
      </c>
      <c r="G782" t="s">
        <v>22</v>
      </c>
      <c r="H782" t="s">
        <v>74</v>
      </c>
      <c r="I782">
        <v>11</v>
      </c>
      <c r="J782">
        <v>798.16</v>
      </c>
      <c r="K782">
        <v>0.1</v>
      </c>
      <c r="L782">
        <v>7901.78</v>
      </c>
      <c r="M782">
        <v>4039.72</v>
      </c>
      <c r="N782">
        <v>3862.06</v>
      </c>
      <c r="O782" t="s">
        <v>51</v>
      </c>
      <c r="P782">
        <v>4</v>
      </c>
    </row>
    <row r="783" spans="1:16" x14ac:dyDescent="0.35">
      <c r="A783" t="s">
        <v>1629</v>
      </c>
      <c r="B783" s="1">
        <v>45354</v>
      </c>
      <c r="C783" t="s">
        <v>1630</v>
      </c>
      <c r="D783" t="s">
        <v>37</v>
      </c>
      <c r="E783" t="s">
        <v>20</v>
      </c>
      <c r="F783" t="s">
        <v>39</v>
      </c>
      <c r="G783" t="s">
        <v>79</v>
      </c>
      <c r="H783" t="s">
        <v>80</v>
      </c>
      <c r="I783">
        <v>4</v>
      </c>
      <c r="J783">
        <v>799.45</v>
      </c>
      <c r="K783">
        <v>0.05</v>
      </c>
      <c r="L783">
        <v>3037.91</v>
      </c>
      <c r="M783">
        <v>2454.83</v>
      </c>
      <c r="N783">
        <v>583.08000000000004</v>
      </c>
      <c r="O783" t="s">
        <v>51</v>
      </c>
      <c r="P783">
        <v>2</v>
      </c>
    </row>
    <row r="784" spans="1:16" x14ac:dyDescent="0.35">
      <c r="A784" t="s">
        <v>1631</v>
      </c>
      <c r="B784" s="1">
        <v>45319</v>
      </c>
      <c r="C784" t="s">
        <v>1632</v>
      </c>
      <c r="D784" t="s">
        <v>29</v>
      </c>
      <c r="E784" t="s">
        <v>30</v>
      </c>
      <c r="F784" t="s">
        <v>31</v>
      </c>
      <c r="G784" t="s">
        <v>43</v>
      </c>
      <c r="H784" t="s">
        <v>44</v>
      </c>
      <c r="I784">
        <v>12</v>
      </c>
      <c r="J784">
        <v>586.57000000000005</v>
      </c>
      <c r="K784">
        <v>0</v>
      </c>
      <c r="L784">
        <v>7038.84</v>
      </c>
      <c r="M784">
        <v>4482.25</v>
      </c>
      <c r="N784">
        <v>2556.59</v>
      </c>
      <c r="O784" t="s">
        <v>33</v>
      </c>
      <c r="P784">
        <v>5</v>
      </c>
    </row>
    <row r="785" spans="1:16" x14ac:dyDescent="0.35">
      <c r="A785" t="s">
        <v>1633</v>
      </c>
      <c r="B785" s="1">
        <v>45481</v>
      </c>
      <c r="C785" t="s">
        <v>1634</v>
      </c>
      <c r="D785" t="s">
        <v>66</v>
      </c>
      <c r="E785" t="s">
        <v>38</v>
      </c>
      <c r="F785" t="s">
        <v>39</v>
      </c>
      <c r="G785" t="s">
        <v>43</v>
      </c>
      <c r="H785" t="s">
        <v>173</v>
      </c>
      <c r="I785">
        <v>4</v>
      </c>
      <c r="J785">
        <v>454.08</v>
      </c>
      <c r="K785">
        <v>0.05</v>
      </c>
      <c r="L785">
        <v>1725.5</v>
      </c>
      <c r="M785">
        <v>887.59</v>
      </c>
      <c r="N785">
        <v>837.91</v>
      </c>
      <c r="O785" t="s">
        <v>62</v>
      </c>
      <c r="P785">
        <v>2</v>
      </c>
    </row>
    <row r="786" spans="1:16" x14ac:dyDescent="0.35">
      <c r="A786" t="s">
        <v>1635</v>
      </c>
      <c r="B786" s="1">
        <v>45652</v>
      </c>
      <c r="C786" t="s">
        <v>1636</v>
      </c>
      <c r="D786" t="s">
        <v>29</v>
      </c>
      <c r="E786" t="s">
        <v>30</v>
      </c>
      <c r="F786" t="s">
        <v>39</v>
      </c>
      <c r="G786" t="s">
        <v>60</v>
      </c>
      <c r="H786" t="s">
        <v>110</v>
      </c>
      <c r="I786">
        <v>11</v>
      </c>
      <c r="J786">
        <v>631.44000000000005</v>
      </c>
      <c r="K786">
        <v>0.1</v>
      </c>
      <c r="L786">
        <v>6251.26</v>
      </c>
      <c r="M786">
        <v>4385.97</v>
      </c>
      <c r="N786">
        <v>1865.29</v>
      </c>
      <c r="O786" t="s">
        <v>33</v>
      </c>
      <c r="P786">
        <v>1</v>
      </c>
    </row>
    <row r="787" spans="1:16" x14ac:dyDescent="0.35">
      <c r="A787" t="s">
        <v>1637</v>
      </c>
      <c r="B787" s="1">
        <v>45445</v>
      </c>
      <c r="C787" t="s">
        <v>1638</v>
      </c>
      <c r="D787" t="s">
        <v>29</v>
      </c>
      <c r="E787" t="s">
        <v>98</v>
      </c>
      <c r="F787" t="s">
        <v>31</v>
      </c>
      <c r="G787" t="s">
        <v>22</v>
      </c>
      <c r="H787" t="s">
        <v>32</v>
      </c>
      <c r="I787">
        <v>12</v>
      </c>
      <c r="J787">
        <v>19.38</v>
      </c>
      <c r="K787">
        <v>0.15</v>
      </c>
      <c r="L787">
        <v>197.68</v>
      </c>
      <c r="M787">
        <v>155.12</v>
      </c>
      <c r="N787">
        <v>42.56</v>
      </c>
      <c r="O787" t="s">
        <v>33</v>
      </c>
      <c r="P787">
        <v>5</v>
      </c>
    </row>
    <row r="788" spans="1:16" x14ac:dyDescent="0.35">
      <c r="A788" t="s">
        <v>1639</v>
      </c>
      <c r="B788" s="1">
        <v>45363</v>
      </c>
      <c r="C788" t="s">
        <v>1640</v>
      </c>
      <c r="D788" t="s">
        <v>19</v>
      </c>
      <c r="E788" t="s">
        <v>20</v>
      </c>
      <c r="F788" t="s">
        <v>39</v>
      </c>
      <c r="G788" t="s">
        <v>60</v>
      </c>
      <c r="H788" t="s">
        <v>119</v>
      </c>
      <c r="I788">
        <v>3</v>
      </c>
      <c r="J788">
        <v>641.86</v>
      </c>
      <c r="K788">
        <v>0</v>
      </c>
      <c r="L788">
        <v>1925.58</v>
      </c>
      <c r="M788">
        <v>1354.69</v>
      </c>
      <c r="N788">
        <v>570.89</v>
      </c>
      <c r="O788" t="s">
        <v>33</v>
      </c>
      <c r="P788">
        <v>1</v>
      </c>
    </row>
    <row r="789" spans="1:16" x14ac:dyDescent="0.35">
      <c r="A789" t="s">
        <v>1641</v>
      </c>
      <c r="B789" s="1">
        <v>45381</v>
      </c>
      <c r="C789" t="s">
        <v>1642</v>
      </c>
      <c r="D789" t="s">
        <v>19</v>
      </c>
      <c r="E789" t="s">
        <v>20</v>
      </c>
      <c r="F789" t="s">
        <v>31</v>
      </c>
      <c r="G789" t="s">
        <v>79</v>
      </c>
      <c r="H789" t="s">
        <v>80</v>
      </c>
      <c r="I789">
        <v>2</v>
      </c>
      <c r="J789">
        <v>1188.01</v>
      </c>
      <c r="K789">
        <v>0.1</v>
      </c>
      <c r="L789">
        <v>2138.42</v>
      </c>
      <c r="M789">
        <v>1069.43</v>
      </c>
      <c r="N789">
        <v>1068.99</v>
      </c>
      <c r="O789" t="s">
        <v>33</v>
      </c>
      <c r="P789">
        <v>2</v>
      </c>
    </row>
    <row r="790" spans="1:16" x14ac:dyDescent="0.35">
      <c r="A790" t="s">
        <v>1643</v>
      </c>
      <c r="B790" s="1">
        <v>45497</v>
      </c>
      <c r="C790" t="s">
        <v>1644</v>
      </c>
      <c r="D790" t="s">
        <v>37</v>
      </c>
      <c r="E790" t="s">
        <v>20</v>
      </c>
      <c r="F790" t="s">
        <v>39</v>
      </c>
      <c r="G790" t="s">
        <v>43</v>
      </c>
      <c r="H790" t="s">
        <v>50</v>
      </c>
      <c r="I790">
        <v>7</v>
      </c>
      <c r="J790">
        <v>17.13</v>
      </c>
      <c r="K790">
        <v>0.1</v>
      </c>
      <c r="L790">
        <v>107.92</v>
      </c>
      <c r="M790">
        <v>90.92</v>
      </c>
      <c r="N790">
        <v>17</v>
      </c>
      <c r="O790" t="s">
        <v>33</v>
      </c>
      <c r="P790">
        <v>2</v>
      </c>
    </row>
    <row r="791" spans="1:16" x14ac:dyDescent="0.35">
      <c r="A791" t="s">
        <v>1645</v>
      </c>
      <c r="B791" s="1">
        <v>45642</v>
      </c>
      <c r="C791" t="s">
        <v>1646</v>
      </c>
      <c r="D791" t="s">
        <v>66</v>
      </c>
      <c r="E791" t="s">
        <v>85</v>
      </c>
      <c r="F791" t="s">
        <v>39</v>
      </c>
      <c r="G791" t="s">
        <v>22</v>
      </c>
      <c r="H791" t="s">
        <v>32</v>
      </c>
      <c r="I791">
        <v>12</v>
      </c>
      <c r="J791">
        <v>830.84</v>
      </c>
      <c r="K791">
        <v>0.1</v>
      </c>
      <c r="L791">
        <v>8973.07</v>
      </c>
      <c r="M791">
        <v>5572.77</v>
      </c>
      <c r="N791">
        <v>3400.3</v>
      </c>
      <c r="O791" t="s">
        <v>51</v>
      </c>
      <c r="P791">
        <v>3</v>
      </c>
    </row>
    <row r="792" spans="1:16" x14ac:dyDescent="0.35">
      <c r="A792" t="s">
        <v>1647</v>
      </c>
      <c r="B792" s="1">
        <v>45501</v>
      </c>
      <c r="C792" t="s">
        <v>1648</v>
      </c>
      <c r="D792" t="s">
        <v>66</v>
      </c>
      <c r="E792" t="s">
        <v>38</v>
      </c>
      <c r="F792" t="s">
        <v>31</v>
      </c>
      <c r="G792" t="s">
        <v>60</v>
      </c>
      <c r="H792" t="s">
        <v>61</v>
      </c>
      <c r="I792">
        <v>2</v>
      </c>
      <c r="J792">
        <v>1061.7</v>
      </c>
      <c r="K792">
        <v>0.15</v>
      </c>
      <c r="L792">
        <v>1804.89</v>
      </c>
      <c r="M792">
        <v>1109.45</v>
      </c>
      <c r="N792">
        <v>695.44</v>
      </c>
      <c r="O792" t="s">
        <v>51</v>
      </c>
      <c r="P792">
        <v>3</v>
      </c>
    </row>
    <row r="793" spans="1:16" x14ac:dyDescent="0.35">
      <c r="A793" t="s">
        <v>1649</v>
      </c>
      <c r="B793" s="1">
        <v>45485</v>
      </c>
      <c r="C793" t="s">
        <v>1650</v>
      </c>
      <c r="D793" t="s">
        <v>37</v>
      </c>
      <c r="E793" t="s">
        <v>85</v>
      </c>
      <c r="F793" t="s">
        <v>21</v>
      </c>
      <c r="G793" t="s">
        <v>79</v>
      </c>
      <c r="H793" t="s">
        <v>89</v>
      </c>
      <c r="I793">
        <v>11</v>
      </c>
      <c r="J793">
        <v>773.27</v>
      </c>
      <c r="K793">
        <v>0.15</v>
      </c>
      <c r="L793">
        <v>7230.07</v>
      </c>
      <c r="M793">
        <v>4084.9</v>
      </c>
      <c r="N793">
        <v>3145.17</v>
      </c>
      <c r="O793" t="s">
        <v>33</v>
      </c>
      <c r="P793">
        <v>1</v>
      </c>
    </row>
    <row r="794" spans="1:16" x14ac:dyDescent="0.35">
      <c r="A794" t="s">
        <v>1651</v>
      </c>
      <c r="B794" s="1">
        <v>45355</v>
      </c>
      <c r="C794" t="s">
        <v>1652</v>
      </c>
      <c r="D794" t="s">
        <v>49</v>
      </c>
      <c r="E794" t="s">
        <v>30</v>
      </c>
      <c r="F794" t="s">
        <v>21</v>
      </c>
      <c r="G794" t="s">
        <v>43</v>
      </c>
      <c r="H794" t="s">
        <v>50</v>
      </c>
      <c r="I794">
        <v>9</v>
      </c>
      <c r="J794">
        <v>40.42</v>
      </c>
      <c r="K794">
        <v>0</v>
      </c>
      <c r="L794">
        <v>363.78</v>
      </c>
      <c r="M794">
        <v>259.7</v>
      </c>
      <c r="N794">
        <v>104.08</v>
      </c>
      <c r="O794" t="s">
        <v>33</v>
      </c>
      <c r="P794">
        <v>4</v>
      </c>
    </row>
    <row r="795" spans="1:16" x14ac:dyDescent="0.35">
      <c r="A795" t="s">
        <v>1653</v>
      </c>
      <c r="B795" s="1">
        <v>45573</v>
      </c>
      <c r="C795" t="s">
        <v>1654</v>
      </c>
      <c r="D795" t="s">
        <v>66</v>
      </c>
      <c r="E795" t="s">
        <v>98</v>
      </c>
      <c r="F795" t="s">
        <v>31</v>
      </c>
      <c r="G795" t="s">
        <v>43</v>
      </c>
      <c r="H795" t="s">
        <v>50</v>
      </c>
      <c r="I795">
        <v>7</v>
      </c>
      <c r="J795">
        <v>422.54</v>
      </c>
      <c r="K795">
        <v>0.15</v>
      </c>
      <c r="L795">
        <v>2514.11</v>
      </c>
      <c r="M795">
        <v>1678.77</v>
      </c>
      <c r="N795">
        <v>835.34</v>
      </c>
      <c r="O795" t="s">
        <v>24</v>
      </c>
      <c r="P795">
        <v>2</v>
      </c>
    </row>
    <row r="796" spans="1:16" x14ac:dyDescent="0.35">
      <c r="A796" t="s">
        <v>1655</v>
      </c>
      <c r="B796" s="1">
        <v>45354</v>
      </c>
      <c r="C796" t="s">
        <v>1656</v>
      </c>
      <c r="D796" t="s">
        <v>19</v>
      </c>
      <c r="E796" t="s">
        <v>30</v>
      </c>
      <c r="F796" t="s">
        <v>39</v>
      </c>
      <c r="G796" t="s">
        <v>79</v>
      </c>
      <c r="H796" t="s">
        <v>103</v>
      </c>
      <c r="I796">
        <v>2</v>
      </c>
      <c r="J796">
        <v>1184.69</v>
      </c>
      <c r="K796">
        <v>0.1</v>
      </c>
      <c r="L796">
        <v>2132.44</v>
      </c>
      <c r="M796">
        <v>1807.98</v>
      </c>
      <c r="N796">
        <v>324.45999999999998</v>
      </c>
      <c r="O796" t="s">
        <v>33</v>
      </c>
      <c r="P796">
        <v>2</v>
      </c>
    </row>
    <row r="797" spans="1:16" x14ac:dyDescent="0.35">
      <c r="A797" t="s">
        <v>1657</v>
      </c>
      <c r="B797" s="1">
        <v>45312</v>
      </c>
      <c r="C797" t="s">
        <v>1658</v>
      </c>
      <c r="D797" t="s">
        <v>19</v>
      </c>
      <c r="E797" t="s">
        <v>38</v>
      </c>
      <c r="F797" t="s">
        <v>21</v>
      </c>
      <c r="G797" t="s">
        <v>43</v>
      </c>
      <c r="H797" t="s">
        <v>173</v>
      </c>
      <c r="I797">
        <v>5</v>
      </c>
      <c r="J797">
        <v>50.01</v>
      </c>
      <c r="K797">
        <v>0.05</v>
      </c>
      <c r="L797">
        <v>237.55</v>
      </c>
      <c r="M797">
        <v>180.45</v>
      </c>
      <c r="N797">
        <v>57.1</v>
      </c>
      <c r="O797" t="s">
        <v>62</v>
      </c>
      <c r="P797">
        <v>4</v>
      </c>
    </row>
    <row r="798" spans="1:16" x14ac:dyDescent="0.35">
      <c r="A798" t="s">
        <v>1659</v>
      </c>
      <c r="B798" s="1">
        <v>45428</v>
      </c>
      <c r="C798" t="s">
        <v>1660</v>
      </c>
      <c r="D798" t="s">
        <v>29</v>
      </c>
      <c r="E798" t="s">
        <v>98</v>
      </c>
      <c r="F798" t="s">
        <v>39</v>
      </c>
      <c r="G798" t="s">
        <v>43</v>
      </c>
      <c r="H798" t="s">
        <v>173</v>
      </c>
      <c r="I798">
        <v>3</v>
      </c>
      <c r="J798">
        <v>740.15</v>
      </c>
      <c r="K798">
        <v>0.15</v>
      </c>
      <c r="L798">
        <v>1887.38</v>
      </c>
      <c r="M798">
        <v>1262.94</v>
      </c>
      <c r="N798">
        <v>624.44000000000005</v>
      </c>
      <c r="O798" t="s">
        <v>33</v>
      </c>
      <c r="P798">
        <v>1</v>
      </c>
    </row>
    <row r="799" spans="1:16" x14ac:dyDescent="0.35">
      <c r="A799" t="s">
        <v>1661</v>
      </c>
      <c r="B799" s="1">
        <v>45532</v>
      </c>
      <c r="C799" t="s">
        <v>1662</v>
      </c>
      <c r="D799" t="s">
        <v>49</v>
      </c>
      <c r="E799" t="s">
        <v>20</v>
      </c>
      <c r="F799" t="s">
        <v>21</v>
      </c>
      <c r="G799" t="s">
        <v>22</v>
      </c>
      <c r="H799" t="s">
        <v>32</v>
      </c>
      <c r="I799">
        <v>7</v>
      </c>
      <c r="J799">
        <v>134.91999999999999</v>
      </c>
      <c r="K799">
        <v>0.15</v>
      </c>
      <c r="L799">
        <v>802.77</v>
      </c>
      <c r="M799">
        <v>455.62</v>
      </c>
      <c r="N799">
        <v>347.15</v>
      </c>
      <c r="O799" t="s">
        <v>51</v>
      </c>
      <c r="P799">
        <v>2</v>
      </c>
    </row>
    <row r="800" spans="1:16" x14ac:dyDescent="0.35">
      <c r="A800" t="s">
        <v>1663</v>
      </c>
      <c r="B800" s="1">
        <v>45421</v>
      </c>
      <c r="C800" t="s">
        <v>1664</v>
      </c>
      <c r="D800" t="s">
        <v>37</v>
      </c>
      <c r="E800" t="s">
        <v>98</v>
      </c>
      <c r="F800" t="s">
        <v>39</v>
      </c>
      <c r="G800" t="s">
        <v>60</v>
      </c>
      <c r="H800" t="s">
        <v>61</v>
      </c>
      <c r="I800">
        <v>1</v>
      </c>
      <c r="J800">
        <v>722.7</v>
      </c>
      <c r="K800">
        <v>0.15</v>
      </c>
      <c r="L800">
        <v>614.29999999999995</v>
      </c>
      <c r="M800">
        <v>349.97</v>
      </c>
      <c r="N800">
        <v>264.33</v>
      </c>
      <c r="O800" t="s">
        <v>33</v>
      </c>
      <c r="P800">
        <v>3</v>
      </c>
    </row>
    <row r="801" spans="1:16" x14ac:dyDescent="0.35">
      <c r="A801" t="s">
        <v>1665</v>
      </c>
      <c r="B801" s="1">
        <v>45648</v>
      </c>
      <c r="C801" t="s">
        <v>1666</v>
      </c>
      <c r="D801" t="s">
        <v>66</v>
      </c>
      <c r="E801" t="s">
        <v>85</v>
      </c>
      <c r="F801" t="s">
        <v>39</v>
      </c>
      <c r="G801" t="s">
        <v>79</v>
      </c>
      <c r="H801" t="s">
        <v>89</v>
      </c>
      <c r="I801">
        <v>1</v>
      </c>
      <c r="J801">
        <v>283.89</v>
      </c>
      <c r="K801">
        <v>0.15</v>
      </c>
      <c r="L801">
        <v>241.31</v>
      </c>
      <c r="M801">
        <v>128.85</v>
      </c>
      <c r="N801">
        <v>112.46</v>
      </c>
      <c r="O801" t="s">
        <v>24</v>
      </c>
      <c r="P801">
        <v>3</v>
      </c>
    </row>
    <row r="802" spans="1:16" x14ac:dyDescent="0.35">
      <c r="A802" t="s">
        <v>1667</v>
      </c>
      <c r="B802" s="1">
        <v>45380</v>
      </c>
      <c r="C802" t="s">
        <v>1668</v>
      </c>
      <c r="D802" t="s">
        <v>29</v>
      </c>
      <c r="E802" t="s">
        <v>98</v>
      </c>
      <c r="F802" t="s">
        <v>39</v>
      </c>
      <c r="G802" t="s">
        <v>79</v>
      </c>
      <c r="H802" t="s">
        <v>103</v>
      </c>
      <c r="I802">
        <v>5</v>
      </c>
      <c r="J802">
        <v>726.78</v>
      </c>
      <c r="K802">
        <v>0.05</v>
      </c>
      <c r="L802">
        <v>3452.2</v>
      </c>
      <c r="M802">
        <v>2448.4899999999998</v>
      </c>
      <c r="N802">
        <v>1003.71</v>
      </c>
      <c r="O802" t="s">
        <v>33</v>
      </c>
      <c r="P802">
        <v>1</v>
      </c>
    </row>
    <row r="803" spans="1:16" x14ac:dyDescent="0.35">
      <c r="A803" t="s">
        <v>1669</v>
      </c>
      <c r="B803" s="1">
        <v>45604</v>
      </c>
      <c r="C803" t="s">
        <v>1670</v>
      </c>
      <c r="D803" t="s">
        <v>49</v>
      </c>
      <c r="E803" t="s">
        <v>98</v>
      </c>
      <c r="F803" t="s">
        <v>39</v>
      </c>
      <c r="G803" t="s">
        <v>43</v>
      </c>
      <c r="H803" t="s">
        <v>50</v>
      </c>
      <c r="I803">
        <v>6</v>
      </c>
      <c r="J803">
        <v>1067.54</v>
      </c>
      <c r="K803">
        <v>0.15</v>
      </c>
      <c r="L803">
        <v>5444.45</v>
      </c>
      <c r="M803">
        <v>2931.17</v>
      </c>
      <c r="N803">
        <v>2513.2800000000002</v>
      </c>
      <c r="O803" t="s">
        <v>24</v>
      </c>
      <c r="P803">
        <v>1</v>
      </c>
    </row>
    <row r="804" spans="1:16" x14ac:dyDescent="0.35">
      <c r="A804" t="s">
        <v>1671</v>
      </c>
      <c r="B804" s="1">
        <v>45568</v>
      </c>
      <c r="C804" t="s">
        <v>1672</v>
      </c>
      <c r="D804" t="s">
        <v>49</v>
      </c>
      <c r="E804" t="s">
        <v>98</v>
      </c>
      <c r="F804" t="s">
        <v>31</v>
      </c>
      <c r="G804" t="s">
        <v>60</v>
      </c>
      <c r="H804" t="s">
        <v>110</v>
      </c>
      <c r="I804">
        <v>4</v>
      </c>
      <c r="J804">
        <v>348.04</v>
      </c>
      <c r="K804">
        <v>0.1</v>
      </c>
      <c r="L804">
        <v>1252.94</v>
      </c>
      <c r="M804">
        <v>764.32</v>
      </c>
      <c r="N804">
        <v>488.62</v>
      </c>
      <c r="O804" t="s">
        <v>51</v>
      </c>
      <c r="P804">
        <v>4</v>
      </c>
    </row>
    <row r="805" spans="1:16" x14ac:dyDescent="0.35">
      <c r="A805" t="s">
        <v>1673</v>
      </c>
      <c r="B805" s="1">
        <v>45503</v>
      </c>
      <c r="C805" t="s">
        <v>1674</v>
      </c>
      <c r="D805" t="s">
        <v>29</v>
      </c>
      <c r="E805" t="s">
        <v>30</v>
      </c>
      <c r="F805" t="s">
        <v>39</v>
      </c>
      <c r="G805" t="s">
        <v>43</v>
      </c>
      <c r="H805" t="s">
        <v>173</v>
      </c>
      <c r="I805">
        <v>8</v>
      </c>
      <c r="J805">
        <v>409.45</v>
      </c>
      <c r="K805">
        <v>0.05</v>
      </c>
      <c r="L805">
        <v>3111.82</v>
      </c>
      <c r="M805">
        <v>2068.02</v>
      </c>
      <c r="N805">
        <v>1043.8</v>
      </c>
      <c r="O805" t="s">
        <v>24</v>
      </c>
      <c r="P805">
        <v>2</v>
      </c>
    </row>
    <row r="806" spans="1:16" x14ac:dyDescent="0.35">
      <c r="A806" t="s">
        <v>1675</v>
      </c>
      <c r="B806" s="1">
        <v>45610</v>
      </c>
      <c r="C806" t="s">
        <v>1676</v>
      </c>
      <c r="D806" t="s">
        <v>66</v>
      </c>
      <c r="E806" t="s">
        <v>85</v>
      </c>
      <c r="F806" t="s">
        <v>21</v>
      </c>
      <c r="G806" t="s">
        <v>79</v>
      </c>
      <c r="H806" t="s">
        <v>80</v>
      </c>
      <c r="I806">
        <v>12</v>
      </c>
      <c r="J806">
        <v>935.43</v>
      </c>
      <c r="K806">
        <v>0.15</v>
      </c>
      <c r="L806">
        <v>9541.39</v>
      </c>
      <c r="M806">
        <v>8079.17</v>
      </c>
      <c r="N806">
        <v>1462.22</v>
      </c>
      <c r="O806" t="s">
        <v>33</v>
      </c>
      <c r="P806">
        <v>1</v>
      </c>
    </row>
    <row r="807" spans="1:16" x14ac:dyDescent="0.35">
      <c r="A807" t="s">
        <v>1677</v>
      </c>
      <c r="B807" s="1">
        <v>45633</v>
      </c>
      <c r="C807" t="s">
        <v>1678</v>
      </c>
      <c r="D807" t="s">
        <v>37</v>
      </c>
      <c r="E807" t="s">
        <v>38</v>
      </c>
      <c r="F807" t="s">
        <v>39</v>
      </c>
      <c r="G807" t="s">
        <v>79</v>
      </c>
      <c r="H807" t="s">
        <v>89</v>
      </c>
      <c r="I807">
        <v>4</v>
      </c>
      <c r="J807">
        <v>387.31</v>
      </c>
      <c r="K807">
        <v>0.1</v>
      </c>
      <c r="L807">
        <v>1394.32</v>
      </c>
      <c r="M807">
        <v>777.35</v>
      </c>
      <c r="N807">
        <v>616.97</v>
      </c>
      <c r="O807" t="s">
        <v>62</v>
      </c>
      <c r="P807">
        <v>3</v>
      </c>
    </row>
    <row r="808" spans="1:16" x14ac:dyDescent="0.35">
      <c r="A808" t="s">
        <v>1679</v>
      </c>
      <c r="B808" s="1">
        <v>45520</v>
      </c>
      <c r="C808" t="s">
        <v>1680</v>
      </c>
      <c r="D808" t="s">
        <v>19</v>
      </c>
      <c r="E808" t="s">
        <v>85</v>
      </c>
      <c r="F808" t="s">
        <v>39</v>
      </c>
      <c r="G808" t="s">
        <v>43</v>
      </c>
      <c r="H808" t="s">
        <v>44</v>
      </c>
      <c r="I808">
        <v>7</v>
      </c>
      <c r="J808">
        <v>1020.22</v>
      </c>
      <c r="K808">
        <v>0.15</v>
      </c>
      <c r="L808">
        <v>6070.31</v>
      </c>
      <c r="M808">
        <v>4589.47</v>
      </c>
      <c r="N808">
        <v>1480.84</v>
      </c>
      <c r="O808" t="s">
        <v>51</v>
      </c>
      <c r="P808">
        <v>2</v>
      </c>
    </row>
    <row r="809" spans="1:16" x14ac:dyDescent="0.35">
      <c r="A809" t="s">
        <v>1681</v>
      </c>
      <c r="B809" s="1">
        <v>45464</v>
      </c>
      <c r="C809" t="s">
        <v>1682</v>
      </c>
      <c r="D809" t="s">
        <v>66</v>
      </c>
      <c r="E809" t="s">
        <v>20</v>
      </c>
      <c r="F809" t="s">
        <v>31</v>
      </c>
      <c r="G809" t="s">
        <v>79</v>
      </c>
      <c r="H809" t="s">
        <v>89</v>
      </c>
      <c r="I809">
        <v>4</v>
      </c>
      <c r="J809">
        <v>241.73</v>
      </c>
      <c r="K809">
        <v>0.1</v>
      </c>
      <c r="L809">
        <v>870.23</v>
      </c>
      <c r="M809">
        <v>539.33000000000004</v>
      </c>
      <c r="N809">
        <v>330.9</v>
      </c>
      <c r="O809" t="s">
        <v>62</v>
      </c>
      <c r="P809">
        <v>2</v>
      </c>
    </row>
    <row r="810" spans="1:16" x14ac:dyDescent="0.35">
      <c r="A810" t="s">
        <v>1683</v>
      </c>
      <c r="B810" s="1">
        <v>45346</v>
      </c>
      <c r="C810" t="s">
        <v>1684</v>
      </c>
      <c r="D810" t="s">
        <v>19</v>
      </c>
      <c r="E810" t="s">
        <v>20</v>
      </c>
      <c r="F810" t="s">
        <v>21</v>
      </c>
      <c r="G810" t="s">
        <v>60</v>
      </c>
      <c r="H810" t="s">
        <v>119</v>
      </c>
      <c r="I810">
        <v>2</v>
      </c>
      <c r="J810">
        <v>481.19</v>
      </c>
      <c r="K810">
        <v>0.15</v>
      </c>
      <c r="L810">
        <v>818.02</v>
      </c>
      <c r="M810">
        <v>672.08</v>
      </c>
      <c r="N810">
        <v>145.94</v>
      </c>
      <c r="O810" t="s">
        <v>51</v>
      </c>
      <c r="P810">
        <v>2</v>
      </c>
    </row>
    <row r="811" spans="1:16" x14ac:dyDescent="0.35">
      <c r="A811" t="s">
        <v>1685</v>
      </c>
      <c r="B811" s="1">
        <v>45574</v>
      </c>
      <c r="C811" t="s">
        <v>1686</v>
      </c>
      <c r="D811" t="s">
        <v>49</v>
      </c>
      <c r="E811" t="s">
        <v>30</v>
      </c>
      <c r="F811" t="s">
        <v>21</v>
      </c>
      <c r="G811" t="s">
        <v>79</v>
      </c>
      <c r="H811" t="s">
        <v>103</v>
      </c>
      <c r="I811">
        <v>8</v>
      </c>
      <c r="J811">
        <v>310.11</v>
      </c>
      <c r="K811">
        <v>0.05</v>
      </c>
      <c r="L811">
        <v>2356.84</v>
      </c>
      <c r="M811">
        <v>1895.11</v>
      </c>
      <c r="N811">
        <v>461.73</v>
      </c>
      <c r="O811" t="s">
        <v>51</v>
      </c>
      <c r="P811">
        <v>3</v>
      </c>
    </row>
    <row r="812" spans="1:16" x14ac:dyDescent="0.35">
      <c r="A812" t="s">
        <v>1687</v>
      </c>
      <c r="B812" s="1">
        <v>45592</v>
      </c>
      <c r="C812" t="s">
        <v>1688</v>
      </c>
      <c r="D812" t="s">
        <v>19</v>
      </c>
      <c r="E812" t="s">
        <v>85</v>
      </c>
      <c r="F812" t="s">
        <v>21</v>
      </c>
      <c r="G812" t="s">
        <v>79</v>
      </c>
      <c r="H812" t="s">
        <v>103</v>
      </c>
      <c r="I812">
        <v>6</v>
      </c>
      <c r="J812">
        <v>948.57</v>
      </c>
      <c r="K812">
        <v>0</v>
      </c>
      <c r="L812">
        <v>5691.42</v>
      </c>
      <c r="M812">
        <v>3038.08</v>
      </c>
      <c r="N812">
        <v>2653.34</v>
      </c>
      <c r="O812" t="s">
        <v>62</v>
      </c>
      <c r="P812">
        <v>2</v>
      </c>
    </row>
    <row r="813" spans="1:16" x14ac:dyDescent="0.35">
      <c r="A813" t="s">
        <v>1689</v>
      </c>
      <c r="B813" s="1">
        <v>45424</v>
      </c>
      <c r="C813" t="s">
        <v>1690</v>
      </c>
      <c r="D813" t="s">
        <v>37</v>
      </c>
      <c r="E813" t="s">
        <v>98</v>
      </c>
      <c r="F813" t="s">
        <v>31</v>
      </c>
      <c r="G813" t="s">
        <v>22</v>
      </c>
      <c r="H813" t="s">
        <v>124</v>
      </c>
      <c r="I813">
        <v>8</v>
      </c>
      <c r="J813">
        <v>614.16</v>
      </c>
      <c r="K813">
        <v>0.15</v>
      </c>
      <c r="L813">
        <v>4176.29</v>
      </c>
      <c r="M813">
        <v>2167.7800000000002</v>
      </c>
      <c r="N813">
        <v>2008.51</v>
      </c>
      <c r="O813" t="s">
        <v>24</v>
      </c>
      <c r="P813">
        <v>4</v>
      </c>
    </row>
    <row r="814" spans="1:16" x14ac:dyDescent="0.35">
      <c r="A814" t="s">
        <v>1691</v>
      </c>
      <c r="B814" s="1">
        <v>45547</v>
      </c>
      <c r="C814" t="s">
        <v>1692</v>
      </c>
      <c r="D814" t="s">
        <v>29</v>
      </c>
      <c r="E814" t="s">
        <v>85</v>
      </c>
      <c r="F814" t="s">
        <v>21</v>
      </c>
      <c r="G814" t="s">
        <v>60</v>
      </c>
      <c r="H814" t="s">
        <v>61</v>
      </c>
      <c r="I814">
        <v>2</v>
      </c>
      <c r="J814">
        <v>1051.08</v>
      </c>
      <c r="K814">
        <v>0.05</v>
      </c>
      <c r="L814">
        <v>1997.05</v>
      </c>
      <c r="M814">
        <v>1103.58</v>
      </c>
      <c r="N814">
        <v>893.47</v>
      </c>
      <c r="O814" t="s">
        <v>33</v>
      </c>
      <c r="P814">
        <v>5</v>
      </c>
    </row>
    <row r="815" spans="1:16" x14ac:dyDescent="0.35">
      <c r="A815" t="s">
        <v>1693</v>
      </c>
      <c r="B815" s="1">
        <v>45349</v>
      </c>
      <c r="C815" t="s">
        <v>1694</v>
      </c>
      <c r="D815" t="s">
        <v>37</v>
      </c>
      <c r="E815" t="s">
        <v>38</v>
      </c>
      <c r="F815" t="s">
        <v>31</v>
      </c>
      <c r="G815" t="s">
        <v>22</v>
      </c>
      <c r="H815" t="s">
        <v>23</v>
      </c>
      <c r="I815">
        <v>1</v>
      </c>
      <c r="J815">
        <v>558.87</v>
      </c>
      <c r="K815">
        <v>0.05</v>
      </c>
      <c r="L815">
        <v>530.92999999999995</v>
      </c>
      <c r="M815">
        <v>373.35</v>
      </c>
      <c r="N815">
        <v>157.58000000000001</v>
      </c>
      <c r="O815" t="s">
        <v>51</v>
      </c>
      <c r="P815">
        <v>3</v>
      </c>
    </row>
    <row r="816" spans="1:16" x14ac:dyDescent="0.35">
      <c r="A816" t="s">
        <v>1695</v>
      </c>
      <c r="B816" s="1">
        <v>45641</v>
      </c>
      <c r="C816" t="s">
        <v>1696</v>
      </c>
      <c r="D816" t="s">
        <v>49</v>
      </c>
      <c r="E816" t="s">
        <v>85</v>
      </c>
      <c r="F816" t="s">
        <v>21</v>
      </c>
      <c r="G816" t="s">
        <v>22</v>
      </c>
      <c r="H816" t="s">
        <v>23</v>
      </c>
      <c r="I816">
        <v>3</v>
      </c>
      <c r="J816">
        <v>498.18</v>
      </c>
      <c r="K816">
        <v>0.05</v>
      </c>
      <c r="L816">
        <v>1419.81</v>
      </c>
      <c r="M816">
        <v>758.41</v>
      </c>
      <c r="N816">
        <v>661.4</v>
      </c>
      <c r="O816" t="s">
        <v>24</v>
      </c>
      <c r="P816">
        <v>5</v>
      </c>
    </row>
    <row r="817" spans="1:16" x14ac:dyDescent="0.35">
      <c r="A817" t="s">
        <v>1697</v>
      </c>
      <c r="B817" s="1">
        <v>45631</v>
      </c>
      <c r="C817" t="s">
        <v>1698</v>
      </c>
      <c r="D817" t="s">
        <v>19</v>
      </c>
      <c r="E817" t="s">
        <v>85</v>
      </c>
      <c r="F817" t="s">
        <v>39</v>
      </c>
      <c r="G817" t="s">
        <v>60</v>
      </c>
      <c r="H817" t="s">
        <v>110</v>
      </c>
      <c r="I817">
        <v>11</v>
      </c>
      <c r="J817">
        <v>1011.39</v>
      </c>
      <c r="K817">
        <v>0.1</v>
      </c>
      <c r="L817">
        <v>10012.76</v>
      </c>
      <c r="M817">
        <v>5869.97</v>
      </c>
      <c r="N817">
        <v>4142.79</v>
      </c>
      <c r="O817" t="s">
        <v>24</v>
      </c>
      <c r="P817">
        <v>5</v>
      </c>
    </row>
    <row r="818" spans="1:16" x14ac:dyDescent="0.35">
      <c r="A818" t="s">
        <v>1699</v>
      </c>
      <c r="B818" s="1">
        <v>45485</v>
      </c>
      <c r="C818" t="s">
        <v>1700</v>
      </c>
      <c r="D818" t="s">
        <v>19</v>
      </c>
      <c r="E818" t="s">
        <v>98</v>
      </c>
      <c r="F818" t="s">
        <v>21</v>
      </c>
      <c r="G818" t="s">
        <v>22</v>
      </c>
      <c r="H818" t="s">
        <v>124</v>
      </c>
      <c r="I818">
        <v>1</v>
      </c>
      <c r="J818">
        <v>944.86</v>
      </c>
      <c r="K818">
        <v>0.15</v>
      </c>
      <c r="L818">
        <v>803.13</v>
      </c>
      <c r="M818">
        <v>472.57</v>
      </c>
      <c r="N818">
        <v>330.56</v>
      </c>
      <c r="O818" t="s">
        <v>62</v>
      </c>
      <c r="P818">
        <v>2</v>
      </c>
    </row>
    <row r="819" spans="1:16" x14ac:dyDescent="0.35">
      <c r="A819" t="s">
        <v>1701</v>
      </c>
      <c r="B819" s="1">
        <v>45344</v>
      </c>
      <c r="C819" t="s">
        <v>1702</v>
      </c>
      <c r="D819" t="s">
        <v>37</v>
      </c>
      <c r="E819" t="s">
        <v>38</v>
      </c>
      <c r="F819" t="s">
        <v>39</v>
      </c>
      <c r="G819" t="s">
        <v>22</v>
      </c>
      <c r="H819" t="s">
        <v>32</v>
      </c>
      <c r="I819">
        <v>8</v>
      </c>
      <c r="J819">
        <v>310.89999999999998</v>
      </c>
      <c r="K819">
        <v>0</v>
      </c>
      <c r="L819">
        <v>2487.1999999999998</v>
      </c>
      <c r="M819">
        <v>1982.78</v>
      </c>
      <c r="N819">
        <v>504.42</v>
      </c>
      <c r="O819" t="s">
        <v>33</v>
      </c>
      <c r="P819">
        <v>3</v>
      </c>
    </row>
    <row r="820" spans="1:16" x14ac:dyDescent="0.35">
      <c r="A820" t="s">
        <v>1703</v>
      </c>
      <c r="B820" s="1">
        <v>45506</v>
      </c>
      <c r="C820" t="s">
        <v>1704</v>
      </c>
      <c r="D820" t="s">
        <v>49</v>
      </c>
      <c r="E820" t="s">
        <v>30</v>
      </c>
      <c r="F820" t="s">
        <v>31</v>
      </c>
      <c r="G820" t="s">
        <v>79</v>
      </c>
      <c r="H820" t="s">
        <v>89</v>
      </c>
      <c r="I820">
        <v>12</v>
      </c>
      <c r="J820">
        <v>462.94</v>
      </c>
      <c r="K820">
        <v>0.05</v>
      </c>
      <c r="L820">
        <v>5277.52</v>
      </c>
      <c r="M820">
        <v>3929.55</v>
      </c>
      <c r="N820">
        <v>1347.97</v>
      </c>
      <c r="O820" t="s">
        <v>33</v>
      </c>
      <c r="P820">
        <v>5</v>
      </c>
    </row>
    <row r="821" spans="1:16" x14ac:dyDescent="0.35">
      <c r="A821" t="s">
        <v>1705</v>
      </c>
      <c r="B821" s="1">
        <v>45456</v>
      </c>
      <c r="C821" t="s">
        <v>1706</v>
      </c>
      <c r="D821" t="s">
        <v>37</v>
      </c>
      <c r="E821" t="s">
        <v>98</v>
      </c>
      <c r="F821" t="s">
        <v>21</v>
      </c>
      <c r="G821" t="s">
        <v>43</v>
      </c>
      <c r="H821" t="s">
        <v>44</v>
      </c>
      <c r="I821">
        <v>5</v>
      </c>
      <c r="J821">
        <v>595.84</v>
      </c>
      <c r="K821">
        <v>0.15</v>
      </c>
      <c r="L821">
        <v>2532.3200000000002</v>
      </c>
      <c r="M821">
        <v>1927.06</v>
      </c>
      <c r="N821">
        <v>605.26</v>
      </c>
      <c r="O821" t="s">
        <v>51</v>
      </c>
      <c r="P821">
        <v>3</v>
      </c>
    </row>
    <row r="822" spans="1:16" x14ac:dyDescent="0.35">
      <c r="A822" t="s">
        <v>1707</v>
      </c>
      <c r="B822" s="1">
        <v>45602</v>
      </c>
      <c r="C822" t="s">
        <v>1708</v>
      </c>
      <c r="D822" t="s">
        <v>66</v>
      </c>
      <c r="E822" t="s">
        <v>85</v>
      </c>
      <c r="F822" t="s">
        <v>39</v>
      </c>
      <c r="G822" t="s">
        <v>22</v>
      </c>
      <c r="H822" t="s">
        <v>32</v>
      </c>
      <c r="I822">
        <v>9</v>
      </c>
      <c r="J822">
        <v>959.07</v>
      </c>
      <c r="K822">
        <v>0.05</v>
      </c>
      <c r="L822">
        <v>8200.0499999999993</v>
      </c>
      <c r="M822">
        <v>6422.95</v>
      </c>
      <c r="N822">
        <v>1777.1</v>
      </c>
      <c r="O822" t="s">
        <v>24</v>
      </c>
      <c r="P822">
        <v>4</v>
      </c>
    </row>
    <row r="823" spans="1:16" x14ac:dyDescent="0.35">
      <c r="A823" t="s">
        <v>1709</v>
      </c>
      <c r="B823" s="1">
        <v>45481</v>
      </c>
      <c r="C823" t="s">
        <v>1710</v>
      </c>
      <c r="D823" t="s">
        <v>49</v>
      </c>
      <c r="E823" t="s">
        <v>30</v>
      </c>
      <c r="F823" t="s">
        <v>21</v>
      </c>
      <c r="G823" t="s">
        <v>22</v>
      </c>
      <c r="H823" t="s">
        <v>74</v>
      </c>
      <c r="I823">
        <v>9</v>
      </c>
      <c r="J823">
        <v>1154.4000000000001</v>
      </c>
      <c r="K823">
        <v>0</v>
      </c>
      <c r="L823">
        <v>10389.6</v>
      </c>
      <c r="M823">
        <v>8712.0400000000009</v>
      </c>
      <c r="N823">
        <v>1677.56</v>
      </c>
      <c r="O823" t="s">
        <v>62</v>
      </c>
      <c r="P823">
        <v>2</v>
      </c>
    </row>
    <row r="824" spans="1:16" x14ac:dyDescent="0.35">
      <c r="A824" t="s">
        <v>1711</v>
      </c>
      <c r="B824" s="1">
        <v>45385</v>
      </c>
      <c r="C824" t="s">
        <v>1712</v>
      </c>
      <c r="D824" t="s">
        <v>66</v>
      </c>
      <c r="E824" t="s">
        <v>38</v>
      </c>
      <c r="F824" t="s">
        <v>31</v>
      </c>
      <c r="G824" t="s">
        <v>43</v>
      </c>
      <c r="H824" t="s">
        <v>44</v>
      </c>
      <c r="I824">
        <v>11</v>
      </c>
      <c r="J824">
        <v>459.58</v>
      </c>
      <c r="K824">
        <v>0.15</v>
      </c>
      <c r="L824">
        <v>4297.07</v>
      </c>
      <c r="M824">
        <v>2895.73</v>
      </c>
      <c r="N824">
        <v>1401.34</v>
      </c>
      <c r="O824" t="s">
        <v>33</v>
      </c>
      <c r="P824">
        <v>3</v>
      </c>
    </row>
    <row r="825" spans="1:16" x14ac:dyDescent="0.35">
      <c r="A825" t="s">
        <v>1713</v>
      </c>
      <c r="B825" s="1">
        <v>45555</v>
      </c>
      <c r="C825" t="s">
        <v>1714</v>
      </c>
      <c r="D825" t="s">
        <v>29</v>
      </c>
      <c r="E825" t="s">
        <v>98</v>
      </c>
      <c r="F825" t="s">
        <v>31</v>
      </c>
      <c r="G825" t="s">
        <v>43</v>
      </c>
      <c r="H825" t="s">
        <v>44</v>
      </c>
      <c r="I825">
        <v>12</v>
      </c>
      <c r="J825">
        <v>258.45999999999998</v>
      </c>
      <c r="K825">
        <v>0.05</v>
      </c>
      <c r="L825">
        <v>2946.44</v>
      </c>
      <c r="M825">
        <v>2021.07</v>
      </c>
      <c r="N825">
        <v>925.37</v>
      </c>
      <c r="O825" t="s">
        <v>62</v>
      </c>
      <c r="P825">
        <v>5</v>
      </c>
    </row>
    <row r="826" spans="1:16" x14ac:dyDescent="0.35">
      <c r="A826" t="s">
        <v>1715</v>
      </c>
      <c r="B826" s="1">
        <v>45327</v>
      </c>
      <c r="C826" t="s">
        <v>1716</v>
      </c>
      <c r="D826" t="s">
        <v>19</v>
      </c>
      <c r="E826" t="s">
        <v>85</v>
      </c>
      <c r="F826" t="s">
        <v>39</v>
      </c>
      <c r="G826" t="s">
        <v>22</v>
      </c>
      <c r="H826" t="s">
        <v>23</v>
      </c>
      <c r="I826">
        <v>7</v>
      </c>
      <c r="J826">
        <v>435.28</v>
      </c>
      <c r="K826">
        <v>0</v>
      </c>
      <c r="L826">
        <v>3046.96</v>
      </c>
      <c r="M826">
        <v>2288.7800000000002</v>
      </c>
      <c r="N826">
        <v>758.18</v>
      </c>
      <c r="O826" t="s">
        <v>24</v>
      </c>
      <c r="P826">
        <v>1</v>
      </c>
    </row>
    <row r="827" spans="1:16" x14ac:dyDescent="0.35">
      <c r="A827" t="s">
        <v>1717</v>
      </c>
      <c r="B827" s="1">
        <v>45555</v>
      </c>
      <c r="C827" t="s">
        <v>1718</v>
      </c>
      <c r="D827" t="s">
        <v>29</v>
      </c>
      <c r="E827" t="s">
        <v>85</v>
      </c>
      <c r="F827" t="s">
        <v>31</v>
      </c>
      <c r="G827" t="s">
        <v>43</v>
      </c>
      <c r="H827" t="s">
        <v>44</v>
      </c>
      <c r="I827">
        <v>5</v>
      </c>
      <c r="J827">
        <v>675</v>
      </c>
      <c r="K827">
        <v>0.15</v>
      </c>
      <c r="L827">
        <v>2868.75</v>
      </c>
      <c r="M827">
        <v>1542.88</v>
      </c>
      <c r="N827">
        <v>1325.87</v>
      </c>
      <c r="O827" t="s">
        <v>51</v>
      </c>
      <c r="P827">
        <v>2</v>
      </c>
    </row>
    <row r="828" spans="1:16" x14ac:dyDescent="0.35">
      <c r="A828" t="s">
        <v>1719</v>
      </c>
      <c r="B828" s="1">
        <v>45458</v>
      </c>
      <c r="C828" t="s">
        <v>1720</v>
      </c>
      <c r="D828" t="s">
        <v>19</v>
      </c>
      <c r="E828" t="s">
        <v>20</v>
      </c>
      <c r="F828" t="s">
        <v>31</v>
      </c>
      <c r="G828" t="s">
        <v>43</v>
      </c>
      <c r="H828" t="s">
        <v>44</v>
      </c>
      <c r="I828">
        <v>12</v>
      </c>
      <c r="J828">
        <v>1035.3399999999999</v>
      </c>
      <c r="K828">
        <v>0.1</v>
      </c>
      <c r="L828">
        <v>11181.67</v>
      </c>
      <c r="M828">
        <v>6340.16</v>
      </c>
      <c r="N828">
        <v>4841.51</v>
      </c>
      <c r="O828" t="s">
        <v>24</v>
      </c>
      <c r="P828">
        <v>4</v>
      </c>
    </row>
    <row r="829" spans="1:16" x14ac:dyDescent="0.35">
      <c r="A829" t="s">
        <v>1721</v>
      </c>
      <c r="B829" s="1">
        <v>45353</v>
      </c>
      <c r="C829" t="s">
        <v>1722</v>
      </c>
      <c r="D829" t="s">
        <v>66</v>
      </c>
      <c r="E829" t="s">
        <v>98</v>
      </c>
      <c r="F829" t="s">
        <v>31</v>
      </c>
      <c r="G829" t="s">
        <v>60</v>
      </c>
      <c r="H829" t="s">
        <v>119</v>
      </c>
      <c r="I829">
        <v>4</v>
      </c>
      <c r="J829">
        <v>1054.78</v>
      </c>
      <c r="K829">
        <v>0.1</v>
      </c>
      <c r="L829">
        <v>3797.21</v>
      </c>
      <c r="M829">
        <v>2564.4299999999998</v>
      </c>
      <c r="N829">
        <v>1232.78</v>
      </c>
      <c r="O829" t="s">
        <v>62</v>
      </c>
      <c r="P829">
        <v>2</v>
      </c>
    </row>
    <row r="830" spans="1:16" x14ac:dyDescent="0.35">
      <c r="A830" t="s">
        <v>1723</v>
      </c>
      <c r="B830" s="1">
        <v>45574</v>
      </c>
      <c r="C830" t="s">
        <v>1724</v>
      </c>
      <c r="D830" t="s">
        <v>49</v>
      </c>
      <c r="E830" t="s">
        <v>85</v>
      </c>
      <c r="F830" t="s">
        <v>21</v>
      </c>
      <c r="G830" t="s">
        <v>79</v>
      </c>
      <c r="H830" t="s">
        <v>89</v>
      </c>
      <c r="I830">
        <v>8</v>
      </c>
      <c r="J830">
        <v>74.510000000000005</v>
      </c>
      <c r="K830">
        <v>0.15</v>
      </c>
      <c r="L830">
        <v>506.67</v>
      </c>
      <c r="M830">
        <v>254.78</v>
      </c>
      <c r="N830">
        <v>251.89</v>
      </c>
      <c r="O830" t="s">
        <v>24</v>
      </c>
      <c r="P830">
        <v>1</v>
      </c>
    </row>
    <row r="831" spans="1:16" x14ac:dyDescent="0.35">
      <c r="A831" t="s">
        <v>1725</v>
      </c>
      <c r="B831" s="1">
        <v>45544</v>
      </c>
      <c r="C831" t="s">
        <v>1726</v>
      </c>
      <c r="D831" t="s">
        <v>49</v>
      </c>
      <c r="E831" t="s">
        <v>38</v>
      </c>
      <c r="F831" t="s">
        <v>31</v>
      </c>
      <c r="G831" t="s">
        <v>79</v>
      </c>
      <c r="H831" t="s">
        <v>80</v>
      </c>
      <c r="I831">
        <v>3</v>
      </c>
      <c r="J831">
        <v>748.56</v>
      </c>
      <c r="K831">
        <v>0</v>
      </c>
      <c r="L831">
        <v>2245.6799999999998</v>
      </c>
      <c r="M831">
        <v>1413.76</v>
      </c>
      <c r="N831">
        <v>831.92</v>
      </c>
      <c r="O831" t="s">
        <v>33</v>
      </c>
      <c r="P831">
        <v>4</v>
      </c>
    </row>
    <row r="832" spans="1:16" x14ac:dyDescent="0.35">
      <c r="A832" t="s">
        <v>1727</v>
      </c>
      <c r="B832" s="1">
        <v>45529</v>
      </c>
      <c r="C832" t="s">
        <v>1728</v>
      </c>
      <c r="D832" t="s">
        <v>29</v>
      </c>
      <c r="E832" t="s">
        <v>20</v>
      </c>
      <c r="F832" t="s">
        <v>31</v>
      </c>
      <c r="G832" t="s">
        <v>79</v>
      </c>
      <c r="H832" t="s">
        <v>89</v>
      </c>
      <c r="I832">
        <v>11</v>
      </c>
      <c r="J832">
        <v>139.77000000000001</v>
      </c>
      <c r="K832">
        <v>0.05</v>
      </c>
      <c r="L832">
        <v>1460.6</v>
      </c>
      <c r="M832">
        <v>775.78</v>
      </c>
      <c r="N832">
        <v>684.82</v>
      </c>
      <c r="O832" t="s">
        <v>51</v>
      </c>
      <c r="P832">
        <v>2</v>
      </c>
    </row>
    <row r="833" spans="1:16" x14ac:dyDescent="0.35">
      <c r="A833" t="s">
        <v>1729</v>
      </c>
      <c r="B833" s="1">
        <v>45484</v>
      </c>
      <c r="C833" t="s">
        <v>1730</v>
      </c>
      <c r="D833" t="s">
        <v>49</v>
      </c>
      <c r="E833" t="s">
        <v>38</v>
      </c>
      <c r="F833" t="s">
        <v>31</v>
      </c>
      <c r="G833" t="s">
        <v>60</v>
      </c>
      <c r="H833" t="s">
        <v>110</v>
      </c>
      <c r="I833">
        <v>1</v>
      </c>
      <c r="J833">
        <v>409.87</v>
      </c>
      <c r="K833">
        <v>0.15</v>
      </c>
      <c r="L833">
        <v>348.39</v>
      </c>
      <c r="M833">
        <v>254.23</v>
      </c>
      <c r="N833">
        <v>94.16</v>
      </c>
      <c r="O833" t="s">
        <v>33</v>
      </c>
      <c r="P833">
        <v>1</v>
      </c>
    </row>
    <row r="834" spans="1:16" x14ac:dyDescent="0.35">
      <c r="A834" t="s">
        <v>1731</v>
      </c>
      <c r="B834" s="1">
        <v>45426</v>
      </c>
      <c r="C834" t="s">
        <v>1732</v>
      </c>
      <c r="D834" t="s">
        <v>49</v>
      </c>
      <c r="E834" t="s">
        <v>85</v>
      </c>
      <c r="F834" t="s">
        <v>21</v>
      </c>
      <c r="G834" t="s">
        <v>22</v>
      </c>
      <c r="H834" t="s">
        <v>74</v>
      </c>
      <c r="I834">
        <v>1</v>
      </c>
      <c r="J834">
        <v>438.95</v>
      </c>
      <c r="K834">
        <v>0.1</v>
      </c>
      <c r="L834">
        <v>395.06</v>
      </c>
      <c r="M834">
        <v>306.83999999999997</v>
      </c>
      <c r="N834">
        <v>88.22</v>
      </c>
      <c r="O834" t="s">
        <v>33</v>
      </c>
      <c r="P834">
        <v>3</v>
      </c>
    </row>
    <row r="835" spans="1:16" x14ac:dyDescent="0.35">
      <c r="A835" t="s">
        <v>1733</v>
      </c>
      <c r="B835" s="1">
        <v>45516</v>
      </c>
      <c r="C835" t="s">
        <v>1734</v>
      </c>
      <c r="D835" t="s">
        <v>49</v>
      </c>
      <c r="E835" t="s">
        <v>85</v>
      </c>
      <c r="F835" t="s">
        <v>21</v>
      </c>
      <c r="G835" t="s">
        <v>22</v>
      </c>
      <c r="H835" t="s">
        <v>124</v>
      </c>
      <c r="I835">
        <v>6</v>
      </c>
      <c r="J835">
        <v>218.38</v>
      </c>
      <c r="K835">
        <v>0.15</v>
      </c>
      <c r="L835">
        <v>1113.74</v>
      </c>
      <c r="M835">
        <v>858.24</v>
      </c>
      <c r="N835">
        <v>255.5</v>
      </c>
      <c r="O835" t="s">
        <v>62</v>
      </c>
      <c r="P835">
        <v>3</v>
      </c>
    </row>
    <row r="836" spans="1:16" x14ac:dyDescent="0.35">
      <c r="A836" t="s">
        <v>1735</v>
      </c>
      <c r="B836" s="1">
        <v>45365</v>
      </c>
      <c r="C836" t="s">
        <v>1736</v>
      </c>
      <c r="D836" t="s">
        <v>37</v>
      </c>
      <c r="E836" t="s">
        <v>38</v>
      </c>
      <c r="F836" t="s">
        <v>31</v>
      </c>
      <c r="G836" t="s">
        <v>79</v>
      </c>
      <c r="H836" t="s">
        <v>89</v>
      </c>
      <c r="I836">
        <v>8</v>
      </c>
      <c r="J836">
        <v>456.56</v>
      </c>
      <c r="K836">
        <v>0.15</v>
      </c>
      <c r="L836">
        <v>3104.61</v>
      </c>
      <c r="M836">
        <v>1648.15</v>
      </c>
      <c r="N836">
        <v>1456.46</v>
      </c>
      <c r="O836" t="s">
        <v>51</v>
      </c>
      <c r="P836">
        <v>2</v>
      </c>
    </row>
    <row r="837" spans="1:16" x14ac:dyDescent="0.35">
      <c r="A837" t="s">
        <v>1737</v>
      </c>
      <c r="B837" s="1">
        <v>45343</v>
      </c>
      <c r="C837" t="s">
        <v>411</v>
      </c>
      <c r="D837" t="s">
        <v>37</v>
      </c>
      <c r="E837" t="s">
        <v>98</v>
      </c>
      <c r="F837" t="s">
        <v>31</v>
      </c>
      <c r="G837" t="s">
        <v>60</v>
      </c>
      <c r="H837" t="s">
        <v>110</v>
      </c>
      <c r="I837">
        <v>3</v>
      </c>
      <c r="J837">
        <v>264.41000000000003</v>
      </c>
      <c r="K837">
        <v>0</v>
      </c>
      <c r="L837">
        <v>793.23</v>
      </c>
      <c r="M837">
        <v>533.12</v>
      </c>
      <c r="N837">
        <v>260.11</v>
      </c>
      <c r="O837" t="s">
        <v>24</v>
      </c>
      <c r="P837">
        <v>1</v>
      </c>
    </row>
    <row r="838" spans="1:16" x14ac:dyDescent="0.35">
      <c r="A838" t="s">
        <v>1738</v>
      </c>
      <c r="B838" s="1">
        <v>45337</v>
      </c>
      <c r="C838" t="s">
        <v>1739</v>
      </c>
      <c r="D838" t="s">
        <v>37</v>
      </c>
      <c r="E838" t="s">
        <v>38</v>
      </c>
      <c r="F838" t="s">
        <v>39</v>
      </c>
      <c r="G838" t="s">
        <v>79</v>
      </c>
      <c r="H838" t="s">
        <v>103</v>
      </c>
      <c r="I838">
        <v>8</v>
      </c>
      <c r="J838">
        <v>597.41</v>
      </c>
      <c r="K838">
        <v>0</v>
      </c>
      <c r="L838">
        <v>4779.28</v>
      </c>
      <c r="M838">
        <v>3008.32</v>
      </c>
      <c r="N838">
        <v>1770.96</v>
      </c>
      <c r="O838" t="s">
        <v>24</v>
      </c>
      <c r="P838">
        <v>2</v>
      </c>
    </row>
    <row r="839" spans="1:16" x14ac:dyDescent="0.35">
      <c r="A839" t="s">
        <v>1740</v>
      </c>
      <c r="B839" s="1">
        <v>45654</v>
      </c>
      <c r="C839" t="s">
        <v>1741</v>
      </c>
      <c r="D839" t="s">
        <v>19</v>
      </c>
      <c r="E839" t="s">
        <v>30</v>
      </c>
      <c r="F839" t="s">
        <v>31</v>
      </c>
      <c r="G839" t="s">
        <v>60</v>
      </c>
      <c r="H839" t="s">
        <v>61</v>
      </c>
      <c r="I839">
        <v>3</v>
      </c>
      <c r="J839">
        <v>432.87</v>
      </c>
      <c r="K839">
        <v>0.15</v>
      </c>
      <c r="L839">
        <v>1103.82</v>
      </c>
      <c r="M839">
        <v>582.66999999999996</v>
      </c>
      <c r="N839">
        <v>521.15</v>
      </c>
      <c r="O839" t="s">
        <v>51</v>
      </c>
      <c r="P839">
        <v>1</v>
      </c>
    </row>
    <row r="840" spans="1:16" x14ac:dyDescent="0.35">
      <c r="A840" t="s">
        <v>1742</v>
      </c>
      <c r="B840" s="1">
        <v>45564</v>
      </c>
      <c r="C840" t="s">
        <v>1743</v>
      </c>
      <c r="D840" t="s">
        <v>37</v>
      </c>
      <c r="E840" t="s">
        <v>98</v>
      </c>
      <c r="F840" t="s">
        <v>31</v>
      </c>
      <c r="G840" t="s">
        <v>22</v>
      </c>
      <c r="H840" t="s">
        <v>74</v>
      </c>
      <c r="I840">
        <v>4</v>
      </c>
      <c r="J840">
        <v>493.51</v>
      </c>
      <c r="K840">
        <v>0.05</v>
      </c>
      <c r="L840">
        <v>1875.34</v>
      </c>
      <c r="M840">
        <v>951.2</v>
      </c>
      <c r="N840">
        <v>924.14</v>
      </c>
      <c r="O840" t="s">
        <v>24</v>
      </c>
      <c r="P840">
        <v>3</v>
      </c>
    </row>
    <row r="841" spans="1:16" x14ac:dyDescent="0.35">
      <c r="A841" t="s">
        <v>1744</v>
      </c>
      <c r="B841" s="1">
        <v>45312</v>
      </c>
      <c r="C841" t="s">
        <v>1745</v>
      </c>
      <c r="D841" t="s">
        <v>19</v>
      </c>
      <c r="E841" t="s">
        <v>38</v>
      </c>
      <c r="F841" t="s">
        <v>21</v>
      </c>
      <c r="G841" t="s">
        <v>43</v>
      </c>
      <c r="H841" t="s">
        <v>44</v>
      </c>
      <c r="I841">
        <v>3</v>
      </c>
      <c r="J841">
        <v>105.73</v>
      </c>
      <c r="K841">
        <v>0</v>
      </c>
      <c r="L841">
        <v>317.19</v>
      </c>
      <c r="M841">
        <v>243.7</v>
      </c>
      <c r="N841">
        <v>73.489999999999995</v>
      </c>
      <c r="O841" t="s">
        <v>51</v>
      </c>
      <c r="P841">
        <v>1</v>
      </c>
    </row>
    <row r="842" spans="1:16" x14ac:dyDescent="0.35">
      <c r="A842" t="s">
        <v>1746</v>
      </c>
      <c r="B842" s="1">
        <v>45292</v>
      </c>
      <c r="C842" t="s">
        <v>1747</v>
      </c>
      <c r="D842" t="s">
        <v>37</v>
      </c>
      <c r="E842" t="s">
        <v>85</v>
      </c>
      <c r="F842" t="s">
        <v>39</v>
      </c>
      <c r="G842" t="s">
        <v>60</v>
      </c>
      <c r="H842" t="s">
        <v>110</v>
      </c>
      <c r="I842">
        <v>11</v>
      </c>
      <c r="J842">
        <v>1051.6600000000001</v>
      </c>
      <c r="K842">
        <v>0.05</v>
      </c>
      <c r="L842">
        <v>10989.85</v>
      </c>
      <c r="M842">
        <v>7826.01</v>
      </c>
      <c r="N842">
        <v>3163.84</v>
      </c>
      <c r="O842" t="s">
        <v>62</v>
      </c>
      <c r="P842">
        <v>2</v>
      </c>
    </row>
    <row r="843" spans="1:16" x14ac:dyDescent="0.35">
      <c r="A843" t="s">
        <v>1748</v>
      </c>
      <c r="B843" s="1">
        <v>45614</v>
      </c>
      <c r="C843" t="s">
        <v>1749</v>
      </c>
      <c r="D843" t="s">
        <v>29</v>
      </c>
      <c r="E843" t="s">
        <v>98</v>
      </c>
      <c r="F843" t="s">
        <v>21</v>
      </c>
      <c r="G843" t="s">
        <v>43</v>
      </c>
      <c r="H843" t="s">
        <v>44</v>
      </c>
      <c r="I843">
        <v>6</v>
      </c>
      <c r="J843">
        <v>216.98</v>
      </c>
      <c r="K843">
        <v>0.05</v>
      </c>
      <c r="L843">
        <v>1236.79</v>
      </c>
      <c r="M843">
        <v>826.89</v>
      </c>
      <c r="N843">
        <v>409.9</v>
      </c>
      <c r="O843" t="s">
        <v>62</v>
      </c>
      <c r="P843">
        <v>2</v>
      </c>
    </row>
    <row r="844" spans="1:16" x14ac:dyDescent="0.35">
      <c r="A844" t="s">
        <v>1750</v>
      </c>
      <c r="B844" s="1">
        <v>45307</v>
      </c>
      <c r="C844" t="s">
        <v>1751</v>
      </c>
      <c r="D844" t="s">
        <v>37</v>
      </c>
      <c r="E844" t="s">
        <v>85</v>
      </c>
      <c r="F844" t="s">
        <v>21</v>
      </c>
      <c r="G844" t="s">
        <v>22</v>
      </c>
      <c r="H844" t="s">
        <v>32</v>
      </c>
      <c r="I844">
        <v>6</v>
      </c>
      <c r="J844">
        <v>794.04</v>
      </c>
      <c r="K844">
        <v>0.1</v>
      </c>
      <c r="L844">
        <v>4287.82</v>
      </c>
      <c r="M844">
        <v>2866.28</v>
      </c>
      <c r="N844">
        <v>1421.54</v>
      </c>
      <c r="O844" t="s">
        <v>62</v>
      </c>
      <c r="P844">
        <v>4</v>
      </c>
    </row>
    <row r="845" spans="1:16" x14ac:dyDescent="0.35">
      <c r="A845" t="s">
        <v>1752</v>
      </c>
      <c r="B845" s="1">
        <v>45610</v>
      </c>
      <c r="C845" t="s">
        <v>1753</v>
      </c>
      <c r="D845" t="s">
        <v>49</v>
      </c>
      <c r="E845" t="s">
        <v>38</v>
      </c>
      <c r="F845" t="s">
        <v>39</v>
      </c>
      <c r="G845" t="s">
        <v>79</v>
      </c>
      <c r="H845" t="s">
        <v>103</v>
      </c>
      <c r="I845">
        <v>12</v>
      </c>
      <c r="J845">
        <v>285.89999999999998</v>
      </c>
      <c r="K845">
        <v>0.05</v>
      </c>
      <c r="L845">
        <v>3259.26</v>
      </c>
      <c r="M845">
        <v>2022.78</v>
      </c>
      <c r="N845">
        <v>1236.48</v>
      </c>
      <c r="O845" t="s">
        <v>62</v>
      </c>
      <c r="P845">
        <v>5</v>
      </c>
    </row>
    <row r="846" spans="1:16" x14ac:dyDescent="0.35">
      <c r="A846" t="s">
        <v>1754</v>
      </c>
      <c r="B846" s="1">
        <v>45354</v>
      </c>
      <c r="C846" t="s">
        <v>1755</v>
      </c>
      <c r="D846" t="s">
        <v>66</v>
      </c>
      <c r="E846" t="s">
        <v>38</v>
      </c>
      <c r="F846" t="s">
        <v>21</v>
      </c>
      <c r="G846" t="s">
        <v>60</v>
      </c>
      <c r="H846" t="s">
        <v>61</v>
      </c>
      <c r="I846">
        <v>12</v>
      </c>
      <c r="J846">
        <v>1125.4100000000001</v>
      </c>
      <c r="K846">
        <v>0.1</v>
      </c>
      <c r="L846">
        <v>12154.43</v>
      </c>
      <c r="M846">
        <v>7974.06</v>
      </c>
      <c r="N846">
        <v>4180.37</v>
      </c>
      <c r="O846" t="s">
        <v>62</v>
      </c>
      <c r="P846">
        <v>5</v>
      </c>
    </row>
    <row r="847" spans="1:16" x14ac:dyDescent="0.35">
      <c r="A847" t="s">
        <v>1756</v>
      </c>
      <c r="B847" s="1">
        <v>45427</v>
      </c>
      <c r="C847" t="s">
        <v>1757</v>
      </c>
      <c r="D847" t="s">
        <v>19</v>
      </c>
      <c r="E847" t="s">
        <v>20</v>
      </c>
      <c r="F847" t="s">
        <v>21</v>
      </c>
      <c r="G847" t="s">
        <v>43</v>
      </c>
      <c r="H847" t="s">
        <v>50</v>
      </c>
      <c r="I847">
        <v>1</v>
      </c>
      <c r="J847">
        <v>1060.48</v>
      </c>
      <c r="K847">
        <v>0.1</v>
      </c>
      <c r="L847">
        <v>954.43</v>
      </c>
      <c r="M847">
        <v>644.57000000000005</v>
      </c>
      <c r="N847">
        <v>309.86</v>
      </c>
      <c r="O847" t="s">
        <v>24</v>
      </c>
      <c r="P847">
        <v>2</v>
      </c>
    </row>
    <row r="848" spans="1:16" x14ac:dyDescent="0.35">
      <c r="A848" t="s">
        <v>1758</v>
      </c>
      <c r="B848" s="1">
        <v>45392</v>
      </c>
      <c r="C848" t="s">
        <v>1759</v>
      </c>
      <c r="D848" t="s">
        <v>29</v>
      </c>
      <c r="E848" t="s">
        <v>20</v>
      </c>
      <c r="F848" t="s">
        <v>39</v>
      </c>
      <c r="G848" t="s">
        <v>43</v>
      </c>
      <c r="H848" t="s">
        <v>173</v>
      </c>
      <c r="I848">
        <v>3</v>
      </c>
      <c r="J848">
        <v>596.6</v>
      </c>
      <c r="K848">
        <v>0.15</v>
      </c>
      <c r="L848">
        <v>1521.33</v>
      </c>
      <c r="M848">
        <v>1070.73</v>
      </c>
      <c r="N848">
        <v>450.6</v>
      </c>
      <c r="O848" t="s">
        <v>24</v>
      </c>
      <c r="P848">
        <v>1</v>
      </c>
    </row>
    <row r="849" spans="1:16" x14ac:dyDescent="0.35">
      <c r="A849" t="s">
        <v>1760</v>
      </c>
      <c r="B849" s="1">
        <v>45554</v>
      </c>
      <c r="C849" t="s">
        <v>1761</v>
      </c>
      <c r="D849" t="s">
        <v>49</v>
      </c>
      <c r="E849" t="s">
        <v>38</v>
      </c>
      <c r="F849" t="s">
        <v>31</v>
      </c>
      <c r="G849" t="s">
        <v>60</v>
      </c>
      <c r="H849" t="s">
        <v>61</v>
      </c>
      <c r="I849">
        <v>9</v>
      </c>
      <c r="J849">
        <v>126.83</v>
      </c>
      <c r="K849">
        <v>0.05</v>
      </c>
      <c r="L849">
        <v>1084.4000000000001</v>
      </c>
      <c r="M849">
        <v>904.46</v>
      </c>
      <c r="N849">
        <v>179.94</v>
      </c>
      <c r="O849" t="s">
        <v>33</v>
      </c>
      <c r="P849">
        <v>2</v>
      </c>
    </row>
    <row r="850" spans="1:16" x14ac:dyDescent="0.35">
      <c r="A850" t="s">
        <v>1762</v>
      </c>
      <c r="B850" s="1">
        <v>45297</v>
      </c>
      <c r="C850" t="s">
        <v>1763</v>
      </c>
      <c r="D850" t="s">
        <v>19</v>
      </c>
      <c r="E850" t="s">
        <v>98</v>
      </c>
      <c r="F850" t="s">
        <v>21</v>
      </c>
      <c r="G850" t="s">
        <v>79</v>
      </c>
      <c r="H850" t="s">
        <v>89</v>
      </c>
      <c r="I850">
        <v>10</v>
      </c>
      <c r="J850">
        <v>329.59</v>
      </c>
      <c r="K850">
        <v>0.1</v>
      </c>
      <c r="L850">
        <v>2966.31</v>
      </c>
      <c r="M850">
        <v>1902.34</v>
      </c>
      <c r="N850">
        <v>1063.97</v>
      </c>
      <c r="O850" t="s">
        <v>51</v>
      </c>
      <c r="P850">
        <v>3</v>
      </c>
    </row>
    <row r="851" spans="1:16" x14ac:dyDescent="0.35">
      <c r="A851" t="s">
        <v>1764</v>
      </c>
      <c r="B851" s="1">
        <v>45523</v>
      </c>
      <c r="C851" t="s">
        <v>1765</v>
      </c>
      <c r="D851" t="s">
        <v>29</v>
      </c>
      <c r="E851" t="s">
        <v>30</v>
      </c>
      <c r="F851" t="s">
        <v>39</v>
      </c>
      <c r="G851" t="s">
        <v>22</v>
      </c>
      <c r="H851" t="s">
        <v>23</v>
      </c>
      <c r="I851">
        <v>8</v>
      </c>
      <c r="J851">
        <v>749.75</v>
      </c>
      <c r="K851">
        <v>0.05</v>
      </c>
      <c r="L851">
        <v>5698.1</v>
      </c>
      <c r="M851">
        <v>3300.92</v>
      </c>
      <c r="N851">
        <v>2397.1799999999998</v>
      </c>
      <c r="O851" t="s">
        <v>33</v>
      </c>
      <c r="P851">
        <v>4</v>
      </c>
    </row>
    <row r="852" spans="1:16" x14ac:dyDescent="0.35">
      <c r="A852" t="s">
        <v>1766</v>
      </c>
      <c r="B852" s="1">
        <v>45618</v>
      </c>
      <c r="C852" t="s">
        <v>1767</v>
      </c>
      <c r="D852" t="s">
        <v>66</v>
      </c>
      <c r="E852" t="s">
        <v>98</v>
      </c>
      <c r="F852" t="s">
        <v>21</v>
      </c>
      <c r="G852" t="s">
        <v>43</v>
      </c>
      <c r="H852" t="s">
        <v>50</v>
      </c>
      <c r="I852">
        <v>3</v>
      </c>
      <c r="J852">
        <v>569.11</v>
      </c>
      <c r="K852">
        <v>0</v>
      </c>
      <c r="L852">
        <v>1707.33</v>
      </c>
      <c r="M852">
        <v>1134.2</v>
      </c>
      <c r="N852">
        <v>573.13</v>
      </c>
      <c r="O852" t="s">
        <v>51</v>
      </c>
      <c r="P852">
        <v>3</v>
      </c>
    </row>
    <row r="853" spans="1:16" x14ac:dyDescent="0.35">
      <c r="A853" t="s">
        <v>1768</v>
      </c>
      <c r="B853" s="1">
        <v>45615</v>
      </c>
      <c r="C853" t="s">
        <v>1769</v>
      </c>
      <c r="D853" t="s">
        <v>37</v>
      </c>
      <c r="E853" t="s">
        <v>85</v>
      </c>
      <c r="F853" t="s">
        <v>39</v>
      </c>
      <c r="G853" t="s">
        <v>22</v>
      </c>
      <c r="H853" t="s">
        <v>74</v>
      </c>
      <c r="I853">
        <v>4</v>
      </c>
      <c r="J853">
        <v>330.08</v>
      </c>
      <c r="K853">
        <v>0.15</v>
      </c>
      <c r="L853">
        <v>1122.27</v>
      </c>
      <c r="M853">
        <v>908.14</v>
      </c>
      <c r="N853">
        <v>214.13</v>
      </c>
      <c r="O853" t="s">
        <v>33</v>
      </c>
      <c r="P853">
        <v>4</v>
      </c>
    </row>
    <row r="854" spans="1:16" x14ac:dyDescent="0.35">
      <c r="A854" t="s">
        <v>1770</v>
      </c>
      <c r="B854" s="1">
        <v>45537</v>
      </c>
      <c r="C854" t="s">
        <v>1771</v>
      </c>
      <c r="D854" t="s">
        <v>19</v>
      </c>
      <c r="E854" t="s">
        <v>20</v>
      </c>
      <c r="F854" t="s">
        <v>21</v>
      </c>
      <c r="G854" t="s">
        <v>22</v>
      </c>
      <c r="H854" t="s">
        <v>124</v>
      </c>
      <c r="I854">
        <v>11</v>
      </c>
      <c r="J854">
        <v>830.68</v>
      </c>
      <c r="K854">
        <v>0.1</v>
      </c>
      <c r="L854">
        <v>8223.73</v>
      </c>
      <c r="M854">
        <v>4160.8999999999996</v>
      </c>
      <c r="N854">
        <v>4062.83</v>
      </c>
      <c r="O854" t="s">
        <v>24</v>
      </c>
      <c r="P854">
        <v>3</v>
      </c>
    </row>
    <row r="855" spans="1:16" x14ac:dyDescent="0.35">
      <c r="A855" t="s">
        <v>1772</v>
      </c>
      <c r="B855" s="1">
        <v>45530</v>
      </c>
      <c r="C855" t="s">
        <v>1773</v>
      </c>
      <c r="D855" t="s">
        <v>66</v>
      </c>
      <c r="E855" t="s">
        <v>30</v>
      </c>
      <c r="F855" t="s">
        <v>21</v>
      </c>
      <c r="G855" t="s">
        <v>79</v>
      </c>
      <c r="H855" t="s">
        <v>89</v>
      </c>
      <c r="I855">
        <v>4</v>
      </c>
      <c r="J855">
        <v>356.96</v>
      </c>
      <c r="K855">
        <v>0.15</v>
      </c>
      <c r="L855">
        <v>1213.6600000000001</v>
      </c>
      <c r="M855">
        <v>623.83000000000004</v>
      </c>
      <c r="N855">
        <v>589.83000000000004</v>
      </c>
      <c r="O855" t="s">
        <v>33</v>
      </c>
      <c r="P855">
        <v>4</v>
      </c>
    </row>
    <row r="856" spans="1:16" x14ac:dyDescent="0.35">
      <c r="A856" t="s">
        <v>1774</v>
      </c>
      <c r="B856" s="1">
        <v>45522</v>
      </c>
      <c r="C856" t="s">
        <v>1775</v>
      </c>
      <c r="D856" t="s">
        <v>29</v>
      </c>
      <c r="E856" t="s">
        <v>98</v>
      </c>
      <c r="F856" t="s">
        <v>39</v>
      </c>
      <c r="G856" t="s">
        <v>43</v>
      </c>
      <c r="H856" t="s">
        <v>173</v>
      </c>
      <c r="I856">
        <v>8</v>
      </c>
      <c r="J856">
        <v>284.66000000000003</v>
      </c>
      <c r="K856">
        <v>0</v>
      </c>
      <c r="L856">
        <v>2277.2800000000002</v>
      </c>
      <c r="M856">
        <v>1715.01</v>
      </c>
      <c r="N856">
        <v>562.27</v>
      </c>
      <c r="O856" t="s">
        <v>33</v>
      </c>
      <c r="P856">
        <v>4</v>
      </c>
    </row>
    <row r="857" spans="1:16" x14ac:dyDescent="0.35">
      <c r="A857" t="s">
        <v>1776</v>
      </c>
      <c r="B857" s="1">
        <v>45540</v>
      </c>
      <c r="C857" t="s">
        <v>1777</v>
      </c>
      <c r="D857" t="s">
        <v>66</v>
      </c>
      <c r="E857" t="s">
        <v>20</v>
      </c>
      <c r="F857" t="s">
        <v>21</v>
      </c>
      <c r="G857" t="s">
        <v>79</v>
      </c>
      <c r="H857" t="s">
        <v>80</v>
      </c>
      <c r="I857">
        <v>10</v>
      </c>
      <c r="J857">
        <v>468.7</v>
      </c>
      <c r="K857">
        <v>0.15</v>
      </c>
      <c r="L857">
        <v>3983.95</v>
      </c>
      <c r="M857">
        <v>2757.89</v>
      </c>
      <c r="N857">
        <v>1226.06</v>
      </c>
      <c r="O857" t="s">
        <v>24</v>
      </c>
      <c r="P857">
        <v>4</v>
      </c>
    </row>
    <row r="858" spans="1:16" x14ac:dyDescent="0.35">
      <c r="A858" t="s">
        <v>1778</v>
      </c>
      <c r="B858" s="1">
        <v>45473</v>
      </c>
      <c r="C858" t="s">
        <v>1779</v>
      </c>
      <c r="D858" t="s">
        <v>37</v>
      </c>
      <c r="E858" t="s">
        <v>20</v>
      </c>
      <c r="F858" t="s">
        <v>21</v>
      </c>
      <c r="G858" t="s">
        <v>22</v>
      </c>
      <c r="H858" t="s">
        <v>23</v>
      </c>
      <c r="I858">
        <v>2</v>
      </c>
      <c r="J858">
        <v>231.37</v>
      </c>
      <c r="K858">
        <v>0.05</v>
      </c>
      <c r="L858">
        <v>439.6</v>
      </c>
      <c r="M858">
        <v>288.06</v>
      </c>
      <c r="N858">
        <v>151.54</v>
      </c>
      <c r="O858" t="s">
        <v>51</v>
      </c>
      <c r="P858">
        <v>3</v>
      </c>
    </row>
    <row r="859" spans="1:16" x14ac:dyDescent="0.35">
      <c r="A859" t="s">
        <v>1780</v>
      </c>
      <c r="B859" s="1">
        <v>45470</v>
      </c>
      <c r="C859" t="s">
        <v>1781</v>
      </c>
      <c r="D859" t="s">
        <v>66</v>
      </c>
      <c r="E859" t="s">
        <v>85</v>
      </c>
      <c r="F859" t="s">
        <v>31</v>
      </c>
      <c r="G859" t="s">
        <v>43</v>
      </c>
      <c r="H859" t="s">
        <v>50</v>
      </c>
      <c r="I859">
        <v>8</v>
      </c>
      <c r="J859">
        <v>1141.32</v>
      </c>
      <c r="K859">
        <v>0</v>
      </c>
      <c r="L859">
        <v>9130.56</v>
      </c>
      <c r="M859">
        <v>6565.11</v>
      </c>
      <c r="N859">
        <v>2565.4499999999998</v>
      </c>
      <c r="O859" t="s">
        <v>62</v>
      </c>
      <c r="P859">
        <v>2</v>
      </c>
    </row>
    <row r="860" spans="1:16" x14ac:dyDescent="0.35">
      <c r="A860" t="s">
        <v>1782</v>
      </c>
      <c r="B860" s="1">
        <v>45418</v>
      </c>
      <c r="C860" t="s">
        <v>1783</v>
      </c>
      <c r="D860" t="s">
        <v>37</v>
      </c>
      <c r="E860" t="s">
        <v>38</v>
      </c>
      <c r="F860" t="s">
        <v>39</v>
      </c>
      <c r="G860" t="s">
        <v>22</v>
      </c>
      <c r="H860" t="s">
        <v>23</v>
      </c>
      <c r="I860">
        <v>3</v>
      </c>
      <c r="J860">
        <v>409.13</v>
      </c>
      <c r="K860">
        <v>0.05</v>
      </c>
      <c r="L860">
        <v>1166.02</v>
      </c>
      <c r="M860">
        <v>659.1</v>
      </c>
      <c r="N860">
        <v>506.92</v>
      </c>
      <c r="O860" t="s">
        <v>33</v>
      </c>
      <c r="P860">
        <v>1</v>
      </c>
    </row>
    <row r="861" spans="1:16" x14ac:dyDescent="0.35">
      <c r="A861" t="s">
        <v>1784</v>
      </c>
      <c r="B861" s="1">
        <v>45315</v>
      </c>
      <c r="C861" t="s">
        <v>1785</v>
      </c>
      <c r="D861" t="s">
        <v>66</v>
      </c>
      <c r="E861" t="s">
        <v>30</v>
      </c>
      <c r="F861" t="s">
        <v>39</v>
      </c>
      <c r="G861" t="s">
        <v>22</v>
      </c>
      <c r="H861" t="s">
        <v>124</v>
      </c>
      <c r="I861">
        <v>5</v>
      </c>
      <c r="J861">
        <v>659.15</v>
      </c>
      <c r="K861">
        <v>0.05</v>
      </c>
      <c r="L861">
        <v>3130.96</v>
      </c>
      <c r="M861">
        <v>1991.86</v>
      </c>
      <c r="N861">
        <v>1139.0999999999999</v>
      </c>
      <c r="O861" t="s">
        <v>62</v>
      </c>
      <c r="P861">
        <v>1</v>
      </c>
    </row>
    <row r="862" spans="1:16" x14ac:dyDescent="0.35">
      <c r="A862" t="s">
        <v>1786</v>
      </c>
      <c r="B862" s="1">
        <v>45648</v>
      </c>
      <c r="C862" t="s">
        <v>1787</v>
      </c>
      <c r="D862" t="s">
        <v>37</v>
      </c>
      <c r="E862" t="s">
        <v>98</v>
      </c>
      <c r="F862" t="s">
        <v>21</v>
      </c>
      <c r="G862" t="s">
        <v>43</v>
      </c>
      <c r="H862" t="s">
        <v>50</v>
      </c>
      <c r="I862">
        <v>5</v>
      </c>
      <c r="J862">
        <v>1120.57</v>
      </c>
      <c r="K862">
        <v>0</v>
      </c>
      <c r="L862">
        <v>5602.85</v>
      </c>
      <c r="M862">
        <v>4509.4799999999996</v>
      </c>
      <c r="N862">
        <v>1093.3699999999999</v>
      </c>
      <c r="O862" t="s">
        <v>33</v>
      </c>
      <c r="P862">
        <v>3</v>
      </c>
    </row>
    <row r="863" spans="1:16" x14ac:dyDescent="0.35">
      <c r="A863" t="s">
        <v>1788</v>
      </c>
      <c r="B863" s="1">
        <v>45578</v>
      </c>
      <c r="C863" t="s">
        <v>1789</v>
      </c>
      <c r="D863" t="s">
        <v>37</v>
      </c>
      <c r="E863" t="s">
        <v>38</v>
      </c>
      <c r="F863" t="s">
        <v>21</v>
      </c>
      <c r="G863" t="s">
        <v>43</v>
      </c>
      <c r="H863" t="s">
        <v>44</v>
      </c>
      <c r="I863">
        <v>1</v>
      </c>
      <c r="J863">
        <v>71.75</v>
      </c>
      <c r="K863">
        <v>0.05</v>
      </c>
      <c r="L863">
        <v>68.16</v>
      </c>
      <c r="M863">
        <v>44.01</v>
      </c>
      <c r="N863">
        <v>24.15</v>
      </c>
      <c r="O863" t="s">
        <v>33</v>
      </c>
      <c r="P863">
        <v>4</v>
      </c>
    </row>
    <row r="864" spans="1:16" x14ac:dyDescent="0.35">
      <c r="A864" t="s">
        <v>1790</v>
      </c>
      <c r="B864" s="1">
        <v>45408</v>
      </c>
      <c r="C864" t="s">
        <v>1791</v>
      </c>
      <c r="D864" t="s">
        <v>29</v>
      </c>
      <c r="E864" t="s">
        <v>98</v>
      </c>
      <c r="F864" t="s">
        <v>31</v>
      </c>
      <c r="G864" t="s">
        <v>43</v>
      </c>
      <c r="H864" t="s">
        <v>173</v>
      </c>
      <c r="I864">
        <v>1</v>
      </c>
      <c r="J864">
        <v>762.42</v>
      </c>
      <c r="K864">
        <v>0.15</v>
      </c>
      <c r="L864">
        <v>648.05999999999995</v>
      </c>
      <c r="M864">
        <v>409.48</v>
      </c>
      <c r="N864">
        <v>238.58</v>
      </c>
      <c r="O864" t="s">
        <v>33</v>
      </c>
      <c r="P864">
        <v>3</v>
      </c>
    </row>
    <row r="865" spans="1:16" x14ac:dyDescent="0.35">
      <c r="A865" t="s">
        <v>1792</v>
      </c>
      <c r="B865" s="1">
        <v>45570</v>
      </c>
      <c r="C865" t="s">
        <v>1793</v>
      </c>
      <c r="D865" t="s">
        <v>19</v>
      </c>
      <c r="E865" t="s">
        <v>85</v>
      </c>
      <c r="F865" t="s">
        <v>31</v>
      </c>
      <c r="G865" t="s">
        <v>60</v>
      </c>
      <c r="H865" t="s">
        <v>110</v>
      </c>
      <c r="I865">
        <v>12</v>
      </c>
      <c r="J865">
        <v>1059.67</v>
      </c>
      <c r="K865">
        <v>0.1</v>
      </c>
      <c r="L865">
        <v>11444.44</v>
      </c>
      <c r="M865">
        <v>6289.63</v>
      </c>
      <c r="N865">
        <v>5154.8100000000004</v>
      </c>
      <c r="O865" t="s">
        <v>24</v>
      </c>
      <c r="P865">
        <v>3</v>
      </c>
    </row>
    <row r="866" spans="1:16" x14ac:dyDescent="0.35">
      <c r="A866" t="s">
        <v>1794</v>
      </c>
      <c r="B866" s="1">
        <v>45566</v>
      </c>
      <c r="C866" t="s">
        <v>1795</v>
      </c>
      <c r="D866" t="s">
        <v>29</v>
      </c>
      <c r="E866" t="s">
        <v>98</v>
      </c>
      <c r="F866" t="s">
        <v>39</v>
      </c>
      <c r="G866" t="s">
        <v>22</v>
      </c>
      <c r="H866" t="s">
        <v>23</v>
      </c>
      <c r="I866">
        <v>6</v>
      </c>
      <c r="J866">
        <v>218.2</v>
      </c>
      <c r="K866">
        <v>0</v>
      </c>
      <c r="L866">
        <v>1309.2</v>
      </c>
      <c r="M866">
        <v>887.65</v>
      </c>
      <c r="N866">
        <v>421.55</v>
      </c>
      <c r="O866" t="s">
        <v>33</v>
      </c>
      <c r="P866">
        <v>1</v>
      </c>
    </row>
    <row r="867" spans="1:16" x14ac:dyDescent="0.35">
      <c r="A867" t="s">
        <v>1796</v>
      </c>
      <c r="B867" s="1">
        <v>45652</v>
      </c>
      <c r="C867" t="s">
        <v>1797</v>
      </c>
      <c r="D867" t="s">
        <v>37</v>
      </c>
      <c r="E867" t="s">
        <v>20</v>
      </c>
      <c r="F867" t="s">
        <v>31</v>
      </c>
      <c r="G867" t="s">
        <v>79</v>
      </c>
      <c r="H867" t="s">
        <v>103</v>
      </c>
      <c r="I867">
        <v>2</v>
      </c>
      <c r="J867">
        <v>734.88</v>
      </c>
      <c r="K867">
        <v>0.15</v>
      </c>
      <c r="L867">
        <v>1249.3</v>
      </c>
      <c r="M867">
        <v>970.53</v>
      </c>
      <c r="N867">
        <v>278.77</v>
      </c>
      <c r="O867" t="s">
        <v>33</v>
      </c>
      <c r="P867">
        <v>3</v>
      </c>
    </row>
    <row r="868" spans="1:16" x14ac:dyDescent="0.35">
      <c r="A868" t="s">
        <v>1798</v>
      </c>
      <c r="B868" s="1">
        <v>45407</v>
      </c>
      <c r="C868" t="s">
        <v>1799</v>
      </c>
      <c r="D868" t="s">
        <v>19</v>
      </c>
      <c r="E868" t="s">
        <v>30</v>
      </c>
      <c r="F868" t="s">
        <v>21</v>
      </c>
      <c r="G868" t="s">
        <v>22</v>
      </c>
      <c r="H868" t="s">
        <v>32</v>
      </c>
      <c r="I868">
        <v>10</v>
      </c>
      <c r="J868">
        <v>380.89</v>
      </c>
      <c r="K868">
        <v>0.05</v>
      </c>
      <c r="L868">
        <v>3618.45</v>
      </c>
      <c r="M868">
        <v>2965.04</v>
      </c>
      <c r="N868">
        <v>653.41</v>
      </c>
      <c r="O868" t="s">
        <v>51</v>
      </c>
      <c r="P868">
        <v>5</v>
      </c>
    </row>
    <row r="869" spans="1:16" x14ac:dyDescent="0.35">
      <c r="A869" t="s">
        <v>1800</v>
      </c>
      <c r="B869" s="1">
        <v>45620</v>
      </c>
      <c r="C869" t="s">
        <v>1801</v>
      </c>
      <c r="D869" t="s">
        <v>66</v>
      </c>
      <c r="E869" t="s">
        <v>20</v>
      </c>
      <c r="F869" t="s">
        <v>31</v>
      </c>
      <c r="G869" t="s">
        <v>79</v>
      </c>
      <c r="H869" t="s">
        <v>80</v>
      </c>
      <c r="I869">
        <v>10</v>
      </c>
      <c r="J869">
        <v>970.75</v>
      </c>
      <c r="K869">
        <v>0</v>
      </c>
      <c r="L869">
        <v>9707.5</v>
      </c>
      <c r="M869">
        <v>5451.31</v>
      </c>
      <c r="N869">
        <v>4256.1899999999996</v>
      </c>
      <c r="O869" t="s">
        <v>24</v>
      </c>
      <c r="P869">
        <v>5</v>
      </c>
    </row>
    <row r="870" spans="1:16" x14ac:dyDescent="0.35">
      <c r="A870" t="s">
        <v>1802</v>
      </c>
      <c r="B870" s="1">
        <v>45462</v>
      </c>
      <c r="C870" t="s">
        <v>1803</v>
      </c>
      <c r="D870" t="s">
        <v>37</v>
      </c>
      <c r="E870" t="s">
        <v>85</v>
      </c>
      <c r="F870" t="s">
        <v>31</v>
      </c>
      <c r="G870" t="s">
        <v>60</v>
      </c>
      <c r="H870" t="s">
        <v>119</v>
      </c>
      <c r="I870">
        <v>4</v>
      </c>
      <c r="J870">
        <v>297.58999999999997</v>
      </c>
      <c r="K870">
        <v>0.15</v>
      </c>
      <c r="L870">
        <v>1011.81</v>
      </c>
      <c r="M870">
        <v>716.79</v>
      </c>
      <c r="N870">
        <v>295.02</v>
      </c>
      <c r="O870" t="s">
        <v>33</v>
      </c>
      <c r="P870">
        <v>5</v>
      </c>
    </row>
    <row r="871" spans="1:16" x14ac:dyDescent="0.35">
      <c r="A871" t="s">
        <v>1804</v>
      </c>
      <c r="B871" s="1">
        <v>45378</v>
      </c>
      <c r="C871" t="s">
        <v>1805</v>
      </c>
      <c r="D871" t="s">
        <v>29</v>
      </c>
      <c r="E871" t="s">
        <v>98</v>
      </c>
      <c r="F871" t="s">
        <v>21</v>
      </c>
      <c r="G871" t="s">
        <v>79</v>
      </c>
      <c r="H871" t="s">
        <v>89</v>
      </c>
      <c r="I871">
        <v>9</v>
      </c>
      <c r="J871">
        <v>350.6</v>
      </c>
      <c r="K871">
        <v>0</v>
      </c>
      <c r="L871">
        <v>3155.4</v>
      </c>
      <c r="M871">
        <v>1882.66</v>
      </c>
      <c r="N871">
        <v>1272.74</v>
      </c>
      <c r="O871" t="s">
        <v>51</v>
      </c>
      <c r="P871">
        <v>4</v>
      </c>
    </row>
    <row r="872" spans="1:16" x14ac:dyDescent="0.35">
      <c r="A872" t="s">
        <v>1806</v>
      </c>
      <c r="B872" s="1">
        <v>45503</v>
      </c>
      <c r="C872" t="s">
        <v>1807</v>
      </c>
      <c r="D872" t="s">
        <v>37</v>
      </c>
      <c r="E872" t="s">
        <v>20</v>
      </c>
      <c r="F872" t="s">
        <v>21</v>
      </c>
      <c r="G872" t="s">
        <v>22</v>
      </c>
      <c r="H872" t="s">
        <v>32</v>
      </c>
      <c r="I872">
        <v>2</v>
      </c>
      <c r="J872">
        <v>578.94000000000005</v>
      </c>
      <c r="K872">
        <v>0.05</v>
      </c>
      <c r="L872">
        <v>1099.99</v>
      </c>
      <c r="M872">
        <v>671.18</v>
      </c>
      <c r="N872">
        <v>428.81</v>
      </c>
      <c r="O872" t="s">
        <v>24</v>
      </c>
      <c r="P872">
        <v>1</v>
      </c>
    </row>
    <row r="873" spans="1:16" x14ac:dyDescent="0.35">
      <c r="A873" t="s">
        <v>1808</v>
      </c>
      <c r="B873" s="1">
        <v>45506</v>
      </c>
      <c r="C873" t="s">
        <v>1809</v>
      </c>
      <c r="D873" t="s">
        <v>29</v>
      </c>
      <c r="E873" t="s">
        <v>85</v>
      </c>
      <c r="F873" t="s">
        <v>39</v>
      </c>
      <c r="G873" t="s">
        <v>79</v>
      </c>
      <c r="H873" t="s">
        <v>80</v>
      </c>
      <c r="I873">
        <v>1</v>
      </c>
      <c r="J873">
        <v>787.8</v>
      </c>
      <c r="K873">
        <v>0.05</v>
      </c>
      <c r="L873">
        <v>748.41</v>
      </c>
      <c r="M873">
        <v>539.09</v>
      </c>
      <c r="N873">
        <v>209.32</v>
      </c>
      <c r="O873" t="s">
        <v>51</v>
      </c>
      <c r="P873">
        <v>3</v>
      </c>
    </row>
    <row r="874" spans="1:16" x14ac:dyDescent="0.35">
      <c r="A874" t="s">
        <v>1810</v>
      </c>
      <c r="B874" s="1">
        <v>45606</v>
      </c>
      <c r="C874" t="s">
        <v>1811</v>
      </c>
      <c r="D874" t="s">
        <v>29</v>
      </c>
      <c r="E874" t="s">
        <v>98</v>
      </c>
      <c r="F874" t="s">
        <v>39</v>
      </c>
      <c r="G874" t="s">
        <v>22</v>
      </c>
      <c r="H874" t="s">
        <v>23</v>
      </c>
      <c r="I874">
        <v>9</v>
      </c>
      <c r="J874">
        <v>197.14</v>
      </c>
      <c r="K874">
        <v>0.1</v>
      </c>
      <c r="L874">
        <v>1596.83</v>
      </c>
      <c r="M874">
        <v>1251.8499999999999</v>
      </c>
      <c r="N874">
        <v>344.98</v>
      </c>
      <c r="O874" t="s">
        <v>62</v>
      </c>
      <c r="P874">
        <v>1</v>
      </c>
    </row>
    <row r="875" spans="1:16" x14ac:dyDescent="0.35">
      <c r="A875" t="s">
        <v>1812</v>
      </c>
      <c r="B875" s="1">
        <v>45447</v>
      </c>
      <c r="C875" t="s">
        <v>1813</v>
      </c>
      <c r="D875" t="s">
        <v>49</v>
      </c>
      <c r="E875" t="s">
        <v>38</v>
      </c>
      <c r="F875" t="s">
        <v>31</v>
      </c>
      <c r="G875" t="s">
        <v>60</v>
      </c>
      <c r="H875" t="s">
        <v>61</v>
      </c>
      <c r="I875">
        <v>10</v>
      </c>
      <c r="J875">
        <v>1069.98</v>
      </c>
      <c r="K875">
        <v>0</v>
      </c>
      <c r="L875">
        <v>10699.8</v>
      </c>
      <c r="M875">
        <v>7911.24</v>
      </c>
      <c r="N875">
        <v>2788.56</v>
      </c>
      <c r="O875" t="s">
        <v>51</v>
      </c>
      <c r="P875">
        <v>3</v>
      </c>
    </row>
    <row r="876" spans="1:16" x14ac:dyDescent="0.35">
      <c r="A876" t="s">
        <v>1814</v>
      </c>
      <c r="B876" s="1">
        <v>45293</v>
      </c>
      <c r="C876" t="s">
        <v>1815</v>
      </c>
      <c r="D876" t="s">
        <v>37</v>
      </c>
      <c r="E876" t="s">
        <v>30</v>
      </c>
      <c r="F876" t="s">
        <v>39</v>
      </c>
      <c r="G876" t="s">
        <v>60</v>
      </c>
      <c r="H876" t="s">
        <v>110</v>
      </c>
      <c r="I876">
        <v>3</v>
      </c>
      <c r="J876">
        <v>752.84</v>
      </c>
      <c r="K876">
        <v>0.15</v>
      </c>
      <c r="L876">
        <v>1919.74</v>
      </c>
      <c r="M876">
        <v>1534.24</v>
      </c>
      <c r="N876">
        <v>385.5</v>
      </c>
      <c r="O876" t="s">
        <v>33</v>
      </c>
      <c r="P876">
        <v>4</v>
      </c>
    </row>
    <row r="877" spans="1:16" x14ac:dyDescent="0.35">
      <c r="A877" t="s">
        <v>1816</v>
      </c>
      <c r="B877" s="1">
        <v>45296</v>
      </c>
      <c r="C877" t="s">
        <v>1817</v>
      </c>
      <c r="D877" t="s">
        <v>37</v>
      </c>
      <c r="E877" t="s">
        <v>30</v>
      </c>
      <c r="F877" t="s">
        <v>31</v>
      </c>
      <c r="G877" t="s">
        <v>79</v>
      </c>
      <c r="H877" t="s">
        <v>89</v>
      </c>
      <c r="I877">
        <v>6</v>
      </c>
      <c r="J877">
        <v>444.27</v>
      </c>
      <c r="K877">
        <v>0.15</v>
      </c>
      <c r="L877">
        <v>2265.7800000000002</v>
      </c>
      <c r="M877">
        <v>1707.08</v>
      </c>
      <c r="N877">
        <v>558.70000000000005</v>
      </c>
      <c r="O877" t="s">
        <v>62</v>
      </c>
      <c r="P877">
        <v>1</v>
      </c>
    </row>
    <row r="878" spans="1:16" x14ac:dyDescent="0.35">
      <c r="A878" t="s">
        <v>1818</v>
      </c>
      <c r="B878" s="1">
        <v>45313</v>
      </c>
      <c r="C878" t="s">
        <v>1819</v>
      </c>
      <c r="D878" t="s">
        <v>66</v>
      </c>
      <c r="E878" t="s">
        <v>98</v>
      </c>
      <c r="F878" t="s">
        <v>39</v>
      </c>
      <c r="G878" t="s">
        <v>43</v>
      </c>
      <c r="H878" t="s">
        <v>44</v>
      </c>
      <c r="I878">
        <v>10</v>
      </c>
      <c r="J878">
        <v>1171.31</v>
      </c>
      <c r="K878">
        <v>0.15</v>
      </c>
      <c r="L878">
        <v>9956.1299999999992</v>
      </c>
      <c r="M878">
        <v>5858.72</v>
      </c>
      <c r="N878">
        <v>4097.41</v>
      </c>
      <c r="O878" t="s">
        <v>62</v>
      </c>
      <c r="P878">
        <v>1</v>
      </c>
    </row>
    <row r="879" spans="1:16" x14ac:dyDescent="0.35">
      <c r="A879" t="s">
        <v>1820</v>
      </c>
      <c r="B879" s="1">
        <v>45637</v>
      </c>
      <c r="C879" t="s">
        <v>1821</v>
      </c>
      <c r="D879" t="s">
        <v>49</v>
      </c>
      <c r="E879" t="s">
        <v>30</v>
      </c>
      <c r="F879" t="s">
        <v>21</v>
      </c>
      <c r="G879" t="s">
        <v>79</v>
      </c>
      <c r="H879" t="s">
        <v>80</v>
      </c>
      <c r="I879">
        <v>10</v>
      </c>
      <c r="J879">
        <v>242.28</v>
      </c>
      <c r="K879">
        <v>0</v>
      </c>
      <c r="L879">
        <v>2422.8000000000002</v>
      </c>
      <c r="M879">
        <v>1415.31</v>
      </c>
      <c r="N879">
        <v>1007.49</v>
      </c>
      <c r="O879" t="s">
        <v>62</v>
      </c>
      <c r="P879">
        <v>4</v>
      </c>
    </row>
    <row r="880" spans="1:16" x14ac:dyDescent="0.35">
      <c r="A880" t="s">
        <v>1822</v>
      </c>
      <c r="B880" s="1">
        <v>45525</v>
      </c>
      <c r="C880" t="s">
        <v>1823</v>
      </c>
      <c r="D880" t="s">
        <v>49</v>
      </c>
      <c r="E880" t="s">
        <v>38</v>
      </c>
      <c r="F880" t="s">
        <v>39</v>
      </c>
      <c r="G880" t="s">
        <v>22</v>
      </c>
      <c r="H880" t="s">
        <v>23</v>
      </c>
      <c r="I880">
        <v>5</v>
      </c>
      <c r="J880">
        <v>545.45000000000005</v>
      </c>
      <c r="K880">
        <v>0.15</v>
      </c>
      <c r="L880">
        <v>2318.16</v>
      </c>
      <c r="M880">
        <v>1366.47</v>
      </c>
      <c r="N880">
        <v>951.69</v>
      </c>
      <c r="O880" t="s">
        <v>33</v>
      </c>
      <c r="P880">
        <v>4</v>
      </c>
    </row>
    <row r="881" spans="1:16" x14ac:dyDescent="0.35">
      <c r="A881" t="s">
        <v>1824</v>
      </c>
      <c r="B881" s="1">
        <v>45493</v>
      </c>
      <c r="C881" t="s">
        <v>1825</v>
      </c>
      <c r="D881" t="s">
        <v>29</v>
      </c>
      <c r="E881" t="s">
        <v>20</v>
      </c>
      <c r="F881" t="s">
        <v>31</v>
      </c>
      <c r="G881" t="s">
        <v>43</v>
      </c>
      <c r="H881" t="s">
        <v>44</v>
      </c>
      <c r="I881">
        <v>12</v>
      </c>
      <c r="J881">
        <v>300.58</v>
      </c>
      <c r="K881">
        <v>0</v>
      </c>
      <c r="L881">
        <v>3606.96</v>
      </c>
      <c r="M881">
        <v>2316.9499999999998</v>
      </c>
      <c r="N881">
        <v>1290.01</v>
      </c>
      <c r="O881" t="s">
        <v>24</v>
      </c>
      <c r="P881">
        <v>2</v>
      </c>
    </row>
    <row r="882" spans="1:16" x14ac:dyDescent="0.35">
      <c r="A882" t="s">
        <v>1826</v>
      </c>
      <c r="B882" s="1">
        <v>45622</v>
      </c>
      <c r="C882" t="s">
        <v>1827</v>
      </c>
      <c r="D882" t="s">
        <v>37</v>
      </c>
      <c r="E882" t="s">
        <v>30</v>
      </c>
      <c r="F882" t="s">
        <v>39</v>
      </c>
      <c r="G882" t="s">
        <v>60</v>
      </c>
      <c r="H882" t="s">
        <v>119</v>
      </c>
      <c r="I882">
        <v>10</v>
      </c>
      <c r="J882">
        <v>569.63</v>
      </c>
      <c r="K882">
        <v>0.1</v>
      </c>
      <c r="L882">
        <v>5126.67</v>
      </c>
      <c r="M882">
        <v>3821.21</v>
      </c>
      <c r="N882">
        <v>1305.46</v>
      </c>
      <c r="O882" t="s">
        <v>24</v>
      </c>
      <c r="P882">
        <v>4</v>
      </c>
    </row>
    <row r="883" spans="1:16" x14ac:dyDescent="0.35">
      <c r="A883" t="s">
        <v>1828</v>
      </c>
      <c r="B883" s="1">
        <v>45497</v>
      </c>
      <c r="C883" t="s">
        <v>1829</v>
      </c>
      <c r="D883" t="s">
        <v>66</v>
      </c>
      <c r="E883" t="s">
        <v>85</v>
      </c>
      <c r="F883" t="s">
        <v>31</v>
      </c>
      <c r="G883" t="s">
        <v>60</v>
      </c>
      <c r="H883" t="s">
        <v>110</v>
      </c>
      <c r="I883">
        <v>7</v>
      </c>
      <c r="J883">
        <v>714.43</v>
      </c>
      <c r="K883">
        <v>0.1</v>
      </c>
      <c r="L883">
        <v>4500.91</v>
      </c>
      <c r="M883">
        <v>3094.07</v>
      </c>
      <c r="N883">
        <v>1406.84</v>
      </c>
      <c r="O883" t="s">
        <v>62</v>
      </c>
      <c r="P883">
        <v>2</v>
      </c>
    </row>
    <row r="884" spans="1:16" x14ac:dyDescent="0.35">
      <c r="A884" t="s">
        <v>1830</v>
      </c>
      <c r="B884" s="1">
        <v>45331</v>
      </c>
      <c r="C884" t="s">
        <v>1831</v>
      </c>
      <c r="D884" t="s">
        <v>19</v>
      </c>
      <c r="E884" t="s">
        <v>85</v>
      </c>
      <c r="F884" t="s">
        <v>39</v>
      </c>
      <c r="G884" t="s">
        <v>79</v>
      </c>
      <c r="H884" t="s">
        <v>89</v>
      </c>
      <c r="I884">
        <v>7</v>
      </c>
      <c r="J884">
        <v>591.08000000000004</v>
      </c>
      <c r="K884">
        <v>0.1</v>
      </c>
      <c r="L884">
        <v>3723.8</v>
      </c>
      <c r="M884">
        <v>3102.9</v>
      </c>
      <c r="N884">
        <v>620.9</v>
      </c>
      <c r="O884" t="s">
        <v>62</v>
      </c>
      <c r="P884">
        <v>2</v>
      </c>
    </row>
    <row r="885" spans="1:16" x14ac:dyDescent="0.35">
      <c r="A885" t="s">
        <v>1832</v>
      </c>
      <c r="B885" s="1">
        <v>45349</v>
      </c>
      <c r="C885" t="s">
        <v>1833</v>
      </c>
      <c r="D885" t="s">
        <v>37</v>
      </c>
      <c r="E885" t="s">
        <v>20</v>
      </c>
      <c r="F885" t="s">
        <v>39</v>
      </c>
      <c r="G885" t="s">
        <v>60</v>
      </c>
      <c r="H885" t="s">
        <v>110</v>
      </c>
      <c r="I885">
        <v>3</v>
      </c>
      <c r="J885">
        <v>12.49</v>
      </c>
      <c r="K885">
        <v>0.15</v>
      </c>
      <c r="L885">
        <v>31.85</v>
      </c>
      <c r="M885">
        <v>17.27</v>
      </c>
      <c r="N885">
        <v>14.58</v>
      </c>
      <c r="O885" t="s">
        <v>24</v>
      </c>
      <c r="P885">
        <v>3</v>
      </c>
    </row>
    <row r="886" spans="1:16" x14ac:dyDescent="0.35">
      <c r="A886" t="s">
        <v>1834</v>
      </c>
      <c r="B886" s="1">
        <v>45573</v>
      </c>
      <c r="C886" t="s">
        <v>1835</v>
      </c>
      <c r="D886" t="s">
        <v>37</v>
      </c>
      <c r="E886" t="s">
        <v>98</v>
      </c>
      <c r="F886" t="s">
        <v>21</v>
      </c>
      <c r="G886" t="s">
        <v>60</v>
      </c>
      <c r="H886" t="s">
        <v>61</v>
      </c>
      <c r="I886">
        <v>5</v>
      </c>
      <c r="J886">
        <v>584.96</v>
      </c>
      <c r="K886">
        <v>0.1</v>
      </c>
      <c r="L886">
        <v>2632.32</v>
      </c>
      <c r="M886">
        <v>1922.78</v>
      </c>
      <c r="N886">
        <v>709.54</v>
      </c>
      <c r="O886" t="s">
        <v>51</v>
      </c>
      <c r="P886">
        <v>2</v>
      </c>
    </row>
    <row r="887" spans="1:16" x14ac:dyDescent="0.35">
      <c r="A887" t="s">
        <v>1836</v>
      </c>
      <c r="B887" s="1">
        <v>45467</v>
      </c>
      <c r="C887" t="s">
        <v>1837</v>
      </c>
      <c r="D887" t="s">
        <v>37</v>
      </c>
      <c r="E887" t="s">
        <v>38</v>
      </c>
      <c r="F887" t="s">
        <v>39</v>
      </c>
      <c r="G887" t="s">
        <v>60</v>
      </c>
      <c r="H887" t="s">
        <v>119</v>
      </c>
      <c r="I887">
        <v>12</v>
      </c>
      <c r="J887">
        <v>38.58</v>
      </c>
      <c r="K887">
        <v>0.15</v>
      </c>
      <c r="L887">
        <v>393.52</v>
      </c>
      <c r="M887">
        <v>317.29000000000002</v>
      </c>
      <c r="N887">
        <v>76.23</v>
      </c>
      <c r="O887" t="s">
        <v>33</v>
      </c>
      <c r="P887">
        <v>4</v>
      </c>
    </row>
    <row r="888" spans="1:16" x14ac:dyDescent="0.35">
      <c r="A888" t="s">
        <v>1838</v>
      </c>
      <c r="B888" s="1">
        <v>45550</v>
      </c>
      <c r="C888" t="s">
        <v>1839</v>
      </c>
      <c r="D888" t="s">
        <v>37</v>
      </c>
      <c r="E888" t="s">
        <v>85</v>
      </c>
      <c r="F888" t="s">
        <v>39</v>
      </c>
      <c r="G888" t="s">
        <v>60</v>
      </c>
      <c r="H888" t="s">
        <v>110</v>
      </c>
      <c r="I888">
        <v>11</v>
      </c>
      <c r="J888">
        <v>213.05</v>
      </c>
      <c r="K888">
        <v>0.15</v>
      </c>
      <c r="L888">
        <v>1992.02</v>
      </c>
      <c r="M888">
        <v>1411.87</v>
      </c>
      <c r="N888">
        <v>580.15</v>
      </c>
      <c r="O888" t="s">
        <v>51</v>
      </c>
      <c r="P888">
        <v>5</v>
      </c>
    </row>
    <row r="889" spans="1:16" x14ac:dyDescent="0.35">
      <c r="A889" t="s">
        <v>1840</v>
      </c>
      <c r="B889" s="1">
        <v>45468</v>
      </c>
      <c r="C889" t="s">
        <v>1841</v>
      </c>
      <c r="D889" t="s">
        <v>49</v>
      </c>
      <c r="E889" t="s">
        <v>98</v>
      </c>
      <c r="F889" t="s">
        <v>31</v>
      </c>
      <c r="G889" t="s">
        <v>43</v>
      </c>
      <c r="H889" t="s">
        <v>173</v>
      </c>
      <c r="I889">
        <v>5</v>
      </c>
      <c r="J889">
        <v>432.05</v>
      </c>
      <c r="K889">
        <v>0</v>
      </c>
      <c r="L889">
        <v>2160.25</v>
      </c>
      <c r="M889">
        <v>1727.6</v>
      </c>
      <c r="N889">
        <v>432.65</v>
      </c>
      <c r="O889" t="s">
        <v>24</v>
      </c>
      <c r="P889">
        <v>1</v>
      </c>
    </row>
    <row r="890" spans="1:16" x14ac:dyDescent="0.35">
      <c r="A890" t="s">
        <v>1842</v>
      </c>
      <c r="B890" s="1">
        <v>45472</v>
      </c>
      <c r="C890" t="s">
        <v>1843</v>
      </c>
      <c r="D890" t="s">
        <v>49</v>
      </c>
      <c r="E890" t="s">
        <v>38</v>
      </c>
      <c r="F890" t="s">
        <v>31</v>
      </c>
      <c r="G890" t="s">
        <v>60</v>
      </c>
      <c r="H890" t="s">
        <v>119</v>
      </c>
      <c r="I890">
        <v>2</v>
      </c>
      <c r="J890">
        <v>744.64</v>
      </c>
      <c r="K890">
        <v>0.15</v>
      </c>
      <c r="L890">
        <v>1265.8900000000001</v>
      </c>
      <c r="M890">
        <v>921.12</v>
      </c>
      <c r="N890">
        <v>344.77</v>
      </c>
      <c r="O890" t="s">
        <v>62</v>
      </c>
      <c r="P890">
        <v>1</v>
      </c>
    </row>
    <row r="891" spans="1:16" x14ac:dyDescent="0.35">
      <c r="A891" t="s">
        <v>1844</v>
      </c>
      <c r="B891" s="1">
        <v>45448</v>
      </c>
      <c r="C891" t="s">
        <v>1845</v>
      </c>
      <c r="D891" t="s">
        <v>37</v>
      </c>
      <c r="E891" t="s">
        <v>38</v>
      </c>
      <c r="F891" t="s">
        <v>39</v>
      </c>
      <c r="G891" t="s">
        <v>22</v>
      </c>
      <c r="H891" t="s">
        <v>124</v>
      </c>
      <c r="I891">
        <v>6</v>
      </c>
      <c r="J891">
        <v>351.21</v>
      </c>
      <c r="K891">
        <v>0.15</v>
      </c>
      <c r="L891">
        <v>1791.17</v>
      </c>
      <c r="M891">
        <v>1161.8</v>
      </c>
      <c r="N891">
        <v>629.37</v>
      </c>
      <c r="O891" t="s">
        <v>33</v>
      </c>
      <c r="P891">
        <v>2</v>
      </c>
    </row>
    <row r="892" spans="1:16" x14ac:dyDescent="0.35">
      <c r="A892" t="s">
        <v>1846</v>
      </c>
      <c r="B892" s="1">
        <v>45293</v>
      </c>
      <c r="C892" t="s">
        <v>1847</v>
      </c>
      <c r="D892" t="s">
        <v>19</v>
      </c>
      <c r="E892" t="s">
        <v>85</v>
      </c>
      <c r="F892" t="s">
        <v>39</v>
      </c>
      <c r="G892" t="s">
        <v>43</v>
      </c>
      <c r="H892" t="s">
        <v>173</v>
      </c>
      <c r="I892">
        <v>1</v>
      </c>
      <c r="J892">
        <v>899.39</v>
      </c>
      <c r="K892">
        <v>0.05</v>
      </c>
      <c r="L892">
        <v>854.42</v>
      </c>
      <c r="M892">
        <v>592.88</v>
      </c>
      <c r="N892">
        <v>261.54000000000002</v>
      </c>
      <c r="O892" t="s">
        <v>33</v>
      </c>
      <c r="P892">
        <v>5</v>
      </c>
    </row>
    <row r="893" spans="1:16" x14ac:dyDescent="0.35">
      <c r="A893" t="s">
        <v>1848</v>
      </c>
      <c r="B893" s="1">
        <v>45534</v>
      </c>
      <c r="C893" t="s">
        <v>1849</v>
      </c>
      <c r="D893" t="s">
        <v>19</v>
      </c>
      <c r="E893" t="s">
        <v>85</v>
      </c>
      <c r="F893" t="s">
        <v>21</v>
      </c>
      <c r="G893" t="s">
        <v>22</v>
      </c>
      <c r="H893" t="s">
        <v>32</v>
      </c>
      <c r="I893">
        <v>5</v>
      </c>
      <c r="J893">
        <v>880.83</v>
      </c>
      <c r="K893">
        <v>0.1</v>
      </c>
      <c r="L893">
        <v>3963.74</v>
      </c>
      <c r="M893">
        <v>2803.95</v>
      </c>
      <c r="N893">
        <v>1159.79</v>
      </c>
      <c r="O893" t="s">
        <v>24</v>
      </c>
      <c r="P893">
        <v>5</v>
      </c>
    </row>
    <row r="894" spans="1:16" x14ac:dyDescent="0.35">
      <c r="A894" t="s">
        <v>1850</v>
      </c>
      <c r="B894" s="1">
        <v>45611</v>
      </c>
      <c r="C894" t="s">
        <v>1851</v>
      </c>
      <c r="D894" t="s">
        <v>66</v>
      </c>
      <c r="E894" t="s">
        <v>85</v>
      </c>
      <c r="F894" t="s">
        <v>31</v>
      </c>
      <c r="G894" t="s">
        <v>60</v>
      </c>
      <c r="H894" t="s">
        <v>61</v>
      </c>
      <c r="I894">
        <v>9</v>
      </c>
      <c r="J894">
        <v>925.91</v>
      </c>
      <c r="K894">
        <v>0.15</v>
      </c>
      <c r="L894">
        <v>7083.21</v>
      </c>
      <c r="M894">
        <v>3953.46</v>
      </c>
      <c r="N894">
        <v>3129.75</v>
      </c>
      <c r="O894" t="s">
        <v>33</v>
      </c>
      <c r="P894">
        <v>1</v>
      </c>
    </row>
    <row r="895" spans="1:16" x14ac:dyDescent="0.35">
      <c r="A895" t="s">
        <v>1852</v>
      </c>
      <c r="B895" s="1">
        <v>45414</v>
      </c>
      <c r="C895" t="s">
        <v>1853</v>
      </c>
      <c r="D895" t="s">
        <v>37</v>
      </c>
      <c r="E895" t="s">
        <v>20</v>
      </c>
      <c r="F895" t="s">
        <v>31</v>
      </c>
      <c r="G895" t="s">
        <v>60</v>
      </c>
      <c r="H895" t="s">
        <v>110</v>
      </c>
      <c r="I895">
        <v>5</v>
      </c>
      <c r="J895">
        <v>894.36</v>
      </c>
      <c r="K895">
        <v>0.15</v>
      </c>
      <c r="L895">
        <v>3801.03</v>
      </c>
      <c r="M895">
        <v>2191.7199999999998</v>
      </c>
      <c r="N895">
        <v>1609.31</v>
      </c>
      <c r="O895" t="s">
        <v>62</v>
      </c>
      <c r="P895">
        <v>4</v>
      </c>
    </row>
    <row r="896" spans="1:16" x14ac:dyDescent="0.35">
      <c r="A896" t="s">
        <v>1854</v>
      </c>
      <c r="B896" s="1">
        <v>45578</v>
      </c>
      <c r="C896" t="s">
        <v>1855</v>
      </c>
      <c r="D896" t="s">
        <v>49</v>
      </c>
      <c r="E896" t="s">
        <v>98</v>
      </c>
      <c r="F896" t="s">
        <v>31</v>
      </c>
      <c r="G896" t="s">
        <v>43</v>
      </c>
      <c r="H896" t="s">
        <v>173</v>
      </c>
      <c r="I896">
        <v>8</v>
      </c>
      <c r="J896">
        <v>1132.6300000000001</v>
      </c>
      <c r="K896">
        <v>0</v>
      </c>
      <c r="L896">
        <v>9061.0400000000009</v>
      </c>
      <c r="M896">
        <v>4861.25</v>
      </c>
      <c r="N896">
        <v>4199.79</v>
      </c>
      <c r="O896" t="s">
        <v>24</v>
      </c>
      <c r="P896">
        <v>3</v>
      </c>
    </row>
    <row r="897" spans="1:16" x14ac:dyDescent="0.35">
      <c r="A897" t="s">
        <v>1856</v>
      </c>
      <c r="B897" s="1">
        <v>45555</v>
      </c>
      <c r="C897" t="s">
        <v>1857</v>
      </c>
      <c r="D897" t="s">
        <v>66</v>
      </c>
      <c r="E897" t="s">
        <v>38</v>
      </c>
      <c r="F897" t="s">
        <v>21</v>
      </c>
      <c r="G897" t="s">
        <v>43</v>
      </c>
      <c r="H897" t="s">
        <v>173</v>
      </c>
      <c r="I897">
        <v>7</v>
      </c>
      <c r="J897">
        <v>964.14</v>
      </c>
      <c r="K897">
        <v>0</v>
      </c>
      <c r="L897">
        <v>6748.98</v>
      </c>
      <c r="M897">
        <v>3959.71</v>
      </c>
      <c r="N897">
        <v>2789.27</v>
      </c>
      <c r="O897" t="s">
        <v>51</v>
      </c>
      <c r="P897">
        <v>3</v>
      </c>
    </row>
    <row r="898" spans="1:16" x14ac:dyDescent="0.35">
      <c r="A898" t="s">
        <v>1858</v>
      </c>
      <c r="B898" s="1">
        <v>45346</v>
      </c>
      <c r="C898" t="s">
        <v>1859</v>
      </c>
      <c r="D898" t="s">
        <v>49</v>
      </c>
      <c r="E898" t="s">
        <v>20</v>
      </c>
      <c r="F898" t="s">
        <v>39</v>
      </c>
      <c r="G898" t="s">
        <v>79</v>
      </c>
      <c r="H898" t="s">
        <v>103</v>
      </c>
      <c r="I898">
        <v>8</v>
      </c>
      <c r="J898">
        <v>909.2</v>
      </c>
      <c r="K898">
        <v>0</v>
      </c>
      <c r="L898">
        <v>7273.6</v>
      </c>
      <c r="M898">
        <v>3985.86</v>
      </c>
      <c r="N898">
        <v>3287.74</v>
      </c>
      <c r="O898" t="s">
        <v>51</v>
      </c>
      <c r="P898">
        <v>3</v>
      </c>
    </row>
    <row r="899" spans="1:16" x14ac:dyDescent="0.35">
      <c r="A899" t="s">
        <v>1860</v>
      </c>
      <c r="B899" s="1">
        <v>45383</v>
      </c>
      <c r="C899" t="s">
        <v>1861</v>
      </c>
      <c r="D899" t="s">
        <v>37</v>
      </c>
      <c r="E899" t="s">
        <v>30</v>
      </c>
      <c r="F899" t="s">
        <v>39</v>
      </c>
      <c r="G899" t="s">
        <v>43</v>
      </c>
      <c r="H899" t="s">
        <v>173</v>
      </c>
      <c r="I899">
        <v>10</v>
      </c>
      <c r="J899">
        <v>1171.4100000000001</v>
      </c>
      <c r="K899">
        <v>0.05</v>
      </c>
      <c r="L899">
        <v>11128.4</v>
      </c>
      <c r="M899">
        <v>9371.36</v>
      </c>
      <c r="N899">
        <v>1757.04</v>
      </c>
      <c r="O899" t="s">
        <v>62</v>
      </c>
      <c r="P899">
        <v>3</v>
      </c>
    </row>
    <row r="900" spans="1:16" x14ac:dyDescent="0.35">
      <c r="A900" t="s">
        <v>1862</v>
      </c>
      <c r="B900" s="1">
        <v>45518</v>
      </c>
      <c r="C900" t="s">
        <v>1863</v>
      </c>
      <c r="D900" t="s">
        <v>29</v>
      </c>
      <c r="E900" t="s">
        <v>30</v>
      </c>
      <c r="F900" t="s">
        <v>39</v>
      </c>
      <c r="G900" t="s">
        <v>79</v>
      </c>
      <c r="H900" t="s">
        <v>89</v>
      </c>
      <c r="I900">
        <v>4</v>
      </c>
      <c r="J900">
        <v>191.85</v>
      </c>
      <c r="K900">
        <v>0</v>
      </c>
      <c r="L900">
        <v>767.4</v>
      </c>
      <c r="M900">
        <v>481.24</v>
      </c>
      <c r="N900">
        <v>286.16000000000003</v>
      </c>
      <c r="O900" t="s">
        <v>33</v>
      </c>
      <c r="P900">
        <v>3</v>
      </c>
    </row>
    <row r="901" spans="1:16" x14ac:dyDescent="0.35">
      <c r="A901" t="s">
        <v>1864</v>
      </c>
      <c r="B901" s="1">
        <v>45338</v>
      </c>
      <c r="C901" t="s">
        <v>1865</v>
      </c>
      <c r="D901" t="s">
        <v>49</v>
      </c>
      <c r="E901" t="s">
        <v>98</v>
      </c>
      <c r="F901" t="s">
        <v>31</v>
      </c>
      <c r="G901" t="s">
        <v>60</v>
      </c>
      <c r="H901" t="s">
        <v>119</v>
      </c>
      <c r="I901">
        <v>5</v>
      </c>
      <c r="J901">
        <v>971.44</v>
      </c>
      <c r="K901">
        <v>0.15</v>
      </c>
      <c r="L901">
        <v>4128.62</v>
      </c>
      <c r="M901">
        <v>2772.24</v>
      </c>
      <c r="N901">
        <v>1356.38</v>
      </c>
      <c r="O901" t="s">
        <v>24</v>
      </c>
      <c r="P901">
        <v>2</v>
      </c>
    </row>
    <row r="902" spans="1:16" x14ac:dyDescent="0.35">
      <c r="A902" t="s">
        <v>1866</v>
      </c>
      <c r="B902" s="1">
        <v>45476</v>
      </c>
      <c r="C902" t="s">
        <v>1867</v>
      </c>
      <c r="D902" t="s">
        <v>37</v>
      </c>
      <c r="E902" t="s">
        <v>20</v>
      </c>
      <c r="F902" t="s">
        <v>39</v>
      </c>
      <c r="G902" t="s">
        <v>79</v>
      </c>
      <c r="H902" t="s">
        <v>80</v>
      </c>
      <c r="I902">
        <v>2</v>
      </c>
      <c r="J902">
        <v>589.14</v>
      </c>
      <c r="K902">
        <v>0.05</v>
      </c>
      <c r="L902">
        <v>1119.3699999999999</v>
      </c>
      <c r="M902">
        <v>595.12</v>
      </c>
      <c r="N902">
        <v>524.25</v>
      </c>
      <c r="O902" t="s">
        <v>62</v>
      </c>
      <c r="P902">
        <v>5</v>
      </c>
    </row>
    <row r="903" spans="1:16" x14ac:dyDescent="0.35">
      <c r="A903" t="s">
        <v>1868</v>
      </c>
      <c r="B903" s="1">
        <v>45335</v>
      </c>
      <c r="C903" t="s">
        <v>1869</v>
      </c>
      <c r="D903" t="s">
        <v>19</v>
      </c>
      <c r="E903" t="s">
        <v>20</v>
      </c>
      <c r="F903" t="s">
        <v>21</v>
      </c>
      <c r="G903" t="s">
        <v>22</v>
      </c>
      <c r="H903" t="s">
        <v>124</v>
      </c>
      <c r="I903">
        <v>9</v>
      </c>
      <c r="J903">
        <v>1118.3800000000001</v>
      </c>
      <c r="K903">
        <v>0.15</v>
      </c>
      <c r="L903">
        <v>8555.61</v>
      </c>
      <c r="M903">
        <v>6465.78</v>
      </c>
      <c r="N903">
        <v>2089.83</v>
      </c>
      <c r="O903" t="s">
        <v>51</v>
      </c>
      <c r="P903">
        <v>4</v>
      </c>
    </row>
    <row r="904" spans="1:16" x14ac:dyDescent="0.35">
      <c r="A904" t="s">
        <v>1870</v>
      </c>
      <c r="B904" s="1">
        <v>45431</v>
      </c>
      <c r="C904" t="s">
        <v>1871</v>
      </c>
      <c r="D904" t="s">
        <v>66</v>
      </c>
      <c r="E904" t="s">
        <v>38</v>
      </c>
      <c r="F904" t="s">
        <v>21</v>
      </c>
      <c r="G904" t="s">
        <v>60</v>
      </c>
      <c r="H904" t="s">
        <v>61</v>
      </c>
      <c r="I904">
        <v>10</v>
      </c>
      <c r="J904">
        <v>1083.4100000000001</v>
      </c>
      <c r="K904">
        <v>0.15</v>
      </c>
      <c r="L904">
        <v>9208.99</v>
      </c>
      <c r="M904">
        <v>4782.2299999999996</v>
      </c>
      <c r="N904">
        <v>4426.76</v>
      </c>
      <c r="O904" t="s">
        <v>24</v>
      </c>
      <c r="P904">
        <v>1</v>
      </c>
    </row>
    <row r="905" spans="1:16" x14ac:dyDescent="0.35">
      <c r="A905" t="s">
        <v>1872</v>
      </c>
      <c r="B905" s="1">
        <v>45395</v>
      </c>
      <c r="C905" t="s">
        <v>1873</v>
      </c>
      <c r="D905" t="s">
        <v>29</v>
      </c>
      <c r="E905" t="s">
        <v>30</v>
      </c>
      <c r="F905" t="s">
        <v>21</v>
      </c>
      <c r="G905" t="s">
        <v>79</v>
      </c>
      <c r="H905" t="s">
        <v>80</v>
      </c>
      <c r="I905">
        <v>4</v>
      </c>
      <c r="J905">
        <v>1125.8499999999999</v>
      </c>
      <c r="K905">
        <v>0.05</v>
      </c>
      <c r="L905">
        <v>4278.2299999999996</v>
      </c>
      <c r="M905">
        <v>2380.44</v>
      </c>
      <c r="N905">
        <v>1897.79</v>
      </c>
      <c r="O905" t="s">
        <v>24</v>
      </c>
      <c r="P905">
        <v>5</v>
      </c>
    </row>
    <row r="906" spans="1:16" x14ac:dyDescent="0.35">
      <c r="A906" t="s">
        <v>1874</v>
      </c>
      <c r="B906" s="1">
        <v>45342</v>
      </c>
      <c r="C906" t="s">
        <v>1875</v>
      </c>
      <c r="D906" t="s">
        <v>37</v>
      </c>
      <c r="E906" t="s">
        <v>98</v>
      </c>
      <c r="F906" t="s">
        <v>31</v>
      </c>
      <c r="G906" t="s">
        <v>79</v>
      </c>
      <c r="H906" t="s">
        <v>80</v>
      </c>
      <c r="I906">
        <v>10</v>
      </c>
      <c r="J906">
        <v>449.99</v>
      </c>
      <c r="K906">
        <v>0.1</v>
      </c>
      <c r="L906">
        <v>4049.91</v>
      </c>
      <c r="M906">
        <v>2975.23</v>
      </c>
      <c r="N906">
        <v>1074.68</v>
      </c>
      <c r="O906" t="s">
        <v>24</v>
      </c>
      <c r="P906">
        <v>5</v>
      </c>
    </row>
    <row r="907" spans="1:16" x14ac:dyDescent="0.35">
      <c r="A907" t="s">
        <v>1876</v>
      </c>
      <c r="B907" s="1">
        <v>45364</v>
      </c>
      <c r="C907" t="s">
        <v>1877</v>
      </c>
      <c r="D907" t="s">
        <v>37</v>
      </c>
      <c r="E907" t="s">
        <v>38</v>
      </c>
      <c r="F907" t="s">
        <v>21</v>
      </c>
      <c r="G907" t="s">
        <v>60</v>
      </c>
      <c r="H907" t="s">
        <v>110</v>
      </c>
      <c r="I907">
        <v>6</v>
      </c>
      <c r="J907">
        <v>309.73</v>
      </c>
      <c r="K907">
        <v>0.15</v>
      </c>
      <c r="L907">
        <v>1579.62</v>
      </c>
      <c r="M907">
        <v>1244.99</v>
      </c>
      <c r="N907">
        <v>334.63</v>
      </c>
      <c r="O907" t="s">
        <v>33</v>
      </c>
      <c r="P907">
        <v>5</v>
      </c>
    </row>
    <row r="908" spans="1:16" x14ac:dyDescent="0.35">
      <c r="A908" t="s">
        <v>1878</v>
      </c>
      <c r="B908" s="1">
        <v>45355</v>
      </c>
      <c r="C908" t="s">
        <v>1879</v>
      </c>
      <c r="D908" t="s">
        <v>66</v>
      </c>
      <c r="E908" t="s">
        <v>85</v>
      </c>
      <c r="F908" t="s">
        <v>31</v>
      </c>
      <c r="G908" t="s">
        <v>79</v>
      </c>
      <c r="H908" t="s">
        <v>80</v>
      </c>
      <c r="I908">
        <v>7</v>
      </c>
      <c r="J908">
        <v>837.53</v>
      </c>
      <c r="K908">
        <v>0.05</v>
      </c>
      <c r="L908">
        <v>5569.57</v>
      </c>
      <c r="M908">
        <v>3436.97</v>
      </c>
      <c r="N908">
        <v>2132.6</v>
      </c>
      <c r="O908" t="s">
        <v>33</v>
      </c>
      <c r="P908">
        <v>2</v>
      </c>
    </row>
    <row r="909" spans="1:16" x14ac:dyDescent="0.35">
      <c r="A909" t="s">
        <v>1880</v>
      </c>
      <c r="B909" s="1">
        <v>45417</v>
      </c>
      <c r="C909" t="s">
        <v>1881</v>
      </c>
      <c r="D909" t="s">
        <v>19</v>
      </c>
      <c r="E909" t="s">
        <v>20</v>
      </c>
      <c r="F909" t="s">
        <v>21</v>
      </c>
      <c r="G909" t="s">
        <v>22</v>
      </c>
      <c r="H909" t="s">
        <v>32</v>
      </c>
      <c r="I909">
        <v>2</v>
      </c>
      <c r="J909">
        <v>934.31</v>
      </c>
      <c r="K909">
        <v>0.15</v>
      </c>
      <c r="L909">
        <v>1588.33</v>
      </c>
      <c r="M909">
        <v>971.78</v>
      </c>
      <c r="N909">
        <v>616.54999999999995</v>
      </c>
      <c r="O909" t="s">
        <v>33</v>
      </c>
      <c r="P909">
        <v>5</v>
      </c>
    </row>
    <row r="910" spans="1:16" x14ac:dyDescent="0.35">
      <c r="A910" t="s">
        <v>1882</v>
      </c>
      <c r="B910" s="1">
        <v>45481</v>
      </c>
      <c r="C910" t="s">
        <v>1883</v>
      </c>
      <c r="D910" t="s">
        <v>66</v>
      </c>
      <c r="E910" t="s">
        <v>30</v>
      </c>
      <c r="F910" t="s">
        <v>39</v>
      </c>
      <c r="G910" t="s">
        <v>60</v>
      </c>
      <c r="H910" t="s">
        <v>110</v>
      </c>
      <c r="I910">
        <v>11</v>
      </c>
      <c r="J910">
        <v>412.73</v>
      </c>
      <c r="K910">
        <v>0.15</v>
      </c>
      <c r="L910">
        <v>3859.03</v>
      </c>
      <c r="M910">
        <v>2148.1999999999998</v>
      </c>
      <c r="N910">
        <v>1710.83</v>
      </c>
      <c r="O910" t="s">
        <v>62</v>
      </c>
      <c r="P910">
        <v>2</v>
      </c>
    </row>
    <row r="911" spans="1:16" x14ac:dyDescent="0.35">
      <c r="A911" t="s">
        <v>1884</v>
      </c>
      <c r="B911" s="1">
        <v>45473</v>
      </c>
      <c r="C911" t="s">
        <v>1885</v>
      </c>
      <c r="D911" t="s">
        <v>37</v>
      </c>
      <c r="E911" t="s">
        <v>85</v>
      </c>
      <c r="F911" t="s">
        <v>39</v>
      </c>
      <c r="G911" t="s">
        <v>60</v>
      </c>
      <c r="H911" t="s">
        <v>110</v>
      </c>
      <c r="I911">
        <v>5</v>
      </c>
      <c r="J911">
        <v>830.67</v>
      </c>
      <c r="K911">
        <v>0.1</v>
      </c>
      <c r="L911">
        <v>3738.01</v>
      </c>
      <c r="M911">
        <v>2642.18</v>
      </c>
      <c r="N911">
        <v>1095.83</v>
      </c>
      <c r="O911" t="s">
        <v>62</v>
      </c>
      <c r="P911">
        <v>1</v>
      </c>
    </row>
    <row r="912" spans="1:16" x14ac:dyDescent="0.35">
      <c r="A912" t="s">
        <v>1886</v>
      </c>
      <c r="B912" s="1">
        <v>45618</v>
      </c>
      <c r="C912" t="s">
        <v>1887</v>
      </c>
      <c r="D912" t="s">
        <v>29</v>
      </c>
      <c r="E912" t="s">
        <v>20</v>
      </c>
      <c r="F912" t="s">
        <v>31</v>
      </c>
      <c r="G912" t="s">
        <v>22</v>
      </c>
      <c r="H912" t="s">
        <v>23</v>
      </c>
      <c r="I912">
        <v>4</v>
      </c>
      <c r="J912">
        <v>1161.5</v>
      </c>
      <c r="K912">
        <v>0</v>
      </c>
      <c r="L912">
        <v>4646</v>
      </c>
      <c r="M912">
        <v>3199.05</v>
      </c>
      <c r="N912">
        <v>1446.95</v>
      </c>
      <c r="O912" t="s">
        <v>24</v>
      </c>
      <c r="P912">
        <v>4</v>
      </c>
    </row>
    <row r="913" spans="1:16" x14ac:dyDescent="0.35">
      <c r="A913" t="s">
        <v>1888</v>
      </c>
      <c r="B913" s="1">
        <v>45410</v>
      </c>
      <c r="C913" t="s">
        <v>1889</v>
      </c>
      <c r="D913" t="s">
        <v>66</v>
      </c>
      <c r="E913" t="s">
        <v>98</v>
      </c>
      <c r="F913" t="s">
        <v>39</v>
      </c>
      <c r="G913" t="s">
        <v>22</v>
      </c>
      <c r="H913" t="s">
        <v>124</v>
      </c>
      <c r="I913">
        <v>6</v>
      </c>
      <c r="J913">
        <v>1096.71</v>
      </c>
      <c r="K913">
        <v>0.05</v>
      </c>
      <c r="L913">
        <v>6251.25</v>
      </c>
      <c r="M913">
        <v>4446.6400000000003</v>
      </c>
      <c r="N913">
        <v>1804.61</v>
      </c>
      <c r="O913" t="s">
        <v>33</v>
      </c>
      <c r="P913">
        <v>4</v>
      </c>
    </row>
    <row r="914" spans="1:16" x14ac:dyDescent="0.35">
      <c r="A914" t="s">
        <v>1890</v>
      </c>
      <c r="B914" s="1">
        <v>45406</v>
      </c>
      <c r="C914" t="s">
        <v>1891</v>
      </c>
      <c r="D914" t="s">
        <v>19</v>
      </c>
      <c r="E914" t="s">
        <v>85</v>
      </c>
      <c r="F914" t="s">
        <v>39</v>
      </c>
      <c r="G914" t="s">
        <v>43</v>
      </c>
      <c r="H914" t="s">
        <v>44</v>
      </c>
      <c r="I914">
        <v>8</v>
      </c>
      <c r="J914">
        <v>545.16999999999996</v>
      </c>
      <c r="K914">
        <v>0</v>
      </c>
      <c r="L914">
        <v>4361.3599999999997</v>
      </c>
      <c r="M914">
        <v>2578.64</v>
      </c>
      <c r="N914">
        <v>1782.72</v>
      </c>
      <c r="O914" t="s">
        <v>24</v>
      </c>
      <c r="P914">
        <v>1</v>
      </c>
    </row>
    <row r="915" spans="1:16" x14ac:dyDescent="0.35">
      <c r="A915" t="s">
        <v>1892</v>
      </c>
      <c r="B915" s="1">
        <v>45319</v>
      </c>
      <c r="C915" t="s">
        <v>1893</v>
      </c>
      <c r="D915" t="s">
        <v>19</v>
      </c>
      <c r="E915" t="s">
        <v>85</v>
      </c>
      <c r="F915" t="s">
        <v>31</v>
      </c>
      <c r="G915" t="s">
        <v>22</v>
      </c>
      <c r="H915" t="s">
        <v>32</v>
      </c>
      <c r="I915">
        <v>11</v>
      </c>
      <c r="J915">
        <v>591.66</v>
      </c>
      <c r="K915">
        <v>0</v>
      </c>
      <c r="L915">
        <v>6508.26</v>
      </c>
      <c r="M915">
        <v>5443.4</v>
      </c>
      <c r="N915">
        <v>1064.8599999999999</v>
      </c>
      <c r="O915" t="s">
        <v>51</v>
      </c>
      <c r="P915">
        <v>3</v>
      </c>
    </row>
    <row r="916" spans="1:16" x14ac:dyDescent="0.35">
      <c r="A916" t="s">
        <v>1894</v>
      </c>
      <c r="B916" s="1">
        <v>45309</v>
      </c>
      <c r="C916" t="s">
        <v>1895</v>
      </c>
      <c r="D916" t="s">
        <v>19</v>
      </c>
      <c r="E916" t="s">
        <v>85</v>
      </c>
      <c r="F916" t="s">
        <v>21</v>
      </c>
      <c r="G916" t="s">
        <v>43</v>
      </c>
      <c r="H916" t="s">
        <v>173</v>
      </c>
      <c r="I916">
        <v>5</v>
      </c>
      <c r="J916">
        <v>1015.47</v>
      </c>
      <c r="K916">
        <v>0.15</v>
      </c>
      <c r="L916">
        <v>4315.75</v>
      </c>
      <c r="M916">
        <v>2299.7800000000002</v>
      </c>
      <c r="N916">
        <v>2015.97</v>
      </c>
      <c r="O916" t="s">
        <v>33</v>
      </c>
      <c r="P916">
        <v>2</v>
      </c>
    </row>
    <row r="917" spans="1:16" x14ac:dyDescent="0.35">
      <c r="A917" t="s">
        <v>1896</v>
      </c>
      <c r="B917" s="1">
        <v>45517</v>
      </c>
      <c r="C917" t="s">
        <v>1897</v>
      </c>
      <c r="D917" t="s">
        <v>37</v>
      </c>
      <c r="E917" t="s">
        <v>20</v>
      </c>
      <c r="F917" t="s">
        <v>21</v>
      </c>
      <c r="G917" t="s">
        <v>60</v>
      </c>
      <c r="H917" t="s">
        <v>119</v>
      </c>
      <c r="I917">
        <v>4</v>
      </c>
      <c r="J917">
        <v>610.29</v>
      </c>
      <c r="K917">
        <v>0</v>
      </c>
      <c r="L917">
        <v>2441.16</v>
      </c>
      <c r="M917">
        <v>1534.43</v>
      </c>
      <c r="N917">
        <v>906.73</v>
      </c>
      <c r="O917" t="s">
        <v>33</v>
      </c>
      <c r="P917">
        <v>1</v>
      </c>
    </row>
    <row r="918" spans="1:16" x14ac:dyDescent="0.35">
      <c r="A918" t="s">
        <v>1898</v>
      </c>
      <c r="B918" s="1">
        <v>45365</v>
      </c>
      <c r="C918" t="s">
        <v>1899</v>
      </c>
      <c r="D918" t="s">
        <v>29</v>
      </c>
      <c r="E918" t="s">
        <v>38</v>
      </c>
      <c r="F918" t="s">
        <v>39</v>
      </c>
      <c r="G918" t="s">
        <v>60</v>
      </c>
      <c r="H918" t="s">
        <v>61</v>
      </c>
      <c r="I918">
        <v>10</v>
      </c>
      <c r="J918">
        <v>895.05</v>
      </c>
      <c r="K918">
        <v>0.1</v>
      </c>
      <c r="L918">
        <v>8055.45</v>
      </c>
      <c r="M918">
        <v>4536.6000000000004</v>
      </c>
      <c r="N918">
        <v>3518.85</v>
      </c>
      <c r="O918" t="s">
        <v>62</v>
      </c>
      <c r="P918">
        <v>3</v>
      </c>
    </row>
    <row r="919" spans="1:16" x14ac:dyDescent="0.35">
      <c r="A919" t="s">
        <v>1900</v>
      </c>
      <c r="B919" s="1">
        <v>45525</v>
      </c>
      <c r="C919" t="s">
        <v>1901</v>
      </c>
      <c r="D919" t="s">
        <v>29</v>
      </c>
      <c r="E919" t="s">
        <v>30</v>
      </c>
      <c r="F919" t="s">
        <v>21</v>
      </c>
      <c r="G919" t="s">
        <v>43</v>
      </c>
      <c r="H919" t="s">
        <v>44</v>
      </c>
      <c r="I919">
        <v>2</v>
      </c>
      <c r="J919">
        <v>326.57</v>
      </c>
      <c r="K919">
        <v>0.1</v>
      </c>
      <c r="L919">
        <v>587.83000000000004</v>
      </c>
      <c r="M919">
        <v>494.22</v>
      </c>
      <c r="N919">
        <v>93.61</v>
      </c>
      <c r="O919" t="s">
        <v>62</v>
      </c>
      <c r="P919">
        <v>5</v>
      </c>
    </row>
    <row r="920" spans="1:16" x14ac:dyDescent="0.35">
      <c r="A920" t="s">
        <v>1902</v>
      </c>
      <c r="B920" s="1">
        <v>45440</v>
      </c>
      <c r="C920" t="s">
        <v>1903</v>
      </c>
      <c r="D920" t="s">
        <v>19</v>
      </c>
      <c r="E920" t="s">
        <v>30</v>
      </c>
      <c r="F920" t="s">
        <v>39</v>
      </c>
      <c r="G920" t="s">
        <v>43</v>
      </c>
      <c r="H920" t="s">
        <v>44</v>
      </c>
      <c r="I920">
        <v>7</v>
      </c>
      <c r="J920">
        <v>963.02</v>
      </c>
      <c r="K920">
        <v>0.1</v>
      </c>
      <c r="L920">
        <v>6067.03</v>
      </c>
      <c r="M920">
        <v>3261.6</v>
      </c>
      <c r="N920">
        <v>2805.43</v>
      </c>
      <c r="O920" t="s">
        <v>24</v>
      </c>
      <c r="P920">
        <v>3</v>
      </c>
    </row>
    <row r="921" spans="1:16" x14ac:dyDescent="0.35">
      <c r="A921" t="s">
        <v>1904</v>
      </c>
      <c r="B921" s="1">
        <v>45650</v>
      </c>
      <c r="C921" t="s">
        <v>1905</v>
      </c>
      <c r="D921" t="s">
        <v>37</v>
      </c>
      <c r="E921" t="s">
        <v>38</v>
      </c>
      <c r="F921" t="s">
        <v>31</v>
      </c>
      <c r="G921" t="s">
        <v>22</v>
      </c>
      <c r="H921" t="s">
        <v>124</v>
      </c>
      <c r="I921">
        <v>7</v>
      </c>
      <c r="J921">
        <v>866.91</v>
      </c>
      <c r="K921">
        <v>0.05</v>
      </c>
      <c r="L921">
        <v>5764.95</v>
      </c>
      <c r="M921">
        <v>4511.57</v>
      </c>
      <c r="N921">
        <v>1253.3800000000001</v>
      </c>
      <c r="O921" t="s">
        <v>51</v>
      </c>
      <c r="P921">
        <v>4</v>
      </c>
    </row>
    <row r="922" spans="1:16" x14ac:dyDescent="0.35">
      <c r="A922" t="s">
        <v>1906</v>
      </c>
      <c r="B922" s="1">
        <v>45329</v>
      </c>
      <c r="C922" t="s">
        <v>1907</v>
      </c>
      <c r="D922" t="s">
        <v>49</v>
      </c>
      <c r="E922" t="s">
        <v>30</v>
      </c>
      <c r="F922" t="s">
        <v>39</v>
      </c>
      <c r="G922" t="s">
        <v>79</v>
      </c>
      <c r="H922" t="s">
        <v>80</v>
      </c>
      <c r="I922">
        <v>11</v>
      </c>
      <c r="J922">
        <v>97.39</v>
      </c>
      <c r="K922">
        <v>0.05</v>
      </c>
      <c r="L922">
        <v>1017.73</v>
      </c>
      <c r="M922">
        <v>523.29</v>
      </c>
      <c r="N922">
        <v>494.44</v>
      </c>
      <c r="O922" t="s">
        <v>51</v>
      </c>
      <c r="P922">
        <v>1</v>
      </c>
    </row>
    <row r="923" spans="1:16" x14ac:dyDescent="0.35">
      <c r="A923" t="s">
        <v>1908</v>
      </c>
      <c r="B923" s="1">
        <v>45342</v>
      </c>
      <c r="C923" t="s">
        <v>1909</v>
      </c>
      <c r="D923" t="s">
        <v>29</v>
      </c>
      <c r="E923" t="s">
        <v>85</v>
      </c>
      <c r="F923" t="s">
        <v>31</v>
      </c>
      <c r="G923" t="s">
        <v>60</v>
      </c>
      <c r="H923" t="s">
        <v>61</v>
      </c>
      <c r="I923">
        <v>4</v>
      </c>
      <c r="J923">
        <v>574.34</v>
      </c>
      <c r="K923">
        <v>0</v>
      </c>
      <c r="L923">
        <v>2297.36</v>
      </c>
      <c r="M923">
        <v>1462.99</v>
      </c>
      <c r="N923">
        <v>834.37</v>
      </c>
      <c r="O923" t="s">
        <v>51</v>
      </c>
      <c r="P923">
        <v>1</v>
      </c>
    </row>
    <row r="924" spans="1:16" x14ac:dyDescent="0.35">
      <c r="A924" t="s">
        <v>1910</v>
      </c>
      <c r="B924" s="1">
        <v>45412</v>
      </c>
      <c r="C924" t="s">
        <v>1911</v>
      </c>
      <c r="D924" t="s">
        <v>49</v>
      </c>
      <c r="E924" t="s">
        <v>30</v>
      </c>
      <c r="F924" t="s">
        <v>31</v>
      </c>
      <c r="G924" t="s">
        <v>22</v>
      </c>
      <c r="H924" t="s">
        <v>124</v>
      </c>
      <c r="I924">
        <v>7</v>
      </c>
      <c r="J924">
        <v>301.74</v>
      </c>
      <c r="K924">
        <v>0.15</v>
      </c>
      <c r="L924">
        <v>1795.35</v>
      </c>
      <c r="M924">
        <v>1054.33</v>
      </c>
      <c r="N924">
        <v>741.02</v>
      </c>
      <c r="O924" t="s">
        <v>51</v>
      </c>
      <c r="P924">
        <v>5</v>
      </c>
    </row>
    <row r="925" spans="1:16" x14ac:dyDescent="0.35">
      <c r="A925" t="s">
        <v>1912</v>
      </c>
      <c r="B925" s="1">
        <v>45302</v>
      </c>
      <c r="C925" t="s">
        <v>1913</v>
      </c>
      <c r="D925" t="s">
        <v>37</v>
      </c>
      <c r="E925" t="s">
        <v>98</v>
      </c>
      <c r="F925" t="s">
        <v>21</v>
      </c>
      <c r="G925" t="s">
        <v>79</v>
      </c>
      <c r="H925" t="s">
        <v>80</v>
      </c>
      <c r="I925">
        <v>1</v>
      </c>
      <c r="J925">
        <v>338.9</v>
      </c>
      <c r="K925">
        <v>0.15</v>
      </c>
      <c r="L925">
        <v>288.06</v>
      </c>
      <c r="M925">
        <v>167.17</v>
      </c>
      <c r="N925">
        <v>120.89</v>
      </c>
      <c r="O925" t="s">
        <v>62</v>
      </c>
      <c r="P925">
        <v>3</v>
      </c>
    </row>
    <row r="926" spans="1:16" x14ac:dyDescent="0.35">
      <c r="A926" t="s">
        <v>1914</v>
      </c>
      <c r="B926" s="1">
        <v>45354</v>
      </c>
      <c r="C926" t="s">
        <v>1915</v>
      </c>
      <c r="D926" t="s">
        <v>37</v>
      </c>
      <c r="E926" t="s">
        <v>85</v>
      </c>
      <c r="F926" t="s">
        <v>21</v>
      </c>
      <c r="G926" t="s">
        <v>43</v>
      </c>
      <c r="H926" t="s">
        <v>173</v>
      </c>
      <c r="I926">
        <v>3</v>
      </c>
      <c r="J926">
        <v>195.76</v>
      </c>
      <c r="K926">
        <v>0.1</v>
      </c>
      <c r="L926">
        <v>528.54999999999995</v>
      </c>
      <c r="M926">
        <v>368.26</v>
      </c>
      <c r="N926">
        <v>160.29</v>
      </c>
      <c r="O926" t="s">
        <v>33</v>
      </c>
      <c r="P926">
        <v>4</v>
      </c>
    </row>
    <row r="927" spans="1:16" x14ac:dyDescent="0.35">
      <c r="A927" t="s">
        <v>1916</v>
      </c>
      <c r="B927" s="1">
        <v>45410</v>
      </c>
      <c r="C927" t="s">
        <v>1917</v>
      </c>
      <c r="D927" t="s">
        <v>49</v>
      </c>
      <c r="E927" t="s">
        <v>30</v>
      </c>
      <c r="F927" t="s">
        <v>21</v>
      </c>
      <c r="G927" t="s">
        <v>22</v>
      </c>
      <c r="H927" t="s">
        <v>124</v>
      </c>
      <c r="I927">
        <v>12</v>
      </c>
      <c r="J927">
        <v>798.11</v>
      </c>
      <c r="K927">
        <v>0.1</v>
      </c>
      <c r="L927">
        <v>8619.59</v>
      </c>
      <c r="M927">
        <v>5067.58</v>
      </c>
      <c r="N927">
        <v>3552.01</v>
      </c>
      <c r="O927" t="s">
        <v>62</v>
      </c>
      <c r="P927">
        <v>2</v>
      </c>
    </row>
    <row r="928" spans="1:16" x14ac:dyDescent="0.35">
      <c r="A928" t="s">
        <v>1918</v>
      </c>
      <c r="B928" s="1">
        <v>45379</v>
      </c>
      <c r="C928" t="s">
        <v>1919</v>
      </c>
      <c r="D928" t="s">
        <v>66</v>
      </c>
      <c r="E928" t="s">
        <v>30</v>
      </c>
      <c r="F928" t="s">
        <v>21</v>
      </c>
      <c r="G928" t="s">
        <v>79</v>
      </c>
      <c r="H928" t="s">
        <v>89</v>
      </c>
      <c r="I928">
        <v>2</v>
      </c>
      <c r="J928">
        <v>97.87</v>
      </c>
      <c r="K928">
        <v>0.15</v>
      </c>
      <c r="L928">
        <v>166.38</v>
      </c>
      <c r="M928">
        <v>139.83000000000001</v>
      </c>
      <c r="N928">
        <v>26.55</v>
      </c>
      <c r="O928" t="s">
        <v>51</v>
      </c>
      <c r="P928">
        <v>1</v>
      </c>
    </row>
    <row r="929" spans="1:16" x14ac:dyDescent="0.35">
      <c r="A929" t="s">
        <v>1920</v>
      </c>
      <c r="B929" s="1">
        <v>45526</v>
      </c>
      <c r="C929" t="s">
        <v>1921</v>
      </c>
      <c r="D929" t="s">
        <v>49</v>
      </c>
      <c r="E929" t="s">
        <v>30</v>
      </c>
      <c r="F929" t="s">
        <v>31</v>
      </c>
      <c r="G929" t="s">
        <v>60</v>
      </c>
      <c r="H929" t="s">
        <v>110</v>
      </c>
      <c r="I929">
        <v>7</v>
      </c>
      <c r="J929">
        <v>249.77</v>
      </c>
      <c r="K929">
        <v>0</v>
      </c>
      <c r="L929">
        <v>1748.39</v>
      </c>
      <c r="M929">
        <v>945.94</v>
      </c>
      <c r="N929">
        <v>802.45</v>
      </c>
      <c r="O929" t="s">
        <v>62</v>
      </c>
      <c r="P929">
        <v>3</v>
      </c>
    </row>
    <row r="930" spans="1:16" x14ac:dyDescent="0.35">
      <c r="A930" t="s">
        <v>1922</v>
      </c>
      <c r="B930" s="1">
        <v>45576</v>
      </c>
      <c r="C930" t="s">
        <v>1923</v>
      </c>
      <c r="D930" t="s">
        <v>49</v>
      </c>
      <c r="E930" t="s">
        <v>85</v>
      </c>
      <c r="F930" t="s">
        <v>21</v>
      </c>
      <c r="G930" t="s">
        <v>22</v>
      </c>
      <c r="H930" t="s">
        <v>74</v>
      </c>
      <c r="I930">
        <v>1</v>
      </c>
      <c r="J930">
        <v>263.86</v>
      </c>
      <c r="K930">
        <v>0</v>
      </c>
      <c r="L930">
        <v>263.86</v>
      </c>
      <c r="M930">
        <v>190.08</v>
      </c>
      <c r="N930">
        <v>73.78</v>
      </c>
      <c r="O930" t="s">
        <v>24</v>
      </c>
      <c r="P930">
        <v>2</v>
      </c>
    </row>
    <row r="931" spans="1:16" x14ac:dyDescent="0.35">
      <c r="A931" t="s">
        <v>1924</v>
      </c>
      <c r="B931" s="1">
        <v>45474</v>
      </c>
      <c r="C931" t="s">
        <v>1925</v>
      </c>
      <c r="D931" t="s">
        <v>19</v>
      </c>
      <c r="E931" t="s">
        <v>98</v>
      </c>
      <c r="F931" t="s">
        <v>31</v>
      </c>
      <c r="G931" t="s">
        <v>79</v>
      </c>
      <c r="H931" t="s">
        <v>80</v>
      </c>
      <c r="I931">
        <v>9</v>
      </c>
      <c r="J931">
        <v>980.98</v>
      </c>
      <c r="K931">
        <v>0.15</v>
      </c>
      <c r="L931">
        <v>7504.5</v>
      </c>
      <c r="M931">
        <v>5586.01</v>
      </c>
      <c r="N931">
        <v>1918.49</v>
      </c>
      <c r="O931" t="s">
        <v>51</v>
      </c>
      <c r="P931">
        <v>4</v>
      </c>
    </row>
    <row r="932" spans="1:16" x14ac:dyDescent="0.35">
      <c r="A932" t="s">
        <v>1926</v>
      </c>
      <c r="B932" s="1">
        <v>45453</v>
      </c>
      <c r="C932" t="s">
        <v>1927</v>
      </c>
      <c r="D932" t="s">
        <v>19</v>
      </c>
      <c r="E932" t="s">
        <v>98</v>
      </c>
      <c r="F932" t="s">
        <v>21</v>
      </c>
      <c r="G932" t="s">
        <v>22</v>
      </c>
      <c r="H932" t="s">
        <v>74</v>
      </c>
      <c r="I932">
        <v>8</v>
      </c>
      <c r="J932">
        <v>1073.94</v>
      </c>
      <c r="K932">
        <v>0.1</v>
      </c>
      <c r="L932">
        <v>7732.37</v>
      </c>
      <c r="M932">
        <v>6485.5</v>
      </c>
      <c r="N932">
        <v>1246.8699999999999</v>
      </c>
      <c r="O932" t="s">
        <v>51</v>
      </c>
      <c r="P932">
        <v>3</v>
      </c>
    </row>
    <row r="933" spans="1:16" x14ac:dyDescent="0.35">
      <c r="A933" t="s">
        <v>1928</v>
      </c>
      <c r="B933" s="1">
        <v>45389</v>
      </c>
      <c r="C933" t="s">
        <v>1929</v>
      </c>
      <c r="D933" t="s">
        <v>49</v>
      </c>
      <c r="E933" t="s">
        <v>98</v>
      </c>
      <c r="F933" t="s">
        <v>21</v>
      </c>
      <c r="G933" t="s">
        <v>79</v>
      </c>
      <c r="H933" t="s">
        <v>80</v>
      </c>
      <c r="I933">
        <v>7</v>
      </c>
      <c r="J933">
        <v>263.14</v>
      </c>
      <c r="K933">
        <v>0.05</v>
      </c>
      <c r="L933">
        <v>1749.88</v>
      </c>
      <c r="M933">
        <v>950.35</v>
      </c>
      <c r="N933">
        <v>799.53</v>
      </c>
      <c r="O933" t="s">
        <v>51</v>
      </c>
      <c r="P933">
        <v>5</v>
      </c>
    </row>
    <row r="934" spans="1:16" x14ac:dyDescent="0.35">
      <c r="A934" t="s">
        <v>1930</v>
      </c>
      <c r="B934" s="1">
        <v>45446</v>
      </c>
      <c r="C934" t="s">
        <v>1931</v>
      </c>
      <c r="D934" t="s">
        <v>66</v>
      </c>
      <c r="E934" t="s">
        <v>38</v>
      </c>
      <c r="F934" t="s">
        <v>21</v>
      </c>
      <c r="G934" t="s">
        <v>22</v>
      </c>
      <c r="H934" t="s">
        <v>23</v>
      </c>
      <c r="I934">
        <v>12</v>
      </c>
      <c r="J934">
        <v>111.39</v>
      </c>
      <c r="K934">
        <v>0.05</v>
      </c>
      <c r="L934">
        <v>1269.8499999999999</v>
      </c>
      <c r="M934">
        <v>657.02</v>
      </c>
      <c r="N934">
        <v>612.83000000000004</v>
      </c>
      <c r="O934" t="s">
        <v>24</v>
      </c>
      <c r="P934">
        <v>4</v>
      </c>
    </row>
    <row r="935" spans="1:16" x14ac:dyDescent="0.35">
      <c r="A935" t="s">
        <v>1932</v>
      </c>
      <c r="B935" s="1">
        <v>45516</v>
      </c>
      <c r="C935" t="s">
        <v>1933</v>
      </c>
      <c r="D935" t="s">
        <v>37</v>
      </c>
      <c r="E935" t="s">
        <v>30</v>
      </c>
      <c r="F935" t="s">
        <v>39</v>
      </c>
      <c r="G935" t="s">
        <v>79</v>
      </c>
      <c r="H935" t="s">
        <v>89</v>
      </c>
      <c r="I935">
        <v>10</v>
      </c>
      <c r="J935">
        <v>787.96</v>
      </c>
      <c r="K935">
        <v>0</v>
      </c>
      <c r="L935">
        <v>7879.6</v>
      </c>
      <c r="M935">
        <v>5796.99</v>
      </c>
      <c r="N935">
        <v>2082.61</v>
      </c>
      <c r="O935" t="s">
        <v>51</v>
      </c>
      <c r="P935">
        <v>1</v>
      </c>
    </row>
    <row r="936" spans="1:16" x14ac:dyDescent="0.35">
      <c r="A936" t="s">
        <v>1934</v>
      </c>
      <c r="B936" s="1">
        <v>45401</v>
      </c>
      <c r="C936" t="s">
        <v>1935</v>
      </c>
      <c r="D936" t="s">
        <v>29</v>
      </c>
      <c r="E936" t="s">
        <v>30</v>
      </c>
      <c r="F936" t="s">
        <v>21</v>
      </c>
      <c r="G936" t="s">
        <v>43</v>
      </c>
      <c r="H936" t="s">
        <v>173</v>
      </c>
      <c r="I936">
        <v>7</v>
      </c>
      <c r="J936">
        <v>704.46</v>
      </c>
      <c r="K936">
        <v>0.1</v>
      </c>
      <c r="L936">
        <v>4438.1000000000004</v>
      </c>
      <c r="M936">
        <v>2935.33</v>
      </c>
      <c r="N936">
        <v>1502.77</v>
      </c>
      <c r="O936" t="s">
        <v>24</v>
      </c>
      <c r="P936">
        <v>2</v>
      </c>
    </row>
    <row r="937" spans="1:16" x14ac:dyDescent="0.35">
      <c r="A937" t="s">
        <v>1936</v>
      </c>
      <c r="B937" s="1">
        <v>45565</v>
      </c>
      <c r="C937" t="s">
        <v>1937</v>
      </c>
      <c r="D937" t="s">
        <v>49</v>
      </c>
      <c r="E937" t="s">
        <v>38</v>
      </c>
      <c r="F937" t="s">
        <v>31</v>
      </c>
      <c r="G937" t="s">
        <v>60</v>
      </c>
      <c r="H937" t="s">
        <v>61</v>
      </c>
      <c r="I937">
        <v>5</v>
      </c>
      <c r="J937">
        <v>830.11</v>
      </c>
      <c r="K937">
        <v>0</v>
      </c>
      <c r="L937">
        <v>4150.55</v>
      </c>
      <c r="M937">
        <v>2281.9499999999998</v>
      </c>
      <c r="N937">
        <v>1868.6</v>
      </c>
      <c r="O937" t="s">
        <v>24</v>
      </c>
      <c r="P937">
        <v>5</v>
      </c>
    </row>
    <row r="938" spans="1:16" x14ac:dyDescent="0.35">
      <c r="A938" t="s">
        <v>1938</v>
      </c>
      <c r="B938" s="1">
        <v>45441</v>
      </c>
      <c r="C938" t="s">
        <v>1939</v>
      </c>
      <c r="D938" t="s">
        <v>49</v>
      </c>
      <c r="E938" t="s">
        <v>30</v>
      </c>
      <c r="F938" t="s">
        <v>21</v>
      </c>
      <c r="G938" t="s">
        <v>79</v>
      </c>
      <c r="H938" t="s">
        <v>80</v>
      </c>
      <c r="I938">
        <v>5</v>
      </c>
      <c r="J938">
        <v>80.680000000000007</v>
      </c>
      <c r="K938">
        <v>0.05</v>
      </c>
      <c r="L938">
        <v>383.23</v>
      </c>
      <c r="M938">
        <v>263.10000000000002</v>
      </c>
      <c r="N938">
        <v>120.13</v>
      </c>
      <c r="O938" t="s">
        <v>62</v>
      </c>
      <c r="P938">
        <v>3</v>
      </c>
    </row>
    <row r="939" spans="1:16" x14ac:dyDescent="0.35">
      <c r="A939" t="s">
        <v>1940</v>
      </c>
      <c r="B939" s="1">
        <v>45555</v>
      </c>
      <c r="C939" t="s">
        <v>1941</v>
      </c>
      <c r="D939" t="s">
        <v>66</v>
      </c>
      <c r="E939" t="s">
        <v>38</v>
      </c>
      <c r="F939" t="s">
        <v>39</v>
      </c>
      <c r="G939" t="s">
        <v>79</v>
      </c>
      <c r="H939" t="s">
        <v>80</v>
      </c>
      <c r="I939">
        <v>8</v>
      </c>
      <c r="J939">
        <v>1154.0899999999999</v>
      </c>
      <c r="K939">
        <v>0.05</v>
      </c>
      <c r="L939">
        <v>8771.08</v>
      </c>
      <c r="M939">
        <v>7292.15</v>
      </c>
      <c r="N939">
        <v>1478.93</v>
      </c>
      <c r="O939" t="s">
        <v>24</v>
      </c>
      <c r="P939">
        <v>3</v>
      </c>
    </row>
    <row r="940" spans="1:16" x14ac:dyDescent="0.35">
      <c r="A940" t="s">
        <v>1942</v>
      </c>
      <c r="B940" s="1">
        <v>45337</v>
      </c>
      <c r="C940" t="s">
        <v>1943</v>
      </c>
      <c r="D940" t="s">
        <v>29</v>
      </c>
      <c r="E940" t="s">
        <v>20</v>
      </c>
      <c r="F940" t="s">
        <v>39</v>
      </c>
      <c r="G940" t="s">
        <v>60</v>
      </c>
      <c r="H940" t="s">
        <v>119</v>
      </c>
      <c r="I940">
        <v>10</v>
      </c>
      <c r="J940">
        <v>878.36</v>
      </c>
      <c r="K940">
        <v>0.05</v>
      </c>
      <c r="L940">
        <v>8344.42</v>
      </c>
      <c r="M940">
        <v>6409.24</v>
      </c>
      <c r="N940">
        <v>1935.18</v>
      </c>
      <c r="O940" t="s">
        <v>33</v>
      </c>
      <c r="P940">
        <v>4</v>
      </c>
    </row>
    <row r="941" spans="1:16" x14ac:dyDescent="0.35">
      <c r="A941" t="s">
        <v>1944</v>
      </c>
      <c r="B941" s="1">
        <v>45375</v>
      </c>
      <c r="C941" t="s">
        <v>1945</v>
      </c>
      <c r="D941" t="s">
        <v>49</v>
      </c>
      <c r="E941" t="s">
        <v>98</v>
      </c>
      <c r="F941" t="s">
        <v>39</v>
      </c>
      <c r="G941" t="s">
        <v>43</v>
      </c>
      <c r="H941" t="s">
        <v>50</v>
      </c>
      <c r="I941">
        <v>10</v>
      </c>
      <c r="J941">
        <v>521.84</v>
      </c>
      <c r="K941">
        <v>0.05</v>
      </c>
      <c r="L941">
        <v>4957.4799999999996</v>
      </c>
      <c r="M941">
        <v>2518.3200000000002</v>
      </c>
      <c r="N941">
        <v>2439.16</v>
      </c>
      <c r="O941" t="s">
        <v>62</v>
      </c>
      <c r="P941">
        <v>5</v>
      </c>
    </row>
    <row r="942" spans="1:16" x14ac:dyDescent="0.35">
      <c r="A942" t="s">
        <v>1946</v>
      </c>
      <c r="B942" s="1">
        <v>45322</v>
      </c>
      <c r="C942" t="s">
        <v>1947</v>
      </c>
      <c r="D942" t="s">
        <v>37</v>
      </c>
      <c r="E942" t="s">
        <v>85</v>
      </c>
      <c r="F942" t="s">
        <v>31</v>
      </c>
      <c r="G942" t="s">
        <v>79</v>
      </c>
      <c r="H942" t="s">
        <v>89</v>
      </c>
      <c r="I942">
        <v>1</v>
      </c>
      <c r="J942">
        <v>766.41</v>
      </c>
      <c r="K942">
        <v>0</v>
      </c>
      <c r="L942">
        <v>766.41</v>
      </c>
      <c r="M942">
        <v>393.95</v>
      </c>
      <c r="N942">
        <v>372.46</v>
      </c>
      <c r="O942" t="s">
        <v>51</v>
      </c>
      <c r="P942">
        <v>4</v>
      </c>
    </row>
    <row r="943" spans="1:16" x14ac:dyDescent="0.35">
      <c r="A943" t="s">
        <v>1948</v>
      </c>
      <c r="B943" s="1">
        <v>45594</v>
      </c>
      <c r="C943" t="s">
        <v>1949</v>
      </c>
      <c r="D943" t="s">
        <v>19</v>
      </c>
      <c r="E943" t="s">
        <v>38</v>
      </c>
      <c r="F943" t="s">
        <v>39</v>
      </c>
      <c r="G943" t="s">
        <v>43</v>
      </c>
      <c r="H943" t="s">
        <v>173</v>
      </c>
      <c r="I943">
        <v>5</v>
      </c>
      <c r="J943">
        <v>40.380000000000003</v>
      </c>
      <c r="K943">
        <v>0.1</v>
      </c>
      <c r="L943">
        <v>181.71</v>
      </c>
      <c r="M943">
        <v>126.48</v>
      </c>
      <c r="N943">
        <v>55.23</v>
      </c>
      <c r="O943" t="s">
        <v>33</v>
      </c>
      <c r="P943">
        <v>5</v>
      </c>
    </row>
    <row r="944" spans="1:16" x14ac:dyDescent="0.35">
      <c r="A944" t="s">
        <v>1950</v>
      </c>
      <c r="B944" s="1">
        <v>45559</v>
      </c>
      <c r="C944" t="s">
        <v>1951</v>
      </c>
      <c r="D944" t="s">
        <v>49</v>
      </c>
      <c r="E944" t="s">
        <v>20</v>
      </c>
      <c r="F944" t="s">
        <v>21</v>
      </c>
      <c r="G944" t="s">
        <v>79</v>
      </c>
      <c r="H944" t="s">
        <v>103</v>
      </c>
      <c r="I944">
        <v>8</v>
      </c>
      <c r="J944">
        <v>705.38</v>
      </c>
      <c r="K944">
        <v>0.05</v>
      </c>
      <c r="L944">
        <v>5360.89</v>
      </c>
      <c r="M944">
        <v>4180.04</v>
      </c>
      <c r="N944">
        <v>1180.8499999999999</v>
      </c>
      <c r="O944" t="s">
        <v>24</v>
      </c>
      <c r="P944">
        <v>4</v>
      </c>
    </row>
    <row r="945" spans="1:16" x14ac:dyDescent="0.35">
      <c r="A945" t="s">
        <v>1952</v>
      </c>
      <c r="B945" s="1">
        <v>45486</v>
      </c>
      <c r="C945" t="s">
        <v>1953</v>
      </c>
      <c r="D945" t="s">
        <v>19</v>
      </c>
      <c r="E945" t="s">
        <v>30</v>
      </c>
      <c r="F945" t="s">
        <v>39</v>
      </c>
      <c r="G945" t="s">
        <v>22</v>
      </c>
      <c r="H945" t="s">
        <v>32</v>
      </c>
      <c r="I945">
        <v>1</v>
      </c>
      <c r="J945">
        <v>1059.57</v>
      </c>
      <c r="K945">
        <v>0.15</v>
      </c>
      <c r="L945">
        <v>900.63</v>
      </c>
      <c r="M945">
        <v>565.25</v>
      </c>
      <c r="N945">
        <v>335.38</v>
      </c>
      <c r="O945" t="s">
        <v>33</v>
      </c>
      <c r="P945">
        <v>2</v>
      </c>
    </row>
    <row r="946" spans="1:16" x14ac:dyDescent="0.35">
      <c r="A946" t="s">
        <v>1954</v>
      </c>
      <c r="B946" s="1">
        <v>45359</v>
      </c>
      <c r="C946" t="s">
        <v>1955</v>
      </c>
      <c r="D946" t="s">
        <v>19</v>
      </c>
      <c r="E946" t="s">
        <v>30</v>
      </c>
      <c r="F946" t="s">
        <v>21</v>
      </c>
      <c r="G946" t="s">
        <v>60</v>
      </c>
      <c r="H946" t="s">
        <v>119</v>
      </c>
      <c r="I946">
        <v>6</v>
      </c>
      <c r="J946">
        <v>123.69</v>
      </c>
      <c r="K946">
        <v>0.05</v>
      </c>
      <c r="L946">
        <v>705.03</v>
      </c>
      <c r="M946">
        <v>392.28</v>
      </c>
      <c r="N946">
        <v>312.75</v>
      </c>
      <c r="O946" t="s">
        <v>24</v>
      </c>
      <c r="P946">
        <v>4</v>
      </c>
    </row>
    <row r="947" spans="1:16" x14ac:dyDescent="0.35">
      <c r="A947" t="s">
        <v>1956</v>
      </c>
      <c r="B947" s="1">
        <v>45589</v>
      </c>
      <c r="C947" t="s">
        <v>1957</v>
      </c>
      <c r="D947" t="s">
        <v>49</v>
      </c>
      <c r="E947" t="s">
        <v>85</v>
      </c>
      <c r="F947" t="s">
        <v>21</v>
      </c>
      <c r="G947" t="s">
        <v>43</v>
      </c>
      <c r="H947" t="s">
        <v>173</v>
      </c>
      <c r="I947">
        <v>1</v>
      </c>
      <c r="J947">
        <v>600.09</v>
      </c>
      <c r="K947">
        <v>0.05</v>
      </c>
      <c r="L947">
        <v>570.09</v>
      </c>
      <c r="M947">
        <v>373.35</v>
      </c>
      <c r="N947">
        <v>196.74</v>
      </c>
      <c r="O947" t="s">
        <v>51</v>
      </c>
      <c r="P947">
        <v>1</v>
      </c>
    </row>
    <row r="948" spans="1:16" x14ac:dyDescent="0.35">
      <c r="A948" t="s">
        <v>1958</v>
      </c>
      <c r="B948" s="1">
        <v>45585</v>
      </c>
      <c r="C948" t="s">
        <v>1959</v>
      </c>
      <c r="D948" t="s">
        <v>66</v>
      </c>
      <c r="E948" t="s">
        <v>85</v>
      </c>
      <c r="F948" t="s">
        <v>31</v>
      </c>
      <c r="G948" t="s">
        <v>43</v>
      </c>
      <c r="H948" t="s">
        <v>173</v>
      </c>
      <c r="I948">
        <v>1</v>
      </c>
      <c r="J948">
        <v>640.80999999999995</v>
      </c>
      <c r="K948">
        <v>0.15</v>
      </c>
      <c r="L948">
        <v>544.69000000000005</v>
      </c>
      <c r="M948">
        <v>347.63</v>
      </c>
      <c r="N948">
        <v>197.06</v>
      </c>
      <c r="O948" t="s">
        <v>51</v>
      </c>
      <c r="P948">
        <v>4</v>
      </c>
    </row>
    <row r="949" spans="1:16" x14ac:dyDescent="0.35">
      <c r="A949" t="s">
        <v>1960</v>
      </c>
      <c r="B949" s="1">
        <v>45591</v>
      </c>
      <c r="C949" t="s">
        <v>1961</v>
      </c>
      <c r="D949" t="s">
        <v>37</v>
      </c>
      <c r="E949" t="s">
        <v>38</v>
      </c>
      <c r="F949" t="s">
        <v>21</v>
      </c>
      <c r="G949" t="s">
        <v>22</v>
      </c>
      <c r="H949" t="s">
        <v>23</v>
      </c>
      <c r="I949">
        <v>8</v>
      </c>
      <c r="J949">
        <v>346.78</v>
      </c>
      <c r="K949">
        <v>0.05</v>
      </c>
      <c r="L949">
        <v>2635.53</v>
      </c>
      <c r="M949">
        <v>1607.19</v>
      </c>
      <c r="N949">
        <v>1028.3399999999999</v>
      </c>
      <c r="O949" t="s">
        <v>33</v>
      </c>
      <c r="P949">
        <v>1</v>
      </c>
    </row>
    <row r="950" spans="1:16" x14ac:dyDescent="0.35">
      <c r="A950" t="s">
        <v>1962</v>
      </c>
      <c r="B950" s="1">
        <v>45515</v>
      </c>
      <c r="C950" t="s">
        <v>1963</v>
      </c>
      <c r="D950" t="s">
        <v>29</v>
      </c>
      <c r="E950" t="s">
        <v>98</v>
      </c>
      <c r="F950" t="s">
        <v>31</v>
      </c>
      <c r="G950" t="s">
        <v>60</v>
      </c>
      <c r="H950" t="s">
        <v>119</v>
      </c>
      <c r="I950">
        <v>3</v>
      </c>
      <c r="J950">
        <v>245.96</v>
      </c>
      <c r="K950">
        <v>0.15</v>
      </c>
      <c r="L950">
        <v>627.20000000000005</v>
      </c>
      <c r="M950">
        <v>345.9</v>
      </c>
      <c r="N950">
        <v>281.3</v>
      </c>
      <c r="O950" t="s">
        <v>62</v>
      </c>
      <c r="P950">
        <v>1</v>
      </c>
    </row>
    <row r="951" spans="1:16" x14ac:dyDescent="0.35">
      <c r="A951" t="s">
        <v>1964</v>
      </c>
      <c r="B951" s="1">
        <v>45620</v>
      </c>
      <c r="C951" t="s">
        <v>1965</v>
      </c>
      <c r="D951" t="s">
        <v>37</v>
      </c>
      <c r="E951" t="s">
        <v>30</v>
      </c>
      <c r="F951" t="s">
        <v>39</v>
      </c>
      <c r="G951" t="s">
        <v>60</v>
      </c>
      <c r="H951" t="s">
        <v>61</v>
      </c>
      <c r="I951">
        <v>3</v>
      </c>
      <c r="J951">
        <v>1076.81</v>
      </c>
      <c r="K951">
        <v>0</v>
      </c>
      <c r="L951">
        <v>3230.43</v>
      </c>
      <c r="M951">
        <v>2557.66</v>
      </c>
      <c r="N951">
        <v>672.77</v>
      </c>
      <c r="O951" t="s">
        <v>33</v>
      </c>
      <c r="P951">
        <v>5</v>
      </c>
    </row>
    <row r="952" spans="1:16" x14ac:dyDescent="0.35">
      <c r="A952" t="s">
        <v>1966</v>
      </c>
      <c r="B952" s="1">
        <v>45635</v>
      </c>
      <c r="C952" t="s">
        <v>1967</v>
      </c>
      <c r="D952" t="s">
        <v>66</v>
      </c>
      <c r="E952" t="s">
        <v>38</v>
      </c>
      <c r="F952" t="s">
        <v>31</v>
      </c>
      <c r="G952" t="s">
        <v>60</v>
      </c>
      <c r="H952" t="s">
        <v>61</v>
      </c>
      <c r="I952">
        <v>5</v>
      </c>
      <c r="J952">
        <v>332.5</v>
      </c>
      <c r="K952">
        <v>0.15</v>
      </c>
      <c r="L952">
        <v>1413.12</v>
      </c>
      <c r="M952">
        <v>1020.3</v>
      </c>
      <c r="N952">
        <v>392.82</v>
      </c>
      <c r="O952" t="s">
        <v>51</v>
      </c>
      <c r="P952">
        <v>2</v>
      </c>
    </row>
    <row r="953" spans="1:16" x14ac:dyDescent="0.35">
      <c r="A953" t="s">
        <v>1968</v>
      </c>
      <c r="B953" s="1">
        <v>45349</v>
      </c>
      <c r="C953" t="s">
        <v>1969</v>
      </c>
      <c r="D953" t="s">
        <v>29</v>
      </c>
      <c r="E953" t="s">
        <v>38</v>
      </c>
      <c r="F953" t="s">
        <v>31</v>
      </c>
      <c r="G953" t="s">
        <v>60</v>
      </c>
      <c r="H953" t="s">
        <v>61</v>
      </c>
      <c r="I953">
        <v>2</v>
      </c>
      <c r="J953">
        <v>282.2</v>
      </c>
      <c r="K953">
        <v>0</v>
      </c>
      <c r="L953">
        <v>564.4</v>
      </c>
      <c r="M953">
        <v>410.78</v>
      </c>
      <c r="N953">
        <v>153.62</v>
      </c>
      <c r="O953" t="s">
        <v>51</v>
      </c>
      <c r="P953">
        <v>1</v>
      </c>
    </row>
    <row r="954" spans="1:16" x14ac:dyDescent="0.35">
      <c r="A954" t="s">
        <v>1970</v>
      </c>
      <c r="B954" s="1">
        <v>45470</v>
      </c>
      <c r="C954" t="s">
        <v>1971</v>
      </c>
      <c r="D954" t="s">
        <v>19</v>
      </c>
      <c r="E954" t="s">
        <v>20</v>
      </c>
      <c r="F954" t="s">
        <v>31</v>
      </c>
      <c r="G954" t="s">
        <v>79</v>
      </c>
      <c r="H954" t="s">
        <v>89</v>
      </c>
      <c r="I954">
        <v>7</v>
      </c>
      <c r="J954">
        <v>285.54000000000002</v>
      </c>
      <c r="K954">
        <v>0.05</v>
      </c>
      <c r="L954">
        <v>1898.84</v>
      </c>
      <c r="M954">
        <v>999.05</v>
      </c>
      <c r="N954">
        <v>899.79</v>
      </c>
      <c r="O954" t="s">
        <v>33</v>
      </c>
      <c r="P954">
        <v>5</v>
      </c>
    </row>
    <row r="955" spans="1:16" x14ac:dyDescent="0.35">
      <c r="A955" t="s">
        <v>1972</v>
      </c>
      <c r="B955" s="1">
        <v>45603</v>
      </c>
      <c r="C955" t="s">
        <v>1973</v>
      </c>
      <c r="D955" t="s">
        <v>19</v>
      </c>
      <c r="E955" t="s">
        <v>38</v>
      </c>
      <c r="F955" t="s">
        <v>39</v>
      </c>
      <c r="G955" t="s">
        <v>79</v>
      </c>
      <c r="H955" t="s">
        <v>103</v>
      </c>
      <c r="I955">
        <v>11</v>
      </c>
      <c r="J955">
        <v>579.25</v>
      </c>
      <c r="K955">
        <v>0.15</v>
      </c>
      <c r="L955">
        <v>5415.99</v>
      </c>
      <c r="M955">
        <v>3612.21</v>
      </c>
      <c r="N955">
        <v>1803.78</v>
      </c>
      <c r="O955" t="s">
        <v>33</v>
      </c>
      <c r="P955">
        <v>2</v>
      </c>
    </row>
    <row r="956" spans="1:16" x14ac:dyDescent="0.35">
      <c r="A956" t="s">
        <v>1974</v>
      </c>
      <c r="B956" s="1">
        <v>45622</v>
      </c>
      <c r="C956" t="s">
        <v>1975</v>
      </c>
      <c r="D956" t="s">
        <v>29</v>
      </c>
      <c r="E956" t="s">
        <v>85</v>
      </c>
      <c r="F956" t="s">
        <v>39</v>
      </c>
      <c r="G956" t="s">
        <v>79</v>
      </c>
      <c r="H956" t="s">
        <v>103</v>
      </c>
      <c r="I956">
        <v>9</v>
      </c>
      <c r="J956">
        <v>839.27</v>
      </c>
      <c r="K956">
        <v>0</v>
      </c>
      <c r="L956">
        <v>7553.43</v>
      </c>
      <c r="M956">
        <v>3958.72</v>
      </c>
      <c r="N956">
        <v>3594.71</v>
      </c>
      <c r="O956" t="s">
        <v>33</v>
      </c>
      <c r="P956">
        <v>5</v>
      </c>
    </row>
    <row r="957" spans="1:16" x14ac:dyDescent="0.35">
      <c r="A957" t="s">
        <v>1976</v>
      </c>
      <c r="B957" s="1">
        <v>45517</v>
      </c>
      <c r="C957" t="s">
        <v>1977</v>
      </c>
      <c r="D957" t="s">
        <v>37</v>
      </c>
      <c r="E957" t="s">
        <v>30</v>
      </c>
      <c r="F957" t="s">
        <v>39</v>
      </c>
      <c r="G957" t="s">
        <v>79</v>
      </c>
      <c r="H957" t="s">
        <v>89</v>
      </c>
      <c r="I957">
        <v>3</v>
      </c>
      <c r="J957">
        <v>785.14</v>
      </c>
      <c r="K957">
        <v>0.05</v>
      </c>
      <c r="L957">
        <v>2237.65</v>
      </c>
      <c r="M957">
        <v>1150.5899999999999</v>
      </c>
      <c r="N957">
        <v>1087.06</v>
      </c>
      <c r="O957" t="s">
        <v>24</v>
      </c>
      <c r="P957">
        <v>3</v>
      </c>
    </row>
    <row r="958" spans="1:16" x14ac:dyDescent="0.35">
      <c r="A958" t="s">
        <v>1978</v>
      </c>
      <c r="B958" s="1">
        <v>45392</v>
      </c>
      <c r="C958" t="s">
        <v>1979</v>
      </c>
      <c r="D958" t="s">
        <v>29</v>
      </c>
      <c r="E958" t="s">
        <v>30</v>
      </c>
      <c r="F958" t="s">
        <v>31</v>
      </c>
      <c r="G958" t="s">
        <v>79</v>
      </c>
      <c r="H958" t="s">
        <v>80</v>
      </c>
      <c r="I958">
        <v>4</v>
      </c>
      <c r="J958">
        <v>1025.1500000000001</v>
      </c>
      <c r="K958">
        <v>0</v>
      </c>
      <c r="L958">
        <v>4100.6000000000004</v>
      </c>
      <c r="M958">
        <v>3212.17</v>
      </c>
      <c r="N958">
        <v>888.43</v>
      </c>
      <c r="O958" t="s">
        <v>62</v>
      </c>
      <c r="P958">
        <v>3</v>
      </c>
    </row>
    <row r="959" spans="1:16" x14ac:dyDescent="0.35">
      <c r="A959" t="s">
        <v>1980</v>
      </c>
      <c r="B959" s="1">
        <v>45434</v>
      </c>
      <c r="C959" t="s">
        <v>1981</v>
      </c>
      <c r="D959" t="s">
        <v>29</v>
      </c>
      <c r="E959" t="s">
        <v>98</v>
      </c>
      <c r="F959" t="s">
        <v>31</v>
      </c>
      <c r="G959" t="s">
        <v>60</v>
      </c>
      <c r="H959" t="s">
        <v>61</v>
      </c>
      <c r="I959">
        <v>1</v>
      </c>
      <c r="J959">
        <v>813.16</v>
      </c>
      <c r="K959">
        <v>0.1</v>
      </c>
      <c r="L959">
        <v>731.84</v>
      </c>
      <c r="M959">
        <v>411.51</v>
      </c>
      <c r="N959">
        <v>320.33</v>
      </c>
      <c r="O959" t="s">
        <v>33</v>
      </c>
      <c r="P959">
        <v>2</v>
      </c>
    </row>
    <row r="960" spans="1:16" x14ac:dyDescent="0.35">
      <c r="A960" t="s">
        <v>1982</v>
      </c>
      <c r="B960" s="1">
        <v>45651</v>
      </c>
      <c r="C960" t="s">
        <v>1983</v>
      </c>
      <c r="D960" t="s">
        <v>19</v>
      </c>
      <c r="E960" t="s">
        <v>30</v>
      </c>
      <c r="F960" t="s">
        <v>39</v>
      </c>
      <c r="G960" t="s">
        <v>60</v>
      </c>
      <c r="H960" t="s">
        <v>119</v>
      </c>
      <c r="I960">
        <v>5</v>
      </c>
      <c r="J960">
        <v>270.94</v>
      </c>
      <c r="K960">
        <v>0.05</v>
      </c>
      <c r="L960">
        <v>1286.96</v>
      </c>
      <c r="M960">
        <v>746.07</v>
      </c>
      <c r="N960">
        <v>540.89</v>
      </c>
      <c r="O960" t="s">
        <v>33</v>
      </c>
      <c r="P960">
        <v>4</v>
      </c>
    </row>
    <row r="961" spans="1:16" x14ac:dyDescent="0.35">
      <c r="A961" t="s">
        <v>1984</v>
      </c>
      <c r="B961" s="1">
        <v>45412</v>
      </c>
      <c r="C961" t="s">
        <v>1985</v>
      </c>
      <c r="D961" t="s">
        <v>29</v>
      </c>
      <c r="E961" t="s">
        <v>20</v>
      </c>
      <c r="F961" t="s">
        <v>39</v>
      </c>
      <c r="G961" t="s">
        <v>79</v>
      </c>
      <c r="H961" t="s">
        <v>80</v>
      </c>
      <c r="I961">
        <v>4</v>
      </c>
      <c r="J961">
        <v>143.69</v>
      </c>
      <c r="K961">
        <v>0.1</v>
      </c>
      <c r="L961">
        <v>517.28</v>
      </c>
      <c r="M961">
        <v>327.49</v>
      </c>
      <c r="N961">
        <v>189.79</v>
      </c>
      <c r="O961" t="s">
        <v>24</v>
      </c>
      <c r="P961">
        <v>2</v>
      </c>
    </row>
    <row r="962" spans="1:16" x14ac:dyDescent="0.35">
      <c r="A962" t="s">
        <v>1986</v>
      </c>
      <c r="B962" s="1">
        <v>45430</v>
      </c>
      <c r="C962" t="s">
        <v>1987</v>
      </c>
      <c r="D962" t="s">
        <v>66</v>
      </c>
      <c r="E962" t="s">
        <v>20</v>
      </c>
      <c r="F962" t="s">
        <v>21</v>
      </c>
      <c r="G962" t="s">
        <v>22</v>
      </c>
      <c r="H962" t="s">
        <v>124</v>
      </c>
      <c r="I962">
        <v>8</v>
      </c>
      <c r="J962">
        <v>175.28</v>
      </c>
      <c r="K962">
        <v>0</v>
      </c>
      <c r="L962">
        <v>1402.24</v>
      </c>
      <c r="M962">
        <v>792.69</v>
      </c>
      <c r="N962">
        <v>609.54999999999995</v>
      </c>
      <c r="O962" t="s">
        <v>51</v>
      </c>
      <c r="P962">
        <v>2</v>
      </c>
    </row>
    <row r="963" spans="1:16" x14ac:dyDescent="0.35">
      <c r="A963" t="s">
        <v>1988</v>
      </c>
      <c r="B963" s="1">
        <v>45348</v>
      </c>
      <c r="C963" t="s">
        <v>1989</v>
      </c>
      <c r="D963" t="s">
        <v>66</v>
      </c>
      <c r="E963" t="s">
        <v>20</v>
      </c>
      <c r="F963" t="s">
        <v>39</v>
      </c>
      <c r="G963" t="s">
        <v>22</v>
      </c>
      <c r="H963" t="s">
        <v>74</v>
      </c>
      <c r="I963">
        <v>9</v>
      </c>
      <c r="J963">
        <v>84.06</v>
      </c>
      <c r="K963">
        <v>0.15</v>
      </c>
      <c r="L963">
        <v>643.05999999999995</v>
      </c>
      <c r="M963">
        <v>403.76</v>
      </c>
      <c r="N963">
        <v>239.3</v>
      </c>
      <c r="O963" t="s">
        <v>24</v>
      </c>
      <c r="P963">
        <v>5</v>
      </c>
    </row>
    <row r="964" spans="1:16" x14ac:dyDescent="0.35">
      <c r="A964" t="s">
        <v>1990</v>
      </c>
      <c r="B964" s="1">
        <v>45350</v>
      </c>
      <c r="C964" t="s">
        <v>1991</v>
      </c>
      <c r="D964" t="s">
        <v>19</v>
      </c>
      <c r="E964" t="s">
        <v>20</v>
      </c>
      <c r="F964" t="s">
        <v>31</v>
      </c>
      <c r="G964" t="s">
        <v>60</v>
      </c>
      <c r="H964" t="s">
        <v>61</v>
      </c>
      <c r="I964">
        <v>1</v>
      </c>
      <c r="J964">
        <v>397.49</v>
      </c>
      <c r="K964">
        <v>0.1</v>
      </c>
      <c r="L964">
        <v>357.74</v>
      </c>
      <c r="M964">
        <v>199.84</v>
      </c>
      <c r="N964">
        <v>157.9</v>
      </c>
      <c r="O964" t="s">
        <v>33</v>
      </c>
      <c r="P964">
        <v>3</v>
      </c>
    </row>
    <row r="965" spans="1:16" x14ac:dyDescent="0.35">
      <c r="A965" t="s">
        <v>1992</v>
      </c>
      <c r="B965" s="1">
        <v>45348</v>
      </c>
      <c r="C965" t="s">
        <v>1993</v>
      </c>
      <c r="D965" t="s">
        <v>29</v>
      </c>
      <c r="E965" t="s">
        <v>85</v>
      </c>
      <c r="F965" t="s">
        <v>21</v>
      </c>
      <c r="G965" t="s">
        <v>43</v>
      </c>
      <c r="H965" t="s">
        <v>50</v>
      </c>
      <c r="I965">
        <v>11</v>
      </c>
      <c r="J965">
        <v>162.41999999999999</v>
      </c>
      <c r="K965">
        <v>0</v>
      </c>
      <c r="L965">
        <v>1786.62</v>
      </c>
      <c r="M965">
        <v>1109.3900000000001</v>
      </c>
      <c r="N965">
        <v>677.23</v>
      </c>
      <c r="O965" t="s">
        <v>24</v>
      </c>
      <c r="P965">
        <v>2</v>
      </c>
    </row>
    <row r="966" spans="1:16" x14ac:dyDescent="0.35">
      <c r="A966" t="s">
        <v>1994</v>
      </c>
      <c r="B966" s="1">
        <v>45535</v>
      </c>
      <c r="C966" t="s">
        <v>1995</v>
      </c>
      <c r="D966" t="s">
        <v>49</v>
      </c>
      <c r="E966" t="s">
        <v>38</v>
      </c>
      <c r="F966" t="s">
        <v>39</v>
      </c>
      <c r="G966" t="s">
        <v>43</v>
      </c>
      <c r="H966" t="s">
        <v>50</v>
      </c>
      <c r="I966">
        <v>1</v>
      </c>
      <c r="J966">
        <v>1117.08</v>
      </c>
      <c r="K966">
        <v>0.1</v>
      </c>
      <c r="L966">
        <v>1005.37</v>
      </c>
      <c r="M966">
        <v>530.69000000000005</v>
      </c>
      <c r="N966">
        <v>474.68</v>
      </c>
      <c r="O966" t="s">
        <v>62</v>
      </c>
      <c r="P966">
        <v>2</v>
      </c>
    </row>
    <row r="967" spans="1:16" x14ac:dyDescent="0.35">
      <c r="A967" t="s">
        <v>1996</v>
      </c>
      <c r="B967" s="1">
        <v>45569</v>
      </c>
      <c r="C967" t="s">
        <v>1997</v>
      </c>
      <c r="D967" t="s">
        <v>19</v>
      </c>
      <c r="E967" t="s">
        <v>30</v>
      </c>
      <c r="F967" t="s">
        <v>21</v>
      </c>
      <c r="G967" t="s">
        <v>79</v>
      </c>
      <c r="H967" t="s">
        <v>80</v>
      </c>
      <c r="I967">
        <v>4</v>
      </c>
      <c r="J967">
        <v>747.31</v>
      </c>
      <c r="K967">
        <v>0.05</v>
      </c>
      <c r="L967">
        <v>2839.78</v>
      </c>
      <c r="M967">
        <v>2338.2600000000002</v>
      </c>
      <c r="N967">
        <v>501.52</v>
      </c>
      <c r="O967" t="s">
        <v>24</v>
      </c>
      <c r="P967">
        <v>2</v>
      </c>
    </row>
    <row r="968" spans="1:16" x14ac:dyDescent="0.35">
      <c r="A968" t="s">
        <v>1998</v>
      </c>
      <c r="B968" s="1">
        <v>45395</v>
      </c>
      <c r="C968" t="s">
        <v>1999</v>
      </c>
      <c r="D968" t="s">
        <v>66</v>
      </c>
      <c r="E968" t="s">
        <v>38</v>
      </c>
      <c r="F968" t="s">
        <v>39</v>
      </c>
      <c r="G968" t="s">
        <v>22</v>
      </c>
      <c r="H968" t="s">
        <v>74</v>
      </c>
      <c r="I968">
        <v>4</v>
      </c>
      <c r="J968">
        <v>635.08000000000004</v>
      </c>
      <c r="K968">
        <v>0.1</v>
      </c>
      <c r="L968">
        <v>2286.29</v>
      </c>
      <c r="M968">
        <v>1712.73</v>
      </c>
      <c r="N968">
        <v>573.55999999999995</v>
      </c>
      <c r="O968" t="s">
        <v>51</v>
      </c>
      <c r="P968">
        <v>5</v>
      </c>
    </row>
    <row r="969" spans="1:16" x14ac:dyDescent="0.35">
      <c r="A969" t="s">
        <v>2000</v>
      </c>
      <c r="B969" s="1">
        <v>45328</v>
      </c>
      <c r="C969" t="s">
        <v>2001</v>
      </c>
      <c r="D969" t="s">
        <v>49</v>
      </c>
      <c r="E969" t="s">
        <v>30</v>
      </c>
      <c r="F969" t="s">
        <v>21</v>
      </c>
      <c r="G969" t="s">
        <v>60</v>
      </c>
      <c r="H969" t="s">
        <v>119</v>
      </c>
      <c r="I969">
        <v>6</v>
      </c>
      <c r="J969">
        <v>886.69</v>
      </c>
      <c r="K969">
        <v>0.1</v>
      </c>
      <c r="L969">
        <v>4788.13</v>
      </c>
      <c r="M969">
        <v>2817.55</v>
      </c>
      <c r="N969">
        <v>1970.58</v>
      </c>
      <c r="O969" t="s">
        <v>24</v>
      </c>
      <c r="P969">
        <v>1</v>
      </c>
    </row>
    <row r="970" spans="1:16" x14ac:dyDescent="0.35">
      <c r="A970" t="s">
        <v>2002</v>
      </c>
      <c r="B970" s="1">
        <v>45365</v>
      </c>
      <c r="C970" t="s">
        <v>2003</v>
      </c>
      <c r="D970" t="s">
        <v>19</v>
      </c>
      <c r="E970" t="s">
        <v>30</v>
      </c>
      <c r="F970" t="s">
        <v>39</v>
      </c>
      <c r="G970" t="s">
        <v>43</v>
      </c>
      <c r="H970" t="s">
        <v>44</v>
      </c>
      <c r="I970">
        <v>4</v>
      </c>
      <c r="J970">
        <v>918.56</v>
      </c>
      <c r="K970">
        <v>0.1</v>
      </c>
      <c r="L970">
        <v>3306.82</v>
      </c>
      <c r="M970">
        <v>1716.73</v>
      </c>
      <c r="N970">
        <v>1590.09</v>
      </c>
      <c r="O970" t="s">
        <v>51</v>
      </c>
      <c r="P970">
        <v>5</v>
      </c>
    </row>
    <row r="971" spans="1:16" x14ac:dyDescent="0.35">
      <c r="A971" t="s">
        <v>2004</v>
      </c>
      <c r="B971" s="1">
        <v>45409</v>
      </c>
      <c r="C971" t="s">
        <v>2005</v>
      </c>
      <c r="D971" t="s">
        <v>66</v>
      </c>
      <c r="E971" t="s">
        <v>98</v>
      </c>
      <c r="F971" t="s">
        <v>21</v>
      </c>
      <c r="G971" t="s">
        <v>43</v>
      </c>
      <c r="H971" t="s">
        <v>44</v>
      </c>
      <c r="I971">
        <v>11</v>
      </c>
      <c r="J971">
        <v>892.94</v>
      </c>
      <c r="K971">
        <v>0.05</v>
      </c>
      <c r="L971">
        <v>9331.2199999999993</v>
      </c>
      <c r="M971">
        <v>5113.03</v>
      </c>
      <c r="N971">
        <v>4218.1899999999996</v>
      </c>
      <c r="O971" t="s">
        <v>62</v>
      </c>
      <c r="P971">
        <v>2</v>
      </c>
    </row>
    <row r="972" spans="1:16" x14ac:dyDescent="0.35">
      <c r="A972" t="s">
        <v>2006</v>
      </c>
      <c r="B972" s="1">
        <v>45399</v>
      </c>
      <c r="C972" t="s">
        <v>2007</v>
      </c>
      <c r="D972" t="s">
        <v>49</v>
      </c>
      <c r="E972" t="s">
        <v>30</v>
      </c>
      <c r="F972" t="s">
        <v>21</v>
      </c>
      <c r="G972" t="s">
        <v>79</v>
      </c>
      <c r="H972" t="s">
        <v>89</v>
      </c>
      <c r="I972">
        <v>1</v>
      </c>
      <c r="J972">
        <v>1097.43</v>
      </c>
      <c r="K972">
        <v>0.1</v>
      </c>
      <c r="L972">
        <v>987.69</v>
      </c>
      <c r="M972">
        <v>569.9</v>
      </c>
      <c r="N972">
        <v>417.79</v>
      </c>
      <c r="O972" t="s">
        <v>33</v>
      </c>
      <c r="P972">
        <v>1</v>
      </c>
    </row>
    <row r="973" spans="1:16" x14ac:dyDescent="0.35">
      <c r="A973" t="s">
        <v>2008</v>
      </c>
      <c r="B973" s="1">
        <v>45558</v>
      </c>
      <c r="C973" t="s">
        <v>2009</v>
      </c>
      <c r="D973" t="s">
        <v>66</v>
      </c>
      <c r="E973" t="s">
        <v>38</v>
      </c>
      <c r="F973" t="s">
        <v>31</v>
      </c>
      <c r="G973" t="s">
        <v>43</v>
      </c>
      <c r="H973" t="s">
        <v>50</v>
      </c>
      <c r="I973">
        <v>6</v>
      </c>
      <c r="J973">
        <v>281.92</v>
      </c>
      <c r="K973">
        <v>0.05</v>
      </c>
      <c r="L973">
        <v>1606.94</v>
      </c>
      <c r="M973">
        <v>1123.46</v>
      </c>
      <c r="N973">
        <v>483.48</v>
      </c>
      <c r="O973" t="s">
        <v>33</v>
      </c>
      <c r="P973">
        <v>2</v>
      </c>
    </row>
    <row r="974" spans="1:16" x14ac:dyDescent="0.35">
      <c r="A974" t="s">
        <v>2010</v>
      </c>
      <c r="B974" s="1">
        <v>45297</v>
      </c>
      <c r="C974" t="s">
        <v>2011</v>
      </c>
      <c r="D974" t="s">
        <v>29</v>
      </c>
      <c r="E974" t="s">
        <v>38</v>
      </c>
      <c r="F974" t="s">
        <v>39</v>
      </c>
      <c r="G974" t="s">
        <v>60</v>
      </c>
      <c r="H974" t="s">
        <v>119</v>
      </c>
      <c r="I974">
        <v>9</v>
      </c>
      <c r="J974">
        <v>696.52</v>
      </c>
      <c r="K974">
        <v>0</v>
      </c>
      <c r="L974">
        <v>6268.68</v>
      </c>
      <c r="M974">
        <v>3730.2</v>
      </c>
      <c r="N974">
        <v>2538.48</v>
      </c>
      <c r="O974" t="s">
        <v>51</v>
      </c>
      <c r="P974">
        <v>5</v>
      </c>
    </row>
    <row r="975" spans="1:16" x14ac:dyDescent="0.35">
      <c r="A975" t="s">
        <v>2012</v>
      </c>
      <c r="B975" s="1">
        <v>45500</v>
      </c>
      <c r="C975" t="s">
        <v>2013</v>
      </c>
      <c r="D975" t="s">
        <v>19</v>
      </c>
      <c r="E975" t="s">
        <v>20</v>
      </c>
      <c r="F975" t="s">
        <v>39</v>
      </c>
      <c r="G975" t="s">
        <v>43</v>
      </c>
      <c r="H975" t="s">
        <v>173</v>
      </c>
      <c r="I975">
        <v>5</v>
      </c>
      <c r="J975">
        <v>462.06</v>
      </c>
      <c r="K975">
        <v>0.15</v>
      </c>
      <c r="L975">
        <v>1963.76</v>
      </c>
      <c r="M975">
        <v>1054.76</v>
      </c>
      <c r="N975">
        <v>909</v>
      </c>
      <c r="O975" t="s">
        <v>62</v>
      </c>
      <c r="P975">
        <v>1</v>
      </c>
    </row>
    <row r="976" spans="1:16" x14ac:dyDescent="0.35">
      <c r="A976" t="s">
        <v>2014</v>
      </c>
      <c r="B976" s="1">
        <v>45366</v>
      </c>
      <c r="C976" t="s">
        <v>2015</v>
      </c>
      <c r="D976" t="s">
        <v>37</v>
      </c>
      <c r="E976" t="s">
        <v>20</v>
      </c>
      <c r="F976" t="s">
        <v>21</v>
      </c>
      <c r="G976" t="s">
        <v>79</v>
      </c>
      <c r="H976" t="s">
        <v>89</v>
      </c>
      <c r="I976">
        <v>3</v>
      </c>
      <c r="J976">
        <v>378.45</v>
      </c>
      <c r="K976">
        <v>0.1</v>
      </c>
      <c r="L976">
        <v>1021.81</v>
      </c>
      <c r="M976">
        <v>762.54</v>
      </c>
      <c r="N976">
        <v>259.27</v>
      </c>
      <c r="O976" t="s">
        <v>24</v>
      </c>
      <c r="P976">
        <v>2</v>
      </c>
    </row>
    <row r="977" spans="1:16" x14ac:dyDescent="0.35">
      <c r="A977" t="s">
        <v>2016</v>
      </c>
      <c r="B977" s="1">
        <v>45473</v>
      </c>
      <c r="C977" t="s">
        <v>2017</v>
      </c>
      <c r="D977" t="s">
        <v>49</v>
      </c>
      <c r="E977" t="s">
        <v>38</v>
      </c>
      <c r="F977" t="s">
        <v>39</v>
      </c>
      <c r="G977" t="s">
        <v>79</v>
      </c>
      <c r="H977" t="s">
        <v>103</v>
      </c>
      <c r="I977">
        <v>11</v>
      </c>
      <c r="J977">
        <v>419.97</v>
      </c>
      <c r="K977">
        <v>0.1</v>
      </c>
      <c r="L977">
        <v>4157.7</v>
      </c>
      <c r="M977">
        <v>3173.83</v>
      </c>
      <c r="N977">
        <v>983.87</v>
      </c>
      <c r="O977" t="s">
        <v>33</v>
      </c>
      <c r="P977">
        <v>5</v>
      </c>
    </row>
    <row r="978" spans="1:16" x14ac:dyDescent="0.35">
      <c r="A978" t="s">
        <v>2018</v>
      </c>
      <c r="B978" s="1">
        <v>45435</v>
      </c>
      <c r="C978" t="s">
        <v>2019</v>
      </c>
      <c r="D978" t="s">
        <v>19</v>
      </c>
      <c r="E978" t="s">
        <v>30</v>
      </c>
      <c r="F978" t="s">
        <v>21</v>
      </c>
      <c r="G978" t="s">
        <v>22</v>
      </c>
      <c r="H978" t="s">
        <v>32</v>
      </c>
      <c r="I978">
        <v>1</v>
      </c>
      <c r="J978">
        <v>183.71</v>
      </c>
      <c r="K978">
        <v>0.1</v>
      </c>
      <c r="L978">
        <v>165.34</v>
      </c>
      <c r="M978">
        <v>116.9</v>
      </c>
      <c r="N978">
        <v>48.44</v>
      </c>
      <c r="O978" t="s">
        <v>33</v>
      </c>
      <c r="P978">
        <v>1</v>
      </c>
    </row>
    <row r="979" spans="1:16" x14ac:dyDescent="0.35">
      <c r="A979" t="s">
        <v>2020</v>
      </c>
      <c r="B979" s="1">
        <v>45599</v>
      </c>
      <c r="C979" t="s">
        <v>2021</v>
      </c>
      <c r="D979" t="s">
        <v>66</v>
      </c>
      <c r="E979" t="s">
        <v>85</v>
      </c>
      <c r="F979" t="s">
        <v>21</v>
      </c>
      <c r="G979" t="s">
        <v>79</v>
      </c>
      <c r="H979" t="s">
        <v>89</v>
      </c>
      <c r="I979">
        <v>5</v>
      </c>
      <c r="J979">
        <v>768.55</v>
      </c>
      <c r="K979">
        <v>0.1</v>
      </c>
      <c r="L979">
        <v>3458.47</v>
      </c>
      <c r="M979">
        <v>2879.75</v>
      </c>
      <c r="N979">
        <v>578.72</v>
      </c>
      <c r="O979" t="s">
        <v>62</v>
      </c>
      <c r="P979">
        <v>1</v>
      </c>
    </row>
    <row r="980" spans="1:16" x14ac:dyDescent="0.35">
      <c r="A980" t="s">
        <v>2022</v>
      </c>
      <c r="B980" s="1">
        <v>45363</v>
      </c>
      <c r="C980" t="s">
        <v>2023</v>
      </c>
      <c r="D980" t="s">
        <v>49</v>
      </c>
      <c r="E980" t="s">
        <v>85</v>
      </c>
      <c r="F980" t="s">
        <v>21</v>
      </c>
      <c r="G980" t="s">
        <v>60</v>
      </c>
      <c r="H980" t="s">
        <v>119</v>
      </c>
      <c r="I980">
        <v>12</v>
      </c>
      <c r="J980">
        <v>813.74</v>
      </c>
      <c r="K980">
        <v>0.05</v>
      </c>
      <c r="L980">
        <v>9276.64</v>
      </c>
      <c r="M980">
        <v>7155.26</v>
      </c>
      <c r="N980">
        <v>2121.38</v>
      </c>
      <c r="O980" t="s">
        <v>33</v>
      </c>
      <c r="P980">
        <v>5</v>
      </c>
    </row>
    <row r="981" spans="1:16" x14ac:dyDescent="0.35">
      <c r="A981" t="s">
        <v>2024</v>
      </c>
      <c r="B981" s="1">
        <v>45639</v>
      </c>
      <c r="C981" t="s">
        <v>2025</v>
      </c>
      <c r="D981" t="s">
        <v>49</v>
      </c>
      <c r="E981" t="s">
        <v>30</v>
      </c>
      <c r="F981" t="s">
        <v>39</v>
      </c>
      <c r="G981" t="s">
        <v>22</v>
      </c>
      <c r="H981" t="s">
        <v>23</v>
      </c>
      <c r="I981">
        <v>6</v>
      </c>
      <c r="J981">
        <v>1016.68</v>
      </c>
      <c r="K981">
        <v>0.05</v>
      </c>
      <c r="L981">
        <v>5795.08</v>
      </c>
      <c r="M981">
        <v>4407.4799999999996</v>
      </c>
      <c r="N981">
        <v>1387.6</v>
      </c>
      <c r="O981" t="s">
        <v>24</v>
      </c>
      <c r="P981">
        <v>4</v>
      </c>
    </row>
    <row r="982" spans="1:16" x14ac:dyDescent="0.35">
      <c r="A982" t="s">
        <v>2026</v>
      </c>
      <c r="B982" s="1">
        <v>45504</v>
      </c>
      <c r="C982" t="s">
        <v>2027</v>
      </c>
      <c r="D982" t="s">
        <v>66</v>
      </c>
      <c r="E982" t="s">
        <v>85</v>
      </c>
      <c r="F982" t="s">
        <v>31</v>
      </c>
      <c r="G982" t="s">
        <v>60</v>
      </c>
      <c r="H982" t="s">
        <v>61</v>
      </c>
      <c r="I982">
        <v>11</v>
      </c>
      <c r="J982">
        <v>1057.73</v>
      </c>
      <c r="K982">
        <v>0.15</v>
      </c>
      <c r="L982">
        <v>9889.7800000000007</v>
      </c>
      <c r="M982">
        <v>5332.66</v>
      </c>
      <c r="N982">
        <v>4557.12</v>
      </c>
      <c r="O982" t="s">
        <v>51</v>
      </c>
      <c r="P982">
        <v>5</v>
      </c>
    </row>
    <row r="983" spans="1:16" x14ac:dyDescent="0.35">
      <c r="A983" t="s">
        <v>2028</v>
      </c>
      <c r="B983" s="1">
        <v>45305</v>
      </c>
      <c r="C983" t="s">
        <v>2029</v>
      </c>
      <c r="D983" t="s">
        <v>19</v>
      </c>
      <c r="E983" t="s">
        <v>98</v>
      </c>
      <c r="F983" t="s">
        <v>21</v>
      </c>
      <c r="G983" t="s">
        <v>43</v>
      </c>
      <c r="H983" t="s">
        <v>44</v>
      </c>
      <c r="I983">
        <v>6</v>
      </c>
      <c r="J983">
        <v>504.15</v>
      </c>
      <c r="K983">
        <v>0.05</v>
      </c>
      <c r="L983">
        <v>2873.65</v>
      </c>
      <c r="M983">
        <v>1639.92</v>
      </c>
      <c r="N983">
        <v>1233.73</v>
      </c>
      <c r="O983" t="s">
        <v>24</v>
      </c>
      <c r="P983">
        <v>4</v>
      </c>
    </row>
    <row r="984" spans="1:16" x14ac:dyDescent="0.35">
      <c r="A984" t="s">
        <v>2030</v>
      </c>
      <c r="B984" s="1">
        <v>45406</v>
      </c>
      <c r="C984" t="s">
        <v>2031</v>
      </c>
      <c r="D984" t="s">
        <v>19</v>
      </c>
      <c r="E984" t="s">
        <v>38</v>
      </c>
      <c r="F984" t="s">
        <v>39</v>
      </c>
      <c r="G984" t="s">
        <v>22</v>
      </c>
      <c r="H984" t="s">
        <v>74</v>
      </c>
      <c r="I984">
        <v>7</v>
      </c>
      <c r="J984">
        <v>1160.73</v>
      </c>
      <c r="K984">
        <v>0</v>
      </c>
      <c r="L984">
        <v>8125.11</v>
      </c>
      <c r="M984">
        <v>6255.13</v>
      </c>
      <c r="N984">
        <v>1869.98</v>
      </c>
      <c r="O984" t="s">
        <v>51</v>
      </c>
      <c r="P984">
        <v>3</v>
      </c>
    </row>
    <row r="985" spans="1:16" x14ac:dyDescent="0.35">
      <c r="A985" t="s">
        <v>2032</v>
      </c>
      <c r="B985" s="1">
        <v>45328</v>
      </c>
      <c r="C985" t="s">
        <v>2033</v>
      </c>
      <c r="D985" t="s">
        <v>49</v>
      </c>
      <c r="E985" t="s">
        <v>38</v>
      </c>
      <c r="F985" t="s">
        <v>39</v>
      </c>
      <c r="G985" t="s">
        <v>22</v>
      </c>
      <c r="H985" t="s">
        <v>124</v>
      </c>
      <c r="I985">
        <v>8</v>
      </c>
      <c r="J985">
        <v>148.93</v>
      </c>
      <c r="K985">
        <v>0</v>
      </c>
      <c r="L985">
        <v>1191.44</v>
      </c>
      <c r="M985">
        <v>596.47</v>
      </c>
      <c r="N985">
        <v>594.97</v>
      </c>
      <c r="O985" t="s">
        <v>24</v>
      </c>
      <c r="P985">
        <v>3</v>
      </c>
    </row>
    <row r="986" spans="1:16" x14ac:dyDescent="0.35">
      <c r="A986" t="s">
        <v>2034</v>
      </c>
      <c r="B986" s="1">
        <v>45618</v>
      </c>
      <c r="C986" t="s">
        <v>2035</v>
      </c>
      <c r="D986" t="s">
        <v>29</v>
      </c>
      <c r="E986" t="s">
        <v>30</v>
      </c>
      <c r="F986" t="s">
        <v>39</v>
      </c>
      <c r="G986" t="s">
        <v>22</v>
      </c>
      <c r="H986" t="s">
        <v>74</v>
      </c>
      <c r="I986">
        <v>5</v>
      </c>
      <c r="J986">
        <v>242.78</v>
      </c>
      <c r="K986">
        <v>0.05</v>
      </c>
      <c r="L986">
        <v>1153.2</v>
      </c>
      <c r="M986">
        <v>867.83</v>
      </c>
      <c r="N986">
        <v>285.37</v>
      </c>
      <c r="O986" t="s">
        <v>24</v>
      </c>
      <c r="P986">
        <v>2</v>
      </c>
    </row>
    <row r="987" spans="1:16" x14ac:dyDescent="0.35">
      <c r="A987" t="s">
        <v>2036</v>
      </c>
      <c r="B987" s="1">
        <v>45573</v>
      </c>
      <c r="C987" t="s">
        <v>2037</v>
      </c>
      <c r="D987" t="s">
        <v>37</v>
      </c>
      <c r="E987" t="s">
        <v>20</v>
      </c>
      <c r="F987" t="s">
        <v>21</v>
      </c>
      <c r="G987" t="s">
        <v>79</v>
      </c>
      <c r="H987" t="s">
        <v>80</v>
      </c>
      <c r="I987">
        <v>11</v>
      </c>
      <c r="J987">
        <v>1131.82</v>
      </c>
      <c r="K987">
        <v>0</v>
      </c>
      <c r="L987">
        <v>12450.02</v>
      </c>
      <c r="M987">
        <v>7512.49</v>
      </c>
      <c r="N987">
        <v>4937.53</v>
      </c>
      <c r="O987" t="s">
        <v>51</v>
      </c>
      <c r="P987">
        <v>2</v>
      </c>
    </row>
    <row r="988" spans="1:16" x14ac:dyDescent="0.35">
      <c r="A988" t="s">
        <v>2038</v>
      </c>
      <c r="B988" s="1">
        <v>45295</v>
      </c>
      <c r="C988" t="s">
        <v>2039</v>
      </c>
      <c r="D988" t="s">
        <v>19</v>
      </c>
      <c r="E988" t="s">
        <v>30</v>
      </c>
      <c r="F988" t="s">
        <v>21</v>
      </c>
      <c r="G988" t="s">
        <v>60</v>
      </c>
      <c r="H988" t="s">
        <v>61</v>
      </c>
      <c r="I988">
        <v>4</v>
      </c>
      <c r="J988">
        <v>520.36</v>
      </c>
      <c r="K988">
        <v>0</v>
      </c>
      <c r="L988">
        <v>2081.44</v>
      </c>
      <c r="M988">
        <v>1736.71</v>
      </c>
      <c r="N988">
        <v>344.73</v>
      </c>
      <c r="O988" t="s">
        <v>62</v>
      </c>
      <c r="P988">
        <v>2</v>
      </c>
    </row>
    <row r="989" spans="1:16" x14ac:dyDescent="0.35">
      <c r="A989" t="s">
        <v>2040</v>
      </c>
      <c r="B989" s="1">
        <v>45376</v>
      </c>
      <c r="C989" t="s">
        <v>2041</v>
      </c>
      <c r="D989" t="s">
        <v>37</v>
      </c>
      <c r="E989" t="s">
        <v>38</v>
      </c>
      <c r="F989" t="s">
        <v>31</v>
      </c>
      <c r="G989" t="s">
        <v>79</v>
      </c>
      <c r="H989" t="s">
        <v>89</v>
      </c>
      <c r="I989">
        <v>10</v>
      </c>
      <c r="J989">
        <v>399.31</v>
      </c>
      <c r="K989">
        <v>0.1</v>
      </c>
      <c r="L989">
        <v>3593.79</v>
      </c>
      <c r="M989">
        <v>3029.5</v>
      </c>
      <c r="N989">
        <v>564.29</v>
      </c>
      <c r="O989" t="s">
        <v>62</v>
      </c>
      <c r="P989">
        <v>2</v>
      </c>
    </row>
    <row r="990" spans="1:16" x14ac:dyDescent="0.35">
      <c r="A990" t="s">
        <v>2042</v>
      </c>
      <c r="B990" s="1">
        <v>45549</v>
      </c>
      <c r="C990" t="s">
        <v>2043</v>
      </c>
      <c r="D990" t="s">
        <v>37</v>
      </c>
      <c r="E990" t="s">
        <v>38</v>
      </c>
      <c r="F990" t="s">
        <v>31</v>
      </c>
      <c r="G990" t="s">
        <v>79</v>
      </c>
      <c r="H990" t="s">
        <v>89</v>
      </c>
      <c r="I990">
        <v>7</v>
      </c>
      <c r="J990">
        <v>190.47</v>
      </c>
      <c r="K990">
        <v>0</v>
      </c>
      <c r="L990">
        <v>1333.29</v>
      </c>
      <c r="M990">
        <v>829.28</v>
      </c>
      <c r="N990">
        <v>504.01</v>
      </c>
      <c r="O990" t="s">
        <v>24</v>
      </c>
      <c r="P990">
        <v>2</v>
      </c>
    </row>
    <row r="991" spans="1:16" x14ac:dyDescent="0.35">
      <c r="A991" t="s">
        <v>2044</v>
      </c>
      <c r="B991" s="1">
        <v>45507</v>
      </c>
      <c r="C991" t="s">
        <v>2045</v>
      </c>
      <c r="D991" t="s">
        <v>37</v>
      </c>
      <c r="E991" t="s">
        <v>85</v>
      </c>
      <c r="F991" t="s">
        <v>31</v>
      </c>
      <c r="G991" t="s">
        <v>79</v>
      </c>
      <c r="H991" t="s">
        <v>80</v>
      </c>
      <c r="I991">
        <v>6</v>
      </c>
      <c r="J991">
        <v>941.86</v>
      </c>
      <c r="K991">
        <v>0.05</v>
      </c>
      <c r="L991">
        <v>5368.6</v>
      </c>
      <c r="M991">
        <v>4079.12</v>
      </c>
      <c r="N991">
        <v>1289.48</v>
      </c>
      <c r="O991" t="s">
        <v>62</v>
      </c>
      <c r="P991">
        <v>3</v>
      </c>
    </row>
    <row r="992" spans="1:16" x14ac:dyDescent="0.35">
      <c r="A992" t="s">
        <v>2046</v>
      </c>
      <c r="B992" s="1">
        <v>45319</v>
      </c>
      <c r="C992" t="s">
        <v>2047</v>
      </c>
      <c r="D992" t="s">
        <v>29</v>
      </c>
      <c r="E992" t="s">
        <v>85</v>
      </c>
      <c r="F992" t="s">
        <v>31</v>
      </c>
      <c r="G992" t="s">
        <v>22</v>
      </c>
      <c r="H992" t="s">
        <v>74</v>
      </c>
      <c r="I992">
        <v>4</v>
      </c>
      <c r="J992">
        <v>264.27</v>
      </c>
      <c r="K992">
        <v>0.05</v>
      </c>
      <c r="L992">
        <v>1004.23</v>
      </c>
      <c r="M992">
        <v>851.81</v>
      </c>
      <c r="N992">
        <v>152.41999999999999</v>
      </c>
      <c r="O992" t="s">
        <v>51</v>
      </c>
      <c r="P992">
        <v>4</v>
      </c>
    </row>
    <row r="993" spans="1:16" x14ac:dyDescent="0.35">
      <c r="A993" t="s">
        <v>2048</v>
      </c>
      <c r="B993" s="1">
        <v>45561</v>
      </c>
      <c r="C993" t="s">
        <v>2049</v>
      </c>
      <c r="D993" t="s">
        <v>19</v>
      </c>
      <c r="E993" t="s">
        <v>98</v>
      </c>
      <c r="F993" t="s">
        <v>39</v>
      </c>
      <c r="G993" t="s">
        <v>79</v>
      </c>
      <c r="H993" t="s">
        <v>89</v>
      </c>
      <c r="I993">
        <v>3</v>
      </c>
      <c r="J993">
        <v>705.7</v>
      </c>
      <c r="K993">
        <v>0.1</v>
      </c>
      <c r="L993">
        <v>1905.39</v>
      </c>
      <c r="M993">
        <v>958.25</v>
      </c>
      <c r="N993">
        <v>947.14</v>
      </c>
      <c r="O993" t="s">
        <v>51</v>
      </c>
      <c r="P993">
        <v>1</v>
      </c>
    </row>
    <row r="994" spans="1:16" x14ac:dyDescent="0.35">
      <c r="A994" t="s">
        <v>2050</v>
      </c>
      <c r="B994" s="1">
        <v>45621</v>
      </c>
      <c r="C994" t="s">
        <v>2051</v>
      </c>
      <c r="D994" t="s">
        <v>37</v>
      </c>
      <c r="E994" t="s">
        <v>85</v>
      </c>
      <c r="F994" t="s">
        <v>21</v>
      </c>
      <c r="G994" t="s">
        <v>22</v>
      </c>
      <c r="H994" t="s">
        <v>74</v>
      </c>
      <c r="I994">
        <v>2</v>
      </c>
      <c r="J994">
        <v>343.74</v>
      </c>
      <c r="K994">
        <v>0</v>
      </c>
      <c r="L994">
        <v>687.48</v>
      </c>
      <c r="M994">
        <v>479.69</v>
      </c>
      <c r="N994">
        <v>207.79</v>
      </c>
      <c r="O994" t="s">
        <v>24</v>
      </c>
      <c r="P994">
        <v>2</v>
      </c>
    </row>
    <row r="995" spans="1:16" x14ac:dyDescent="0.35">
      <c r="A995" t="s">
        <v>2052</v>
      </c>
      <c r="B995" s="1">
        <v>45563</v>
      </c>
      <c r="C995" t="s">
        <v>2053</v>
      </c>
      <c r="D995" t="s">
        <v>49</v>
      </c>
      <c r="E995" t="s">
        <v>38</v>
      </c>
      <c r="F995" t="s">
        <v>39</v>
      </c>
      <c r="G995" t="s">
        <v>79</v>
      </c>
      <c r="H995" t="s">
        <v>80</v>
      </c>
      <c r="I995">
        <v>8</v>
      </c>
      <c r="J995">
        <v>121.94</v>
      </c>
      <c r="K995">
        <v>0.05</v>
      </c>
      <c r="L995">
        <v>926.74</v>
      </c>
      <c r="M995">
        <v>724.94</v>
      </c>
      <c r="N995">
        <v>201.8</v>
      </c>
      <c r="O995" t="s">
        <v>33</v>
      </c>
      <c r="P995">
        <v>2</v>
      </c>
    </row>
    <row r="996" spans="1:16" x14ac:dyDescent="0.35">
      <c r="A996" t="s">
        <v>2054</v>
      </c>
      <c r="B996" s="1">
        <v>45448</v>
      </c>
      <c r="C996" t="s">
        <v>942</v>
      </c>
      <c r="D996" t="s">
        <v>49</v>
      </c>
      <c r="E996" t="s">
        <v>20</v>
      </c>
      <c r="F996" t="s">
        <v>31</v>
      </c>
      <c r="G996" t="s">
        <v>60</v>
      </c>
      <c r="H996" t="s">
        <v>61</v>
      </c>
      <c r="I996">
        <v>2</v>
      </c>
      <c r="J996">
        <v>325.55</v>
      </c>
      <c r="K996">
        <v>0.05</v>
      </c>
      <c r="L996">
        <v>618.54</v>
      </c>
      <c r="M996">
        <v>312.63</v>
      </c>
      <c r="N996">
        <v>305.91000000000003</v>
      </c>
      <c r="O996" t="s">
        <v>24</v>
      </c>
      <c r="P996">
        <v>5</v>
      </c>
    </row>
    <row r="997" spans="1:16" x14ac:dyDescent="0.35">
      <c r="A997" t="s">
        <v>2055</v>
      </c>
      <c r="B997" s="1">
        <v>45506</v>
      </c>
      <c r="C997" t="s">
        <v>2056</v>
      </c>
      <c r="D997" t="s">
        <v>19</v>
      </c>
      <c r="E997" t="s">
        <v>38</v>
      </c>
      <c r="F997" t="s">
        <v>21</v>
      </c>
      <c r="G997" t="s">
        <v>43</v>
      </c>
      <c r="H997" t="s">
        <v>50</v>
      </c>
      <c r="I997">
        <v>7</v>
      </c>
      <c r="J997">
        <v>764.96</v>
      </c>
      <c r="K997">
        <v>0.05</v>
      </c>
      <c r="L997">
        <v>5086.9799999999996</v>
      </c>
      <c r="M997">
        <v>4302.43</v>
      </c>
      <c r="N997">
        <v>784.55</v>
      </c>
      <c r="O997" t="s">
        <v>51</v>
      </c>
      <c r="P997">
        <v>4</v>
      </c>
    </row>
    <row r="998" spans="1:16" x14ac:dyDescent="0.35">
      <c r="A998" t="s">
        <v>2057</v>
      </c>
      <c r="B998" s="1">
        <v>45449</v>
      </c>
      <c r="C998" t="s">
        <v>2058</v>
      </c>
      <c r="D998" t="s">
        <v>29</v>
      </c>
      <c r="E998" t="s">
        <v>38</v>
      </c>
      <c r="F998" t="s">
        <v>39</v>
      </c>
      <c r="G998" t="s">
        <v>60</v>
      </c>
      <c r="H998" t="s">
        <v>61</v>
      </c>
      <c r="I998">
        <v>7</v>
      </c>
      <c r="J998">
        <v>900.81</v>
      </c>
      <c r="K998">
        <v>0.05</v>
      </c>
      <c r="L998">
        <v>5990.39</v>
      </c>
      <c r="M998">
        <v>3744.5</v>
      </c>
      <c r="N998">
        <v>2245.89</v>
      </c>
      <c r="O998" t="s">
        <v>33</v>
      </c>
      <c r="P998">
        <v>2</v>
      </c>
    </row>
    <row r="999" spans="1:16" x14ac:dyDescent="0.35">
      <c r="A999" t="s">
        <v>2059</v>
      </c>
      <c r="B999" s="1">
        <v>45452</v>
      </c>
      <c r="C999" t="s">
        <v>2060</v>
      </c>
      <c r="D999" t="s">
        <v>66</v>
      </c>
      <c r="E999" t="s">
        <v>30</v>
      </c>
      <c r="F999" t="s">
        <v>21</v>
      </c>
      <c r="G999" t="s">
        <v>22</v>
      </c>
      <c r="H999" t="s">
        <v>32</v>
      </c>
      <c r="I999">
        <v>3</v>
      </c>
      <c r="J999">
        <v>776.64</v>
      </c>
      <c r="K999">
        <v>0.1</v>
      </c>
      <c r="L999">
        <v>2096.9299999999998</v>
      </c>
      <c r="M999">
        <v>1410.12</v>
      </c>
      <c r="N999">
        <v>686.81</v>
      </c>
      <c r="O999" t="s">
        <v>33</v>
      </c>
      <c r="P999">
        <v>1</v>
      </c>
    </row>
    <row r="1000" spans="1:16" x14ac:dyDescent="0.35">
      <c r="A1000" t="s">
        <v>2061</v>
      </c>
      <c r="B1000" s="1">
        <v>45421</v>
      </c>
      <c r="C1000" t="s">
        <v>2062</v>
      </c>
      <c r="D1000" t="s">
        <v>49</v>
      </c>
      <c r="E1000" t="s">
        <v>38</v>
      </c>
      <c r="F1000" t="s">
        <v>31</v>
      </c>
      <c r="G1000" t="s">
        <v>43</v>
      </c>
      <c r="H1000" t="s">
        <v>44</v>
      </c>
      <c r="I1000">
        <v>6</v>
      </c>
      <c r="J1000">
        <v>93.07</v>
      </c>
      <c r="K1000">
        <v>0.15</v>
      </c>
      <c r="L1000">
        <v>474.66</v>
      </c>
      <c r="M1000">
        <v>391.66</v>
      </c>
      <c r="N1000">
        <v>83</v>
      </c>
      <c r="O1000" t="s">
        <v>24</v>
      </c>
      <c r="P1000">
        <v>3</v>
      </c>
    </row>
    <row r="1001" spans="1:16" x14ac:dyDescent="0.35">
      <c r="A1001" t="s">
        <v>2063</v>
      </c>
      <c r="B1001" s="1">
        <v>45416</v>
      </c>
      <c r="C1001" t="s">
        <v>2064</v>
      </c>
      <c r="D1001" t="s">
        <v>37</v>
      </c>
      <c r="E1001" t="s">
        <v>98</v>
      </c>
      <c r="F1001" t="s">
        <v>31</v>
      </c>
      <c r="G1001" t="s">
        <v>79</v>
      </c>
      <c r="H1001" t="s">
        <v>103</v>
      </c>
      <c r="I1001">
        <v>6</v>
      </c>
      <c r="J1001">
        <v>680</v>
      </c>
      <c r="K1001">
        <v>0.05</v>
      </c>
      <c r="L1001">
        <v>3876</v>
      </c>
      <c r="M1001">
        <v>2648.82</v>
      </c>
      <c r="N1001">
        <v>1227.18</v>
      </c>
      <c r="O1001" t="s">
        <v>62</v>
      </c>
      <c r="P10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41"/>
  <sheetViews>
    <sheetView topLeftCell="A37" workbookViewId="0">
      <selection activeCell="D49" sqref="D49"/>
    </sheetView>
  </sheetViews>
  <sheetFormatPr defaultRowHeight="14.5" x14ac:dyDescent="0.35"/>
  <cols>
    <col min="1" max="1" width="14.1796875" bestFit="1" customWidth="1"/>
    <col min="2" max="2" width="15.81640625" bestFit="1" customWidth="1"/>
    <col min="3" max="3" width="14.54296875" bestFit="1" customWidth="1"/>
    <col min="4" max="4" width="25.54296875" bestFit="1" customWidth="1"/>
  </cols>
  <sheetData>
    <row r="3" spans="1:2" x14ac:dyDescent="0.35">
      <c r="A3" s="3" t="s">
        <v>2075</v>
      </c>
      <c r="B3" t="s">
        <v>2076</v>
      </c>
    </row>
    <row r="4" spans="1:2" x14ac:dyDescent="0.35">
      <c r="A4" s="4" t="s">
        <v>66</v>
      </c>
      <c r="B4">
        <v>273429.39999999979</v>
      </c>
    </row>
    <row r="5" spans="1:2" x14ac:dyDescent="0.35">
      <c r="A5" s="4" t="s">
        <v>49</v>
      </c>
      <c r="B5">
        <v>242909.00000000003</v>
      </c>
    </row>
    <row r="6" spans="1:2" x14ac:dyDescent="0.35">
      <c r="A6" s="4" t="s">
        <v>29</v>
      </c>
      <c r="B6">
        <v>219040.01999999996</v>
      </c>
    </row>
    <row r="7" spans="1:2" x14ac:dyDescent="0.35">
      <c r="A7" s="4" t="s">
        <v>37</v>
      </c>
      <c r="B7">
        <v>239679.56</v>
      </c>
    </row>
    <row r="8" spans="1:2" x14ac:dyDescent="0.35">
      <c r="A8" s="4" t="s">
        <v>19</v>
      </c>
      <c r="B8">
        <v>220771.44999999998</v>
      </c>
    </row>
    <row r="9" spans="1:2" x14ac:dyDescent="0.35">
      <c r="A9" s="4" t="s">
        <v>2077</v>
      </c>
      <c r="B9">
        <v>1195829.4299999997</v>
      </c>
    </row>
    <row r="13" spans="1:2" x14ac:dyDescent="0.35">
      <c r="A13" s="5" t="s">
        <v>2099</v>
      </c>
      <c r="B13" t="s">
        <v>2098</v>
      </c>
    </row>
    <row r="14" spans="1:2" x14ac:dyDescent="0.35">
      <c r="A14" s="3" t="s">
        <v>2075</v>
      </c>
      <c r="B14" t="s">
        <v>2076</v>
      </c>
    </row>
    <row r="15" spans="1:2" x14ac:dyDescent="0.35">
      <c r="A15" s="4" t="s">
        <v>98</v>
      </c>
      <c r="B15">
        <v>241766.09999999986</v>
      </c>
    </row>
    <row r="16" spans="1:2" x14ac:dyDescent="0.35">
      <c r="A16" s="4" t="s">
        <v>30</v>
      </c>
      <c r="B16">
        <v>214606.71999999994</v>
      </c>
    </row>
    <row r="17" spans="1:2" x14ac:dyDescent="0.35">
      <c r="A17" s="4" t="s">
        <v>85</v>
      </c>
      <c r="B17">
        <v>245006.53000000006</v>
      </c>
    </row>
    <row r="18" spans="1:2" x14ac:dyDescent="0.35">
      <c r="A18" s="4" t="s">
        <v>38</v>
      </c>
      <c r="B18">
        <v>245438.35000000003</v>
      </c>
    </row>
    <row r="19" spans="1:2" x14ac:dyDescent="0.35">
      <c r="A19" s="4" t="s">
        <v>20</v>
      </c>
      <c r="B19">
        <v>249011.73000000007</v>
      </c>
    </row>
    <row r="20" spans="1:2" x14ac:dyDescent="0.35">
      <c r="A20" s="4" t="s">
        <v>2077</v>
      </c>
      <c r="B20">
        <v>1195829.43</v>
      </c>
    </row>
    <row r="24" spans="1:2" x14ac:dyDescent="0.35">
      <c r="A24" t="s">
        <v>2100</v>
      </c>
    </row>
    <row r="25" spans="1:2" x14ac:dyDescent="0.35">
      <c r="A25" s="3" t="s">
        <v>2075</v>
      </c>
      <c r="B25" t="s">
        <v>2081</v>
      </c>
    </row>
    <row r="26" spans="1:2" x14ac:dyDescent="0.35">
      <c r="A26" s="4" t="s">
        <v>2082</v>
      </c>
      <c r="B26">
        <v>655162.47</v>
      </c>
    </row>
    <row r="27" spans="1:2" x14ac:dyDescent="0.35">
      <c r="A27" s="4" t="s">
        <v>2086</v>
      </c>
      <c r="B27">
        <v>519584.01999999996</v>
      </c>
    </row>
    <row r="28" spans="1:2" x14ac:dyDescent="0.35">
      <c r="A28" s="4" t="s">
        <v>2090</v>
      </c>
      <c r="B28">
        <v>635647.97999999963</v>
      </c>
    </row>
    <row r="29" spans="1:2" x14ac:dyDescent="0.35">
      <c r="A29" s="4" t="s">
        <v>2094</v>
      </c>
      <c r="B29">
        <v>660279.98999999976</v>
      </c>
    </row>
    <row r="30" spans="1:2" x14ac:dyDescent="0.35">
      <c r="A30" s="4" t="s">
        <v>2077</v>
      </c>
      <c r="B30">
        <v>2470674.4599999995</v>
      </c>
    </row>
    <row r="35" spans="1:4" x14ac:dyDescent="0.35">
      <c r="A35" s="3" t="s">
        <v>2075</v>
      </c>
      <c r="B35" t="s">
        <v>2078</v>
      </c>
      <c r="C35" t="s">
        <v>2079</v>
      </c>
      <c r="D35" t="s">
        <v>2101</v>
      </c>
    </row>
    <row r="36" spans="1:4" x14ac:dyDescent="0.35">
      <c r="A36" s="4" t="s">
        <v>98</v>
      </c>
      <c r="B36">
        <v>123040.09999999999</v>
      </c>
      <c r="C36">
        <v>15.650000000000015</v>
      </c>
      <c r="D36">
        <v>750834.78999999969</v>
      </c>
    </row>
    <row r="37" spans="1:4" x14ac:dyDescent="0.35">
      <c r="A37" s="4" t="s">
        <v>30</v>
      </c>
      <c r="B37">
        <v>110093.42000000004</v>
      </c>
      <c r="C37">
        <v>13.650000000000011</v>
      </c>
      <c r="D37">
        <v>654663.09999999986</v>
      </c>
    </row>
    <row r="38" spans="1:4" x14ac:dyDescent="0.35">
      <c r="A38" s="4" t="s">
        <v>85</v>
      </c>
      <c r="B38">
        <v>120990.89999999997</v>
      </c>
      <c r="C38">
        <v>15.10000000000001</v>
      </c>
      <c r="D38">
        <v>763124.68000000028</v>
      </c>
    </row>
    <row r="39" spans="1:4" x14ac:dyDescent="0.35">
      <c r="A39" s="4" t="s">
        <v>38</v>
      </c>
      <c r="B39">
        <v>121351.98999999992</v>
      </c>
      <c r="C39">
        <v>15.250000000000018</v>
      </c>
      <c r="D39">
        <v>775949.43000000028</v>
      </c>
    </row>
    <row r="40" spans="1:4" x14ac:dyDescent="0.35">
      <c r="A40" s="4" t="s">
        <v>20</v>
      </c>
      <c r="B40">
        <v>119500.59000000003</v>
      </c>
      <c r="C40">
        <v>15.950000000000012</v>
      </c>
      <c r="D40">
        <v>721931.89000000013</v>
      </c>
    </row>
    <row r="41" spans="1:4" x14ac:dyDescent="0.35">
      <c r="A41" s="4" t="s">
        <v>2077</v>
      </c>
      <c r="B41">
        <v>594977</v>
      </c>
      <c r="C41">
        <v>75.600000000000065</v>
      </c>
      <c r="D41">
        <v>3666503.89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76"/>
  <sheetViews>
    <sheetView topLeftCell="A70" zoomScale="110" workbookViewId="0">
      <selection activeCell="B91" sqref="B91"/>
    </sheetView>
  </sheetViews>
  <sheetFormatPr defaultRowHeight="14.5" x14ac:dyDescent="0.35"/>
  <cols>
    <col min="1" max="1" width="12.36328125" bestFit="1" customWidth="1"/>
    <col min="2" max="2" width="19.26953125" bestFit="1" customWidth="1"/>
    <col min="3" max="3" width="16.08984375" bestFit="1" customWidth="1"/>
  </cols>
  <sheetData>
    <row r="3" spans="1:2" x14ac:dyDescent="0.35">
      <c r="A3" s="3" t="s">
        <v>2075</v>
      </c>
      <c r="B3" t="s">
        <v>2080</v>
      </c>
    </row>
    <row r="4" spans="1:2" x14ac:dyDescent="0.35">
      <c r="A4" s="4" t="s">
        <v>2083</v>
      </c>
      <c r="B4">
        <v>342969.82</v>
      </c>
    </row>
    <row r="5" spans="1:2" x14ac:dyDescent="0.35">
      <c r="A5" s="4" t="s">
        <v>2084</v>
      </c>
      <c r="B5">
        <v>254754.49</v>
      </c>
    </row>
    <row r="6" spans="1:2" x14ac:dyDescent="0.35">
      <c r="A6" s="4" t="s">
        <v>2085</v>
      </c>
      <c r="B6">
        <v>371316.2</v>
      </c>
    </row>
    <row r="7" spans="1:2" x14ac:dyDescent="0.35">
      <c r="A7" s="4" t="s">
        <v>2087</v>
      </c>
      <c r="B7">
        <v>269202.7300000001</v>
      </c>
    </row>
    <row r="8" spans="1:2" x14ac:dyDescent="0.35">
      <c r="A8" s="4" t="s">
        <v>2088</v>
      </c>
      <c r="B8">
        <v>246722.61</v>
      </c>
    </row>
    <row r="9" spans="1:2" x14ac:dyDescent="0.35">
      <c r="A9" s="4" t="s">
        <v>2089</v>
      </c>
      <c r="B9">
        <v>271545.53000000003</v>
      </c>
    </row>
    <row r="10" spans="1:2" x14ac:dyDescent="0.35">
      <c r="A10" s="4" t="s">
        <v>2091</v>
      </c>
      <c r="B10">
        <v>306339.27000000008</v>
      </c>
    </row>
    <row r="11" spans="1:2" x14ac:dyDescent="0.35">
      <c r="A11" s="4" t="s">
        <v>2092</v>
      </c>
      <c r="B11">
        <v>341138.55</v>
      </c>
    </row>
    <row r="12" spans="1:2" x14ac:dyDescent="0.35">
      <c r="A12" s="4" t="s">
        <v>2093</v>
      </c>
      <c r="B12">
        <v>303314.47000000003</v>
      </c>
    </row>
    <row r="13" spans="1:2" x14ac:dyDescent="0.35">
      <c r="A13" s="4" t="s">
        <v>2095</v>
      </c>
      <c r="B13">
        <v>305829.44000000018</v>
      </c>
    </row>
    <row r="14" spans="1:2" x14ac:dyDescent="0.35">
      <c r="A14" s="4" t="s">
        <v>2096</v>
      </c>
      <c r="B14">
        <v>308143.10999999987</v>
      </c>
    </row>
    <row r="15" spans="1:2" x14ac:dyDescent="0.35">
      <c r="A15" s="4" t="s">
        <v>2097</v>
      </c>
      <c r="B15">
        <v>345227.6700000001</v>
      </c>
    </row>
    <row r="16" spans="1:2" x14ac:dyDescent="0.35">
      <c r="A16" s="4" t="s">
        <v>2077</v>
      </c>
      <c r="B16">
        <v>3666503.89</v>
      </c>
    </row>
    <row r="21" spans="1:2" x14ac:dyDescent="0.35">
      <c r="A21" s="3" t="s">
        <v>2075</v>
      </c>
      <c r="B21" t="s">
        <v>2080</v>
      </c>
    </row>
    <row r="22" spans="1:2" x14ac:dyDescent="0.35">
      <c r="A22" s="4" t="s">
        <v>2083</v>
      </c>
      <c r="B22">
        <v>342969.82</v>
      </c>
    </row>
    <row r="23" spans="1:2" x14ac:dyDescent="0.35">
      <c r="A23" s="6" t="s">
        <v>2082</v>
      </c>
      <c r="B23">
        <v>342969.82</v>
      </c>
    </row>
    <row r="24" spans="1:2" x14ac:dyDescent="0.35">
      <c r="A24" s="4" t="s">
        <v>2084</v>
      </c>
      <c r="B24">
        <v>254754.49</v>
      </c>
    </row>
    <row r="25" spans="1:2" x14ac:dyDescent="0.35">
      <c r="A25" s="6" t="s">
        <v>2082</v>
      </c>
      <c r="B25">
        <v>254754.49</v>
      </c>
    </row>
    <row r="26" spans="1:2" x14ac:dyDescent="0.35">
      <c r="A26" s="4" t="s">
        <v>2085</v>
      </c>
      <c r="B26">
        <v>371316.2</v>
      </c>
    </row>
    <row r="27" spans="1:2" x14ac:dyDescent="0.35">
      <c r="A27" s="6" t="s">
        <v>2082</v>
      </c>
      <c r="B27">
        <v>371316.2</v>
      </c>
    </row>
    <row r="28" spans="1:2" x14ac:dyDescent="0.35">
      <c r="A28" s="4" t="s">
        <v>2087</v>
      </c>
      <c r="B28">
        <v>269202.7300000001</v>
      </c>
    </row>
    <row r="29" spans="1:2" x14ac:dyDescent="0.35">
      <c r="A29" s="6" t="s">
        <v>2086</v>
      </c>
      <c r="B29">
        <v>269202.7300000001</v>
      </c>
    </row>
    <row r="30" spans="1:2" x14ac:dyDescent="0.35">
      <c r="A30" s="4" t="s">
        <v>2088</v>
      </c>
      <c r="B30">
        <v>246722.61</v>
      </c>
    </row>
    <row r="31" spans="1:2" x14ac:dyDescent="0.35">
      <c r="A31" s="6" t="s">
        <v>2086</v>
      </c>
      <c r="B31">
        <v>246722.61</v>
      </c>
    </row>
    <row r="32" spans="1:2" x14ac:dyDescent="0.35">
      <c r="A32" s="4" t="s">
        <v>2089</v>
      </c>
      <c r="B32">
        <v>271545.53000000003</v>
      </c>
    </row>
    <row r="33" spans="1:2" x14ac:dyDescent="0.35">
      <c r="A33" s="6" t="s">
        <v>2086</v>
      </c>
      <c r="B33">
        <v>271545.53000000003</v>
      </c>
    </row>
    <row r="34" spans="1:2" x14ac:dyDescent="0.35">
      <c r="A34" s="4" t="s">
        <v>2091</v>
      </c>
      <c r="B34">
        <v>306339.27000000008</v>
      </c>
    </row>
    <row r="35" spans="1:2" x14ac:dyDescent="0.35">
      <c r="A35" s="6" t="s">
        <v>2090</v>
      </c>
      <c r="B35">
        <v>306339.27000000008</v>
      </c>
    </row>
    <row r="36" spans="1:2" x14ac:dyDescent="0.35">
      <c r="A36" s="4" t="s">
        <v>2092</v>
      </c>
      <c r="B36">
        <v>341138.55</v>
      </c>
    </row>
    <row r="37" spans="1:2" x14ac:dyDescent="0.35">
      <c r="A37" s="6" t="s">
        <v>2090</v>
      </c>
      <c r="B37">
        <v>341138.55</v>
      </c>
    </row>
    <row r="38" spans="1:2" x14ac:dyDescent="0.35">
      <c r="A38" s="4" t="s">
        <v>2093</v>
      </c>
      <c r="B38">
        <v>303314.47000000003</v>
      </c>
    </row>
    <row r="39" spans="1:2" x14ac:dyDescent="0.35">
      <c r="A39" s="6" t="s">
        <v>2090</v>
      </c>
      <c r="B39">
        <v>303314.47000000003</v>
      </c>
    </row>
    <row r="40" spans="1:2" x14ac:dyDescent="0.35">
      <c r="A40" s="4" t="s">
        <v>2095</v>
      </c>
      <c r="B40">
        <v>305829.44000000018</v>
      </c>
    </row>
    <row r="41" spans="1:2" x14ac:dyDescent="0.35">
      <c r="A41" s="6" t="s">
        <v>2094</v>
      </c>
      <c r="B41">
        <v>305829.44000000018</v>
      </c>
    </row>
    <row r="42" spans="1:2" x14ac:dyDescent="0.35">
      <c r="A42" s="4" t="s">
        <v>2096</v>
      </c>
      <c r="B42">
        <v>308143.10999999987</v>
      </c>
    </row>
    <row r="43" spans="1:2" x14ac:dyDescent="0.35">
      <c r="A43" s="6" t="s">
        <v>2094</v>
      </c>
      <c r="B43">
        <v>308143.10999999987</v>
      </c>
    </row>
    <row r="44" spans="1:2" x14ac:dyDescent="0.35">
      <c r="A44" s="4" t="s">
        <v>2097</v>
      </c>
      <c r="B44">
        <v>345227.6700000001</v>
      </c>
    </row>
    <row r="45" spans="1:2" x14ac:dyDescent="0.35">
      <c r="A45" s="6" t="s">
        <v>2094</v>
      </c>
      <c r="B45">
        <v>345227.6700000001</v>
      </c>
    </row>
    <row r="46" spans="1:2" x14ac:dyDescent="0.35">
      <c r="A46" s="4" t="s">
        <v>2077</v>
      </c>
      <c r="B46">
        <v>3666503.89</v>
      </c>
    </row>
    <row r="51" spans="1:3" x14ac:dyDescent="0.35">
      <c r="A51" s="3" t="s">
        <v>2075</v>
      </c>
      <c r="B51" t="s">
        <v>2080</v>
      </c>
      <c r="C51" t="s">
        <v>2102</v>
      </c>
    </row>
    <row r="52" spans="1:3" x14ac:dyDescent="0.35">
      <c r="A52" s="4" t="s">
        <v>2083</v>
      </c>
      <c r="B52">
        <v>342969.82</v>
      </c>
      <c r="C52">
        <v>170016</v>
      </c>
    </row>
    <row r="53" spans="1:3" x14ac:dyDescent="0.35">
      <c r="A53" s="6" t="s">
        <v>2082</v>
      </c>
      <c r="B53">
        <v>342969.82</v>
      </c>
      <c r="C53">
        <v>170016</v>
      </c>
    </row>
    <row r="54" spans="1:3" x14ac:dyDescent="0.35">
      <c r="A54" s="4" t="s">
        <v>2084</v>
      </c>
      <c r="B54">
        <v>254754.49</v>
      </c>
      <c r="C54">
        <v>149776</v>
      </c>
    </row>
    <row r="55" spans="1:3" x14ac:dyDescent="0.35">
      <c r="A55" s="6" t="s">
        <v>2082</v>
      </c>
      <c r="B55">
        <v>254754.49</v>
      </c>
      <c r="C55">
        <v>149776</v>
      </c>
    </row>
    <row r="56" spans="1:3" x14ac:dyDescent="0.35">
      <c r="A56" s="4" t="s">
        <v>2085</v>
      </c>
      <c r="B56">
        <v>371316.2</v>
      </c>
      <c r="C56">
        <v>184184</v>
      </c>
    </row>
    <row r="57" spans="1:3" x14ac:dyDescent="0.35">
      <c r="A57" s="6" t="s">
        <v>2082</v>
      </c>
      <c r="B57">
        <v>371316.2</v>
      </c>
      <c r="C57">
        <v>184184</v>
      </c>
    </row>
    <row r="58" spans="1:3" x14ac:dyDescent="0.35">
      <c r="A58" s="4" t="s">
        <v>2087</v>
      </c>
      <c r="B58">
        <v>269202.7300000001</v>
      </c>
      <c r="C58">
        <v>159896</v>
      </c>
    </row>
    <row r="59" spans="1:3" x14ac:dyDescent="0.35">
      <c r="A59" s="6" t="s">
        <v>2086</v>
      </c>
      <c r="B59">
        <v>269202.7300000001</v>
      </c>
      <c r="C59">
        <v>159896</v>
      </c>
    </row>
    <row r="60" spans="1:3" x14ac:dyDescent="0.35">
      <c r="A60" s="4" t="s">
        <v>2088</v>
      </c>
      <c r="B60">
        <v>246722.61</v>
      </c>
      <c r="C60">
        <v>153824</v>
      </c>
    </row>
    <row r="61" spans="1:3" x14ac:dyDescent="0.35">
      <c r="A61" s="6" t="s">
        <v>2086</v>
      </c>
      <c r="B61">
        <v>246722.61</v>
      </c>
      <c r="C61">
        <v>153824</v>
      </c>
    </row>
    <row r="62" spans="1:3" x14ac:dyDescent="0.35">
      <c r="A62" s="4" t="s">
        <v>2089</v>
      </c>
      <c r="B62">
        <v>271545.53000000003</v>
      </c>
      <c r="C62">
        <v>155848</v>
      </c>
    </row>
    <row r="63" spans="1:3" x14ac:dyDescent="0.35">
      <c r="A63" s="6" t="s">
        <v>2086</v>
      </c>
      <c r="B63">
        <v>271545.53000000003</v>
      </c>
      <c r="C63">
        <v>155848</v>
      </c>
    </row>
    <row r="64" spans="1:3" x14ac:dyDescent="0.35">
      <c r="A64" s="4" t="s">
        <v>2091</v>
      </c>
      <c r="B64">
        <v>306339.27000000008</v>
      </c>
      <c r="C64">
        <v>182160</v>
      </c>
    </row>
    <row r="65" spans="1:3" x14ac:dyDescent="0.35">
      <c r="A65" s="6" t="s">
        <v>2090</v>
      </c>
      <c r="B65">
        <v>306339.27000000008</v>
      </c>
      <c r="C65">
        <v>182160</v>
      </c>
    </row>
    <row r="66" spans="1:3" x14ac:dyDescent="0.35">
      <c r="A66" s="4" t="s">
        <v>2092</v>
      </c>
      <c r="B66">
        <v>341138.55</v>
      </c>
      <c r="C66">
        <v>184184</v>
      </c>
    </row>
    <row r="67" spans="1:3" x14ac:dyDescent="0.35">
      <c r="A67" s="6" t="s">
        <v>2090</v>
      </c>
      <c r="B67">
        <v>341138.55</v>
      </c>
      <c r="C67">
        <v>184184</v>
      </c>
    </row>
    <row r="68" spans="1:3" x14ac:dyDescent="0.35">
      <c r="A68" s="4" t="s">
        <v>2093</v>
      </c>
      <c r="B68">
        <v>303314.47000000003</v>
      </c>
      <c r="C68">
        <v>172040</v>
      </c>
    </row>
    <row r="69" spans="1:3" x14ac:dyDescent="0.35">
      <c r="A69" s="6" t="s">
        <v>2090</v>
      </c>
      <c r="B69">
        <v>303314.47000000003</v>
      </c>
      <c r="C69">
        <v>172040</v>
      </c>
    </row>
    <row r="70" spans="1:3" x14ac:dyDescent="0.35">
      <c r="A70" s="4" t="s">
        <v>2095</v>
      </c>
      <c r="B70">
        <v>305829.44000000018</v>
      </c>
      <c r="C70">
        <v>153824</v>
      </c>
    </row>
    <row r="71" spans="1:3" x14ac:dyDescent="0.35">
      <c r="A71" s="6" t="s">
        <v>2094</v>
      </c>
      <c r="B71">
        <v>305829.44000000018</v>
      </c>
      <c r="C71">
        <v>153824</v>
      </c>
    </row>
    <row r="72" spans="1:3" x14ac:dyDescent="0.35">
      <c r="A72" s="4" t="s">
        <v>2096</v>
      </c>
      <c r="B72">
        <v>308143.10999999987</v>
      </c>
      <c r="C72">
        <v>172040</v>
      </c>
    </row>
    <row r="73" spans="1:3" x14ac:dyDescent="0.35">
      <c r="A73" s="6" t="s">
        <v>2094</v>
      </c>
      <c r="B73">
        <v>308143.10999999987</v>
      </c>
      <c r="C73">
        <v>172040</v>
      </c>
    </row>
    <row r="74" spans="1:3" x14ac:dyDescent="0.35">
      <c r="A74" s="4" t="s">
        <v>2097</v>
      </c>
      <c r="B74">
        <v>345227.6700000001</v>
      </c>
      <c r="C74">
        <v>186208</v>
      </c>
    </row>
    <row r="75" spans="1:3" x14ac:dyDescent="0.35">
      <c r="A75" s="6" t="s">
        <v>2094</v>
      </c>
      <c r="B75">
        <v>345227.6700000001</v>
      </c>
      <c r="C75">
        <v>186208</v>
      </c>
    </row>
    <row r="76" spans="1:3" x14ac:dyDescent="0.35">
      <c r="A76" s="4" t="s">
        <v>2077</v>
      </c>
      <c r="B76">
        <v>3666503.89</v>
      </c>
      <c r="C76">
        <v>2024000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50"/>
  <sheetViews>
    <sheetView topLeftCell="A20" workbookViewId="0">
      <selection activeCell="D41" sqref="D41"/>
    </sheetView>
  </sheetViews>
  <sheetFormatPr defaultRowHeight="14.5" x14ac:dyDescent="0.35"/>
  <cols>
    <col min="1" max="1" width="17" bestFit="1" customWidth="1"/>
    <col min="2" max="2" width="19.26953125" bestFit="1" customWidth="1"/>
    <col min="3" max="13" width="15.26953125" bestFit="1" customWidth="1"/>
    <col min="14" max="14" width="10.7265625" bestFit="1" customWidth="1"/>
    <col min="15" max="15" width="10.81640625" bestFit="1" customWidth="1"/>
    <col min="16" max="36" width="6.81640625" bestFit="1" customWidth="1"/>
    <col min="37" max="37" width="3.81640625" bestFit="1" customWidth="1"/>
    <col min="38" max="64" width="6.81640625" bestFit="1" customWidth="1"/>
    <col min="65" max="65" width="5.81640625" bestFit="1" customWidth="1"/>
    <col min="66" max="85" width="6.81640625" bestFit="1" customWidth="1"/>
    <col min="86" max="86" width="5.81640625" bestFit="1" customWidth="1"/>
    <col min="87" max="89" width="6.81640625" bestFit="1" customWidth="1"/>
    <col min="90" max="91" width="5.81640625" bestFit="1" customWidth="1"/>
    <col min="92" max="92" width="6.81640625" bestFit="1" customWidth="1"/>
    <col min="93" max="94" width="5.81640625" bestFit="1" customWidth="1"/>
    <col min="95" max="97" width="6.81640625" bestFit="1" customWidth="1"/>
    <col min="98" max="98" width="3.81640625" bestFit="1" customWidth="1"/>
    <col min="99" max="117" width="6.81640625" bestFit="1" customWidth="1"/>
    <col min="118" max="118" width="5.81640625" bestFit="1" customWidth="1"/>
    <col min="119" max="130" width="6.81640625" bestFit="1" customWidth="1"/>
    <col min="131" max="132" width="5.81640625" bestFit="1" customWidth="1"/>
    <col min="133" max="141" width="6.81640625" bestFit="1" customWidth="1"/>
    <col min="142" max="142" width="5.81640625" bestFit="1" customWidth="1"/>
    <col min="143" max="145" width="6.81640625" bestFit="1" customWidth="1"/>
    <col min="146" max="146" width="5.81640625" bestFit="1" customWidth="1"/>
    <col min="147" max="154" width="6.81640625" bestFit="1" customWidth="1"/>
    <col min="155" max="155" width="5.81640625" bestFit="1" customWidth="1"/>
    <col min="156" max="166" width="6.81640625" bestFit="1" customWidth="1"/>
    <col min="167" max="167" width="5.81640625" bestFit="1" customWidth="1"/>
    <col min="168" max="177" width="6.81640625" bestFit="1" customWidth="1"/>
    <col min="178" max="178" width="5.81640625" bestFit="1" customWidth="1"/>
    <col min="179" max="181" width="6.81640625" bestFit="1" customWidth="1"/>
    <col min="182" max="183" width="5.81640625" bestFit="1" customWidth="1"/>
    <col min="184" max="187" width="6.81640625" bestFit="1" customWidth="1"/>
    <col min="188" max="188" width="5.81640625" bestFit="1" customWidth="1"/>
    <col min="189" max="191" width="6.81640625" bestFit="1" customWidth="1"/>
    <col min="192" max="192" width="5.81640625" bestFit="1" customWidth="1"/>
    <col min="193" max="217" width="6.81640625" bestFit="1" customWidth="1"/>
    <col min="218" max="218" width="5.81640625" bestFit="1" customWidth="1"/>
    <col min="219" max="228" width="6.81640625" bestFit="1" customWidth="1"/>
    <col min="229" max="239" width="7.81640625" bestFit="1" customWidth="1"/>
    <col min="240" max="240" width="6.81640625" bestFit="1" customWidth="1"/>
    <col min="241" max="257" width="7.81640625" bestFit="1" customWidth="1"/>
    <col min="258" max="258" width="6.81640625" bestFit="1" customWidth="1"/>
    <col min="259" max="265" width="7.81640625" bestFit="1" customWidth="1"/>
    <col min="266" max="266" width="6.81640625" bestFit="1" customWidth="1"/>
    <col min="267" max="268" width="7.81640625" bestFit="1" customWidth="1"/>
    <col min="269" max="269" width="6.81640625" bestFit="1" customWidth="1"/>
    <col min="270" max="275" width="7.81640625" bestFit="1" customWidth="1"/>
    <col min="276" max="276" width="6.81640625" bestFit="1" customWidth="1"/>
    <col min="277" max="282" width="7.81640625" bestFit="1" customWidth="1"/>
    <col min="283" max="283" width="6.81640625" bestFit="1" customWidth="1"/>
    <col min="284" max="289" width="7.81640625" bestFit="1" customWidth="1"/>
    <col min="290" max="290" width="6.81640625" bestFit="1" customWidth="1"/>
    <col min="291" max="293" width="7.81640625" bestFit="1" customWidth="1"/>
    <col min="294" max="294" width="4.81640625" bestFit="1" customWidth="1"/>
    <col min="295" max="303" width="7.81640625" bestFit="1" customWidth="1"/>
    <col min="304" max="304" width="6.81640625" bestFit="1" customWidth="1"/>
    <col min="305" max="305" width="7.81640625" bestFit="1" customWidth="1"/>
    <col min="306" max="306" width="6.81640625" bestFit="1" customWidth="1"/>
    <col min="307" max="317" width="7.81640625" bestFit="1" customWidth="1"/>
    <col min="318" max="318" width="6.81640625" bestFit="1" customWidth="1"/>
    <col min="319" max="334" width="7.81640625" bestFit="1" customWidth="1"/>
    <col min="335" max="335" width="6.81640625" bestFit="1" customWidth="1"/>
    <col min="336" max="344" width="7.81640625" bestFit="1" customWidth="1"/>
    <col min="345" max="345" width="6.81640625" bestFit="1" customWidth="1"/>
    <col min="346" max="348" width="7.81640625" bestFit="1" customWidth="1"/>
    <col min="349" max="349" width="6.81640625" bestFit="1" customWidth="1"/>
    <col min="350" max="354" width="7.81640625" bestFit="1" customWidth="1"/>
    <col min="355" max="356" width="6.81640625" bestFit="1" customWidth="1"/>
    <col min="357" max="361" width="7.81640625" bestFit="1" customWidth="1"/>
    <col min="362" max="362" width="6.81640625" bestFit="1" customWidth="1"/>
    <col min="363" max="369" width="7.81640625" bestFit="1" customWidth="1"/>
    <col min="370" max="370" width="6.81640625" bestFit="1" customWidth="1"/>
    <col min="371" max="407" width="7.81640625" bestFit="1" customWidth="1"/>
    <col min="408" max="408" width="6.81640625" bestFit="1" customWidth="1"/>
    <col min="409" max="411" width="7.81640625" bestFit="1" customWidth="1"/>
    <col min="412" max="412" width="6.81640625" bestFit="1" customWidth="1"/>
    <col min="413" max="421" width="7.81640625" bestFit="1" customWidth="1"/>
    <col min="422" max="422" width="6.81640625" bestFit="1" customWidth="1"/>
    <col min="423" max="423" width="7.81640625" bestFit="1" customWidth="1"/>
    <col min="424" max="424" width="6.81640625" bestFit="1" customWidth="1"/>
    <col min="425" max="427" width="7.81640625" bestFit="1" customWidth="1"/>
    <col min="428" max="428" width="6.81640625" bestFit="1" customWidth="1"/>
    <col min="429" max="431" width="7.81640625" bestFit="1" customWidth="1"/>
    <col min="432" max="432" width="6.81640625" bestFit="1" customWidth="1"/>
    <col min="433" max="434" width="7.81640625" bestFit="1" customWidth="1"/>
    <col min="435" max="435" width="6.81640625" bestFit="1" customWidth="1"/>
    <col min="436" max="437" width="7.81640625" bestFit="1" customWidth="1"/>
    <col min="438" max="438" width="6.81640625" bestFit="1" customWidth="1"/>
    <col min="439" max="444" width="7.81640625" bestFit="1" customWidth="1"/>
    <col min="445" max="445" width="6.81640625" bestFit="1" customWidth="1"/>
    <col min="446" max="446" width="7.81640625" bestFit="1" customWidth="1"/>
    <col min="447" max="447" width="6.81640625" bestFit="1" customWidth="1"/>
    <col min="448" max="466" width="7.81640625" bestFit="1" customWidth="1"/>
    <col min="467" max="467" width="6.81640625" bestFit="1" customWidth="1"/>
    <col min="468" max="476" width="7.81640625" bestFit="1" customWidth="1"/>
    <col min="477" max="478" width="6.81640625" bestFit="1" customWidth="1"/>
    <col min="479" max="486" width="7.81640625" bestFit="1" customWidth="1"/>
    <col min="487" max="487" width="6.81640625" bestFit="1" customWidth="1"/>
    <col min="488" max="488" width="7.81640625" bestFit="1" customWidth="1"/>
    <col min="489" max="489" width="6.81640625" bestFit="1" customWidth="1"/>
    <col min="490" max="490" width="4.81640625" bestFit="1" customWidth="1"/>
    <col min="491" max="499" width="7.81640625" bestFit="1" customWidth="1"/>
    <col min="500" max="501" width="6.81640625" bestFit="1" customWidth="1"/>
    <col min="502" max="507" width="7.81640625" bestFit="1" customWidth="1"/>
    <col min="508" max="508" width="6.81640625" bestFit="1" customWidth="1"/>
    <col min="509" max="519" width="7.81640625" bestFit="1" customWidth="1"/>
    <col min="520" max="520" width="6.81640625" bestFit="1" customWidth="1"/>
    <col min="521" max="522" width="7.81640625" bestFit="1" customWidth="1"/>
    <col min="523" max="523" width="6.81640625" bestFit="1" customWidth="1"/>
    <col min="524" max="531" width="7.81640625" bestFit="1" customWidth="1"/>
    <col min="532" max="532" width="6.81640625" bestFit="1" customWidth="1"/>
    <col min="533" max="546" width="7.81640625" bestFit="1" customWidth="1"/>
    <col min="547" max="547" width="6.81640625" bestFit="1" customWidth="1"/>
    <col min="548" max="560" width="7.81640625" bestFit="1" customWidth="1"/>
    <col min="561" max="561" width="6.81640625" bestFit="1" customWidth="1"/>
    <col min="562" max="570" width="7.81640625" bestFit="1" customWidth="1"/>
    <col min="571" max="571" width="6.81640625" bestFit="1" customWidth="1"/>
    <col min="572" max="572" width="7.81640625" bestFit="1" customWidth="1"/>
    <col min="573" max="574" width="6.81640625" bestFit="1" customWidth="1"/>
    <col min="575" max="599" width="7.81640625" bestFit="1" customWidth="1"/>
    <col min="600" max="600" width="6.81640625" bestFit="1" customWidth="1"/>
    <col min="601" max="601" width="7.81640625" bestFit="1" customWidth="1"/>
    <col min="602" max="602" width="6.81640625" bestFit="1" customWidth="1"/>
    <col min="603" max="606" width="7.81640625" bestFit="1" customWidth="1"/>
    <col min="607" max="607" width="6.81640625" bestFit="1" customWidth="1"/>
    <col min="608" max="626" width="7.81640625" bestFit="1" customWidth="1"/>
    <col min="627" max="627" width="4.81640625" bestFit="1" customWidth="1"/>
    <col min="628" max="648" width="7.81640625" bestFit="1" customWidth="1"/>
    <col min="649" max="650" width="6.81640625" bestFit="1" customWidth="1"/>
    <col min="651" max="654" width="7.81640625" bestFit="1" customWidth="1"/>
    <col min="655" max="655" width="6.81640625" bestFit="1" customWidth="1"/>
    <col min="656" max="672" width="7.81640625" bestFit="1" customWidth="1"/>
    <col min="673" max="673" width="4.81640625" bestFit="1" customWidth="1"/>
    <col min="674" max="675" width="7.81640625" bestFit="1" customWidth="1"/>
    <col min="676" max="676" width="6.81640625" bestFit="1" customWidth="1"/>
    <col min="677" max="682" width="7.81640625" bestFit="1" customWidth="1"/>
    <col min="683" max="683" width="6.81640625" bestFit="1" customWidth="1"/>
    <col min="684" max="685" width="7.81640625" bestFit="1" customWidth="1"/>
    <col min="686" max="686" width="6.81640625" bestFit="1" customWidth="1"/>
    <col min="687" max="687" width="7.81640625" bestFit="1" customWidth="1"/>
    <col min="688" max="688" width="6.81640625" bestFit="1" customWidth="1"/>
    <col min="689" max="691" width="7.81640625" bestFit="1" customWidth="1"/>
    <col min="692" max="692" width="4.81640625" bestFit="1" customWidth="1"/>
    <col min="693" max="699" width="7.81640625" bestFit="1" customWidth="1"/>
    <col min="700" max="700" width="6.81640625" bestFit="1" customWidth="1"/>
    <col min="701" max="717" width="7.81640625" bestFit="1" customWidth="1"/>
    <col min="718" max="718" width="6.81640625" bestFit="1" customWidth="1"/>
    <col min="719" max="719" width="7.81640625" bestFit="1" customWidth="1"/>
    <col min="720" max="720" width="4.81640625" bestFit="1" customWidth="1"/>
    <col min="721" max="721" width="7.81640625" bestFit="1" customWidth="1"/>
    <col min="722" max="722" width="6.81640625" bestFit="1" customWidth="1"/>
    <col min="723" max="725" width="7.81640625" bestFit="1" customWidth="1"/>
    <col min="726" max="726" width="6.81640625" bestFit="1" customWidth="1"/>
    <col min="727" max="727" width="7.81640625" bestFit="1" customWidth="1"/>
    <col min="728" max="728" width="6.81640625" bestFit="1" customWidth="1"/>
    <col min="729" max="730" width="7.81640625" bestFit="1" customWidth="1"/>
    <col min="731" max="731" width="6.81640625" bestFit="1" customWidth="1"/>
    <col min="732" max="732" width="7.81640625" bestFit="1" customWidth="1"/>
    <col min="733" max="733" width="6.81640625" bestFit="1" customWidth="1"/>
    <col min="734" max="749" width="7.81640625" bestFit="1" customWidth="1"/>
    <col min="750" max="750" width="6.81640625" bestFit="1" customWidth="1"/>
    <col min="751" max="751" width="7.81640625" bestFit="1" customWidth="1"/>
    <col min="752" max="752" width="6.81640625" bestFit="1" customWidth="1"/>
    <col min="753" max="760" width="7.81640625" bestFit="1" customWidth="1"/>
    <col min="761" max="761" width="6.81640625" bestFit="1" customWidth="1"/>
    <col min="762" max="765" width="7.81640625" bestFit="1" customWidth="1"/>
    <col min="766" max="766" width="6.81640625" bestFit="1" customWidth="1"/>
    <col min="767" max="769" width="7.81640625" bestFit="1" customWidth="1"/>
    <col min="770" max="770" width="6.81640625" bestFit="1" customWidth="1"/>
    <col min="771" max="785" width="7.81640625" bestFit="1" customWidth="1"/>
    <col min="786" max="786" width="6.81640625" bestFit="1" customWidth="1"/>
    <col min="787" max="807" width="7.81640625" bestFit="1" customWidth="1"/>
    <col min="808" max="808" width="4.81640625" bestFit="1" customWidth="1"/>
    <col min="809" max="815" width="7.81640625" bestFit="1" customWidth="1"/>
    <col min="816" max="816" width="6.81640625" bestFit="1" customWidth="1"/>
    <col min="817" max="822" width="7.81640625" bestFit="1" customWidth="1"/>
    <col min="823" max="823" width="6.81640625" bestFit="1" customWidth="1"/>
    <col min="824" max="826" width="7.81640625" bestFit="1" customWidth="1"/>
    <col min="827" max="827" width="6.81640625" bestFit="1" customWidth="1"/>
    <col min="828" max="832" width="7.81640625" bestFit="1" customWidth="1"/>
    <col min="833" max="833" width="6.81640625" bestFit="1" customWidth="1"/>
    <col min="834" max="841" width="7.81640625" bestFit="1" customWidth="1"/>
    <col min="842" max="842" width="6.81640625" bestFit="1" customWidth="1"/>
    <col min="843" max="845" width="7.81640625" bestFit="1" customWidth="1"/>
    <col min="846" max="847" width="6.81640625" bestFit="1" customWidth="1"/>
    <col min="848" max="851" width="7.81640625" bestFit="1" customWidth="1"/>
    <col min="852" max="852" width="6.81640625" bestFit="1" customWidth="1"/>
    <col min="853" max="855" width="7.81640625" bestFit="1" customWidth="1"/>
    <col min="856" max="856" width="4.81640625" bestFit="1" customWidth="1"/>
    <col min="857" max="857" width="6.81640625" bestFit="1" customWidth="1"/>
    <col min="858" max="861" width="7.81640625" bestFit="1" customWidth="1"/>
    <col min="862" max="862" width="6.81640625" bestFit="1" customWidth="1"/>
    <col min="863" max="866" width="7.81640625" bestFit="1" customWidth="1"/>
    <col min="867" max="867" width="6.81640625" bestFit="1" customWidth="1"/>
    <col min="868" max="871" width="7.81640625" bestFit="1" customWidth="1"/>
    <col min="872" max="872" width="6.81640625" bestFit="1" customWidth="1"/>
    <col min="873" max="887" width="7.81640625" bestFit="1" customWidth="1"/>
    <col min="888" max="888" width="6.81640625" bestFit="1" customWidth="1"/>
    <col min="889" max="890" width="7.81640625" bestFit="1" customWidth="1"/>
    <col min="891" max="891" width="6.81640625" bestFit="1" customWidth="1"/>
    <col min="892" max="906" width="7.81640625" bestFit="1" customWidth="1"/>
    <col min="907" max="907" width="6.81640625" bestFit="1" customWidth="1"/>
    <col min="908" max="919" width="7.81640625" bestFit="1" customWidth="1"/>
    <col min="920" max="920" width="6.81640625" bestFit="1" customWidth="1"/>
    <col min="921" max="923" width="7.81640625" bestFit="1" customWidth="1"/>
    <col min="924" max="924" width="6.81640625" bestFit="1" customWidth="1"/>
    <col min="925" max="925" width="7.81640625" bestFit="1" customWidth="1"/>
    <col min="926" max="926" width="6.81640625" bestFit="1" customWidth="1"/>
    <col min="927" max="936" width="7.81640625" bestFit="1" customWidth="1"/>
    <col min="937" max="937" width="6.81640625" bestFit="1" customWidth="1"/>
    <col min="938" max="941" width="7.81640625" bestFit="1" customWidth="1"/>
    <col min="942" max="942" width="4.81640625" bestFit="1" customWidth="1"/>
    <col min="943" max="948" width="7.81640625" bestFit="1" customWidth="1"/>
    <col min="949" max="949" width="6.81640625" bestFit="1" customWidth="1"/>
    <col min="950" max="956" width="7.81640625" bestFit="1" customWidth="1"/>
    <col min="957" max="957" width="6.81640625" bestFit="1" customWidth="1"/>
    <col min="958" max="958" width="7.81640625" bestFit="1" customWidth="1"/>
    <col min="959" max="964" width="8.81640625" bestFit="1" customWidth="1"/>
    <col min="965" max="965" width="7.81640625" bestFit="1" customWidth="1"/>
    <col min="966" max="970" width="8.81640625" bestFit="1" customWidth="1"/>
    <col min="971" max="971" width="7.81640625" bestFit="1" customWidth="1"/>
    <col min="972" max="972" width="8.81640625" bestFit="1" customWidth="1"/>
    <col min="973" max="973" width="7.81640625" bestFit="1" customWidth="1"/>
    <col min="974" max="981" width="8.81640625" bestFit="1" customWidth="1"/>
    <col min="982" max="982" width="7.81640625" bestFit="1" customWidth="1"/>
    <col min="983" max="996" width="8.81640625" bestFit="1" customWidth="1"/>
    <col min="997" max="997" width="7.81640625" bestFit="1" customWidth="1"/>
    <col min="998" max="998" width="8.81640625" bestFit="1" customWidth="1"/>
    <col min="999" max="999" width="7.81640625" bestFit="1" customWidth="1"/>
    <col min="1000" max="1001" width="8.81640625" bestFit="1" customWidth="1"/>
    <col min="1002" max="1002" width="10.7265625" bestFit="1" customWidth="1"/>
  </cols>
  <sheetData>
    <row r="3" spans="1:2" x14ac:dyDescent="0.35">
      <c r="A3" s="3" t="s">
        <v>2075</v>
      </c>
      <c r="B3" t="s">
        <v>2080</v>
      </c>
    </row>
    <row r="4" spans="1:2" x14ac:dyDescent="0.35">
      <c r="A4" s="4" t="s">
        <v>61</v>
      </c>
      <c r="B4">
        <v>322861.2900000001</v>
      </c>
    </row>
    <row r="5" spans="1:2" x14ac:dyDescent="0.35">
      <c r="A5" s="4" t="s">
        <v>119</v>
      </c>
      <c r="B5">
        <v>246384.17000000004</v>
      </c>
    </row>
    <row r="6" spans="1:2" x14ac:dyDescent="0.35">
      <c r="A6" s="4" t="s">
        <v>110</v>
      </c>
      <c r="B6">
        <v>313105.76</v>
      </c>
    </row>
    <row r="7" spans="1:2" x14ac:dyDescent="0.35">
      <c r="A7" s="4" t="s">
        <v>50</v>
      </c>
      <c r="B7">
        <v>264660.40999999997</v>
      </c>
    </row>
    <row r="8" spans="1:2" x14ac:dyDescent="0.35">
      <c r="A8" s="4" t="s">
        <v>74</v>
      </c>
      <c r="B8">
        <v>292527.57999999996</v>
      </c>
    </row>
    <row r="9" spans="1:2" x14ac:dyDescent="0.35">
      <c r="A9" s="4" t="s">
        <v>89</v>
      </c>
      <c r="B9">
        <v>306398.40999999997</v>
      </c>
    </row>
    <row r="10" spans="1:2" x14ac:dyDescent="0.35">
      <c r="A10" s="4" t="s">
        <v>103</v>
      </c>
      <c r="B10">
        <v>327080.71000000002</v>
      </c>
    </row>
    <row r="11" spans="1:2" x14ac:dyDescent="0.35">
      <c r="A11" s="4" t="s">
        <v>80</v>
      </c>
      <c r="B11">
        <v>331697.68000000005</v>
      </c>
    </row>
    <row r="12" spans="1:2" x14ac:dyDescent="0.35">
      <c r="A12" s="4" t="s">
        <v>32</v>
      </c>
      <c r="B12">
        <v>208947.25999999995</v>
      </c>
    </row>
    <row r="13" spans="1:2" x14ac:dyDescent="0.35">
      <c r="A13" s="4" t="s">
        <v>124</v>
      </c>
      <c r="B13">
        <v>197674.59000000003</v>
      </c>
    </row>
    <row r="14" spans="1:2" x14ac:dyDescent="0.35">
      <c r="A14" s="4" t="s">
        <v>44</v>
      </c>
      <c r="B14">
        <v>312706.77999999997</v>
      </c>
    </row>
    <row r="15" spans="1:2" x14ac:dyDescent="0.35">
      <c r="A15" s="4" t="s">
        <v>23</v>
      </c>
      <c r="B15">
        <v>254832.09000000003</v>
      </c>
    </row>
    <row r="16" spans="1:2" x14ac:dyDescent="0.35">
      <c r="A16" s="4" t="s">
        <v>173</v>
      </c>
      <c r="B16">
        <v>287627.15999999997</v>
      </c>
    </row>
    <row r="17" spans="1:2" x14ac:dyDescent="0.35">
      <c r="A17" s="4" t="s">
        <v>2077</v>
      </c>
      <c r="B17">
        <v>3666503.8899999992</v>
      </c>
    </row>
    <row r="23" spans="1:2" x14ac:dyDescent="0.35">
      <c r="A23" s="3" t="s">
        <v>2075</v>
      </c>
      <c r="B23" t="s">
        <v>2080</v>
      </c>
    </row>
    <row r="24" spans="1:2" x14ac:dyDescent="0.35">
      <c r="A24" s="4" t="s">
        <v>61</v>
      </c>
      <c r="B24">
        <v>322861.2900000001</v>
      </c>
    </row>
    <row r="25" spans="1:2" x14ac:dyDescent="0.35">
      <c r="A25" s="6" t="s">
        <v>60</v>
      </c>
      <c r="B25">
        <v>322861.2900000001</v>
      </c>
    </row>
    <row r="26" spans="1:2" x14ac:dyDescent="0.35">
      <c r="A26" s="4" t="s">
        <v>119</v>
      </c>
      <c r="B26">
        <v>246384.17000000004</v>
      </c>
    </row>
    <row r="27" spans="1:2" x14ac:dyDescent="0.35">
      <c r="A27" s="6" t="s">
        <v>60</v>
      </c>
      <c r="B27">
        <v>246384.17000000004</v>
      </c>
    </row>
    <row r="28" spans="1:2" x14ac:dyDescent="0.35">
      <c r="A28" s="4" t="s">
        <v>110</v>
      </c>
      <c r="B28">
        <v>313105.76</v>
      </c>
    </row>
    <row r="29" spans="1:2" x14ac:dyDescent="0.35">
      <c r="A29" s="6" t="s">
        <v>60</v>
      </c>
      <c r="B29">
        <v>313105.76</v>
      </c>
    </row>
    <row r="30" spans="1:2" x14ac:dyDescent="0.35">
      <c r="A30" s="4" t="s">
        <v>50</v>
      </c>
      <c r="B30">
        <v>264660.40999999997</v>
      </c>
    </row>
    <row r="31" spans="1:2" x14ac:dyDescent="0.35">
      <c r="A31" s="6" t="s">
        <v>43</v>
      </c>
      <c r="B31">
        <v>264660.40999999997</v>
      </c>
    </row>
    <row r="32" spans="1:2" x14ac:dyDescent="0.35">
      <c r="A32" s="4" t="s">
        <v>74</v>
      </c>
      <c r="B32">
        <v>292527.57999999996</v>
      </c>
    </row>
    <row r="33" spans="1:2" x14ac:dyDescent="0.35">
      <c r="A33" s="6" t="s">
        <v>22</v>
      </c>
      <c r="B33">
        <v>292527.57999999996</v>
      </c>
    </row>
    <row r="34" spans="1:2" x14ac:dyDescent="0.35">
      <c r="A34" s="4" t="s">
        <v>89</v>
      </c>
      <c r="B34">
        <v>306398.40999999997</v>
      </c>
    </row>
    <row r="35" spans="1:2" x14ac:dyDescent="0.35">
      <c r="A35" s="6" t="s">
        <v>79</v>
      </c>
      <c r="B35">
        <v>306398.40999999997</v>
      </c>
    </row>
    <row r="36" spans="1:2" x14ac:dyDescent="0.35">
      <c r="A36" s="4" t="s">
        <v>103</v>
      </c>
      <c r="B36">
        <v>327080.71000000002</v>
      </c>
    </row>
    <row r="37" spans="1:2" x14ac:dyDescent="0.35">
      <c r="A37" s="6" t="s">
        <v>79</v>
      </c>
      <c r="B37">
        <v>327080.71000000002</v>
      </c>
    </row>
    <row r="38" spans="1:2" x14ac:dyDescent="0.35">
      <c r="A38" s="4" t="s">
        <v>80</v>
      </c>
      <c r="B38">
        <v>331697.68000000005</v>
      </c>
    </row>
    <row r="39" spans="1:2" x14ac:dyDescent="0.35">
      <c r="A39" s="6" t="s">
        <v>79</v>
      </c>
      <c r="B39">
        <v>331697.68000000005</v>
      </c>
    </row>
    <row r="40" spans="1:2" x14ac:dyDescent="0.35">
      <c r="A40" s="4" t="s">
        <v>32</v>
      </c>
      <c r="B40">
        <v>208947.25999999995</v>
      </c>
    </row>
    <row r="41" spans="1:2" x14ac:dyDescent="0.35">
      <c r="A41" s="6" t="s">
        <v>22</v>
      </c>
      <c r="B41">
        <v>208947.25999999995</v>
      </c>
    </row>
    <row r="42" spans="1:2" x14ac:dyDescent="0.35">
      <c r="A42" s="4" t="s">
        <v>124</v>
      </c>
      <c r="B42">
        <v>197674.59000000003</v>
      </c>
    </row>
    <row r="43" spans="1:2" x14ac:dyDescent="0.35">
      <c r="A43" s="6" t="s">
        <v>22</v>
      </c>
      <c r="B43">
        <v>197674.59000000003</v>
      </c>
    </row>
    <row r="44" spans="1:2" x14ac:dyDescent="0.35">
      <c r="A44" s="4" t="s">
        <v>44</v>
      </c>
      <c r="B44">
        <v>312706.77999999997</v>
      </c>
    </row>
    <row r="45" spans="1:2" x14ac:dyDescent="0.35">
      <c r="A45" s="6" t="s">
        <v>43</v>
      </c>
      <c r="B45">
        <v>312706.77999999997</v>
      </c>
    </row>
    <row r="46" spans="1:2" x14ac:dyDescent="0.35">
      <c r="A46" s="4" t="s">
        <v>23</v>
      </c>
      <c r="B46">
        <v>254832.09000000003</v>
      </c>
    </row>
    <row r="47" spans="1:2" x14ac:dyDescent="0.35">
      <c r="A47" s="6" t="s">
        <v>22</v>
      </c>
      <c r="B47">
        <v>254832.09000000003</v>
      </c>
    </row>
    <row r="48" spans="1:2" x14ac:dyDescent="0.35">
      <c r="A48" s="4" t="s">
        <v>173</v>
      </c>
      <c r="B48">
        <v>287627.15999999997</v>
      </c>
    </row>
    <row r="49" spans="1:2" x14ac:dyDescent="0.35">
      <c r="A49" s="6" t="s">
        <v>43</v>
      </c>
      <c r="B49">
        <v>287627.15999999997</v>
      </c>
    </row>
    <row r="50" spans="1:2" x14ac:dyDescent="0.35">
      <c r="A50" s="4" t="s">
        <v>2077</v>
      </c>
      <c r="B50">
        <v>3666503.8899999992</v>
      </c>
    </row>
  </sheetData>
  <conditionalFormatting sqref="A3">
    <cfRule type="top10" dxfId="19" priority="7" bottom="1" rank="10"/>
    <cfRule type="top10" dxfId="18" priority="9" rank="10"/>
    <cfRule type="top10" dxfId="17" priority="10" rank="10"/>
  </conditionalFormatting>
  <conditionalFormatting sqref="A3:B17">
    <cfRule type="top10" dxfId="16" priority="8" rank="10"/>
  </conditionalFormatting>
  <conditionalFormatting sqref="A23">
    <cfRule type="top10" dxfId="15" priority="3" bottom="1" rank="10"/>
    <cfRule type="top10" dxfId="14" priority="5" rank="10"/>
    <cfRule type="top10" dxfId="13" priority="6" rank="10"/>
  </conditionalFormatting>
  <conditionalFormatting sqref="A23:B23">
    <cfRule type="top10" dxfId="12" priority="2" bottom="1" rank="10"/>
    <cfRule type="top10" dxfId="11" priority="4" rank="10"/>
  </conditionalFormatting>
  <conditionalFormatting sqref="A23:B50">
    <cfRule type="top10" dxfId="10" priority="1" bottom="1" rank="10"/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C30"/>
  <sheetViews>
    <sheetView zoomScale="98" workbookViewId="0">
      <selection activeCell="K16" sqref="K16"/>
    </sheetView>
  </sheetViews>
  <sheetFormatPr defaultRowHeight="14.5" x14ac:dyDescent="0.35"/>
  <cols>
    <col min="1" max="1" width="17" bestFit="1" customWidth="1"/>
    <col min="2" max="2" width="22.6328125" customWidth="1"/>
    <col min="3" max="3" width="18" customWidth="1"/>
  </cols>
  <sheetData>
    <row r="3" spans="1:3" x14ac:dyDescent="0.35">
      <c r="A3" s="3" t="s">
        <v>2075</v>
      </c>
      <c r="B3" t="s">
        <v>2080</v>
      </c>
      <c r="C3" t="s">
        <v>2076</v>
      </c>
    </row>
    <row r="4" spans="1:3" x14ac:dyDescent="0.35">
      <c r="A4" s="4" t="s">
        <v>61</v>
      </c>
      <c r="B4">
        <v>322861.2900000001</v>
      </c>
      <c r="C4">
        <v>115137.10999999999</v>
      </c>
    </row>
    <row r="5" spans="1:3" x14ac:dyDescent="0.35">
      <c r="A5" s="6" t="s">
        <v>60</v>
      </c>
      <c r="B5">
        <v>322861.2900000001</v>
      </c>
      <c r="C5">
        <v>115137.10999999999</v>
      </c>
    </row>
    <row r="6" spans="1:3" x14ac:dyDescent="0.35">
      <c r="A6" s="4" t="s">
        <v>119</v>
      </c>
      <c r="B6">
        <v>246384.17000000004</v>
      </c>
      <c r="C6">
        <v>81713.35000000002</v>
      </c>
    </row>
    <row r="7" spans="1:3" x14ac:dyDescent="0.35">
      <c r="A7" s="6" t="s">
        <v>60</v>
      </c>
      <c r="B7">
        <v>246384.17000000004</v>
      </c>
      <c r="C7">
        <v>81713.35000000002</v>
      </c>
    </row>
    <row r="8" spans="1:3" x14ac:dyDescent="0.35">
      <c r="A8" s="4" t="s">
        <v>110</v>
      </c>
      <c r="B8">
        <v>313105.76</v>
      </c>
      <c r="C8">
        <v>97926.09</v>
      </c>
    </row>
    <row r="9" spans="1:3" x14ac:dyDescent="0.35">
      <c r="A9" s="6" t="s">
        <v>60</v>
      </c>
      <c r="B9">
        <v>313105.76</v>
      </c>
      <c r="C9">
        <v>97926.09</v>
      </c>
    </row>
    <row r="10" spans="1:3" x14ac:dyDescent="0.35">
      <c r="A10" s="4" t="s">
        <v>50</v>
      </c>
      <c r="B10">
        <v>264660.40999999997</v>
      </c>
      <c r="C10">
        <v>78197.26999999996</v>
      </c>
    </row>
    <row r="11" spans="1:3" x14ac:dyDescent="0.35">
      <c r="A11" s="6" t="s">
        <v>43</v>
      </c>
      <c r="B11">
        <v>264660.40999999997</v>
      </c>
      <c r="C11">
        <v>78197.26999999996</v>
      </c>
    </row>
    <row r="12" spans="1:3" x14ac:dyDescent="0.35">
      <c r="A12" s="4" t="s">
        <v>74</v>
      </c>
      <c r="B12">
        <v>292527.57999999996</v>
      </c>
      <c r="C12">
        <v>88030.979999999981</v>
      </c>
    </row>
    <row r="13" spans="1:3" x14ac:dyDescent="0.35">
      <c r="A13" s="6" t="s">
        <v>22</v>
      </c>
      <c r="B13">
        <v>292527.57999999996</v>
      </c>
      <c r="C13">
        <v>88030.979999999981</v>
      </c>
    </row>
    <row r="14" spans="1:3" x14ac:dyDescent="0.35">
      <c r="A14" s="4" t="s">
        <v>89</v>
      </c>
      <c r="B14">
        <v>306398.40999999997</v>
      </c>
      <c r="C14">
        <v>100534.74000000002</v>
      </c>
    </row>
    <row r="15" spans="1:3" x14ac:dyDescent="0.35">
      <c r="A15" s="6" t="s">
        <v>79</v>
      </c>
      <c r="B15">
        <v>306398.40999999997</v>
      </c>
      <c r="C15">
        <v>100534.74000000002</v>
      </c>
    </row>
    <row r="16" spans="1:3" x14ac:dyDescent="0.35">
      <c r="A16" s="4" t="s">
        <v>103</v>
      </c>
      <c r="B16">
        <v>327080.71000000002</v>
      </c>
      <c r="C16">
        <v>106656.02</v>
      </c>
    </row>
    <row r="17" spans="1:3" x14ac:dyDescent="0.35">
      <c r="A17" s="6" t="s">
        <v>79</v>
      </c>
      <c r="B17">
        <v>327080.71000000002</v>
      </c>
      <c r="C17">
        <v>106656.02</v>
      </c>
    </row>
    <row r="18" spans="1:3" x14ac:dyDescent="0.35">
      <c r="A18" s="4" t="s">
        <v>80</v>
      </c>
      <c r="B18">
        <v>331697.68000000005</v>
      </c>
      <c r="C18">
        <v>105676.23000000003</v>
      </c>
    </row>
    <row r="19" spans="1:3" x14ac:dyDescent="0.35">
      <c r="A19" s="6" t="s">
        <v>79</v>
      </c>
      <c r="B19">
        <v>331697.68000000005</v>
      </c>
      <c r="C19">
        <v>105676.23000000003</v>
      </c>
    </row>
    <row r="20" spans="1:3" x14ac:dyDescent="0.35">
      <c r="A20" s="4" t="s">
        <v>32</v>
      </c>
      <c r="B20">
        <v>208947.25999999995</v>
      </c>
      <c r="C20">
        <v>68522.630000000019</v>
      </c>
    </row>
    <row r="21" spans="1:3" x14ac:dyDescent="0.35">
      <c r="A21" s="6" t="s">
        <v>22</v>
      </c>
      <c r="B21">
        <v>208947.25999999995</v>
      </c>
      <c r="C21">
        <v>68522.630000000019</v>
      </c>
    </row>
    <row r="22" spans="1:3" x14ac:dyDescent="0.35">
      <c r="A22" s="4" t="s">
        <v>124</v>
      </c>
      <c r="B22">
        <v>197674.59000000003</v>
      </c>
      <c r="C22">
        <v>65330.590000000004</v>
      </c>
    </row>
    <row r="23" spans="1:3" x14ac:dyDescent="0.35">
      <c r="A23" s="6" t="s">
        <v>22</v>
      </c>
      <c r="B23">
        <v>197674.59000000003</v>
      </c>
      <c r="C23">
        <v>65330.590000000004</v>
      </c>
    </row>
    <row r="24" spans="1:3" x14ac:dyDescent="0.35">
      <c r="A24" s="4" t="s">
        <v>44</v>
      </c>
      <c r="B24">
        <v>312706.77999999997</v>
      </c>
      <c r="C24">
        <v>110273.38999999998</v>
      </c>
    </row>
    <row r="25" spans="1:3" x14ac:dyDescent="0.35">
      <c r="A25" s="6" t="s">
        <v>43</v>
      </c>
      <c r="B25">
        <v>312706.77999999997</v>
      </c>
      <c r="C25">
        <v>110273.38999999998</v>
      </c>
    </row>
    <row r="26" spans="1:3" x14ac:dyDescent="0.35">
      <c r="A26" s="4" t="s">
        <v>23</v>
      </c>
      <c r="B26">
        <v>254832.09000000003</v>
      </c>
      <c r="C26">
        <v>82991.829999999987</v>
      </c>
    </row>
    <row r="27" spans="1:3" x14ac:dyDescent="0.35">
      <c r="A27" s="6" t="s">
        <v>22</v>
      </c>
      <c r="B27">
        <v>254832.09000000003</v>
      </c>
      <c r="C27">
        <v>82991.829999999987</v>
      </c>
    </row>
    <row r="28" spans="1:3" x14ac:dyDescent="0.35">
      <c r="A28" s="4" t="s">
        <v>173</v>
      </c>
      <c r="B28">
        <v>287627.15999999997</v>
      </c>
      <c r="C28">
        <v>94839.200000000026</v>
      </c>
    </row>
    <row r="29" spans="1:3" x14ac:dyDescent="0.35">
      <c r="A29" s="6" t="s">
        <v>43</v>
      </c>
      <c r="B29">
        <v>287627.15999999997</v>
      </c>
      <c r="C29">
        <v>94839.200000000026</v>
      </c>
    </row>
    <row r="30" spans="1:3" x14ac:dyDescent="0.35">
      <c r="A30" s="4" t="s">
        <v>2077</v>
      </c>
      <c r="B30">
        <v>3666503.8899999992</v>
      </c>
      <c r="C30">
        <v>1195829.43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28"/>
  <sheetViews>
    <sheetView workbookViewId="0">
      <selection activeCell="K10" sqref="K10"/>
    </sheetView>
  </sheetViews>
  <sheetFormatPr defaultRowHeight="14.5" x14ac:dyDescent="0.35"/>
  <cols>
    <col min="1" max="1" width="26.81640625" customWidth="1"/>
    <col min="2" max="2" width="20.26953125" customWidth="1"/>
  </cols>
  <sheetData>
    <row r="3" spans="1:2" x14ac:dyDescent="0.35">
      <c r="A3" s="3" t="s">
        <v>2075</v>
      </c>
      <c r="B3" t="s">
        <v>2080</v>
      </c>
    </row>
    <row r="4" spans="1:2" x14ac:dyDescent="0.35">
      <c r="A4" s="4" t="s">
        <v>43</v>
      </c>
      <c r="B4">
        <v>864994.35000000009</v>
      </c>
    </row>
    <row r="5" spans="1:2" x14ac:dyDescent="0.35">
      <c r="A5" s="6" t="s">
        <v>66</v>
      </c>
      <c r="B5">
        <v>219384.5</v>
      </c>
    </row>
    <row r="6" spans="1:2" x14ac:dyDescent="0.35">
      <c r="A6" s="6" t="s">
        <v>49</v>
      </c>
      <c r="B6">
        <v>173826.87000000005</v>
      </c>
    </row>
    <row r="7" spans="1:2" x14ac:dyDescent="0.35">
      <c r="A7" s="6" t="s">
        <v>29</v>
      </c>
      <c r="B7">
        <v>140757.82999999999</v>
      </c>
    </row>
    <row r="8" spans="1:2" x14ac:dyDescent="0.35">
      <c r="A8" s="6" t="s">
        <v>37</v>
      </c>
      <c r="B8">
        <v>172924</v>
      </c>
    </row>
    <row r="9" spans="1:2" x14ac:dyDescent="0.35">
      <c r="A9" s="6" t="s">
        <v>19</v>
      </c>
      <c r="B9">
        <v>158101.15</v>
      </c>
    </row>
    <row r="10" spans="1:2" x14ac:dyDescent="0.35">
      <c r="A10" s="4" t="s">
        <v>22</v>
      </c>
      <c r="B10">
        <v>953981.52</v>
      </c>
    </row>
    <row r="11" spans="1:2" x14ac:dyDescent="0.35">
      <c r="A11" s="6" t="s">
        <v>66</v>
      </c>
      <c r="B11">
        <v>194498.10999999993</v>
      </c>
    </row>
    <row r="12" spans="1:2" x14ac:dyDescent="0.35">
      <c r="A12" s="6" t="s">
        <v>49</v>
      </c>
      <c r="B12">
        <v>204693.62</v>
      </c>
    </row>
    <row r="13" spans="1:2" x14ac:dyDescent="0.35">
      <c r="A13" s="6" t="s">
        <v>29</v>
      </c>
      <c r="B13">
        <v>220970.11000000002</v>
      </c>
    </row>
    <row r="14" spans="1:2" x14ac:dyDescent="0.35">
      <c r="A14" s="6" t="s">
        <v>37</v>
      </c>
      <c r="B14">
        <v>164952.16</v>
      </c>
    </row>
    <row r="15" spans="1:2" x14ac:dyDescent="0.35">
      <c r="A15" s="6" t="s">
        <v>19</v>
      </c>
      <c r="B15">
        <v>168867.51999999996</v>
      </c>
    </row>
    <row r="16" spans="1:2" x14ac:dyDescent="0.35">
      <c r="A16" s="4" t="s">
        <v>60</v>
      </c>
      <c r="B16">
        <v>882351.22000000009</v>
      </c>
    </row>
    <row r="17" spans="1:2" x14ac:dyDescent="0.35">
      <c r="A17" s="6" t="s">
        <v>66</v>
      </c>
      <c r="B17">
        <v>196357.91999999998</v>
      </c>
    </row>
    <row r="18" spans="1:2" x14ac:dyDescent="0.35">
      <c r="A18" s="6" t="s">
        <v>49</v>
      </c>
      <c r="B18">
        <v>195050.32000000004</v>
      </c>
    </row>
    <row r="19" spans="1:2" x14ac:dyDescent="0.35">
      <c r="A19" s="6" t="s">
        <v>29</v>
      </c>
      <c r="B19">
        <v>147362.78</v>
      </c>
    </row>
    <row r="20" spans="1:2" x14ac:dyDescent="0.35">
      <c r="A20" s="6" t="s">
        <v>37</v>
      </c>
      <c r="B20">
        <v>144430.55000000005</v>
      </c>
    </row>
    <row r="21" spans="1:2" x14ac:dyDescent="0.35">
      <c r="A21" s="6" t="s">
        <v>19</v>
      </c>
      <c r="B21">
        <v>199149.65</v>
      </c>
    </row>
    <row r="22" spans="1:2" x14ac:dyDescent="0.35">
      <c r="A22" s="4" t="s">
        <v>79</v>
      </c>
      <c r="B22">
        <v>965176.80000000016</v>
      </c>
    </row>
    <row r="23" spans="1:2" x14ac:dyDescent="0.35">
      <c r="A23" s="6" t="s">
        <v>66</v>
      </c>
      <c r="B23">
        <v>216453.04000000004</v>
      </c>
    </row>
    <row r="24" spans="1:2" x14ac:dyDescent="0.35">
      <c r="A24" s="6" t="s">
        <v>49</v>
      </c>
      <c r="B24">
        <v>155139.11000000002</v>
      </c>
    </row>
    <row r="25" spans="1:2" x14ac:dyDescent="0.35">
      <c r="A25" s="6" t="s">
        <v>29</v>
      </c>
      <c r="B25">
        <v>159631.48000000004</v>
      </c>
    </row>
    <row r="26" spans="1:2" x14ac:dyDescent="0.35">
      <c r="A26" s="6" t="s">
        <v>37</v>
      </c>
      <c r="B26">
        <v>259778.51</v>
      </c>
    </row>
    <row r="27" spans="1:2" x14ac:dyDescent="0.35">
      <c r="A27" s="6" t="s">
        <v>19</v>
      </c>
      <c r="B27">
        <v>174174.66000000003</v>
      </c>
    </row>
    <row r="28" spans="1:2" x14ac:dyDescent="0.35">
      <c r="A28" s="4" t="s">
        <v>2077</v>
      </c>
      <c r="B28">
        <v>3666503.8899999997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1"/>
  <sheetViews>
    <sheetView tabSelected="1" topLeftCell="I1" workbookViewId="0">
      <selection activeCell="U2" sqref="U2"/>
    </sheetView>
  </sheetViews>
  <sheetFormatPr defaultRowHeight="14.5" x14ac:dyDescent="0.35"/>
  <cols>
    <col min="1" max="1" width="10.54296875" customWidth="1"/>
    <col min="2" max="2" width="12.7265625" customWidth="1"/>
    <col min="3" max="3" width="16.90625" customWidth="1"/>
    <col min="6" max="6" width="19.26953125" customWidth="1"/>
    <col min="7" max="7" width="17.90625" customWidth="1"/>
    <col min="8" max="8" width="15.36328125" customWidth="1"/>
    <col min="9" max="9" width="10.1796875" customWidth="1"/>
    <col min="10" max="10" width="11.453125" customWidth="1"/>
    <col min="11" max="11" width="10.1796875" customWidth="1"/>
    <col min="12" max="12" width="14.81640625" customWidth="1"/>
    <col min="13" max="13" width="14.36328125" customWidth="1"/>
    <col min="15" max="15" width="18" customWidth="1"/>
    <col min="16" max="16" width="17.26953125" customWidth="1"/>
    <col min="20" max="20" width="16.26953125" customWidth="1"/>
    <col min="21" max="21" width="12.7265625" customWidth="1"/>
    <col min="22" max="22" width="18.2695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2065</v>
      </c>
      <c r="R1" t="s">
        <v>2067</v>
      </c>
      <c r="S1" t="s">
        <v>2071</v>
      </c>
      <c r="T1" t="s">
        <v>2103</v>
      </c>
      <c r="U1" t="s">
        <v>2105</v>
      </c>
      <c r="V1" t="s">
        <v>2107</v>
      </c>
    </row>
    <row r="2" spans="1:25" ht="15.5" x14ac:dyDescent="0.35">
      <c r="A2" t="s">
        <v>17</v>
      </c>
      <c r="B2" s="1">
        <v>45311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</v>
      </c>
      <c r="J2">
        <v>925.06</v>
      </c>
      <c r="K2">
        <v>0.1</v>
      </c>
      <c r="L2">
        <v>1665.11</v>
      </c>
      <c r="M2">
        <v>895.32</v>
      </c>
      <c r="N2">
        <v>769.79</v>
      </c>
      <c r="O2" t="s">
        <v>24</v>
      </c>
      <c r="P2">
        <v>3</v>
      </c>
      <c r="Q2" t="str">
        <f t="shared" ref="Q2:Q65" si="0">TEXT(B2,"MMMM")</f>
        <v>January</v>
      </c>
      <c r="R2" s="2" t="str">
        <f t="shared" ref="R2:R65" si="1">"Q"&amp;ROUNDUP(MONTH(B2)/3,0)</f>
        <v>Q1</v>
      </c>
      <c r="S2">
        <f t="shared" ref="S2:S65" si="2">YEAR(B2)</f>
        <v>2024</v>
      </c>
      <c r="T2">
        <f t="shared" ref="T2:T65" si="3">SUM(L2:L1001)</f>
        <v>3666503.89</v>
      </c>
      <c r="U2">
        <f t="shared" ref="U2:U65" si="4">SUM(N2:N1001)</f>
        <v>1195829.4299999997</v>
      </c>
      <c r="V2">
        <f t="shared" ref="V2:V65" si="5">(T2-U2)/U2</f>
        <v>2.0660759787455651</v>
      </c>
      <c r="X2" t="s">
        <v>25</v>
      </c>
      <c r="Y2" t="s">
        <v>26</v>
      </c>
    </row>
    <row r="3" spans="1:25" x14ac:dyDescent="0.35">
      <c r="A3" t="s">
        <v>27</v>
      </c>
      <c r="B3" s="1">
        <v>45375</v>
      </c>
      <c r="C3" t="s">
        <v>28</v>
      </c>
      <c r="D3" t="s">
        <v>29</v>
      </c>
      <c r="E3" t="s">
        <v>30</v>
      </c>
      <c r="F3" t="s">
        <v>31</v>
      </c>
      <c r="G3" t="s">
        <v>22</v>
      </c>
      <c r="H3" t="s">
        <v>32</v>
      </c>
      <c r="I3">
        <v>3</v>
      </c>
      <c r="J3">
        <v>411.29</v>
      </c>
      <c r="K3">
        <v>0.1</v>
      </c>
      <c r="L3">
        <v>1110.48</v>
      </c>
      <c r="M3">
        <v>827.96</v>
      </c>
      <c r="N3">
        <v>282.52</v>
      </c>
      <c r="O3" t="s">
        <v>33</v>
      </c>
      <c r="P3">
        <v>1</v>
      </c>
      <c r="Q3" t="str">
        <f t="shared" si="0"/>
        <v>March</v>
      </c>
      <c r="R3" t="str">
        <f t="shared" si="1"/>
        <v>Q1</v>
      </c>
      <c r="S3">
        <f t="shared" si="2"/>
        <v>2024</v>
      </c>
      <c r="T3">
        <f t="shared" si="3"/>
        <v>3664838.7800000003</v>
      </c>
      <c r="U3">
        <f t="shared" si="4"/>
        <v>1195059.6399999997</v>
      </c>
      <c r="V3">
        <f t="shared" si="5"/>
        <v>2.06665764396495</v>
      </c>
      <c r="X3" t="s">
        <v>34</v>
      </c>
      <c r="Y3" t="s">
        <v>3</v>
      </c>
    </row>
    <row r="4" spans="1:25" x14ac:dyDescent="0.35">
      <c r="A4" t="s">
        <v>35</v>
      </c>
      <c r="B4" s="1">
        <v>45364</v>
      </c>
      <c r="C4" t="s">
        <v>36</v>
      </c>
      <c r="D4" t="s">
        <v>37</v>
      </c>
      <c r="E4" t="s">
        <v>38</v>
      </c>
      <c r="F4" t="s">
        <v>39</v>
      </c>
      <c r="G4" t="s">
        <v>22</v>
      </c>
      <c r="H4" t="s">
        <v>23</v>
      </c>
      <c r="I4">
        <v>12</v>
      </c>
      <c r="J4">
        <v>543.5</v>
      </c>
      <c r="K4">
        <v>0</v>
      </c>
      <c r="L4">
        <v>6522</v>
      </c>
      <c r="M4">
        <v>3472.75</v>
      </c>
      <c r="N4">
        <v>3049.25</v>
      </c>
      <c r="O4" t="s">
        <v>33</v>
      </c>
      <c r="P4">
        <v>5</v>
      </c>
      <c r="Q4" t="str">
        <f t="shared" si="0"/>
        <v>March</v>
      </c>
      <c r="R4" t="str">
        <f t="shared" si="1"/>
        <v>Q1</v>
      </c>
      <c r="S4">
        <f t="shared" si="2"/>
        <v>2024</v>
      </c>
      <c r="T4">
        <f t="shared" si="3"/>
        <v>3663728.3000000003</v>
      </c>
      <c r="U4">
        <f t="shared" si="4"/>
        <v>1194777.1199999996</v>
      </c>
      <c r="V4">
        <f t="shared" si="5"/>
        <v>2.0664533482194583</v>
      </c>
      <c r="X4" t="s">
        <v>40</v>
      </c>
      <c r="Y4" t="s">
        <v>4</v>
      </c>
    </row>
    <row r="5" spans="1:25" x14ac:dyDescent="0.35">
      <c r="A5" t="s">
        <v>41</v>
      </c>
      <c r="B5" s="1">
        <v>45539</v>
      </c>
      <c r="C5" t="s">
        <v>42</v>
      </c>
      <c r="D5" t="s">
        <v>37</v>
      </c>
      <c r="E5" t="s">
        <v>20</v>
      </c>
      <c r="F5" t="s">
        <v>21</v>
      </c>
      <c r="G5" t="s">
        <v>43</v>
      </c>
      <c r="H5" t="s">
        <v>44</v>
      </c>
      <c r="I5">
        <v>8</v>
      </c>
      <c r="J5">
        <v>1007.03</v>
      </c>
      <c r="K5">
        <v>0.1</v>
      </c>
      <c r="L5">
        <v>7250.62</v>
      </c>
      <c r="M5">
        <v>4496.92</v>
      </c>
      <c r="N5">
        <v>2753.7</v>
      </c>
      <c r="O5" t="s">
        <v>24</v>
      </c>
      <c r="P5">
        <v>1</v>
      </c>
      <c r="Q5" t="str">
        <f t="shared" si="0"/>
        <v>September</v>
      </c>
      <c r="R5" t="str">
        <f t="shared" si="1"/>
        <v>Q3</v>
      </c>
      <c r="S5">
        <f t="shared" si="2"/>
        <v>2024</v>
      </c>
      <c r="T5">
        <f t="shared" si="3"/>
        <v>3657206.3000000003</v>
      </c>
      <c r="U5">
        <f t="shared" si="4"/>
        <v>1191727.8699999996</v>
      </c>
      <c r="V5">
        <f t="shared" si="5"/>
        <v>2.0688266944701068</v>
      </c>
      <c r="X5" t="s">
        <v>45</v>
      </c>
      <c r="Y5" t="s">
        <v>46</v>
      </c>
    </row>
    <row r="6" spans="1:25" x14ac:dyDescent="0.35">
      <c r="A6" t="s">
        <v>47</v>
      </c>
      <c r="B6" s="1">
        <v>45506</v>
      </c>
      <c r="C6" t="s">
        <v>48</v>
      </c>
      <c r="D6" t="s">
        <v>49</v>
      </c>
      <c r="E6" t="s">
        <v>20</v>
      </c>
      <c r="F6" t="s">
        <v>31</v>
      </c>
      <c r="G6" t="s">
        <v>43</v>
      </c>
      <c r="H6" t="s">
        <v>50</v>
      </c>
      <c r="I6">
        <v>9</v>
      </c>
      <c r="J6">
        <v>526.91999999999996</v>
      </c>
      <c r="K6">
        <v>0.15</v>
      </c>
      <c r="L6">
        <v>4030.94</v>
      </c>
      <c r="M6">
        <v>2749.96</v>
      </c>
      <c r="N6">
        <v>1280.98</v>
      </c>
      <c r="O6" t="s">
        <v>51</v>
      </c>
      <c r="P6">
        <v>1</v>
      </c>
      <c r="Q6" t="str">
        <f t="shared" si="0"/>
        <v>August</v>
      </c>
      <c r="R6" t="str">
        <f t="shared" si="1"/>
        <v>Q3</v>
      </c>
      <c r="S6">
        <f t="shared" si="2"/>
        <v>2024</v>
      </c>
      <c r="T6">
        <f t="shared" si="3"/>
        <v>3649955.68</v>
      </c>
      <c r="U6">
        <f t="shared" si="4"/>
        <v>1188974.1699999997</v>
      </c>
      <c r="V6">
        <f t="shared" si="5"/>
        <v>2.0698359746536807</v>
      </c>
      <c r="X6" t="s">
        <v>52</v>
      </c>
      <c r="Y6" t="s">
        <v>53</v>
      </c>
    </row>
    <row r="7" spans="1:25" x14ac:dyDescent="0.35">
      <c r="A7" t="s">
        <v>54</v>
      </c>
      <c r="B7" s="1">
        <v>45329</v>
      </c>
      <c r="C7" t="s">
        <v>55</v>
      </c>
      <c r="D7" t="s">
        <v>19</v>
      </c>
      <c r="E7" t="s">
        <v>30</v>
      </c>
      <c r="F7" t="s">
        <v>21</v>
      </c>
      <c r="G7" t="s">
        <v>43</v>
      </c>
      <c r="H7" t="s">
        <v>50</v>
      </c>
      <c r="I7">
        <v>5</v>
      </c>
      <c r="J7">
        <v>212.45</v>
      </c>
      <c r="K7">
        <v>0.1</v>
      </c>
      <c r="L7">
        <v>956.02</v>
      </c>
      <c r="M7">
        <v>663.45</v>
      </c>
      <c r="N7">
        <v>292.57</v>
      </c>
      <c r="O7" t="s">
        <v>24</v>
      </c>
      <c r="P7">
        <v>1</v>
      </c>
      <c r="Q7" t="str">
        <f t="shared" si="0"/>
        <v>February</v>
      </c>
      <c r="R7" t="str">
        <f t="shared" si="1"/>
        <v>Q1</v>
      </c>
      <c r="S7">
        <f t="shared" si="2"/>
        <v>2024</v>
      </c>
      <c r="T7">
        <f t="shared" si="3"/>
        <v>3645924.7400000007</v>
      </c>
      <c r="U7">
        <f t="shared" si="4"/>
        <v>1187693.19</v>
      </c>
      <c r="V7">
        <f t="shared" si="5"/>
        <v>2.0697530058246785</v>
      </c>
      <c r="X7" t="s">
        <v>56</v>
      </c>
      <c r="Y7" t="s">
        <v>57</v>
      </c>
    </row>
    <row r="8" spans="1:25" x14ac:dyDescent="0.35">
      <c r="A8" t="s">
        <v>58</v>
      </c>
      <c r="B8" s="1">
        <v>45472</v>
      </c>
      <c r="C8" t="s">
        <v>59</v>
      </c>
      <c r="D8" t="s">
        <v>37</v>
      </c>
      <c r="E8" t="s">
        <v>30</v>
      </c>
      <c r="F8" t="s">
        <v>21</v>
      </c>
      <c r="G8" t="s">
        <v>60</v>
      </c>
      <c r="H8" t="s">
        <v>61</v>
      </c>
      <c r="I8">
        <v>2</v>
      </c>
      <c r="J8">
        <v>999.61</v>
      </c>
      <c r="K8">
        <v>0.1</v>
      </c>
      <c r="L8">
        <v>1799.3</v>
      </c>
      <c r="M8">
        <v>907.73</v>
      </c>
      <c r="N8">
        <v>891.57</v>
      </c>
      <c r="O8" t="s">
        <v>62</v>
      </c>
      <c r="P8">
        <v>3</v>
      </c>
      <c r="Q8" t="str">
        <f t="shared" si="0"/>
        <v>June</v>
      </c>
      <c r="R8" t="str">
        <f t="shared" si="1"/>
        <v>Q2</v>
      </c>
      <c r="S8">
        <f t="shared" si="2"/>
        <v>2024</v>
      </c>
      <c r="T8">
        <f t="shared" si="3"/>
        <v>3644968.7200000007</v>
      </c>
      <c r="U8">
        <f t="shared" si="4"/>
        <v>1187400.6199999999</v>
      </c>
      <c r="V8">
        <f t="shared" si="5"/>
        <v>2.0697042418589953</v>
      </c>
      <c r="X8" t="s">
        <v>63</v>
      </c>
      <c r="Y8" t="s">
        <v>8</v>
      </c>
    </row>
    <row r="9" spans="1:25" x14ac:dyDescent="0.35">
      <c r="A9" t="s">
        <v>64</v>
      </c>
      <c r="B9" s="1">
        <v>45370</v>
      </c>
      <c r="C9" t="s">
        <v>65</v>
      </c>
      <c r="D9" t="s">
        <v>66</v>
      </c>
      <c r="E9" t="s">
        <v>30</v>
      </c>
      <c r="F9" t="s">
        <v>39</v>
      </c>
      <c r="G9" t="s">
        <v>43</v>
      </c>
      <c r="H9" t="s">
        <v>50</v>
      </c>
      <c r="I9">
        <v>12</v>
      </c>
      <c r="J9">
        <v>287.70999999999998</v>
      </c>
      <c r="K9">
        <v>0.15</v>
      </c>
      <c r="L9">
        <v>2934.64</v>
      </c>
      <c r="M9">
        <v>2474.59</v>
      </c>
      <c r="N9">
        <v>460.05</v>
      </c>
      <c r="O9" t="s">
        <v>33</v>
      </c>
      <c r="P9">
        <v>1</v>
      </c>
      <c r="Q9" t="str">
        <f t="shared" si="0"/>
        <v>March</v>
      </c>
      <c r="R9" t="str">
        <f t="shared" si="1"/>
        <v>Q1</v>
      </c>
      <c r="S9">
        <f t="shared" si="2"/>
        <v>2024</v>
      </c>
      <c r="T9">
        <f t="shared" si="3"/>
        <v>3643169.4200000004</v>
      </c>
      <c r="U9">
        <f t="shared" si="4"/>
        <v>1186509.0499999998</v>
      </c>
      <c r="V9">
        <f t="shared" si="5"/>
        <v>2.0704944222717905</v>
      </c>
      <c r="X9" t="s">
        <v>67</v>
      </c>
      <c r="Y9" t="s">
        <v>68</v>
      </c>
    </row>
    <row r="10" spans="1:25" x14ac:dyDescent="0.35">
      <c r="A10" t="s">
        <v>69</v>
      </c>
      <c r="B10" s="1">
        <v>45642</v>
      </c>
      <c r="C10" t="s">
        <v>70</v>
      </c>
      <c r="D10" t="s">
        <v>49</v>
      </c>
      <c r="E10" t="s">
        <v>30</v>
      </c>
      <c r="F10" t="s">
        <v>21</v>
      </c>
      <c r="G10" t="s">
        <v>22</v>
      </c>
      <c r="H10" t="s">
        <v>32</v>
      </c>
      <c r="I10">
        <v>8</v>
      </c>
      <c r="J10">
        <v>239.88</v>
      </c>
      <c r="K10">
        <v>0.1</v>
      </c>
      <c r="L10">
        <v>1727.14</v>
      </c>
      <c r="M10">
        <v>1346.5</v>
      </c>
      <c r="N10">
        <v>380.64</v>
      </c>
      <c r="O10" t="s">
        <v>33</v>
      </c>
      <c r="P10">
        <v>1</v>
      </c>
      <c r="Q10" t="str">
        <f t="shared" si="0"/>
        <v>December</v>
      </c>
      <c r="R10" t="str">
        <f t="shared" si="1"/>
        <v>Q4</v>
      </c>
      <c r="S10">
        <f t="shared" si="2"/>
        <v>2024</v>
      </c>
      <c r="T10">
        <f t="shared" si="3"/>
        <v>3640234.7800000003</v>
      </c>
      <c r="U10">
        <f t="shared" si="4"/>
        <v>1186048.9999999998</v>
      </c>
      <c r="V10">
        <f t="shared" si="5"/>
        <v>2.0692111202825521</v>
      </c>
      <c r="X10" t="s">
        <v>71</v>
      </c>
      <c r="Y10" t="s">
        <v>10</v>
      </c>
    </row>
    <row r="11" spans="1:25" x14ac:dyDescent="0.35">
      <c r="A11" t="s">
        <v>72</v>
      </c>
      <c r="B11" s="1">
        <v>45296</v>
      </c>
      <c r="C11" t="s">
        <v>73</v>
      </c>
      <c r="D11" t="s">
        <v>66</v>
      </c>
      <c r="E11" t="s">
        <v>30</v>
      </c>
      <c r="F11" t="s">
        <v>31</v>
      </c>
      <c r="G11" t="s">
        <v>22</v>
      </c>
      <c r="H11" t="s">
        <v>74</v>
      </c>
      <c r="I11">
        <v>9</v>
      </c>
      <c r="J11">
        <v>432.52</v>
      </c>
      <c r="K11">
        <v>0</v>
      </c>
      <c r="L11">
        <v>3892.68</v>
      </c>
      <c r="M11">
        <v>2059.29</v>
      </c>
      <c r="N11">
        <v>1833.39</v>
      </c>
      <c r="O11" t="s">
        <v>33</v>
      </c>
      <c r="P11">
        <v>1</v>
      </c>
      <c r="Q11" t="str">
        <f t="shared" si="0"/>
        <v>January</v>
      </c>
      <c r="R11" t="str">
        <f t="shared" si="1"/>
        <v>Q1</v>
      </c>
      <c r="S11">
        <f t="shared" si="2"/>
        <v>2024</v>
      </c>
      <c r="T11">
        <f t="shared" si="3"/>
        <v>3638507.64</v>
      </c>
      <c r="U11">
        <f t="shared" si="4"/>
        <v>1185668.3599999999</v>
      </c>
      <c r="V11">
        <f t="shared" si="5"/>
        <v>2.0687397612600544</v>
      </c>
      <c r="X11" t="s">
        <v>75</v>
      </c>
      <c r="Y11" t="s">
        <v>76</v>
      </c>
    </row>
    <row r="12" spans="1:25" x14ac:dyDescent="0.35">
      <c r="A12" t="s">
        <v>77</v>
      </c>
      <c r="B12" s="1">
        <v>45304</v>
      </c>
      <c r="C12" t="s">
        <v>78</v>
      </c>
      <c r="D12" t="s">
        <v>37</v>
      </c>
      <c r="E12" t="s">
        <v>30</v>
      </c>
      <c r="F12" t="s">
        <v>31</v>
      </c>
      <c r="G12" t="s">
        <v>79</v>
      </c>
      <c r="H12" t="s">
        <v>80</v>
      </c>
      <c r="I12">
        <v>8</v>
      </c>
      <c r="J12">
        <v>49.31</v>
      </c>
      <c r="K12">
        <v>0.1</v>
      </c>
      <c r="L12">
        <v>355.03</v>
      </c>
      <c r="M12">
        <v>228.97</v>
      </c>
      <c r="N12">
        <v>126.06</v>
      </c>
      <c r="O12" t="s">
        <v>51</v>
      </c>
      <c r="P12">
        <v>3</v>
      </c>
      <c r="Q12" t="str">
        <f t="shared" si="0"/>
        <v>January</v>
      </c>
      <c r="R12" t="str">
        <f t="shared" si="1"/>
        <v>Q1</v>
      </c>
      <c r="S12">
        <f t="shared" si="2"/>
        <v>2024</v>
      </c>
      <c r="T12">
        <f t="shared" si="3"/>
        <v>3634614.9600000004</v>
      </c>
      <c r="U12">
        <f t="shared" si="4"/>
        <v>1183834.97</v>
      </c>
      <c r="V12">
        <f t="shared" si="5"/>
        <v>2.0702040842736724</v>
      </c>
      <c r="X12" t="s">
        <v>81</v>
      </c>
      <c r="Y12" t="s">
        <v>82</v>
      </c>
    </row>
    <row r="13" spans="1:25" x14ac:dyDescent="0.35">
      <c r="A13" t="s">
        <v>83</v>
      </c>
      <c r="B13" s="1">
        <v>45490</v>
      </c>
      <c r="C13" t="s">
        <v>84</v>
      </c>
      <c r="D13" t="s">
        <v>66</v>
      </c>
      <c r="E13" t="s">
        <v>85</v>
      </c>
      <c r="F13" t="s">
        <v>31</v>
      </c>
      <c r="G13" t="s">
        <v>60</v>
      </c>
      <c r="H13" t="s">
        <v>61</v>
      </c>
      <c r="I13">
        <v>2</v>
      </c>
      <c r="J13">
        <v>991.46</v>
      </c>
      <c r="K13">
        <v>0</v>
      </c>
      <c r="L13">
        <v>1982.92</v>
      </c>
      <c r="M13">
        <v>1517.57</v>
      </c>
      <c r="N13">
        <v>465.35</v>
      </c>
      <c r="O13" t="s">
        <v>24</v>
      </c>
      <c r="P13">
        <v>4</v>
      </c>
      <c r="Q13" t="str">
        <f t="shared" si="0"/>
        <v>July</v>
      </c>
      <c r="R13" t="str">
        <f t="shared" si="1"/>
        <v>Q3</v>
      </c>
      <c r="S13">
        <f t="shared" si="2"/>
        <v>2024</v>
      </c>
      <c r="T13">
        <f t="shared" si="3"/>
        <v>3634259.93</v>
      </c>
      <c r="U13">
        <f t="shared" si="4"/>
        <v>1183708.9099999999</v>
      </c>
      <c r="V13">
        <f t="shared" si="5"/>
        <v>2.0702311178852244</v>
      </c>
      <c r="X13" t="s">
        <v>86</v>
      </c>
      <c r="Y13" t="s">
        <v>13</v>
      </c>
    </row>
    <row r="14" spans="1:25" x14ac:dyDescent="0.35">
      <c r="A14" t="s">
        <v>87</v>
      </c>
      <c r="B14" s="1">
        <v>45593</v>
      </c>
      <c r="C14" t="s">
        <v>88</v>
      </c>
      <c r="D14" t="s">
        <v>19</v>
      </c>
      <c r="E14" t="s">
        <v>30</v>
      </c>
      <c r="F14" t="s">
        <v>31</v>
      </c>
      <c r="G14" t="s">
        <v>79</v>
      </c>
      <c r="H14" t="s">
        <v>89</v>
      </c>
      <c r="I14">
        <v>9</v>
      </c>
      <c r="J14">
        <v>1170.17</v>
      </c>
      <c r="K14">
        <v>0</v>
      </c>
      <c r="L14">
        <v>10531.53</v>
      </c>
      <c r="M14">
        <v>7586.56</v>
      </c>
      <c r="N14">
        <v>2944.97</v>
      </c>
      <c r="O14" t="s">
        <v>51</v>
      </c>
      <c r="P14">
        <v>4</v>
      </c>
      <c r="Q14" t="str">
        <f t="shared" si="0"/>
        <v>October</v>
      </c>
      <c r="R14" t="str">
        <f t="shared" si="1"/>
        <v>Q4</v>
      </c>
      <c r="S14">
        <f t="shared" si="2"/>
        <v>2024</v>
      </c>
      <c r="T14">
        <f t="shared" si="3"/>
        <v>3632277.0100000002</v>
      </c>
      <c r="U14">
        <f t="shared" si="4"/>
        <v>1183243.56</v>
      </c>
      <c r="V14">
        <f t="shared" si="5"/>
        <v>2.0697627545084631</v>
      </c>
      <c r="X14" t="s">
        <v>90</v>
      </c>
      <c r="Y14" t="s">
        <v>91</v>
      </c>
    </row>
    <row r="15" spans="1:25" x14ac:dyDescent="0.35">
      <c r="A15" t="s">
        <v>92</v>
      </c>
      <c r="B15" s="1">
        <v>45306</v>
      </c>
      <c r="C15" t="s">
        <v>93</v>
      </c>
      <c r="D15" t="s">
        <v>37</v>
      </c>
      <c r="E15" t="s">
        <v>20</v>
      </c>
      <c r="F15" t="s">
        <v>39</v>
      </c>
      <c r="G15" t="s">
        <v>22</v>
      </c>
      <c r="H15" t="s">
        <v>23</v>
      </c>
      <c r="I15">
        <v>8</v>
      </c>
      <c r="J15">
        <v>1046.58</v>
      </c>
      <c r="K15">
        <v>0.15</v>
      </c>
      <c r="L15">
        <v>7116.74</v>
      </c>
      <c r="M15">
        <v>4315.1099999999997</v>
      </c>
      <c r="N15">
        <v>2801.63</v>
      </c>
      <c r="O15" t="s">
        <v>51</v>
      </c>
      <c r="P15">
        <v>3</v>
      </c>
      <c r="Q15" t="str">
        <f t="shared" si="0"/>
        <v>January</v>
      </c>
      <c r="R15" t="str">
        <f t="shared" si="1"/>
        <v>Q1</v>
      </c>
      <c r="S15">
        <f t="shared" si="2"/>
        <v>2024</v>
      </c>
      <c r="T15">
        <f t="shared" si="3"/>
        <v>3621745.4800000004</v>
      </c>
      <c r="U15">
        <f t="shared" si="4"/>
        <v>1180298.5899999999</v>
      </c>
      <c r="V15">
        <f t="shared" si="5"/>
        <v>2.0684993701466685</v>
      </c>
      <c r="X15" t="s">
        <v>94</v>
      </c>
      <c r="Y15" t="s">
        <v>95</v>
      </c>
    </row>
    <row r="16" spans="1:25" x14ac:dyDescent="0.35">
      <c r="A16" t="s">
        <v>96</v>
      </c>
      <c r="B16" s="1">
        <v>45551</v>
      </c>
      <c r="C16" t="s">
        <v>97</v>
      </c>
      <c r="D16" t="s">
        <v>37</v>
      </c>
      <c r="E16" t="s">
        <v>98</v>
      </c>
      <c r="F16" t="s">
        <v>39</v>
      </c>
      <c r="G16" t="s">
        <v>22</v>
      </c>
      <c r="H16" t="s">
        <v>23</v>
      </c>
      <c r="I16">
        <v>4</v>
      </c>
      <c r="J16">
        <v>1073.19</v>
      </c>
      <c r="K16">
        <v>0.1</v>
      </c>
      <c r="L16">
        <v>3863.48</v>
      </c>
      <c r="M16">
        <v>2057.3000000000002</v>
      </c>
      <c r="N16">
        <v>1806.18</v>
      </c>
      <c r="O16" t="s">
        <v>24</v>
      </c>
      <c r="P16">
        <v>4</v>
      </c>
      <c r="Q16" t="str">
        <f t="shared" si="0"/>
        <v>September</v>
      </c>
      <c r="R16" t="str">
        <f t="shared" si="1"/>
        <v>Q3</v>
      </c>
      <c r="S16">
        <f t="shared" si="2"/>
        <v>2024</v>
      </c>
      <c r="T16">
        <f t="shared" si="3"/>
        <v>3614628.7400000007</v>
      </c>
      <c r="U16">
        <f t="shared" si="4"/>
        <v>1177496.9599999997</v>
      </c>
      <c r="V16">
        <f t="shared" si="5"/>
        <v>2.0697563244664359</v>
      </c>
      <c r="X16" t="s">
        <v>2066</v>
      </c>
      <c r="Y16" t="s">
        <v>2074</v>
      </c>
    </row>
    <row r="17" spans="1:26" x14ac:dyDescent="0.35">
      <c r="A17" t="s">
        <v>99</v>
      </c>
      <c r="B17" s="1">
        <v>45581</v>
      </c>
      <c r="C17" t="s">
        <v>100</v>
      </c>
      <c r="D17" t="s">
        <v>37</v>
      </c>
      <c r="E17" t="s">
        <v>38</v>
      </c>
      <c r="F17" t="s">
        <v>21</v>
      </c>
      <c r="G17" t="s">
        <v>22</v>
      </c>
      <c r="H17" t="s">
        <v>74</v>
      </c>
      <c r="I17">
        <v>4</v>
      </c>
      <c r="J17">
        <v>611.11</v>
      </c>
      <c r="K17">
        <v>0</v>
      </c>
      <c r="L17">
        <v>2444.44</v>
      </c>
      <c r="M17">
        <v>1388.34</v>
      </c>
      <c r="N17">
        <v>1056.0999999999999</v>
      </c>
      <c r="O17" t="s">
        <v>24</v>
      </c>
      <c r="P17">
        <v>1</v>
      </c>
      <c r="Q17" t="str">
        <f t="shared" si="0"/>
        <v>October</v>
      </c>
      <c r="R17" t="str">
        <f t="shared" si="1"/>
        <v>Q4</v>
      </c>
      <c r="S17">
        <f t="shared" si="2"/>
        <v>2024</v>
      </c>
      <c r="T17">
        <f t="shared" si="3"/>
        <v>3610765.2600000007</v>
      </c>
      <c r="U17">
        <f t="shared" si="4"/>
        <v>1175690.78</v>
      </c>
      <c r="V17">
        <f t="shared" si="5"/>
        <v>2.0711861668252602</v>
      </c>
      <c r="X17" t="s">
        <v>2068</v>
      </c>
      <c r="Y17" t="s">
        <v>2069</v>
      </c>
      <c r="Z17" t="s">
        <v>2070</v>
      </c>
    </row>
    <row r="18" spans="1:26" x14ac:dyDescent="0.35">
      <c r="A18" t="s">
        <v>101</v>
      </c>
      <c r="B18" s="1">
        <v>45539</v>
      </c>
      <c r="C18" t="s">
        <v>102</v>
      </c>
      <c r="D18" t="s">
        <v>19</v>
      </c>
      <c r="E18" t="s">
        <v>30</v>
      </c>
      <c r="F18" t="s">
        <v>31</v>
      </c>
      <c r="G18" t="s">
        <v>79</v>
      </c>
      <c r="H18" t="s">
        <v>103</v>
      </c>
      <c r="I18">
        <v>9</v>
      </c>
      <c r="J18">
        <v>168.83</v>
      </c>
      <c r="K18">
        <v>0.05</v>
      </c>
      <c r="L18">
        <v>1443.5</v>
      </c>
      <c r="M18">
        <v>1118.9000000000001</v>
      </c>
      <c r="N18">
        <v>324.60000000000002</v>
      </c>
      <c r="O18" t="s">
        <v>24</v>
      </c>
      <c r="P18">
        <v>5</v>
      </c>
      <c r="Q18" t="str">
        <f t="shared" si="0"/>
        <v>September</v>
      </c>
      <c r="R18" t="str">
        <f t="shared" si="1"/>
        <v>Q3</v>
      </c>
      <c r="S18">
        <f t="shared" si="2"/>
        <v>2024</v>
      </c>
      <c r="T18">
        <f t="shared" si="3"/>
        <v>3608320.8200000003</v>
      </c>
      <c r="U18">
        <f t="shared" si="4"/>
        <v>1174634.68</v>
      </c>
      <c r="V18">
        <f t="shared" si="5"/>
        <v>2.0718664121171706</v>
      </c>
      <c r="X18" t="s">
        <v>2072</v>
      </c>
      <c r="Y18" t="s">
        <v>2073</v>
      </c>
    </row>
    <row r="19" spans="1:26" x14ac:dyDescent="0.35">
      <c r="A19" t="s">
        <v>104</v>
      </c>
      <c r="B19" s="1">
        <v>45295</v>
      </c>
      <c r="C19" t="s">
        <v>105</v>
      </c>
      <c r="D19" t="s">
        <v>66</v>
      </c>
      <c r="E19" t="s">
        <v>20</v>
      </c>
      <c r="F19" t="s">
        <v>39</v>
      </c>
      <c r="G19" t="s">
        <v>43</v>
      </c>
      <c r="H19" t="s">
        <v>44</v>
      </c>
      <c r="I19">
        <v>7</v>
      </c>
      <c r="J19">
        <v>1098.25</v>
      </c>
      <c r="K19">
        <v>0.05</v>
      </c>
      <c r="L19">
        <v>7303.36</v>
      </c>
      <c r="M19">
        <v>5210.3100000000004</v>
      </c>
      <c r="N19">
        <v>2093.0500000000002</v>
      </c>
      <c r="O19" t="s">
        <v>24</v>
      </c>
      <c r="P19">
        <v>5</v>
      </c>
      <c r="Q19" t="str">
        <f t="shared" si="0"/>
        <v>January</v>
      </c>
      <c r="R19" t="str">
        <f t="shared" si="1"/>
        <v>Q1</v>
      </c>
      <c r="S19">
        <f t="shared" si="2"/>
        <v>2024</v>
      </c>
      <c r="T19">
        <f t="shared" si="3"/>
        <v>3606877.3200000003</v>
      </c>
      <c r="U19">
        <f t="shared" si="4"/>
        <v>1174310.0799999998</v>
      </c>
      <c r="V19">
        <f t="shared" si="5"/>
        <v>2.0714862977247037</v>
      </c>
      <c r="X19" t="s">
        <v>2103</v>
      </c>
      <c r="Y19" t="s">
        <v>2104</v>
      </c>
    </row>
    <row r="20" spans="1:26" x14ac:dyDescent="0.35">
      <c r="A20" t="s">
        <v>106</v>
      </c>
      <c r="B20" s="1">
        <v>45507</v>
      </c>
      <c r="C20" t="s">
        <v>107</v>
      </c>
      <c r="D20" t="s">
        <v>49</v>
      </c>
      <c r="E20" t="s">
        <v>85</v>
      </c>
      <c r="F20" t="s">
        <v>31</v>
      </c>
      <c r="G20" t="s">
        <v>22</v>
      </c>
      <c r="H20" t="s">
        <v>74</v>
      </c>
      <c r="I20">
        <v>6</v>
      </c>
      <c r="J20">
        <v>1035.3599999999999</v>
      </c>
      <c r="K20">
        <v>0.1</v>
      </c>
      <c r="L20">
        <v>5590.94</v>
      </c>
      <c r="M20">
        <v>4669.49</v>
      </c>
      <c r="N20">
        <v>921.45</v>
      </c>
      <c r="O20" t="s">
        <v>33</v>
      </c>
      <c r="P20">
        <v>3</v>
      </c>
      <c r="Q20" t="str">
        <f t="shared" si="0"/>
        <v>August</v>
      </c>
      <c r="R20" t="str">
        <f t="shared" si="1"/>
        <v>Q3</v>
      </c>
      <c r="S20">
        <f t="shared" si="2"/>
        <v>2024</v>
      </c>
      <c r="T20">
        <f t="shared" si="3"/>
        <v>3599573.9600000004</v>
      </c>
      <c r="U20">
        <f t="shared" si="4"/>
        <v>1172217.03</v>
      </c>
      <c r="V20">
        <f t="shared" si="5"/>
        <v>2.0707402024350392</v>
      </c>
      <c r="X20" t="s">
        <v>2105</v>
      </c>
      <c r="Y20" t="s">
        <v>2106</v>
      </c>
    </row>
    <row r="21" spans="1:26" x14ac:dyDescent="0.35">
      <c r="A21" t="s">
        <v>108</v>
      </c>
      <c r="B21" s="1">
        <v>45484</v>
      </c>
      <c r="C21" t="s">
        <v>109</v>
      </c>
      <c r="D21" t="s">
        <v>66</v>
      </c>
      <c r="E21" t="s">
        <v>85</v>
      </c>
      <c r="F21" t="s">
        <v>31</v>
      </c>
      <c r="G21" t="s">
        <v>60</v>
      </c>
      <c r="H21" t="s">
        <v>110</v>
      </c>
      <c r="I21">
        <v>7</v>
      </c>
      <c r="J21">
        <v>1172.9000000000001</v>
      </c>
      <c r="K21">
        <v>0</v>
      </c>
      <c r="L21">
        <v>8210.2999999999993</v>
      </c>
      <c r="M21">
        <v>6523.65</v>
      </c>
      <c r="N21">
        <v>1686.65</v>
      </c>
      <c r="O21" t="s">
        <v>33</v>
      </c>
      <c r="P21">
        <v>3</v>
      </c>
      <c r="Q21" t="str">
        <f t="shared" si="0"/>
        <v>July</v>
      </c>
      <c r="R21" t="str">
        <f t="shared" si="1"/>
        <v>Q3</v>
      </c>
      <c r="S21">
        <f t="shared" si="2"/>
        <v>2024</v>
      </c>
      <c r="T21">
        <f t="shared" si="3"/>
        <v>3593983.0200000009</v>
      </c>
      <c r="U21">
        <f t="shared" si="4"/>
        <v>1171295.58</v>
      </c>
      <c r="V21">
        <f t="shared" si="5"/>
        <v>2.0683826366014295</v>
      </c>
      <c r="X21" t="s">
        <v>2107</v>
      </c>
      <c r="Y21" t="s">
        <v>2108</v>
      </c>
    </row>
    <row r="22" spans="1:26" x14ac:dyDescent="0.35">
      <c r="A22" t="s">
        <v>111</v>
      </c>
      <c r="B22" s="1">
        <v>45486</v>
      </c>
      <c r="C22" t="s">
        <v>112</v>
      </c>
      <c r="D22" t="s">
        <v>29</v>
      </c>
      <c r="E22" t="s">
        <v>20</v>
      </c>
      <c r="F22" t="s">
        <v>39</v>
      </c>
      <c r="G22" t="s">
        <v>22</v>
      </c>
      <c r="H22" t="s">
        <v>23</v>
      </c>
      <c r="I22">
        <v>2</v>
      </c>
      <c r="J22">
        <v>1090.77</v>
      </c>
      <c r="K22">
        <v>0.1</v>
      </c>
      <c r="L22">
        <v>1963.39</v>
      </c>
      <c r="M22">
        <v>1019.43</v>
      </c>
      <c r="N22">
        <v>943.96</v>
      </c>
      <c r="O22" t="s">
        <v>24</v>
      </c>
      <c r="P22">
        <v>1</v>
      </c>
      <c r="Q22" t="str">
        <f t="shared" si="0"/>
        <v>July</v>
      </c>
      <c r="R22" t="str">
        <f t="shared" si="1"/>
        <v>Q3</v>
      </c>
      <c r="S22">
        <f t="shared" si="2"/>
        <v>2024</v>
      </c>
      <c r="T22">
        <f t="shared" si="3"/>
        <v>3585772.7200000007</v>
      </c>
      <c r="U22">
        <f t="shared" si="4"/>
        <v>1169608.93</v>
      </c>
      <c r="V22">
        <f t="shared" si="5"/>
        <v>2.0657877415487937</v>
      </c>
      <c r="X22" t="s">
        <v>2109</v>
      </c>
      <c r="Y22" t="s">
        <v>2110</v>
      </c>
    </row>
    <row r="23" spans="1:26" x14ac:dyDescent="0.35">
      <c r="A23" t="s">
        <v>113</v>
      </c>
      <c r="B23" s="1">
        <v>45516</v>
      </c>
      <c r="C23" t="s">
        <v>114</v>
      </c>
      <c r="D23" t="s">
        <v>66</v>
      </c>
      <c r="E23" t="s">
        <v>20</v>
      </c>
      <c r="F23" t="s">
        <v>39</v>
      </c>
      <c r="G23" t="s">
        <v>43</v>
      </c>
      <c r="H23" t="s">
        <v>50</v>
      </c>
      <c r="I23">
        <v>12</v>
      </c>
      <c r="J23">
        <v>396.39</v>
      </c>
      <c r="K23">
        <v>0.15</v>
      </c>
      <c r="L23">
        <v>4043.18</v>
      </c>
      <c r="M23">
        <v>2397.89</v>
      </c>
      <c r="N23">
        <v>1645.29</v>
      </c>
      <c r="O23" t="s">
        <v>51</v>
      </c>
      <c r="P23">
        <v>4</v>
      </c>
      <c r="Q23" t="str">
        <f t="shared" si="0"/>
        <v>August</v>
      </c>
      <c r="R23" t="str">
        <f t="shared" si="1"/>
        <v>Q3</v>
      </c>
      <c r="S23">
        <f t="shared" si="2"/>
        <v>2024</v>
      </c>
      <c r="T23">
        <f t="shared" si="3"/>
        <v>3583809.33</v>
      </c>
      <c r="U23">
        <f t="shared" si="4"/>
        <v>1168664.9700000002</v>
      </c>
      <c r="V23">
        <f t="shared" si="5"/>
        <v>2.0665840270715048</v>
      </c>
    </row>
    <row r="24" spans="1:26" x14ac:dyDescent="0.35">
      <c r="A24" t="s">
        <v>115</v>
      </c>
      <c r="B24" s="1">
        <v>45546</v>
      </c>
      <c r="C24" t="s">
        <v>116</v>
      </c>
      <c r="D24" t="s">
        <v>37</v>
      </c>
      <c r="E24" t="s">
        <v>30</v>
      </c>
      <c r="F24" t="s">
        <v>21</v>
      </c>
      <c r="G24" t="s">
        <v>79</v>
      </c>
      <c r="H24" t="s">
        <v>80</v>
      </c>
      <c r="I24">
        <v>1</v>
      </c>
      <c r="J24">
        <v>226.82</v>
      </c>
      <c r="K24">
        <v>0</v>
      </c>
      <c r="L24">
        <v>226.82</v>
      </c>
      <c r="M24">
        <v>147.4</v>
      </c>
      <c r="N24">
        <v>79.42</v>
      </c>
      <c r="O24" t="s">
        <v>62</v>
      </c>
      <c r="P24">
        <v>4</v>
      </c>
      <c r="Q24" t="str">
        <f t="shared" si="0"/>
        <v>September</v>
      </c>
      <c r="R24" t="str">
        <f t="shared" si="1"/>
        <v>Q3</v>
      </c>
      <c r="S24">
        <f t="shared" si="2"/>
        <v>2024</v>
      </c>
      <c r="T24">
        <f t="shared" si="3"/>
        <v>3579766.1500000004</v>
      </c>
      <c r="U24">
        <f t="shared" si="4"/>
        <v>1167019.6800000002</v>
      </c>
      <c r="V24">
        <f t="shared" si="5"/>
        <v>2.0674428300986318</v>
      </c>
    </row>
    <row r="25" spans="1:26" x14ac:dyDescent="0.35">
      <c r="A25" t="s">
        <v>117</v>
      </c>
      <c r="B25" s="1">
        <v>45308</v>
      </c>
      <c r="C25" t="s">
        <v>118</v>
      </c>
      <c r="D25" t="s">
        <v>19</v>
      </c>
      <c r="E25" t="s">
        <v>20</v>
      </c>
      <c r="F25" t="s">
        <v>21</v>
      </c>
      <c r="G25" t="s">
        <v>60</v>
      </c>
      <c r="H25" t="s">
        <v>119</v>
      </c>
      <c r="I25">
        <v>6</v>
      </c>
      <c r="J25">
        <v>1070.92</v>
      </c>
      <c r="K25">
        <v>0.05</v>
      </c>
      <c r="L25">
        <v>6104.24</v>
      </c>
      <c r="M25">
        <v>4329.08</v>
      </c>
      <c r="N25">
        <v>1775.16</v>
      </c>
      <c r="O25" t="s">
        <v>24</v>
      </c>
      <c r="P25">
        <v>5</v>
      </c>
      <c r="Q25" t="str">
        <f t="shared" si="0"/>
        <v>January</v>
      </c>
      <c r="R25" t="str">
        <f t="shared" si="1"/>
        <v>Q1</v>
      </c>
      <c r="S25">
        <f t="shared" si="2"/>
        <v>2024</v>
      </c>
      <c r="T25">
        <f t="shared" si="3"/>
        <v>3579539.33</v>
      </c>
      <c r="U25">
        <f t="shared" si="4"/>
        <v>1166940.26</v>
      </c>
      <c r="V25">
        <f t="shared" si="5"/>
        <v>2.0674572235600137</v>
      </c>
    </row>
    <row r="26" spans="1:26" x14ac:dyDescent="0.35">
      <c r="A26" t="s">
        <v>120</v>
      </c>
      <c r="B26" s="1">
        <v>45437</v>
      </c>
      <c r="C26" t="s">
        <v>121</v>
      </c>
      <c r="D26" t="s">
        <v>37</v>
      </c>
      <c r="E26" t="s">
        <v>30</v>
      </c>
      <c r="F26" t="s">
        <v>39</v>
      </c>
      <c r="G26" t="s">
        <v>22</v>
      </c>
      <c r="H26" t="s">
        <v>23</v>
      </c>
      <c r="I26">
        <v>12</v>
      </c>
      <c r="J26">
        <v>469.94</v>
      </c>
      <c r="K26">
        <v>0</v>
      </c>
      <c r="L26">
        <v>5639.28</v>
      </c>
      <c r="M26">
        <v>4539.93</v>
      </c>
      <c r="N26">
        <v>1099.3499999999999</v>
      </c>
      <c r="O26" t="s">
        <v>33</v>
      </c>
      <c r="P26">
        <v>1</v>
      </c>
      <c r="Q26" t="str">
        <f t="shared" si="0"/>
        <v>May</v>
      </c>
      <c r="R26" t="str">
        <f t="shared" si="1"/>
        <v>Q2</v>
      </c>
      <c r="S26">
        <f t="shared" si="2"/>
        <v>2024</v>
      </c>
      <c r="T26">
        <f t="shared" si="3"/>
        <v>3573435.09</v>
      </c>
      <c r="U26">
        <f t="shared" si="4"/>
        <v>1165165.0999999999</v>
      </c>
      <c r="V26">
        <f t="shared" si="5"/>
        <v>2.0668916276328568</v>
      </c>
    </row>
    <row r="27" spans="1:26" x14ac:dyDescent="0.35">
      <c r="A27" t="s">
        <v>122</v>
      </c>
      <c r="B27" s="1">
        <v>45376</v>
      </c>
      <c r="C27" t="s">
        <v>123</v>
      </c>
      <c r="D27" t="s">
        <v>66</v>
      </c>
      <c r="E27" t="s">
        <v>98</v>
      </c>
      <c r="F27" t="s">
        <v>39</v>
      </c>
      <c r="G27" t="s">
        <v>22</v>
      </c>
      <c r="H27" t="s">
        <v>124</v>
      </c>
      <c r="I27">
        <v>11</v>
      </c>
      <c r="J27">
        <v>206.08</v>
      </c>
      <c r="K27">
        <v>0</v>
      </c>
      <c r="L27">
        <v>2266.88</v>
      </c>
      <c r="M27">
        <v>1347.22</v>
      </c>
      <c r="N27">
        <v>919.66</v>
      </c>
      <c r="O27" t="s">
        <v>33</v>
      </c>
      <c r="P27">
        <v>4</v>
      </c>
      <c r="Q27" t="str">
        <f t="shared" si="0"/>
        <v>March</v>
      </c>
      <c r="R27" t="str">
        <f t="shared" si="1"/>
        <v>Q1</v>
      </c>
      <c r="S27">
        <f t="shared" si="2"/>
        <v>2024</v>
      </c>
      <c r="T27">
        <f t="shared" si="3"/>
        <v>3567795.81</v>
      </c>
      <c r="U27">
        <f t="shared" si="4"/>
        <v>1164065.75</v>
      </c>
      <c r="V27">
        <f t="shared" si="5"/>
        <v>2.0649435480770739</v>
      </c>
    </row>
    <row r="28" spans="1:26" x14ac:dyDescent="0.35">
      <c r="A28" t="s">
        <v>125</v>
      </c>
      <c r="B28" s="1">
        <v>45577</v>
      </c>
      <c r="C28" t="s">
        <v>126</v>
      </c>
      <c r="D28" t="s">
        <v>49</v>
      </c>
      <c r="E28" t="s">
        <v>98</v>
      </c>
      <c r="F28" t="s">
        <v>21</v>
      </c>
      <c r="G28" t="s">
        <v>60</v>
      </c>
      <c r="H28" t="s">
        <v>119</v>
      </c>
      <c r="I28">
        <v>9</v>
      </c>
      <c r="J28">
        <v>119.67</v>
      </c>
      <c r="K28">
        <v>0.15</v>
      </c>
      <c r="L28">
        <v>915.48</v>
      </c>
      <c r="M28">
        <v>654.11</v>
      </c>
      <c r="N28">
        <v>261.37</v>
      </c>
      <c r="O28" t="s">
        <v>62</v>
      </c>
      <c r="P28">
        <v>4</v>
      </c>
      <c r="Q28" t="str">
        <f t="shared" si="0"/>
        <v>October</v>
      </c>
      <c r="R28" t="str">
        <f t="shared" si="1"/>
        <v>Q4</v>
      </c>
      <c r="S28">
        <f t="shared" si="2"/>
        <v>2024</v>
      </c>
      <c r="T28">
        <f t="shared" si="3"/>
        <v>3565528.93</v>
      </c>
      <c r="U28">
        <f t="shared" si="4"/>
        <v>1163146.0900000001</v>
      </c>
      <c r="V28">
        <f t="shared" si="5"/>
        <v>2.0654179734206903</v>
      </c>
    </row>
    <row r="29" spans="1:26" x14ac:dyDescent="0.35">
      <c r="A29" t="s">
        <v>127</v>
      </c>
      <c r="B29" s="1">
        <v>45515</v>
      </c>
      <c r="C29" t="s">
        <v>128</v>
      </c>
      <c r="D29" t="s">
        <v>66</v>
      </c>
      <c r="E29" t="s">
        <v>85</v>
      </c>
      <c r="F29" t="s">
        <v>31</v>
      </c>
      <c r="G29" t="s">
        <v>43</v>
      </c>
      <c r="H29" t="s">
        <v>44</v>
      </c>
      <c r="I29">
        <v>2</v>
      </c>
      <c r="J29">
        <v>81.58</v>
      </c>
      <c r="K29">
        <v>0.15</v>
      </c>
      <c r="L29">
        <v>138.69</v>
      </c>
      <c r="M29">
        <v>106.32</v>
      </c>
      <c r="N29">
        <v>32.369999999999997</v>
      </c>
      <c r="O29" t="s">
        <v>33</v>
      </c>
      <c r="P29">
        <v>2</v>
      </c>
      <c r="Q29" t="str">
        <f t="shared" si="0"/>
        <v>August</v>
      </c>
      <c r="R29" t="str">
        <f t="shared" si="1"/>
        <v>Q3</v>
      </c>
      <c r="S29">
        <f t="shared" si="2"/>
        <v>2024</v>
      </c>
      <c r="T29">
        <f t="shared" si="3"/>
        <v>3564613.4499999997</v>
      </c>
      <c r="U29">
        <f t="shared" si="4"/>
        <v>1162884.7200000002</v>
      </c>
      <c r="V29">
        <f t="shared" si="5"/>
        <v>2.0653197077006902</v>
      </c>
    </row>
    <row r="30" spans="1:26" x14ac:dyDescent="0.35">
      <c r="A30" t="s">
        <v>129</v>
      </c>
      <c r="B30" s="1">
        <v>45329</v>
      </c>
      <c r="C30" t="s">
        <v>130</v>
      </c>
      <c r="D30" t="s">
        <v>19</v>
      </c>
      <c r="E30" t="s">
        <v>38</v>
      </c>
      <c r="F30" t="s">
        <v>31</v>
      </c>
      <c r="G30" t="s">
        <v>60</v>
      </c>
      <c r="H30" t="s">
        <v>110</v>
      </c>
      <c r="I30">
        <v>4</v>
      </c>
      <c r="J30">
        <v>1167.1500000000001</v>
      </c>
      <c r="K30">
        <v>0.05</v>
      </c>
      <c r="L30">
        <v>4435.17</v>
      </c>
      <c r="M30">
        <v>3630.22</v>
      </c>
      <c r="N30">
        <v>804.95</v>
      </c>
      <c r="O30" t="s">
        <v>33</v>
      </c>
      <c r="P30">
        <v>3</v>
      </c>
      <c r="Q30" t="str">
        <f t="shared" si="0"/>
        <v>February</v>
      </c>
      <c r="R30" t="str">
        <f t="shared" si="1"/>
        <v>Q1</v>
      </c>
      <c r="S30">
        <f t="shared" si="2"/>
        <v>2024</v>
      </c>
      <c r="T30">
        <f t="shared" si="3"/>
        <v>3564474.76</v>
      </c>
      <c r="U30">
        <f t="shared" si="4"/>
        <v>1162852.3500000001</v>
      </c>
      <c r="V30">
        <f t="shared" si="5"/>
        <v>2.0652857690832369</v>
      </c>
    </row>
    <row r="31" spans="1:26" x14ac:dyDescent="0.35">
      <c r="A31" t="s">
        <v>131</v>
      </c>
      <c r="B31" s="1">
        <v>45387</v>
      </c>
      <c r="C31" t="s">
        <v>132</v>
      </c>
      <c r="D31" t="s">
        <v>49</v>
      </c>
      <c r="E31" t="s">
        <v>38</v>
      </c>
      <c r="F31" t="s">
        <v>39</v>
      </c>
      <c r="G31" t="s">
        <v>22</v>
      </c>
      <c r="H31" t="s">
        <v>74</v>
      </c>
      <c r="I31">
        <v>4</v>
      </c>
      <c r="J31">
        <v>879.62</v>
      </c>
      <c r="K31">
        <v>0.15</v>
      </c>
      <c r="L31">
        <v>2990.71</v>
      </c>
      <c r="M31">
        <v>2226.85</v>
      </c>
      <c r="N31">
        <v>763.86</v>
      </c>
      <c r="O31" t="s">
        <v>24</v>
      </c>
      <c r="P31">
        <v>2</v>
      </c>
      <c r="Q31" t="str">
        <f t="shared" si="0"/>
        <v>April</v>
      </c>
      <c r="R31" t="str">
        <f t="shared" si="1"/>
        <v>Q2</v>
      </c>
      <c r="S31">
        <f t="shared" si="2"/>
        <v>2024</v>
      </c>
      <c r="T31">
        <f t="shared" si="3"/>
        <v>3560039.59</v>
      </c>
      <c r="U31">
        <f t="shared" si="4"/>
        <v>1162047.4000000001</v>
      </c>
      <c r="V31">
        <f t="shared" si="5"/>
        <v>2.0635924059552124</v>
      </c>
    </row>
    <row r="32" spans="1:26" x14ac:dyDescent="0.35">
      <c r="A32" t="s">
        <v>133</v>
      </c>
      <c r="B32" s="1">
        <v>45631</v>
      </c>
      <c r="C32" t="s">
        <v>134</v>
      </c>
      <c r="D32" t="s">
        <v>19</v>
      </c>
      <c r="E32" t="s">
        <v>30</v>
      </c>
      <c r="F32" t="s">
        <v>21</v>
      </c>
      <c r="G32" t="s">
        <v>22</v>
      </c>
      <c r="H32" t="s">
        <v>23</v>
      </c>
      <c r="I32">
        <v>3</v>
      </c>
      <c r="J32">
        <v>564.41999999999996</v>
      </c>
      <c r="K32">
        <v>0.15</v>
      </c>
      <c r="L32">
        <v>1439.27</v>
      </c>
      <c r="M32">
        <v>831.49</v>
      </c>
      <c r="N32">
        <v>607.78</v>
      </c>
      <c r="O32" t="s">
        <v>51</v>
      </c>
      <c r="P32">
        <v>4</v>
      </c>
      <c r="Q32" t="str">
        <f t="shared" si="0"/>
        <v>December</v>
      </c>
      <c r="R32" t="str">
        <f t="shared" si="1"/>
        <v>Q4</v>
      </c>
      <c r="S32">
        <f t="shared" si="2"/>
        <v>2024</v>
      </c>
      <c r="T32">
        <f t="shared" si="3"/>
        <v>3557048.88</v>
      </c>
      <c r="U32">
        <f t="shared" si="4"/>
        <v>1161283.54</v>
      </c>
      <c r="V32">
        <f t="shared" si="5"/>
        <v>2.0630322031430839</v>
      </c>
    </row>
    <row r="33" spans="1:22" x14ac:dyDescent="0.35">
      <c r="A33" t="s">
        <v>135</v>
      </c>
      <c r="B33" s="1">
        <v>45346</v>
      </c>
      <c r="C33" t="s">
        <v>136</v>
      </c>
      <c r="D33" t="s">
        <v>37</v>
      </c>
      <c r="E33" t="s">
        <v>38</v>
      </c>
      <c r="F33" t="s">
        <v>39</v>
      </c>
      <c r="G33" t="s">
        <v>22</v>
      </c>
      <c r="H33" t="s">
        <v>124</v>
      </c>
      <c r="I33">
        <v>1</v>
      </c>
      <c r="J33">
        <v>351.28</v>
      </c>
      <c r="K33">
        <v>0.15</v>
      </c>
      <c r="L33">
        <v>298.58999999999997</v>
      </c>
      <c r="M33">
        <v>225.71</v>
      </c>
      <c r="N33">
        <v>72.88</v>
      </c>
      <c r="O33" t="s">
        <v>24</v>
      </c>
      <c r="P33">
        <v>5</v>
      </c>
      <c r="Q33" t="str">
        <f t="shared" si="0"/>
        <v>February</v>
      </c>
      <c r="R33" t="str">
        <f t="shared" si="1"/>
        <v>Q1</v>
      </c>
      <c r="S33">
        <f t="shared" si="2"/>
        <v>2024</v>
      </c>
      <c r="T33">
        <f t="shared" si="3"/>
        <v>3555609.61</v>
      </c>
      <c r="U33">
        <f t="shared" si="4"/>
        <v>1160675.76</v>
      </c>
      <c r="V33">
        <f t="shared" si="5"/>
        <v>2.0633961115893378</v>
      </c>
    </row>
    <row r="34" spans="1:22" x14ac:dyDescent="0.35">
      <c r="A34" t="s">
        <v>137</v>
      </c>
      <c r="B34" s="1">
        <v>45316</v>
      </c>
      <c r="C34" t="s">
        <v>138</v>
      </c>
      <c r="D34" t="s">
        <v>29</v>
      </c>
      <c r="E34" t="s">
        <v>20</v>
      </c>
      <c r="F34" t="s">
        <v>31</v>
      </c>
      <c r="G34" t="s">
        <v>22</v>
      </c>
      <c r="H34" t="s">
        <v>124</v>
      </c>
      <c r="I34">
        <v>9</v>
      </c>
      <c r="J34">
        <v>430.08</v>
      </c>
      <c r="K34">
        <v>0.1</v>
      </c>
      <c r="L34">
        <v>3483.65</v>
      </c>
      <c r="M34">
        <v>2001.99</v>
      </c>
      <c r="N34">
        <v>1481.66</v>
      </c>
      <c r="O34" t="s">
        <v>24</v>
      </c>
      <c r="P34">
        <v>1</v>
      </c>
      <c r="Q34" t="str">
        <f t="shared" si="0"/>
        <v>January</v>
      </c>
      <c r="R34" t="str">
        <f t="shared" si="1"/>
        <v>Q1</v>
      </c>
      <c r="S34">
        <f t="shared" si="2"/>
        <v>2024</v>
      </c>
      <c r="T34">
        <f t="shared" si="3"/>
        <v>3555311.02</v>
      </c>
      <c r="U34">
        <f t="shared" si="4"/>
        <v>1160602.8800000001</v>
      </c>
      <c r="V34">
        <f t="shared" si="5"/>
        <v>2.0633312059332467</v>
      </c>
    </row>
    <row r="35" spans="1:22" x14ac:dyDescent="0.35">
      <c r="A35" t="s">
        <v>139</v>
      </c>
      <c r="B35" s="1">
        <v>45294</v>
      </c>
      <c r="C35" t="s">
        <v>140</v>
      </c>
      <c r="D35" t="s">
        <v>37</v>
      </c>
      <c r="E35" t="s">
        <v>38</v>
      </c>
      <c r="F35" t="s">
        <v>39</v>
      </c>
      <c r="G35" t="s">
        <v>60</v>
      </c>
      <c r="H35" t="s">
        <v>119</v>
      </c>
      <c r="I35">
        <v>3</v>
      </c>
      <c r="J35">
        <v>508.36</v>
      </c>
      <c r="K35">
        <v>0.15</v>
      </c>
      <c r="L35">
        <v>1296.32</v>
      </c>
      <c r="M35">
        <v>711.94</v>
      </c>
      <c r="N35">
        <v>584.38</v>
      </c>
      <c r="O35" t="s">
        <v>62</v>
      </c>
      <c r="P35">
        <v>1</v>
      </c>
      <c r="Q35" t="str">
        <f t="shared" si="0"/>
        <v>January</v>
      </c>
      <c r="R35" t="str">
        <f t="shared" si="1"/>
        <v>Q1</v>
      </c>
      <c r="S35">
        <f t="shared" si="2"/>
        <v>2024</v>
      </c>
      <c r="T35">
        <f t="shared" si="3"/>
        <v>3551827.37</v>
      </c>
      <c r="U35">
        <f t="shared" si="4"/>
        <v>1159121.22</v>
      </c>
      <c r="V35">
        <f t="shared" si="5"/>
        <v>2.0642415208307554</v>
      </c>
    </row>
    <row r="36" spans="1:22" x14ac:dyDescent="0.35">
      <c r="A36" t="s">
        <v>141</v>
      </c>
      <c r="B36" s="1">
        <v>45322</v>
      </c>
      <c r="C36" t="s">
        <v>142</v>
      </c>
      <c r="D36" t="s">
        <v>29</v>
      </c>
      <c r="E36" t="s">
        <v>98</v>
      </c>
      <c r="F36" t="s">
        <v>31</v>
      </c>
      <c r="G36" t="s">
        <v>60</v>
      </c>
      <c r="H36" t="s">
        <v>110</v>
      </c>
      <c r="I36">
        <v>8</v>
      </c>
      <c r="J36">
        <v>521.94000000000005</v>
      </c>
      <c r="K36">
        <v>0.05</v>
      </c>
      <c r="L36">
        <v>3966.74</v>
      </c>
      <c r="M36">
        <v>2901.5</v>
      </c>
      <c r="N36">
        <v>1065.24</v>
      </c>
      <c r="O36" t="s">
        <v>33</v>
      </c>
      <c r="P36">
        <v>1</v>
      </c>
      <c r="Q36" t="str">
        <f t="shared" si="0"/>
        <v>January</v>
      </c>
      <c r="R36" t="str">
        <f t="shared" si="1"/>
        <v>Q1</v>
      </c>
      <c r="S36">
        <f t="shared" si="2"/>
        <v>2024</v>
      </c>
      <c r="T36">
        <f t="shared" si="3"/>
        <v>3550531.0500000003</v>
      </c>
      <c r="U36">
        <f t="shared" si="4"/>
        <v>1158536.8400000001</v>
      </c>
      <c r="V36">
        <f t="shared" si="5"/>
        <v>2.0646682327339714</v>
      </c>
    </row>
    <row r="37" spans="1:22" x14ac:dyDescent="0.35">
      <c r="A37" t="s">
        <v>143</v>
      </c>
      <c r="B37" s="1">
        <v>45412</v>
      </c>
      <c r="C37" t="s">
        <v>144</v>
      </c>
      <c r="D37" t="s">
        <v>19</v>
      </c>
      <c r="E37" t="s">
        <v>85</v>
      </c>
      <c r="F37" t="s">
        <v>21</v>
      </c>
      <c r="G37" t="s">
        <v>60</v>
      </c>
      <c r="H37" t="s">
        <v>61</v>
      </c>
      <c r="I37">
        <v>1</v>
      </c>
      <c r="J37">
        <v>437.13</v>
      </c>
      <c r="K37">
        <v>0.05</v>
      </c>
      <c r="L37">
        <v>415.27</v>
      </c>
      <c r="M37">
        <v>326.37</v>
      </c>
      <c r="N37">
        <v>88.9</v>
      </c>
      <c r="O37" t="s">
        <v>51</v>
      </c>
      <c r="P37">
        <v>1</v>
      </c>
      <c r="Q37" t="str">
        <f t="shared" si="0"/>
        <v>April</v>
      </c>
      <c r="R37" t="str">
        <f t="shared" si="1"/>
        <v>Q2</v>
      </c>
      <c r="S37">
        <f t="shared" si="2"/>
        <v>2024</v>
      </c>
      <c r="T37">
        <f t="shared" si="3"/>
        <v>3546564.31</v>
      </c>
      <c r="U37">
        <f t="shared" si="4"/>
        <v>1157471.6000000001</v>
      </c>
      <c r="V37">
        <f t="shared" si="5"/>
        <v>2.0640616236286053</v>
      </c>
    </row>
    <row r="38" spans="1:22" x14ac:dyDescent="0.35">
      <c r="A38" t="s">
        <v>145</v>
      </c>
      <c r="B38" s="1">
        <v>45323</v>
      </c>
      <c r="C38" t="s">
        <v>146</v>
      </c>
      <c r="D38" t="s">
        <v>29</v>
      </c>
      <c r="E38" t="s">
        <v>20</v>
      </c>
      <c r="F38" t="s">
        <v>31</v>
      </c>
      <c r="G38" t="s">
        <v>22</v>
      </c>
      <c r="H38" t="s">
        <v>23</v>
      </c>
      <c r="I38">
        <v>6</v>
      </c>
      <c r="J38">
        <v>806.29</v>
      </c>
      <c r="K38">
        <v>0.1</v>
      </c>
      <c r="L38">
        <v>4353.97</v>
      </c>
      <c r="M38">
        <v>3376.12</v>
      </c>
      <c r="N38">
        <v>977.85</v>
      </c>
      <c r="O38" t="s">
        <v>62</v>
      </c>
      <c r="P38">
        <v>2</v>
      </c>
      <c r="Q38" t="str">
        <f t="shared" si="0"/>
        <v>February</v>
      </c>
      <c r="R38" t="str">
        <f t="shared" si="1"/>
        <v>Q1</v>
      </c>
      <c r="S38">
        <f t="shared" si="2"/>
        <v>2024</v>
      </c>
      <c r="T38">
        <f t="shared" si="3"/>
        <v>3546149.04</v>
      </c>
      <c r="U38">
        <f t="shared" si="4"/>
        <v>1157382.7</v>
      </c>
      <c r="V38">
        <f t="shared" si="5"/>
        <v>2.0639381770610532</v>
      </c>
    </row>
    <row r="39" spans="1:22" x14ac:dyDescent="0.35">
      <c r="A39" t="s">
        <v>147</v>
      </c>
      <c r="B39" s="1">
        <v>45601</v>
      </c>
      <c r="C39" t="s">
        <v>148</v>
      </c>
      <c r="D39" t="s">
        <v>66</v>
      </c>
      <c r="E39" t="s">
        <v>85</v>
      </c>
      <c r="F39" t="s">
        <v>39</v>
      </c>
      <c r="G39" t="s">
        <v>79</v>
      </c>
      <c r="H39" t="s">
        <v>89</v>
      </c>
      <c r="I39">
        <v>3</v>
      </c>
      <c r="J39">
        <v>673.23</v>
      </c>
      <c r="K39">
        <v>0</v>
      </c>
      <c r="L39">
        <v>2019.69</v>
      </c>
      <c r="M39">
        <v>1564.75</v>
      </c>
      <c r="N39">
        <v>454.94</v>
      </c>
      <c r="O39" t="s">
        <v>24</v>
      </c>
      <c r="P39">
        <v>3</v>
      </c>
      <c r="Q39" t="str">
        <f t="shared" si="0"/>
        <v>November</v>
      </c>
      <c r="R39" t="str">
        <f t="shared" si="1"/>
        <v>Q4</v>
      </c>
      <c r="S39">
        <f t="shared" si="2"/>
        <v>2024</v>
      </c>
      <c r="T39">
        <f t="shared" si="3"/>
        <v>3541795.07</v>
      </c>
      <c r="U39">
        <f t="shared" si="4"/>
        <v>1156404.8500000001</v>
      </c>
      <c r="V39">
        <f t="shared" si="5"/>
        <v>2.0627639360039001</v>
      </c>
    </row>
    <row r="40" spans="1:22" x14ac:dyDescent="0.35">
      <c r="A40" t="s">
        <v>149</v>
      </c>
      <c r="B40" s="1">
        <v>45293</v>
      </c>
      <c r="C40" t="s">
        <v>150</v>
      </c>
      <c r="D40" t="s">
        <v>49</v>
      </c>
      <c r="E40" t="s">
        <v>20</v>
      </c>
      <c r="F40" t="s">
        <v>31</v>
      </c>
      <c r="G40" t="s">
        <v>60</v>
      </c>
      <c r="H40" t="s">
        <v>119</v>
      </c>
      <c r="I40">
        <v>1</v>
      </c>
      <c r="J40">
        <v>727.16</v>
      </c>
      <c r="K40">
        <v>0.1</v>
      </c>
      <c r="L40">
        <v>654.44000000000005</v>
      </c>
      <c r="M40">
        <v>399.02</v>
      </c>
      <c r="N40">
        <v>255.42</v>
      </c>
      <c r="O40" t="s">
        <v>24</v>
      </c>
      <c r="P40">
        <v>1</v>
      </c>
      <c r="Q40" t="str">
        <f t="shared" si="0"/>
        <v>January</v>
      </c>
      <c r="R40" t="str">
        <f t="shared" si="1"/>
        <v>Q1</v>
      </c>
      <c r="S40">
        <f t="shared" si="2"/>
        <v>2024</v>
      </c>
      <c r="T40">
        <f t="shared" si="3"/>
        <v>3539775.38</v>
      </c>
      <c r="U40">
        <f t="shared" si="4"/>
        <v>1155949.9100000001</v>
      </c>
      <c r="V40">
        <f t="shared" si="5"/>
        <v>2.062222116527523</v>
      </c>
    </row>
    <row r="41" spans="1:22" x14ac:dyDescent="0.35">
      <c r="A41" t="s">
        <v>151</v>
      </c>
      <c r="B41" s="1">
        <v>45597</v>
      </c>
      <c r="C41" t="s">
        <v>152</v>
      </c>
      <c r="D41" t="s">
        <v>66</v>
      </c>
      <c r="E41" t="s">
        <v>98</v>
      </c>
      <c r="F41" t="s">
        <v>39</v>
      </c>
      <c r="G41" t="s">
        <v>43</v>
      </c>
      <c r="H41" t="s">
        <v>50</v>
      </c>
      <c r="I41">
        <v>3</v>
      </c>
      <c r="J41">
        <v>735.91</v>
      </c>
      <c r="K41">
        <v>0.15</v>
      </c>
      <c r="L41">
        <v>1876.57</v>
      </c>
      <c r="M41">
        <v>1503.2</v>
      </c>
      <c r="N41">
        <v>373.37</v>
      </c>
      <c r="O41" t="s">
        <v>62</v>
      </c>
      <c r="P41">
        <v>2</v>
      </c>
      <c r="Q41" t="str">
        <f t="shared" si="0"/>
        <v>November</v>
      </c>
      <c r="R41" t="str">
        <f t="shared" si="1"/>
        <v>Q4</v>
      </c>
      <c r="S41">
        <f t="shared" si="2"/>
        <v>2024</v>
      </c>
      <c r="T41">
        <f t="shared" si="3"/>
        <v>3539120.94</v>
      </c>
      <c r="U41">
        <f t="shared" si="4"/>
        <v>1155694.49</v>
      </c>
      <c r="V41">
        <f t="shared" si="5"/>
        <v>2.0623326239099748</v>
      </c>
    </row>
    <row r="42" spans="1:22" x14ac:dyDescent="0.35">
      <c r="A42" t="s">
        <v>153</v>
      </c>
      <c r="B42" s="1">
        <v>45575</v>
      </c>
      <c r="C42" t="s">
        <v>154</v>
      </c>
      <c r="D42" t="s">
        <v>66</v>
      </c>
      <c r="E42" t="s">
        <v>98</v>
      </c>
      <c r="F42" t="s">
        <v>39</v>
      </c>
      <c r="G42" t="s">
        <v>60</v>
      </c>
      <c r="H42" t="s">
        <v>61</v>
      </c>
      <c r="I42">
        <v>6</v>
      </c>
      <c r="J42">
        <v>518.57000000000005</v>
      </c>
      <c r="K42">
        <v>0.15</v>
      </c>
      <c r="L42">
        <v>2644.71</v>
      </c>
      <c r="M42">
        <v>1584.59</v>
      </c>
      <c r="N42">
        <v>1060.1199999999999</v>
      </c>
      <c r="O42" t="s">
        <v>62</v>
      </c>
      <c r="P42">
        <v>3</v>
      </c>
      <c r="Q42" t="str">
        <f t="shared" si="0"/>
        <v>October</v>
      </c>
      <c r="R42" t="str">
        <f t="shared" si="1"/>
        <v>Q4</v>
      </c>
      <c r="S42">
        <f t="shared" si="2"/>
        <v>2024</v>
      </c>
      <c r="T42">
        <f t="shared" si="3"/>
        <v>3537244.37</v>
      </c>
      <c r="U42">
        <f t="shared" si="4"/>
        <v>1155321.1200000001</v>
      </c>
      <c r="V42">
        <f t="shared" si="5"/>
        <v>2.0616980065248005</v>
      </c>
    </row>
    <row r="43" spans="1:22" x14ac:dyDescent="0.35">
      <c r="A43" t="s">
        <v>155</v>
      </c>
      <c r="B43" s="1">
        <v>45657</v>
      </c>
      <c r="C43" t="s">
        <v>156</v>
      </c>
      <c r="D43" t="s">
        <v>66</v>
      </c>
      <c r="E43" t="s">
        <v>38</v>
      </c>
      <c r="F43" t="s">
        <v>39</v>
      </c>
      <c r="G43" t="s">
        <v>22</v>
      </c>
      <c r="H43" t="s">
        <v>32</v>
      </c>
      <c r="I43">
        <v>4</v>
      </c>
      <c r="J43">
        <v>444.97</v>
      </c>
      <c r="K43">
        <v>0</v>
      </c>
      <c r="L43">
        <v>1779.88</v>
      </c>
      <c r="M43">
        <v>974.9</v>
      </c>
      <c r="N43">
        <v>804.98</v>
      </c>
      <c r="O43" t="s">
        <v>62</v>
      </c>
      <c r="P43">
        <v>1</v>
      </c>
      <c r="Q43" t="str">
        <f t="shared" si="0"/>
        <v>December</v>
      </c>
      <c r="R43" t="str">
        <f t="shared" si="1"/>
        <v>Q4</v>
      </c>
      <c r="S43">
        <f t="shared" si="2"/>
        <v>2024</v>
      </c>
      <c r="T43">
        <f t="shared" si="3"/>
        <v>3534599.6599999997</v>
      </c>
      <c r="U43">
        <f t="shared" si="4"/>
        <v>1154261</v>
      </c>
      <c r="V43">
        <f t="shared" si="5"/>
        <v>2.0622187356239183</v>
      </c>
    </row>
    <row r="44" spans="1:22" x14ac:dyDescent="0.35">
      <c r="A44" t="s">
        <v>157</v>
      </c>
      <c r="B44" s="1">
        <v>45609</v>
      </c>
      <c r="C44" t="s">
        <v>158</v>
      </c>
      <c r="D44" t="s">
        <v>49</v>
      </c>
      <c r="E44" t="s">
        <v>20</v>
      </c>
      <c r="F44" t="s">
        <v>21</v>
      </c>
      <c r="G44" t="s">
        <v>79</v>
      </c>
      <c r="H44" t="s">
        <v>89</v>
      </c>
      <c r="I44">
        <v>5</v>
      </c>
      <c r="J44">
        <v>439.77</v>
      </c>
      <c r="K44">
        <v>0.1</v>
      </c>
      <c r="L44">
        <v>1978.96</v>
      </c>
      <c r="M44">
        <v>1273.98</v>
      </c>
      <c r="N44">
        <v>704.98</v>
      </c>
      <c r="O44" t="s">
        <v>62</v>
      </c>
      <c r="P44">
        <v>5</v>
      </c>
      <c r="Q44" t="str">
        <f t="shared" si="0"/>
        <v>November</v>
      </c>
      <c r="R44" t="str">
        <f t="shared" si="1"/>
        <v>Q4</v>
      </c>
      <c r="S44">
        <f t="shared" si="2"/>
        <v>2024</v>
      </c>
      <c r="T44">
        <f t="shared" si="3"/>
        <v>3532819.78</v>
      </c>
      <c r="U44">
        <f t="shared" si="4"/>
        <v>1153456.02</v>
      </c>
      <c r="V44">
        <f t="shared" si="5"/>
        <v>2.0628127286552282</v>
      </c>
    </row>
    <row r="45" spans="1:22" x14ac:dyDescent="0.35">
      <c r="A45" t="s">
        <v>159</v>
      </c>
      <c r="B45" s="1">
        <v>45412</v>
      </c>
      <c r="C45" t="s">
        <v>160</v>
      </c>
      <c r="D45" t="s">
        <v>29</v>
      </c>
      <c r="E45" t="s">
        <v>38</v>
      </c>
      <c r="F45" t="s">
        <v>31</v>
      </c>
      <c r="G45" t="s">
        <v>22</v>
      </c>
      <c r="H45" t="s">
        <v>23</v>
      </c>
      <c r="I45">
        <v>5</v>
      </c>
      <c r="J45">
        <v>961.1</v>
      </c>
      <c r="K45">
        <v>0.1</v>
      </c>
      <c r="L45">
        <v>4324.95</v>
      </c>
      <c r="M45">
        <v>2827.77</v>
      </c>
      <c r="N45">
        <v>1497.18</v>
      </c>
      <c r="O45" t="s">
        <v>62</v>
      </c>
      <c r="P45">
        <v>4</v>
      </c>
      <c r="Q45" t="str">
        <f t="shared" si="0"/>
        <v>April</v>
      </c>
      <c r="R45" t="str">
        <f t="shared" si="1"/>
        <v>Q2</v>
      </c>
      <c r="S45">
        <f t="shared" si="2"/>
        <v>2024</v>
      </c>
      <c r="T45">
        <f t="shared" si="3"/>
        <v>3530840.82</v>
      </c>
      <c r="U45">
        <f t="shared" si="4"/>
        <v>1152751.0400000003</v>
      </c>
      <c r="V45">
        <f t="shared" si="5"/>
        <v>2.0629691038925446</v>
      </c>
    </row>
    <row r="46" spans="1:22" x14ac:dyDescent="0.35">
      <c r="A46" t="s">
        <v>161</v>
      </c>
      <c r="B46" s="1">
        <v>45504</v>
      </c>
      <c r="C46" t="s">
        <v>162</v>
      </c>
      <c r="D46" t="s">
        <v>37</v>
      </c>
      <c r="E46" t="s">
        <v>98</v>
      </c>
      <c r="F46" t="s">
        <v>31</v>
      </c>
      <c r="G46" t="s">
        <v>43</v>
      </c>
      <c r="H46" t="s">
        <v>44</v>
      </c>
      <c r="I46">
        <v>11</v>
      </c>
      <c r="J46">
        <v>224.55</v>
      </c>
      <c r="K46">
        <v>0.05</v>
      </c>
      <c r="L46">
        <v>2346.5500000000002</v>
      </c>
      <c r="M46">
        <v>1491.46</v>
      </c>
      <c r="N46">
        <v>855.09</v>
      </c>
      <c r="O46" t="s">
        <v>33</v>
      </c>
      <c r="P46">
        <v>2</v>
      </c>
      <c r="Q46" t="str">
        <f t="shared" si="0"/>
        <v>July</v>
      </c>
      <c r="R46" t="str">
        <f t="shared" si="1"/>
        <v>Q3</v>
      </c>
      <c r="S46">
        <f t="shared" si="2"/>
        <v>2024</v>
      </c>
      <c r="T46">
        <f t="shared" si="3"/>
        <v>3526515.8699999996</v>
      </c>
      <c r="U46">
        <f t="shared" si="4"/>
        <v>1151253.8600000003</v>
      </c>
      <c r="V46">
        <f t="shared" si="5"/>
        <v>2.063195696907369</v>
      </c>
    </row>
    <row r="47" spans="1:22" x14ac:dyDescent="0.35">
      <c r="A47" t="s">
        <v>163</v>
      </c>
      <c r="B47" s="1">
        <v>45491</v>
      </c>
      <c r="C47" t="s">
        <v>164</v>
      </c>
      <c r="D47" t="s">
        <v>49</v>
      </c>
      <c r="E47" t="s">
        <v>38</v>
      </c>
      <c r="F47" t="s">
        <v>31</v>
      </c>
      <c r="G47" t="s">
        <v>22</v>
      </c>
      <c r="H47" t="s">
        <v>32</v>
      </c>
      <c r="I47">
        <v>9</v>
      </c>
      <c r="J47">
        <v>327.35000000000002</v>
      </c>
      <c r="K47">
        <v>0.05</v>
      </c>
      <c r="L47">
        <v>2798.84</v>
      </c>
      <c r="M47">
        <v>2160.9499999999998</v>
      </c>
      <c r="N47">
        <v>637.89</v>
      </c>
      <c r="O47" t="s">
        <v>62</v>
      </c>
      <c r="P47">
        <v>5</v>
      </c>
      <c r="Q47" t="str">
        <f t="shared" si="0"/>
        <v>July</v>
      </c>
      <c r="R47" t="str">
        <f t="shared" si="1"/>
        <v>Q3</v>
      </c>
      <c r="S47">
        <f t="shared" si="2"/>
        <v>2024</v>
      </c>
      <c r="T47">
        <f t="shared" si="3"/>
        <v>3524169.3199999994</v>
      </c>
      <c r="U47">
        <f t="shared" si="4"/>
        <v>1150398.7700000005</v>
      </c>
      <c r="V47">
        <f t="shared" si="5"/>
        <v>2.0634327955687906</v>
      </c>
    </row>
    <row r="48" spans="1:22" x14ac:dyDescent="0.35">
      <c r="A48" t="s">
        <v>165</v>
      </c>
      <c r="B48" s="1">
        <v>45451</v>
      </c>
      <c r="C48" t="s">
        <v>166</v>
      </c>
      <c r="D48" t="s">
        <v>66</v>
      </c>
      <c r="E48" t="s">
        <v>20</v>
      </c>
      <c r="F48" t="s">
        <v>21</v>
      </c>
      <c r="G48" t="s">
        <v>43</v>
      </c>
      <c r="H48" t="s">
        <v>44</v>
      </c>
      <c r="I48">
        <v>10</v>
      </c>
      <c r="J48">
        <v>73.739999999999995</v>
      </c>
      <c r="K48">
        <v>0.05</v>
      </c>
      <c r="L48">
        <v>700.53</v>
      </c>
      <c r="M48">
        <v>564.80999999999995</v>
      </c>
      <c r="N48">
        <v>135.72</v>
      </c>
      <c r="O48" t="s">
        <v>24</v>
      </c>
      <c r="P48">
        <v>1</v>
      </c>
      <c r="Q48" t="str">
        <f t="shared" si="0"/>
        <v>June</v>
      </c>
      <c r="R48" t="str">
        <f t="shared" si="1"/>
        <v>Q2</v>
      </c>
      <c r="S48">
        <f t="shared" si="2"/>
        <v>2024</v>
      </c>
      <c r="T48">
        <f t="shared" si="3"/>
        <v>3521370.4799999995</v>
      </c>
      <c r="U48">
        <f t="shared" si="4"/>
        <v>1149760.8800000004</v>
      </c>
      <c r="V48">
        <f t="shared" si="5"/>
        <v>2.0626981151072026</v>
      </c>
    </row>
    <row r="49" spans="1:22" x14ac:dyDescent="0.35">
      <c r="A49" t="s">
        <v>167</v>
      </c>
      <c r="B49" s="1">
        <v>45546</v>
      </c>
      <c r="C49" t="s">
        <v>168</v>
      </c>
      <c r="D49" t="s">
        <v>29</v>
      </c>
      <c r="E49" t="s">
        <v>30</v>
      </c>
      <c r="F49" t="s">
        <v>31</v>
      </c>
      <c r="G49" t="s">
        <v>60</v>
      </c>
      <c r="H49" t="s">
        <v>119</v>
      </c>
      <c r="I49">
        <v>5</v>
      </c>
      <c r="J49">
        <v>1057.47</v>
      </c>
      <c r="K49">
        <v>0.05</v>
      </c>
      <c r="L49">
        <v>5022.9799999999996</v>
      </c>
      <c r="M49">
        <v>3262.13</v>
      </c>
      <c r="N49">
        <v>1760.85</v>
      </c>
      <c r="O49" t="s">
        <v>51</v>
      </c>
      <c r="P49">
        <v>2</v>
      </c>
      <c r="Q49" t="str">
        <f t="shared" si="0"/>
        <v>September</v>
      </c>
      <c r="R49" t="str">
        <f t="shared" si="1"/>
        <v>Q3</v>
      </c>
      <c r="S49">
        <f t="shared" si="2"/>
        <v>2024</v>
      </c>
      <c r="T49">
        <f t="shared" si="3"/>
        <v>3520669.9499999997</v>
      </c>
      <c r="U49">
        <f t="shared" si="4"/>
        <v>1149625.1600000001</v>
      </c>
      <c r="V49">
        <f t="shared" si="5"/>
        <v>2.0624503294621697</v>
      </c>
    </row>
    <row r="50" spans="1:22" x14ac:dyDescent="0.35">
      <c r="A50" t="s">
        <v>169</v>
      </c>
      <c r="B50" s="1">
        <v>45514</v>
      </c>
      <c r="C50" t="s">
        <v>170</v>
      </c>
      <c r="D50" t="s">
        <v>66</v>
      </c>
      <c r="E50" t="s">
        <v>85</v>
      </c>
      <c r="F50" t="s">
        <v>31</v>
      </c>
      <c r="G50" t="s">
        <v>22</v>
      </c>
      <c r="H50" t="s">
        <v>32</v>
      </c>
      <c r="I50">
        <v>2</v>
      </c>
      <c r="J50">
        <v>544.28</v>
      </c>
      <c r="K50">
        <v>0.05</v>
      </c>
      <c r="L50">
        <v>1034.1300000000001</v>
      </c>
      <c r="M50">
        <v>662.1</v>
      </c>
      <c r="N50">
        <v>372.03</v>
      </c>
      <c r="O50" t="s">
        <v>51</v>
      </c>
      <c r="P50">
        <v>1</v>
      </c>
      <c r="Q50" t="str">
        <f t="shared" si="0"/>
        <v>August</v>
      </c>
      <c r="R50" t="str">
        <f t="shared" si="1"/>
        <v>Q3</v>
      </c>
      <c r="S50">
        <f t="shared" si="2"/>
        <v>2024</v>
      </c>
      <c r="T50">
        <f t="shared" si="3"/>
        <v>3515646.9699999997</v>
      </c>
      <c r="U50">
        <f t="shared" si="4"/>
        <v>1147864.3100000003</v>
      </c>
      <c r="V50">
        <f t="shared" si="5"/>
        <v>2.062772262690177</v>
      </c>
    </row>
    <row r="51" spans="1:22" x14ac:dyDescent="0.35">
      <c r="A51" t="s">
        <v>171</v>
      </c>
      <c r="B51" s="1">
        <v>45310</v>
      </c>
      <c r="C51" t="s">
        <v>172</v>
      </c>
      <c r="D51" t="s">
        <v>37</v>
      </c>
      <c r="E51" t="s">
        <v>20</v>
      </c>
      <c r="F51" t="s">
        <v>31</v>
      </c>
      <c r="G51" t="s">
        <v>43</v>
      </c>
      <c r="H51" t="s">
        <v>173</v>
      </c>
      <c r="I51">
        <v>9</v>
      </c>
      <c r="J51">
        <v>1111.72</v>
      </c>
      <c r="K51">
        <v>0</v>
      </c>
      <c r="L51">
        <v>10005.48</v>
      </c>
      <c r="M51">
        <v>5731.95</v>
      </c>
      <c r="N51">
        <v>4273.53</v>
      </c>
      <c r="O51" t="s">
        <v>62</v>
      </c>
      <c r="P51">
        <v>4</v>
      </c>
      <c r="Q51" t="str">
        <f t="shared" si="0"/>
        <v>January</v>
      </c>
      <c r="R51" t="str">
        <f t="shared" si="1"/>
        <v>Q1</v>
      </c>
      <c r="S51">
        <f t="shared" si="2"/>
        <v>2024</v>
      </c>
      <c r="T51">
        <f t="shared" si="3"/>
        <v>3514612.84</v>
      </c>
      <c r="U51">
        <f t="shared" si="4"/>
        <v>1147492.2800000003</v>
      </c>
      <c r="V51">
        <f t="shared" si="5"/>
        <v>2.0628640394861733</v>
      </c>
    </row>
    <row r="52" spans="1:22" x14ac:dyDescent="0.35">
      <c r="A52" t="s">
        <v>174</v>
      </c>
      <c r="B52" s="1">
        <v>45499</v>
      </c>
      <c r="C52" t="s">
        <v>175</v>
      </c>
      <c r="D52" t="s">
        <v>19</v>
      </c>
      <c r="E52" t="s">
        <v>38</v>
      </c>
      <c r="F52" t="s">
        <v>31</v>
      </c>
      <c r="G52" t="s">
        <v>43</v>
      </c>
      <c r="H52" t="s">
        <v>50</v>
      </c>
      <c r="I52">
        <v>7</v>
      </c>
      <c r="J52">
        <v>407.17</v>
      </c>
      <c r="K52">
        <v>0.05</v>
      </c>
      <c r="L52">
        <v>2707.68</v>
      </c>
      <c r="M52">
        <v>1963.13</v>
      </c>
      <c r="N52">
        <v>744.55</v>
      </c>
      <c r="O52" t="s">
        <v>62</v>
      </c>
      <c r="P52">
        <v>2</v>
      </c>
      <c r="Q52" t="str">
        <f t="shared" si="0"/>
        <v>July</v>
      </c>
      <c r="R52" t="str">
        <f t="shared" si="1"/>
        <v>Q3</v>
      </c>
      <c r="S52">
        <f t="shared" si="2"/>
        <v>2024</v>
      </c>
      <c r="T52">
        <f t="shared" si="3"/>
        <v>3504607.36</v>
      </c>
      <c r="U52">
        <f t="shared" si="4"/>
        <v>1143218.7500000002</v>
      </c>
      <c r="V52">
        <f t="shared" si="5"/>
        <v>2.0655614771888571</v>
      </c>
    </row>
    <row r="53" spans="1:22" x14ac:dyDescent="0.35">
      <c r="A53" t="s">
        <v>176</v>
      </c>
      <c r="B53" s="1">
        <v>45507</v>
      </c>
      <c r="C53" t="s">
        <v>177</v>
      </c>
      <c r="D53" t="s">
        <v>49</v>
      </c>
      <c r="E53" t="s">
        <v>85</v>
      </c>
      <c r="F53" t="s">
        <v>39</v>
      </c>
      <c r="G53" t="s">
        <v>60</v>
      </c>
      <c r="H53" t="s">
        <v>61</v>
      </c>
      <c r="I53">
        <v>11</v>
      </c>
      <c r="J53">
        <v>171.77</v>
      </c>
      <c r="K53">
        <v>0.1</v>
      </c>
      <c r="L53">
        <v>1700.52</v>
      </c>
      <c r="M53">
        <v>1067.3800000000001</v>
      </c>
      <c r="N53">
        <v>633.14</v>
      </c>
      <c r="O53" t="s">
        <v>51</v>
      </c>
      <c r="P53">
        <v>5</v>
      </c>
      <c r="Q53" t="str">
        <f t="shared" si="0"/>
        <v>August</v>
      </c>
      <c r="R53" t="str">
        <f t="shared" si="1"/>
        <v>Q3</v>
      </c>
      <c r="S53">
        <f t="shared" si="2"/>
        <v>2024</v>
      </c>
      <c r="T53">
        <f t="shared" si="3"/>
        <v>3501899.68</v>
      </c>
      <c r="U53">
        <f t="shared" si="4"/>
        <v>1142474.2000000002</v>
      </c>
      <c r="V53">
        <f t="shared" si="5"/>
        <v>2.0651892883007772</v>
      </c>
    </row>
    <row r="54" spans="1:22" x14ac:dyDescent="0.35">
      <c r="A54" t="s">
        <v>178</v>
      </c>
      <c r="B54" s="1">
        <v>45597</v>
      </c>
      <c r="C54" t="s">
        <v>179</v>
      </c>
      <c r="D54" t="s">
        <v>66</v>
      </c>
      <c r="E54" t="s">
        <v>38</v>
      </c>
      <c r="F54" t="s">
        <v>39</v>
      </c>
      <c r="G54" t="s">
        <v>22</v>
      </c>
      <c r="H54" t="s">
        <v>74</v>
      </c>
      <c r="I54">
        <v>10</v>
      </c>
      <c r="J54">
        <v>728.65</v>
      </c>
      <c r="K54">
        <v>0.05</v>
      </c>
      <c r="L54">
        <v>6922.17</v>
      </c>
      <c r="M54">
        <v>4720.3</v>
      </c>
      <c r="N54">
        <v>2201.87</v>
      </c>
      <c r="O54" t="s">
        <v>51</v>
      </c>
      <c r="P54">
        <v>5</v>
      </c>
      <c r="Q54" t="str">
        <f t="shared" si="0"/>
        <v>November</v>
      </c>
      <c r="R54" t="str">
        <f t="shared" si="1"/>
        <v>Q4</v>
      </c>
      <c r="S54">
        <f t="shared" si="2"/>
        <v>2024</v>
      </c>
      <c r="T54">
        <f t="shared" si="3"/>
        <v>3500199.16</v>
      </c>
      <c r="U54">
        <f t="shared" si="4"/>
        <v>1141841.0600000003</v>
      </c>
      <c r="V54">
        <f t="shared" si="5"/>
        <v>2.0653996275103288</v>
      </c>
    </row>
    <row r="55" spans="1:22" x14ac:dyDescent="0.35">
      <c r="A55" t="s">
        <v>180</v>
      </c>
      <c r="B55" s="1">
        <v>45437</v>
      </c>
      <c r="C55" t="s">
        <v>181</v>
      </c>
      <c r="D55" t="s">
        <v>66</v>
      </c>
      <c r="E55" t="s">
        <v>20</v>
      </c>
      <c r="F55" t="s">
        <v>21</v>
      </c>
      <c r="G55" t="s">
        <v>43</v>
      </c>
      <c r="H55" t="s">
        <v>173</v>
      </c>
      <c r="I55">
        <v>6</v>
      </c>
      <c r="J55">
        <v>362.55</v>
      </c>
      <c r="K55">
        <v>0.15</v>
      </c>
      <c r="L55">
        <v>1849.01</v>
      </c>
      <c r="M55">
        <v>1166.2</v>
      </c>
      <c r="N55">
        <v>682.81</v>
      </c>
      <c r="O55" t="s">
        <v>24</v>
      </c>
      <c r="P55">
        <v>2</v>
      </c>
      <c r="Q55" t="str">
        <f t="shared" si="0"/>
        <v>May</v>
      </c>
      <c r="R55" t="str">
        <f t="shared" si="1"/>
        <v>Q2</v>
      </c>
      <c r="S55">
        <f t="shared" si="2"/>
        <v>2024</v>
      </c>
      <c r="T55">
        <f t="shared" si="3"/>
        <v>3493276.9899999998</v>
      </c>
      <c r="U55">
        <f t="shared" si="4"/>
        <v>1139639.1900000002</v>
      </c>
      <c r="V55">
        <f t="shared" si="5"/>
        <v>2.0652482124627527</v>
      </c>
    </row>
    <row r="56" spans="1:22" x14ac:dyDescent="0.35">
      <c r="A56" t="s">
        <v>182</v>
      </c>
      <c r="B56" s="1">
        <v>45482</v>
      </c>
      <c r="C56" t="s">
        <v>183</v>
      </c>
      <c r="D56" t="s">
        <v>19</v>
      </c>
      <c r="E56" t="s">
        <v>98</v>
      </c>
      <c r="F56" t="s">
        <v>31</v>
      </c>
      <c r="G56" t="s">
        <v>60</v>
      </c>
      <c r="H56" t="s">
        <v>110</v>
      </c>
      <c r="I56">
        <v>6</v>
      </c>
      <c r="J56">
        <v>72.34</v>
      </c>
      <c r="K56">
        <v>0</v>
      </c>
      <c r="L56">
        <v>434.04</v>
      </c>
      <c r="M56">
        <v>291.58</v>
      </c>
      <c r="N56">
        <v>142.46</v>
      </c>
      <c r="O56" t="s">
        <v>62</v>
      </c>
      <c r="P56">
        <v>2</v>
      </c>
      <c r="Q56" t="str">
        <f t="shared" si="0"/>
        <v>July</v>
      </c>
      <c r="R56" t="str">
        <f t="shared" si="1"/>
        <v>Q3</v>
      </c>
      <c r="S56">
        <f t="shared" si="2"/>
        <v>2024</v>
      </c>
      <c r="T56">
        <f t="shared" si="3"/>
        <v>3491427.98</v>
      </c>
      <c r="U56">
        <f t="shared" si="4"/>
        <v>1138956.3800000001</v>
      </c>
      <c r="V56">
        <f t="shared" si="5"/>
        <v>2.0654624192016899</v>
      </c>
    </row>
    <row r="57" spans="1:22" x14ac:dyDescent="0.35">
      <c r="A57" t="s">
        <v>184</v>
      </c>
      <c r="B57" s="1">
        <v>45541</v>
      </c>
      <c r="C57" t="s">
        <v>185</v>
      </c>
      <c r="D57" t="s">
        <v>66</v>
      </c>
      <c r="E57" t="s">
        <v>98</v>
      </c>
      <c r="F57" t="s">
        <v>21</v>
      </c>
      <c r="G57" t="s">
        <v>43</v>
      </c>
      <c r="H57" t="s">
        <v>173</v>
      </c>
      <c r="I57">
        <v>9</v>
      </c>
      <c r="J57">
        <v>818.76</v>
      </c>
      <c r="K57">
        <v>0</v>
      </c>
      <c r="L57">
        <v>7368.84</v>
      </c>
      <c r="M57">
        <v>5653.66</v>
      </c>
      <c r="N57">
        <v>1715.18</v>
      </c>
      <c r="O57" t="s">
        <v>33</v>
      </c>
      <c r="P57">
        <v>3</v>
      </c>
      <c r="Q57" t="str">
        <f t="shared" si="0"/>
        <v>September</v>
      </c>
      <c r="R57" t="str">
        <f t="shared" si="1"/>
        <v>Q3</v>
      </c>
      <c r="S57">
        <f t="shared" si="2"/>
        <v>2024</v>
      </c>
      <c r="T57">
        <f t="shared" si="3"/>
        <v>3490993.94</v>
      </c>
      <c r="U57">
        <f t="shared" si="4"/>
        <v>1138813.9200000002</v>
      </c>
      <c r="V57">
        <f t="shared" si="5"/>
        <v>2.0654647600373548</v>
      </c>
    </row>
    <row r="58" spans="1:22" x14ac:dyDescent="0.35">
      <c r="A58" t="s">
        <v>186</v>
      </c>
      <c r="B58" s="1">
        <v>45538</v>
      </c>
      <c r="C58" t="s">
        <v>187</v>
      </c>
      <c r="D58" t="s">
        <v>37</v>
      </c>
      <c r="E58" t="s">
        <v>98</v>
      </c>
      <c r="F58" t="s">
        <v>31</v>
      </c>
      <c r="G58" t="s">
        <v>79</v>
      </c>
      <c r="H58" t="s">
        <v>103</v>
      </c>
      <c r="I58">
        <v>11</v>
      </c>
      <c r="J58">
        <v>1014.57</v>
      </c>
      <c r="K58">
        <v>0.1</v>
      </c>
      <c r="L58">
        <v>10044.24</v>
      </c>
      <c r="M58">
        <v>6209.8</v>
      </c>
      <c r="N58">
        <v>3834.44</v>
      </c>
      <c r="O58" t="s">
        <v>62</v>
      </c>
      <c r="P58">
        <v>5</v>
      </c>
      <c r="Q58" t="str">
        <f t="shared" si="0"/>
        <v>September</v>
      </c>
      <c r="R58" t="str">
        <f t="shared" si="1"/>
        <v>Q3</v>
      </c>
      <c r="S58">
        <f t="shared" si="2"/>
        <v>2024</v>
      </c>
      <c r="T58">
        <f t="shared" si="3"/>
        <v>3483625.1000000006</v>
      </c>
      <c r="U58">
        <f t="shared" si="4"/>
        <v>1137098.74</v>
      </c>
      <c r="V58">
        <f t="shared" si="5"/>
        <v>2.0636082667719782</v>
      </c>
    </row>
    <row r="59" spans="1:22" x14ac:dyDescent="0.35">
      <c r="A59" t="s">
        <v>188</v>
      </c>
      <c r="B59" s="1">
        <v>45496</v>
      </c>
      <c r="C59" t="s">
        <v>189</v>
      </c>
      <c r="D59" t="s">
        <v>37</v>
      </c>
      <c r="E59" t="s">
        <v>20</v>
      </c>
      <c r="F59" t="s">
        <v>31</v>
      </c>
      <c r="G59" t="s">
        <v>60</v>
      </c>
      <c r="H59" t="s">
        <v>119</v>
      </c>
      <c r="I59">
        <v>1</v>
      </c>
      <c r="J59">
        <v>176.96</v>
      </c>
      <c r="K59">
        <v>0.05</v>
      </c>
      <c r="L59">
        <v>168.11</v>
      </c>
      <c r="M59">
        <v>124.39</v>
      </c>
      <c r="N59">
        <v>43.72</v>
      </c>
      <c r="O59" t="s">
        <v>51</v>
      </c>
      <c r="P59">
        <v>4</v>
      </c>
      <c r="Q59" t="str">
        <f t="shared" si="0"/>
        <v>July</v>
      </c>
      <c r="R59" t="str">
        <f t="shared" si="1"/>
        <v>Q3</v>
      </c>
      <c r="S59">
        <f t="shared" si="2"/>
        <v>2024</v>
      </c>
      <c r="T59">
        <f t="shared" si="3"/>
        <v>3473580.8600000008</v>
      </c>
      <c r="U59">
        <f t="shared" si="4"/>
        <v>1133264.3</v>
      </c>
      <c r="V59">
        <f t="shared" si="5"/>
        <v>2.0651109895546877</v>
      </c>
    </row>
    <row r="60" spans="1:22" x14ac:dyDescent="0.35">
      <c r="A60" t="s">
        <v>190</v>
      </c>
      <c r="B60" s="1">
        <v>45510</v>
      </c>
      <c r="C60" t="s">
        <v>191</v>
      </c>
      <c r="D60" t="s">
        <v>19</v>
      </c>
      <c r="E60" t="s">
        <v>30</v>
      </c>
      <c r="F60" t="s">
        <v>39</v>
      </c>
      <c r="G60" t="s">
        <v>22</v>
      </c>
      <c r="H60" t="s">
        <v>124</v>
      </c>
      <c r="I60">
        <v>3</v>
      </c>
      <c r="J60">
        <v>339.26</v>
      </c>
      <c r="K60">
        <v>0.15</v>
      </c>
      <c r="L60">
        <v>865.11</v>
      </c>
      <c r="M60">
        <v>500.62</v>
      </c>
      <c r="N60">
        <v>364.49</v>
      </c>
      <c r="O60" t="s">
        <v>62</v>
      </c>
      <c r="P60">
        <v>4</v>
      </c>
      <c r="Q60" t="str">
        <f t="shared" si="0"/>
        <v>August</v>
      </c>
      <c r="R60" t="str">
        <f t="shared" si="1"/>
        <v>Q3</v>
      </c>
      <c r="S60">
        <f t="shared" si="2"/>
        <v>2024</v>
      </c>
      <c r="T60">
        <f t="shared" si="3"/>
        <v>3473412.7500000005</v>
      </c>
      <c r="U60">
        <f t="shared" si="4"/>
        <v>1133220.5799999998</v>
      </c>
      <c r="V60">
        <f t="shared" si="5"/>
        <v>2.0650808953716684</v>
      </c>
    </row>
    <row r="61" spans="1:22" x14ac:dyDescent="0.35">
      <c r="A61" t="s">
        <v>192</v>
      </c>
      <c r="B61" s="1">
        <v>45349</v>
      </c>
      <c r="C61" t="s">
        <v>193</v>
      </c>
      <c r="D61" t="s">
        <v>29</v>
      </c>
      <c r="E61" t="s">
        <v>85</v>
      </c>
      <c r="F61" t="s">
        <v>39</v>
      </c>
      <c r="G61" t="s">
        <v>43</v>
      </c>
      <c r="H61" t="s">
        <v>50</v>
      </c>
      <c r="I61">
        <v>2</v>
      </c>
      <c r="J61">
        <v>1176.56</v>
      </c>
      <c r="K61">
        <v>0.15</v>
      </c>
      <c r="L61">
        <v>2000.15</v>
      </c>
      <c r="M61">
        <v>1324.79</v>
      </c>
      <c r="N61">
        <v>675.36</v>
      </c>
      <c r="O61" t="s">
        <v>24</v>
      </c>
      <c r="P61">
        <v>2</v>
      </c>
      <c r="Q61" t="str">
        <f t="shared" si="0"/>
        <v>February</v>
      </c>
      <c r="R61" t="str">
        <f t="shared" si="1"/>
        <v>Q1</v>
      </c>
      <c r="S61">
        <f t="shared" si="2"/>
        <v>2024</v>
      </c>
      <c r="T61">
        <f t="shared" si="3"/>
        <v>3472547.64</v>
      </c>
      <c r="U61">
        <f t="shared" si="4"/>
        <v>1132856.0899999999</v>
      </c>
      <c r="V61">
        <f t="shared" si="5"/>
        <v>2.0653034137813573</v>
      </c>
    </row>
    <row r="62" spans="1:22" x14ac:dyDescent="0.35">
      <c r="A62" t="s">
        <v>194</v>
      </c>
      <c r="B62" s="1">
        <v>45356</v>
      </c>
      <c r="C62" t="s">
        <v>195</v>
      </c>
      <c r="D62" t="s">
        <v>19</v>
      </c>
      <c r="E62" t="s">
        <v>98</v>
      </c>
      <c r="F62" t="s">
        <v>21</v>
      </c>
      <c r="G62" t="s">
        <v>43</v>
      </c>
      <c r="H62" t="s">
        <v>50</v>
      </c>
      <c r="I62">
        <v>10</v>
      </c>
      <c r="J62">
        <v>837.27</v>
      </c>
      <c r="K62">
        <v>0.05</v>
      </c>
      <c r="L62">
        <v>7954.07</v>
      </c>
      <c r="M62">
        <v>4067.96</v>
      </c>
      <c r="N62">
        <v>3886.11</v>
      </c>
      <c r="O62" t="s">
        <v>33</v>
      </c>
      <c r="P62">
        <v>4</v>
      </c>
      <c r="Q62" t="str">
        <f t="shared" si="0"/>
        <v>March</v>
      </c>
      <c r="R62" t="str">
        <f t="shared" si="1"/>
        <v>Q1</v>
      </c>
      <c r="S62">
        <f t="shared" si="2"/>
        <v>2024</v>
      </c>
      <c r="T62">
        <f t="shared" si="3"/>
        <v>3470547.49</v>
      </c>
      <c r="U62">
        <f t="shared" si="4"/>
        <v>1132180.73</v>
      </c>
      <c r="V62">
        <f t="shared" si="5"/>
        <v>2.0653652707902919</v>
      </c>
    </row>
    <row r="63" spans="1:22" x14ac:dyDescent="0.35">
      <c r="A63" t="s">
        <v>196</v>
      </c>
      <c r="B63" s="1">
        <v>45474</v>
      </c>
      <c r="C63" t="s">
        <v>197</v>
      </c>
      <c r="D63" t="s">
        <v>66</v>
      </c>
      <c r="E63" t="s">
        <v>85</v>
      </c>
      <c r="F63" t="s">
        <v>21</v>
      </c>
      <c r="G63" t="s">
        <v>22</v>
      </c>
      <c r="H63" t="s">
        <v>23</v>
      </c>
      <c r="I63">
        <v>11</v>
      </c>
      <c r="J63">
        <v>1115.67</v>
      </c>
      <c r="K63">
        <v>0.1</v>
      </c>
      <c r="L63">
        <v>11045.13</v>
      </c>
      <c r="M63">
        <v>9212.4</v>
      </c>
      <c r="N63">
        <v>1832.73</v>
      </c>
      <c r="O63" t="s">
        <v>62</v>
      </c>
      <c r="P63">
        <v>3</v>
      </c>
      <c r="Q63" t="str">
        <f t="shared" si="0"/>
        <v>July</v>
      </c>
      <c r="R63" t="str">
        <f t="shared" si="1"/>
        <v>Q3</v>
      </c>
      <c r="S63">
        <f t="shared" si="2"/>
        <v>2024</v>
      </c>
      <c r="T63">
        <f t="shared" si="3"/>
        <v>3462593.42</v>
      </c>
      <c r="U63">
        <f t="shared" si="4"/>
        <v>1128294.6199999999</v>
      </c>
      <c r="V63">
        <f t="shared" si="5"/>
        <v>2.0688734649820453</v>
      </c>
    </row>
    <row r="64" spans="1:22" x14ac:dyDescent="0.35">
      <c r="A64" t="s">
        <v>198</v>
      </c>
      <c r="B64" s="1">
        <v>45555</v>
      </c>
      <c r="C64" t="s">
        <v>199</v>
      </c>
      <c r="D64" t="s">
        <v>19</v>
      </c>
      <c r="E64" t="s">
        <v>30</v>
      </c>
      <c r="F64" t="s">
        <v>21</v>
      </c>
      <c r="G64" t="s">
        <v>60</v>
      </c>
      <c r="H64" t="s">
        <v>110</v>
      </c>
      <c r="I64">
        <v>2</v>
      </c>
      <c r="J64">
        <v>674.5</v>
      </c>
      <c r="K64">
        <v>0</v>
      </c>
      <c r="L64">
        <v>1349</v>
      </c>
      <c r="M64">
        <v>957.76</v>
      </c>
      <c r="N64">
        <v>391.24</v>
      </c>
      <c r="O64" t="s">
        <v>33</v>
      </c>
      <c r="P64">
        <v>1</v>
      </c>
      <c r="Q64" t="str">
        <f t="shared" si="0"/>
        <v>September</v>
      </c>
      <c r="R64" t="str">
        <f t="shared" si="1"/>
        <v>Q3</v>
      </c>
      <c r="S64">
        <f t="shared" si="2"/>
        <v>2024</v>
      </c>
      <c r="T64">
        <f t="shared" si="3"/>
        <v>3451548.29</v>
      </c>
      <c r="U64">
        <f t="shared" si="4"/>
        <v>1126461.8900000001</v>
      </c>
      <c r="V64">
        <f t="shared" si="5"/>
        <v>2.0640613061485813</v>
      </c>
    </row>
    <row r="65" spans="1:22" x14ac:dyDescent="0.35">
      <c r="A65" t="s">
        <v>200</v>
      </c>
      <c r="B65" s="1">
        <v>45351</v>
      </c>
      <c r="C65" t="s">
        <v>201</v>
      </c>
      <c r="D65" t="s">
        <v>19</v>
      </c>
      <c r="E65" t="s">
        <v>38</v>
      </c>
      <c r="F65" t="s">
        <v>39</v>
      </c>
      <c r="G65" t="s">
        <v>60</v>
      </c>
      <c r="H65" t="s">
        <v>110</v>
      </c>
      <c r="I65">
        <v>6</v>
      </c>
      <c r="J65">
        <v>282.37</v>
      </c>
      <c r="K65">
        <v>0.15</v>
      </c>
      <c r="L65">
        <v>1440.09</v>
      </c>
      <c r="M65">
        <v>1091.57</v>
      </c>
      <c r="N65">
        <v>348.52</v>
      </c>
      <c r="O65" t="s">
        <v>33</v>
      </c>
      <c r="P65">
        <v>1</v>
      </c>
      <c r="Q65" t="str">
        <f t="shared" si="0"/>
        <v>February</v>
      </c>
      <c r="R65" t="str">
        <f t="shared" si="1"/>
        <v>Q1</v>
      </c>
      <c r="S65">
        <f t="shared" si="2"/>
        <v>2024</v>
      </c>
      <c r="T65">
        <f t="shared" si="3"/>
        <v>3450199.29</v>
      </c>
      <c r="U65">
        <f t="shared" si="4"/>
        <v>1126070.6500000001</v>
      </c>
      <c r="V65">
        <f t="shared" si="5"/>
        <v>2.0639279071877055</v>
      </c>
    </row>
    <row r="66" spans="1:22" x14ac:dyDescent="0.35">
      <c r="A66" t="s">
        <v>202</v>
      </c>
      <c r="B66" s="1">
        <v>45334</v>
      </c>
      <c r="C66" t="s">
        <v>203</v>
      </c>
      <c r="D66" t="s">
        <v>29</v>
      </c>
      <c r="E66" t="s">
        <v>30</v>
      </c>
      <c r="F66" t="s">
        <v>21</v>
      </c>
      <c r="G66" t="s">
        <v>60</v>
      </c>
      <c r="H66" t="s">
        <v>119</v>
      </c>
      <c r="I66">
        <v>2</v>
      </c>
      <c r="J66">
        <v>833.98</v>
      </c>
      <c r="K66">
        <v>0.1</v>
      </c>
      <c r="L66">
        <v>1501.16</v>
      </c>
      <c r="M66">
        <v>842.48</v>
      </c>
      <c r="N66">
        <v>658.68</v>
      </c>
      <c r="O66" t="s">
        <v>33</v>
      </c>
      <c r="P66">
        <v>4</v>
      </c>
      <c r="Q66" t="str">
        <f t="shared" ref="Q66:Q129" si="6">TEXT(B66,"MMMM")</f>
        <v>February</v>
      </c>
      <c r="R66" t="str">
        <f t="shared" ref="R66:R129" si="7">"Q"&amp;ROUNDUP(MONTH(B66)/3,0)</f>
        <v>Q1</v>
      </c>
      <c r="S66">
        <f t="shared" ref="S66:S129" si="8">YEAR(B66)</f>
        <v>2024</v>
      </c>
      <c r="T66">
        <f t="shared" ref="T66:T129" si="9">SUM(L66:L1065)</f>
        <v>3448759.1999999997</v>
      </c>
      <c r="U66">
        <f t="shared" ref="U66:U129" si="10">SUM(N66:N1065)</f>
        <v>1125722.1300000001</v>
      </c>
      <c r="V66">
        <f t="shared" ref="V66:V129" si="11">(T66-U66)/U66</f>
        <v>2.0635972306949308</v>
      </c>
    </row>
    <row r="67" spans="1:22" x14ac:dyDescent="0.35">
      <c r="A67" t="s">
        <v>204</v>
      </c>
      <c r="B67" s="1">
        <v>45551</v>
      </c>
      <c r="C67" t="s">
        <v>205</v>
      </c>
      <c r="D67" t="s">
        <v>19</v>
      </c>
      <c r="E67" t="s">
        <v>30</v>
      </c>
      <c r="F67" t="s">
        <v>21</v>
      </c>
      <c r="G67" t="s">
        <v>43</v>
      </c>
      <c r="H67" t="s">
        <v>50</v>
      </c>
      <c r="I67">
        <v>1</v>
      </c>
      <c r="J67">
        <v>503.39</v>
      </c>
      <c r="K67">
        <v>0</v>
      </c>
      <c r="L67">
        <v>503.39</v>
      </c>
      <c r="M67">
        <v>416.64</v>
      </c>
      <c r="N67">
        <v>86.75</v>
      </c>
      <c r="O67" t="s">
        <v>24</v>
      </c>
      <c r="P67">
        <v>3</v>
      </c>
      <c r="Q67" t="str">
        <f t="shared" si="6"/>
        <v>September</v>
      </c>
      <c r="R67" t="str">
        <f t="shared" si="7"/>
        <v>Q3</v>
      </c>
      <c r="S67">
        <f t="shared" si="8"/>
        <v>2024</v>
      </c>
      <c r="T67">
        <f t="shared" si="9"/>
        <v>3447258.04</v>
      </c>
      <c r="U67">
        <f t="shared" si="10"/>
        <v>1125063.45</v>
      </c>
      <c r="V67">
        <f t="shared" si="11"/>
        <v>2.0640565560991249</v>
      </c>
    </row>
    <row r="68" spans="1:22" x14ac:dyDescent="0.35">
      <c r="A68" t="s">
        <v>206</v>
      </c>
      <c r="B68" s="1">
        <v>45492</v>
      </c>
      <c r="C68" t="s">
        <v>207</v>
      </c>
      <c r="D68" t="s">
        <v>66</v>
      </c>
      <c r="E68" t="s">
        <v>85</v>
      </c>
      <c r="F68" t="s">
        <v>31</v>
      </c>
      <c r="G68" t="s">
        <v>79</v>
      </c>
      <c r="H68" t="s">
        <v>89</v>
      </c>
      <c r="I68">
        <v>6</v>
      </c>
      <c r="J68">
        <v>730.77</v>
      </c>
      <c r="K68">
        <v>0</v>
      </c>
      <c r="L68">
        <v>4384.62</v>
      </c>
      <c r="M68">
        <v>2233.69</v>
      </c>
      <c r="N68">
        <v>2150.9299999999998</v>
      </c>
      <c r="O68" t="s">
        <v>51</v>
      </c>
      <c r="P68">
        <v>3</v>
      </c>
      <c r="Q68" t="str">
        <f t="shared" si="6"/>
        <v>July</v>
      </c>
      <c r="R68" t="str">
        <f t="shared" si="7"/>
        <v>Q3</v>
      </c>
      <c r="S68">
        <f t="shared" si="8"/>
        <v>2024</v>
      </c>
      <c r="T68">
        <f t="shared" si="9"/>
        <v>3446754.65</v>
      </c>
      <c r="U68">
        <f t="shared" si="10"/>
        <v>1124976.7</v>
      </c>
      <c r="V68">
        <f t="shared" si="11"/>
        <v>2.0638453667529295</v>
      </c>
    </row>
    <row r="69" spans="1:22" x14ac:dyDescent="0.35">
      <c r="A69" t="s">
        <v>208</v>
      </c>
      <c r="B69" s="1">
        <v>45565</v>
      </c>
      <c r="C69" t="s">
        <v>209</v>
      </c>
      <c r="D69" t="s">
        <v>29</v>
      </c>
      <c r="E69" t="s">
        <v>20</v>
      </c>
      <c r="F69" t="s">
        <v>39</v>
      </c>
      <c r="G69" t="s">
        <v>79</v>
      </c>
      <c r="H69" t="s">
        <v>103</v>
      </c>
      <c r="I69">
        <v>5</v>
      </c>
      <c r="J69">
        <v>190.53</v>
      </c>
      <c r="K69">
        <v>0.15</v>
      </c>
      <c r="L69">
        <v>809.75</v>
      </c>
      <c r="M69">
        <v>507.1</v>
      </c>
      <c r="N69">
        <v>302.64999999999998</v>
      </c>
      <c r="O69" t="s">
        <v>51</v>
      </c>
      <c r="P69">
        <v>2</v>
      </c>
      <c r="Q69" t="str">
        <f t="shared" si="6"/>
        <v>September</v>
      </c>
      <c r="R69" t="str">
        <f t="shared" si="7"/>
        <v>Q3</v>
      </c>
      <c r="S69">
        <f t="shared" si="8"/>
        <v>2024</v>
      </c>
      <c r="T69">
        <f t="shared" si="9"/>
        <v>3442370.0300000003</v>
      </c>
      <c r="U69">
        <f t="shared" si="10"/>
        <v>1122825.7700000003</v>
      </c>
      <c r="V69">
        <f t="shared" si="11"/>
        <v>2.0658096046370571</v>
      </c>
    </row>
    <row r="70" spans="1:22" x14ac:dyDescent="0.35">
      <c r="A70" t="s">
        <v>210</v>
      </c>
      <c r="B70" s="1">
        <v>45375</v>
      </c>
      <c r="C70" t="s">
        <v>211</v>
      </c>
      <c r="D70" t="s">
        <v>37</v>
      </c>
      <c r="E70" t="s">
        <v>30</v>
      </c>
      <c r="F70" t="s">
        <v>39</v>
      </c>
      <c r="G70" t="s">
        <v>79</v>
      </c>
      <c r="H70" t="s">
        <v>89</v>
      </c>
      <c r="I70">
        <v>12</v>
      </c>
      <c r="J70">
        <v>576.28</v>
      </c>
      <c r="K70">
        <v>0.05</v>
      </c>
      <c r="L70">
        <v>6569.59</v>
      </c>
      <c r="M70">
        <v>5236.5200000000004</v>
      </c>
      <c r="N70">
        <v>1333.07</v>
      </c>
      <c r="O70" t="s">
        <v>24</v>
      </c>
      <c r="P70">
        <v>4</v>
      </c>
      <c r="Q70" t="str">
        <f t="shared" si="6"/>
        <v>March</v>
      </c>
      <c r="R70" t="str">
        <f t="shared" si="7"/>
        <v>Q1</v>
      </c>
      <c r="S70">
        <f t="shared" si="8"/>
        <v>2024</v>
      </c>
      <c r="T70">
        <f t="shared" si="9"/>
        <v>3441560.2800000003</v>
      </c>
      <c r="U70">
        <f t="shared" si="10"/>
        <v>1122523.1200000001</v>
      </c>
      <c r="V70">
        <f t="shared" si="11"/>
        <v>2.0659148294424439</v>
      </c>
    </row>
    <row r="71" spans="1:22" x14ac:dyDescent="0.35">
      <c r="A71" t="s">
        <v>212</v>
      </c>
      <c r="B71" s="1">
        <v>45493</v>
      </c>
      <c r="C71" t="s">
        <v>213</v>
      </c>
      <c r="D71" t="s">
        <v>19</v>
      </c>
      <c r="E71" t="s">
        <v>38</v>
      </c>
      <c r="F71" t="s">
        <v>21</v>
      </c>
      <c r="G71" t="s">
        <v>43</v>
      </c>
      <c r="H71" t="s">
        <v>44</v>
      </c>
      <c r="I71">
        <v>5</v>
      </c>
      <c r="J71">
        <v>529.27</v>
      </c>
      <c r="K71">
        <v>0.1</v>
      </c>
      <c r="L71">
        <v>2381.7199999999998</v>
      </c>
      <c r="M71">
        <v>1256.99</v>
      </c>
      <c r="N71">
        <v>1124.73</v>
      </c>
      <c r="O71" t="s">
        <v>24</v>
      </c>
      <c r="P71">
        <v>4</v>
      </c>
      <c r="Q71" t="str">
        <f t="shared" si="6"/>
        <v>July</v>
      </c>
      <c r="R71" t="str">
        <f t="shared" si="7"/>
        <v>Q3</v>
      </c>
      <c r="S71">
        <f t="shared" si="8"/>
        <v>2024</v>
      </c>
      <c r="T71">
        <f t="shared" si="9"/>
        <v>3434990.6900000004</v>
      </c>
      <c r="U71">
        <f t="shared" si="10"/>
        <v>1121190.05</v>
      </c>
      <c r="V71">
        <f t="shared" si="11"/>
        <v>2.0637006544965328</v>
      </c>
    </row>
    <row r="72" spans="1:22" x14ac:dyDescent="0.35">
      <c r="A72" t="s">
        <v>214</v>
      </c>
      <c r="B72" s="1">
        <v>45519</v>
      </c>
      <c r="C72" t="s">
        <v>215</v>
      </c>
      <c r="D72" t="s">
        <v>66</v>
      </c>
      <c r="E72" t="s">
        <v>85</v>
      </c>
      <c r="F72" t="s">
        <v>21</v>
      </c>
      <c r="G72" t="s">
        <v>60</v>
      </c>
      <c r="H72" t="s">
        <v>110</v>
      </c>
      <c r="I72">
        <v>1</v>
      </c>
      <c r="J72">
        <v>201.61</v>
      </c>
      <c r="K72">
        <v>0.15</v>
      </c>
      <c r="L72">
        <v>171.37</v>
      </c>
      <c r="M72">
        <v>133.07</v>
      </c>
      <c r="N72">
        <v>38.299999999999997</v>
      </c>
      <c r="O72" t="s">
        <v>51</v>
      </c>
      <c r="P72">
        <v>3</v>
      </c>
      <c r="Q72" t="str">
        <f t="shared" si="6"/>
        <v>August</v>
      </c>
      <c r="R72" t="str">
        <f t="shared" si="7"/>
        <v>Q3</v>
      </c>
      <c r="S72">
        <f t="shared" si="8"/>
        <v>2024</v>
      </c>
      <c r="T72">
        <f t="shared" si="9"/>
        <v>3432608.97</v>
      </c>
      <c r="U72">
        <f t="shared" si="10"/>
        <v>1120065.3199999998</v>
      </c>
      <c r="V72">
        <f t="shared" si="11"/>
        <v>2.0646507026929473</v>
      </c>
    </row>
    <row r="73" spans="1:22" x14ac:dyDescent="0.35">
      <c r="A73" t="s">
        <v>216</v>
      </c>
      <c r="B73" s="1">
        <v>45334</v>
      </c>
      <c r="C73" t="s">
        <v>217</v>
      </c>
      <c r="D73" t="s">
        <v>66</v>
      </c>
      <c r="E73" t="s">
        <v>30</v>
      </c>
      <c r="F73" t="s">
        <v>21</v>
      </c>
      <c r="G73" t="s">
        <v>60</v>
      </c>
      <c r="H73" t="s">
        <v>61</v>
      </c>
      <c r="I73">
        <v>4</v>
      </c>
      <c r="J73">
        <v>1090.57</v>
      </c>
      <c r="K73">
        <v>0.15</v>
      </c>
      <c r="L73">
        <v>3707.94</v>
      </c>
      <c r="M73">
        <v>2902.58</v>
      </c>
      <c r="N73">
        <v>805.36</v>
      </c>
      <c r="O73" t="s">
        <v>62</v>
      </c>
      <c r="P73">
        <v>3</v>
      </c>
      <c r="Q73" t="str">
        <f t="shared" si="6"/>
        <v>February</v>
      </c>
      <c r="R73" t="str">
        <f t="shared" si="7"/>
        <v>Q1</v>
      </c>
      <c r="S73">
        <f t="shared" si="8"/>
        <v>2024</v>
      </c>
      <c r="T73">
        <f t="shared" si="9"/>
        <v>3432437.6</v>
      </c>
      <c r="U73">
        <f t="shared" si="10"/>
        <v>1120027.02</v>
      </c>
      <c r="V73">
        <f t="shared" si="11"/>
        <v>2.0646024950362358</v>
      </c>
    </row>
    <row r="74" spans="1:22" x14ac:dyDescent="0.35">
      <c r="A74" t="s">
        <v>218</v>
      </c>
      <c r="B74" s="1">
        <v>45593</v>
      </c>
      <c r="C74" t="s">
        <v>219</v>
      </c>
      <c r="D74" t="s">
        <v>37</v>
      </c>
      <c r="E74" t="s">
        <v>98</v>
      </c>
      <c r="F74" t="s">
        <v>39</v>
      </c>
      <c r="G74" t="s">
        <v>43</v>
      </c>
      <c r="H74" t="s">
        <v>50</v>
      </c>
      <c r="I74">
        <v>11</v>
      </c>
      <c r="J74">
        <v>1125.3900000000001</v>
      </c>
      <c r="K74">
        <v>0.05</v>
      </c>
      <c r="L74">
        <v>11760.33</v>
      </c>
      <c r="M74">
        <v>7297.31</v>
      </c>
      <c r="N74">
        <v>4463.0200000000004</v>
      </c>
      <c r="O74" t="s">
        <v>33</v>
      </c>
      <c r="P74">
        <v>2</v>
      </c>
      <c r="Q74" t="str">
        <f t="shared" si="6"/>
        <v>October</v>
      </c>
      <c r="R74" t="str">
        <f t="shared" si="7"/>
        <v>Q4</v>
      </c>
      <c r="S74">
        <f t="shared" si="8"/>
        <v>2024</v>
      </c>
      <c r="T74">
        <f t="shared" si="9"/>
        <v>3428729.66</v>
      </c>
      <c r="U74">
        <f t="shared" si="10"/>
        <v>1119221.6599999999</v>
      </c>
      <c r="V74">
        <f t="shared" si="11"/>
        <v>2.0634947325804971</v>
      </c>
    </row>
    <row r="75" spans="1:22" x14ac:dyDescent="0.35">
      <c r="A75" t="s">
        <v>220</v>
      </c>
      <c r="B75" s="1">
        <v>45593</v>
      </c>
      <c r="C75" t="s">
        <v>221</v>
      </c>
      <c r="D75" t="s">
        <v>66</v>
      </c>
      <c r="E75" t="s">
        <v>38</v>
      </c>
      <c r="F75" t="s">
        <v>39</v>
      </c>
      <c r="G75" t="s">
        <v>60</v>
      </c>
      <c r="H75" t="s">
        <v>119</v>
      </c>
      <c r="I75">
        <v>5</v>
      </c>
      <c r="J75">
        <v>744.05</v>
      </c>
      <c r="K75">
        <v>0.05</v>
      </c>
      <c r="L75">
        <v>3534.24</v>
      </c>
      <c r="M75">
        <v>2134.14</v>
      </c>
      <c r="N75">
        <v>1400.1</v>
      </c>
      <c r="O75" t="s">
        <v>51</v>
      </c>
      <c r="P75">
        <v>5</v>
      </c>
      <c r="Q75" t="str">
        <f t="shared" si="6"/>
        <v>October</v>
      </c>
      <c r="R75" t="str">
        <f t="shared" si="7"/>
        <v>Q4</v>
      </c>
      <c r="S75">
        <f t="shared" si="8"/>
        <v>2024</v>
      </c>
      <c r="T75">
        <f t="shared" si="9"/>
        <v>3416969.33</v>
      </c>
      <c r="U75">
        <f t="shared" si="10"/>
        <v>1114758.6399999997</v>
      </c>
      <c r="V75">
        <f t="shared" si="11"/>
        <v>2.0652099991797339</v>
      </c>
    </row>
    <row r="76" spans="1:22" x14ac:dyDescent="0.35">
      <c r="A76" t="s">
        <v>222</v>
      </c>
      <c r="B76" s="1">
        <v>45374</v>
      </c>
      <c r="C76" t="s">
        <v>223</v>
      </c>
      <c r="D76" t="s">
        <v>49</v>
      </c>
      <c r="E76" t="s">
        <v>38</v>
      </c>
      <c r="F76" t="s">
        <v>31</v>
      </c>
      <c r="G76" t="s">
        <v>43</v>
      </c>
      <c r="H76" t="s">
        <v>173</v>
      </c>
      <c r="I76">
        <v>3</v>
      </c>
      <c r="J76">
        <v>198.57</v>
      </c>
      <c r="K76">
        <v>0.1</v>
      </c>
      <c r="L76">
        <v>536.14</v>
      </c>
      <c r="M76">
        <v>384.91</v>
      </c>
      <c r="N76">
        <v>151.22999999999999</v>
      </c>
      <c r="O76" t="s">
        <v>51</v>
      </c>
      <c r="P76">
        <v>1</v>
      </c>
      <c r="Q76" t="str">
        <f t="shared" si="6"/>
        <v>March</v>
      </c>
      <c r="R76" t="str">
        <f t="shared" si="7"/>
        <v>Q1</v>
      </c>
      <c r="S76">
        <f t="shared" si="8"/>
        <v>2024</v>
      </c>
      <c r="T76">
        <f t="shared" si="9"/>
        <v>3413435.0899999994</v>
      </c>
      <c r="U76">
        <f t="shared" si="10"/>
        <v>1113358.5399999996</v>
      </c>
      <c r="V76">
        <f t="shared" si="11"/>
        <v>2.065890247718404</v>
      </c>
    </row>
    <row r="77" spans="1:22" x14ac:dyDescent="0.35">
      <c r="A77" t="s">
        <v>224</v>
      </c>
      <c r="B77" s="1">
        <v>45340</v>
      </c>
      <c r="C77" t="s">
        <v>225</v>
      </c>
      <c r="D77" t="s">
        <v>66</v>
      </c>
      <c r="E77" t="s">
        <v>20</v>
      </c>
      <c r="F77" t="s">
        <v>31</v>
      </c>
      <c r="G77" t="s">
        <v>79</v>
      </c>
      <c r="H77" t="s">
        <v>89</v>
      </c>
      <c r="I77">
        <v>2</v>
      </c>
      <c r="J77">
        <v>217.96</v>
      </c>
      <c r="K77">
        <v>0.15</v>
      </c>
      <c r="L77">
        <v>370.53</v>
      </c>
      <c r="M77">
        <v>241.69</v>
      </c>
      <c r="N77">
        <v>128.84</v>
      </c>
      <c r="O77" t="s">
        <v>51</v>
      </c>
      <c r="P77">
        <v>1</v>
      </c>
      <c r="Q77" t="str">
        <f t="shared" si="6"/>
        <v>February</v>
      </c>
      <c r="R77" t="str">
        <f t="shared" si="7"/>
        <v>Q1</v>
      </c>
      <c r="S77">
        <f t="shared" si="8"/>
        <v>2024</v>
      </c>
      <c r="T77">
        <f t="shared" si="9"/>
        <v>3412898.9499999993</v>
      </c>
      <c r="U77">
        <f t="shared" si="10"/>
        <v>1113207.3099999996</v>
      </c>
      <c r="V77">
        <f t="shared" si="11"/>
        <v>2.0658251336851179</v>
      </c>
    </row>
    <row r="78" spans="1:22" x14ac:dyDescent="0.35">
      <c r="A78" t="s">
        <v>226</v>
      </c>
      <c r="B78" s="1">
        <v>45357</v>
      </c>
      <c r="C78" t="s">
        <v>227</v>
      </c>
      <c r="D78" t="s">
        <v>66</v>
      </c>
      <c r="E78" t="s">
        <v>85</v>
      </c>
      <c r="F78" t="s">
        <v>21</v>
      </c>
      <c r="G78" t="s">
        <v>43</v>
      </c>
      <c r="H78" t="s">
        <v>173</v>
      </c>
      <c r="I78">
        <v>4</v>
      </c>
      <c r="J78">
        <v>809.56</v>
      </c>
      <c r="K78">
        <v>0.05</v>
      </c>
      <c r="L78">
        <v>3076.33</v>
      </c>
      <c r="M78">
        <v>2023.3</v>
      </c>
      <c r="N78">
        <v>1053.03</v>
      </c>
      <c r="O78" t="s">
        <v>33</v>
      </c>
      <c r="P78">
        <v>1</v>
      </c>
      <c r="Q78" t="str">
        <f t="shared" si="6"/>
        <v>March</v>
      </c>
      <c r="R78" t="str">
        <f t="shared" si="7"/>
        <v>Q1</v>
      </c>
      <c r="S78">
        <f t="shared" si="8"/>
        <v>2024</v>
      </c>
      <c r="T78">
        <f t="shared" si="9"/>
        <v>3412528.4199999995</v>
      </c>
      <c r="U78">
        <f t="shared" si="10"/>
        <v>1113078.4699999997</v>
      </c>
      <c r="V78">
        <f t="shared" si="11"/>
        <v>2.0658471185773633</v>
      </c>
    </row>
    <row r="79" spans="1:22" x14ac:dyDescent="0.35">
      <c r="A79" t="s">
        <v>228</v>
      </c>
      <c r="B79" s="1">
        <v>45365</v>
      </c>
      <c r="C79" t="s">
        <v>229</v>
      </c>
      <c r="D79" t="s">
        <v>37</v>
      </c>
      <c r="E79" t="s">
        <v>98</v>
      </c>
      <c r="F79" t="s">
        <v>39</v>
      </c>
      <c r="G79" t="s">
        <v>43</v>
      </c>
      <c r="H79" t="s">
        <v>44</v>
      </c>
      <c r="I79">
        <v>7</v>
      </c>
      <c r="J79">
        <v>523.92999999999995</v>
      </c>
      <c r="K79">
        <v>0.05</v>
      </c>
      <c r="L79">
        <v>3484.13</v>
      </c>
      <c r="M79">
        <v>2857.16</v>
      </c>
      <c r="N79">
        <v>626.97</v>
      </c>
      <c r="O79" t="s">
        <v>33</v>
      </c>
      <c r="P79">
        <v>5</v>
      </c>
      <c r="Q79" t="str">
        <f t="shared" si="6"/>
        <v>March</v>
      </c>
      <c r="R79" t="str">
        <f t="shared" si="7"/>
        <v>Q1</v>
      </c>
      <c r="S79">
        <f t="shared" si="8"/>
        <v>2024</v>
      </c>
      <c r="T79">
        <f t="shared" si="9"/>
        <v>3409452.0899999994</v>
      </c>
      <c r="U79">
        <f t="shared" si="10"/>
        <v>1112025.4399999997</v>
      </c>
      <c r="V79">
        <f t="shared" si="11"/>
        <v>2.065983895116644</v>
      </c>
    </row>
    <row r="80" spans="1:22" x14ac:dyDescent="0.35">
      <c r="A80" t="s">
        <v>230</v>
      </c>
      <c r="B80" s="1">
        <v>45378</v>
      </c>
      <c r="C80" t="s">
        <v>231</v>
      </c>
      <c r="D80" t="s">
        <v>37</v>
      </c>
      <c r="E80" t="s">
        <v>30</v>
      </c>
      <c r="F80" t="s">
        <v>21</v>
      </c>
      <c r="G80" t="s">
        <v>60</v>
      </c>
      <c r="H80" t="s">
        <v>61</v>
      </c>
      <c r="I80">
        <v>10</v>
      </c>
      <c r="J80">
        <v>845.81</v>
      </c>
      <c r="K80">
        <v>0.05</v>
      </c>
      <c r="L80">
        <v>8035.19</v>
      </c>
      <c r="M80">
        <v>4464.3500000000004</v>
      </c>
      <c r="N80">
        <v>3570.84</v>
      </c>
      <c r="O80" t="s">
        <v>62</v>
      </c>
      <c r="P80">
        <v>1</v>
      </c>
      <c r="Q80" t="str">
        <f t="shared" si="6"/>
        <v>March</v>
      </c>
      <c r="R80" t="str">
        <f t="shared" si="7"/>
        <v>Q1</v>
      </c>
      <c r="S80">
        <f t="shared" si="8"/>
        <v>2024</v>
      </c>
      <c r="T80">
        <f t="shared" si="9"/>
        <v>3405967.9599999995</v>
      </c>
      <c r="U80">
        <f t="shared" si="10"/>
        <v>1111398.4699999997</v>
      </c>
      <c r="V80">
        <f t="shared" si="11"/>
        <v>2.0645785934904159</v>
      </c>
    </row>
    <row r="81" spans="1:22" x14ac:dyDescent="0.35">
      <c r="A81" t="s">
        <v>232</v>
      </c>
      <c r="B81" s="1">
        <v>45613</v>
      </c>
      <c r="C81" t="s">
        <v>233</v>
      </c>
      <c r="D81" t="s">
        <v>19</v>
      </c>
      <c r="E81" t="s">
        <v>98</v>
      </c>
      <c r="F81" t="s">
        <v>21</v>
      </c>
      <c r="G81" t="s">
        <v>79</v>
      </c>
      <c r="H81" t="s">
        <v>103</v>
      </c>
      <c r="I81">
        <v>3</v>
      </c>
      <c r="J81">
        <v>843.94</v>
      </c>
      <c r="K81">
        <v>0.15</v>
      </c>
      <c r="L81">
        <v>2152.0500000000002</v>
      </c>
      <c r="M81">
        <v>1617.6</v>
      </c>
      <c r="N81">
        <v>534.45000000000005</v>
      </c>
      <c r="O81" t="s">
        <v>51</v>
      </c>
      <c r="P81">
        <v>5</v>
      </c>
      <c r="Q81" t="str">
        <f t="shared" si="6"/>
        <v>November</v>
      </c>
      <c r="R81" t="str">
        <f t="shared" si="7"/>
        <v>Q4</v>
      </c>
      <c r="S81">
        <f t="shared" si="8"/>
        <v>2024</v>
      </c>
      <c r="T81">
        <f t="shared" si="9"/>
        <v>3397932.7699999996</v>
      </c>
      <c r="U81">
        <f t="shared" si="10"/>
        <v>1107827.6299999999</v>
      </c>
      <c r="V81">
        <f t="shared" si="11"/>
        <v>2.0672034872428662</v>
      </c>
    </row>
    <row r="82" spans="1:22" x14ac:dyDescent="0.35">
      <c r="A82" t="s">
        <v>234</v>
      </c>
      <c r="B82" s="1">
        <v>45428</v>
      </c>
      <c r="C82" t="s">
        <v>235</v>
      </c>
      <c r="D82" t="s">
        <v>37</v>
      </c>
      <c r="E82" t="s">
        <v>98</v>
      </c>
      <c r="F82" t="s">
        <v>21</v>
      </c>
      <c r="G82" t="s">
        <v>43</v>
      </c>
      <c r="H82" t="s">
        <v>50</v>
      </c>
      <c r="I82">
        <v>2</v>
      </c>
      <c r="J82">
        <v>950.79</v>
      </c>
      <c r="K82">
        <v>0.1</v>
      </c>
      <c r="L82">
        <v>1711.42</v>
      </c>
      <c r="M82">
        <v>1192.1400000000001</v>
      </c>
      <c r="N82">
        <v>519.28</v>
      </c>
      <c r="O82" t="s">
        <v>51</v>
      </c>
      <c r="P82">
        <v>2</v>
      </c>
      <c r="Q82" t="str">
        <f t="shared" si="6"/>
        <v>May</v>
      </c>
      <c r="R82" t="str">
        <f t="shared" si="7"/>
        <v>Q2</v>
      </c>
      <c r="S82">
        <f t="shared" si="8"/>
        <v>2024</v>
      </c>
      <c r="T82">
        <f t="shared" si="9"/>
        <v>3395780.7199999997</v>
      </c>
      <c r="U82">
        <f t="shared" si="10"/>
        <v>1107293.18</v>
      </c>
      <c r="V82">
        <f t="shared" si="11"/>
        <v>2.0667403911943176</v>
      </c>
    </row>
    <row r="83" spans="1:22" x14ac:dyDescent="0.35">
      <c r="A83" t="s">
        <v>236</v>
      </c>
      <c r="B83" s="1">
        <v>45530</v>
      </c>
      <c r="C83" t="s">
        <v>237</v>
      </c>
      <c r="D83" t="s">
        <v>49</v>
      </c>
      <c r="E83" t="s">
        <v>20</v>
      </c>
      <c r="F83" t="s">
        <v>31</v>
      </c>
      <c r="G83" t="s">
        <v>22</v>
      </c>
      <c r="H83" t="s">
        <v>74</v>
      </c>
      <c r="I83">
        <v>7</v>
      </c>
      <c r="J83">
        <v>620.39</v>
      </c>
      <c r="K83">
        <v>0.15</v>
      </c>
      <c r="L83">
        <v>3691.32</v>
      </c>
      <c r="M83">
        <v>1937.39</v>
      </c>
      <c r="N83">
        <v>1753.93</v>
      </c>
      <c r="O83" t="s">
        <v>33</v>
      </c>
      <c r="P83">
        <v>5</v>
      </c>
      <c r="Q83" t="str">
        <f t="shared" si="6"/>
        <v>August</v>
      </c>
      <c r="R83" t="str">
        <f t="shared" si="7"/>
        <v>Q3</v>
      </c>
      <c r="S83">
        <f t="shared" si="8"/>
        <v>2024</v>
      </c>
      <c r="T83">
        <f t="shared" si="9"/>
        <v>3394069.2999999993</v>
      </c>
      <c r="U83">
        <f t="shared" si="10"/>
        <v>1106773.8999999999</v>
      </c>
      <c r="V83">
        <f t="shared" si="11"/>
        <v>2.0666329410189377</v>
      </c>
    </row>
    <row r="84" spans="1:22" x14ac:dyDescent="0.35">
      <c r="A84" t="s">
        <v>238</v>
      </c>
      <c r="B84" s="1">
        <v>45357</v>
      </c>
      <c r="C84" t="s">
        <v>239</v>
      </c>
      <c r="D84" t="s">
        <v>19</v>
      </c>
      <c r="E84" t="s">
        <v>30</v>
      </c>
      <c r="F84" t="s">
        <v>39</v>
      </c>
      <c r="G84" t="s">
        <v>79</v>
      </c>
      <c r="H84" t="s">
        <v>89</v>
      </c>
      <c r="I84">
        <v>8</v>
      </c>
      <c r="J84">
        <v>768.16</v>
      </c>
      <c r="K84">
        <v>0.05</v>
      </c>
      <c r="L84">
        <v>5838.02</v>
      </c>
      <c r="M84">
        <v>3460.62</v>
      </c>
      <c r="N84">
        <v>2377.4</v>
      </c>
      <c r="O84" t="s">
        <v>62</v>
      </c>
      <c r="P84">
        <v>4</v>
      </c>
      <c r="Q84" t="str">
        <f t="shared" si="6"/>
        <v>March</v>
      </c>
      <c r="R84" t="str">
        <f t="shared" si="7"/>
        <v>Q1</v>
      </c>
      <c r="S84">
        <f t="shared" si="8"/>
        <v>2024</v>
      </c>
      <c r="T84">
        <f t="shared" si="9"/>
        <v>3390377.9799999995</v>
      </c>
      <c r="U84">
        <f t="shared" si="10"/>
        <v>1105019.97</v>
      </c>
      <c r="V84">
        <f t="shared" si="11"/>
        <v>2.0681599175080971</v>
      </c>
    </row>
    <row r="85" spans="1:22" x14ac:dyDescent="0.35">
      <c r="A85" t="s">
        <v>240</v>
      </c>
      <c r="B85" s="1">
        <v>45651</v>
      </c>
      <c r="C85" t="s">
        <v>241</v>
      </c>
      <c r="D85" t="s">
        <v>49</v>
      </c>
      <c r="E85" t="s">
        <v>85</v>
      </c>
      <c r="F85" t="s">
        <v>21</v>
      </c>
      <c r="G85" t="s">
        <v>43</v>
      </c>
      <c r="H85" t="s">
        <v>44</v>
      </c>
      <c r="I85">
        <v>6</v>
      </c>
      <c r="J85">
        <v>1022.86</v>
      </c>
      <c r="K85">
        <v>0.05</v>
      </c>
      <c r="L85">
        <v>5830.3</v>
      </c>
      <c r="M85">
        <v>4903.7700000000004</v>
      </c>
      <c r="N85">
        <v>926.53</v>
      </c>
      <c r="O85" t="s">
        <v>62</v>
      </c>
      <c r="P85">
        <v>1</v>
      </c>
      <c r="Q85" t="str">
        <f t="shared" si="6"/>
        <v>December</v>
      </c>
      <c r="R85" t="str">
        <f t="shared" si="7"/>
        <v>Q4</v>
      </c>
      <c r="S85">
        <f t="shared" si="8"/>
        <v>2024</v>
      </c>
      <c r="T85">
        <f t="shared" si="9"/>
        <v>3384539.96</v>
      </c>
      <c r="U85">
        <f t="shared" si="10"/>
        <v>1102642.5699999998</v>
      </c>
      <c r="V85">
        <f t="shared" si="11"/>
        <v>2.0694805842658517</v>
      </c>
    </row>
    <row r="86" spans="1:22" x14ac:dyDescent="0.35">
      <c r="A86" t="s">
        <v>242</v>
      </c>
      <c r="B86" s="1">
        <v>45383</v>
      </c>
      <c r="C86" t="s">
        <v>243</v>
      </c>
      <c r="D86" t="s">
        <v>37</v>
      </c>
      <c r="E86" t="s">
        <v>98</v>
      </c>
      <c r="F86" t="s">
        <v>21</v>
      </c>
      <c r="G86" t="s">
        <v>22</v>
      </c>
      <c r="H86" t="s">
        <v>23</v>
      </c>
      <c r="I86">
        <v>6</v>
      </c>
      <c r="J86">
        <v>1002.32</v>
      </c>
      <c r="K86">
        <v>0.15</v>
      </c>
      <c r="L86">
        <v>5111.83</v>
      </c>
      <c r="M86">
        <v>3249.03</v>
      </c>
      <c r="N86">
        <v>1862.8</v>
      </c>
      <c r="O86" t="s">
        <v>24</v>
      </c>
      <c r="P86">
        <v>2</v>
      </c>
      <c r="Q86" t="str">
        <f t="shared" si="6"/>
        <v>April</v>
      </c>
      <c r="R86" t="str">
        <f t="shared" si="7"/>
        <v>Q2</v>
      </c>
      <c r="S86">
        <f t="shared" si="8"/>
        <v>2024</v>
      </c>
      <c r="T86">
        <f t="shared" si="9"/>
        <v>3378709.6599999997</v>
      </c>
      <c r="U86">
        <f t="shared" si="10"/>
        <v>1101716.0399999998</v>
      </c>
      <c r="V86">
        <f t="shared" si="11"/>
        <v>2.066769963701355</v>
      </c>
    </row>
    <row r="87" spans="1:22" x14ac:dyDescent="0.35">
      <c r="A87" t="s">
        <v>244</v>
      </c>
      <c r="B87" s="1">
        <v>45374</v>
      </c>
      <c r="C87" t="s">
        <v>245</v>
      </c>
      <c r="D87" t="s">
        <v>49</v>
      </c>
      <c r="E87" t="s">
        <v>20</v>
      </c>
      <c r="F87" t="s">
        <v>39</v>
      </c>
      <c r="G87" t="s">
        <v>43</v>
      </c>
      <c r="H87" t="s">
        <v>173</v>
      </c>
      <c r="I87">
        <v>11</v>
      </c>
      <c r="J87">
        <v>662.6</v>
      </c>
      <c r="K87">
        <v>0.15</v>
      </c>
      <c r="L87">
        <v>6195.31</v>
      </c>
      <c r="M87">
        <v>3904.07</v>
      </c>
      <c r="N87">
        <v>2291.2399999999998</v>
      </c>
      <c r="O87" t="s">
        <v>33</v>
      </c>
      <c r="P87">
        <v>5</v>
      </c>
      <c r="Q87" t="str">
        <f t="shared" si="6"/>
        <v>March</v>
      </c>
      <c r="R87" t="str">
        <f t="shared" si="7"/>
        <v>Q1</v>
      </c>
      <c r="S87">
        <f t="shared" si="8"/>
        <v>2024</v>
      </c>
      <c r="T87">
        <f t="shared" si="9"/>
        <v>3373597.8299999996</v>
      </c>
      <c r="U87">
        <f t="shared" si="10"/>
        <v>1099853.2399999998</v>
      </c>
      <c r="V87">
        <f t="shared" si="11"/>
        <v>2.0673163539528239</v>
      </c>
    </row>
    <row r="88" spans="1:22" x14ac:dyDescent="0.35">
      <c r="A88" t="s">
        <v>246</v>
      </c>
      <c r="B88" s="1">
        <v>45407</v>
      </c>
      <c r="C88" t="s">
        <v>247</v>
      </c>
      <c r="D88" t="s">
        <v>66</v>
      </c>
      <c r="E88" t="s">
        <v>98</v>
      </c>
      <c r="F88" t="s">
        <v>31</v>
      </c>
      <c r="G88" t="s">
        <v>43</v>
      </c>
      <c r="H88" t="s">
        <v>50</v>
      </c>
      <c r="I88">
        <v>11</v>
      </c>
      <c r="J88">
        <v>16.739999999999998</v>
      </c>
      <c r="K88">
        <v>0.05</v>
      </c>
      <c r="L88">
        <v>174.93</v>
      </c>
      <c r="M88">
        <v>147.69999999999999</v>
      </c>
      <c r="N88">
        <v>27.23</v>
      </c>
      <c r="O88" t="s">
        <v>24</v>
      </c>
      <c r="P88">
        <v>4</v>
      </c>
      <c r="Q88" t="str">
        <f t="shared" si="6"/>
        <v>April</v>
      </c>
      <c r="R88" t="str">
        <f t="shared" si="7"/>
        <v>Q2</v>
      </c>
      <c r="S88">
        <f t="shared" si="8"/>
        <v>2024</v>
      </c>
      <c r="T88">
        <f t="shared" si="9"/>
        <v>3367402.5199999996</v>
      </c>
      <c r="U88">
        <f t="shared" si="10"/>
        <v>1097561.9999999998</v>
      </c>
      <c r="V88">
        <f t="shared" si="11"/>
        <v>2.0680749880189002</v>
      </c>
    </row>
    <row r="89" spans="1:22" x14ac:dyDescent="0.35">
      <c r="A89" t="s">
        <v>248</v>
      </c>
      <c r="B89" s="1">
        <v>45634</v>
      </c>
      <c r="C89" t="s">
        <v>249</v>
      </c>
      <c r="D89" t="s">
        <v>29</v>
      </c>
      <c r="E89" t="s">
        <v>98</v>
      </c>
      <c r="F89" t="s">
        <v>31</v>
      </c>
      <c r="G89" t="s">
        <v>79</v>
      </c>
      <c r="H89" t="s">
        <v>103</v>
      </c>
      <c r="I89">
        <v>1</v>
      </c>
      <c r="J89">
        <v>786.58</v>
      </c>
      <c r="K89">
        <v>0.1</v>
      </c>
      <c r="L89">
        <v>707.92</v>
      </c>
      <c r="M89">
        <v>466.48</v>
      </c>
      <c r="N89">
        <v>241.44</v>
      </c>
      <c r="O89" t="s">
        <v>24</v>
      </c>
      <c r="P89">
        <v>2</v>
      </c>
      <c r="Q89" t="str">
        <f t="shared" si="6"/>
        <v>December</v>
      </c>
      <c r="R89" t="str">
        <f t="shared" si="7"/>
        <v>Q4</v>
      </c>
      <c r="S89">
        <f t="shared" si="8"/>
        <v>2024</v>
      </c>
      <c r="T89">
        <f t="shared" si="9"/>
        <v>3367227.59</v>
      </c>
      <c r="U89">
        <f t="shared" si="10"/>
        <v>1097534.7699999998</v>
      </c>
      <c r="V89">
        <f t="shared" si="11"/>
        <v>2.0679917229410423</v>
      </c>
    </row>
    <row r="90" spans="1:22" x14ac:dyDescent="0.35">
      <c r="A90" t="s">
        <v>250</v>
      </c>
      <c r="B90" s="1">
        <v>45356</v>
      </c>
      <c r="C90" t="s">
        <v>251</v>
      </c>
      <c r="D90" t="s">
        <v>37</v>
      </c>
      <c r="E90" t="s">
        <v>85</v>
      </c>
      <c r="F90" t="s">
        <v>39</v>
      </c>
      <c r="G90" t="s">
        <v>79</v>
      </c>
      <c r="H90" t="s">
        <v>89</v>
      </c>
      <c r="I90">
        <v>8</v>
      </c>
      <c r="J90">
        <v>226.94</v>
      </c>
      <c r="K90">
        <v>0.05</v>
      </c>
      <c r="L90">
        <v>1724.74</v>
      </c>
      <c r="M90">
        <v>1008.43</v>
      </c>
      <c r="N90">
        <v>716.31</v>
      </c>
      <c r="O90" t="s">
        <v>33</v>
      </c>
      <c r="P90">
        <v>1</v>
      </c>
      <c r="Q90" t="str">
        <f t="shared" si="6"/>
        <v>March</v>
      </c>
      <c r="R90" t="str">
        <f t="shared" si="7"/>
        <v>Q1</v>
      </c>
      <c r="S90">
        <f t="shared" si="8"/>
        <v>2024</v>
      </c>
      <c r="T90">
        <f t="shared" si="9"/>
        <v>3366519.6699999995</v>
      </c>
      <c r="U90">
        <f t="shared" si="10"/>
        <v>1097293.3299999998</v>
      </c>
      <c r="V90">
        <f t="shared" si="11"/>
        <v>2.0680216291846047</v>
      </c>
    </row>
    <row r="91" spans="1:22" x14ac:dyDescent="0.35">
      <c r="A91" t="s">
        <v>252</v>
      </c>
      <c r="B91" s="1">
        <v>45330</v>
      </c>
      <c r="C91" t="s">
        <v>253</v>
      </c>
      <c r="D91" t="s">
        <v>37</v>
      </c>
      <c r="E91" t="s">
        <v>30</v>
      </c>
      <c r="F91" t="s">
        <v>21</v>
      </c>
      <c r="G91" t="s">
        <v>43</v>
      </c>
      <c r="H91" t="s">
        <v>50</v>
      </c>
      <c r="I91">
        <v>7</v>
      </c>
      <c r="J91">
        <v>318.98</v>
      </c>
      <c r="K91">
        <v>0.1</v>
      </c>
      <c r="L91">
        <v>2009.57</v>
      </c>
      <c r="M91">
        <v>1563.05</v>
      </c>
      <c r="N91">
        <v>446.52</v>
      </c>
      <c r="O91" t="s">
        <v>24</v>
      </c>
      <c r="P91">
        <v>1</v>
      </c>
      <c r="Q91" t="str">
        <f t="shared" si="6"/>
        <v>February</v>
      </c>
      <c r="R91" t="str">
        <f t="shared" si="7"/>
        <v>Q1</v>
      </c>
      <c r="S91">
        <f t="shared" si="8"/>
        <v>2024</v>
      </c>
      <c r="T91">
        <f t="shared" si="9"/>
        <v>3364794.9299999997</v>
      </c>
      <c r="U91">
        <f t="shared" si="10"/>
        <v>1096577.0199999998</v>
      </c>
      <c r="V91">
        <f t="shared" si="11"/>
        <v>2.0684528935322759</v>
      </c>
    </row>
    <row r="92" spans="1:22" x14ac:dyDescent="0.35">
      <c r="A92" t="s">
        <v>254</v>
      </c>
      <c r="B92" s="1">
        <v>45538</v>
      </c>
      <c r="C92" t="s">
        <v>255</v>
      </c>
      <c r="D92" t="s">
        <v>66</v>
      </c>
      <c r="E92" t="s">
        <v>38</v>
      </c>
      <c r="F92" t="s">
        <v>31</v>
      </c>
      <c r="G92" t="s">
        <v>79</v>
      </c>
      <c r="H92" t="s">
        <v>89</v>
      </c>
      <c r="I92">
        <v>7</v>
      </c>
      <c r="J92">
        <v>340.54</v>
      </c>
      <c r="K92">
        <v>0.15</v>
      </c>
      <c r="L92">
        <v>2026.21</v>
      </c>
      <c r="M92">
        <v>1398.51</v>
      </c>
      <c r="N92">
        <v>627.70000000000005</v>
      </c>
      <c r="O92" t="s">
        <v>51</v>
      </c>
      <c r="P92">
        <v>2</v>
      </c>
      <c r="Q92" t="str">
        <f t="shared" si="6"/>
        <v>September</v>
      </c>
      <c r="R92" t="str">
        <f t="shared" si="7"/>
        <v>Q3</v>
      </c>
      <c r="S92">
        <f t="shared" si="8"/>
        <v>2024</v>
      </c>
      <c r="T92">
        <f t="shared" si="9"/>
        <v>3362785.36</v>
      </c>
      <c r="U92">
        <f t="shared" si="10"/>
        <v>1096130.4999999998</v>
      </c>
      <c r="V92">
        <f t="shared" si="11"/>
        <v>2.0678695283089019</v>
      </c>
    </row>
    <row r="93" spans="1:22" x14ac:dyDescent="0.35">
      <c r="A93" t="s">
        <v>256</v>
      </c>
      <c r="B93" s="1">
        <v>45610</v>
      </c>
      <c r="C93" t="s">
        <v>257</v>
      </c>
      <c r="D93" t="s">
        <v>66</v>
      </c>
      <c r="E93" t="s">
        <v>85</v>
      </c>
      <c r="F93" t="s">
        <v>31</v>
      </c>
      <c r="G93" t="s">
        <v>43</v>
      </c>
      <c r="H93" t="s">
        <v>44</v>
      </c>
      <c r="I93">
        <v>4</v>
      </c>
      <c r="J93">
        <v>132.49</v>
      </c>
      <c r="K93">
        <v>0.15</v>
      </c>
      <c r="L93">
        <v>450.47</v>
      </c>
      <c r="M93">
        <v>231.66</v>
      </c>
      <c r="N93">
        <v>218.81</v>
      </c>
      <c r="O93" t="s">
        <v>51</v>
      </c>
      <c r="P93">
        <v>2</v>
      </c>
      <c r="Q93" t="str">
        <f t="shared" si="6"/>
        <v>November</v>
      </c>
      <c r="R93" t="str">
        <f t="shared" si="7"/>
        <v>Q4</v>
      </c>
      <c r="S93">
        <f t="shared" si="8"/>
        <v>2024</v>
      </c>
      <c r="T93">
        <f t="shared" si="9"/>
        <v>3360759.15</v>
      </c>
      <c r="U93">
        <f t="shared" si="10"/>
        <v>1095502.7999999998</v>
      </c>
      <c r="V93">
        <f t="shared" si="11"/>
        <v>2.0677777820376182</v>
      </c>
    </row>
    <row r="94" spans="1:22" x14ac:dyDescent="0.35">
      <c r="A94" t="s">
        <v>258</v>
      </c>
      <c r="B94" s="1">
        <v>45546</v>
      </c>
      <c r="C94" t="s">
        <v>259</v>
      </c>
      <c r="D94" t="s">
        <v>49</v>
      </c>
      <c r="E94" t="s">
        <v>98</v>
      </c>
      <c r="F94" t="s">
        <v>39</v>
      </c>
      <c r="G94" t="s">
        <v>22</v>
      </c>
      <c r="H94" t="s">
        <v>74</v>
      </c>
      <c r="I94">
        <v>2</v>
      </c>
      <c r="J94">
        <v>617.49</v>
      </c>
      <c r="K94">
        <v>0.15</v>
      </c>
      <c r="L94">
        <v>1049.73</v>
      </c>
      <c r="M94">
        <v>722.36</v>
      </c>
      <c r="N94">
        <v>327.37</v>
      </c>
      <c r="O94" t="s">
        <v>33</v>
      </c>
      <c r="P94">
        <v>2</v>
      </c>
      <c r="Q94" t="str">
        <f t="shared" si="6"/>
        <v>September</v>
      </c>
      <c r="R94" t="str">
        <f t="shared" si="7"/>
        <v>Q3</v>
      </c>
      <c r="S94">
        <f t="shared" si="8"/>
        <v>2024</v>
      </c>
      <c r="T94">
        <f t="shared" si="9"/>
        <v>3360308.6799999997</v>
      </c>
      <c r="U94">
        <f t="shared" si="10"/>
        <v>1095283.9899999995</v>
      </c>
      <c r="V94">
        <f t="shared" si="11"/>
        <v>2.0679793648768676</v>
      </c>
    </row>
    <row r="95" spans="1:22" x14ac:dyDescent="0.35">
      <c r="A95" t="s">
        <v>260</v>
      </c>
      <c r="B95" s="1">
        <v>45445</v>
      </c>
      <c r="C95" t="s">
        <v>261</v>
      </c>
      <c r="D95" t="s">
        <v>49</v>
      </c>
      <c r="E95" t="s">
        <v>30</v>
      </c>
      <c r="F95" t="s">
        <v>39</v>
      </c>
      <c r="G95" t="s">
        <v>60</v>
      </c>
      <c r="H95" t="s">
        <v>110</v>
      </c>
      <c r="I95">
        <v>1</v>
      </c>
      <c r="J95">
        <v>799.79</v>
      </c>
      <c r="K95">
        <v>0.05</v>
      </c>
      <c r="L95">
        <v>759.8</v>
      </c>
      <c r="M95">
        <v>546.46</v>
      </c>
      <c r="N95">
        <v>213.34</v>
      </c>
      <c r="O95" t="s">
        <v>51</v>
      </c>
      <c r="P95">
        <v>5</v>
      </c>
      <c r="Q95" t="str">
        <f t="shared" si="6"/>
        <v>June</v>
      </c>
      <c r="R95" t="str">
        <f t="shared" si="7"/>
        <v>Q2</v>
      </c>
      <c r="S95">
        <f t="shared" si="8"/>
        <v>2024</v>
      </c>
      <c r="T95">
        <f t="shared" si="9"/>
        <v>3359258.9499999997</v>
      </c>
      <c r="U95">
        <f t="shared" si="10"/>
        <v>1094956.6199999996</v>
      </c>
      <c r="V95">
        <f t="shared" si="11"/>
        <v>2.0679379334680865</v>
      </c>
    </row>
    <row r="96" spans="1:22" x14ac:dyDescent="0.35">
      <c r="A96" t="s">
        <v>262</v>
      </c>
      <c r="B96" s="1">
        <v>45616</v>
      </c>
      <c r="C96" t="s">
        <v>263</v>
      </c>
      <c r="D96" t="s">
        <v>37</v>
      </c>
      <c r="E96" t="s">
        <v>85</v>
      </c>
      <c r="F96" t="s">
        <v>31</v>
      </c>
      <c r="G96" t="s">
        <v>43</v>
      </c>
      <c r="H96" t="s">
        <v>44</v>
      </c>
      <c r="I96">
        <v>3</v>
      </c>
      <c r="J96">
        <v>304.24</v>
      </c>
      <c r="K96">
        <v>0</v>
      </c>
      <c r="L96">
        <v>912.72</v>
      </c>
      <c r="M96">
        <v>759.77</v>
      </c>
      <c r="N96">
        <v>152.94999999999999</v>
      </c>
      <c r="O96" t="s">
        <v>33</v>
      </c>
      <c r="P96">
        <v>1</v>
      </c>
      <c r="Q96" t="str">
        <f t="shared" si="6"/>
        <v>November</v>
      </c>
      <c r="R96" t="str">
        <f t="shared" si="7"/>
        <v>Q4</v>
      </c>
      <c r="S96">
        <f t="shared" si="8"/>
        <v>2024</v>
      </c>
      <c r="T96">
        <f t="shared" si="9"/>
        <v>3358499.15</v>
      </c>
      <c r="U96">
        <f t="shared" si="10"/>
        <v>1094743.2799999996</v>
      </c>
      <c r="V96">
        <f t="shared" si="11"/>
        <v>2.0678417592113476</v>
      </c>
    </row>
    <row r="97" spans="1:22" x14ac:dyDescent="0.35">
      <c r="A97" t="s">
        <v>264</v>
      </c>
      <c r="B97" s="1">
        <v>45492</v>
      </c>
      <c r="C97" t="s">
        <v>265</v>
      </c>
      <c r="D97" t="s">
        <v>49</v>
      </c>
      <c r="E97" t="s">
        <v>38</v>
      </c>
      <c r="F97" t="s">
        <v>31</v>
      </c>
      <c r="G97" t="s">
        <v>22</v>
      </c>
      <c r="H97" t="s">
        <v>23</v>
      </c>
      <c r="I97">
        <v>10</v>
      </c>
      <c r="J97">
        <v>911.86</v>
      </c>
      <c r="K97">
        <v>0</v>
      </c>
      <c r="L97">
        <v>9118.6</v>
      </c>
      <c r="M97">
        <v>6627.81</v>
      </c>
      <c r="N97">
        <v>2490.79</v>
      </c>
      <c r="O97" t="s">
        <v>51</v>
      </c>
      <c r="P97">
        <v>3</v>
      </c>
      <c r="Q97" t="str">
        <f t="shared" si="6"/>
        <v>July</v>
      </c>
      <c r="R97" t="str">
        <f t="shared" si="7"/>
        <v>Q3</v>
      </c>
      <c r="S97">
        <f t="shared" si="8"/>
        <v>2024</v>
      </c>
      <c r="T97">
        <f t="shared" si="9"/>
        <v>3357586.4299999997</v>
      </c>
      <c r="U97">
        <f t="shared" si="10"/>
        <v>1094590.3299999998</v>
      </c>
      <c r="V97">
        <f t="shared" si="11"/>
        <v>2.0674365906375218</v>
      </c>
    </row>
    <row r="98" spans="1:22" x14ac:dyDescent="0.35">
      <c r="A98" t="s">
        <v>266</v>
      </c>
      <c r="B98" s="1">
        <v>45461</v>
      </c>
      <c r="C98" t="s">
        <v>267</v>
      </c>
      <c r="D98" t="s">
        <v>49</v>
      </c>
      <c r="E98" t="s">
        <v>30</v>
      </c>
      <c r="F98" t="s">
        <v>21</v>
      </c>
      <c r="G98" t="s">
        <v>43</v>
      </c>
      <c r="H98" t="s">
        <v>173</v>
      </c>
      <c r="I98">
        <v>8</v>
      </c>
      <c r="J98">
        <v>710.07</v>
      </c>
      <c r="K98">
        <v>0.1</v>
      </c>
      <c r="L98">
        <v>5112.5</v>
      </c>
      <c r="M98">
        <v>2918.91</v>
      </c>
      <c r="N98">
        <v>2193.59</v>
      </c>
      <c r="O98" t="s">
        <v>24</v>
      </c>
      <c r="P98">
        <v>4</v>
      </c>
      <c r="Q98" t="str">
        <f t="shared" si="6"/>
        <v>June</v>
      </c>
      <c r="R98" t="str">
        <f t="shared" si="7"/>
        <v>Q2</v>
      </c>
      <c r="S98">
        <f t="shared" si="8"/>
        <v>2024</v>
      </c>
      <c r="T98">
        <f t="shared" si="9"/>
        <v>3348467.83</v>
      </c>
      <c r="U98">
        <f t="shared" si="10"/>
        <v>1092099.5399999998</v>
      </c>
      <c r="V98">
        <f t="shared" si="11"/>
        <v>2.0660829964272307</v>
      </c>
    </row>
    <row r="99" spans="1:22" x14ac:dyDescent="0.35">
      <c r="A99" t="s">
        <v>268</v>
      </c>
      <c r="B99" s="1">
        <v>45325</v>
      </c>
      <c r="C99" t="s">
        <v>269</v>
      </c>
      <c r="D99" t="s">
        <v>37</v>
      </c>
      <c r="E99" t="s">
        <v>98</v>
      </c>
      <c r="F99" t="s">
        <v>21</v>
      </c>
      <c r="G99" t="s">
        <v>79</v>
      </c>
      <c r="H99" t="s">
        <v>103</v>
      </c>
      <c r="I99">
        <v>10</v>
      </c>
      <c r="J99">
        <v>446.88</v>
      </c>
      <c r="K99">
        <v>0.15</v>
      </c>
      <c r="L99">
        <v>3798.48</v>
      </c>
      <c r="M99">
        <v>2560.08</v>
      </c>
      <c r="N99">
        <v>1238.4000000000001</v>
      </c>
      <c r="O99" t="s">
        <v>33</v>
      </c>
      <c r="P99">
        <v>1</v>
      </c>
      <c r="Q99" t="str">
        <f t="shared" si="6"/>
        <v>February</v>
      </c>
      <c r="R99" t="str">
        <f t="shared" si="7"/>
        <v>Q1</v>
      </c>
      <c r="S99">
        <f t="shared" si="8"/>
        <v>2024</v>
      </c>
      <c r="T99">
        <f t="shared" si="9"/>
        <v>3343355.33</v>
      </c>
      <c r="U99">
        <f t="shared" si="10"/>
        <v>1089905.95</v>
      </c>
      <c r="V99">
        <f t="shared" si="11"/>
        <v>2.0675631507470897</v>
      </c>
    </row>
    <row r="100" spans="1:22" x14ac:dyDescent="0.35">
      <c r="A100" t="s">
        <v>270</v>
      </c>
      <c r="B100" s="1">
        <v>45304</v>
      </c>
      <c r="C100" t="s">
        <v>271</v>
      </c>
      <c r="D100" t="s">
        <v>37</v>
      </c>
      <c r="E100" t="s">
        <v>98</v>
      </c>
      <c r="F100" t="s">
        <v>31</v>
      </c>
      <c r="G100" t="s">
        <v>79</v>
      </c>
      <c r="H100" t="s">
        <v>80</v>
      </c>
      <c r="I100">
        <v>11</v>
      </c>
      <c r="J100">
        <v>596.69000000000005</v>
      </c>
      <c r="K100">
        <v>0.05</v>
      </c>
      <c r="L100">
        <v>6235.41</v>
      </c>
      <c r="M100">
        <v>3574.24</v>
      </c>
      <c r="N100">
        <v>2661.17</v>
      </c>
      <c r="O100" t="s">
        <v>51</v>
      </c>
      <c r="P100">
        <v>3</v>
      </c>
      <c r="Q100" t="str">
        <f t="shared" si="6"/>
        <v>January</v>
      </c>
      <c r="R100" t="str">
        <f t="shared" si="7"/>
        <v>Q1</v>
      </c>
      <c r="S100">
        <f t="shared" si="8"/>
        <v>2024</v>
      </c>
      <c r="T100">
        <f t="shared" si="9"/>
        <v>3339556.85</v>
      </c>
      <c r="U100">
        <f t="shared" si="10"/>
        <v>1088667.55</v>
      </c>
      <c r="V100">
        <f t="shared" si="11"/>
        <v>2.0675635091722904</v>
      </c>
    </row>
    <row r="101" spans="1:22" x14ac:dyDescent="0.35">
      <c r="A101" t="s">
        <v>272</v>
      </c>
      <c r="B101" s="1">
        <v>45389</v>
      </c>
      <c r="C101" t="s">
        <v>273</v>
      </c>
      <c r="D101" t="s">
        <v>29</v>
      </c>
      <c r="E101" t="s">
        <v>38</v>
      </c>
      <c r="F101" t="s">
        <v>21</v>
      </c>
      <c r="G101" t="s">
        <v>60</v>
      </c>
      <c r="H101" t="s">
        <v>119</v>
      </c>
      <c r="I101">
        <v>3</v>
      </c>
      <c r="J101">
        <v>1103.1600000000001</v>
      </c>
      <c r="K101">
        <v>0.15</v>
      </c>
      <c r="L101">
        <v>2813.06</v>
      </c>
      <c r="M101">
        <v>1779.22</v>
      </c>
      <c r="N101">
        <v>1033.8399999999999</v>
      </c>
      <c r="O101" t="s">
        <v>51</v>
      </c>
      <c r="P101">
        <v>2</v>
      </c>
      <c r="Q101" t="str">
        <f t="shared" si="6"/>
        <v>April</v>
      </c>
      <c r="R101" t="str">
        <f t="shared" si="7"/>
        <v>Q2</v>
      </c>
      <c r="S101">
        <f t="shared" si="8"/>
        <v>2024</v>
      </c>
      <c r="T101">
        <f t="shared" si="9"/>
        <v>3333321.44</v>
      </c>
      <c r="U101">
        <f t="shared" si="10"/>
        <v>1086006.3799999999</v>
      </c>
      <c r="V101">
        <f t="shared" si="11"/>
        <v>2.0693387270892463</v>
      </c>
    </row>
    <row r="102" spans="1:22" x14ac:dyDescent="0.35">
      <c r="A102" t="s">
        <v>274</v>
      </c>
      <c r="B102" s="1">
        <v>45495</v>
      </c>
      <c r="C102" t="s">
        <v>275</v>
      </c>
      <c r="D102" t="s">
        <v>66</v>
      </c>
      <c r="E102" t="s">
        <v>38</v>
      </c>
      <c r="F102" t="s">
        <v>21</v>
      </c>
      <c r="G102" t="s">
        <v>60</v>
      </c>
      <c r="H102" t="s">
        <v>110</v>
      </c>
      <c r="I102">
        <v>8</v>
      </c>
      <c r="J102">
        <v>416.16</v>
      </c>
      <c r="K102">
        <v>0.05</v>
      </c>
      <c r="L102">
        <v>3162.82</v>
      </c>
      <c r="M102">
        <v>2325.37</v>
      </c>
      <c r="N102">
        <v>837.45</v>
      </c>
      <c r="O102" t="s">
        <v>24</v>
      </c>
      <c r="P102">
        <v>4</v>
      </c>
      <c r="Q102" t="str">
        <f t="shared" si="6"/>
        <v>July</v>
      </c>
      <c r="R102" t="str">
        <f t="shared" si="7"/>
        <v>Q3</v>
      </c>
      <c r="S102">
        <f t="shared" si="8"/>
        <v>2024</v>
      </c>
      <c r="T102">
        <f t="shared" si="9"/>
        <v>3330508.38</v>
      </c>
      <c r="U102">
        <f t="shared" si="10"/>
        <v>1084972.54</v>
      </c>
      <c r="V102">
        <f t="shared" si="11"/>
        <v>2.0696706665036886</v>
      </c>
    </row>
    <row r="103" spans="1:22" x14ac:dyDescent="0.35">
      <c r="A103" t="s">
        <v>276</v>
      </c>
      <c r="B103" s="1">
        <v>45590</v>
      </c>
      <c r="C103" t="s">
        <v>277</v>
      </c>
      <c r="D103" t="s">
        <v>66</v>
      </c>
      <c r="E103" t="s">
        <v>38</v>
      </c>
      <c r="F103" t="s">
        <v>31</v>
      </c>
      <c r="G103" t="s">
        <v>60</v>
      </c>
      <c r="H103" t="s">
        <v>61</v>
      </c>
      <c r="I103">
        <v>7</v>
      </c>
      <c r="J103">
        <v>217.95</v>
      </c>
      <c r="K103">
        <v>0.05</v>
      </c>
      <c r="L103">
        <v>1449.37</v>
      </c>
      <c r="M103">
        <v>906.18</v>
      </c>
      <c r="N103">
        <v>543.19000000000005</v>
      </c>
      <c r="O103" t="s">
        <v>33</v>
      </c>
      <c r="P103">
        <v>3</v>
      </c>
      <c r="Q103" t="str">
        <f t="shared" si="6"/>
        <v>October</v>
      </c>
      <c r="R103" t="str">
        <f t="shared" si="7"/>
        <v>Q4</v>
      </c>
      <c r="S103">
        <f t="shared" si="8"/>
        <v>2024</v>
      </c>
      <c r="T103">
        <f t="shared" si="9"/>
        <v>3327345.56</v>
      </c>
      <c r="U103">
        <f t="shared" si="10"/>
        <v>1084135.0899999999</v>
      </c>
      <c r="V103">
        <f t="shared" si="11"/>
        <v>2.0691244944391576</v>
      </c>
    </row>
    <row r="104" spans="1:22" x14ac:dyDescent="0.35">
      <c r="A104" t="s">
        <v>278</v>
      </c>
      <c r="B104" s="1">
        <v>45647</v>
      </c>
      <c r="C104" t="s">
        <v>279</v>
      </c>
      <c r="D104" t="s">
        <v>29</v>
      </c>
      <c r="E104" t="s">
        <v>30</v>
      </c>
      <c r="F104" t="s">
        <v>31</v>
      </c>
      <c r="G104" t="s">
        <v>43</v>
      </c>
      <c r="H104" t="s">
        <v>50</v>
      </c>
      <c r="I104">
        <v>2</v>
      </c>
      <c r="J104">
        <v>31.95</v>
      </c>
      <c r="K104">
        <v>0</v>
      </c>
      <c r="L104">
        <v>63.9</v>
      </c>
      <c r="M104">
        <v>45.93</v>
      </c>
      <c r="N104">
        <v>17.97</v>
      </c>
      <c r="O104" t="s">
        <v>51</v>
      </c>
      <c r="P104">
        <v>1</v>
      </c>
      <c r="Q104" t="str">
        <f t="shared" si="6"/>
        <v>December</v>
      </c>
      <c r="R104" t="str">
        <f t="shared" si="7"/>
        <v>Q4</v>
      </c>
      <c r="S104">
        <f t="shared" si="8"/>
        <v>2024</v>
      </c>
      <c r="T104">
        <f t="shared" si="9"/>
        <v>3325896.19</v>
      </c>
      <c r="U104">
        <f t="shared" si="10"/>
        <v>1083591.8999999999</v>
      </c>
      <c r="V104">
        <f t="shared" si="11"/>
        <v>2.0693254443854743</v>
      </c>
    </row>
    <row r="105" spans="1:22" x14ac:dyDescent="0.35">
      <c r="A105" t="s">
        <v>280</v>
      </c>
      <c r="B105" s="1">
        <v>45418</v>
      </c>
      <c r="C105" t="s">
        <v>281</v>
      </c>
      <c r="D105" t="s">
        <v>19</v>
      </c>
      <c r="E105" t="s">
        <v>38</v>
      </c>
      <c r="F105" t="s">
        <v>31</v>
      </c>
      <c r="G105" t="s">
        <v>60</v>
      </c>
      <c r="H105" t="s">
        <v>119</v>
      </c>
      <c r="I105">
        <v>11</v>
      </c>
      <c r="J105">
        <v>236.56</v>
      </c>
      <c r="K105">
        <v>0.1</v>
      </c>
      <c r="L105">
        <v>2341.94</v>
      </c>
      <c r="M105">
        <v>1369.37</v>
      </c>
      <c r="N105">
        <v>972.57</v>
      </c>
      <c r="O105" t="s">
        <v>62</v>
      </c>
      <c r="P105">
        <v>5</v>
      </c>
      <c r="Q105" t="str">
        <f t="shared" si="6"/>
        <v>May</v>
      </c>
      <c r="R105" t="str">
        <f t="shared" si="7"/>
        <v>Q2</v>
      </c>
      <c r="S105">
        <f t="shared" si="8"/>
        <v>2024</v>
      </c>
      <c r="T105">
        <f t="shared" si="9"/>
        <v>3325832.29</v>
      </c>
      <c r="U105">
        <f t="shared" si="10"/>
        <v>1083573.93</v>
      </c>
      <c r="V105">
        <f t="shared" si="11"/>
        <v>2.0693173745883682</v>
      </c>
    </row>
    <row r="106" spans="1:22" x14ac:dyDescent="0.35">
      <c r="A106" t="s">
        <v>282</v>
      </c>
      <c r="B106" s="1">
        <v>45546</v>
      </c>
      <c r="C106" t="s">
        <v>283</v>
      </c>
      <c r="D106" t="s">
        <v>19</v>
      </c>
      <c r="E106" t="s">
        <v>20</v>
      </c>
      <c r="F106" t="s">
        <v>21</v>
      </c>
      <c r="G106" t="s">
        <v>60</v>
      </c>
      <c r="H106" t="s">
        <v>119</v>
      </c>
      <c r="I106">
        <v>6</v>
      </c>
      <c r="J106">
        <v>667.66</v>
      </c>
      <c r="K106">
        <v>0.05</v>
      </c>
      <c r="L106">
        <v>3805.66</v>
      </c>
      <c r="M106">
        <v>2882.5</v>
      </c>
      <c r="N106">
        <v>923.16</v>
      </c>
      <c r="O106" t="s">
        <v>51</v>
      </c>
      <c r="P106">
        <v>1</v>
      </c>
      <c r="Q106" t="str">
        <f t="shared" si="6"/>
        <v>September</v>
      </c>
      <c r="R106" t="str">
        <f t="shared" si="7"/>
        <v>Q3</v>
      </c>
      <c r="S106">
        <f t="shared" si="8"/>
        <v>2024</v>
      </c>
      <c r="T106">
        <f t="shared" si="9"/>
        <v>3323490.35</v>
      </c>
      <c r="U106">
        <f t="shared" si="10"/>
        <v>1082601.3599999999</v>
      </c>
      <c r="V106">
        <f t="shared" si="11"/>
        <v>2.0699114861632912</v>
      </c>
    </row>
    <row r="107" spans="1:22" x14ac:dyDescent="0.35">
      <c r="A107" t="s">
        <v>284</v>
      </c>
      <c r="B107" s="1">
        <v>45630</v>
      </c>
      <c r="C107" t="s">
        <v>285</v>
      </c>
      <c r="D107" t="s">
        <v>29</v>
      </c>
      <c r="E107" t="s">
        <v>98</v>
      </c>
      <c r="F107" t="s">
        <v>39</v>
      </c>
      <c r="G107" t="s">
        <v>43</v>
      </c>
      <c r="H107" t="s">
        <v>173</v>
      </c>
      <c r="I107">
        <v>8</v>
      </c>
      <c r="J107">
        <v>85.63</v>
      </c>
      <c r="K107">
        <v>0.1</v>
      </c>
      <c r="L107">
        <v>616.54</v>
      </c>
      <c r="M107">
        <v>491.12</v>
      </c>
      <c r="N107">
        <v>125.42</v>
      </c>
      <c r="O107" t="s">
        <v>51</v>
      </c>
      <c r="P107">
        <v>5</v>
      </c>
      <c r="Q107" t="str">
        <f t="shared" si="6"/>
        <v>December</v>
      </c>
      <c r="R107" t="str">
        <f t="shared" si="7"/>
        <v>Q4</v>
      </c>
      <c r="S107">
        <f t="shared" si="8"/>
        <v>2024</v>
      </c>
      <c r="T107">
        <f t="shared" si="9"/>
        <v>3319684.6899999995</v>
      </c>
      <c r="U107">
        <f t="shared" si="10"/>
        <v>1081678.2</v>
      </c>
      <c r="V107">
        <f t="shared" si="11"/>
        <v>2.0690132148359832</v>
      </c>
    </row>
    <row r="108" spans="1:22" x14ac:dyDescent="0.35">
      <c r="A108" t="s">
        <v>286</v>
      </c>
      <c r="B108" s="1">
        <v>45428</v>
      </c>
      <c r="C108" t="s">
        <v>287</v>
      </c>
      <c r="D108" t="s">
        <v>66</v>
      </c>
      <c r="E108" t="s">
        <v>85</v>
      </c>
      <c r="F108" t="s">
        <v>31</v>
      </c>
      <c r="G108" t="s">
        <v>60</v>
      </c>
      <c r="H108" t="s">
        <v>110</v>
      </c>
      <c r="I108">
        <v>4</v>
      </c>
      <c r="J108">
        <v>301.85000000000002</v>
      </c>
      <c r="K108">
        <v>0</v>
      </c>
      <c r="L108">
        <v>1207.4000000000001</v>
      </c>
      <c r="M108">
        <v>971.68</v>
      </c>
      <c r="N108">
        <v>235.72</v>
      </c>
      <c r="O108" t="s">
        <v>51</v>
      </c>
      <c r="P108">
        <v>2</v>
      </c>
      <c r="Q108" t="str">
        <f t="shared" si="6"/>
        <v>May</v>
      </c>
      <c r="R108" t="str">
        <f t="shared" si="7"/>
        <v>Q2</v>
      </c>
      <c r="S108">
        <f t="shared" si="8"/>
        <v>2024</v>
      </c>
      <c r="T108">
        <f t="shared" si="9"/>
        <v>3319068.1499999994</v>
      </c>
      <c r="U108">
        <f t="shared" si="10"/>
        <v>1081552.78</v>
      </c>
      <c r="V108">
        <f t="shared" si="11"/>
        <v>2.0687990557427991</v>
      </c>
    </row>
    <row r="109" spans="1:22" x14ac:dyDescent="0.35">
      <c r="A109" t="s">
        <v>288</v>
      </c>
      <c r="B109" s="1">
        <v>45451</v>
      </c>
      <c r="C109" t="s">
        <v>289</v>
      </c>
      <c r="D109" t="s">
        <v>29</v>
      </c>
      <c r="E109" t="s">
        <v>38</v>
      </c>
      <c r="F109" t="s">
        <v>21</v>
      </c>
      <c r="G109" t="s">
        <v>22</v>
      </c>
      <c r="H109" t="s">
        <v>23</v>
      </c>
      <c r="I109">
        <v>6</v>
      </c>
      <c r="J109">
        <v>1101.74</v>
      </c>
      <c r="K109">
        <v>0</v>
      </c>
      <c r="L109">
        <v>6610.44</v>
      </c>
      <c r="M109">
        <v>3858.32</v>
      </c>
      <c r="N109">
        <v>2752.12</v>
      </c>
      <c r="O109" t="s">
        <v>24</v>
      </c>
      <c r="P109">
        <v>1</v>
      </c>
      <c r="Q109" t="str">
        <f t="shared" si="6"/>
        <v>June</v>
      </c>
      <c r="R109" t="str">
        <f t="shared" si="7"/>
        <v>Q2</v>
      </c>
      <c r="S109">
        <f t="shared" si="8"/>
        <v>2024</v>
      </c>
      <c r="T109">
        <f t="shared" si="9"/>
        <v>3317860.7499999995</v>
      </c>
      <c r="U109">
        <f t="shared" si="10"/>
        <v>1081317.0599999998</v>
      </c>
      <c r="V109">
        <f t="shared" si="11"/>
        <v>2.0683514324651457</v>
      </c>
    </row>
    <row r="110" spans="1:22" x14ac:dyDescent="0.35">
      <c r="A110" t="s">
        <v>290</v>
      </c>
      <c r="B110" s="1">
        <v>45399</v>
      </c>
      <c r="C110" t="s">
        <v>291</v>
      </c>
      <c r="D110" t="s">
        <v>66</v>
      </c>
      <c r="E110" t="s">
        <v>30</v>
      </c>
      <c r="F110" t="s">
        <v>39</v>
      </c>
      <c r="G110" t="s">
        <v>43</v>
      </c>
      <c r="H110" t="s">
        <v>173</v>
      </c>
      <c r="I110">
        <v>6</v>
      </c>
      <c r="J110">
        <v>1022.72</v>
      </c>
      <c r="K110">
        <v>0.15</v>
      </c>
      <c r="L110">
        <v>5215.87</v>
      </c>
      <c r="M110">
        <v>4178.28</v>
      </c>
      <c r="N110">
        <v>1037.5899999999999</v>
      </c>
      <c r="O110" t="s">
        <v>62</v>
      </c>
      <c r="P110">
        <v>1</v>
      </c>
      <c r="Q110" t="str">
        <f t="shared" si="6"/>
        <v>April</v>
      </c>
      <c r="R110" t="str">
        <f t="shared" si="7"/>
        <v>Q2</v>
      </c>
      <c r="S110">
        <f t="shared" si="8"/>
        <v>2024</v>
      </c>
      <c r="T110">
        <f t="shared" si="9"/>
        <v>3311250.31</v>
      </c>
      <c r="U110">
        <f t="shared" si="10"/>
        <v>1078564.94</v>
      </c>
      <c r="V110">
        <f t="shared" si="11"/>
        <v>2.0700518691067411</v>
      </c>
    </row>
    <row r="111" spans="1:22" x14ac:dyDescent="0.35">
      <c r="A111" t="s">
        <v>292</v>
      </c>
      <c r="B111" s="1">
        <v>45650</v>
      </c>
      <c r="C111" t="s">
        <v>293</v>
      </c>
      <c r="D111" t="s">
        <v>66</v>
      </c>
      <c r="E111" t="s">
        <v>38</v>
      </c>
      <c r="F111" t="s">
        <v>21</v>
      </c>
      <c r="G111" t="s">
        <v>22</v>
      </c>
      <c r="H111" t="s">
        <v>74</v>
      </c>
      <c r="I111">
        <v>2</v>
      </c>
      <c r="J111">
        <v>1081.27</v>
      </c>
      <c r="K111">
        <v>0.15</v>
      </c>
      <c r="L111">
        <v>1838.16</v>
      </c>
      <c r="M111">
        <v>1045.79</v>
      </c>
      <c r="N111">
        <v>792.37</v>
      </c>
      <c r="O111" t="s">
        <v>51</v>
      </c>
      <c r="P111">
        <v>3</v>
      </c>
      <c r="Q111" t="str">
        <f t="shared" si="6"/>
        <v>December</v>
      </c>
      <c r="R111" t="str">
        <f t="shared" si="7"/>
        <v>Q4</v>
      </c>
      <c r="S111">
        <f t="shared" si="8"/>
        <v>2024</v>
      </c>
      <c r="T111">
        <f t="shared" si="9"/>
        <v>3306034.4399999995</v>
      </c>
      <c r="U111">
        <f t="shared" si="10"/>
        <v>1077527.3499999999</v>
      </c>
      <c r="V111">
        <f t="shared" si="11"/>
        <v>2.0681675411765652</v>
      </c>
    </row>
    <row r="112" spans="1:22" x14ac:dyDescent="0.35">
      <c r="A112" t="s">
        <v>294</v>
      </c>
      <c r="B112" s="1">
        <v>45588</v>
      </c>
      <c r="C112" t="s">
        <v>295</v>
      </c>
      <c r="D112" t="s">
        <v>49</v>
      </c>
      <c r="E112" t="s">
        <v>85</v>
      </c>
      <c r="F112" t="s">
        <v>31</v>
      </c>
      <c r="G112" t="s">
        <v>60</v>
      </c>
      <c r="H112" t="s">
        <v>110</v>
      </c>
      <c r="I112">
        <v>12</v>
      </c>
      <c r="J112">
        <v>1030.02</v>
      </c>
      <c r="K112">
        <v>0.05</v>
      </c>
      <c r="L112">
        <v>11742.23</v>
      </c>
      <c r="M112">
        <v>8431.7000000000007</v>
      </c>
      <c r="N112">
        <v>3310.53</v>
      </c>
      <c r="O112" t="s">
        <v>33</v>
      </c>
      <c r="P112">
        <v>1</v>
      </c>
      <c r="Q112" t="str">
        <f t="shared" si="6"/>
        <v>October</v>
      </c>
      <c r="R112" t="str">
        <f t="shared" si="7"/>
        <v>Q4</v>
      </c>
      <c r="S112">
        <f t="shared" si="8"/>
        <v>2024</v>
      </c>
      <c r="T112">
        <f t="shared" si="9"/>
        <v>3304196.2799999989</v>
      </c>
      <c r="U112">
        <f t="shared" si="10"/>
        <v>1076734.9799999997</v>
      </c>
      <c r="V112">
        <f t="shared" si="11"/>
        <v>2.0687182467128533</v>
      </c>
    </row>
    <row r="113" spans="1:22" x14ac:dyDescent="0.35">
      <c r="A113" t="s">
        <v>296</v>
      </c>
      <c r="B113" s="1">
        <v>45633</v>
      </c>
      <c r="C113" t="s">
        <v>297</v>
      </c>
      <c r="D113" t="s">
        <v>19</v>
      </c>
      <c r="E113" t="s">
        <v>85</v>
      </c>
      <c r="F113" t="s">
        <v>31</v>
      </c>
      <c r="G113" t="s">
        <v>22</v>
      </c>
      <c r="H113" t="s">
        <v>23</v>
      </c>
      <c r="I113">
        <v>9</v>
      </c>
      <c r="J113">
        <v>101.9</v>
      </c>
      <c r="K113">
        <v>0.15</v>
      </c>
      <c r="L113">
        <v>779.53</v>
      </c>
      <c r="M113">
        <v>571.4</v>
      </c>
      <c r="N113">
        <v>208.13</v>
      </c>
      <c r="O113" t="s">
        <v>51</v>
      </c>
      <c r="P113">
        <v>4</v>
      </c>
      <c r="Q113" t="str">
        <f t="shared" si="6"/>
        <v>December</v>
      </c>
      <c r="R113" t="str">
        <f t="shared" si="7"/>
        <v>Q4</v>
      </c>
      <c r="S113">
        <f t="shared" si="8"/>
        <v>2024</v>
      </c>
      <c r="T113">
        <f t="shared" si="9"/>
        <v>3292454.0499999989</v>
      </c>
      <c r="U113">
        <f t="shared" si="10"/>
        <v>1073424.4499999997</v>
      </c>
      <c r="V113">
        <f t="shared" si="11"/>
        <v>2.0672433909997112</v>
      </c>
    </row>
    <row r="114" spans="1:22" x14ac:dyDescent="0.35">
      <c r="A114" t="s">
        <v>298</v>
      </c>
      <c r="B114" s="1">
        <v>45579</v>
      </c>
      <c r="C114" t="s">
        <v>299</v>
      </c>
      <c r="D114" t="s">
        <v>49</v>
      </c>
      <c r="E114" t="s">
        <v>30</v>
      </c>
      <c r="F114" t="s">
        <v>21</v>
      </c>
      <c r="G114" t="s">
        <v>60</v>
      </c>
      <c r="H114" t="s">
        <v>61</v>
      </c>
      <c r="I114">
        <v>9</v>
      </c>
      <c r="J114">
        <v>1108.27</v>
      </c>
      <c r="K114">
        <v>0.1</v>
      </c>
      <c r="L114">
        <v>8976.99</v>
      </c>
      <c r="M114">
        <v>6163.86</v>
      </c>
      <c r="N114">
        <v>2813.13</v>
      </c>
      <c r="O114" t="s">
        <v>24</v>
      </c>
      <c r="P114">
        <v>2</v>
      </c>
      <c r="Q114" t="str">
        <f t="shared" si="6"/>
        <v>October</v>
      </c>
      <c r="R114" t="str">
        <f t="shared" si="7"/>
        <v>Q4</v>
      </c>
      <c r="S114">
        <f t="shared" si="8"/>
        <v>2024</v>
      </c>
      <c r="T114">
        <f t="shared" si="9"/>
        <v>3291674.5199999991</v>
      </c>
      <c r="U114">
        <f t="shared" si="10"/>
        <v>1073216.3199999998</v>
      </c>
      <c r="V114">
        <f t="shared" si="11"/>
        <v>2.0671118754511668</v>
      </c>
    </row>
    <row r="115" spans="1:22" x14ac:dyDescent="0.35">
      <c r="A115" t="s">
        <v>300</v>
      </c>
      <c r="B115" s="1">
        <v>45419</v>
      </c>
      <c r="C115" t="s">
        <v>301</v>
      </c>
      <c r="D115" t="s">
        <v>19</v>
      </c>
      <c r="E115" t="s">
        <v>30</v>
      </c>
      <c r="F115" t="s">
        <v>31</v>
      </c>
      <c r="G115" t="s">
        <v>60</v>
      </c>
      <c r="H115" t="s">
        <v>110</v>
      </c>
      <c r="I115">
        <v>11</v>
      </c>
      <c r="J115">
        <v>551.15</v>
      </c>
      <c r="K115">
        <v>0</v>
      </c>
      <c r="L115">
        <v>6062.65</v>
      </c>
      <c r="M115">
        <v>3229.86</v>
      </c>
      <c r="N115">
        <v>2832.79</v>
      </c>
      <c r="O115" t="s">
        <v>33</v>
      </c>
      <c r="P115">
        <v>3</v>
      </c>
      <c r="Q115" t="str">
        <f t="shared" si="6"/>
        <v>May</v>
      </c>
      <c r="R115" t="str">
        <f t="shared" si="7"/>
        <v>Q2</v>
      </c>
      <c r="S115">
        <f t="shared" si="8"/>
        <v>2024</v>
      </c>
      <c r="T115">
        <f t="shared" si="9"/>
        <v>3282697.5299999993</v>
      </c>
      <c r="U115">
        <f t="shared" si="10"/>
        <v>1070403.1899999997</v>
      </c>
      <c r="V115">
        <f t="shared" si="11"/>
        <v>2.0667860117270394</v>
      </c>
    </row>
    <row r="116" spans="1:22" x14ac:dyDescent="0.35">
      <c r="A116" t="s">
        <v>302</v>
      </c>
      <c r="B116" s="1">
        <v>45573</v>
      </c>
      <c r="C116" t="s">
        <v>303</v>
      </c>
      <c r="D116" t="s">
        <v>66</v>
      </c>
      <c r="E116" t="s">
        <v>20</v>
      </c>
      <c r="F116" t="s">
        <v>21</v>
      </c>
      <c r="G116" t="s">
        <v>79</v>
      </c>
      <c r="H116" t="s">
        <v>103</v>
      </c>
      <c r="I116">
        <v>9</v>
      </c>
      <c r="J116">
        <v>849.04</v>
      </c>
      <c r="K116">
        <v>0.1</v>
      </c>
      <c r="L116">
        <v>6877.22</v>
      </c>
      <c r="M116">
        <v>5048.58</v>
      </c>
      <c r="N116">
        <v>1828.64</v>
      </c>
      <c r="O116" t="s">
        <v>62</v>
      </c>
      <c r="P116">
        <v>5</v>
      </c>
      <c r="Q116" t="str">
        <f t="shared" si="6"/>
        <v>October</v>
      </c>
      <c r="R116" t="str">
        <f t="shared" si="7"/>
        <v>Q4</v>
      </c>
      <c r="S116">
        <f t="shared" si="8"/>
        <v>2024</v>
      </c>
      <c r="T116">
        <f t="shared" si="9"/>
        <v>3276634.8799999994</v>
      </c>
      <c r="U116">
        <f t="shared" si="10"/>
        <v>1067570.3999999997</v>
      </c>
      <c r="V116">
        <f t="shared" si="11"/>
        <v>2.069244782358147</v>
      </c>
    </row>
    <row r="117" spans="1:22" x14ac:dyDescent="0.35">
      <c r="A117" t="s">
        <v>304</v>
      </c>
      <c r="B117" s="1">
        <v>45363</v>
      </c>
      <c r="C117" t="s">
        <v>305</v>
      </c>
      <c r="D117" t="s">
        <v>19</v>
      </c>
      <c r="E117" t="s">
        <v>38</v>
      </c>
      <c r="F117" t="s">
        <v>39</v>
      </c>
      <c r="G117" t="s">
        <v>22</v>
      </c>
      <c r="H117" t="s">
        <v>124</v>
      </c>
      <c r="I117">
        <v>11</v>
      </c>
      <c r="J117">
        <v>161.6</v>
      </c>
      <c r="K117">
        <v>0.15</v>
      </c>
      <c r="L117">
        <v>1510.96</v>
      </c>
      <c r="M117">
        <v>1224.06</v>
      </c>
      <c r="N117">
        <v>286.89999999999998</v>
      </c>
      <c r="O117" t="s">
        <v>51</v>
      </c>
      <c r="P117">
        <v>2</v>
      </c>
      <c r="Q117" t="str">
        <f t="shared" si="6"/>
        <v>March</v>
      </c>
      <c r="R117" t="str">
        <f t="shared" si="7"/>
        <v>Q1</v>
      </c>
      <c r="S117">
        <f t="shared" si="8"/>
        <v>2024</v>
      </c>
      <c r="T117">
        <f t="shared" si="9"/>
        <v>3269757.6599999992</v>
      </c>
      <c r="U117">
        <f t="shared" si="10"/>
        <v>1065741.7599999998</v>
      </c>
      <c r="V117">
        <f t="shared" si="11"/>
        <v>2.0680581194453711</v>
      </c>
    </row>
    <row r="118" spans="1:22" x14ac:dyDescent="0.35">
      <c r="A118" t="s">
        <v>306</v>
      </c>
      <c r="B118" s="1">
        <v>45453</v>
      </c>
      <c r="C118" t="s">
        <v>307</v>
      </c>
      <c r="D118" t="s">
        <v>19</v>
      </c>
      <c r="E118" t="s">
        <v>85</v>
      </c>
      <c r="F118" t="s">
        <v>31</v>
      </c>
      <c r="G118" t="s">
        <v>22</v>
      </c>
      <c r="H118" t="s">
        <v>74</v>
      </c>
      <c r="I118">
        <v>10</v>
      </c>
      <c r="J118">
        <v>1155.72</v>
      </c>
      <c r="K118">
        <v>0.1</v>
      </c>
      <c r="L118">
        <v>10401.48</v>
      </c>
      <c r="M118">
        <v>6430.75</v>
      </c>
      <c r="N118">
        <v>3970.73</v>
      </c>
      <c r="O118" t="s">
        <v>51</v>
      </c>
      <c r="P118">
        <v>5</v>
      </c>
      <c r="Q118" t="str">
        <f t="shared" si="6"/>
        <v>June</v>
      </c>
      <c r="R118" t="str">
        <f t="shared" si="7"/>
        <v>Q2</v>
      </c>
      <c r="S118">
        <f t="shared" si="8"/>
        <v>2024</v>
      </c>
      <c r="T118">
        <f t="shared" si="9"/>
        <v>3268246.6999999993</v>
      </c>
      <c r="U118">
        <f t="shared" si="10"/>
        <v>1065454.8599999999</v>
      </c>
      <c r="V118">
        <f t="shared" si="11"/>
        <v>2.0674661336661413</v>
      </c>
    </row>
    <row r="119" spans="1:22" x14ac:dyDescent="0.35">
      <c r="A119" t="s">
        <v>308</v>
      </c>
      <c r="B119" s="1">
        <v>45406</v>
      </c>
      <c r="C119" t="s">
        <v>309</v>
      </c>
      <c r="D119" t="s">
        <v>49</v>
      </c>
      <c r="E119" t="s">
        <v>30</v>
      </c>
      <c r="F119" t="s">
        <v>21</v>
      </c>
      <c r="G119" t="s">
        <v>22</v>
      </c>
      <c r="H119" t="s">
        <v>124</v>
      </c>
      <c r="I119">
        <v>6</v>
      </c>
      <c r="J119">
        <v>516.13</v>
      </c>
      <c r="K119">
        <v>0</v>
      </c>
      <c r="L119">
        <v>3096.78</v>
      </c>
      <c r="M119">
        <v>1832.29</v>
      </c>
      <c r="N119">
        <v>1264.49</v>
      </c>
      <c r="O119" t="s">
        <v>51</v>
      </c>
      <c r="P119">
        <v>4</v>
      </c>
      <c r="Q119" t="str">
        <f t="shared" si="6"/>
        <v>April</v>
      </c>
      <c r="R119" t="str">
        <f t="shared" si="7"/>
        <v>Q2</v>
      </c>
      <c r="S119">
        <f t="shared" si="8"/>
        <v>2024</v>
      </c>
      <c r="T119">
        <f t="shared" si="9"/>
        <v>3257845.2199999997</v>
      </c>
      <c r="U119">
        <f t="shared" si="10"/>
        <v>1061484.1299999994</v>
      </c>
      <c r="V119">
        <f t="shared" si="11"/>
        <v>2.0691417119914939</v>
      </c>
    </row>
    <row r="120" spans="1:22" x14ac:dyDescent="0.35">
      <c r="A120" t="s">
        <v>310</v>
      </c>
      <c r="B120" s="1">
        <v>45642</v>
      </c>
      <c r="C120" t="s">
        <v>311</v>
      </c>
      <c r="D120" t="s">
        <v>49</v>
      </c>
      <c r="E120" t="s">
        <v>98</v>
      </c>
      <c r="F120" t="s">
        <v>39</v>
      </c>
      <c r="G120" t="s">
        <v>22</v>
      </c>
      <c r="H120" t="s">
        <v>32</v>
      </c>
      <c r="I120">
        <v>4</v>
      </c>
      <c r="J120">
        <v>1048.02</v>
      </c>
      <c r="K120">
        <v>0.05</v>
      </c>
      <c r="L120">
        <v>3982.48</v>
      </c>
      <c r="M120">
        <v>2705.23</v>
      </c>
      <c r="N120">
        <v>1277.25</v>
      </c>
      <c r="O120" t="s">
        <v>51</v>
      </c>
      <c r="P120">
        <v>3</v>
      </c>
      <c r="Q120" t="str">
        <f t="shared" si="6"/>
        <v>December</v>
      </c>
      <c r="R120" t="str">
        <f t="shared" si="7"/>
        <v>Q4</v>
      </c>
      <c r="S120">
        <f t="shared" si="8"/>
        <v>2024</v>
      </c>
      <c r="T120">
        <f t="shared" si="9"/>
        <v>3254748.4399999995</v>
      </c>
      <c r="U120">
        <f t="shared" si="10"/>
        <v>1060219.6399999994</v>
      </c>
      <c r="V120">
        <f t="shared" si="11"/>
        <v>2.0698812936534554</v>
      </c>
    </row>
    <row r="121" spans="1:22" x14ac:dyDescent="0.35">
      <c r="A121" t="s">
        <v>312</v>
      </c>
      <c r="B121" s="1">
        <v>45521</v>
      </c>
      <c r="C121" t="s">
        <v>313</v>
      </c>
      <c r="D121" t="s">
        <v>37</v>
      </c>
      <c r="E121" t="s">
        <v>38</v>
      </c>
      <c r="F121" t="s">
        <v>39</v>
      </c>
      <c r="G121" t="s">
        <v>22</v>
      </c>
      <c r="H121" t="s">
        <v>124</v>
      </c>
      <c r="I121">
        <v>6</v>
      </c>
      <c r="J121">
        <v>988.31</v>
      </c>
      <c r="K121">
        <v>0.15</v>
      </c>
      <c r="L121">
        <v>5040.38</v>
      </c>
      <c r="M121">
        <v>4197.9399999999996</v>
      </c>
      <c r="N121">
        <v>842.44</v>
      </c>
      <c r="O121" t="s">
        <v>62</v>
      </c>
      <c r="P121">
        <v>2</v>
      </c>
      <c r="Q121" t="str">
        <f t="shared" si="6"/>
        <v>August</v>
      </c>
      <c r="R121" t="str">
        <f t="shared" si="7"/>
        <v>Q3</v>
      </c>
      <c r="S121">
        <f t="shared" si="8"/>
        <v>2024</v>
      </c>
      <c r="T121">
        <f t="shared" si="9"/>
        <v>3250765.9599999995</v>
      </c>
      <c r="U121">
        <f t="shared" si="10"/>
        <v>1058942.3899999994</v>
      </c>
      <c r="V121">
        <f t="shared" si="11"/>
        <v>2.0698232412813331</v>
      </c>
    </row>
    <row r="122" spans="1:22" x14ac:dyDescent="0.35">
      <c r="A122" t="s">
        <v>314</v>
      </c>
      <c r="B122" s="1">
        <v>45320</v>
      </c>
      <c r="C122" t="s">
        <v>315</v>
      </c>
      <c r="D122" t="s">
        <v>37</v>
      </c>
      <c r="E122" t="s">
        <v>30</v>
      </c>
      <c r="F122" t="s">
        <v>31</v>
      </c>
      <c r="G122" t="s">
        <v>43</v>
      </c>
      <c r="H122" t="s">
        <v>44</v>
      </c>
      <c r="I122">
        <v>3</v>
      </c>
      <c r="J122">
        <v>978.46</v>
      </c>
      <c r="K122">
        <v>0.1</v>
      </c>
      <c r="L122">
        <v>2641.84</v>
      </c>
      <c r="M122">
        <v>1597.77</v>
      </c>
      <c r="N122">
        <v>1044.07</v>
      </c>
      <c r="O122" t="s">
        <v>62</v>
      </c>
      <c r="P122">
        <v>1</v>
      </c>
      <c r="Q122" t="str">
        <f t="shared" si="6"/>
        <v>January</v>
      </c>
      <c r="R122" t="str">
        <f t="shared" si="7"/>
        <v>Q1</v>
      </c>
      <c r="S122">
        <f t="shared" si="8"/>
        <v>2024</v>
      </c>
      <c r="T122">
        <f t="shared" si="9"/>
        <v>3245725.5799999996</v>
      </c>
      <c r="U122">
        <f t="shared" si="10"/>
        <v>1058099.9499999995</v>
      </c>
      <c r="V122">
        <f t="shared" si="11"/>
        <v>2.0675037646490777</v>
      </c>
    </row>
    <row r="123" spans="1:22" x14ac:dyDescent="0.35">
      <c r="A123" t="s">
        <v>316</v>
      </c>
      <c r="B123" s="1">
        <v>45633</v>
      </c>
      <c r="C123" t="s">
        <v>317</v>
      </c>
      <c r="D123" t="s">
        <v>66</v>
      </c>
      <c r="E123" t="s">
        <v>38</v>
      </c>
      <c r="F123" t="s">
        <v>31</v>
      </c>
      <c r="G123" t="s">
        <v>79</v>
      </c>
      <c r="H123" t="s">
        <v>80</v>
      </c>
      <c r="I123">
        <v>3</v>
      </c>
      <c r="J123">
        <v>1051.57</v>
      </c>
      <c r="K123">
        <v>0.15</v>
      </c>
      <c r="L123">
        <v>2681.5</v>
      </c>
      <c r="M123">
        <v>2178.94</v>
      </c>
      <c r="N123">
        <v>502.56</v>
      </c>
      <c r="O123" t="s">
        <v>33</v>
      </c>
      <c r="P123">
        <v>2</v>
      </c>
      <c r="Q123" t="str">
        <f t="shared" si="6"/>
        <v>December</v>
      </c>
      <c r="R123" t="str">
        <f t="shared" si="7"/>
        <v>Q4</v>
      </c>
      <c r="S123">
        <f t="shared" si="8"/>
        <v>2024</v>
      </c>
      <c r="T123">
        <f t="shared" si="9"/>
        <v>3243083.7399999998</v>
      </c>
      <c r="U123">
        <f t="shared" si="10"/>
        <v>1057055.8799999994</v>
      </c>
      <c r="V123">
        <f t="shared" si="11"/>
        <v>2.0680343408146045</v>
      </c>
    </row>
    <row r="124" spans="1:22" x14ac:dyDescent="0.35">
      <c r="A124" t="s">
        <v>318</v>
      </c>
      <c r="B124" s="1">
        <v>45338</v>
      </c>
      <c r="C124" t="s">
        <v>319</v>
      </c>
      <c r="D124" t="s">
        <v>37</v>
      </c>
      <c r="E124" t="s">
        <v>30</v>
      </c>
      <c r="F124" t="s">
        <v>39</v>
      </c>
      <c r="G124" t="s">
        <v>22</v>
      </c>
      <c r="H124" t="s">
        <v>32</v>
      </c>
      <c r="I124">
        <v>2</v>
      </c>
      <c r="J124">
        <v>182.86</v>
      </c>
      <c r="K124">
        <v>0</v>
      </c>
      <c r="L124">
        <v>365.72</v>
      </c>
      <c r="M124">
        <v>190.44</v>
      </c>
      <c r="N124">
        <v>175.28</v>
      </c>
      <c r="O124" t="s">
        <v>24</v>
      </c>
      <c r="P124">
        <v>2</v>
      </c>
      <c r="Q124" t="str">
        <f t="shared" si="6"/>
        <v>February</v>
      </c>
      <c r="R124" t="str">
        <f t="shared" si="7"/>
        <v>Q1</v>
      </c>
      <c r="S124">
        <f t="shared" si="8"/>
        <v>2024</v>
      </c>
      <c r="T124">
        <f t="shared" si="9"/>
        <v>3240402.2399999998</v>
      </c>
      <c r="U124">
        <f t="shared" si="10"/>
        <v>1056553.3199999996</v>
      </c>
      <c r="V124">
        <f t="shared" si="11"/>
        <v>2.0669557121830828</v>
      </c>
    </row>
    <row r="125" spans="1:22" x14ac:dyDescent="0.35">
      <c r="A125" t="s">
        <v>320</v>
      </c>
      <c r="B125" s="1">
        <v>45617</v>
      </c>
      <c r="C125" t="s">
        <v>321</v>
      </c>
      <c r="D125" t="s">
        <v>19</v>
      </c>
      <c r="E125" t="s">
        <v>20</v>
      </c>
      <c r="F125" t="s">
        <v>21</v>
      </c>
      <c r="G125" t="s">
        <v>43</v>
      </c>
      <c r="H125" t="s">
        <v>44</v>
      </c>
      <c r="I125">
        <v>2</v>
      </c>
      <c r="J125">
        <v>39.479999999999997</v>
      </c>
      <c r="K125">
        <v>0.1</v>
      </c>
      <c r="L125">
        <v>71.06</v>
      </c>
      <c r="M125">
        <v>40.82</v>
      </c>
      <c r="N125">
        <v>30.24</v>
      </c>
      <c r="O125" t="s">
        <v>24</v>
      </c>
      <c r="P125">
        <v>5</v>
      </c>
      <c r="Q125" t="str">
        <f t="shared" si="6"/>
        <v>November</v>
      </c>
      <c r="R125" t="str">
        <f t="shared" si="7"/>
        <v>Q4</v>
      </c>
      <c r="S125">
        <f t="shared" si="8"/>
        <v>2024</v>
      </c>
      <c r="T125">
        <f t="shared" si="9"/>
        <v>3240036.5199999996</v>
      </c>
      <c r="U125">
        <f t="shared" si="10"/>
        <v>1056378.0399999996</v>
      </c>
      <c r="V125">
        <f t="shared" si="11"/>
        <v>2.0671183963649993</v>
      </c>
    </row>
    <row r="126" spans="1:22" x14ac:dyDescent="0.35">
      <c r="A126" t="s">
        <v>322</v>
      </c>
      <c r="B126" s="1">
        <v>45547</v>
      </c>
      <c r="C126" t="s">
        <v>323</v>
      </c>
      <c r="D126" t="s">
        <v>29</v>
      </c>
      <c r="E126" t="s">
        <v>30</v>
      </c>
      <c r="F126" t="s">
        <v>31</v>
      </c>
      <c r="G126" t="s">
        <v>22</v>
      </c>
      <c r="H126" t="s">
        <v>32</v>
      </c>
      <c r="I126">
        <v>3</v>
      </c>
      <c r="J126">
        <v>248.07</v>
      </c>
      <c r="K126">
        <v>0.1</v>
      </c>
      <c r="L126">
        <v>669.79</v>
      </c>
      <c r="M126">
        <v>519.16</v>
      </c>
      <c r="N126">
        <v>150.63</v>
      </c>
      <c r="O126" t="s">
        <v>24</v>
      </c>
      <c r="P126">
        <v>5</v>
      </c>
      <c r="Q126" t="str">
        <f t="shared" si="6"/>
        <v>September</v>
      </c>
      <c r="R126" t="str">
        <f t="shared" si="7"/>
        <v>Q3</v>
      </c>
      <c r="S126">
        <f t="shared" si="8"/>
        <v>2024</v>
      </c>
      <c r="T126">
        <f t="shared" si="9"/>
        <v>3239965.4599999995</v>
      </c>
      <c r="U126">
        <f t="shared" si="10"/>
        <v>1056347.7999999996</v>
      </c>
      <c r="V126">
        <f t="shared" si="11"/>
        <v>2.0671389290534812</v>
      </c>
    </row>
    <row r="127" spans="1:22" x14ac:dyDescent="0.35">
      <c r="A127" t="s">
        <v>324</v>
      </c>
      <c r="B127" s="1">
        <v>45407</v>
      </c>
      <c r="C127" t="s">
        <v>325</v>
      </c>
      <c r="D127" t="s">
        <v>66</v>
      </c>
      <c r="E127" t="s">
        <v>30</v>
      </c>
      <c r="F127" t="s">
        <v>21</v>
      </c>
      <c r="G127" t="s">
        <v>43</v>
      </c>
      <c r="H127" t="s">
        <v>50</v>
      </c>
      <c r="I127">
        <v>8</v>
      </c>
      <c r="J127">
        <v>866.11</v>
      </c>
      <c r="K127">
        <v>0.05</v>
      </c>
      <c r="L127">
        <v>6582.44</v>
      </c>
      <c r="M127">
        <v>5140.09</v>
      </c>
      <c r="N127">
        <v>1442.35</v>
      </c>
      <c r="O127" t="s">
        <v>24</v>
      </c>
      <c r="P127">
        <v>1</v>
      </c>
      <c r="Q127" t="str">
        <f t="shared" si="6"/>
        <v>April</v>
      </c>
      <c r="R127" t="str">
        <f t="shared" si="7"/>
        <v>Q2</v>
      </c>
      <c r="S127">
        <f t="shared" si="8"/>
        <v>2024</v>
      </c>
      <c r="T127">
        <f t="shared" si="9"/>
        <v>3239295.6699999995</v>
      </c>
      <c r="U127">
        <f t="shared" si="10"/>
        <v>1056197.1699999997</v>
      </c>
      <c r="V127">
        <f t="shared" si="11"/>
        <v>2.0669421979231402</v>
      </c>
    </row>
    <row r="128" spans="1:22" x14ac:dyDescent="0.35">
      <c r="A128" t="s">
        <v>326</v>
      </c>
      <c r="B128" s="1">
        <v>45630</v>
      </c>
      <c r="C128" t="s">
        <v>327</v>
      </c>
      <c r="D128" t="s">
        <v>19</v>
      </c>
      <c r="E128" t="s">
        <v>38</v>
      </c>
      <c r="F128" t="s">
        <v>21</v>
      </c>
      <c r="G128" t="s">
        <v>60</v>
      </c>
      <c r="H128" t="s">
        <v>119</v>
      </c>
      <c r="I128">
        <v>11</v>
      </c>
      <c r="J128">
        <v>869.33</v>
      </c>
      <c r="K128">
        <v>0.05</v>
      </c>
      <c r="L128">
        <v>9084.5</v>
      </c>
      <c r="M128">
        <v>5487.37</v>
      </c>
      <c r="N128">
        <v>3597.13</v>
      </c>
      <c r="O128" t="s">
        <v>33</v>
      </c>
      <c r="P128">
        <v>4</v>
      </c>
      <c r="Q128" t="str">
        <f t="shared" si="6"/>
        <v>December</v>
      </c>
      <c r="R128" t="str">
        <f t="shared" si="7"/>
        <v>Q4</v>
      </c>
      <c r="S128">
        <f t="shared" si="8"/>
        <v>2024</v>
      </c>
      <c r="T128">
        <f t="shared" si="9"/>
        <v>3232713.2299999995</v>
      </c>
      <c r="U128">
        <f t="shared" si="10"/>
        <v>1054754.8199999998</v>
      </c>
      <c r="V128">
        <f t="shared" si="11"/>
        <v>2.0648954322863395</v>
      </c>
    </row>
    <row r="129" spans="1:22" x14ac:dyDescent="0.35">
      <c r="A129" t="s">
        <v>328</v>
      </c>
      <c r="B129" s="1">
        <v>45626</v>
      </c>
      <c r="C129" t="s">
        <v>329</v>
      </c>
      <c r="D129" t="s">
        <v>37</v>
      </c>
      <c r="E129" t="s">
        <v>98</v>
      </c>
      <c r="F129" t="s">
        <v>31</v>
      </c>
      <c r="G129" t="s">
        <v>60</v>
      </c>
      <c r="H129" t="s">
        <v>110</v>
      </c>
      <c r="I129">
        <v>7</v>
      </c>
      <c r="J129">
        <v>153.30000000000001</v>
      </c>
      <c r="K129">
        <v>0.15</v>
      </c>
      <c r="L129">
        <v>912.14</v>
      </c>
      <c r="M129">
        <v>566.48</v>
      </c>
      <c r="N129">
        <v>345.66</v>
      </c>
      <c r="O129" t="s">
        <v>51</v>
      </c>
      <c r="P129">
        <v>5</v>
      </c>
      <c r="Q129" t="str">
        <f t="shared" si="6"/>
        <v>November</v>
      </c>
      <c r="R129" t="str">
        <f t="shared" si="7"/>
        <v>Q4</v>
      </c>
      <c r="S129">
        <f t="shared" si="8"/>
        <v>2024</v>
      </c>
      <c r="T129">
        <f t="shared" si="9"/>
        <v>3223628.7299999995</v>
      </c>
      <c r="U129">
        <f t="shared" si="10"/>
        <v>1051157.69</v>
      </c>
      <c r="V129">
        <f t="shared" si="11"/>
        <v>2.0667413278401643</v>
      </c>
    </row>
    <row r="130" spans="1:22" x14ac:dyDescent="0.35">
      <c r="A130" t="s">
        <v>330</v>
      </c>
      <c r="B130" s="1">
        <v>45294</v>
      </c>
      <c r="C130" t="s">
        <v>331</v>
      </c>
      <c r="D130" t="s">
        <v>49</v>
      </c>
      <c r="E130" t="s">
        <v>20</v>
      </c>
      <c r="F130" t="s">
        <v>39</v>
      </c>
      <c r="G130" t="s">
        <v>60</v>
      </c>
      <c r="H130" t="s">
        <v>110</v>
      </c>
      <c r="I130">
        <v>5</v>
      </c>
      <c r="J130">
        <v>500.74</v>
      </c>
      <c r="K130">
        <v>0.05</v>
      </c>
      <c r="L130">
        <v>2378.5100000000002</v>
      </c>
      <c r="M130">
        <v>1675.88</v>
      </c>
      <c r="N130">
        <v>702.63</v>
      </c>
      <c r="O130" t="s">
        <v>33</v>
      </c>
      <c r="P130">
        <v>1</v>
      </c>
      <c r="Q130" t="str">
        <f t="shared" ref="Q130:Q193" si="12">TEXT(B130,"MMMM")</f>
        <v>January</v>
      </c>
      <c r="R130" t="str">
        <f t="shared" ref="R130:R193" si="13">"Q"&amp;ROUNDUP(MONTH(B130)/3,0)</f>
        <v>Q1</v>
      </c>
      <c r="S130">
        <f t="shared" ref="S130:S193" si="14">YEAR(B130)</f>
        <v>2024</v>
      </c>
      <c r="T130">
        <f t="shared" ref="T130:T193" si="15">SUM(L130:L1129)</f>
        <v>3222716.5899999994</v>
      </c>
      <c r="U130">
        <f t="shared" ref="U130:U193" si="16">SUM(N130:N1129)</f>
        <v>1050812.03</v>
      </c>
      <c r="V130">
        <f t="shared" ref="V130:V193" si="17">(T130-U130)/U130</f>
        <v>2.0668820854667982</v>
      </c>
    </row>
    <row r="131" spans="1:22" x14ac:dyDescent="0.35">
      <c r="A131" t="s">
        <v>332</v>
      </c>
      <c r="B131" s="1">
        <v>45531</v>
      </c>
      <c r="C131" t="s">
        <v>333</v>
      </c>
      <c r="D131" t="s">
        <v>19</v>
      </c>
      <c r="E131" t="s">
        <v>30</v>
      </c>
      <c r="F131" t="s">
        <v>31</v>
      </c>
      <c r="G131" t="s">
        <v>22</v>
      </c>
      <c r="H131" t="s">
        <v>23</v>
      </c>
      <c r="I131">
        <v>11</v>
      </c>
      <c r="J131">
        <v>476.45</v>
      </c>
      <c r="K131">
        <v>0.1</v>
      </c>
      <c r="L131">
        <v>4716.8500000000004</v>
      </c>
      <c r="M131">
        <v>3296.85</v>
      </c>
      <c r="N131">
        <v>1420</v>
      </c>
      <c r="O131" t="s">
        <v>51</v>
      </c>
      <c r="P131">
        <v>1</v>
      </c>
      <c r="Q131" t="str">
        <f t="shared" si="12"/>
        <v>August</v>
      </c>
      <c r="R131" t="str">
        <f t="shared" si="13"/>
        <v>Q3</v>
      </c>
      <c r="S131">
        <f t="shared" si="14"/>
        <v>2024</v>
      </c>
      <c r="T131">
        <f t="shared" si="15"/>
        <v>3220338.0799999996</v>
      </c>
      <c r="U131">
        <f t="shared" si="16"/>
        <v>1050109.3999999999</v>
      </c>
      <c r="V131">
        <f t="shared" si="17"/>
        <v>2.0666691299020843</v>
      </c>
    </row>
    <row r="132" spans="1:22" x14ac:dyDescent="0.35">
      <c r="A132" t="s">
        <v>334</v>
      </c>
      <c r="B132" s="1">
        <v>45294</v>
      </c>
      <c r="C132" t="s">
        <v>335</v>
      </c>
      <c r="D132" t="s">
        <v>19</v>
      </c>
      <c r="E132" t="s">
        <v>98</v>
      </c>
      <c r="F132" t="s">
        <v>21</v>
      </c>
      <c r="G132" t="s">
        <v>43</v>
      </c>
      <c r="H132" t="s">
        <v>50</v>
      </c>
      <c r="I132">
        <v>2</v>
      </c>
      <c r="J132">
        <v>442.01</v>
      </c>
      <c r="K132">
        <v>0</v>
      </c>
      <c r="L132">
        <v>884.02</v>
      </c>
      <c r="M132">
        <v>659.45</v>
      </c>
      <c r="N132">
        <v>224.57</v>
      </c>
      <c r="O132" t="s">
        <v>62</v>
      </c>
      <c r="P132">
        <v>2</v>
      </c>
      <c r="Q132" t="str">
        <f t="shared" si="12"/>
        <v>January</v>
      </c>
      <c r="R132" t="str">
        <f t="shared" si="13"/>
        <v>Q1</v>
      </c>
      <c r="S132">
        <f t="shared" si="14"/>
        <v>2024</v>
      </c>
      <c r="T132">
        <f t="shared" si="15"/>
        <v>3215621.2299999995</v>
      </c>
      <c r="U132">
        <f t="shared" si="16"/>
        <v>1048689.4000000001</v>
      </c>
      <c r="V132">
        <f t="shared" si="17"/>
        <v>2.0663237656450031</v>
      </c>
    </row>
    <row r="133" spans="1:22" x14ac:dyDescent="0.35">
      <c r="A133" t="s">
        <v>336</v>
      </c>
      <c r="B133" s="1">
        <v>45449</v>
      </c>
      <c r="C133" t="s">
        <v>337</v>
      </c>
      <c r="D133" t="s">
        <v>66</v>
      </c>
      <c r="E133" t="s">
        <v>98</v>
      </c>
      <c r="F133" t="s">
        <v>21</v>
      </c>
      <c r="G133" t="s">
        <v>79</v>
      </c>
      <c r="H133" t="s">
        <v>103</v>
      </c>
      <c r="I133">
        <v>6</v>
      </c>
      <c r="J133">
        <v>711.1</v>
      </c>
      <c r="K133">
        <v>0.1</v>
      </c>
      <c r="L133">
        <v>3839.94</v>
      </c>
      <c r="M133">
        <v>2687.45</v>
      </c>
      <c r="N133">
        <v>1152.49</v>
      </c>
      <c r="O133" t="s">
        <v>33</v>
      </c>
      <c r="P133">
        <v>5</v>
      </c>
      <c r="Q133" t="str">
        <f t="shared" si="12"/>
        <v>June</v>
      </c>
      <c r="R133" t="str">
        <f t="shared" si="13"/>
        <v>Q2</v>
      </c>
      <c r="S133">
        <f t="shared" si="14"/>
        <v>2024</v>
      </c>
      <c r="T133">
        <f t="shared" si="15"/>
        <v>3214737.2099999995</v>
      </c>
      <c r="U133">
        <f t="shared" si="16"/>
        <v>1048464.8300000002</v>
      </c>
      <c r="V133">
        <f t="shared" si="17"/>
        <v>2.0661373829773564</v>
      </c>
    </row>
    <row r="134" spans="1:22" x14ac:dyDescent="0.35">
      <c r="A134" t="s">
        <v>338</v>
      </c>
      <c r="B134" s="1">
        <v>45568</v>
      </c>
      <c r="C134" t="s">
        <v>339</v>
      </c>
      <c r="D134" t="s">
        <v>29</v>
      </c>
      <c r="E134" t="s">
        <v>85</v>
      </c>
      <c r="F134" t="s">
        <v>21</v>
      </c>
      <c r="G134" t="s">
        <v>22</v>
      </c>
      <c r="H134" t="s">
        <v>23</v>
      </c>
      <c r="I134">
        <v>5</v>
      </c>
      <c r="J134">
        <v>348.14</v>
      </c>
      <c r="K134">
        <v>0</v>
      </c>
      <c r="L134">
        <v>1740.7</v>
      </c>
      <c r="M134">
        <v>1268.55</v>
      </c>
      <c r="N134">
        <v>472.15</v>
      </c>
      <c r="O134" t="s">
        <v>62</v>
      </c>
      <c r="P134">
        <v>3</v>
      </c>
      <c r="Q134" t="str">
        <f t="shared" si="12"/>
        <v>October</v>
      </c>
      <c r="R134" t="str">
        <f t="shared" si="13"/>
        <v>Q4</v>
      </c>
      <c r="S134">
        <f t="shared" si="14"/>
        <v>2024</v>
      </c>
      <c r="T134">
        <f t="shared" si="15"/>
        <v>3210897.2699999991</v>
      </c>
      <c r="U134">
        <f t="shared" si="16"/>
        <v>1047312.3400000002</v>
      </c>
      <c r="V134">
        <f t="shared" si="17"/>
        <v>2.0658449703743567</v>
      </c>
    </row>
    <row r="135" spans="1:22" x14ac:dyDescent="0.35">
      <c r="A135" t="s">
        <v>340</v>
      </c>
      <c r="B135" s="1">
        <v>45357</v>
      </c>
      <c r="C135" t="s">
        <v>341</v>
      </c>
      <c r="D135" t="s">
        <v>49</v>
      </c>
      <c r="E135" t="s">
        <v>85</v>
      </c>
      <c r="F135" t="s">
        <v>39</v>
      </c>
      <c r="G135" t="s">
        <v>22</v>
      </c>
      <c r="H135" t="s">
        <v>32</v>
      </c>
      <c r="I135">
        <v>1</v>
      </c>
      <c r="J135">
        <v>643.79</v>
      </c>
      <c r="K135">
        <v>0.15</v>
      </c>
      <c r="L135">
        <v>547.22</v>
      </c>
      <c r="M135">
        <v>372.9</v>
      </c>
      <c r="N135">
        <v>174.32</v>
      </c>
      <c r="O135" t="s">
        <v>33</v>
      </c>
      <c r="P135">
        <v>3</v>
      </c>
      <c r="Q135" t="str">
        <f t="shared" si="12"/>
        <v>March</v>
      </c>
      <c r="R135" t="str">
        <f t="shared" si="13"/>
        <v>Q1</v>
      </c>
      <c r="S135">
        <f t="shared" si="14"/>
        <v>2024</v>
      </c>
      <c r="T135">
        <f t="shared" si="15"/>
        <v>3209156.5699999989</v>
      </c>
      <c r="U135">
        <f t="shared" si="16"/>
        <v>1046840.1900000002</v>
      </c>
      <c r="V135">
        <f t="shared" si="17"/>
        <v>2.0655649263905302</v>
      </c>
    </row>
    <row r="136" spans="1:22" x14ac:dyDescent="0.35">
      <c r="A136" t="s">
        <v>342</v>
      </c>
      <c r="B136" s="1">
        <v>45526</v>
      </c>
      <c r="C136" t="s">
        <v>343</v>
      </c>
      <c r="D136" t="s">
        <v>19</v>
      </c>
      <c r="E136" t="s">
        <v>98</v>
      </c>
      <c r="F136" t="s">
        <v>31</v>
      </c>
      <c r="G136" t="s">
        <v>60</v>
      </c>
      <c r="H136" t="s">
        <v>61</v>
      </c>
      <c r="I136">
        <v>4</v>
      </c>
      <c r="J136">
        <v>1074.33</v>
      </c>
      <c r="K136">
        <v>0.05</v>
      </c>
      <c r="L136">
        <v>4082.45</v>
      </c>
      <c r="M136">
        <v>3376.47</v>
      </c>
      <c r="N136">
        <v>705.98</v>
      </c>
      <c r="O136" t="s">
        <v>51</v>
      </c>
      <c r="P136">
        <v>3</v>
      </c>
      <c r="Q136" t="str">
        <f t="shared" si="12"/>
        <v>August</v>
      </c>
      <c r="R136" t="str">
        <f t="shared" si="13"/>
        <v>Q3</v>
      </c>
      <c r="S136">
        <f t="shared" si="14"/>
        <v>2024</v>
      </c>
      <c r="T136">
        <f t="shared" si="15"/>
        <v>3208609.3499999987</v>
      </c>
      <c r="U136">
        <f t="shared" si="16"/>
        <v>1046665.8700000002</v>
      </c>
      <c r="V136">
        <f t="shared" si="17"/>
        <v>2.0655526677295764</v>
      </c>
    </row>
    <row r="137" spans="1:22" x14ac:dyDescent="0.35">
      <c r="A137" t="s">
        <v>344</v>
      </c>
      <c r="B137" s="1">
        <v>45308</v>
      </c>
      <c r="C137" t="s">
        <v>345</v>
      </c>
      <c r="D137" t="s">
        <v>37</v>
      </c>
      <c r="E137" t="s">
        <v>30</v>
      </c>
      <c r="F137" t="s">
        <v>31</v>
      </c>
      <c r="G137" t="s">
        <v>43</v>
      </c>
      <c r="H137" t="s">
        <v>50</v>
      </c>
      <c r="I137">
        <v>8</v>
      </c>
      <c r="J137">
        <v>72.31</v>
      </c>
      <c r="K137">
        <v>0.1</v>
      </c>
      <c r="L137">
        <v>520.63</v>
      </c>
      <c r="M137">
        <v>312.19</v>
      </c>
      <c r="N137">
        <v>208.44</v>
      </c>
      <c r="O137" t="s">
        <v>24</v>
      </c>
      <c r="P137">
        <v>3</v>
      </c>
      <c r="Q137" t="str">
        <f t="shared" si="12"/>
        <v>January</v>
      </c>
      <c r="R137" t="str">
        <f t="shared" si="13"/>
        <v>Q1</v>
      </c>
      <c r="S137">
        <f t="shared" si="14"/>
        <v>2024</v>
      </c>
      <c r="T137">
        <f t="shared" si="15"/>
        <v>3204526.8999999994</v>
      </c>
      <c r="U137">
        <f t="shared" si="16"/>
        <v>1045959.8900000001</v>
      </c>
      <c r="V137">
        <f t="shared" si="17"/>
        <v>2.0637187244340689</v>
      </c>
    </row>
    <row r="138" spans="1:22" x14ac:dyDescent="0.35">
      <c r="A138" t="s">
        <v>346</v>
      </c>
      <c r="B138" s="1">
        <v>45636</v>
      </c>
      <c r="C138" t="s">
        <v>347</v>
      </c>
      <c r="D138" t="s">
        <v>66</v>
      </c>
      <c r="E138" t="s">
        <v>98</v>
      </c>
      <c r="F138" t="s">
        <v>39</v>
      </c>
      <c r="G138" t="s">
        <v>79</v>
      </c>
      <c r="H138" t="s">
        <v>80</v>
      </c>
      <c r="I138">
        <v>9</v>
      </c>
      <c r="J138">
        <v>1180.46</v>
      </c>
      <c r="K138">
        <v>0</v>
      </c>
      <c r="L138">
        <v>10624.14</v>
      </c>
      <c r="M138">
        <v>5742.88</v>
      </c>
      <c r="N138">
        <v>4881.26</v>
      </c>
      <c r="O138" t="s">
        <v>24</v>
      </c>
      <c r="P138">
        <v>2</v>
      </c>
      <c r="Q138" t="str">
        <f t="shared" si="12"/>
        <v>December</v>
      </c>
      <c r="R138" t="str">
        <f t="shared" si="13"/>
        <v>Q4</v>
      </c>
      <c r="S138">
        <f t="shared" si="14"/>
        <v>2024</v>
      </c>
      <c r="T138">
        <f t="shared" si="15"/>
        <v>3204006.2699999991</v>
      </c>
      <c r="U138">
        <f t="shared" si="16"/>
        <v>1045751.4500000002</v>
      </c>
      <c r="V138">
        <f t="shared" si="17"/>
        <v>2.0638315347303591</v>
      </c>
    </row>
    <row r="139" spans="1:22" x14ac:dyDescent="0.35">
      <c r="A139" t="s">
        <v>348</v>
      </c>
      <c r="B139" s="1">
        <v>45568</v>
      </c>
      <c r="C139" t="s">
        <v>349</v>
      </c>
      <c r="D139" t="s">
        <v>66</v>
      </c>
      <c r="E139" t="s">
        <v>20</v>
      </c>
      <c r="F139" t="s">
        <v>31</v>
      </c>
      <c r="G139" t="s">
        <v>79</v>
      </c>
      <c r="H139" t="s">
        <v>103</v>
      </c>
      <c r="I139">
        <v>12</v>
      </c>
      <c r="J139">
        <v>797.5</v>
      </c>
      <c r="K139">
        <v>0.15</v>
      </c>
      <c r="L139">
        <v>8134.5</v>
      </c>
      <c r="M139">
        <v>4880.34</v>
      </c>
      <c r="N139">
        <v>3254.16</v>
      </c>
      <c r="O139" t="s">
        <v>24</v>
      </c>
      <c r="P139">
        <v>4</v>
      </c>
      <c r="Q139" t="str">
        <f t="shared" si="12"/>
        <v>October</v>
      </c>
      <c r="R139" t="str">
        <f t="shared" si="13"/>
        <v>Q4</v>
      </c>
      <c r="S139">
        <f t="shared" si="14"/>
        <v>2024</v>
      </c>
      <c r="T139">
        <f t="shared" si="15"/>
        <v>3193382.129999999</v>
      </c>
      <c r="U139">
        <f t="shared" si="16"/>
        <v>1040870.1900000003</v>
      </c>
      <c r="V139">
        <f t="shared" si="17"/>
        <v>2.0679926860043882</v>
      </c>
    </row>
    <row r="140" spans="1:22" x14ac:dyDescent="0.35">
      <c r="A140" t="s">
        <v>350</v>
      </c>
      <c r="B140" s="1">
        <v>45320</v>
      </c>
      <c r="C140" t="s">
        <v>351</v>
      </c>
      <c r="D140" t="s">
        <v>66</v>
      </c>
      <c r="E140" t="s">
        <v>20</v>
      </c>
      <c r="F140" t="s">
        <v>21</v>
      </c>
      <c r="G140" t="s">
        <v>79</v>
      </c>
      <c r="H140" t="s">
        <v>103</v>
      </c>
      <c r="I140">
        <v>7</v>
      </c>
      <c r="J140">
        <v>841.3</v>
      </c>
      <c r="K140">
        <v>0.15</v>
      </c>
      <c r="L140">
        <v>5005.7299999999996</v>
      </c>
      <c r="M140">
        <v>3358.95</v>
      </c>
      <c r="N140">
        <v>1646.78</v>
      </c>
      <c r="O140" t="s">
        <v>62</v>
      </c>
      <c r="P140">
        <v>4</v>
      </c>
      <c r="Q140" t="str">
        <f t="shared" si="12"/>
        <v>January</v>
      </c>
      <c r="R140" t="str">
        <f t="shared" si="13"/>
        <v>Q1</v>
      </c>
      <c r="S140">
        <f t="shared" si="14"/>
        <v>2024</v>
      </c>
      <c r="T140">
        <f t="shared" si="15"/>
        <v>3185247.629999999</v>
      </c>
      <c r="U140">
        <f t="shared" si="16"/>
        <v>1037616.0300000003</v>
      </c>
      <c r="V140">
        <f t="shared" si="17"/>
        <v>2.0697748858024081</v>
      </c>
    </row>
    <row r="141" spans="1:22" x14ac:dyDescent="0.35">
      <c r="A141" t="s">
        <v>352</v>
      </c>
      <c r="B141" s="1">
        <v>45438</v>
      </c>
      <c r="C141" t="s">
        <v>353</v>
      </c>
      <c r="D141" t="s">
        <v>29</v>
      </c>
      <c r="E141" t="s">
        <v>38</v>
      </c>
      <c r="F141" t="s">
        <v>31</v>
      </c>
      <c r="G141" t="s">
        <v>60</v>
      </c>
      <c r="H141" t="s">
        <v>61</v>
      </c>
      <c r="I141">
        <v>5</v>
      </c>
      <c r="J141">
        <v>1149.07</v>
      </c>
      <c r="K141">
        <v>0.15</v>
      </c>
      <c r="L141">
        <v>4883.55</v>
      </c>
      <c r="M141">
        <v>2559.12</v>
      </c>
      <c r="N141">
        <v>2324.4299999999998</v>
      </c>
      <c r="O141" t="s">
        <v>33</v>
      </c>
      <c r="P141">
        <v>3</v>
      </c>
      <c r="Q141" t="str">
        <f t="shared" si="12"/>
        <v>May</v>
      </c>
      <c r="R141" t="str">
        <f t="shared" si="13"/>
        <v>Q2</v>
      </c>
      <c r="S141">
        <f t="shared" si="14"/>
        <v>2024</v>
      </c>
      <c r="T141">
        <f t="shared" si="15"/>
        <v>3180241.8999999994</v>
      </c>
      <c r="U141">
        <f t="shared" si="16"/>
        <v>1035969.2500000003</v>
      </c>
      <c r="V141">
        <f t="shared" si="17"/>
        <v>2.0698226805477078</v>
      </c>
    </row>
    <row r="142" spans="1:22" x14ac:dyDescent="0.35">
      <c r="A142" t="s">
        <v>354</v>
      </c>
      <c r="B142" s="1">
        <v>45632</v>
      </c>
      <c r="C142" t="s">
        <v>355</v>
      </c>
      <c r="D142" t="s">
        <v>37</v>
      </c>
      <c r="E142" t="s">
        <v>85</v>
      </c>
      <c r="F142" t="s">
        <v>31</v>
      </c>
      <c r="G142" t="s">
        <v>60</v>
      </c>
      <c r="H142" t="s">
        <v>61</v>
      </c>
      <c r="I142">
        <v>11</v>
      </c>
      <c r="J142">
        <v>439.88</v>
      </c>
      <c r="K142">
        <v>0</v>
      </c>
      <c r="L142">
        <v>4838.68</v>
      </c>
      <c r="M142">
        <v>3487.51</v>
      </c>
      <c r="N142">
        <v>1351.17</v>
      </c>
      <c r="O142" t="s">
        <v>33</v>
      </c>
      <c r="P142">
        <v>1</v>
      </c>
      <c r="Q142" t="str">
        <f t="shared" si="12"/>
        <v>December</v>
      </c>
      <c r="R142" t="str">
        <f t="shared" si="13"/>
        <v>Q4</v>
      </c>
      <c r="S142">
        <f t="shared" si="14"/>
        <v>2024</v>
      </c>
      <c r="T142">
        <f t="shared" si="15"/>
        <v>3175358.3499999992</v>
      </c>
      <c r="U142">
        <f t="shared" si="16"/>
        <v>1033644.8200000004</v>
      </c>
      <c r="V142">
        <f t="shared" si="17"/>
        <v>2.0720014153411013</v>
      </c>
    </row>
    <row r="143" spans="1:22" x14ac:dyDescent="0.35">
      <c r="A143" t="s">
        <v>356</v>
      </c>
      <c r="B143" s="1">
        <v>45414</v>
      </c>
      <c r="C143" t="s">
        <v>357</v>
      </c>
      <c r="D143" t="s">
        <v>29</v>
      </c>
      <c r="E143" t="s">
        <v>98</v>
      </c>
      <c r="F143" t="s">
        <v>21</v>
      </c>
      <c r="G143" t="s">
        <v>43</v>
      </c>
      <c r="H143" t="s">
        <v>173</v>
      </c>
      <c r="I143">
        <v>12</v>
      </c>
      <c r="J143">
        <v>533.51</v>
      </c>
      <c r="K143">
        <v>0.05</v>
      </c>
      <c r="L143">
        <v>6082.01</v>
      </c>
      <c r="M143">
        <v>4137.59</v>
      </c>
      <c r="N143">
        <v>1944.42</v>
      </c>
      <c r="O143" t="s">
        <v>51</v>
      </c>
      <c r="P143">
        <v>2</v>
      </c>
      <c r="Q143" t="str">
        <f t="shared" si="12"/>
        <v>May</v>
      </c>
      <c r="R143" t="str">
        <f t="shared" si="13"/>
        <v>Q2</v>
      </c>
      <c r="S143">
        <f t="shared" si="14"/>
        <v>2024</v>
      </c>
      <c r="T143">
        <f t="shared" si="15"/>
        <v>3170519.669999999</v>
      </c>
      <c r="U143">
        <f t="shared" si="16"/>
        <v>1032293.6500000004</v>
      </c>
      <c r="V143">
        <f t="shared" si="17"/>
        <v>2.0713350508355814</v>
      </c>
    </row>
    <row r="144" spans="1:22" x14ac:dyDescent="0.35">
      <c r="A144" t="s">
        <v>358</v>
      </c>
      <c r="B144" s="1">
        <v>45310</v>
      </c>
      <c r="C144" t="s">
        <v>359</v>
      </c>
      <c r="D144" t="s">
        <v>66</v>
      </c>
      <c r="E144" t="s">
        <v>98</v>
      </c>
      <c r="F144" t="s">
        <v>39</v>
      </c>
      <c r="G144" t="s">
        <v>22</v>
      </c>
      <c r="H144" t="s">
        <v>74</v>
      </c>
      <c r="I144">
        <v>9</v>
      </c>
      <c r="J144">
        <v>1186.7</v>
      </c>
      <c r="K144">
        <v>0</v>
      </c>
      <c r="L144">
        <v>10680.3</v>
      </c>
      <c r="M144">
        <v>6258.4</v>
      </c>
      <c r="N144">
        <v>4421.8999999999996</v>
      </c>
      <c r="O144" t="s">
        <v>33</v>
      </c>
      <c r="P144">
        <v>3</v>
      </c>
      <c r="Q144" t="str">
        <f t="shared" si="12"/>
        <v>January</v>
      </c>
      <c r="R144" t="str">
        <f t="shared" si="13"/>
        <v>Q1</v>
      </c>
      <c r="S144">
        <f t="shared" si="14"/>
        <v>2024</v>
      </c>
      <c r="T144">
        <f t="shared" si="15"/>
        <v>3164437.6599999988</v>
      </c>
      <c r="U144">
        <f t="shared" si="16"/>
        <v>1030349.2300000004</v>
      </c>
      <c r="V144">
        <f t="shared" si="17"/>
        <v>2.0712282475331181</v>
      </c>
    </row>
    <row r="145" spans="1:22" x14ac:dyDescent="0.35">
      <c r="A145" t="s">
        <v>360</v>
      </c>
      <c r="B145" s="1">
        <v>45355</v>
      </c>
      <c r="C145" t="s">
        <v>361</v>
      </c>
      <c r="D145" t="s">
        <v>49</v>
      </c>
      <c r="E145" t="s">
        <v>20</v>
      </c>
      <c r="F145" t="s">
        <v>31</v>
      </c>
      <c r="G145" t="s">
        <v>60</v>
      </c>
      <c r="H145" t="s">
        <v>119</v>
      </c>
      <c r="I145">
        <v>1</v>
      </c>
      <c r="J145">
        <v>176.14</v>
      </c>
      <c r="K145">
        <v>0.05</v>
      </c>
      <c r="L145">
        <v>167.33</v>
      </c>
      <c r="M145">
        <v>133.97999999999999</v>
      </c>
      <c r="N145">
        <v>33.35</v>
      </c>
      <c r="O145" t="s">
        <v>62</v>
      </c>
      <c r="P145">
        <v>1</v>
      </c>
      <c r="Q145" t="str">
        <f t="shared" si="12"/>
        <v>March</v>
      </c>
      <c r="R145" t="str">
        <f t="shared" si="13"/>
        <v>Q1</v>
      </c>
      <c r="S145">
        <f t="shared" si="14"/>
        <v>2024</v>
      </c>
      <c r="T145">
        <f t="shared" si="15"/>
        <v>3153757.3599999989</v>
      </c>
      <c r="U145">
        <f t="shared" si="16"/>
        <v>1025927.3300000005</v>
      </c>
      <c r="V145">
        <f t="shared" si="17"/>
        <v>2.0740553134499278</v>
      </c>
    </row>
    <row r="146" spans="1:22" x14ac:dyDescent="0.35">
      <c r="A146" t="s">
        <v>362</v>
      </c>
      <c r="B146" s="1">
        <v>45501</v>
      </c>
      <c r="C146" t="s">
        <v>363</v>
      </c>
      <c r="D146" t="s">
        <v>19</v>
      </c>
      <c r="E146" t="s">
        <v>38</v>
      </c>
      <c r="F146" t="s">
        <v>31</v>
      </c>
      <c r="G146" t="s">
        <v>22</v>
      </c>
      <c r="H146" t="s">
        <v>23</v>
      </c>
      <c r="I146">
        <v>3</v>
      </c>
      <c r="J146">
        <v>816.6</v>
      </c>
      <c r="K146">
        <v>0.15</v>
      </c>
      <c r="L146">
        <v>2082.33</v>
      </c>
      <c r="M146">
        <v>1638.63</v>
      </c>
      <c r="N146">
        <v>443.7</v>
      </c>
      <c r="O146" t="s">
        <v>51</v>
      </c>
      <c r="P146">
        <v>1</v>
      </c>
      <c r="Q146" t="str">
        <f t="shared" si="12"/>
        <v>July</v>
      </c>
      <c r="R146" t="str">
        <f t="shared" si="13"/>
        <v>Q3</v>
      </c>
      <c r="S146">
        <f t="shared" si="14"/>
        <v>2024</v>
      </c>
      <c r="T146">
        <f t="shared" si="15"/>
        <v>3153590.0299999989</v>
      </c>
      <c r="U146">
        <f t="shared" si="16"/>
        <v>1025893.9800000006</v>
      </c>
      <c r="V146">
        <f t="shared" si="17"/>
        <v>2.0739921390317519</v>
      </c>
    </row>
    <row r="147" spans="1:22" x14ac:dyDescent="0.35">
      <c r="A147" t="s">
        <v>364</v>
      </c>
      <c r="B147" s="1">
        <v>45334</v>
      </c>
      <c r="C147" t="s">
        <v>365</v>
      </c>
      <c r="D147" t="s">
        <v>49</v>
      </c>
      <c r="E147" t="s">
        <v>20</v>
      </c>
      <c r="F147" t="s">
        <v>31</v>
      </c>
      <c r="G147" t="s">
        <v>60</v>
      </c>
      <c r="H147" t="s">
        <v>110</v>
      </c>
      <c r="I147">
        <v>7</v>
      </c>
      <c r="J147">
        <v>925.37</v>
      </c>
      <c r="K147">
        <v>0.05</v>
      </c>
      <c r="L147">
        <v>6153.71</v>
      </c>
      <c r="M147">
        <v>3527.58</v>
      </c>
      <c r="N147">
        <v>2626.13</v>
      </c>
      <c r="O147" t="s">
        <v>33</v>
      </c>
      <c r="P147">
        <v>4</v>
      </c>
      <c r="Q147" t="str">
        <f t="shared" si="12"/>
        <v>February</v>
      </c>
      <c r="R147" t="str">
        <f t="shared" si="13"/>
        <v>Q1</v>
      </c>
      <c r="S147">
        <f t="shared" si="14"/>
        <v>2024</v>
      </c>
      <c r="T147">
        <f t="shared" si="15"/>
        <v>3151507.6999999988</v>
      </c>
      <c r="U147">
        <f t="shared" si="16"/>
        <v>1025450.2800000006</v>
      </c>
      <c r="V147">
        <f t="shared" si="17"/>
        <v>2.0732915690461335</v>
      </c>
    </row>
    <row r="148" spans="1:22" x14ac:dyDescent="0.35">
      <c r="A148" t="s">
        <v>366</v>
      </c>
      <c r="B148" s="1">
        <v>45412</v>
      </c>
      <c r="C148" t="s">
        <v>367</v>
      </c>
      <c r="D148" t="s">
        <v>29</v>
      </c>
      <c r="E148" t="s">
        <v>20</v>
      </c>
      <c r="F148" t="s">
        <v>39</v>
      </c>
      <c r="G148" t="s">
        <v>43</v>
      </c>
      <c r="H148" t="s">
        <v>44</v>
      </c>
      <c r="I148">
        <v>5</v>
      </c>
      <c r="J148">
        <v>1180.1199999999999</v>
      </c>
      <c r="K148">
        <v>0.05</v>
      </c>
      <c r="L148">
        <v>5605.57</v>
      </c>
      <c r="M148">
        <v>3628.41</v>
      </c>
      <c r="N148">
        <v>1977.16</v>
      </c>
      <c r="O148" t="s">
        <v>24</v>
      </c>
      <c r="P148">
        <v>5</v>
      </c>
      <c r="Q148" t="str">
        <f t="shared" si="12"/>
        <v>April</v>
      </c>
      <c r="R148" t="str">
        <f t="shared" si="13"/>
        <v>Q2</v>
      </c>
      <c r="S148">
        <f t="shared" si="14"/>
        <v>2024</v>
      </c>
      <c r="T148">
        <f t="shared" si="15"/>
        <v>3145353.9899999988</v>
      </c>
      <c r="U148">
        <f t="shared" si="16"/>
        <v>1022824.1500000005</v>
      </c>
      <c r="V148">
        <f t="shared" si="17"/>
        <v>2.0751659412813019</v>
      </c>
    </row>
    <row r="149" spans="1:22" x14ac:dyDescent="0.35">
      <c r="A149" t="s">
        <v>368</v>
      </c>
      <c r="B149" s="1">
        <v>45323</v>
      </c>
      <c r="C149" t="s">
        <v>369</v>
      </c>
      <c r="D149" t="s">
        <v>19</v>
      </c>
      <c r="E149" t="s">
        <v>38</v>
      </c>
      <c r="F149" t="s">
        <v>39</v>
      </c>
      <c r="G149" t="s">
        <v>60</v>
      </c>
      <c r="H149" t="s">
        <v>119</v>
      </c>
      <c r="I149">
        <v>6</v>
      </c>
      <c r="J149">
        <v>429.16</v>
      </c>
      <c r="K149">
        <v>0.1</v>
      </c>
      <c r="L149">
        <v>2317.46</v>
      </c>
      <c r="M149">
        <v>1241.83</v>
      </c>
      <c r="N149">
        <v>1075.6300000000001</v>
      </c>
      <c r="O149" t="s">
        <v>24</v>
      </c>
      <c r="P149">
        <v>5</v>
      </c>
      <c r="Q149" t="str">
        <f t="shared" si="12"/>
        <v>February</v>
      </c>
      <c r="R149" t="str">
        <f t="shared" si="13"/>
        <v>Q1</v>
      </c>
      <c r="S149">
        <f t="shared" si="14"/>
        <v>2024</v>
      </c>
      <c r="T149">
        <f t="shared" si="15"/>
        <v>3139748.419999999</v>
      </c>
      <c r="U149">
        <f t="shared" si="16"/>
        <v>1020846.9900000006</v>
      </c>
      <c r="V149">
        <f t="shared" si="17"/>
        <v>2.0756307759696653</v>
      </c>
    </row>
    <row r="150" spans="1:22" x14ac:dyDescent="0.35">
      <c r="A150" t="s">
        <v>370</v>
      </c>
      <c r="B150" s="1">
        <v>45307</v>
      </c>
      <c r="C150" t="s">
        <v>371</v>
      </c>
      <c r="D150" t="s">
        <v>37</v>
      </c>
      <c r="E150" t="s">
        <v>30</v>
      </c>
      <c r="F150" t="s">
        <v>39</v>
      </c>
      <c r="G150" t="s">
        <v>79</v>
      </c>
      <c r="H150" t="s">
        <v>80</v>
      </c>
      <c r="I150">
        <v>12</v>
      </c>
      <c r="J150">
        <v>593.41999999999996</v>
      </c>
      <c r="K150">
        <v>0</v>
      </c>
      <c r="L150">
        <v>7121.04</v>
      </c>
      <c r="M150">
        <v>4942.33</v>
      </c>
      <c r="N150">
        <v>2178.71</v>
      </c>
      <c r="O150" t="s">
        <v>33</v>
      </c>
      <c r="P150">
        <v>4</v>
      </c>
      <c r="Q150" t="str">
        <f t="shared" si="12"/>
        <v>January</v>
      </c>
      <c r="R150" t="str">
        <f t="shared" si="13"/>
        <v>Q1</v>
      </c>
      <c r="S150">
        <f t="shared" si="14"/>
        <v>2024</v>
      </c>
      <c r="T150">
        <f t="shared" si="15"/>
        <v>3137430.959999999</v>
      </c>
      <c r="U150">
        <f t="shared" si="16"/>
        <v>1019771.3600000006</v>
      </c>
      <c r="V150">
        <f t="shared" si="17"/>
        <v>2.0766023474124609</v>
      </c>
    </row>
    <row r="151" spans="1:22" x14ac:dyDescent="0.35">
      <c r="A151" t="s">
        <v>372</v>
      </c>
      <c r="B151" s="1">
        <v>45587</v>
      </c>
      <c r="C151" t="s">
        <v>373</v>
      </c>
      <c r="D151" t="s">
        <v>19</v>
      </c>
      <c r="E151" t="s">
        <v>85</v>
      </c>
      <c r="F151" t="s">
        <v>21</v>
      </c>
      <c r="G151" t="s">
        <v>79</v>
      </c>
      <c r="H151" t="s">
        <v>80</v>
      </c>
      <c r="I151">
        <v>6</v>
      </c>
      <c r="J151">
        <v>1098.8499999999999</v>
      </c>
      <c r="K151">
        <v>0.15</v>
      </c>
      <c r="L151">
        <v>5604.13</v>
      </c>
      <c r="M151">
        <v>4547.3999999999996</v>
      </c>
      <c r="N151">
        <v>1056.73</v>
      </c>
      <c r="O151" t="s">
        <v>33</v>
      </c>
      <c r="P151">
        <v>1</v>
      </c>
      <c r="Q151" t="str">
        <f t="shared" si="12"/>
        <v>October</v>
      </c>
      <c r="R151" t="str">
        <f t="shared" si="13"/>
        <v>Q4</v>
      </c>
      <c r="S151">
        <f t="shared" si="14"/>
        <v>2024</v>
      </c>
      <c r="T151">
        <f t="shared" si="15"/>
        <v>3130309.919999999</v>
      </c>
      <c r="U151">
        <f t="shared" si="16"/>
        <v>1017592.6500000005</v>
      </c>
      <c r="V151">
        <f t="shared" si="17"/>
        <v>2.0761915585769981</v>
      </c>
    </row>
    <row r="152" spans="1:22" x14ac:dyDescent="0.35">
      <c r="A152" t="s">
        <v>374</v>
      </c>
      <c r="B152" s="1">
        <v>45654</v>
      </c>
      <c r="C152" t="s">
        <v>375</v>
      </c>
      <c r="D152" t="s">
        <v>66</v>
      </c>
      <c r="E152" t="s">
        <v>85</v>
      </c>
      <c r="F152" t="s">
        <v>21</v>
      </c>
      <c r="G152" t="s">
        <v>79</v>
      </c>
      <c r="H152" t="s">
        <v>80</v>
      </c>
      <c r="I152">
        <v>4</v>
      </c>
      <c r="J152">
        <v>250.99</v>
      </c>
      <c r="K152">
        <v>0</v>
      </c>
      <c r="L152">
        <v>1003.96</v>
      </c>
      <c r="M152">
        <v>827.42</v>
      </c>
      <c r="N152">
        <v>176.54</v>
      </c>
      <c r="O152" t="s">
        <v>33</v>
      </c>
      <c r="P152">
        <v>1</v>
      </c>
      <c r="Q152" t="str">
        <f t="shared" si="12"/>
        <v>December</v>
      </c>
      <c r="R152" t="str">
        <f t="shared" si="13"/>
        <v>Q4</v>
      </c>
      <c r="S152">
        <f t="shared" si="14"/>
        <v>2024</v>
      </c>
      <c r="T152">
        <f t="shared" si="15"/>
        <v>3124705.7899999991</v>
      </c>
      <c r="U152">
        <f t="shared" si="16"/>
        <v>1016535.9200000005</v>
      </c>
      <c r="V152">
        <f t="shared" si="17"/>
        <v>2.0738764155033476</v>
      </c>
    </row>
    <row r="153" spans="1:22" x14ac:dyDescent="0.35">
      <c r="A153" t="s">
        <v>376</v>
      </c>
      <c r="B153" s="1">
        <v>45315</v>
      </c>
      <c r="C153" t="s">
        <v>377</v>
      </c>
      <c r="D153" t="s">
        <v>49</v>
      </c>
      <c r="E153" t="s">
        <v>38</v>
      </c>
      <c r="F153" t="s">
        <v>39</v>
      </c>
      <c r="G153" t="s">
        <v>43</v>
      </c>
      <c r="H153" t="s">
        <v>173</v>
      </c>
      <c r="I153">
        <v>8</v>
      </c>
      <c r="J153">
        <v>1112.3699999999999</v>
      </c>
      <c r="K153">
        <v>0</v>
      </c>
      <c r="L153">
        <v>8898.9599999999991</v>
      </c>
      <c r="M153">
        <v>4458.62</v>
      </c>
      <c r="N153">
        <v>4440.34</v>
      </c>
      <c r="O153" t="s">
        <v>51</v>
      </c>
      <c r="P153">
        <v>3</v>
      </c>
      <c r="Q153" t="str">
        <f t="shared" si="12"/>
        <v>January</v>
      </c>
      <c r="R153" t="str">
        <f t="shared" si="13"/>
        <v>Q1</v>
      </c>
      <c r="S153">
        <f t="shared" si="14"/>
        <v>2024</v>
      </c>
      <c r="T153">
        <f t="shared" si="15"/>
        <v>3123701.8299999987</v>
      </c>
      <c r="U153">
        <f t="shared" si="16"/>
        <v>1016359.3800000005</v>
      </c>
      <c r="V153">
        <f t="shared" si="17"/>
        <v>2.0734225427230251</v>
      </c>
    </row>
    <row r="154" spans="1:22" x14ac:dyDescent="0.35">
      <c r="A154" t="s">
        <v>378</v>
      </c>
      <c r="B154" s="1">
        <v>45369</v>
      </c>
      <c r="C154" t="s">
        <v>379</v>
      </c>
      <c r="D154" t="s">
        <v>66</v>
      </c>
      <c r="E154" t="s">
        <v>38</v>
      </c>
      <c r="F154" t="s">
        <v>39</v>
      </c>
      <c r="G154" t="s">
        <v>60</v>
      </c>
      <c r="H154" t="s">
        <v>119</v>
      </c>
      <c r="I154">
        <v>11</v>
      </c>
      <c r="J154">
        <v>1113.8699999999999</v>
      </c>
      <c r="K154">
        <v>0</v>
      </c>
      <c r="L154">
        <v>12252.57</v>
      </c>
      <c r="M154">
        <v>9331.39</v>
      </c>
      <c r="N154">
        <v>2921.18</v>
      </c>
      <c r="O154" t="s">
        <v>24</v>
      </c>
      <c r="P154">
        <v>5</v>
      </c>
      <c r="Q154" t="str">
        <f t="shared" si="12"/>
        <v>March</v>
      </c>
      <c r="R154" t="str">
        <f t="shared" si="13"/>
        <v>Q1</v>
      </c>
      <c r="S154">
        <f t="shared" si="14"/>
        <v>2024</v>
      </c>
      <c r="T154">
        <f t="shared" si="15"/>
        <v>3114802.8699999987</v>
      </c>
      <c r="U154">
        <f t="shared" si="16"/>
        <v>1011919.0400000005</v>
      </c>
      <c r="V154">
        <f t="shared" si="17"/>
        <v>2.0781146977924214</v>
      </c>
    </row>
    <row r="155" spans="1:22" x14ac:dyDescent="0.35">
      <c r="A155" t="s">
        <v>380</v>
      </c>
      <c r="B155" s="1">
        <v>45400</v>
      </c>
      <c r="C155" t="s">
        <v>381</v>
      </c>
      <c r="D155" t="s">
        <v>66</v>
      </c>
      <c r="E155" t="s">
        <v>38</v>
      </c>
      <c r="F155" t="s">
        <v>39</v>
      </c>
      <c r="G155" t="s">
        <v>60</v>
      </c>
      <c r="H155" t="s">
        <v>61</v>
      </c>
      <c r="I155">
        <v>10</v>
      </c>
      <c r="J155">
        <v>460.92</v>
      </c>
      <c r="K155">
        <v>0.15</v>
      </c>
      <c r="L155">
        <v>3917.82</v>
      </c>
      <c r="M155">
        <v>2382.69</v>
      </c>
      <c r="N155">
        <v>1535.13</v>
      </c>
      <c r="O155" t="s">
        <v>24</v>
      </c>
      <c r="P155">
        <v>2</v>
      </c>
      <c r="Q155" t="str">
        <f t="shared" si="12"/>
        <v>April</v>
      </c>
      <c r="R155" t="str">
        <f t="shared" si="13"/>
        <v>Q2</v>
      </c>
      <c r="S155">
        <f t="shared" si="14"/>
        <v>2024</v>
      </c>
      <c r="T155">
        <f t="shared" si="15"/>
        <v>3102550.2999999989</v>
      </c>
      <c r="U155">
        <f t="shared" si="16"/>
        <v>1008997.8600000005</v>
      </c>
      <c r="V155">
        <f t="shared" si="17"/>
        <v>2.0748829338448722</v>
      </c>
    </row>
    <row r="156" spans="1:22" x14ac:dyDescent="0.35">
      <c r="A156" t="s">
        <v>382</v>
      </c>
      <c r="B156" s="1">
        <v>45406</v>
      </c>
      <c r="C156" t="s">
        <v>383</v>
      </c>
      <c r="D156" t="s">
        <v>66</v>
      </c>
      <c r="E156" t="s">
        <v>30</v>
      </c>
      <c r="F156" t="s">
        <v>31</v>
      </c>
      <c r="G156" t="s">
        <v>43</v>
      </c>
      <c r="H156" t="s">
        <v>44</v>
      </c>
      <c r="I156">
        <v>10</v>
      </c>
      <c r="J156">
        <v>993.99</v>
      </c>
      <c r="K156">
        <v>0</v>
      </c>
      <c r="L156">
        <v>9939.9</v>
      </c>
      <c r="M156">
        <v>5305.88</v>
      </c>
      <c r="N156">
        <v>4634.0200000000004</v>
      </c>
      <c r="O156" t="s">
        <v>51</v>
      </c>
      <c r="P156">
        <v>2</v>
      </c>
      <c r="Q156" t="str">
        <f t="shared" si="12"/>
        <v>April</v>
      </c>
      <c r="R156" t="str">
        <f t="shared" si="13"/>
        <v>Q2</v>
      </c>
      <c r="S156">
        <f t="shared" si="14"/>
        <v>2024</v>
      </c>
      <c r="T156">
        <f t="shared" si="15"/>
        <v>3098632.4799999995</v>
      </c>
      <c r="U156">
        <f t="shared" si="16"/>
        <v>1007462.7300000004</v>
      </c>
      <c r="V156">
        <f t="shared" si="17"/>
        <v>2.0756795142188516</v>
      </c>
    </row>
    <row r="157" spans="1:22" x14ac:dyDescent="0.35">
      <c r="A157" t="s">
        <v>384</v>
      </c>
      <c r="B157" s="1">
        <v>45440</v>
      </c>
      <c r="C157" t="s">
        <v>385</v>
      </c>
      <c r="D157" t="s">
        <v>29</v>
      </c>
      <c r="E157" t="s">
        <v>38</v>
      </c>
      <c r="F157" t="s">
        <v>21</v>
      </c>
      <c r="G157" t="s">
        <v>43</v>
      </c>
      <c r="H157" t="s">
        <v>50</v>
      </c>
      <c r="I157">
        <v>11</v>
      </c>
      <c r="J157">
        <v>746.02</v>
      </c>
      <c r="K157">
        <v>0.1</v>
      </c>
      <c r="L157">
        <v>7385.6</v>
      </c>
      <c r="M157">
        <v>4798.93</v>
      </c>
      <c r="N157">
        <v>2586.67</v>
      </c>
      <c r="O157" t="s">
        <v>51</v>
      </c>
      <c r="P157">
        <v>2</v>
      </c>
      <c r="Q157" t="str">
        <f t="shared" si="12"/>
        <v>May</v>
      </c>
      <c r="R157" t="str">
        <f t="shared" si="13"/>
        <v>Q2</v>
      </c>
      <c r="S157">
        <f t="shared" si="14"/>
        <v>2024</v>
      </c>
      <c r="T157">
        <f t="shared" si="15"/>
        <v>3088692.5799999996</v>
      </c>
      <c r="U157">
        <f t="shared" si="16"/>
        <v>1002828.7100000005</v>
      </c>
      <c r="V157">
        <f t="shared" si="17"/>
        <v>2.0799802091824815</v>
      </c>
    </row>
    <row r="158" spans="1:22" x14ac:dyDescent="0.35">
      <c r="A158" t="s">
        <v>386</v>
      </c>
      <c r="B158" s="1">
        <v>45465</v>
      </c>
      <c r="C158" t="s">
        <v>387</v>
      </c>
      <c r="D158" t="s">
        <v>19</v>
      </c>
      <c r="E158" t="s">
        <v>20</v>
      </c>
      <c r="F158" t="s">
        <v>39</v>
      </c>
      <c r="G158" t="s">
        <v>79</v>
      </c>
      <c r="H158" t="s">
        <v>103</v>
      </c>
      <c r="I158">
        <v>9</v>
      </c>
      <c r="J158">
        <v>333.49</v>
      </c>
      <c r="K158">
        <v>0.1</v>
      </c>
      <c r="L158">
        <v>2701.27</v>
      </c>
      <c r="M158">
        <v>1687.31</v>
      </c>
      <c r="N158">
        <v>1013.96</v>
      </c>
      <c r="O158" t="s">
        <v>24</v>
      </c>
      <c r="P158">
        <v>5</v>
      </c>
      <c r="Q158" t="str">
        <f t="shared" si="12"/>
        <v>June</v>
      </c>
      <c r="R158" t="str">
        <f t="shared" si="13"/>
        <v>Q2</v>
      </c>
      <c r="S158">
        <f t="shared" si="14"/>
        <v>2024</v>
      </c>
      <c r="T158">
        <f t="shared" si="15"/>
        <v>3081306.9799999986</v>
      </c>
      <c r="U158">
        <f t="shared" si="16"/>
        <v>1000242.0400000005</v>
      </c>
      <c r="V158">
        <f t="shared" si="17"/>
        <v>2.0805613609281979</v>
      </c>
    </row>
    <row r="159" spans="1:22" x14ac:dyDescent="0.35">
      <c r="A159" t="s">
        <v>388</v>
      </c>
      <c r="B159" s="1">
        <v>45421</v>
      </c>
      <c r="C159" t="s">
        <v>389</v>
      </c>
      <c r="D159" t="s">
        <v>19</v>
      </c>
      <c r="E159" t="s">
        <v>98</v>
      </c>
      <c r="F159" t="s">
        <v>39</v>
      </c>
      <c r="G159" t="s">
        <v>22</v>
      </c>
      <c r="H159" t="s">
        <v>74</v>
      </c>
      <c r="I159">
        <v>7</v>
      </c>
      <c r="J159">
        <v>362.76</v>
      </c>
      <c r="K159">
        <v>0.05</v>
      </c>
      <c r="L159">
        <v>2412.35</v>
      </c>
      <c r="M159">
        <v>1770.79</v>
      </c>
      <c r="N159">
        <v>641.55999999999995</v>
      </c>
      <c r="O159" t="s">
        <v>24</v>
      </c>
      <c r="P159">
        <v>4</v>
      </c>
      <c r="Q159" t="str">
        <f t="shared" si="12"/>
        <v>May</v>
      </c>
      <c r="R159" t="str">
        <f t="shared" si="13"/>
        <v>Q2</v>
      </c>
      <c r="S159">
        <f t="shared" si="14"/>
        <v>2024</v>
      </c>
      <c r="T159">
        <f t="shared" si="15"/>
        <v>3078605.709999999</v>
      </c>
      <c r="U159">
        <f t="shared" si="16"/>
        <v>999228.08000000054</v>
      </c>
      <c r="V159">
        <f t="shared" si="17"/>
        <v>2.0809839831562753</v>
      </c>
    </row>
    <row r="160" spans="1:22" x14ac:dyDescent="0.35">
      <c r="A160" t="s">
        <v>390</v>
      </c>
      <c r="B160" s="1">
        <v>45503</v>
      </c>
      <c r="C160" t="s">
        <v>391</v>
      </c>
      <c r="D160" t="s">
        <v>19</v>
      </c>
      <c r="E160" t="s">
        <v>20</v>
      </c>
      <c r="F160" t="s">
        <v>39</v>
      </c>
      <c r="G160" t="s">
        <v>60</v>
      </c>
      <c r="H160" t="s">
        <v>110</v>
      </c>
      <c r="I160">
        <v>3</v>
      </c>
      <c r="J160">
        <v>744.33</v>
      </c>
      <c r="K160">
        <v>0.1</v>
      </c>
      <c r="L160">
        <v>2009.69</v>
      </c>
      <c r="M160">
        <v>1138.49</v>
      </c>
      <c r="N160">
        <v>871.2</v>
      </c>
      <c r="O160" t="s">
        <v>24</v>
      </c>
      <c r="P160">
        <v>3</v>
      </c>
      <c r="Q160" t="str">
        <f t="shared" si="12"/>
        <v>July</v>
      </c>
      <c r="R160" t="str">
        <f t="shared" si="13"/>
        <v>Q3</v>
      </c>
      <c r="S160">
        <f t="shared" si="14"/>
        <v>2024</v>
      </c>
      <c r="T160">
        <f t="shared" si="15"/>
        <v>3076193.3599999994</v>
      </c>
      <c r="U160">
        <f t="shared" si="16"/>
        <v>998586.52000000048</v>
      </c>
      <c r="V160">
        <f t="shared" si="17"/>
        <v>2.0805476524958477</v>
      </c>
    </row>
    <row r="161" spans="1:22" x14ac:dyDescent="0.35">
      <c r="A161" t="s">
        <v>392</v>
      </c>
      <c r="B161" s="1">
        <v>45381</v>
      </c>
      <c r="C161" t="s">
        <v>393</v>
      </c>
      <c r="D161" t="s">
        <v>19</v>
      </c>
      <c r="E161" t="s">
        <v>38</v>
      </c>
      <c r="F161" t="s">
        <v>31</v>
      </c>
      <c r="G161" t="s">
        <v>79</v>
      </c>
      <c r="H161" t="s">
        <v>103</v>
      </c>
      <c r="I161">
        <v>9</v>
      </c>
      <c r="J161">
        <v>297.56</v>
      </c>
      <c r="K161">
        <v>0.1</v>
      </c>
      <c r="L161">
        <v>2410.2399999999998</v>
      </c>
      <c r="M161">
        <v>1775.36</v>
      </c>
      <c r="N161">
        <v>634.88</v>
      </c>
      <c r="O161" t="s">
        <v>62</v>
      </c>
      <c r="P161">
        <v>1</v>
      </c>
      <c r="Q161" t="str">
        <f t="shared" si="12"/>
        <v>March</v>
      </c>
      <c r="R161" t="str">
        <f t="shared" si="13"/>
        <v>Q1</v>
      </c>
      <c r="S161">
        <f t="shared" si="14"/>
        <v>2024</v>
      </c>
      <c r="T161">
        <f t="shared" si="15"/>
        <v>3074183.6699999995</v>
      </c>
      <c r="U161">
        <f t="shared" si="16"/>
        <v>997715.32000000053</v>
      </c>
      <c r="V161">
        <f t="shared" si="17"/>
        <v>2.0812232792015242</v>
      </c>
    </row>
    <row r="162" spans="1:22" x14ac:dyDescent="0.35">
      <c r="A162" t="s">
        <v>394</v>
      </c>
      <c r="B162" s="1">
        <v>45410</v>
      </c>
      <c r="C162" t="s">
        <v>395</v>
      </c>
      <c r="D162" t="s">
        <v>66</v>
      </c>
      <c r="E162" t="s">
        <v>20</v>
      </c>
      <c r="F162" t="s">
        <v>31</v>
      </c>
      <c r="G162" t="s">
        <v>60</v>
      </c>
      <c r="H162" t="s">
        <v>110</v>
      </c>
      <c r="I162">
        <v>4</v>
      </c>
      <c r="J162">
        <v>861.71</v>
      </c>
      <c r="K162">
        <v>0.05</v>
      </c>
      <c r="L162">
        <v>3274.5</v>
      </c>
      <c r="M162">
        <v>1746.07</v>
      </c>
      <c r="N162">
        <v>1528.43</v>
      </c>
      <c r="O162" t="s">
        <v>62</v>
      </c>
      <c r="P162">
        <v>5</v>
      </c>
      <c r="Q162" t="str">
        <f t="shared" si="12"/>
        <v>April</v>
      </c>
      <c r="R162" t="str">
        <f t="shared" si="13"/>
        <v>Q2</v>
      </c>
      <c r="S162">
        <f t="shared" si="14"/>
        <v>2024</v>
      </c>
      <c r="T162">
        <f t="shared" si="15"/>
        <v>3071773.4299999988</v>
      </c>
      <c r="U162">
        <f t="shared" si="16"/>
        <v>997080.44000000053</v>
      </c>
      <c r="V162">
        <f t="shared" si="17"/>
        <v>2.0807679167791089</v>
      </c>
    </row>
    <row r="163" spans="1:22" x14ac:dyDescent="0.35">
      <c r="A163" t="s">
        <v>396</v>
      </c>
      <c r="B163" s="1">
        <v>45546</v>
      </c>
      <c r="C163" t="s">
        <v>397</v>
      </c>
      <c r="D163" t="s">
        <v>37</v>
      </c>
      <c r="E163" t="s">
        <v>38</v>
      </c>
      <c r="F163" t="s">
        <v>31</v>
      </c>
      <c r="G163" t="s">
        <v>60</v>
      </c>
      <c r="H163" t="s">
        <v>110</v>
      </c>
      <c r="I163">
        <v>11</v>
      </c>
      <c r="J163">
        <v>142.61000000000001</v>
      </c>
      <c r="K163">
        <v>0.05</v>
      </c>
      <c r="L163">
        <v>1490.27</v>
      </c>
      <c r="M163">
        <v>1064.6300000000001</v>
      </c>
      <c r="N163">
        <v>425.64</v>
      </c>
      <c r="O163" t="s">
        <v>33</v>
      </c>
      <c r="P163">
        <v>3</v>
      </c>
      <c r="Q163" t="str">
        <f t="shared" si="12"/>
        <v>September</v>
      </c>
      <c r="R163" t="str">
        <f t="shared" si="13"/>
        <v>Q3</v>
      </c>
      <c r="S163">
        <f t="shared" si="14"/>
        <v>2024</v>
      </c>
      <c r="T163">
        <f t="shared" si="15"/>
        <v>3068498.9299999988</v>
      </c>
      <c r="U163">
        <f t="shared" si="16"/>
        <v>995552.01000000036</v>
      </c>
      <c r="V163">
        <f t="shared" si="17"/>
        <v>2.0822085628655382</v>
      </c>
    </row>
    <row r="164" spans="1:22" x14ac:dyDescent="0.35">
      <c r="A164" t="s">
        <v>398</v>
      </c>
      <c r="B164" s="1">
        <v>45479</v>
      </c>
      <c r="C164" t="s">
        <v>399</v>
      </c>
      <c r="D164" t="s">
        <v>49</v>
      </c>
      <c r="E164" t="s">
        <v>20</v>
      </c>
      <c r="F164" t="s">
        <v>31</v>
      </c>
      <c r="G164" t="s">
        <v>60</v>
      </c>
      <c r="H164" t="s">
        <v>61</v>
      </c>
      <c r="I164">
        <v>12</v>
      </c>
      <c r="J164">
        <v>121.32</v>
      </c>
      <c r="K164">
        <v>0.15</v>
      </c>
      <c r="L164">
        <v>1237.46</v>
      </c>
      <c r="M164">
        <v>977.78</v>
      </c>
      <c r="N164">
        <v>259.68</v>
      </c>
      <c r="O164" t="s">
        <v>62</v>
      </c>
      <c r="P164">
        <v>1</v>
      </c>
      <c r="Q164" t="str">
        <f t="shared" si="12"/>
        <v>July</v>
      </c>
      <c r="R164" t="str">
        <f t="shared" si="13"/>
        <v>Q3</v>
      </c>
      <c r="S164">
        <f t="shared" si="14"/>
        <v>2024</v>
      </c>
      <c r="T164">
        <f t="shared" si="15"/>
        <v>3067008.6599999988</v>
      </c>
      <c r="U164">
        <f t="shared" si="16"/>
        <v>995126.37000000046</v>
      </c>
      <c r="V164">
        <f t="shared" si="17"/>
        <v>2.0820293306065212</v>
      </c>
    </row>
    <row r="165" spans="1:22" x14ac:dyDescent="0.35">
      <c r="A165" t="s">
        <v>400</v>
      </c>
      <c r="B165" s="1">
        <v>45536</v>
      </c>
      <c r="C165" t="s">
        <v>401</v>
      </c>
      <c r="D165" t="s">
        <v>66</v>
      </c>
      <c r="E165" t="s">
        <v>20</v>
      </c>
      <c r="F165" t="s">
        <v>39</v>
      </c>
      <c r="G165" t="s">
        <v>79</v>
      </c>
      <c r="H165" t="s">
        <v>103</v>
      </c>
      <c r="I165">
        <v>9</v>
      </c>
      <c r="J165">
        <v>1104.55</v>
      </c>
      <c r="K165">
        <v>0.15</v>
      </c>
      <c r="L165">
        <v>8449.81</v>
      </c>
      <c r="M165">
        <v>5014.49</v>
      </c>
      <c r="N165">
        <v>3435.32</v>
      </c>
      <c r="O165" t="s">
        <v>33</v>
      </c>
      <c r="P165">
        <v>1</v>
      </c>
      <c r="Q165" t="str">
        <f t="shared" si="12"/>
        <v>September</v>
      </c>
      <c r="R165" t="str">
        <f t="shared" si="13"/>
        <v>Q3</v>
      </c>
      <c r="S165">
        <f t="shared" si="14"/>
        <v>2024</v>
      </c>
      <c r="T165">
        <f t="shared" si="15"/>
        <v>3065771.1999999988</v>
      </c>
      <c r="U165">
        <f t="shared" si="16"/>
        <v>994866.69000000041</v>
      </c>
      <c r="V165">
        <f t="shared" si="17"/>
        <v>2.0815899565398031</v>
      </c>
    </row>
    <row r="166" spans="1:22" x14ac:dyDescent="0.35">
      <c r="A166" t="s">
        <v>402</v>
      </c>
      <c r="B166" s="1">
        <v>45307</v>
      </c>
      <c r="C166" t="s">
        <v>403</v>
      </c>
      <c r="D166" t="s">
        <v>19</v>
      </c>
      <c r="E166" t="s">
        <v>38</v>
      </c>
      <c r="F166" t="s">
        <v>31</v>
      </c>
      <c r="G166" t="s">
        <v>79</v>
      </c>
      <c r="H166" t="s">
        <v>80</v>
      </c>
      <c r="I166">
        <v>4</v>
      </c>
      <c r="J166">
        <v>547.54</v>
      </c>
      <c r="K166">
        <v>0.1</v>
      </c>
      <c r="L166">
        <v>1971.14</v>
      </c>
      <c r="M166">
        <v>1567.82</v>
      </c>
      <c r="N166">
        <v>403.32</v>
      </c>
      <c r="O166" t="s">
        <v>33</v>
      </c>
      <c r="P166">
        <v>1</v>
      </c>
      <c r="Q166" t="str">
        <f t="shared" si="12"/>
        <v>January</v>
      </c>
      <c r="R166" t="str">
        <f t="shared" si="13"/>
        <v>Q1</v>
      </c>
      <c r="S166">
        <f t="shared" si="14"/>
        <v>2024</v>
      </c>
      <c r="T166">
        <f t="shared" si="15"/>
        <v>3057321.3899999987</v>
      </c>
      <c r="U166">
        <f t="shared" si="16"/>
        <v>991431.37000000023</v>
      </c>
      <c r="V166">
        <f t="shared" si="17"/>
        <v>2.0837448587086751</v>
      </c>
    </row>
    <row r="167" spans="1:22" x14ac:dyDescent="0.35">
      <c r="A167" t="s">
        <v>404</v>
      </c>
      <c r="B167" s="1">
        <v>45493</v>
      </c>
      <c r="C167" t="s">
        <v>405</v>
      </c>
      <c r="D167" t="s">
        <v>66</v>
      </c>
      <c r="E167" t="s">
        <v>85</v>
      </c>
      <c r="F167" t="s">
        <v>21</v>
      </c>
      <c r="G167" t="s">
        <v>43</v>
      </c>
      <c r="H167" t="s">
        <v>50</v>
      </c>
      <c r="I167">
        <v>11</v>
      </c>
      <c r="J167">
        <v>552.65</v>
      </c>
      <c r="K167">
        <v>0.05</v>
      </c>
      <c r="L167">
        <v>5775.19</v>
      </c>
      <c r="M167">
        <v>3738.02</v>
      </c>
      <c r="N167">
        <v>2037.17</v>
      </c>
      <c r="O167" t="s">
        <v>33</v>
      </c>
      <c r="P167">
        <v>5</v>
      </c>
      <c r="Q167" t="str">
        <f t="shared" si="12"/>
        <v>July</v>
      </c>
      <c r="R167" t="str">
        <f t="shared" si="13"/>
        <v>Q3</v>
      </c>
      <c r="S167">
        <f t="shared" si="14"/>
        <v>2024</v>
      </c>
      <c r="T167">
        <f t="shared" si="15"/>
        <v>3055350.2499999991</v>
      </c>
      <c r="U167">
        <f t="shared" si="16"/>
        <v>991028.05000000028</v>
      </c>
      <c r="V167">
        <f t="shared" si="17"/>
        <v>2.0830108693694371</v>
      </c>
    </row>
    <row r="168" spans="1:22" x14ac:dyDescent="0.35">
      <c r="A168" t="s">
        <v>406</v>
      </c>
      <c r="B168" s="1">
        <v>45457</v>
      </c>
      <c r="C168" t="s">
        <v>407</v>
      </c>
      <c r="D168" t="s">
        <v>66</v>
      </c>
      <c r="E168" t="s">
        <v>85</v>
      </c>
      <c r="F168" t="s">
        <v>21</v>
      </c>
      <c r="G168" t="s">
        <v>79</v>
      </c>
      <c r="H168" t="s">
        <v>80</v>
      </c>
      <c r="I168">
        <v>6</v>
      </c>
      <c r="J168">
        <v>861.6</v>
      </c>
      <c r="K168">
        <v>0.1</v>
      </c>
      <c r="L168">
        <v>4652.6400000000003</v>
      </c>
      <c r="M168">
        <v>3766.38</v>
      </c>
      <c r="N168">
        <v>886.26</v>
      </c>
      <c r="O168" t="s">
        <v>24</v>
      </c>
      <c r="P168">
        <v>4</v>
      </c>
      <c r="Q168" t="str">
        <f t="shared" si="12"/>
        <v>June</v>
      </c>
      <c r="R168" t="str">
        <f t="shared" si="13"/>
        <v>Q2</v>
      </c>
      <c r="S168">
        <f t="shared" si="14"/>
        <v>2024</v>
      </c>
      <c r="T168">
        <f t="shared" si="15"/>
        <v>3049575.0599999991</v>
      </c>
      <c r="U168">
        <f t="shared" si="16"/>
        <v>988990.88000000035</v>
      </c>
      <c r="V168">
        <f t="shared" si="17"/>
        <v>2.0835219228715212</v>
      </c>
    </row>
    <row r="169" spans="1:22" x14ac:dyDescent="0.35">
      <c r="A169" t="s">
        <v>408</v>
      </c>
      <c r="B169" s="1">
        <v>45386</v>
      </c>
      <c r="C169" t="s">
        <v>409</v>
      </c>
      <c r="D169" t="s">
        <v>49</v>
      </c>
      <c r="E169" t="s">
        <v>38</v>
      </c>
      <c r="F169" t="s">
        <v>21</v>
      </c>
      <c r="G169" t="s">
        <v>60</v>
      </c>
      <c r="H169" t="s">
        <v>61</v>
      </c>
      <c r="I169">
        <v>3</v>
      </c>
      <c r="J169">
        <v>717.64</v>
      </c>
      <c r="K169">
        <v>0</v>
      </c>
      <c r="L169">
        <v>2152.92</v>
      </c>
      <c r="M169">
        <v>1630.86</v>
      </c>
      <c r="N169">
        <v>522.05999999999995</v>
      </c>
      <c r="O169" t="s">
        <v>33</v>
      </c>
      <c r="P169">
        <v>3</v>
      </c>
      <c r="Q169" t="str">
        <f t="shared" si="12"/>
        <v>April</v>
      </c>
      <c r="R169" t="str">
        <f t="shared" si="13"/>
        <v>Q2</v>
      </c>
      <c r="S169">
        <f t="shared" si="14"/>
        <v>2024</v>
      </c>
      <c r="T169">
        <f t="shared" si="15"/>
        <v>3044922.419999999</v>
      </c>
      <c r="U169">
        <f t="shared" si="16"/>
        <v>988104.62000000034</v>
      </c>
      <c r="V169">
        <f t="shared" si="17"/>
        <v>2.0815789728824443</v>
      </c>
    </row>
    <row r="170" spans="1:22" x14ac:dyDescent="0.35">
      <c r="A170" t="s">
        <v>410</v>
      </c>
      <c r="B170" s="1">
        <v>45373</v>
      </c>
      <c r="C170" t="s">
        <v>411</v>
      </c>
      <c r="D170" t="s">
        <v>66</v>
      </c>
      <c r="E170" t="s">
        <v>85</v>
      </c>
      <c r="F170" t="s">
        <v>39</v>
      </c>
      <c r="G170" t="s">
        <v>22</v>
      </c>
      <c r="H170" t="s">
        <v>23</v>
      </c>
      <c r="I170">
        <v>6</v>
      </c>
      <c r="J170">
        <v>930.47</v>
      </c>
      <c r="K170">
        <v>0</v>
      </c>
      <c r="L170">
        <v>5582.82</v>
      </c>
      <c r="M170">
        <v>3303.17</v>
      </c>
      <c r="N170">
        <v>2279.65</v>
      </c>
      <c r="O170" t="s">
        <v>62</v>
      </c>
      <c r="P170">
        <v>4</v>
      </c>
      <c r="Q170" t="str">
        <f t="shared" si="12"/>
        <v>March</v>
      </c>
      <c r="R170" t="str">
        <f t="shared" si="13"/>
        <v>Q1</v>
      </c>
      <c r="S170">
        <f t="shared" si="14"/>
        <v>2024</v>
      </c>
      <c r="T170">
        <f t="shared" si="15"/>
        <v>3042769.4999999991</v>
      </c>
      <c r="U170">
        <f t="shared" si="16"/>
        <v>987582.56000000029</v>
      </c>
      <c r="V170">
        <f t="shared" si="17"/>
        <v>2.0810279800809748</v>
      </c>
    </row>
    <row r="171" spans="1:22" x14ac:dyDescent="0.35">
      <c r="A171" t="s">
        <v>412</v>
      </c>
      <c r="B171" s="1">
        <v>45501</v>
      </c>
      <c r="C171" t="s">
        <v>413</v>
      </c>
      <c r="D171" t="s">
        <v>29</v>
      </c>
      <c r="E171" t="s">
        <v>38</v>
      </c>
      <c r="F171" t="s">
        <v>21</v>
      </c>
      <c r="G171" t="s">
        <v>79</v>
      </c>
      <c r="H171" t="s">
        <v>89</v>
      </c>
      <c r="I171">
        <v>9</v>
      </c>
      <c r="J171">
        <v>914.07</v>
      </c>
      <c r="K171">
        <v>0.1</v>
      </c>
      <c r="L171">
        <v>7403.97</v>
      </c>
      <c r="M171">
        <v>4077.18</v>
      </c>
      <c r="N171">
        <v>3326.79</v>
      </c>
      <c r="O171" t="s">
        <v>33</v>
      </c>
      <c r="P171">
        <v>1</v>
      </c>
      <c r="Q171" t="str">
        <f t="shared" si="12"/>
        <v>July</v>
      </c>
      <c r="R171" t="str">
        <f t="shared" si="13"/>
        <v>Q3</v>
      </c>
      <c r="S171">
        <f t="shared" si="14"/>
        <v>2024</v>
      </c>
      <c r="T171">
        <f t="shared" si="15"/>
        <v>3037186.6799999992</v>
      </c>
      <c r="U171">
        <f t="shared" si="16"/>
        <v>985302.91000000027</v>
      </c>
      <c r="V171">
        <f t="shared" si="17"/>
        <v>2.0824903176222209</v>
      </c>
    </row>
    <row r="172" spans="1:22" x14ac:dyDescent="0.35">
      <c r="A172" t="s">
        <v>414</v>
      </c>
      <c r="B172" s="1">
        <v>45535</v>
      </c>
      <c r="C172" t="s">
        <v>415</v>
      </c>
      <c r="D172" t="s">
        <v>29</v>
      </c>
      <c r="E172" t="s">
        <v>85</v>
      </c>
      <c r="F172" t="s">
        <v>31</v>
      </c>
      <c r="G172" t="s">
        <v>79</v>
      </c>
      <c r="H172" t="s">
        <v>89</v>
      </c>
      <c r="I172">
        <v>11</v>
      </c>
      <c r="J172">
        <v>169.99</v>
      </c>
      <c r="K172">
        <v>0.05</v>
      </c>
      <c r="L172">
        <v>1776.4</v>
      </c>
      <c r="M172">
        <v>1508.08</v>
      </c>
      <c r="N172">
        <v>268.32</v>
      </c>
      <c r="O172" t="s">
        <v>62</v>
      </c>
      <c r="P172">
        <v>4</v>
      </c>
      <c r="Q172" t="str">
        <f t="shared" si="12"/>
        <v>August</v>
      </c>
      <c r="R172" t="str">
        <f t="shared" si="13"/>
        <v>Q3</v>
      </c>
      <c r="S172">
        <f t="shared" si="14"/>
        <v>2024</v>
      </c>
      <c r="T172">
        <f t="shared" si="15"/>
        <v>3029782.7099999995</v>
      </c>
      <c r="U172">
        <f t="shared" si="16"/>
        <v>981976.12000000023</v>
      </c>
      <c r="V172">
        <f t="shared" si="17"/>
        <v>2.0853934716864591</v>
      </c>
    </row>
    <row r="173" spans="1:22" x14ac:dyDescent="0.35">
      <c r="A173" t="s">
        <v>416</v>
      </c>
      <c r="B173" s="1">
        <v>45622</v>
      </c>
      <c r="C173" t="s">
        <v>417</v>
      </c>
      <c r="D173" t="s">
        <v>49</v>
      </c>
      <c r="E173" t="s">
        <v>98</v>
      </c>
      <c r="F173" t="s">
        <v>39</v>
      </c>
      <c r="G173" t="s">
        <v>79</v>
      </c>
      <c r="H173" t="s">
        <v>80</v>
      </c>
      <c r="I173">
        <v>11</v>
      </c>
      <c r="J173">
        <v>141.86000000000001</v>
      </c>
      <c r="K173">
        <v>0.15</v>
      </c>
      <c r="L173">
        <v>1326.39</v>
      </c>
      <c r="M173">
        <v>940.73</v>
      </c>
      <c r="N173">
        <v>385.66</v>
      </c>
      <c r="O173" t="s">
        <v>62</v>
      </c>
      <c r="P173">
        <v>3</v>
      </c>
      <c r="Q173" t="str">
        <f t="shared" si="12"/>
        <v>November</v>
      </c>
      <c r="R173" t="str">
        <f t="shared" si="13"/>
        <v>Q4</v>
      </c>
      <c r="S173">
        <f t="shared" si="14"/>
        <v>2024</v>
      </c>
      <c r="T173">
        <f t="shared" si="15"/>
        <v>3028006.3099999991</v>
      </c>
      <c r="U173">
        <f t="shared" si="16"/>
        <v>981707.80000000028</v>
      </c>
      <c r="V173">
        <f t="shared" si="17"/>
        <v>2.0844272705177631</v>
      </c>
    </row>
    <row r="174" spans="1:22" x14ac:dyDescent="0.35">
      <c r="A174" t="s">
        <v>418</v>
      </c>
      <c r="B174" s="1">
        <v>45549</v>
      </c>
      <c r="C174" t="s">
        <v>419</v>
      </c>
      <c r="D174" t="s">
        <v>49</v>
      </c>
      <c r="E174" t="s">
        <v>85</v>
      </c>
      <c r="F174" t="s">
        <v>21</v>
      </c>
      <c r="G174" t="s">
        <v>43</v>
      </c>
      <c r="H174" t="s">
        <v>44</v>
      </c>
      <c r="I174">
        <v>12</v>
      </c>
      <c r="J174">
        <v>282.55</v>
      </c>
      <c r="K174">
        <v>0.05</v>
      </c>
      <c r="L174">
        <v>3221.07</v>
      </c>
      <c r="M174">
        <v>1725</v>
      </c>
      <c r="N174">
        <v>1496.07</v>
      </c>
      <c r="O174" t="s">
        <v>24</v>
      </c>
      <c r="P174">
        <v>2</v>
      </c>
      <c r="Q174" t="str">
        <f t="shared" si="12"/>
        <v>September</v>
      </c>
      <c r="R174" t="str">
        <f t="shared" si="13"/>
        <v>Q3</v>
      </c>
      <c r="S174">
        <f t="shared" si="14"/>
        <v>2024</v>
      </c>
      <c r="T174">
        <f t="shared" si="15"/>
        <v>3026679.919999999</v>
      </c>
      <c r="U174">
        <f t="shared" si="16"/>
        <v>981322.14000000025</v>
      </c>
      <c r="V174">
        <f t="shared" si="17"/>
        <v>2.0842878160274649</v>
      </c>
    </row>
    <row r="175" spans="1:22" x14ac:dyDescent="0.35">
      <c r="A175" t="s">
        <v>420</v>
      </c>
      <c r="B175" s="1">
        <v>45365</v>
      </c>
      <c r="C175" t="s">
        <v>421</v>
      </c>
      <c r="D175" t="s">
        <v>29</v>
      </c>
      <c r="E175" t="s">
        <v>20</v>
      </c>
      <c r="F175" t="s">
        <v>39</v>
      </c>
      <c r="G175" t="s">
        <v>79</v>
      </c>
      <c r="H175" t="s">
        <v>89</v>
      </c>
      <c r="I175">
        <v>3</v>
      </c>
      <c r="J175">
        <v>584.77</v>
      </c>
      <c r="K175">
        <v>0</v>
      </c>
      <c r="L175">
        <v>1754.31</v>
      </c>
      <c r="M175">
        <v>1455.34</v>
      </c>
      <c r="N175">
        <v>298.97000000000003</v>
      </c>
      <c r="O175" t="s">
        <v>62</v>
      </c>
      <c r="P175">
        <v>4</v>
      </c>
      <c r="Q175" t="str">
        <f t="shared" si="12"/>
        <v>March</v>
      </c>
      <c r="R175" t="str">
        <f t="shared" si="13"/>
        <v>Q1</v>
      </c>
      <c r="S175">
        <f t="shared" si="14"/>
        <v>2024</v>
      </c>
      <c r="T175">
        <f t="shared" si="15"/>
        <v>3023458.8499999992</v>
      </c>
      <c r="U175">
        <f t="shared" si="16"/>
        <v>979826.07000000018</v>
      </c>
      <c r="V175">
        <f t="shared" si="17"/>
        <v>2.0857097423423308</v>
      </c>
    </row>
    <row r="176" spans="1:22" x14ac:dyDescent="0.35">
      <c r="A176" t="s">
        <v>422</v>
      </c>
      <c r="B176" s="1">
        <v>45582</v>
      </c>
      <c r="C176" t="s">
        <v>423</v>
      </c>
      <c r="D176" t="s">
        <v>49</v>
      </c>
      <c r="E176" t="s">
        <v>85</v>
      </c>
      <c r="F176" t="s">
        <v>39</v>
      </c>
      <c r="G176" t="s">
        <v>22</v>
      </c>
      <c r="H176" t="s">
        <v>32</v>
      </c>
      <c r="I176">
        <v>8</v>
      </c>
      <c r="J176">
        <v>456.58</v>
      </c>
      <c r="K176">
        <v>0</v>
      </c>
      <c r="L176">
        <v>3652.64</v>
      </c>
      <c r="M176">
        <v>2069.62</v>
      </c>
      <c r="N176">
        <v>1583.02</v>
      </c>
      <c r="O176" t="s">
        <v>62</v>
      </c>
      <c r="P176">
        <v>5</v>
      </c>
      <c r="Q176" t="str">
        <f t="shared" si="12"/>
        <v>October</v>
      </c>
      <c r="R176" t="str">
        <f t="shared" si="13"/>
        <v>Q4</v>
      </c>
      <c r="S176">
        <f t="shared" si="14"/>
        <v>2024</v>
      </c>
      <c r="T176">
        <f t="shared" si="15"/>
        <v>3021704.5399999991</v>
      </c>
      <c r="U176">
        <f t="shared" si="16"/>
        <v>979527.10000000021</v>
      </c>
      <c r="V176">
        <f t="shared" si="17"/>
        <v>2.0848605822135995</v>
      </c>
    </row>
    <row r="177" spans="1:22" x14ac:dyDescent="0.35">
      <c r="A177" t="s">
        <v>424</v>
      </c>
      <c r="B177" s="1">
        <v>45510</v>
      </c>
      <c r="C177" t="s">
        <v>425</v>
      </c>
      <c r="D177" t="s">
        <v>49</v>
      </c>
      <c r="E177" t="s">
        <v>30</v>
      </c>
      <c r="F177" t="s">
        <v>39</v>
      </c>
      <c r="G177" t="s">
        <v>60</v>
      </c>
      <c r="H177" t="s">
        <v>119</v>
      </c>
      <c r="I177">
        <v>8</v>
      </c>
      <c r="J177">
        <v>588.41</v>
      </c>
      <c r="K177">
        <v>0.15</v>
      </c>
      <c r="L177">
        <v>4001.19</v>
      </c>
      <c r="M177">
        <v>3379.78</v>
      </c>
      <c r="N177">
        <v>621.41</v>
      </c>
      <c r="O177" t="s">
        <v>62</v>
      </c>
      <c r="P177">
        <v>4</v>
      </c>
      <c r="Q177" t="str">
        <f t="shared" si="12"/>
        <v>August</v>
      </c>
      <c r="R177" t="str">
        <f t="shared" si="13"/>
        <v>Q3</v>
      </c>
      <c r="S177">
        <f t="shared" si="14"/>
        <v>2024</v>
      </c>
      <c r="T177">
        <f t="shared" si="15"/>
        <v>3018051.8999999985</v>
      </c>
      <c r="U177">
        <f t="shared" si="16"/>
        <v>977944.08000000031</v>
      </c>
      <c r="V177">
        <f t="shared" si="17"/>
        <v>2.0861190958894067</v>
      </c>
    </row>
    <row r="178" spans="1:22" x14ac:dyDescent="0.35">
      <c r="A178" t="s">
        <v>426</v>
      </c>
      <c r="B178" s="1">
        <v>45531</v>
      </c>
      <c r="C178" t="s">
        <v>427</v>
      </c>
      <c r="D178" t="s">
        <v>66</v>
      </c>
      <c r="E178" t="s">
        <v>30</v>
      </c>
      <c r="F178" t="s">
        <v>39</v>
      </c>
      <c r="G178" t="s">
        <v>43</v>
      </c>
      <c r="H178" t="s">
        <v>44</v>
      </c>
      <c r="I178">
        <v>4</v>
      </c>
      <c r="J178">
        <v>159.41</v>
      </c>
      <c r="K178">
        <v>0.15</v>
      </c>
      <c r="L178">
        <v>541.99</v>
      </c>
      <c r="M178">
        <v>392.7</v>
      </c>
      <c r="N178">
        <v>149.29</v>
      </c>
      <c r="O178" t="s">
        <v>62</v>
      </c>
      <c r="P178">
        <v>4</v>
      </c>
      <c r="Q178" t="str">
        <f t="shared" si="12"/>
        <v>August</v>
      </c>
      <c r="R178" t="str">
        <f t="shared" si="13"/>
        <v>Q3</v>
      </c>
      <c r="S178">
        <f t="shared" si="14"/>
        <v>2024</v>
      </c>
      <c r="T178">
        <f t="shared" si="15"/>
        <v>3014050.7099999986</v>
      </c>
      <c r="U178">
        <f t="shared" si="16"/>
        <v>977322.67000000027</v>
      </c>
      <c r="V178">
        <f t="shared" si="17"/>
        <v>2.0839873078969893</v>
      </c>
    </row>
    <row r="179" spans="1:22" x14ac:dyDescent="0.35">
      <c r="A179" t="s">
        <v>428</v>
      </c>
      <c r="B179" s="1">
        <v>45595</v>
      </c>
      <c r="C179" t="s">
        <v>429</v>
      </c>
      <c r="D179" t="s">
        <v>49</v>
      </c>
      <c r="E179" t="s">
        <v>38</v>
      </c>
      <c r="F179" t="s">
        <v>31</v>
      </c>
      <c r="G179" t="s">
        <v>79</v>
      </c>
      <c r="H179" t="s">
        <v>80</v>
      </c>
      <c r="I179">
        <v>10</v>
      </c>
      <c r="J179">
        <v>140.77000000000001</v>
      </c>
      <c r="K179">
        <v>0.15</v>
      </c>
      <c r="L179">
        <v>1196.55</v>
      </c>
      <c r="M179">
        <v>627.82000000000005</v>
      </c>
      <c r="N179">
        <v>568.73</v>
      </c>
      <c r="O179" t="s">
        <v>62</v>
      </c>
      <c r="P179">
        <v>1</v>
      </c>
      <c r="Q179" t="str">
        <f t="shared" si="12"/>
        <v>October</v>
      </c>
      <c r="R179" t="str">
        <f t="shared" si="13"/>
        <v>Q4</v>
      </c>
      <c r="S179">
        <f t="shared" si="14"/>
        <v>2024</v>
      </c>
      <c r="T179">
        <f t="shared" si="15"/>
        <v>3013508.7199999988</v>
      </c>
      <c r="U179">
        <f t="shared" si="16"/>
        <v>977173.38000000024</v>
      </c>
      <c r="V179">
        <f t="shared" si="17"/>
        <v>2.0839038206300686</v>
      </c>
    </row>
    <row r="180" spans="1:22" x14ac:dyDescent="0.35">
      <c r="A180" t="s">
        <v>430</v>
      </c>
      <c r="B180" s="1">
        <v>45550</v>
      </c>
      <c r="C180" t="s">
        <v>431</v>
      </c>
      <c r="D180" t="s">
        <v>29</v>
      </c>
      <c r="E180" t="s">
        <v>98</v>
      </c>
      <c r="F180" t="s">
        <v>21</v>
      </c>
      <c r="G180" t="s">
        <v>79</v>
      </c>
      <c r="H180" t="s">
        <v>89</v>
      </c>
      <c r="I180">
        <v>4</v>
      </c>
      <c r="J180">
        <v>643.5</v>
      </c>
      <c r="K180">
        <v>0</v>
      </c>
      <c r="L180">
        <v>2574</v>
      </c>
      <c r="M180">
        <v>1418.82</v>
      </c>
      <c r="N180">
        <v>1155.18</v>
      </c>
      <c r="O180" t="s">
        <v>33</v>
      </c>
      <c r="P180">
        <v>1</v>
      </c>
      <c r="Q180" t="str">
        <f t="shared" si="12"/>
        <v>September</v>
      </c>
      <c r="R180" t="str">
        <f t="shared" si="13"/>
        <v>Q3</v>
      </c>
      <c r="S180">
        <f t="shared" si="14"/>
        <v>2024</v>
      </c>
      <c r="T180">
        <f t="shared" si="15"/>
        <v>3012312.1699999985</v>
      </c>
      <c r="U180">
        <f t="shared" si="16"/>
        <v>976604.65000000026</v>
      </c>
      <c r="V180">
        <f t="shared" si="17"/>
        <v>2.0844745312240707</v>
      </c>
    </row>
    <row r="181" spans="1:22" x14ac:dyDescent="0.35">
      <c r="A181" t="s">
        <v>432</v>
      </c>
      <c r="B181" s="1">
        <v>45380</v>
      </c>
      <c r="C181" t="s">
        <v>433</v>
      </c>
      <c r="D181" t="s">
        <v>29</v>
      </c>
      <c r="E181" t="s">
        <v>38</v>
      </c>
      <c r="F181" t="s">
        <v>31</v>
      </c>
      <c r="G181" t="s">
        <v>43</v>
      </c>
      <c r="H181" t="s">
        <v>44</v>
      </c>
      <c r="I181">
        <v>2</v>
      </c>
      <c r="J181">
        <v>983.55</v>
      </c>
      <c r="K181">
        <v>0.1</v>
      </c>
      <c r="L181">
        <v>1770.39</v>
      </c>
      <c r="M181">
        <v>1158.31</v>
      </c>
      <c r="N181">
        <v>612.08000000000004</v>
      </c>
      <c r="O181" t="s">
        <v>62</v>
      </c>
      <c r="P181">
        <v>3</v>
      </c>
      <c r="Q181" t="str">
        <f t="shared" si="12"/>
        <v>March</v>
      </c>
      <c r="R181" t="str">
        <f t="shared" si="13"/>
        <v>Q1</v>
      </c>
      <c r="S181">
        <f t="shared" si="14"/>
        <v>2024</v>
      </c>
      <c r="T181">
        <f t="shared" si="15"/>
        <v>3009738.169999999</v>
      </c>
      <c r="U181">
        <f t="shared" si="16"/>
        <v>975449.4700000002</v>
      </c>
      <c r="V181">
        <f t="shared" si="17"/>
        <v>2.0854885491915827</v>
      </c>
    </row>
    <row r="182" spans="1:22" x14ac:dyDescent="0.35">
      <c r="A182" t="s">
        <v>434</v>
      </c>
      <c r="B182" s="1">
        <v>45328</v>
      </c>
      <c r="C182" t="s">
        <v>435</v>
      </c>
      <c r="D182" t="s">
        <v>49</v>
      </c>
      <c r="E182" t="s">
        <v>30</v>
      </c>
      <c r="F182" t="s">
        <v>31</v>
      </c>
      <c r="G182" t="s">
        <v>60</v>
      </c>
      <c r="H182" t="s">
        <v>61</v>
      </c>
      <c r="I182">
        <v>1</v>
      </c>
      <c r="J182">
        <v>330.49</v>
      </c>
      <c r="K182">
        <v>0</v>
      </c>
      <c r="L182">
        <v>330.49</v>
      </c>
      <c r="M182">
        <v>187.48</v>
      </c>
      <c r="N182">
        <v>143.01</v>
      </c>
      <c r="O182" t="s">
        <v>62</v>
      </c>
      <c r="P182">
        <v>2</v>
      </c>
      <c r="Q182" t="str">
        <f t="shared" si="12"/>
        <v>February</v>
      </c>
      <c r="R182" t="str">
        <f t="shared" si="13"/>
        <v>Q1</v>
      </c>
      <c r="S182">
        <f t="shared" si="14"/>
        <v>2024</v>
      </c>
      <c r="T182">
        <f t="shared" si="15"/>
        <v>3007967.7799999989</v>
      </c>
      <c r="U182">
        <f t="shared" si="16"/>
        <v>974837.39000000013</v>
      </c>
      <c r="V182">
        <f t="shared" si="17"/>
        <v>2.0856097753903331</v>
      </c>
    </row>
    <row r="183" spans="1:22" x14ac:dyDescent="0.35">
      <c r="A183" t="s">
        <v>436</v>
      </c>
      <c r="B183" s="1">
        <v>45393</v>
      </c>
      <c r="C183" t="s">
        <v>437</v>
      </c>
      <c r="D183" t="s">
        <v>29</v>
      </c>
      <c r="E183" t="s">
        <v>85</v>
      </c>
      <c r="F183" t="s">
        <v>31</v>
      </c>
      <c r="G183" t="s">
        <v>79</v>
      </c>
      <c r="H183" t="s">
        <v>103</v>
      </c>
      <c r="I183">
        <v>7</v>
      </c>
      <c r="J183">
        <v>561.27</v>
      </c>
      <c r="K183">
        <v>0.15</v>
      </c>
      <c r="L183">
        <v>3339.56</v>
      </c>
      <c r="M183">
        <v>2827.02</v>
      </c>
      <c r="N183">
        <v>512.54</v>
      </c>
      <c r="O183" t="s">
        <v>51</v>
      </c>
      <c r="P183">
        <v>5</v>
      </c>
      <c r="Q183" t="str">
        <f t="shared" si="12"/>
        <v>April</v>
      </c>
      <c r="R183" t="str">
        <f t="shared" si="13"/>
        <v>Q2</v>
      </c>
      <c r="S183">
        <f t="shared" si="14"/>
        <v>2024</v>
      </c>
      <c r="T183">
        <f t="shared" si="15"/>
        <v>3007637.2899999991</v>
      </c>
      <c r="U183">
        <f t="shared" si="16"/>
        <v>974694.38000000012</v>
      </c>
      <c r="V183">
        <f t="shared" si="17"/>
        <v>2.085723434662667</v>
      </c>
    </row>
    <row r="184" spans="1:22" x14ac:dyDescent="0.35">
      <c r="A184" t="s">
        <v>438</v>
      </c>
      <c r="B184" s="1">
        <v>45646</v>
      </c>
      <c r="C184" t="s">
        <v>439</v>
      </c>
      <c r="D184" t="s">
        <v>19</v>
      </c>
      <c r="E184" t="s">
        <v>98</v>
      </c>
      <c r="F184" t="s">
        <v>39</v>
      </c>
      <c r="G184" t="s">
        <v>60</v>
      </c>
      <c r="H184" t="s">
        <v>119</v>
      </c>
      <c r="I184">
        <v>2</v>
      </c>
      <c r="J184">
        <v>176.88</v>
      </c>
      <c r="K184">
        <v>0</v>
      </c>
      <c r="L184">
        <v>353.76</v>
      </c>
      <c r="M184">
        <v>229.24</v>
      </c>
      <c r="N184">
        <v>124.52</v>
      </c>
      <c r="O184" t="s">
        <v>24</v>
      </c>
      <c r="P184">
        <v>3</v>
      </c>
      <c r="Q184" t="str">
        <f t="shared" si="12"/>
        <v>December</v>
      </c>
      <c r="R184" t="str">
        <f t="shared" si="13"/>
        <v>Q4</v>
      </c>
      <c r="S184">
        <f t="shared" si="14"/>
        <v>2024</v>
      </c>
      <c r="T184">
        <f t="shared" si="15"/>
        <v>3004297.7299999986</v>
      </c>
      <c r="U184">
        <f t="shared" si="16"/>
        <v>974181.84000000008</v>
      </c>
      <c r="V184">
        <f t="shared" si="17"/>
        <v>2.0839188400391433</v>
      </c>
    </row>
    <row r="185" spans="1:22" x14ac:dyDescent="0.35">
      <c r="A185" t="s">
        <v>440</v>
      </c>
      <c r="B185" s="1">
        <v>45424</v>
      </c>
      <c r="C185" t="s">
        <v>441</v>
      </c>
      <c r="D185" t="s">
        <v>19</v>
      </c>
      <c r="E185" t="s">
        <v>85</v>
      </c>
      <c r="F185" t="s">
        <v>39</v>
      </c>
      <c r="G185" t="s">
        <v>43</v>
      </c>
      <c r="H185" t="s">
        <v>50</v>
      </c>
      <c r="I185">
        <v>6</v>
      </c>
      <c r="J185">
        <v>707.17</v>
      </c>
      <c r="K185">
        <v>0.15</v>
      </c>
      <c r="L185">
        <v>3606.57</v>
      </c>
      <c r="M185">
        <v>2036.57</v>
      </c>
      <c r="N185">
        <v>1570</v>
      </c>
      <c r="O185" t="s">
        <v>62</v>
      </c>
      <c r="P185">
        <v>4</v>
      </c>
      <c r="Q185" t="str">
        <f t="shared" si="12"/>
        <v>May</v>
      </c>
      <c r="R185" t="str">
        <f t="shared" si="13"/>
        <v>Q2</v>
      </c>
      <c r="S185">
        <f t="shared" si="14"/>
        <v>2024</v>
      </c>
      <c r="T185">
        <f t="shared" si="15"/>
        <v>3003943.9699999988</v>
      </c>
      <c r="U185">
        <f t="shared" si="16"/>
        <v>974057.32000000007</v>
      </c>
      <c r="V185">
        <f t="shared" si="17"/>
        <v>2.0839498952689959</v>
      </c>
    </row>
    <row r="186" spans="1:22" x14ac:dyDescent="0.35">
      <c r="A186" t="s">
        <v>442</v>
      </c>
      <c r="B186" s="1">
        <v>45552</v>
      </c>
      <c r="C186" t="s">
        <v>443</v>
      </c>
      <c r="D186" t="s">
        <v>37</v>
      </c>
      <c r="E186" t="s">
        <v>98</v>
      </c>
      <c r="F186" t="s">
        <v>31</v>
      </c>
      <c r="G186" t="s">
        <v>79</v>
      </c>
      <c r="H186" t="s">
        <v>103</v>
      </c>
      <c r="I186">
        <v>10</v>
      </c>
      <c r="J186">
        <v>334.06</v>
      </c>
      <c r="K186">
        <v>0.1</v>
      </c>
      <c r="L186">
        <v>3006.54</v>
      </c>
      <c r="M186">
        <v>1920.88</v>
      </c>
      <c r="N186">
        <v>1085.6600000000001</v>
      </c>
      <c r="O186" t="s">
        <v>33</v>
      </c>
      <c r="P186">
        <v>1</v>
      </c>
      <c r="Q186" t="str">
        <f t="shared" si="12"/>
        <v>September</v>
      </c>
      <c r="R186" t="str">
        <f t="shared" si="13"/>
        <v>Q3</v>
      </c>
      <c r="S186">
        <f t="shared" si="14"/>
        <v>2024</v>
      </c>
      <c r="T186">
        <f t="shared" si="15"/>
        <v>3000337.399999999</v>
      </c>
      <c r="U186">
        <f t="shared" si="16"/>
        <v>972487.32000000007</v>
      </c>
      <c r="V186">
        <f t="shared" si="17"/>
        <v>2.0852200725866523</v>
      </c>
    </row>
    <row r="187" spans="1:22" x14ac:dyDescent="0.35">
      <c r="A187" t="s">
        <v>444</v>
      </c>
      <c r="B187" s="1">
        <v>45539</v>
      </c>
      <c r="C187" t="s">
        <v>445</v>
      </c>
      <c r="D187" t="s">
        <v>49</v>
      </c>
      <c r="E187" t="s">
        <v>85</v>
      </c>
      <c r="F187" t="s">
        <v>39</v>
      </c>
      <c r="G187" t="s">
        <v>60</v>
      </c>
      <c r="H187" t="s">
        <v>61</v>
      </c>
      <c r="I187">
        <v>4</v>
      </c>
      <c r="J187">
        <v>209.97</v>
      </c>
      <c r="K187">
        <v>0.1</v>
      </c>
      <c r="L187">
        <v>755.89</v>
      </c>
      <c r="M187">
        <v>534.25</v>
      </c>
      <c r="N187">
        <v>221.64</v>
      </c>
      <c r="O187" t="s">
        <v>24</v>
      </c>
      <c r="P187">
        <v>2</v>
      </c>
      <c r="Q187" t="str">
        <f t="shared" si="12"/>
        <v>September</v>
      </c>
      <c r="R187" t="str">
        <f t="shared" si="13"/>
        <v>Q3</v>
      </c>
      <c r="S187">
        <f t="shared" si="14"/>
        <v>2024</v>
      </c>
      <c r="T187">
        <f t="shared" si="15"/>
        <v>2997330.8599999989</v>
      </c>
      <c r="U187">
        <f t="shared" si="16"/>
        <v>971401.66000000015</v>
      </c>
      <c r="V187">
        <f t="shared" si="17"/>
        <v>2.0855731294508995</v>
      </c>
    </row>
    <row r="188" spans="1:22" x14ac:dyDescent="0.35">
      <c r="A188" t="s">
        <v>446</v>
      </c>
      <c r="B188" s="1">
        <v>45353</v>
      </c>
      <c r="C188" t="s">
        <v>447</v>
      </c>
      <c r="D188" t="s">
        <v>66</v>
      </c>
      <c r="E188" t="s">
        <v>98</v>
      </c>
      <c r="F188" t="s">
        <v>21</v>
      </c>
      <c r="G188" t="s">
        <v>43</v>
      </c>
      <c r="H188" t="s">
        <v>44</v>
      </c>
      <c r="I188">
        <v>8</v>
      </c>
      <c r="J188">
        <v>969.14</v>
      </c>
      <c r="K188">
        <v>0</v>
      </c>
      <c r="L188">
        <v>7753.12</v>
      </c>
      <c r="M188">
        <v>4600.1499999999996</v>
      </c>
      <c r="N188">
        <v>3152.97</v>
      </c>
      <c r="O188" t="s">
        <v>51</v>
      </c>
      <c r="P188">
        <v>1</v>
      </c>
      <c r="Q188" t="str">
        <f t="shared" si="12"/>
        <v>March</v>
      </c>
      <c r="R188" t="str">
        <f t="shared" si="13"/>
        <v>Q1</v>
      </c>
      <c r="S188">
        <f t="shared" si="14"/>
        <v>2024</v>
      </c>
      <c r="T188">
        <f t="shared" si="15"/>
        <v>2996574.9699999988</v>
      </c>
      <c r="U188">
        <f t="shared" si="16"/>
        <v>971180.02000000014</v>
      </c>
      <c r="V188">
        <f t="shared" si="17"/>
        <v>2.0854989891575388</v>
      </c>
    </row>
    <row r="189" spans="1:22" x14ac:dyDescent="0.35">
      <c r="A189" t="s">
        <v>448</v>
      </c>
      <c r="B189" s="1">
        <v>45648</v>
      </c>
      <c r="C189" t="s">
        <v>449</v>
      </c>
      <c r="D189" t="s">
        <v>19</v>
      </c>
      <c r="E189" t="s">
        <v>38</v>
      </c>
      <c r="F189" t="s">
        <v>21</v>
      </c>
      <c r="G189" t="s">
        <v>60</v>
      </c>
      <c r="H189" t="s">
        <v>110</v>
      </c>
      <c r="I189">
        <v>4</v>
      </c>
      <c r="J189">
        <v>865.66</v>
      </c>
      <c r="K189">
        <v>0</v>
      </c>
      <c r="L189">
        <v>3462.64</v>
      </c>
      <c r="M189">
        <v>2613.65</v>
      </c>
      <c r="N189">
        <v>848.99</v>
      </c>
      <c r="O189" t="s">
        <v>33</v>
      </c>
      <c r="P189">
        <v>3</v>
      </c>
      <c r="Q189" t="str">
        <f t="shared" si="12"/>
        <v>December</v>
      </c>
      <c r="R189" t="str">
        <f t="shared" si="13"/>
        <v>Q4</v>
      </c>
      <c r="S189">
        <f t="shared" si="14"/>
        <v>2024</v>
      </c>
      <c r="T189">
        <f t="shared" si="15"/>
        <v>2988821.8499999992</v>
      </c>
      <c r="U189">
        <f t="shared" si="16"/>
        <v>968027.05000000016</v>
      </c>
      <c r="V189">
        <f t="shared" si="17"/>
        <v>2.087539599229173</v>
      </c>
    </row>
    <row r="190" spans="1:22" x14ac:dyDescent="0.35">
      <c r="A190" t="s">
        <v>450</v>
      </c>
      <c r="B190" s="1">
        <v>45473</v>
      </c>
      <c r="C190" t="s">
        <v>451</v>
      </c>
      <c r="D190" t="s">
        <v>37</v>
      </c>
      <c r="E190" t="s">
        <v>85</v>
      </c>
      <c r="F190" t="s">
        <v>21</v>
      </c>
      <c r="G190" t="s">
        <v>60</v>
      </c>
      <c r="H190" t="s">
        <v>61</v>
      </c>
      <c r="I190">
        <v>12</v>
      </c>
      <c r="J190">
        <v>315.32</v>
      </c>
      <c r="K190">
        <v>0</v>
      </c>
      <c r="L190">
        <v>3783.84</v>
      </c>
      <c r="M190">
        <v>2842.95</v>
      </c>
      <c r="N190">
        <v>940.89</v>
      </c>
      <c r="O190" t="s">
        <v>62</v>
      </c>
      <c r="P190">
        <v>4</v>
      </c>
      <c r="Q190" t="str">
        <f t="shared" si="12"/>
        <v>June</v>
      </c>
      <c r="R190" t="str">
        <f t="shared" si="13"/>
        <v>Q2</v>
      </c>
      <c r="S190">
        <f t="shared" si="14"/>
        <v>2024</v>
      </c>
      <c r="T190">
        <f t="shared" si="15"/>
        <v>2985359.2099999995</v>
      </c>
      <c r="U190">
        <f t="shared" si="16"/>
        <v>967178.06000000017</v>
      </c>
      <c r="V190">
        <f t="shared" si="17"/>
        <v>2.0866696976149348</v>
      </c>
    </row>
    <row r="191" spans="1:22" x14ac:dyDescent="0.35">
      <c r="A191" t="s">
        <v>452</v>
      </c>
      <c r="B191" s="1">
        <v>45434</v>
      </c>
      <c r="C191" t="s">
        <v>453</v>
      </c>
      <c r="D191" t="s">
        <v>66</v>
      </c>
      <c r="E191" t="s">
        <v>98</v>
      </c>
      <c r="F191" t="s">
        <v>31</v>
      </c>
      <c r="G191" t="s">
        <v>79</v>
      </c>
      <c r="H191" t="s">
        <v>103</v>
      </c>
      <c r="I191">
        <v>5</v>
      </c>
      <c r="J191">
        <v>456.22</v>
      </c>
      <c r="K191">
        <v>0.15</v>
      </c>
      <c r="L191">
        <v>1938.94</v>
      </c>
      <c r="M191">
        <v>999.8</v>
      </c>
      <c r="N191">
        <v>939.14</v>
      </c>
      <c r="O191" t="s">
        <v>24</v>
      </c>
      <c r="P191">
        <v>1</v>
      </c>
      <c r="Q191" t="str">
        <f t="shared" si="12"/>
        <v>May</v>
      </c>
      <c r="R191" t="str">
        <f t="shared" si="13"/>
        <v>Q2</v>
      </c>
      <c r="S191">
        <f t="shared" si="14"/>
        <v>2024</v>
      </c>
      <c r="T191">
        <f t="shared" si="15"/>
        <v>2981575.3699999992</v>
      </c>
      <c r="U191">
        <f t="shared" si="16"/>
        <v>966237.17000000016</v>
      </c>
      <c r="V191">
        <f t="shared" si="17"/>
        <v>2.0857593379480512</v>
      </c>
    </row>
    <row r="192" spans="1:22" x14ac:dyDescent="0.35">
      <c r="A192" t="s">
        <v>454</v>
      </c>
      <c r="B192" s="1">
        <v>45417</v>
      </c>
      <c r="C192" t="s">
        <v>455</v>
      </c>
      <c r="D192" t="s">
        <v>66</v>
      </c>
      <c r="E192" t="s">
        <v>98</v>
      </c>
      <c r="F192" t="s">
        <v>21</v>
      </c>
      <c r="G192" t="s">
        <v>22</v>
      </c>
      <c r="H192" t="s">
        <v>124</v>
      </c>
      <c r="I192">
        <v>8</v>
      </c>
      <c r="J192">
        <v>844.9</v>
      </c>
      <c r="K192">
        <v>0.1</v>
      </c>
      <c r="L192">
        <v>6083.28</v>
      </c>
      <c r="M192">
        <v>3393.44</v>
      </c>
      <c r="N192">
        <v>2689.84</v>
      </c>
      <c r="O192" t="s">
        <v>33</v>
      </c>
      <c r="P192">
        <v>5</v>
      </c>
      <c r="Q192" t="str">
        <f t="shared" si="12"/>
        <v>May</v>
      </c>
      <c r="R192" t="str">
        <f t="shared" si="13"/>
        <v>Q2</v>
      </c>
      <c r="S192">
        <f t="shared" si="14"/>
        <v>2024</v>
      </c>
      <c r="T192">
        <f t="shared" si="15"/>
        <v>2979636.4299999992</v>
      </c>
      <c r="U192">
        <f t="shared" si="16"/>
        <v>965298.03000000014</v>
      </c>
      <c r="V192">
        <f t="shared" si="17"/>
        <v>2.0867528342516133</v>
      </c>
    </row>
    <row r="193" spans="1:22" x14ac:dyDescent="0.35">
      <c r="A193" t="s">
        <v>456</v>
      </c>
      <c r="B193" s="1">
        <v>45306</v>
      </c>
      <c r="C193" t="s">
        <v>457</v>
      </c>
      <c r="D193" t="s">
        <v>37</v>
      </c>
      <c r="E193" t="s">
        <v>30</v>
      </c>
      <c r="F193" t="s">
        <v>31</v>
      </c>
      <c r="G193" t="s">
        <v>22</v>
      </c>
      <c r="H193" t="s">
        <v>74</v>
      </c>
      <c r="I193">
        <v>11</v>
      </c>
      <c r="J193">
        <v>763.65</v>
      </c>
      <c r="K193">
        <v>0.15</v>
      </c>
      <c r="L193">
        <v>7140.13</v>
      </c>
      <c r="M193">
        <v>4703.41</v>
      </c>
      <c r="N193">
        <v>2436.7199999999998</v>
      </c>
      <c r="O193" t="s">
        <v>24</v>
      </c>
      <c r="P193">
        <v>2</v>
      </c>
      <c r="Q193" t="str">
        <f t="shared" si="12"/>
        <v>January</v>
      </c>
      <c r="R193" t="str">
        <f t="shared" si="13"/>
        <v>Q1</v>
      </c>
      <c r="S193">
        <f t="shared" si="14"/>
        <v>2024</v>
      </c>
      <c r="T193">
        <f t="shared" si="15"/>
        <v>2973553.149999999</v>
      </c>
      <c r="U193">
        <f t="shared" si="16"/>
        <v>962608.19000000018</v>
      </c>
      <c r="V193">
        <f t="shared" si="17"/>
        <v>2.0890586438912373</v>
      </c>
    </row>
    <row r="194" spans="1:22" x14ac:dyDescent="0.35">
      <c r="A194" t="s">
        <v>458</v>
      </c>
      <c r="B194" s="1">
        <v>45640</v>
      </c>
      <c r="C194" t="s">
        <v>459</v>
      </c>
      <c r="D194" t="s">
        <v>37</v>
      </c>
      <c r="E194" t="s">
        <v>98</v>
      </c>
      <c r="F194" t="s">
        <v>39</v>
      </c>
      <c r="G194" t="s">
        <v>79</v>
      </c>
      <c r="H194" t="s">
        <v>80</v>
      </c>
      <c r="I194">
        <v>12</v>
      </c>
      <c r="J194">
        <v>938.58</v>
      </c>
      <c r="K194">
        <v>0.15</v>
      </c>
      <c r="L194">
        <v>9573.52</v>
      </c>
      <c r="M194">
        <v>8126.08</v>
      </c>
      <c r="N194">
        <v>1447.44</v>
      </c>
      <c r="O194" t="s">
        <v>62</v>
      </c>
      <c r="P194">
        <v>1</v>
      </c>
      <c r="Q194" t="str">
        <f t="shared" ref="Q194:Q257" si="18">TEXT(B194,"MMMM")</f>
        <v>December</v>
      </c>
      <c r="R194" t="str">
        <f t="shared" ref="R194:R257" si="19">"Q"&amp;ROUNDUP(MONTH(B194)/3,0)</f>
        <v>Q4</v>
      </c>
      <c r="S194">
        <f t="shared" ref="S194:S257" si="20">YEAR(B194)</f>
        <v>2024</v>
      </c>
      <c r="T194">
        <f t="shared" ref="T194:T257" si="21">SUM(L194:L1193)</f>
        <v>2966413.0199999986</v>
      </c>
      <c r="U194">
        <f t="shared" ref="U194:U257" si="22">SUM(N194:N1193)</f>
        <v>960171.47000000009</v>
      </c>
      <c r="V194">
        <f t="shared" ref="V194:V257" si="23">(T194-U194)/U194</f>
        <v>2.0894617395786592</v>
      </c>
    </row>
    <row r="195" spans="1:22" x14ac:dyDescent="0.35">
      <c r="A195" t="s">
        <v>460</v>
      </c>
      <c r="B195" s="1">
        <v>45602</v>
      </c>
      <c r="C195" t="s">
        <v>461</v>
      </c>
      <c r="D195" t="s">
        <v>29</v>
      </c>
      <c r="E195" t="s">
        <v>38</v>
      </c>
      <c r="F195" t="s">
        <v>21</v>
      </c>
      <c r="G195" t="s">
        <v>79</v>
      </c>
      <c r="H195" t="s">
        <v>103</v>
      </c>
      <c r="I195">
        <v>2</v>
      </c>
      <c r="J195">
        <v>82.34</v>
      </c>
      <c r="K195">
        <v>0.15</v>
      </c>
      <c r="L195">
        <v>139.97999999999999</v>
      </c>
      <c r="M195">
        <v>112.38</v>
      </c>
      <c r="N195">
        <v>27.6</v>
      </c>
      <c r="O195" t="s">
        <v>62</v>
      </c>
      <c r="P195">
        <v>2</v>
      </c>
      <c r="Q195" t="str">
        <f t="shared" si="18"/>
        <v>November</v>
      </c>
      <c r="R195" t="str">
        <f t="shared" si="19"/>
        <v>Q4</v>
      </c>
      <c r="S195">
        <f t="shared" si="20"/>
        <v>2024</v>
      </c>
      <c r="T195">
        <f t="shared" si="21"/>
        <v>2956839.4999999986</v>
      </c>
      <c r="U195">
        <f t="shared" si="22"/>
        <v>958724.03000000014</v>
      </c>
      <c r="V195">
        <f t="shared" si="23"/>
        <v>2.0841403860504029</v>
      </c>
    </row>
    <row r="196" spans="1:22" x14ac:dyDescent="0.35">
      <c r="A196" t="s">
        <v>462</v>
      </c>
      <c r="B196" s="1">
        <v>45387</v>
      </c>
      <c r="C196" t="s">
        <v>463</v>
      </c>
      <c r="D196" t="s">
        <v>66</v>
      </c>
      <c r="E196" t="s">
        <v>85</v>
      </c>
      <c r="F196" t="s">
        <v>31</v>
      </c>
      <c r="G196" t="s">
        <v>43</v>
      </c>
      <c r="H196" t="s">
        <v>50</v>
      </c>
      <c r="I196">
        <v>3</v>
      </c>
      <c r="J196">
        <v>1001.92</v>
      </c>
      <c r="K196">
        <v>0.15</v>
      </c>
      <c r="L196">
        <v>2554.9</v>
      </c>
      <c r="M196">
        <v>1517.96</v>
      </c>
      <c r="N196">
        <v>1036.94</v>
      </c>
      <c r="O196" t="s">
        <v>24</v>
      </c>
      <c r="P196">
        <v>5</v>
      </c>
      <c r="Q196" t="str">
        <f t="shared" si="18"/>
        <v>April</v>
      </c>
      <c r="R196" t="str">
        <f t="shared" si="19"/>
        <v>Q2</v>
      </c>
      <c r="S196">
        <f t="shared" si="20"/>
        <v>2024</v>
      </c>
      <c r="T196">
        <f t="shared" si="21"/>
        <v>2956699.5199999986</v>
      </c>
      <c r="U196">
        <f t="shared" si="22"/>
        <v>958696.43</v>
      </c>
      <c r="V196">
        <f t="shared" si="23"/>
        <v>2.0840831648867186</v>
      </c>
    </row>
    <row r="197" spans="1:22" x14ac:dyDescent="0.35">
      <c r="A197" t="s">
        <v>464</v>
      </c>
      <c r="B197" s="1">
        <v>45511</v>
      </c>
      <c r="C197" t="s">
        <v>465</v>
      </c>
      <c r="D197" t="s">
        <v>37</v>
      </c>
      <c r="E197" t="s">
        <v>85</v>
      </c>
      <c r="F197" t="s">
        <v>31</v>
      </c>
      <c r="G197" t="s">
        <v>79</v>
      </c>
      <c r="H197" t="s">
        <v>89</v>
      </c>
      <c r="I197">
        <v>11</v>
      </c>
      <c r="J197">
        <v>942.38</v>
      </c>
      <c r="K197">
        <v>0.1</v>
      </c>
      <c r="L197">
        <v>9329.56</v>
      </c>
      <c r="M197">
        <v>7374.7</v>
      </c>
      <c r="N197">
        <v>1954.86</v>
      </c>
      <c r="O197" t="s">
        <v>62</v>
      </c>
      <c r="P197">
        <v>4</v>
      </c>
      <c r="Q197" t="str">
        <f t="shared" si="18"/>
        <v>August</v>
      </c>
      <c r="R197" t="str">
        <f t="shared" si="19"/>
        <v>Q3</v>
      </c>
      <c r="S197">
        <f t="shared" si="20"/>
        <v>2024</v>
      </c>
      <c r="T197">
        <f t="shared" si="21"/>
        <v>2954144.6199999987</v>
      </c>
      <c r="U197">
        <f t="shared" si="22"/>
        <v>957659.49</v>
      </c>
      <c r="V197">
        <f t="shared" si="23"/>
        <v>2.0847547075422379</v>
      </c>
    </row>
    <row r="198" spans="1:22" x14ac:dyDescent="0.35">
      <c r="A198" t="s">
        <v>466</v>
      </c>
      <c r="B198" s="1">
        <v>45598</v>
      </c>
      <c r="C198" t="s">
        <v>467</v>
      </c>
      <c r="D198" t="s">
        <v>66</v>
      </c>
      <c r="E198" t="s">
        <v>20</v>
      </c>
      <c r="F198" t="s">
        <v>39</v>
      </c>
      <c r="G198" t="s">
        <v>79</v>
      </c>
      <c r="H198" t="s">
        <v>89</v>
      </c>
      <c r="I198">
        <v>10</v>
      </c>
      <c r="J198">
        <v>174.23</v>
      </c>
      <c r="K198">
        <v>0.05</v>
      </c>
      <c r="L198">
        <v>1655.18</v>
      </c>
      <c r="M198">
        <v>1390.28</v>
      </c>
      <c r="N198">
        <v>264.89999999999998</v>
      </c>
      <c r="O198" t="s">
        <v>62</v>
      </c>
      <c r="P198">
        <v>5</v>
      </c>
      <c r="Q198" t="str">
        <f t="shared" si="18"/>
        <v>November</v>
      </c>
      <c r="R198" t="str">
        <f t="shared" si="19"/>
        <v>Q4</v>
      </c>
      <c r="S198">
        <f t="shared" si="20"/>
        <v>2024</v>
      </c>
      <c r="T198">
        <f t="shared" si="21"/>
        <v>2944815.0599999996</v>
      </c>
      <c r="U198">
        <f t="shared" si="22"/>
        <v>955704.63000000012</v>
      </c>
      <c r="V198">
        <f t="shared" si="23"/>
        <v>2.0813024940561387</v>
      </c>
    </row>
    <row r="199" spans="1:22" x14ac:dyDescent="0.35">
      <c r="A199" t="s">
        <v>468</v>
      </c>
      <c r="B199" s="1">
        <v>45405</v>
      </c>
      <c r="C199" t="s">
        <v>469</v>
      </c>
      <c r="D199" t="s">
        <v>19</v>
      </c>
      <c r="E199" t="s">
        <v>20</v>
      </c>
      <c r="F199" t="s">
        <v>31</v>
      </c>
      <c r="G199" t="s">
        <v>79</v>
      </c>
      <c r="H199" t="s">
        <v>103</v>
      </c>
      <c r="I199">
        <v>1</v>
      </c>
      <c r="J199">
        <v>520.79</v>
      </c>
      <c r="K199">
        <v>0.15</v>
      </c>
      <c r="L199">
        <v>442.67</v>
      </c>
      <c r="M199">
        <v>339.16</v>
      </c>
      <c r="N199">
        <v>103.51</v>
      </c>
      <c r="O199" t="s">
        <v>62</v>
      </c>
      <c r="P199">
        <v>3</v>
      </c>
      <c r="Q199" t="str">
        <f t="shared" si="18"/>
        <v>April</v>
      </c>
      <c r="R199" t="str">
        <f t="shared" si="19"/>
        <v>Q2</v>
      </c>
      <c r="S199">
        <f t="shared" si="20"/>
        <v>2024</v>
      </c>
      <c r="T199">
        <f t="shared" si="21"/>
        <v>2943159.8799999994</v>
      </c>
      <c r="U199">
        <f t="shared" si="22"/>
        <v>955439.7300000001</v>
      </c>
      <c r="V199">
        <f t="shared" si="23"/>
        <v>2.0804244240502738</v>
      </c>
    </row>
    <row r="200" spans="1:22" x14ac:dyDescent="0.35">
      <c r="A200" t="s">
        <v>470</v>
      </c>
      <c r="B200" s="1">
        <v>45618</v>
      </c>
      <c r="C200" t="s">
        <v>471</v>
      </c>
      <c r="D200" t="s">
        <v>49</v>
      </c>
      <c r="E200" t="s">
        <v>98</v>
      </c>
      <c r="F200" t="s">
        <v>21</v>
      </c>
      <c r="G200" t="s">
        <v>43</v>
      </c>
      <c r="H200" t="s">
        <v>44</v>
      </c>
      <c r="I200">
        <v>3</v>
      </c>
      <c r="J200">
        <v>943.9</v>
      </c>
      <c r="K200">
        <v>0.1</v>
      </c>
      <c r="L200">
        <v>2548.5300000000002</v>
      </c>
      <c r="M200">
        <v>1992.2</v>
      </c>
      <c r="N200">
        <v>556.33000000000004</v>
      </c>
      <c r="O200" t="s">
        <v>24</v>
      </c>
      <c r="P200">
        <v>2</v>
      </c>
      <c r="Q200" t="str">
        <f t="shared" si="18"/>
        <v>November</v>
      </c>
      <c r="R200" t="str">
        <f t="shared" si="19"/>
        <v>Q4</v>
      </c>
      <c r="S200">
        <f t="shared" si="20"/>
        <v>2024</v>
      </c>
      <c r="T200">
        <f t="shared" si="21"/>
        <v>2942717.2099999995</v>
      </c>
      <c r="U200">
        <f t="shared" si="22"/>
        <v>955336.22000000009</v>
      </c>
      <c r="V200">
        <f t="shared" si="23"/>
        <v>2.0802948201838292</v>
      </c>
    </row>
    <row r="201" spans="1:22" x14ac:dyDescent="0.35">
      <c r="A201" t="s">
        <v>472</v>
      </c>
      <c r="B201" s="1">
        <v>45340</v>
      </c>
      <c r="C201" t="s">
        <v>473</v>
      </c>
      <c r="D201" t="s">
        <v>29</v>
      </c>
      <c r="E201" t="s">
        <v>85</v>
      </c>
      <c r="F201" t="s">
        <v>21</v>
      </c>
      <c r="G201" t="s">
        <v>22</v>
      </c>
      <c r="H201" t="s">
        <v>124</v>
      </c>
      <c r="I201">
        <v>2</v>
      </c>
      <c r="J201">
        <v>1095.21</v>
      </c>
      <c r="K201">
        <v>0.05</v>
      </c>
      <c r="L201">
        <v>2080.9</v>
      </c>
      <c r="M201">
        <v>1385.45</v>
      </c>
      <c r="N201">
        <v>695.45</v>
      </c>
      <c r="O201" t="s">
        <v>24</v>
      </c>
      <c r="P201">
        <v>4</v>
      </c>
      <c r="Q201" t="str">
        <f t="shared" si="18"/>
        <v>February</v>
      </c>
      <c r="R201" t="str">
        <f t="shared" si="19"/>
        <v>Q1</v>
      </c>
      <c r="S201">
        <f t="shared" si="20"/>
        <v>2024</v>
      </c>
      <c r="T201">
        <f t="shared" si="21"/>
        <v>2940168.6799999992</v>
      </c>
      <c r="U201">
        <f t="shared" si="22"/>
        <v>954779.89000000013</v>
      </c>
      <c r="V201">
        <f t="shared" si="23"/>
        <v>2.0794204096611195</v>
      </c>
    </row>
    <row r="202" spans="1:22" x14ac:dyDescent="0.35">
      <c r="A202" t="s">
        <v>474</v>
      </c>
      <c r="B202" s="1">
        <v>45543</v>
      </c>
      <c r="C202" t="s">
        <v>475</v>
      </c>
      <c r="D202" t="s">
        <v>37</v>
      </c>
      <c r="E202" t="s">
        <v>38</v>
      </c>
      <c r="F202" t="s">
        <v>21</v>
      </c>
      <c r="G202" t="s">
        <v>60</v>
      </c>
      <c r="H202" t="s">
        <v>110</v>
      </c>
      <c r="I202">
        <v>9</v>
      </c>
      <c r="J202">
        <v>64.45</v>
      </c>
      <c r="K202">
        <v>0.05</v>
      </c>
      <c r="L202">
        <v>551.04999999999995</v>
      </c>
      <c r="M202">
        <v>431.06</v>
      </c>
      <c r="N202">
        <v>119.99</v>
      </c>
      <c r="O202" t="s">
        <v>51</v>
      </c>
      <c r="P202">
        <v>2</v>
      </c>
      <c r="Q202" t="str">
        <f t="shared" si="18"/>
        <v>September</v>
      </c>
      <c r="R202" t="str">
        <f t="shared" si="19"/>
        <v>Q3</v>
      </c>
      <c r="S202">
        <f t="shared" si="20"/>
        <v>2024</v>
      </c>
      <c r="T202">
        <f t="shared" si="21"/>
        <v>2938087.7799999993</v>
      </c>
      <c r="U202">
        <f t="shared" si="22"/>
        <v>954084.44000000018</v>
      </c>
      <c r="V202">
        <f t="shared" si="23"/>
        <v>2.0794840129663981</v>
      </c>
    </row>
    <row r="203" spans="1:22" x14ac:dyDescent="0.35">
      <c r="A203" t="s">
        <v>476</v>
      </c>
      <c r="B203" s="1">
        <v>45330</v>
      </c>
      <c r="C203" t="s">
        <v>477</v>
      </c>
      <c r="D203" t="s">
        <v>66</v>
      </c>
      <c r="E203" t="s">
        <v>85</v>
      </c>
      <c r="F203" t="s">
        <v>31</v>
      </c>
      <c r="G203" t="s">
        <v>60</v>
      </c>
      <c r="H203" t="s">
        <v>110</v>
      </c>
      <c r="I203">
        <v>10</v>
      </c>
      <c r="J203">
        <v>400.83</v>
      </c>
      <c r="K203">
        <v>0.05</v>
      </c>
      <c r="L203">
        <v>3807.88</v>
      </c>
      <c r="M203">
        <v>2731.49</v>
      </c>
      <c r="N203">
        <v>1076.3900000000001</v>
      </c>
      <c r="O203" t="s">
        <v>62</v>
      </c>
      <c r="P203">
        <v>2</v>
      </c>
      <c r="Q203" t="str">
        <f t="shared" si="18"/>
        <v>February</v>
      </c>
      <c r="R203" t="str">
        <f t="shared" si="19"/>
        <v>Q1</v>
      </c>
      <c r="S203">
        <f t="shared" si="20"/>
        <v>2024</v>
      </c>
      <c r="T203">
        <f t="shared" si="21"/>
        <v>2937536.7299999995</v>
      </c>
      <c r="U203">
        <f t="shared" si="22"/>
        <v>953964.45000000007</v>
      </c>
      <c r="V203">
        <f t="shared" si="23"/>
        <v>2.079293709529741</v>
      </c>
    </row>
    <row r="204" spans="1:22" x14ac:dyDescent="0.35">
      <c r="A204" t="s">
        <v>478</v>
      </c>
      <c r="B204" s="1">
        <v>45368</v>
      </c>
      <c r="C204" t="s">
        <v>479</v>
      </c>
      <c r="D204" t="s">
        <v>49</v>
      </c>
      <c r="E204" t="s">
        <v>98</v>
      </c>
      <c r="F204" t="s">
        <v>31</v>
      </c>
      <c r="G204" t="s">
        <v>43</v>
      </c>
      <c r="H204" t="s">
        <v>50</v>
      </c>
      <c r="I204">
        <v>12</v>
      </c>
      <c r="J204">
        <v>879.94</v>
      </c>
      <c r="K204">
        <v>0.1</v>
      </c>
      <c r="L204">
        <v>9503.35</v>
      </c>
      <c r="M204">
        <v>8051.07</v>
      </c>
      <c r="N204">
        <v>1452.28</v>
      </c>
      <c r="O204" t="s">
        <v>33</v>
      </c>
      <c r="P204">
        <v>4</v>
      </c>
      <c r="Q204" t="str">
        <f t="shared" si="18"/>
        <v>March</v>
      </c>
      <c r="R204" t="str">
        <f t="shared" si="19"/>
        <v>Q1</v>
      </c>
      <c r="S204">
        <f t="shared" si="20"/>
        <v>2024</v>
      </c>
      <c r="T204">
        <f t="shared" si="21"/>
        <v>2933728.8499999996</v>
      </c>
      <c r="U204">
        <f t="shared" si="22"/>
        <v>952888.06000000017</v>
      </c>
      <c r="V204">
        <f t="shared" si="23"/>
        <v>2.0787759582169589</v>
      </c>
    </row>
    <row r="205" spans="1:22" x14ac:dyDescent="0.35">
      <c r="A205" t="s">
        <v>480</v>
      </c>
      <c r="B205" s="1">
        <v>45481</v>
      </c>
      <c r="C205" t="s">
        <v>481</v>
      </c>
      <c r="D205" t="s">
        <v>66</v>
      </c>
      <c r="E205" t="s">
        <v>30</v>
      </c>
      <c r="F205" t="s">
        <v>31</v>
      </c>
      <c r="G205" t="s">
        <v>43</v>
      </c>
      <c r="H205" t="s">
        <v>173</v>
      </c>
      <c r="I205">
        <v>9</v>
      </c>
      <c r="J205">
        <v>825.69</v>
      </c>
      <c r="K205">
        <v>0</v>
      </c>
      <c r="L205">
        <v>7431.21</v>
      </c>
      <c r="M205">
        <v>4969.3100000000004</v>
      </c>
      <c r="N205">
        <v>2461.9</v>
      </c>
      <c r="O205" t="s">
        <v>62</v>
      </c>
      <c r="P205">
        <v>3</v>
      </c>
      <c r="Q205" t="str">
        <f t="shared" si="18"/>
        <v>July</v>
      </c>
      <c r="R205" t="str">
        <f t="shared" si="19"/>
        <v>Q3</v>
      </c>
      <c r="S205">
        <f t="shared" si="20"/>
        <v>2024</v>
      </c>
      <c r="T205">
        <f t="shared" si="21"/>
        <v>2924225.4999999995</v>
      </c>
      <c r="U205">
        <f t="shared" si="22"/>
        <v>951435.78000000014</v>
      </c>
      <c r="V205">
        <f t="shared" si="23"/>
        <v>2.0734869987756808</v>
      </c>
    </row>
    <row r="206" spans="1:22" x14ac:dyDescent="0.35">
      <c r="A206" t="s">
        <v>482</v>
      </c>
      <c r="B206" s="1">
        <v>45352</v>
      </c>
      <c r="C206" t="s">
        <v>483</v>
      </c>
      <c r="D206" t="s">
        <v>66</v>
      </c>
      <c r="E206" t="s">
        <v>98</v>
      </c>
      <c r="F206" t="s">
        <v>39</v>
      </c>
      <c r="G206" t="s">
        <v>22</v>
      </c>
      <c r="H206" t="s">
        <v>124</v>
      </c>
      <c r="I206">
        <v>3</v>
      </c>
      <c r="J206">
        <v>1065.44</v>
      </c>
      <c r="K206">
        <v>0.05</v>
      </c>
      <c r="L206">
        <v>3036.5</v>
      </c>
      <c r="M206">
        <v>2134.69</v>
      </c>
      <c r="N206">
        <v>901.81</v>
      </c>
      <c r="O206" t="s">
        <v>24</v>
      </c>
      <c r="P206">
        <v>3</v>
      </c>
      <c r="Q206" t="str">
        <f t="shared" si="18"/>
        <v>March</v>
      </c>
      <c r="R206" t="str">
        <f t="shared" si="19"/>
        <v>Q1</v>
      </c>
      <c r="S206">
        <f t="shared" si="20"/>
        <v>2024</v>
      </c>
      <c r="T206">
        <f t="shared" si="21"/>
        <v>2916794.2899999986</v>
      </c>
      <c r="U206">
        <f t="shared" si="22"/>
        <v>948973.88000000012</v>
      </c>
      <c r="V206">
        <f t="shared" si="23"/>
        <v>2.0736296872575655</v>
      </c>
    </row>
    <row r="207" spans="1:22" x14ac:dyDescent="0.35">
      <c r="A207" t="s">
        <v>484</v>
      </c>
      <c r="B207" s="1">
        <v>45439</v>
      </c>
      <c r="C207" t="s">
        <v>485</v>
      </c>
      <c r="D207" t="s">
        <v>49</v>
      </c>
      <c r="E207" t="s">
        <v>98</v>
      </c>
      <c r="F207" t="s">
        <v>31</v>
      </c>
      <c r="G207" t="s">
        <v>22</v>
      </c>
      <c r="H207" t="s">
        <v>74</v>
      </c>
      <c r="I207">
        <v>10</v>
      </c>
      <c r="J207">
        <v>410.39</v>
      </c>
      <c r="K207">
        <v>0</v>
      </c>
      <c r="L207">
        <v>4103.8999999999996</v>
      </c>
      <c r="M207">
        <v>2358.6799999999998</v>
      </c>
      <c r="N207">
        <v>1745.22</v>
      </c>
      <c r="O207" t="s">
        <v>62</v>
      </c>
      <c r="P207">
        <v>5</v>
      </c>
      <c r="Q207" t="str">
        <f t="shared" si="18"/>
        <v>May</v>
      </c>
      <c r="R207" t="str">
        <f t="shared" si="19"/>
        <v>Q2</v>
      </c>
      <c r="S207">
        <f t="shared" si="20"/>
        <v>2024</v>
      </c>
      <c r="T207">
        <f t="shared" si="21"/>
        <v>2913757.7899999991</v>
      </c>
      <c r="U207">
        <f t="shared" si="22"/>
        <v>948072.07000000018</v>
      </c>
      <c r="V207">
        <f t="shared" si="23"/>
        <v>2.073350520704611</v>
      </c>
    </row>
    <row r="208" spans="1:22" x14ac:dyDescent="0.35">
      <c r="A208" t="s">
        <v>486</v>
      </c>
      <c r="B208" s="1">
        <v>45358</v>
      </c>
      <c r="C208" t="s">
        <v>487</v>
      </c>
      <c r="D208" t="s">
        <v>37</v>
      </c>
      <c r="E208" t="s">
        <v>20</v>
      </c>
      <c r="F208" t="s">
        <v>39</v>
      </c>
      <c r="G208" t="s">
        <v>79</v>
      </c>
      <c r="H208" t="s">
        <v>80</v>
      </c>
      <c r="I208">
        <v>12</v>
      </c>
      <c r="J208">
        <v>255.77</v>
      </c>
      <c r="K208">
        <v>0</v>
      </c>
      <c r="L208">
        <v>3069.24</v>
      </c>
      <c r="M208">
        <v>1630.88</v>
      </c>
      <c r="N208">
        <v>1438.36</v>
      </c>
      <c r="O208" t="s">
        <v>33</v>
      </c>
      <c r="P208">
        <v>1</v>
      </c>
      <c r="Q208" t="str">
        <f t="shared" si="18"/>
        <v>March</v>
      </c>
      <c r="R208" t="str">
        <f t="shared" si="19"/>
        <v>Q1</v>
      </c>
      <c r="S208">
        <f t="shared" si="20"/>
        <v>2024</v>
      </c>
      <c r="T208">
        <f t="shared" si="21"/>
        <v>2909653.8899999992</v>
      </c>
      <c r="U208">
        <f t="shared" si="22"/>
        <v>946326.85000000021</v>
      </c>
      <c r="V208">
        <f t="shared" si="23"/>
        <v>2.0746817444733803</v>
      </c>
    </row>
    <row r="209" spans="1:22" x14ac:dyDescent="0.35">
      <c r="A209" t="s">
        <v>488</v>
      </c>
      <c r="B209" s="1">
        <v>45498</v>
      </c>
      <c r="C209" t="s">
        <v>489</v>
      </c>
      <c r="D209" t="s">
        <v>29</v>
      </c>
      <c r="E209" t="s">
        <v>20</v>
      </c>
      <c r="F209" t="s">
        <v>21</v>
      </c>
      <c r="G209" t="s">
        <v>43</v>
      </c>
      <c r="H209" t="s">
        <v>173</v>
      </c>
      <c r="I209">
        <v>8</v>
      </c>
      <c r="J209">
        <v>80.319999999999993</v>
      </c>
      <c r="K209">
        <v>0.05</v>
      </c>
      <c r="L209">
        <v>610.42999999999995</v>
      </c>
      <c r="M209">
        <v>331.71</v>
      </c>
      <c r="N209">
        <v>278.72000000000003</v>
      </c>
      <c r="O209" t="s">
        <v>24</v>
      </c>
      <c r="P209">
        <v>1</v>
      </c>
      <c r="Q209" t="str">
        <f t="shared" si="18"/>
        <v>July</v>
      </c>
      <c r="R209" t="str">
        <f t="shared" si="19"/>
        <v>Q3</v>
      </c>
      <c r="S209">
        <f t="shared" si="20"/>
        <v>2024</v>
      </c>
      <c r="T209">
        <f t="shared" si="21"/>
        <v>2906584.649999999</v>
      </c>
      <c r="U209">
        <f t="shared" si="22"/>
        <v>944888.49000000022</v>
      </c>
      <c r="V209">
        <f t="shared" si="23"/>
        <v>2.076113933825142</v>
      </c>
    </row>
    <row r="210" spans="1:22" x14ac:dyDescent="0.35">
      <c r="A210" t="s">
        <v>490</v>
      </c>
      <c r="B210" s="1">
        <v>45558</v>
      </c>
      <c r="C210" t="s">
        <v>491</v>
      </c>
      <c r="D210" t="s">
        <v>66</v>
      </c>
      <c r="E210" t="s">
        <v>30</v>
      </c>
      <c r="F210" t="s">
        <v>31</v>
      </c>
      <c r="G210" t="s">
        <v>60</v>
      </c>
      <c r="H210" t="s">
        <v>61</v>
      </c>
      <c r="I210">
        <v>3</v>
      </c>
      <c r="J210">
        <v>187.83</v>
      </c>
      <c r="K210">
        <v>0.15</v>
      </c>
      <c r="L210">
        <v>478.97</v>
      </c>
      <c r="M210">
        <v>261.56</v>
      </c>
      <c r="N210">
        <v>217.41</v>
      </c>
      <c r="O210" t="s">
        <v>51</v>
      </c>
      <c r="P210">
        <v>2</v>
      </c>
      <c r="Q210" t="str">
        <f t="shared" si="18"/>
        <v>September</v>
      </c>
      <c r="R210" t="str">
        <f t="shared" si="19"/>
        <v>Q3</v>
      </c>
      <c r="S210">
        <f t="shared" si="20"/>
        <v>2024</v>
      </c>
      <c r="T210">
        <f t="shared" si="21"/>
        <v>2905974.2199999993</v>
      </c>
      <c r="U210">
        <f t="shared" si="22"/>
        <v>944609.77000000025</v>
      </c>
      <c r="V210">
        <f t="shared" si="23"/>
        <v>2.0763753586838281</v>
      </c>
    </row>
    <row r="211" spans="1:22" x14ac:dyDescent="0.35">
      <c r="A211" t="s">
        <v>492</v>
      </c>
      <c r="B211" s="1">
        <v>45362</v>
      </c>
      <c r="C211" t="s">
        <v>493</v>
      </c>
      <c r="D211" t="s">
        <v>29</v>
      </c>
      <c r="E211" t="s">
        <v>98</v>
      </c>
      <c r="F211" t="s">
        <v>31</v>
      </c>
      <c r="G211" t="s">
        <v>79</v>
      </c>
      <c r="H211" t="s">
        <v>103</v>
      </c>
      <c r="I211">
        <v>4</v>
      </c>
      <c r="J211">
        <v>500.37</v>
      </c>
      <c r="K211">
        <v>0.1</v>
      </c>
      <c r="L211">
        <v>1801.33</v>
      </c>
      <c r="M211">
        <v>1270.76</v>
      </c>
      <c r="N211">
        <v>530.57000000000005</v>
      </c>
      <c r="O211" t="s">
        <v>51</v>
      </c>
      <c r="P211">
        <v>2</v>
      </c>
      <c r="Q211" t="str">
        <f t="shared" si="18"/>
        <v>March</v>
      </c>
      <c r="R211" t="str">
        <f t="shared" si="19"/>
        <v>Q1</v>
      </c>
      <c r="S211">
        <f t="shared" si="20"/>
        <v>2024</v>
      </c>
      <c r="T211">
        <f t="shared" si="21"/>
        <v>2905495.2499999991</v>
      </c>
      <c r="U211">
        <f t="shared" si="22"/>
        <v>944392.36000000034</v>
      </c>
      <c r="V211">
        <f t="shared" si="23"/>
        <v>2.0765764030534917</v>
      </c>
    </row>
    <row r="212" spans="1:22" x14ac:dyDescent="0.35">
      <c r="A212" t="s">
        <v>494</v>
      </c>
      <c r="B212" s="1">
        <v>45501</v>
      </c>
      <c r="C212" t="s">
        <v>495</v>
      </c>
      <c r="D212" t="s">
        <v>37</v>
      </c>
      <c r="E212" t="s">
        <v>20</v>
      </c>
      <c r="F212" t="s">
        <v>39</v>
      </c>
      <c r="G212" t="s">
        <v>60</v>
      </c>
      <c r="H212" t="s">
        <v>110</v>
      </c>
      <c r="I212">
        <v>2</v>
      </c>
      <c r="J212">
        <v>72.25</v>
      </c>
      <c r="K212">
        <v>0.05</v>
      </c>
      <c r="L212">
        <v>137.28</v>
      </c>
      <c r="M212">
        <v>92.8</v>
      </c>
      <c r="N212">
        <v>44.48</v>
      </c>
      <c r="O212" t="s">
        <v>51</v>
      </c>
      <c r="P212">
        <v>5</v>
      </c>
      <c r="Q212" t="str">
        <f t="shared" si="18"/>
        <v>July</v>
      </c>
      <c r="R212" t="str">
        <f t="shared" si="19"/>
        <v>Q3</v>
      </c>
      <c r="S212">
        <f t="shared" si="20"/>
        <v>2024</v>
      </c>
      <c r="T212">
        <f t="shared" si="21"/>
        <v>2903693.9199999985</v>
      </c>
      <c r="U212">
        <f t="shared" si="22"/>
        <v>943861.79000000027</v>
      </c>
      <c r="V212">
        <f t="shared" si="23"/>
        <v>2.0763973611009274</v>
      </c>
    </row>
    <row r="213" spans="1:22" x14ac:dyDescent="0.35">
      <c r="A213" t="s">
        <v>496</v>
      </c>
      <c r="B213" s="1">
        <v>45475</v>
      </c>
      <c r="C213" t="s">
        <v>497</v>
      </c>
      <c r="D213" t="s">
        <v>19</v>
      </c>
      <c r="E213" t="s">
        <v>98</v>
      </c>
      <c r="F213" t="s">
        <v>31</v>
      </c>
      <c r="G213" t="s">
        <v>43</v>
      </c>
      <c r="H213" t="s">
        <v>50</v>
      </c>
      <c r="I213">
        <v>12</v>
      </c>
      <c r="J213">
        <v>82.99</v>
      </c>
      <c r="K213">
        <v>0</v>
      </c>
      <c r="L213">
        <v>995.88</v>
      </c>
      <c r="M213">
        <v>524.41</v>
      </c>
      <c r="N213">
        <v>471.47</v>
      </c>
      <c r="O213" t="s">
        <v>51</v>
      </c>
      <c r="P213">
        <v>4</v>
      </c>
      <c r="Q213" t="str">
        <f t="shared" si="18"/>
        <v>July</v>
      </c>
      <c r="R213" t="str">
        <f t="shared" si="19"/>
        <v>Q3</v>
      </c>
      <c r="S213">
        <f t="shared" si="20"/>
        <v>2024</v>
      </c>
      <c r="T213">
        <f t="shared" si="21"/>
        <v>2903556.6399999987</v>
      </c>
      <c r="U213">
        <f t="shared" si="22"/>
        <v>943817.31000000029</v>
      </c>
      <c r="V213">
        <f t="shared" si="23"/>
        <v>2.0763968929537833</v>
      </c>
    </row>
    <row r="214" spans="1:22" x14ac:dyDescent="0.35">
      <c r="A214" t="s">
        <v>498</v>
      </c>
      <c r="B214" s="1">
        <v>45499</v>
      </c>
      <c r="C214" t="s">
        <v>499</v>
      </c>
      <c r="D214" t="s">
        <v>49</v>
      </c>
      <c r="E214" t="s">
        <v>85</v>
      </c>
      <c r="F214" t="s">
        <v>21</v>
      </c>
      <c r="G214" t="s">
        <v>22</v>
      </c>
      <c r="H214" t="s">
        <v>23</v>
      </c>
      <c r="I214">
        <v>4</v>
      </c>
      <c r="J214">
        <v>1130.0899999999999</v>
      </c>
      <c r="K214">
        <v>0.05</v>
      </c>
      <c r="L214">
        <v>4294.34</v>
      </c>
      <c r="M214">
        <v>3564.75</v>
      </c>
      <c r="N214">
        <v>729.59</v>
      </c>
      <c r="O214" t="s">
        <v>62</v>
      </c>
      <c r="P214">
        <v>1</v>
      </c>
      <c r="Q214" t="str">
        <f t="shared" si="18"/>
        <v>July</v>
      </c>
      <c r="R214" t="str">
        <f t="shared" si="19"/>
        <v>Q3</v>
      </c>
      <c r="S214">
        <f t="shared" si="20"/>
        <v>2024</v>
      </c>
      <c r="T214">
        <f t="shared" si="21"/>
        <v>2902560.7599999984</v>
      </c>
      <c r="U214">
        <f t="shared" si="22"/>
        <v>943345.84000000032</v>
      </c>
      <c r="V214">
        <f t="shared" si="23"/>
        <v>2.076878740462774</v>
      </c>
    </row>
    <row r="215" spans="1:22" x14ac:dyDescent="0.35">
      <c r="A215" t="s">
        <v>500</v>
      </c>
      <c r="B215" s="1">
        <v>45321</v>
      </c>
      <c r="C215" t="s">
        <v>501</v>
      </c>
      <c r="D215" t="s">
        <v>37</v>
      </c>
      <c r="E215" t="s">
        <v>85</v>
      </c>
      <c r="F215" t="s">
        <v>21</v>
      </c>
      <c r="G215" t="s">
        <v>60</v>
      </c>
      <c r="H215" t="s">
        <v>119</v>
      </c>
      <c r="I215">
        <v>5</v>
      </c>
      <c r="J215">
        <v>970.28</v>
      </c>
      <c r="K215">
        <v>0.05</v>
      </c>
      <c r="L215">
        <v>4608.83</v>
      </c>
      <c r="M215">
        <v>2943.96</v>
      </c>
      <c r="N215">
        <v>1664.87</v>
      </c>
      <c r="O215" t="s">
        <v>24</v>
      </c>
      <c r="P215">
        <v>3</v>
      </c>
      <c r="Q215" t="str">
        <f t="shared" si="18"/>
        <v>January</v>
      </c>
      <c r="R215" t="str">
        <f t="shared" si="19"/>
        <v>Q1</v>
      </c>
      <c r="S215">
        <f t="shared" si="20"/>
        <v>2024</v>
      </c>
      <c r="T215">
        <f t="shared" si="21"/>
        <v>2898266.419999999</v>
      </c>
      <c r="U215">
        <f t="shared" si="22"/>
        <v>942616.25000000035</v>
      </c>
      <c r="V215">
        <f t="shared" si="23"/>
        <v>2.074704494008031</v>
      </c>
    </row>
    <row r="216" spans="1:22" x14ac:dyDescent="0.35">
      <c r="A216" t="s">
        <v>502</v>
      </c>
      <c r="B216" s="1">
        <v>45317</v>
      </c>
      <c r="C216" t="s">
        <v>503</v>
      </c>
      <c r="D216" t="s">
        <v>29</v>
      </c>
      <c r="E216" t="s">
        <v>30</v>
      </c>
      <c r="F216" t="s">
        <v>21</v>
      </c>
      <c r="G216" t="s">
        <v>79</v>
      </c>
      <c r="H216" t="s">
        <v>103</v>
      </c>
      <c r="I216">
        <v>9</v>
      </c>
      <c r="J216">
        <v>586.1</v>
      </c>
      <c r="K216">
        <v>0</v>
      </c>
      <c r="L216">
        <v>5274.9</v>
      </c>
      <c r="M216">
        <v>2706.42</v>
      </c>
      <c r="N216">
        <v>2568.48</v>
      </c>
      <c r="O216" t="s">
        <v>24</v>
      </c>
      <c r="P216">
        <v>1</v>
      </c>
      <c r="Q216" t="str">
        <f t="shared" si="18"/>
        <v>January</v>
      </c>
      <c r="R216" t="str">
        <f t="shared" si="19"/>
        <v>Q1</v>
      </c>
      <c r="S216">
        <f t="shared" si="20"/>
        <v>2024</v>
      </c>
      <c r="T216">
        <f t="shared" si="21"/>
        <v>2893657.5899999985</v>
      </c>
      <c r="U216">
        <f t="shared" si="22"/>
        <v>940951.38000000035</v>
      </c>
      <c r="V216">
        <f t="shared" si="23"/>
        <v>2.0752466615225087</v>
      </c>
    </row>
    <row r="217" spans="1:22" x14ac:dyDescent="0.35">
      <c r="A217" t="s">
        <v>504</v>
      </c>
      <c r="B217" s="1">
        <v>45402</v>
      </c>
      <c r="C217" t="s">
        <v>505</v>
      </c>
      <c r="D217" t="s">
        <v>19</v>
      </c>
      <c r="E217" t="s">
        <v>98</v>
      </c>
      <c r="F217" t="s">
        <v>21</v>
      </c>
      <c r="G217" t="s">
        <v>60</v>
      </c>
      <c r="H217" t="s">
        <v>61</v>
      </c>
      <c r="I217">
        <v>2</v>
      </c>
      <c r="J217">
        <v>183.64</v>
      </c>
      <c r="K217">
        <v>0.1</v>
      </c>
      <c r="L217">
        <v>330.55</v>
      </c>
      <c r="M217">
        <v>171</v>
      </c>
      <c r="N217">
        <v>159.55000000000001</v>
      </c>
      <c r="O217" t="s">
        <v>24</v>
      </c>
      <c r="P217">
        <v>4</v>
      </c>
      <c r="Q217" t="str">
        <f t="shared" si="18"/>
        <v>April</v>
      </c>
      <c r="R217" t="str">
        <f t="shared" si="19"/>
        <v>Q2</v>
      </c>
      <c r="S217">
        <f t="shared" si="20"/>
        <v>2024</v>
      </c>
      <c r="T217">
        <f t="shared" si="21"/>
        <v>2888382.6899999981</v>
      </c>
      <c r="U217">
        <f t="shared" si="22"/>
        <v>938382.90000000037</v>
      </c>
      <c r="V217">
        <f t="shared" si="23"/>
        <v>2.0780427584517973</v>
      </c>
    </row>
    <row r="218" spans="1:22" x14ac:dyDescent="0.35">
      <c r="A218" t="s">
        <v>506</v>
      </c>
      <c r="B218" s="1">
        <v>45497</v>
      </c>
      <c r="C218" t="s">
        <v>507</v>
      </c>
      <c r="D218" t="s">
        <v>29</v>
      </c>
      <c r="E218" t="s">
        <v>20</v>
      </c>
      <c r="F218" t="s">
        <v>21</v>
      </c>
      <c r="G218" t="s">
        <v>22</v>
      </c>
      <c r="H218" t="s">
        <v>124</v>
      </c>
      <c r="I218">
        <v>8</v>
      </c>
      <c r="J218">
        <v>599.29999999999995</v>
      </c>
      <c r="K218">
        <v>0</v>
      </c>
      <c r="L218">
        <v>4794.3999999999996</v>
      </c>
      <c r="M218">
        <v>4006.5</v>
      </c>
      <c r="N218">
        <v>787.9</v>
      </c>
      <c r="O218" t="s">
        <v>51</v>
      </c>
      <c r="P218">
        <v>3</v>
      </c>
      <c r="Q218" t="str">
        <f t="shared" si="18"/>
        <v>July</v>
      </c>
      <c r="R218" t="str">
        <f t="shared" si="19"/>
        <v>Q3</v>
      </c>
      <c r="S218">
        <f t="shared" si="20"/>
        <v>2024</v>
      </c>
      <c r="T218">
        <f t="shared" si="21"/>
        <v>2888052.1399999983</v>
      </c>
      <c r="U218">
        <f t="shared" si="22"/>
        <v>938223.35000000033</v>
      </c>
      <c r="V218">
        <f t="shared" si="23"/>
        <v>2.0782138815880007</v>
      </c>
    </row>
    <row r="219" spans="1:22" x14ac:dyDescent="0.35">
      <c r="A219" t="s">
        <v>508</v>
      </c>
      <c r="B219" s="1">
        <v>45354</v>
      </c>
      <c r="C219" t="s">
        <v>509</v>
      </c>
      <c r="D219" t="s">
        <v>66</v>
      </c>
      <c r="E219" t="s">
        <v>85</v>
      </c>
      <c r="F219" t="s">
        <v>21</v>
      </c>
      <c r="G219" t="s">
        <v>79</v>
      </c>
      <c r="H219" t="s">
        <v>89</v>
      </c>
      <c r="I219">
        <v>9</v>
      </c>
      <c r="J219">
        <v>1186.71</v>
      </c>
      <c r="K219">
        <v>0.15</v>
      </c>
      <c r="L219">
        <v>9078.33</v>
      </c>
      <c r="M219">
        <v>5422.6</v>
      </c>
      <c r="N219">
        <v>3655.73</v>
      </c>
      <c r="O219" t="s">
        <v>33</v>
      </c>
      <c r="P219">
        <v>2</v>
      </c>
      <c r="Q219" t="str">
        <f t="shared" si="18"/>
        <v>March</v>
      </c>
      <c r="R219" t="str">
        <f t="shared" si="19"/>
        <v>Q1</v>
      </c>
      <c r="S219">
        <f t="shared" si="20"/>
        <v>2024</v>
      </c>
      <c r="T219">
        <f t="shared" si="21"/>
        <v>2883257.7399999984</v>
      </c>
      <c r="U219">
        <f t="shared" si="22"/>
        <v>937435.4500000003</v>
      </c>
      <c r="V219">
        <f t="shared" si="23"/>
        <v>2.0756866939478313</v>
      </c>
    </row>
    <row r="220" spans="1:22" x14ac:dyDescent="0.35">
      <c r="A220" t="s">
        <v>510</v>
      </c>
      <c r="B220" s="1">
        <v>45506</v>
      </c>
      <c r="C220" t="s">
        <v>511</v>
      </c>
      <c r="D220" t="s">
        <v>19</v>
      </c>
      <c r="E220" t="s">
        <v>30</v>
      </c>
      <c r="F220" t="s">
        <v>39</v>
      </c>
      <c r="G220" t="s">
        <v>60</v>
      </c>
      <c r="H220" t="s">
        <v>119</v>
      </c>
      <c r="I220">
        <v>7</v>
      </c>
      <c r="J220">
        <v>940.25</v>
      </c>
      <c r="K220">
        <v>0</v>
      </c>
      <c r="L220">
        <v>6581.75</v>
      </c>
      <c r="M220">
        <v>3381.86</v>
      </c>
      <c r="N220">
        <v>3199.89</v>
      </c>
      <c r="O220" t="s">
        <v>24</v>
      </c>
      <c r="P220">
        <v>4</v>
      </c>
      <c r="Q220" t="str">
        <f t="shared" si="18"/>
        <v>August</v>
      </c>
      <c r="R220" t="str">
        <f t="shared" si="19"/>
        <v>Q3</v>
      </c>
      <c r="S220">
        <f t="shared" si="20"/>
        <v>2024</v>
      </c>
      <c r="T220">
        <f t="shared" si="21"/>
        <v>2874179.4099999978</v>
      </c>
      <c r="U220">
        <f t="shared" si="22"/>
        <v>933779.72000000032</v>
      </c>
      <c r="V220">
        <f t="shared" si="23"/>
        <v>2.0780058170464408</v>
      </c>
    </row>
    <row r="221" spans="1:22" x14ac:dyDescent="0.35">
      <c r="A221" t="s">
        <v>512</v>
      </c>
      <c r="B221" s="1">
        <v>45323</v>
      </c>
      <c r="C221" t="s">
        <v>513</v>
      </c>
      <c r="D221" t="s">
        <v>49</v>
      </c>
      <c r="E221" t="s">
        <v>98</v>
      </c>
      <c r="F221" t="s">
        <v>31</v>
      </c>
      <c r="G221" t="s">
        <v>79</v>
      </c>
      <c r="H221" t="s">
        <v>80</v>
      </c>
      <c r="I221">
        <v>3</v>
      </c>
      <c r="J221">
        <v>624.1</v>
      </c>
      <c r="K221">
        <v>0.05</v>
      </c>
      <c r="L221">
        <v>1778.69</v>
      </c>
      <c r="M221">
        <v>904.8</v>
      </c>
      <c r="N221">
        <v>873.89</v>
      </c>
      <c r="O221" t="s">
        <v>33</v>
      </c>
      <c r="P221">
        <v>4</v>
      </c>
      <c r="Q221" t="str">
        <f t="shared" si="18"/>
        <v>February</v>
      </c>
      <c r="R221" t="str">
        <f t="shared" si="19"/>
        <v>Q1</v>
      </c>
      <c r="S221">
        <f t="shared" si="20"/>
        <v>2024</v>
      </c>
      <c r="T221">
        <f t="shared" si="21"/>
        <v>2867597.6599999978</v>
      </c>
      <c r="U221">
        <f t="shared" si="22"/>
        <v>930579.83000000031</v>
      </c>
      <c r="V221">
        <f t="shared" si="23"/>
        <v>2.0815171010100197</v>
      </c>
    </row>
    <row r="222" spans="1:22" x14ac:dyDescent="0.35">
      <c r="A222" t="s">
        <v>514</v>
      </c>
      <c r="B222" s="1">
        <v>45412</v>
      </c>
      <c r="C222" t="s">
        <v>515</v>
      </c>
      <c r="D222" t="s">
        <v>37</v>
      </c>
      <c r="E222" t="s">
        <v>20</v>
      </c>
      <c r="F222" t="s">
        <v>31</v>
      </c>
      <c r="G222" t="s">
        <v>79</v>
      </c>
      <c r="H222" t="s">
        <v>80</v>
      </c>
      <c r="I222">
        <v>6</v>
      </c>
      <c r="J222">
        <v>328.63</v>
      </c>
      <c r="K222">
        <v>0.1</v>
      </c>
      <c r="L222">
        <v>1774.6</v>
      </c>
      <c r="M222">
        <v>889.96</v>
      </c>
      <c r="N222">
        <v>884.64</v>
      </c>
      <c r="O222" t="s">
        <v>51</v>
      </c>
      <c r="P222">
        <v>5</v>
      </c>
      <c r="Q222" t="str">
        <f t="shared" si="18"/>
        <v>April</v>
      </c>
      <c r="R222" t="str">
        <f t="shared" si="19"/>
        <v>Q2</v>
      </c>
      <c r="S222">
        <f t="shared" si="20"/>
        <v>2024</v>
      </c>
      <c r="T222">
        <f t="shared" si="21"/>
        <v>2865818.9699999979</v>
      </c>
      <c r="U222">
        <f t="shared" si="22"/>
        <v>929705.94000000029</v>
      </c>
      <c r="V222">
        <f t="shared" si="23"/>
        <v>2.0825004409458723</v>
      </c>
    </row>
    <row r="223" spans="1:22" x14ac:dyDescent="0.35">
      <c r="A223" t="s">
        <v>516</v>
      </c>
      <c r="B223" s="1">
        <v>45626</v>
      </c>
      <c r="C223" t="s">
        <v>517</v>
      </c>
      <c r="D223" t="s">
        <v>49</v>
      </c>
      <c r="E223" t="s">
        <v>38</v>
      </c>
      <c r="F223" t="s">
        <v>31</v>
      </c>
      <c r="G223" t="s">
        <v>43</v>
      </c>
      <c r="H223" t="s">
        <v>50</v>
      </c>
      <c r="I223">
        <v>1</v>
      </c>
      <c r="J223">
        <v>48.47</v>
      </c>
      <c r="K223">
        <v>0.1</v>
      </c>
      <c r="L223">
        <v>43.62</v>
      </c>
      <c r="M223">
        <v>30.03</v>
      </c>
      <c r="N223">
        <v>13.59</v>
      </c>
      <c r="O223" t="s">
        <v>51</v>
      </c>
      <c r="P223">
        <v>5</v>
      </c>
      <c r="Q223" t="str">
        <f t="shared" si="18"/>
        <v>November</v>
      </c>
      <c r="R223" t="str">
        <f t="shared" si="19"/>
        <v>Q4</v>
      </c>
      <c r="S223">
        <f t="shared" si="20"/>
        <v>2024</v>
      </c>
      <c r="T223">
        <f t="shared" si="21"/>
        <v>2864044.3699999978</v>
      </c>
      <c r="U223">
        <f t="shared" si="22"/>
        <v>928821.30000000028</v>
      </c>
      <c r="V223">
        <f t="shared" si="23"/>
        <v>2.083525722332161</v>
      </c>
    </row>
    <row r="224" spans="1:22" x14ac:dyDescent="0.35">
      <c r="A224" t="s">
        <v>518</v>
      </c>
      <c r="B224" s="1">
        <v>45430</v>
      </c>
      <c r="C224" t="s">
        <v>519</v>
      </c>
      <c r="D224" t="s">
        <v>66</v>
      </c>
      <c r="E224" t="s">
        <v>20</v>
      </c>
      <c r="F224" t="s">
        <v>31</v>
      </c>
      <c r="G224" t="s">
        <v>79</v>
      </c>
      <c r="H224" t="s">
        <v>80</v>
      </c>
      <c r="I224">
        <v>2</v>
      </c>
      <c r="J224">
        <v>954.46</v>
      </c>
      <c r="K224">
        <v>0.15</v>
      </c>
      <c r="L224">
        <v>1622.58</v>
      </c>
      <c r="M224">
        <v>1334.95</v>
      </c>
      <c r="N224">
        <v>287.63</v>
      </c>
      <c r="O224" t="s">
        <v>62</v>
      </c>
      <c r="P224">
        <v>3</v>
      </c>
      <c r="Q224" t="str">
        <f t="shared" si="18"/>
        <v>May</v>
      </c>
      <c r="R224" t="str">
        <f t="shared" si="19"/>
        <v>Q2</v>
      </c>
      <c r="S224">
        <f t="shared" si="20"/>
        <v>2024</v>
      </c>
      <c r="T224">
        <f t="shared" si="21"/>
        <v>2864000.7499999977</v>
      </c>
      <c r="U224">
        <f t="shared" si="22"/>
        <v>928807.71000000031</v>
      </c>
      <c r="V224">
        <f t="shared" si="23"/>
        <v>2.0835238760022747</v>
      </c>
    </row>
    <row r="225" spans="1:22" x14ac:dyDescent="0.35">
      <c r="A225" t="s">
        <v>520</v>
      </c>
      <c r="B225" s="1">
        <v>45327</v>
      </c>
      <c r="C225" t="s">
        <v>521</v>
      </c>
      <c r="D225" t="s">
        <v>19</v>
      </c>
      <c r="E225" t="s">
        <v>98</v>
      </c>
      <c r="F225" t="s">
        <v>31</v>
      </c>
      <c r="G225" t="s">
        <v>60</v>
      </c>
      <c r="H225" t="s">
        <v>119</v>
      </c>
      <c r="I225">
        <v>1</v>
      </c>
      <c r="J225">
        <v>617.24</v>
      </c>
      <c r="K225">
        <v>0.1</v>
      </c>
      <c r="L225">
        <v>555.52</v>
      </c>
      <c r="M225">
        <v>283.79000000000002</v>
      </c>
      <c r="N225">
        <v>271.73</v>
      </c>
      <c r="O225" t="s">
        <v>33</v>
      </c>
      <c r="P225">
        <v>3</v>
      </c>
      <c r="Q225" t="str">
        <f t="shared" si="18"/>
        <v>February</v>
      </c>
      <c r="R225" t="str">
        <f t="shared" si="19"/>
        <v>Q1</v>
      </c>
      <c r="S225">
        <f t="shared" si="20"/>
        <v>2024</v>
      </c>
      <c r="T225">
        <f t="shared" si="21"/>
        <v>2862378.1699999976</v>
      </c>
      <c r="U225">
        <f t="shared" si="22"/>
        <v>928520.08000000031</v>
      </c>
      <c r="V225">
        <f t="shared" si="23"/>
        <v>2.0827315764673573</v>
      </c>
    </row>
    <row r="226" spans="1:22" x14ac:dyDescent="0.35">
      <c r="A226" t="s">
        <v>522</v>
      </c>
      <c r="B226" s="1">
        <v>45299</v>
      </c>
      <c r="C226" t="s">
        <v>523</v>
      </c>
      <c r="D226" t="s">
        <v>49</v>
      </c>
      <c r="E226" t="s">
        <v>30</v>
      </c>
      <c r="F226" t="s">
        <v>39</v>
      </c>
      <c r="G226" t="s">
        <v>22</v>
      </c>
      <c r="H226" t="s">
        <v>32</v>
      </c>
      <c r="I226">
        <v>8</v>
      </c>
      <c r="J226">
        <v>924.25</v>
      </c>
      <c r="K226">
        <v>0.1</v>
      </c>
      <c r="L226">
        <v>6654.6</v>
      </c>
      <c r="M226">
        <v>4875.3999999999996</v>
      </c>
      <c r="N226">
        <v>1779.2</v>
      </c>
      <c r="O226" t="s">
        <v>33</v>
      </c>
      <c r="P226">
        <v>5</v>
      </c>
      <c r="Q226" t="str">
        <f t="shared" si="18"/>
        <v>January</v>
      </c>
      <c r="R226" t="str">
        <f t="shared" si="19"/>
        <v>Q1</v>
      </c>
      <c r="S226">
        <f t="shared" si="20"/>
        <v>2024</v>
      </c>
      <c r="T226">
        <f t="shared" si="21"/>
        <v>2861822.649999998</v>
      </c>
      <c r="U226">
        <f t="shared" si="22"/>
        <v>928248.35000000021</v>
      </c>
      <c r="V226">
        <f t="shared" si="23"/>
        <v>2.0830355367720261</v>
      </c>
    </row>
    <row r="227" spans="1:22" x14ac:dyDescent="0.35">
      <c r="A227" t="s">
        <v>524</v>
      </c>
      <c r="B227" s="1">
        <v>45346</v>
      </c>
      <c r="C227" t="s">
        <v>525</v>
      </c>
      <c r="D227" t="s">
        <v>29</v>
      </c>
      <c r="E227" t="s">
        <v>98</v>
      </c>
      <c r="F227" t="s">
        <v>39</v>
      </c>
      <c r="G227" t="s">
        <v>22</v>
      </c>
      <c r="H227" t="s">
        <v>74</v>
      </c>
      <c r="I227">
        <v>11</v>
      </c>
      <c r="J227">
        <v>876.37</v>
      </c>
      <c r="K227">
        <v>0.05</v>
      </c>
      <c r="L227">
        <v>9158.07</v>
      </c>
      <c r="M227">
        <v>6713.59</v>
      </c>
      <c r="N227">
        <v>2444.48</v>
      </c>
      <c r="O227" t="s">
        <v>62</v>
      </c>
      <c r="P227">
        <v>3</v>
      </c>
      <c r="Q227" t="str">
        <f t="shared" si="18"/>
        <v>February</v>
      </c>
      <c r="R227" t="str">
        <f t="shared" si="19"/>
        <v>Q1</v>
      </c>
      <c r="S227">
        <f t="shared" si="20"/>
        <v>2024</v>
      </c>
      <c r="T227">
        <f t="shared" si="21"/>
        <v>2855168.049999998</v>
      </c>
      <c r="U227">
        <f t="shared" si="22"/>
        <v>926469.15000000014</v>
      </c>
      <c r="V227">
        <f t="shared" si="23"/>
        <v>2.0817734729753252</v>
      </c>
    </row>
    <row r="228" spans="1:22" x14ac:dyDescent="0.35">
      <c r="A228" t="s">
        <v>526</v>
      </c>
      <c r="B228" s="1">
        <v>45456</v>
      </c>
      <c r="C228" t="s">
        <v>527</v>
      </c>
      <c r="D228" t="s">
        <v>29</v>
      </c>
      <c r="E228" t="s">
        <v>30</v>
      </c>
      <c r="F228" t="s">
        <v>31</v>
      </c>
      <c r="G228" t="s">
        <v>43</v>
      </c>
      <c r="H228" t="s">
        <v>173</v>
      </c>
      <c r="I228">
        <v>4</v>
      </c>
      <c r="J228">
        <v>1134.33</v>
      </c>
      <c r="K228">
        <v>0</v>
      </c>
      <c r="L228">
        <v>4537.32</v>
      </c>
      <c r="M228">
        <v>2455.9</v>
      </c>
      <c r="N228">
        <v>2081.42</v>
      </c>
      <c r="O228" t="s">
        <v>33</v>
      </c>
      <c r="P228">
        <v>2</v>
      </c>
      <c r="Q228" t="str">
        <f t="shared" si="18"/>
        <v>June</v>
      </c>
      <c r="R228" t="str">
        <f t="shared" si="19"/>
        <v>Q2</v>
      </c>
      <c r="S228">
        <f t="shared" si="20"/>
        <v>2024</v>
      </c>
      <c r="T228">
        <f t="shared" si="21"/>
        <v>2846009.9799999977</v>
      </c>
      <c r="U228">
        <f t="shared" si="22"/>
        <v>924024.67000000016</v>
      </c>
      <c r="V228">
        <f t="shared" si="23"/>
        <v>2.0800151472146271</v>
      </c>
    </row>
    <row r="229" spans="1:22" x14ac:dyDescent="0.35">
      <c r="A229" t="s">
        <v>528</v>
      </c>
      <c r="B229" s="1">
        <v>45303</v>
      </c>
      <c r="C229" t="s">
        <v>529</v>
      </c>
      <c r="D229" t="s">
        <v>66</v>
      </c>
      <c r="E229" t="s">
        <v>98</v>
      </c>
      <c r="F229" t="s">
        <v>31</v>
      </c>
      <c r="G229" t="s">
        <v>60</v>
      </c>
      <c r="H229" t="s">
        <v>61</v>
      </c>
      <c r="I229">
        <v>3</v>
      </c>
      <c r="J229">
        <v>193.88</v>
      </c>
      <c r="K229">
        <v>0</v>
      </c>
      <c r="L229">
        <v>581.64</v>
      </c>
      <c r="M229">
        <v>491.89</v>
      </c>
      <c r="N229">
        <v>89.75</v>
      </c>
      <c r="O229" t="s">
        <v>24</v>
      </c>
      <c r="P229">
        <v>1</v>
      </c>
      <c r="Q229" t="str">
        <f t="shared" si="18"/>
        <v>January</v>
      </c>
      <c r="R229" t="str">
        <f t="shared" si="19"/>
        <v>Q1</v>
      </c>
      <c r="S229">
        <f t="shared" si="20"/>
        <v>2024</v>
      </c>
      <c r="T229">
        <f t="shared" si="21"/>
        <v>2841472.6599999978</v>
      </c>
      <c r="U229">
        <f t="shared" si="22"/>
        <v>921943.25000000012</v>
      </c>
      <c r="V229">
        <f t="shared" si="23"/>
        <v>2.0820472518237945</v>
      </c>
    </row>
    <row r="230" spans="1:22" x14ac:dyDescent="0.35">
      <c r="A230" t="s">
        <v>530</v>
      </c>
      <c r="B230" s="1">
        <v>45448</v>
      </c>
      <c r="C230" t="s">
        <v>531</v>
      </c>
      <c r="D230" t="s">
        <v>66</v>
      </c>
      <c r="E230" t="s">
        <v>85</v>
      </c>
      <c r="F230" t="s">
        <v>21</v>
      </c>
      <c r="G230" t="s">
        <v>22</v>
      </c>
      <c r="H230" t="s">
        <v>32</v>
      </c>
      <c r="I230">
        <v>11</v>
      </c>
      <c r="J230">
        <v>1047.6600000000001</v>
      </c>
      <c r="K230">
        <v>0.05</v>
      </c>
      <c r="L230">
        <v>10948.05</v>
      </c>
      <c r="M230">
        <v>6324.64</v>
      </c>
      <c r="N230">
        <v>4623.41</v>
      </c>
      <c r="O230" t="s">
        <v>24</v>
      </c>
      <c r="P230">
        <v>1</v>
      </c>
      <c r="Q230" t="str">
        <f t="shared" si="18"/>
        <v>June</v>
      </c>
      <c r="R230" t="str">
        <f t="shared" si="19"/>
        <v>Q2</v>
      </c>
      <c r="S230">
        <f t="shared" si="20"/>
        <v>2024</v>
      </c>
      <c r="T230">
        <f t="shared" si="21"/>
        <v>2840891.0199999977</v>
      </c>
      <c r="U230">
        <f t="shared" si="22"/>
        <v>921853.50000000012</v>
      </c>
      <c r="V230">
        <f t="shared" si="23"/>
        <v>2.0817163681647868</v>
      </c>
    </row>
    <row r="231" spans="1:22" x14ac:dyDescent="0.35">
      <c r="A231" t="s">
        <v>532</v>
      </c>
      <c r="B231" s="1">
        <v>45435</v>
      </c>
      <c r="C231" t="s">
        <v>533</v>
      </c>
      <c r="D231" t="s">
        <v>19</v>
      </c>
      <c r="E231" t="s">
        <v>38</v>
      </c>
      <c r="F231" t="s">
        <v>39</v>
      </c>
      <c r="G231" t="s">
        <v>60</v>
      </c>
      <c r="H231" t="s">
        <v>61</v>
      </c>
      <c r="I231">
        <v>9</v>
      </c>
      <c r="J231">
        <v>817.3</v>
      </c>
      <c r="K231">
        <v>0.05</v>
      </c>
      <c r="L231">
        <v>6987.91</v>
      </c>
      <c r="M231">
        <v>4980.47</v>
      </c>
      <c r="N231">
        <v>2007.44</v>
      </c>
      <c r="O231" t="s">
        <v>24</v>
      </c>
      <c r="P231">
        <v>5</v>
      </c>
      <c r="Q231" t="str">
        <f t="shared" si="18"/>
        <v>May</v>
      </c>
      <c r="R231" t="str">
        <f t="shared" si="19"/>
        <v>Q2</v>
      </c>
      <c r="S231">
        <f t="shared" si="20"/>
        <v>2024</v>
      </c>
      <c r="T231">
        <f t="shared" si="21"/>
        <v>2829942.9699999979</v>
      </c>
      <c r="U231">
        <f t="shared" si="22"/>
        <v>917230.09000000008</v>
      </c>
      <c r="V231">
        <f t="shared" si="23"/>
        <v>2.0853141440224641</v>
      </c>
    </row>
    <row r="232" spans="1:22" x14ac:dyDescent="0.35">
      <c r="A232" t="s">
        <v>534</v>
      </c>
      <c r="B232" s="1">
        <v>45302</v>
      </c>
      <c r="C232" t="s">
        <v>535</v>
      </c>
      <c r="D232" t="s">
        <v>29</v>
      </c>
      <c r="E232" t="s">
        <v>38</v>
      </c>
      <c r="F232" t="s">
        <v>21</v>
      </c>
      <c r="G232" t="s">
        <v>22</v>
      </c>
      <c r="H232" t="s">
        <v>74</v>
      </c>
      <c r="I232">
        <v>10</v>
      </c>
      <c r="J232">
        <v>406.97</v>
      </c>
      <c r="K232">
        <v>0.15</v>
      </c>
      <c r="L232">
        <v>3459.25</v>
      </c>
      <c r="M232">
        <v>2576.3000000000002</v>
      </c>
      <c r="N232">
        <v>882.95</v>
      </c>
      <c r="O232" t="s">
        <v>24</v>
      </c>
      <c r="P232">
        <v>4</v>
      </c>
      <c r="Q232" t="str">
        <f t="shared" si="18"/>
        <v>January</v>
      </c>
      <c r="R232" t="str">
        <f t="shared" si="19"/>
        <v>Q1</v>
      </c>
      <c r="S232">
        <f t="shared" si="20"/>
        <v>2024</v>
      </c>
      <c r="T232">
        <f t="shared" si="21"/>
        <v>2822955.0599999977</v>
      </c>
      <c r="U232">
        <f t="shared" si="22"/>
        <v>915222.65</v>
      </c>
      <c r="V232">
        <f t="shared" si="23"/>
        <v>2.0844462383005902</v>
      </c>
    </row>
    <row r="233" spans="1:22" x14ac:dyDescent="0.35">
      <c r="A233" t="s">
        <v>536</v>
      </c>
      <c r="B233" s="1">
        <v>45302</v>
      </c>
      <c r="C233" t="s">
        <v>537</v>
      </c>
      <c r="D233" t="s">
        <v>29</v>
      </c>
      <c r="E233" t="s">
        <v>30</v>
      </c>
      <c r="F233" t="s">
        <v>31</v>
      </c>
      <c r="G233" t="s">
        <v>22</v>
      </c>
      <c r="H233" t="s">
        <v>32</v>
      </c>
      <c r="I233">
        <v>11</v>
      </c>
      <c r="J233">
        <v>463.96</v>
      </c>
      <c r="K233">
        <v>0.05</v>
      </c>
      <c r="L233">
        <v>4848.38</v>
      </c>
      <c r="M233">
        <v>3475.31</v>
      </c>
      <c r="N233">
        <v>1373.07</v>
      </c>
      <c r="O233" t="s">
        <v>24</v>
      </c>
      <c r="P233">
        <v>3</v>
      </c>
      <c r="Q233" t="str">
        <f t="shared" si="18"/>
        <v>January</v>
      </c>
      <c r="R233" t="str">
        <f t="shared" si="19"/>
        <v>Q1</v>
      </c>
      <c r="S233">
        <f t="shared" si="20"/>
        <v>2024</v>
      </c>
      <c r="T233">
        <f t="shared" si="21"/>
        <v>2819495.8099999977</v>
      </c>
      <c r="U233">
        <f t="shared" si="22"/>
        <v>914339.70000000007</v>
      </c>
      <c r="V233">
        <f t="shared" si="23"/>
        <v>2.0836414627954984</v>
      </c>
    </row>
    <row r="234" spans="1:22" x14ac:dyDescent="0.35">
      <c r="A234" t="s">
        <v>538</v>
      </c>
      <c r="B234" s="1">
        <v>45499</v>
      </c>
      <c r="C234" t="s">
        <v>539</v>
      </c>
      <c r="D234" t="s">
        <v>19</v>
      </c>
      <c r="E234" t="s">
        <v>38</v>
      </c>
      <c r="F234" t="s">
        <v>39</v>
      </c>
      <c r="G234" t="s">
        <v>22</v>
      </c>
      <c r="H234" t="s">
        <v>124</v>
      </c>
      <c r="I234">
        <v>1</v>
      </c>
      <c r="J234">
        <v>985.15</v>
      </c>
      <c r="K234">
        <v>0.15</v>
      </c>
      <c r="L234">
        <v>837.38</v>
      </c>
      <c r="M234">
        <v>659.22</v>
      </c>
      <c r="N234">
        <v>178.16</v>
      </c>
      <c r="O234" t="s">
        <v>51</v>
      </c>
      <c r="P234">
        <v>1</v>
      </c>
      <c r="Q234" t="str">
        <f t="shared" si="18"/>
        <v>July</v>
      </c>
      <c r="R234" t="str">
        <f t="shared" si="19"/>
        <v>Q3</v>
      </c>
      <c r="S234">
        <f t="shared" si="20"/>
        <v>2024</v>
      </c>
      <c r="T234">
        <f t="shared" si="21"/>
        <v>2814647.4299999978</v>
      </c>
      <c r="U234">
        <f t="shared" si="22"/>
        <v>912966.63</v>
      </c>
      <c r="V234">
        <f t="shared" si="23"/>
        <v>2.0829685746564448</v>
      </c>
    </row>
    <row r="235" spans="1:22" x14ac:dyDescent="0.35">
      <c r="A235" t="s">
        <v>540</v>
      </c>
      <c r="B235" s="1">
        <v>45458</v>
      </c>
      <c r="C235" t="s">
        <v>541</v>
      </c>
      <c r="D235" t="s">
        <v>49</v>
      </c>
      <c r="E235" t="s">
        <v>85</v>
      </c>
      <c r="F235" t="s">
        <v>31</v>
      </c>
      <c r="G235" t="s">
        <v>43</v>
      </c>
      <c r="H235" t="s">
        <v>44</v>
      </c>
      <c r="I235">
        <v>3</v>
      </c>
      <c r="J235">
        <v>616.14</v>
      </c>
      <c r="K235">
        <v>0.1</v>
      </c>
      <c r="L235">
        <v>1663.58</v>
      </c>
      <c r="M235">
        <v>1252.18</v>
      </c>
      <c r="N235">
        <v>411.4</v>
      </c>
      <c r="O235" t="s">
        <v>33</v>
      </c>
      <c r="P235">
        <v>3</v>
      </c>
      <c r="Q235" t="str">
        <f t="shared" si="18"/>
        <v>June</v>
      </c>
      <c r="R235" t="str">
        <f t="shared" si="19"/>
        <v>Q2</v>
      </c>
      <c r="S235">
        <f t="shared" si="20"/>
        <v>2024</v>
      </c>
      <c r="T235">
        <f t="shared" si="21"/>
        <v>2813810.049999998</v>
      </c>
      <c r="U235">
        <f t="shared" si="22"/>
        <v>912788.47</v>
      </c>
      <c r="V235">
        <f t="shared" si="23"/>
        <v>2.082652928339463</v>
      </c>
    </row>
    <row r="236" spans="1:22" x14ac:dyDescent="0.35">
      <c r="A236" t="s">
        <v>542</v>
      </c>
      <c r="B236" s="1">
        <v>45299</v>
      </c>
      <c r="C236" t="s">
        <v>543</v>
      </c>
      <c r="D236" t="s">
        <v>66</v>
      </c>
      <c r="E236" t="s">
        <v>38</v>
      </c>
      <c r="F236" t="s">
        <v>39</v>
      </c>
      <c r="G236" t="s">
        <v>60</v>
      </c>
      <c r="H236" t="s">
        <v>110</v>
      </c>
      <c r="I236">
        <v>2</v>
      </c>
      <c r="J236">
        <v>29.23</v>
      </c>
      <c r="K236">
        <v>0.05</v>
      </c>
      <c r="L236">
        <v>55.54</v>
      </c>
      <c r="M236">
        <v>38.799999999999997</v>
      </c>
      <c r="N236">
        <v>16.739999999999998</v>
      </c>
      <c r="O236" t="s">
        <v>62</v>
      </c>
      <c r="P236">
        <v>4</v>
      </c>
      <c r="Q236" t="str">
        <f t="shared" si="18"/>
        <v>January</v>
      </c>
      <c r="R236" t="str">
        <f t="shared" si="19"/>
        <v>Q1</v>
      </c>
      <c r="S236">
        <f t="shared" si="20"/>
        <v>2024</v>
      </c>
      <c r="T236">
        <f t="shared" si="21"/>
        <v>2812146.4699999979</v>
      </c>
      <c r="U236">
        <f t="shared" si="22"/>
        <v>912377.07000000007</v>
      </c>
      <c r="V236">
        <f t="shared" si="23"/>
        <v>2.0822195805512709</v>
      </c>
    </row>
    <row r="237" spans="1:22" x14ac:dyDescent="0.35">
      <c r="A237" t="s">
        <v>544</v>
      </c>
      <c r="B237" s="1">
        <v>45404</v>
      </c>
      <c r="C237" t="s">
        <v>545</v>
      </c>
      <c r="D237" t="s">
        <v>29</v>
      </c>
      <c r="E237" t="s">
        <v>38</v>
      </c>
      <c r="F237" t="s">
        <v>39</v>
      </c>
      <c r="G237" t="s">
        <v>60</v>
      </c>
      <c r="H237" t="s">
        <v>61</v>
      </c>
      <c r="I237">
        <v>7</v>
      </c>
      <c r="J237">
        <v>77.209999999999994</v>
      </c>
      <c r="K237">
        <v>0</v>
      </c>
      <c r="L237">
        <v>540.47</v>
      </c>
      <c r="M237">
        <v>404.86</v>
      </c>
      <c r="N237">
        <v>135.61000000000001</v>
      </c>
      <c r="O237" t="s">
        <v>62</v>
      </c>
      <c r="P237">
        <v>2</v>
      </c>
      <c r="Q237" t="str">
        <f t="shared" si="18"/>
        <v>April</v>
      </c>
      <c r="R237" t="str">
        <f t="shared" si="19"/>
        <v>Q2</v>
      </c>
      <c r="S237">
        <f t="shared" si="20"/>
        <v>2024</v>
      </c>
      <c r="T237">
        <f t="shared" si="21"/>
        <v>2812090.9299999978</v>
      </c>
      <c r="U237">
        <f t="shared" si="22"/>
        <v>912360.33000000007</v>
      </c>
      <c r="V237">
        <f t="shared" si="23"/>
        <v>2.0822152580877749</v>
      </c>
    </row>
    <row r="238" spans="1:22" x14ac:dyDescent="0.35">
      <c r="A238" t="s">
        <v>546</v>
      </c>
      <c r="B238" s="1">
        <v>45571</v>
      </c>
      <c r="C238" t="s">
        <v>547</v>
      </c>
      <c r="D238" t="s">
        <v>37</v>
      </c>
      <c r="E238" t="s">
        <v>20</v>
      </c>
      <c r="F238" t="s">
        <v>39</v>
      </c>
      <c r="G238" t="s">
        <v>60</v>
      </c>
      <c r="H238" t="s">
        <v>119</v>
      </c>
      <c r="I238">
        <v>7</v>
      </c>
      <c r="J238">
        <v>780.58</v>
      </c>
      <c r="K238">
        <v>0.1</v>
      </c>
      <c r="L238">
        <v>4917.6499999999996</v>
      </c>
      <c r="M238">
        <v>4130.74</v>
      </c>
      <c r="N238">
        <v>786.91</v>
      </c>
      <c r="O238" t="s">
        <v>33</v>
      </c>
      <c r="P238">
        <v>4</v>
      </c>
      <c r="Q238" t="str">
        <f t="shared" si="18"/>
        <v>October</v>
      </c>
      <c r="R238" t="str">
        <f t="shared" si="19"/>
        <v>Q4</v>
      </c>
      <c r="S238">
        <f t="shared" si="20"/>
        <v>2024</v>
      </c>
      <c r="T238">
        <f t="shared" si="21"/>
        <v>2811550.4599999981</v>
      </c>
      <c r="U238">
        <f t="shared" si="22"/>
        <v>912224.72</v>
      </c>
      <c r="V238">
        <f t="shared" si="23"/>
        <v>2.0820809810986027</v>
      </c>
    </row>
    <row r="239" spans="1:22" x14ac:dyDescent="0.35">
      <c r="A239" t="s">
        <v>548</v>
      </c>
      <c r="B239" s="1">
        <v>45490</v>
      </c>
      <c r="C239" t="s">
        <v>549</v>
      </c>
      <c r="D239" t="s">
        <v>37</v>
      </c>
      <c r="E239" t="s">
        <v>38</v>
      </c>
      <c r="F239" t="s">
        <v>39</v>
      </c>
      <c r="G239" t="s">
        <v>43</v>
      </c>
      <c r="H239" t="s">
        <v>44</v>
      </c>
      <c r="I239">
        <v>11</v>
      </c>
      <c r="J239">
        <v>724.28</v>
      </c>
      <c r="K239">
        <v>0.15</v>
      </c>
      <c r="L239">
        <v>6772.02</v>
      </c>
      <c r="M239">
        <v>3404.31</v>
      </c>
      <c r="N239">
        <v>3367.71</v>
      </c>
      <c r="O239" t="s">
        <v>33</v>
      </c>
      <c r="P239">
        <v>1</v>
      </c>
      <c r="Q239" t="str">
        <f t="shared" si="18"/>
        <v>July</v>
      </c>
      <c r="R239" t="str">
        <f t="shared" si="19"/>
        <v>Q3</v>
      </c>
      <c r="S239">
        <f t="shared" si="20"/>
        <v>2024</v>
      </c>
      <c r="T239">
        <f t="shared" si="21"/>
        <v>2806632.8099999987</v>
      </c>
      <c r="U239">
        <f t="shared" si="22"/>
        <v>911437.81</v>
      </c>
      <c r="V239">
        <f t="shared" si="23"/>
        <v>2.0793464778469071</v>
      </c>
    </row>
    <row r="240" spans="1:22" x14ac:dyDescent="0.35">
      <c r="A240" t="s">
        <v>550</v>
      </c>
      <c r="B240" s="1">
        <v>45640</v>
      </c>
      <c r="C240" t="s">
        <v>551</v>
      </c>
      <c r="D240" t="s">
        <v>37</v>
      </c>
      <c r="E240" t="s">
        <v>38</v>
      </c>
      <c r="F240" t="s">
        <v>21</v>
      </c>
      <c r="G240" t="s">
        <v>79</v>
      </c>
      <c r="H240" t="s">
        <v>103</v>
      </c>
      <c r="I240">
        <v>5</v>
      </c>
      <c r="J240">
        <v>714.95</v>
      </c>
      <c r="K240">
        <v>0</v>
      </c>
      <c r="L240">
        <v>3574.75</v>
      </c>
      <c r="M240">
        <v>3021.5</v>
      </c>
      <c r="N240">
        <v>553.25</v>
      </c>
      <c r="O240" t="s">
        <v>51</v>
      </c>
      <c r="P240">
        <v>1</v>
      </c>
      <c r="Q240" t="str">
        <f t="shared" si="18"/>
        <v>December</v>
      </c>
      <c r="R240" t="str">
        <f t="shared" si="19"/>
        <v>Q4</v>
      </c>
      <c r="S240">
        <f t="shared" si="20"/>
        <v>2024</v>
      </c>
      <c r="T240">
        <f t="shared" si="21"/>
        <v>2799860.7899999991</v>
      </c>
      <c r="U240">
        <f t="shared" si="22"/>
        <v>908070.10000000009</v>
      </c>
      <c r="V240">
        <f t="shared" si="23"/>
        <v>2.0833090859395091</v>
      </c>
    </row>
    <row r="241" spans="1:22" x14ac:dyDescent="0.35">
      <c r="A241" t="s">
        <v>552</v>
      </c>
      <c r="B241" s="1">
        <v>45339</v>
      </c>
      <c r="C241" t="s">
        <v>553</v>
      </c>
      <c r="D241" t="s">
        <v>19</v>
      </c>
      <c r="E241" t="s">
        <v>98</v>
      </c>
      <c r="F241" t="s">
        <v>39</v>
      </c>
      <c r="G241" t="s">
        <v>79</v>
      </c>
      <c r="H241" t="s">
        <v>80</v>
      </c>
      <c r="I241">
        <v>4</v>
      </c>
      <c r="J241">
        <v>304.88</v>
      </c>
      <c r="K241">
        <v>0.1</v>
      </c>
      <c r="L241">
        <v>1097.57</v>
      </c>
      <c r="M241">
        <v>869.49</v>
      </c>
      <c r="N241">
        <v>228.08</v>
      </c>
      <c r="O241" t="s">
        <v>62</v>
      </c>
      <c r="P241">
        <v>4</v>
      </c>
      <c r="Q241" t="str">
        <f t="shared" si="18"/>
        <v>February</v>
      </c>
      <c r="R241" t="str">
        <f t="shared" si="19"/>
        <v>Q1</v>
      </c>
      <c r="S241">
        <f t="shared" si="20"/>
        <v>2024</v>
      </c>
      <c r="T241">
        <f t="shared" si="21"/>
        <v>2796286.0399999991</v>
      </c>
      <c r="U241">
        <f t="shared" si="22"/>
        <v>907516.85000000009</v>
      </c>
      <c r="V241">
        <f t="shared" si="23"/>
        <v>2.081249720046519</v>
      </c>
    </row>
    <row r="242" spans="1:22" x14ac:dyDescent="0.35">
      <c r="A242" t="s">
        <v>554</v>
      </c>
      <c r="B242" s="1">
        <v>45633</v>
      </c>
      <c r="C242" t="s">
        <v>555</v>
      </c>
      <c r="D242" t="s">
        <v>37</v>
      </c>
      <c r="E242" t="s">
        <v>30</v>
      </c>
      <c r="F242" t="s">
        <v>21</v>
      </c>
      <c r="G242" t="s">
        <v>60</v>
      </c>
      <c r="H242" t="s">
        <v>110</v>
      </c>
      <c r="I242">
        <v>3</v>
      </c>
      <c r="J242">
        <v>55.05</v>
      </c>
      <c r="K242">
        <v>0.05</v>
      </c>
      <c r="L242">
        <v>156.88999999999999</v>
      </c>
      <c r="M242">
        <v>125.64</v>
      </c>
      <c r="N242">
        <v>31.25</v>
      </c>
      <c r="O242" t="s">
        <v>33</v>
      </c>
      <c r="P242">
        <v>5</v>
      </c>
      <c r="Q242" t="str">
        <f t="shared" si="18"/>
        <v>December</v>
      </c>
      <c r="R242" t="str">
        <f t="shared" si="19"/>
        <v>Q4</v>
      </c>
      <c r="S242">
        <f t="shared" si="20"/>
        <v>2024</v>
      </c>
      <c r="T242">
        <f t="shared" si="21"/>
        <v>2795188.4699999988</v>
      </c>
      <c r="U242">
        <f t="shared" si="22"/>
        <v>907288.77000000014</v>
      </c>
      <c r="V242">
        <f t="shared" si="23"/>
        <v>2.0808145790231687</v>
      </c>
    </row>
    <row r="243" spans="1:22" x14ac:dyDescent="0.35">
      <c r="A243" t="s">
        <v>556</v>
      </c>
      <c r="B243" s="1">
        <v>45544</v>
      </c>
      <c r="C243" t="s">
        <v>557</v>
      </c>
      <c r="D243" t="s">
        <v>29</v>
      </c>
      <c r="E243" t="s">
        <v>85</v>
      </c>
      <c r="F243" t="s">
        <v>21</v>
      </c>
      <c r="G243" t="s">
        <v>43</v>
      </c>
      <c r="H243" t="s">
        <v>50</v>
      </c>
      <c r="I243">
        <v>2</v>
      </c>
      <c r="J243">
        <v>238.23</v>
      </c>
      <c r="K243">
        <v>0.15</v>
      </c>
      <c r="L243">
        <v>404.99</v>
      </c>
      <c r="M243">
        <v>280.56</v>
      </c>
      <c r="N243">
        <v>124.43</v>
      </c>
      <c r="O243" t="s">
        <v>33</v>
      </c>
      <c r="P243">
        <v>2</v>
      </c>
      <c r="Q243" t="str">
        <f t="shared" si="18"/>
        <v>September</v>
      </c>
      <c r="R243" t="str">
        <f t="shared" si="19"/>
        <v>Q3</v>
      </c>
      <c r="S243">
        <f t="shared" si="20"/>
        <v>2024</v>
      </c>
      <c r="T243">
        <f t="shared" si="21"/>
        <v>2795031.5799999987</v>
      </c>
      <c r="U243">
        <f t="shared" si="22"/>
        <v>907257.52000000014</v>
      </c>
      <c r="V243">
        <f t="shared" si="23"/>
        <v>2.0807477682852364</v>
      </c>
    </row>
    <row r="244" spans="1:22" x14ac:dyDescent="0.35">
      <c r="A244" t="s">
        <v>558</v>
      </c>
      <c r="B244" s="1">
        <v>45442</v>
      </c>
      <c r="C244" t="s">
        <v>559</v>
      </c>
      <c r="D244" t="s">
        <v>19</v>
      </c>
      <c r="E244" t="s">
        <v>85</v>
      </c>
      <c r="F244" t="s">
        <v>39</v>
      </c>
      <c r="G244" t="s">
        <v>79</v>
      </c>
      <c r="H244" t="s">
        <v>80</v>
      </c>
      <c r="I244">
        <v>6</v>
      </c>
      <c r="J244">
        <v>187.72</v>
      </c>
      <c r="K244">
        <v>0</v>
      </c>
      <c r="L244">
        <v>1126.32</v>
      </c>
      <c r="M244">
        <v>752.63</v>
      </c>
      <c r="N244">
        <v>373.69</v>
      </c>
      <c r="O244" t="s">
        <v>33</v>
      </c>
      <c r="P244">
        <v>4</v>
      </c>
      <c r="Q244" t="str">
        <f t="shared" si="18"/>
        <v>May</v>
      </c>
      <c r="R244" t="str">
        <f t="shared" si="19"/>
        <v>Q2</v>
      </c>
      <c r="S244">
        <f t="shared" si="20"/>
        <v>2024</v>
      </c>
      <c r="T244">
        <f t="shared" si="21"/>
        <v>2794626.5899999989</v>
      </c>
      <c r="U244">
        <f t="shared" si="22"/>
        <v>907133.09000000008</v>
      </c>
      <c r="V244">
        <f t="shared" si="23"/>
        <v>2.080723899069759</v>
      </c>
    </row>
    <row r="245" spans="1:22" x14ac:dyDescent="0.35">
      <c r="A245" t="s">
        <v>560</v>
      </c>
      <c r="B245" s="1">
        <v>45429</v>
      </c>
      <c r="C245" t="s">
        <v>561</v>
      </c>
      <c r="D245" t="s">
        <v>37</v>
      </c>
      <c r="E245" t="s">
        <v>85</v>
      </c>
      <c r="F245" t="s">
        <v>39</v>
      </c>
      <c r="G245" t="s">
        <v>22</v>
      </c>
      <c r="H245" t="s">
        <v>74</v>
      </c>
      <c r="I245">
        <v>4</v>
      </c>
      <c r="J245">
        <v>656.91</v>
      </c>
      <c r="K245">
        <v>0.05</v>
      </c>
      <c r="L245">
        <v>2496.2600000000002</v>
      </c>
      <c r="M245">
        <v>1905.09</v>
      </c>
      <c r="N245">
        <v>591.16999999999996</v>
      </c>
      <c r="O245" t="s">
        <v>24</v>
      </c>
      <c r="P245">
        <v>2</v>
      </c>
      <c r="Q245" t="str">
        <f t="shared" si="18"/>
        <v>May</v>
      </c>
      <c r="R245" t="str">
        <f t="shared" si="19"/>
        <v>Q2</v>
      </c>
      <c r="S245">
        <f t="shared" si="20"/>
        <v>2024</v>
      </c>
      <c r="T245">
        <f t="shared" si="21"/>
        <v>2793500.2699999991</v>
      </c>
      <c r="U245">
        <f t="shared" si="22"/>
        <v>906759.40000000014</v>
      </c>
      <c r="V245">
        <f t="shared" si="23"/>
        <v>2.0807513768260892</v>
      </c>
    </row>
    <row r="246" spans="1:22" x14ac:dyDescent="0.35">
      <c r="A246" t="s">
        <v>562</v>
      </c>
      <c r="B246" s="1">
        <v>45364</v>
      </c>
      <c r="C246" t="s">
        <v>563</v>
      </c>
      <c r="D246" t="s">
        <v>29</v>
      </c>
      <c r="E246" t="s">
        <v>85</v>
      </c>
      <c r="F246" t="s">
        <v>39</v>
      </c>
      <c r="G246" t="s">
        <v>22</v>
      </c>
      <c r="H246" t="s">
        <v>23</v>
      </c>
      <c r="I246">
        <v>12</v>
      </c>
      <c r="J246">
        <v>885.09</v>
      </c>
      <c r="K246">
        <v>0.1</v>
      </c>
      <c r="L246">
        <v>9558.9699999999993</v>
      </c>
      <c r="M246">
        <v>7779.3</v>
      </c>
      <c r="N246">
        <v>1779.67</v>
      </c>
      <c r="O246" t="s">
        <v>24</v>
      </c>
      <c r="P246">
        <v>4</v>
      </c>
      <c r="Q246" t="str">
        <f t="shared" si="18"/>
        <v>March</v>
      </c>
      <c r="R246" t="str">
        <f t="shared" si="19"/>
        <v>Q1</v>
      </c>
      <c r="S246">
        <f t="shared" si="20"/>
        <v>2024</v>
      </c>
      <c r="T246">
        <f t="shared" si="21"/>
        <v>2791004.0099999988</v>
      </c>
      <c r="U246">
        <f t="shared" si="22"/>
        <v>906168.23000000021</v>
      </c>
      <c r="V246">
        <f t="shared" si="23"/>
        <v>2.0800064685560629</v>
      </c>
    </row>
    <row r="247" spans="1:22" x14ac:dyDescent="0.35">
      <c r="A247" t="s">
        <v>564</v>
      </c>
      <c r="B247" s="1">
        <v>45356</v>
      </c>
      <c r="C247" t="s">
        <v>565</v>
      </c>
      <c r="D247" t="s">
        <v>37</v>
      </c>
      <c r="E247" t="s">
        <v>38</v>
      </c>
      <c r="F247" t="s">
        <v>39</v>
      </c>
      <c r="G247" t="s">
        <v>79</v>
      </c>
      <c r="H247" t="s">
        <v>80</v>
      </c>
      <c r="I247">
        <v>2</v>
      </c>
      <c r="J247">
        <v>222.08</v>
      </c>
      <c r="K247">
        <v>0.1</v>
      </c>
      <c r="L247">
        <v>399.74</v>
      </c>
      <c r="M247">
        <v>322.74</v>
      </c>
      <c r="N247">
        <v>77</v>
      </c>
      <c r="O247" t="s">
        <v>24</v>
      </c>
      <c r="P247">
        <v>3</v>
      </c>
      <c r="Q247" t="str">
        <f t="shared" si="18"/>
        <v>March</v>
      </c>
      <c r="R247" t="str">
        <f t="shared" si="19"/>
        <v>Q1</v>
      </c>
      <c r="S247">
        <f t="shared" si="20"/>
        <v>2024</v>
      </c>
      <c r="T247">
        <f t="shared" si="21"/>
        <v>2781445.0399999991</v>
      </c>
      <c r="U247">
        <f t="shared" si="22"/>
        <v>904388.56000000029</v>
      </c>
      <c r="V247">
        <f t="shared" si="23"/>
        <v>2.0754978147888097</v>
      </c>
    </row>
    <row r="248" spans="1:22" x14ac:dyDescent="0.35">
      <c r="A248" t="s">
        <v>566</v>
      </c>
      <c r="B248" s="1">
        <v>45395</v>
      </c>
      <c r="C248" t="s">
        <v>567</v>
      </c>
      <c r="D248" t="s">
        <v>66</v>
      </c>
      <c r="E248" t="s">
        <v>98</v>
      </c>
      <c r="F248" t="s">
        <v>39</v>
      </c>
      <c r="G248" t="s">
        <v>60</v>
      </c>
      <c r="H248" t="s">
        <v>110</v>
      </c>
      <c r="I248">
        <v>1</v>
      </c>
      <c r="J248">
        <v>473.41</v>
      </c>
      <c r="K248">
        <v>0.1</v>
      </c>
      <c r="L248">
        <v>426.07</v>
      </c>
      <c r="M248">
        <v>226.24</v>
      </c>
      <c r="N248">
        <v>199.83</v>
      </c>
      <c r="O248" t="s">
        <v>24</v>
      </c>
      <c r="P248">
        <v>2</v>
      </c>
      <c r="Q248" t="str">
        <f t="shared" si="18"/>
        <v>April</v>
      </c>
      <c r="R248" t="str">
        <f t="shared" si="19"/>
        <v>Q2</v>
      </c>
      <c r="S248">
        <f t="shared" si="20"/>
        <v>2024</v>
      </c>
      <c r="T248">
        <f t="shared" si="21"/>
        <v>2781045.2999999989</v>
      </c>
      <c r="U248">
        <f t="shared" si="22"/>
        <v>904311.56000000029</v>
      </c>
      <c r="V248">
        <f t="shared" si="23"/>
        <v>2.0753176482671503</v>
      </c>
    </row>
    <row r="249" spans="1:22" x14ac:dyDescent="0.35">
      <c r="A249" t="s">
        <v>568</v>
      </c>
      <c r="B249" s="1">
        <v>45630</v>
      </c>
      <c r="C249" t="s">
        <v>569</v>
      </c>
      <c r="D249" t="s">
        <v>19</v>
      </c>
      <c r="E249" t="s">
        <v>98</v>
      </c>
      <c r="F249" t="s">
        <v>21</v>
      </c>
      <c r="G249" t="s">
        <v>60</v>
      </c>
      <c r="H249" t="s">
        <v>110</v>
      </c>
      <c r="I249">
        <v>9</v>
      </c>
      <c r="J249">
        <v>135.27000000000001</v>
      </c>
      <c r="K249">
        <v>0.05</v>
      </c>
      <c r="L249">
        <v>1156.56</v>
      </c>
      <c r="M249">
        <v>733.25</v>
      </c>
      <c r="N249">
        <v>423.31</v>
      </c>
      <c r="O249" t="s">
        <v>33</v>
      </c>
      <c r="P249">
        <v>1</v>
      </c>
      <c r="Q249" t="str">
        <f t="shared" si="18"/>
        <v>December</v>
      </c>
      <c r="R249" t="str">
        <f t="shared" si="19"/>
        <v>Q4</v>
      </c>
      <c r="S249">
        <f t="shared" si="20"/>
        <v>2024</v>
      </c>
      <c r="T249">
        <f t="shared" si="21"/>
        <v>2780619.2299999991</v>
      </c>
      <c r="U249">
        <f t="shared" si="22"/>
        <v>904111.73000000033</v>
      </c>
      <c r="V249">
        <f t="shared" si="23"/>
        <v>2.0755261078185523</v>
      </c>
    </row>
    <row r="250" spans="1:22" x14ac:dyDescent="0.35">
      <c r="A250" t="s">
        <v>570</v>
      </c>
      <c r="B250" s="1">
        <v>45547</v>
      </c>
      <c r="C250" t="s">
        <v>571</v>
      </c>
      <c r="D250" t="s">
        <v>37</v>
      </c>
      <c r="E250" t="s">
        <v>85</v>
      </c>
      <c r="F250" t="s">
        <v>39</v>
      </c>
      <c r="G250" t="s">
        <v>43</v>
      </c>
      <c r="H250" t="s">
        <v>44</v>
      </c>
      <c r="I250">
        <v>1</v>
      </c>
      <c r="J250">
        <v>840.05</v>
      </c>
      <c r="K250">
        <v>0.15</v>
      </c>
      <c r="L250">
        <v>714.04</v>
      </c>
      <c r="M250">
        <v>368.25</v>
      </c>
      <c r="N250">
        <v>345.79</v>
      </c>
      <c r="O250" t="s">
        <v>24</v>
      </c>
      <c r="P250">
        <v>5</v>
      </c>
      <c r="Q250" t="str">
        <f t="shared" si="18"/>
        <v>September</v>
      </c>
      <c r="R250" t="str">
        <f t="shared" si="19"/>
        <v>Q3</v>
      </c>
      <c r="S250">
        <f t="shared" si="20"/>
        <v>2024</v>
      </c>
      <c r="T250">
        <f t="shared" si="21"/>
        <v>2779462.669999999</v>
      </c>
      <c r="U250">
        <f t="shared" si="22"/>
        <v>903688.42000000027</v>
      </c>
      <c r="V250">
        <f t="shared" si="23"/>
        <v>2.0756869386463954</v>
      </c>
    </row>
    <row r="251" spans="1:22" x14ac:dyDescent="0.35">
      <c r="A251" t="s">
        <v>572</v>
      </c>
      <c r="B251" s="1">
        <v>45629</v>
      </c>
      <c r="C251" t="s">
        <v>573</v>
      </c>
      <c r="D251" t="s">
        <v>19</v>
      </c>
      <c r="E251" t="s">
        <v>85</v>
      </c>
      <c r="F251" t="s">
        <v>31</v>
      </c>
      <c r="G251" t="s">
        <v>60</v>
      </c>
      <c r="H251" t="s">
        <v>119</v>
      </c>
      <c r="I251">
        <v>5</v>
      </c>
      <c r="J251">
        <v>96.2</v>
      </c>
      <c r="K251">
        <v>0.15</v>
      </c>
      <c r="L251">
        <v>408.85</v>
      </c>
      <c r="M251">
        <v>233.77</v>
      </c>
      <c r="N251">
        <v>175.08</v>
      </c>
      <c r="O251" t="s">
        <v>24</v>
      </c>
      <c r="P251">
        <v>4</v>
      </c>
      <c r="Q251" t="str">
        <f t="shared" si="18"/>
        <v>December</v>
      </c>
      <c r="R251" t="str">
        <f t="shared" si="19"/>
        <v>Q4</v>
      </c>
      <c r="S251">
        <f t="shared" si="20"/>
        <v>2024</v>
      </c>
      <c r="T251">
        <f t="shared" si="21"/>
        <v>2778748.629999999</v>
      </c>
      <c r="U251">
        <f t="shared" si="22"/>
        <v>903342.63000000024</v>
      </c>
      <c r="V251">
        <f t="shared" si="23"/>
        <v>2.0760738370113212</v>
      </c>
    </row>
    <row r="252" spans="1:22" x14ac:dyDescent="0.35">
      <c r="A252" t="s">
        <v>574</v>
      </c>
      <c r="B252" s="1">
        <v>45530</v>
      </c>
      <c r="C252" t="s">
        <v>575</v>
      </c>
      <c r="D252" t="s">
        <v>49</v>
      </c>
      <c r="E252" t="s">
        <v>38</v>
      </c>
      <c r="F252" t="s">
        <v>21</v>
      </c>
      <c r="G252" t="s">
        <v>79</v>
      </c>
      <c r="H252" t="s">
        <v>103</v>
      </c>
      <c r="I252">
        <v>11</v>
      </c>
      <c r="J252">
        <v>449.17</v>
      </c>
      <c r="K252">
        <v>0.1</v>
      </c>
      <c r="L252">
        <v>4446.78</v>
      </c>
      <c r="M252">
        <v>2875.7</v>
      </c>
      <c r="N252">
        <v>1571.08</v>
      </c>
      <c r="O252" t="s">
        <v>24</v>
      </c>
      <c r="P252">
        <v>3</v>
      </c>
      <c r="Q252" t="str">
        <f t="shared" si="18"/>
        <v>August</v>
      </c>
      <c r="R252" t="str">
        <f t="shared" si="19"/>
        <v>Q3</v>
      </c>
      <c r="S252">
        <f t="shared" si="20"/>
        <v>2024</v>
      </c>
      <c r="T252">
        <f t="shared" si="21"/>
        <v>2778339.7799999993</v>
      </c>
      <c r="U252">
        <f t="shared" si="22"/>
        <v>903167.55000000028</v>
      </c>
      <c r="V252">
        <f t="shared" si="23"/>
        <v>2.0762174526753077</v>
      </c>
    </row>
    <row r="253" spans="1:22" x14ac:dyDescent="0.35">
      <c r="A253" t="s">
        <v>576</v>
      </c>
      <c r="B253" s="1">
        <v>45639</v>
      </c>
      <c r="C253" t="s">
        <v>577</v>
      </c>
      <c r="D253" t="s">
        <v>37</v>
      </c>
      <c r="E253" t="s">
        <v>20</v>
      </c>
      <c r="F253" t="s">
        <v>21</v>
      </c>
      <c r="G253" t="s">
        <v>22</v>
      </c>
      <c r="H253" t="s">
        <v>32</v>
      </c>
      <c r="I253">
        <v>5</v>
      </c>
      <c r="J253">
        <v>61.98</v>
      </c>
      <c r="K253">
        <v>0.15</v>
      </c>
      <c r="L253">
        <v>263.41000000000003</v>
      </c>
      <c r="M253">
        <v>191.33</v>
      </c>
      <c r="N253">
        <v>72.08</v>
      </c>
      <c r="O253" t="s">
        <v>24</v>
      </c>
      <c r="P253">
        <v>5</v>
      </c>
      <c r="Q253" t="str">
        <f t="shared" si="18"/>
        <v>December</v>
      </c>
      <c r="R253" t="str">
        <f t="shared" si="19"/>
        <v>Q4</v>
      </c>
      <c r="S253">
        <f t="shared" si="20"/>
        <v>2024</v>
      </c>
      <c r="T253">
        <f t="shared" si="21"/>
        <v>2773892.9999999991</v>
      </c>
      <c r="U253">
        <f t="shared" si="22"/>
        <v>901596.4700000002</v>
      </c>
      <c r="V253">
        <f t="shared" si="23"/>
        <v>2.0766458080742023</v>
      </c>
    </row>
    <row r="254" spans="1:22" x14ac:dyDescent="0.35">
      <c r="A254" t="s">
        <v>578</v>
      </c>
      <c r="B254" s="1">
        <v>45485</v>
      </c>
      <c r="C254" t="s">
        <v>579</v>
      </c>
      <c r="D254" t="s">
        <v>66</v>
      </c>
      <c r="E254" t="s">
        <v>98</v>
      </c>
      <c r="F254" t="s">
        <v>39</v>
      </c>
      <c r="G254" t="s">
        <v>22</v>
      </c>
      <c r="H254" t="s">
        <v>32</v>
      </c>
      <c r="I254">
        <v>9</v>
      </c>
      <c r="J254">
        <v>278.94</v>
      </c>
      <c r="K254">
        <v>0</v>
      </c>
      <c r="L254">
        <v>2510.46</v>
      </c>
      <c r="M254">
        <v>1359.15</v>
      </c>
      <c r="N254">
        <v>1151.31</v>
      </c>
      <c r="O254" t="s">
        <v>51</v>
      </c>
      <c r="P254">
        <v>1</v>
      </c>
      <c r="Q254" t="str">
        <f t="shared" si="18"/>
        <v>July</v>
      </c>
      <c r="R254" t="str">
        <f t="shared" si="19"/>
        <v>Q3</v>
      </c>
      <c r="S254">
        <f t="shared" si="20"/>
        <v>2024</v>
      </c>
      <c r="T254">
        <f t="shared" si="21"/>
        <v>2773629.5899999989</v>
      </c>
      <c r="U254">
        <f t="shared" si="22"/>
        <v>901524.39000000025</v>
      </c>
      <c r="V254">
        <f t="shared" si="23"/>
        <v>2.0765996136832174</v>
      </c>
    </row>
    <row r="255" spans="1:22" x14ac:dyDescent="0.35">
      <c r="A255" t="s">
        <v>580</v>
      </c>
      <c r="B255" s="1">
        <v>45353</v>
      </c>
      <c r="C255" t="s">
        <v>581</v>
      </c>
      <c r="D255" t="s">
        <v>19</v>
      </c>
      <c r="E255" t="s">
        <v>30</v>
      </c>
      <c r="F255" t="s">
        <v>31</v>
      </c>
      <c r="G255" t="s">
        <v>22</v>
      </c>
      <c r="H255" t="s">
        <v>124</v>
      </c>
      <c r="I255">
        <v>3</v>
      </c>
      <c r="J255">
        <v>718.69</v>
      </c>
      <c r="K255">
        <v>0.05</v>
      </c>
      <c r="L255">
        <v>2048.27</v>
      </c>
      <c r="M255">
        <v>1269.1099999999999</v>
      </c>
      <c r="N255">
        <v>779.16</v>
      </c>
      <c r="O255" t="s">
        <v>33</v>
      </c>
      <c r="P255">
        <v>1</v>
      </c>
      <c r="Q255" t="str">
        <f t="shared" si="18"/>
        <v>March</v>
      </c>
      <c r="R255" t="str">
        <f t="shared" si="19"/>
        <v>Q1</v>
      </c>
      <c r="S255">
        <f t="shared" si="20"/>
        <v>2024</v>
      </c>
      <c r="T255">
        <f t="shared" si="21"/>
        <v>2771119.129999999</v>
      </c>
      <c r="U255">
        <f t="shared" si="22"/>
        <v>900373.08000000031</v>
      </c>
      <c r="V255">
        <f t="shared" si="23"/>
        <v>2.0777454274843468</v>
      </c>
    </row>
    <row r="256" spans="1:22" x14ac:dyDescent="0.35">
      <c r="A256" t="s">
        <v>582</v>
      </c>
      <c r="B256" s="1">
        <v>45391</v>
      </c>
      <c r="C256" t="s">
        <v>583</v>
      </c>
      <c r="D256" t="s">
        <v>19</v>
      </c>
      <c r="E256" t="s">
        <v>85</v>
      </c>
      <c r="F256" t="s">
        <v>31</v>
      </c>
      <c r="G256" t="s">
        <v>43</v>
      </c>
      <c r="H256" t="s">
        <v>44</v>
      </c>
      <c r="I256">
        <v>10</v>
      </c>
      <c r="J256">
        <v>557.75</v>
      </c>
      <c r="K256">
        <v>0.1</v>
      </c>
      <c r="L256">
        <v>5019.75</v>
      </c>
      <c r="M256">
        <v>3826.67</v>
      </c>
      <c r="N256">
        <v>1193.08</v>
      </c>
      <c r="O256" t="s">
        <v>62</v>
      </c>
      <c r="P256">
        <v>5</v>
      </c>
      <c r="Q256" t="str">
        <f t="shared" si="18"/>
        <v>April</v>
      </c>
      <c r="R256" t="str">
        <f t="shared" si="19"/>
        <v>Q2</v>
      </c>
      <c r="S256">
        <f t="shared" si="20"/>
        <v>2024</v>
      </c>
      <c r="T256">
        <f t="shared" si="21"/>
        <v>2769070.8599999994</v>
      </c>
      <c r="U256">
        <f t="shared" si="22"/>
        <v>899593.92000000027</v>
      </c>
      <c r="V256">
        <f t="shared" si="23"/>
        <v>2.0781342541754824</v>
      </c>
    </row>
    <row r="257" spans="1:22" x14ac:dyDescent="0.35">
      <c r="A257" t="s">
        <v>584</v>
      </c>
      <c r="B257" s="1">
        <v>45441</v>
      </c>
      <c r="C257" t="s">
        <v>585</v>
      </c>
      <c r="D257" t="s">
        <v>66</v>
      </c>
      <c r="E257" t="s">
        <v>20</v>
      </c>
      <c r="F257" t="s">
        <v>21</v>
      </c>
      <c r="G257" t="s">
        <v>22</v>
      </c>
      <c r="H257" t="s">
        <v>23</v>
      </c>
      <c r="I257">
        <v>1</v>
      </c>
      <c r="J257">
        <v>29.24</v>
      </c>
      <c r="K257">
        <v>0.05</v>
      </c>
      <c r="L257">
        <v>27.78</v>
      </c>
      <c r="M257">
        <v>21.78</v>
      </c>
      <c r="N257">
        <v>6</v>
      </c>
      <c r="O257" t="s">
        <v>24</v>
      </c>
      <c r="P257">
        <v>5</v>
      </c>
      <c r="Q257" t="str">
        <f t="shared" si="18"/>
        <v>May</v>
      </c>
      <c r="R257" t="str">
        <f t="shared" si="19"/>
        <v>Q2</v>
      </c>
      <c r="S257">
        <f t="shared" si="20"/>
        <v>2024</v>
      </c>
      <c r="T257">
        <f t="shared" si="21"/>
        <v>2764051.1099999994</v>
      </c>
      <c r="U257">
        <f t="shared" si="22"/>
        <v>898400.8400000002</v>
      </c>
      <c r="V257">
        <f t="shared" si="23"/>
        <v>2.0766346010985459</v>
      </c>
    </row>
    <row r="258" spans="1:22" x14ac:dyDescent="0.35">
      <c r="A258" t="s">
        <v>586</v>
      </c>
      <c r="B258" s="1">
        <v>45650</v>
      </c>
      <c r="C258" t="s">
        <v>587</v>
      </c>
      <c r="D258" t="s">
        <v>19</v>
      </c>
      <c r="E258" t="s">
        <v>30</v>
      </c>
      <c r="F258" t="s">
        <v>31</v>
      </c>
      <c r="G258" t="s">
        <v>43</v>
      </c>
      <c r="H258" t="s">
        <v>173</v>
      </c>
      <c r="I258">
        <v>10</v>
      </c>
      <c r="J258">
        <v>789.96</v>
      </c>
      <c r="K258">
        <v>0.1</v>
      </c>
      <c r="L258">
        <v>7109.64</v>
      </c>
      <c r="M258">
        <v>5953.99</v>
      </c>
      <c r="N258">
        <v>1155.6500000000001</v>
      </c>
      <c r="O258" t="s">
        <v>33</v>
      </c>
      <c r="P258">
        <v>3</v>
      </c>
      <c r="Q258" t="str">
        <f t="shared" ref="Q258:Q321" si="24">TEXT(B258,"MMMM")</f>
        <v>December</v>
      </c>
      <c r="R258" t="str">
        <f t="shared" ref="R258:R321" si="25">"Q"&amp;ROUNDUP(MONTH(B258)/3,0)</f>
        <v>Q4</v>
      </c>
      <c r="S258">
        <f t="shared" ref="S258:S321" si="26">YEAR(B258)</f>
        <v>2024</v>
      </c>
      <c r="T258">
        <f t="shared" ref="T258:T321" si="27">SUM(L258:L1257)</f>
        <v>2764023.3299999996</v>
      </c>
      <c r="U258">
        <f t="shared" ref="U258:U321" si="28">SUM(N258:N1257)</f>
        <v>898394.8400000002</v>
      </c>
      <c r="V258">
        <f t="shared" ref="V258:V321" si="29">(T258-U258)/U258</f>
        <v>2.0766242268265911</v>
      </c>
    </row>
    <row r="259" spans="1:22" x14ac:dyDescent="0.35">
      <c r="A259" t="s">
        <v>588</v>
      </c>
      <c r="B259" s="1">
        <v>45524</v>
      </c>
      <c r="C259" t="s">
        <v>589</v>
      </c>
      <c r="D259" t="s">
        <v>19</v>
      </c>
      <c r="E259" t="s">
        <v>85</v>
      </c>
      <c r="F259" t="s">
        <v>31</v>
      </c>
      <c r="G259" t="s">
        <v>60</v>
      </c>
      <c r="H259" t="s">
        <v>61</v>
      </c>
      <c r="I259">
        <v>8</v>
      </c>
      <c r="J259">
        <v>1007.76</v>
      </c>
      <c r="K259">
        <v>0</v>
      </c>
      <c r="L259">
        <v>8062.08</v>
      </c>
      <c r="M259">
        <v>5607.92</v>
      </c>
      <c r="N259">
        <v>2454.16</v>
      </c>
      <c r="O259" t="s">
        <v>51</v>
      </c>
      <c r="P259">
        <v>5</v>
      </c>
      <c r="Q259" t="str">
        <f t="shared" si="24"/>
        <v>August</v>
      </c>
      <c r="R259" t="str">
        <f t="shared" si="25"/>
        <v>Q3</v>
      </c>
      <c r="S259">
        <f t="shared" si="26"/>
        <v>2024</v>
      </c>
      <c r="T259">
        <f t="shared" si="27"/>
        <v>2756913.6899999995</v>
      </c>
      <c r="U259">
        <f t="shared" si="28"/>
        <v>897239.19000000018</v>
      </c>
      <c r="V259">
        <f t="shared" si="29"/>
        <v>2.0726630320282808</v>
      </c>
    </row>
    <row r="260" spans="1:22" x14ac:dyDescent="0.35">
      <c r="A260" t="s">
        <v>590</v>
      </c>
      <c r="B260" s="1">
        <v>45527</v>
      </c>
      <c r="C260" t="s">
        <v>591</v>
      </c>
      <c r="D260" t="s">
        <v>66</v>
      </c>
      <c r="E260" t="s">
        <v>85</v>
      </c>
      <c r="F260" t="s">
        <v>31</v>
      </c>
      <c r="G260" t="s">
        <v>22</v>
      </c>
      <c r="H260" t="s">
        <v>32</v>
      </c>
      <c r="I260">
        <v>8</v>
      </c>
      <c r="J260">
        <v>25.76</v>
      </c>
      <c r="K260">
        <v>0.1</v>
      </c>
      <c r="L260">
        <v>185.47</v>
      </c>
      <c r="M260">
        <v>113.19</v>
      </c>
      <c r="N260">
        <v>72.28</v>
      </c>
      <c r="O260" t="s">
        <v>24</v>
      </c>
      <c r="P260">
        <v>2</v>
      </c>
      <c r="Q260" t="str">
        <f t="shared" si="24"/>
        <v>August</v>
      </c>
      <c r="R260" t="str">
        <f t="shared" si="25"/>
        <v>Q3</v>
      </c>
      <c r="S260">
        <f t="shared" si="26"/>
        <v>2024</v>
      </c>
      <c r="T260">
        <f t="shared" si="27"/>
        <v>2748851.6099999994</v>
      </c>
      <c r="U260">
        <f t="shared" si="28"/>
        <v>894785.03000000026</v>
      </c>
      <c r="V260">
        <f t="shared" si="29"/>
        <v>2.0720804638405701</v>
      </c>
    </row>
    <row r="261" spans="1:22" x14ac:dyDescent="0.35">
      <c r="A261" t="s">
        <v>592</v>
      </c>
      <c r="B261" s="1">
        <v>45366</v>
      </c>
      <c r="C261" t="s">
        <v>593</v>
      </c>
      <c r="D261" t="s">
        <v>66</v>
      </c>
      <c r="E261" t="s">
        <v>85</v>
      </c>
      <c r="F261" t="s">
        <v>21</v>
      </c>
      <c r="G261" t="s">
        <v>43</v>
      </c>
      <c r="H261" t="s">
        <v>50</v>
      </c>
      <c r="I261">
        <v>8</v>
      </c>
      <c r="J261">
        <v>817.47</v>
      </c>
      <c r="K261">
        <v>0</v>
      </c>
      <c r="L261">
        <v>6539.76</v>
      </c>
      <c r="M261">
        <v>5447.3</v>
      </c>
      <c r="N261">
        <v>1092.46</v>
      </c>
      <c r="O261" t="s">
        <v>33</v>
      </c>
      <c r="P261">
        <v>1</v>
      </c>
      <c r="Q261" t="str">
        <f t="shared" si="24"/>
        <v>March</v>
      </c>
      <c r="R261" t="str">
        <f t="shared" si="25"/>
        <v>Q1</v>
      </c>
      <c r="S261">
        <f t="shared" si="26"/>
        <v>2024</v>
      </c>
      <c r="T261">
        <f t="shared" si="27"/>
        <v>2748666.1399999997</v>
      </c>
      <c r="U261">
        <f t="shared" si="28"/>
        <v>894712.75000000023</v>
      </c>
      <c r="V261">
        <f t="shared" si="29"/>
        <v>2.0721213484439547</v>
      </c>
    </row>
    <row r="262" spans="1:22" x14ac:dyDescent="0.35">
      <c r="A262" t="s">
        <v>594</v>
      </c>
      <c r="B262" s="1">
        <v>45449</v>
      </c>
      <c r="C262" t="s">
        <v>595</v>
      </c>
      <c r="D262" t="s">
        <v>19</v>
      </c>
      <c r="E262" t="s">
        <v>20</v>
      </c>
      <c r="F262" t="s">
        <v>31</v>
      </c>
      <c r="G262" t="s">
        <v>43</v>
      </c>
      <c r="H262" t="s">
        <v>50</v>
      </c>
      <c r="I262">
        <v>10</v>
      </c>
      <c r="J262">
        <v>417.43</v>
      </c>
      <c r="K262">
        <v>0.05</v>
      </c>
      <c r="L262">
        <v>3965.59</v>
      </c>
      <c r="M262">
        <v>3126.64</v>
      </c>
      <c r="N262">
        <v>838.95</v>
      </c>
      <c r="O262" t="s">
        <v>33</v>
      </c>
      <c r="P262">
        <v>1</v>
      </c>
      <c r="Q262" t="str">
        <f t="shared" si="24"/>
        <v>June</v>
      </c>
      <c r="R262" t="str">
        <f t="shared" si="25"/>
        <v>Q2</v>
      </c>
      <c r="S262">
        <f t="shared" si="26"/>
        <v>2024</v>
      </c>
      <c r="T262">
        <f t="shared" si="27"/>
        <v>2742126.3799999994</v>
      </c>
      <c r="U262">
        <f t="shared" si="28"/>
        <v>893620.29000000015</v>
      </c>
      <c r="V262">
        <f t="shared" si="29"/>
        <v>2.0685587723170422</v>
      </c>
    </row>
    <row r="263" spans="1:22" x14ac:dyDescent="0.35">
      <c r="A263" t="s">
        <v>596</v>
      </c>
      <c r="B263" s="1">
        <v>45646</v>
      </c>
      <c r="C263" t="s">
        <v>597</v>
      </c>
      <c r="D263" t="s">
        <v>66</v>
      </c>
      <c r="E263" t="s">
        <v>30</v>
      </c>
      <c r="F263" t="s">
        <v>31</v>
      </c>
      <c r="G263" t="s">
        <v>79</v>
      </c>
      <c r="H263" t="s">
        <v>103</v>
      </c>
      <c r="I263">
        <v>9</v>
      </c>
      <c r="J263">
        <v>575.1</v>
      </c>
      <c r="K263">
        <v>0</v>
      </c>
      <c r="L263">
        <v>5175.8999999999996</v>
      </c>
      <c r="M263">
        <v>4348.78</v>
      </c>
      <c r="N263">
        <v>827.12</v>
      </c>
      <c r="O263" t="s">
        <v>62</v>
      </c>
      <c r="P263">
        <v>4</v>
      </c>
      <c r="Q263" t="str">
        <f t="shared" si="24"/>
        <v>December</v>
      </c>
      <c r="R263" t="str">
        <f t="shared" si="25"/>
        <v>Q4</v>
      </c>
      <c r="S263">
        <f t="shared" si="26"/>
        <v>2024</v>
      </c>
      <c r="T263">
        <f t="shared" si="27"/>
        <v>2738160.7899999996</v>
      </c>
      <c r="U263">
        <f t="shared" si="28"/>
        <v>892781.3400000002</v>
      </c>
      <c r="V263">
        <f t="shared" si="29"/>
        <v>2.0670004706863594</v>
      </c>
    </row>
    <row r="264" spans="1:22" x14ac:dyDescent="0.35">
      <c r="A264" t="s">
        <v>598</v>
      </c>
      <c r="B264" s="1">
        <v>45503</v>
      </c>
      <c r="C264" t="s">
        <v>599</v>
      </c>
      <c r="D264" t="s">
        <v>29</v>
      </c>
      <c r="E264" t="s">
        <v>38</v>
      </c>
      <c r="F264" t="s">
        <v>31</v>
      </c>
      <c r="G264" t="s">
        <v>43</v>
      </c>
      <c r="H264" t="s">
        <v>173</v>
      </c>
      <c r="I264">
        <v>11</v>
      </c>
      <c r="J264">
        <v>303.20999999999998</v>
      </c>
      <c r="K264">
        <v>0.1</v>
      </c>
      <c r="L264">
        <v>3001.78</v>
      </c>
      <c r="M264">
        <v>1622.6</v>
      </c>
      <c r="N264">
        <v>1379.18</v>
      </c>
      <c r="O264" t="s">
        <v>51</v>
      </c>
      <c r="P264">
        <v>3</v>
      </c>
      <c r="Q264" t="str">
        <f t="shared" si="24"/>
        <v>July</v>
      </c>
      <c r="R264" t="str">
        <f t="shared" si="25"/>
        <v>Q3</v>
      </c>
      <c r="S264">
        <f t="shared" si="26"/>
        <v>2024</v>
      </c>
      <c r="T264">
        <f t="shared" si="27"/>
        <v>2732984.8899999997</v>
      </c>
      <c r="U264">
        <f t="shared" si="28"/>
        <v>891954.2200000002</v>
      </c>
      <c r="V264">
        <f t="shared" si="29"/>
        <v>2.0640416612413124</v>
      </c>
    </row>
    <row r="265" spans="1:22" x14ac:dyDescent="0.35">
      <c r="A265" t="s">
        <v>600</v>
      </c>
      <c r="B265" s="1">
        <v>45464</v>
      </c>
      <c r="C265" t="s">
        <v>601</v>
      </c>
      <c r="D265" t="s">
        <v>19</v>
      </c>
      <c r="E265" t="s">
        <v>20</v>
      </c>
      <c r="F265" t="s">
        <v>39</v>
      </c>
      <c r="G265" t="s">
        <v>22</v>
      </c>
      <c r="H265" t="s">
        <v>74</v>
      </c>
      <c r="I265">
        <v>8</v>
      </c>
      <c r="J265">
        <v>808.84</v>
      </c>
      <c r="K265">
        <v>0.1</v>
      </c>
      <c r="L265">
        <v>5823.65</v>
      </c>
      <c r="M265">
        <v>3329.85</v>
      </c>
      <c r="N265">
        <v>2493.8000000000002</v>
      </c>
      <c r="O265" t="s">
        <v>62</v>
      </c>
      <c r="P265">
        <v>5</v>
      </c>
      <c r="Q265" t="str">
        <f t="shared" si="24"/>
        <v>June</v>
      </c>
      <c r="R265" t="str">
        <f t="shared" si="25"/>
        <v>Q2</v>
      </c>
      <c r="S265">
        <f t="shared" si="26"/>
        <v>2024</v>
      </c>
      <c r="T265">
        <f t="shared" si="27"/>
        <v>2729983.11</v>
      </c>
      <c r="U265">
        <f t="shared" si="28"/>
        <v>890575.04000000039</v>
      </c>
      <c r="V265">
        <f t="shared" si="29"/>
        <v>2.0654161495475987</v>
      </c>
    </row>
    <row r="266" spans="1:22" x14ac:dyDescent="0.35">
      <c r="A266" t="s">
        <v>602</v>
      </c>
      <c r="B266" s="1">
        <v>45620</v>
      </c>
      <c r="C266" t="s">
        <v>603</v>
      </c>
      <c r="D266" t="s">
        <v>37</v>
      </c>
      <c r="E266" t="s">
        <v>30</v>
      </c>
      <c r="F266" t="s">
        <v>31</v>
      </c>
      <c r="G266" t="s">
        <v>60</v>
      </c>
      <c r="H266" t="s">
        <v>119</v>
      </c>
      <c r="I266">
        <v>11</v>
      </c>
      <c r="J266">
        <v>818.01</v>
      </c>
      <c r="K266">
        <v>0</v>
      </c>
      <c r="L266">
        <v>8998.11</v>
      </c>
      <c r="M266">
        <v>6885.6</v>
      </c>
      <c r="N266">
        <v>2112.5100000000002</v>
      </c>
      <c r="O266" t="s">
        <v>51</v>
      </c>
      <c r="P266">
        <v>5</v>
      </c>
      <c r="Q266" t="str">
        <f t="shared" si="24"/>
        <v>November</v>
      </c>
      <c r="R266" t="str">
        <f t="shared" si="25"/>
        <v>Q4</v>
      </c>
      <c r="S266">
        <f t="shared" si="26"/>
        <v>2024</v>
      </c>
      <c r="T266">
        <f t="shared" si="27"/>
        <v>2724159.46</v>
      </c>
      <c r="U266">
        <f t="shared" si="28"/>
        <v>888081.24000000046</v>
      </c>
      <c r="V266">
        <f t="shared" si="29"/>
        <v>2.0674665079064147</v>
      </c>
    </row>
    <row r="267" spans="1:22" x14ac:dyDescent="0.35">
      <c r="A267" t="s">
        <v>604</v>
      </c>
      <c r="B267" s="1">
        <v>45368</v>
      </c>
      <c r="C267" t="s">
        <v>605</v>
      </c>
      <c r="D267" t="s">
        <v>49</v>
      </c>
      <c r="E267" t="s">
        <v>38</v>
      </c>
      <c r="F267" t="s">
        <v>21</v>
      </c>
      <c r="G267" t="s">
        <v>60</v>
      </c>
      <c r="H267" t="s">
        <v>61</v>
      </c>
      <c r="I267">
        <v>2</v>
      </c>
      <c r="J267">
        <v>426.27</v>
      </c>
      <c r="K267">
        <v>0.1</v>
      </c>
      <c r="L267">
        <v>767.29</v>
      </c>
      <c r="M267">
        <v>437.65</v>
      </c>
      <c r="N267">
        <v>329.64</v>
      </c>
      <c r="O267" t="s">
        <v>33</v>
      </c>
      <c r="P267">
        <v>3</v>
      </c>
      <c r="Q267" t="str">
        <f t="shared" si="24"/>
        <v>March</v>
      </c>
      <c r="R267" t="str">
        <f t="shared" si="25"/>
        <v>Q1</v>
      </c>
      <c r="S267">
        <f t="shared" si="26"/>
        <v>2024</v>
      </c>
      <c r="T267">
        <f t="shared" si="27"/>
        <v>2715161.3499999996</v>
      </c>
      <c r="U267">
        <f t="shared" si="28"/>
        <v>885968.73000000045</v>
      </c>
      <c r="V267">
        <f t="shared" si="29"/>
        <v>2.0646243575662071</v>
      </c>
    </row>
    <row r="268" spans="1:22" x14ac:dyDescent="0.35">
      <c r="A268" t="s">
        <v>606</v>
      </c>
      <c r="B268" s="1">
        <v>45344</v>
      </c>
      <c r="C268" t="s">
        <v>607</v>
      </c>
      <c r="D268" t="s">
        <v>19</v>
      </c>
      <c r="E268" t="s">
        <v>38</v>
      </c>
      <c r="F268" t="s">
        <v>21</v>
      </c>
      <c r="G268" t="s">
        <v>22</v>
      </c>
      <c r="H268" t="s">
        <v>32</v>
      </c>
      <c r="I268">
        <v>9</v>
      </c>
      <c r="J268">
        <v>29.81</v>
      </c>
      <c r="K268">
        <v>0.1</v>
      </c>
      <c r="L268">
        <v>241.46</v>
      </c>
      <c r="M268">
        <v>174.03</v>
      </c>
      <c r="N268">
        <v>67.430000000000007</v>
      </c>
      <c r="O268" t="s">
        <v>33</v>
      </c>
      <c r="P268">
        <v>5</v>
      </c>
      <c r="Q268" t="str">
        <f t="shared" si="24"/>
        <v>February</v>
      </c>
      <c r="R268" t="str">
        <f t="shared" si="25"/>
        <v>Q1</v>
      </c>
      <c r="S268">
        <f t="shared" si="26"/>
        <v>2024</v>
      </c>
      <c r="T268">
        <f t="shared" si="27"/>
        <v>2714394.06</v>
      </c>
      <c r="U268">
        <f t="shared" si="28"/>
        <v>885639.09000000055</v>
      </c>
      <c r="V268">
        <f t="shared" si="29"/>
        <v>2.0648986597915391</v>
      </c>
    </row>
    <row r="269" spans="1:22" x14ac:dyDescent="0.35">
      <c r="A269" t="s">
        <v>608</v>
      </c>
      <c r="B269" s="1">
        <v>45568</v>
      </c>
      <c r="C269" t="s">
        <v>609</v>
      </c>
      <c r="D269" t="s">
        <v>49</v>
      </c>
      <c r="E269" t="s">
        <v>20</v>
      </c>
      <c r="F269" t="s">
        <v>31</v>
      </c>
      <c r="G269" t="s">
        <v>79</v>
      </c>
      <c r="H269" t="s">
        <v>103</v>
      </c>
      <c r="I269">
        <v>2</v>
      </c>
      <c r="J269">
        <v>147.16</v>
      </c>
      <c r="K269">
        <v>0</v>
      </c>
      <c r="L269">
        <v>294.32</v>
      </c>
      <c r="M269">
        <v>181.72</v>
      </c>
      <c r="N269">
        <v>112.6</v>
      </c>
      <c r="O269" t="s">
        <v>51</v>
      </c>
      <c r="P269">
        <v>2</v>
      </c>
      <c r="Q269" t="str">
        <f t="shared" si="24"/>
        <v>October</v>
      </c>
      <c r="R269" t="str">
        <f t="shared" si="25"/>
        <v>Q4</v>
      </c>
      <c r="S269">
        <f t="shared" si="26"/>
        <v>2024</v>
      </c>
      <c r="T269">
        <f t="shared" si="27"/>
        <v>2714152.5999999996</v>
      </c>
      <c r="U269">
        <f t="shared" si="28"/>
        <v>885571.6600000005</v>
      </c>
      <c r="V269">
        <f t="shared" si="29"/>
        <v>2.0648593700480409</v>
      </c>
    </row>
    <row r="270" spans="1:22" x14ac:dyDescent="0.35">
      <c r="A270" t="s">
        <v>610</v>
      </c>
      <c r="B270" s="1">
        <v>45395</v>
      </c>
      <c r="C270" t="s">
        <v>611</v>
      </c>
      <c r="D270" t="s">
        <v>66</v>
      </c>
      <c r="E270" t="s">
        <v>30</v>
      </c>
      <c r="F270" t="s">
        <v>39</v>
      </c>
      <c r="G270" t="s">
        <v>60</v>
      </c>
      <c r="H270" t="s">
        <v>119</v>
      </c>
      <c r="I270">
        <v>2</v>
      </c>
      <c r="J270">
        <v>1103.4100000000001</v>
      </c>
      <c r="K270">
        <v>0.05</v>
      </c>
      <c r="L270">
        <v>2096.48</v>
      </c>
      <c r="M270">
        <v>1442.94</v>
      </c>
      <c r="N270">
        <v>653.54</v>
      </c>
      <c r="O270" t="s">
        <v>62</v>
      </c>
      <c r="P270">
        <v>1</v>
      </c>
      <c r="Q270" t="str">
        <f t="shared" si="24"/>
        <v>April</v>
      </c>
      <c r="R270" t="str">
        <f t="shared" si="25"/>
        <v>Q2</v>
      </c>
      <c r="S270">
        <f t="shared" si="26"/>
        <v>2024</v>
      </c>
      <c r="T270">
        <f t="shared" si="27"/>
        <v>2713858.28</v>
      </c>
      <c r="U270">
        <f t="shared" si="28"/>
        <v>885459.06000000052</v>
      </c>
      <c r="V270">
        <f t="shared" si="29"/>
        <v>2.0649167224061133</v>
      </c>
    </row>
    <row r="271" spans="1:22" x14ac:dyDescent="0.35">
      <c r="A271" t="s">
        <v>612</v>
      </c>
      <c r="B271" s="1">
        <v>45484</v>
      </c>
      <c r="C271" t="s">
        <v>613</v>
      </c>
      <c r="D271" t="s">
        <v>37</v>
      </c>
      <c r="E271" t="s">
        <v>30</v>
      </c>
      <c r="F271" t="s">
        <v>21</v>
      </c>
      <c r="G271" t="s">
        <v>60</v>
      </c>
      <c r="H271" t="s">
        <v>61</v>
      </c>
      <c r="I271">
        <v>1</v>
      </c>
      <c r="J271">
        <v>206.79</v>
      </c>
      <c r="K271">
        <v>0</v>
      </c>
      <c r="L271">
        <v>206.79</v>
      </c>
      <c r="M271">
        <v>170.43</v>
      </c>
      <c r="N271">
        <v>36.36</v>
      </c>
      <c r="O271" t="s">
        <v>62</v>
      </c>
      <c r="P271">
        <v>1</v>
      </c>
      <c r="Q271" t="str">
        <f t="shared" si="24"/>
        <v>July</v>
      </c>
      <c r="R271" t="str">
        <f t="shared" si="25"/>
        <v>Q3</v>
      </c>
      <c r="S271">
        <f t="shared" si="26"/>
        <v>2024</v>
      </c>
      <c r="T271">
        <f t="shared" si="27"/>
        <v>2711761.8</v>
      </c>
      <c r="U271">
        <f t="shared" si="28"/>
        <v>884805.52000000048</v>
      </c>
      <c r="V271">
        <f t="shared" si="29"/>
        <v>2.0648111236919027</v>
      </c>
    </row>
    <row r="272" spans="1:22" x14ac:dyDescent="0.35">
      <c r="A272" t="s">
        <v>614</v>
      </c>
      <c r="B272" s="1">
        <v>45473</v>
      </c>
      <c r="C272" t="s">
        <v>615</v>
      </c>
      <c r="D272" t="s">
        <v>29</v>
      </c>
      <c r="E272" t="s">
        <v>85</v>
      </c>
      <c r="F272" t="s">
        <v>21</v>
      </c>
      <c r="G272" t="s">
        <v>43</v>
      </c>
      <c r="H272" t="s">
        <v>44</v>
      </c>
      <c r="I272">
        <v>10</v>
      </c>
      <c r="J272">
        <v>648.89</v>
      </c>
      <c r="K272">
        <v>0.05</v>
      </c>
      <c r="L272">
        <v>6164.45</v>
      </c>
      <c r="M272">
        <v>3901.15</v>
      </c>
      <c r="N272">
        <v>2263.3000000000002</v>
      </c>
      <c r="O272" t="s">
        <v>24</v>
      </c>
      <c r="P272">
        <v>3</v>
      </c>
      <c r="Q272" t="str">
        <f t="shared" si="24"/>
        <v>June</v>
      </c>
      <c r="R272" t="str">
        <f t="shared" si="25"/>
        <v>Q2</v>
      </c>
      <c r="S272">
        <f t="shared" si="26"/>
        <v>2024</v>
      </c>
      <c r="T272">
        <f t="shared" si="27"/>
        <v>2711555.01</v>
      </c>
      <c r="U272">
        <f t="shared" si="28"/>
        <v>884769.16000000061</v>
      </c>
      <c r="V272">
        <f t="shared" si="29"/>
        <v>2.0647033515499094</v>
      </c>
    </row>
    <row r="273" spans="1:22" x14ac:dyDescent="0.35">
      <c r="A273" t="s">
        <v>616</v>
      </c>
      <c r="B273" s="1">
        <v>45534</v>
      </c>
      <c r="C273" t="s">
        <v>617</v>
      </c>
      <c r="D273" t="s">
        <v>66</v>
      </c>
      <c r="E273" t="s">
        <v>20</v>
      </c>
      <c r="F273" t="s">
        <v>31</v>
      </c>
      <c r="G273" t="s">
        <v>22</v>
      </c>
      <c r="H273" t="s">
        <v>74</v>
      </c>
      <c r="I273">
        <v>8</v>
      </c>
      <c r="J273">
        <v>1159.08</v>
      </c>
      <c r="K273">
        <v>0</v>
      </c>
      <c r="L273">
        <v>9272.64</v>
      </c>
      <c r="M273">
        <v>6716.05</v>
      </c>
      <c r="N273">
        <v>2556.59</v>
      </c>
      <c r="O273" t="s">
        <v>62</v>
      </c>
      <c r="P273">
        <v>3</v>
      </c>
      <c r="Q273" t="str">
        <f t="shared" si="24"/>
        <v>August</v>
      </c>
      <c r="R273" t="str">
        <f t="shared" si="25"/>
        <v>Q3</v>
      </c>
      <c r="S273">
        <f t="shared" si="26"/>
        <v>2024</v>
      </c>
      <c r="T273">
        <f t="shared" si="27"/>
        <v>2705390.56</v>
      </c>
      <c r="U273">
        <f t="shared" si="28"/>
        <v>882505.86000000045</v>
      </c>
      <c r="V273">
        <f t="shared" si="29"/>
        <v>2.0655780121392042</v>
      </c>
    </row>
    <row r="274" spans="1:22" x14ac:dyDescent="0.35">
      <c r="A274" t="s">
        <v>618</v>
      </c>
      <c r="B274" s="1">
        <v>45386</v>
      </c>
      <c r="C274" t="s">
        <v>619</v>
      </c>
      <c r="D274" t="s">
        <v>49</v>
      </c>
      <c r="E274" t="s">
        <v>98</v>
      </c>
      <c r="F274" t="s">
        <v>39</v>
      </c>
      <c r="G274" t="s">
        <v>79</v>
      </c>
      <c r="H274" t="s">
        <v>80</v>
      </c>
      <c r="I274">
        <v>8</v>
      </c>
      <c r="J274">
        <v>518.03</v>
      </c>
      <c r="K274">
        <v>0.05</v>
      </c>
      <c r="L274">
        <v>3937.03</v>
      </c>
      <c r="M274">
        <v>3199.71</v>
      </c>
      <c r="N274">
        <v>737.32</v>
      </c>
      <c r="O274" t="s">
        <v>62</v>
      </c>
      <c r="P274">
        <v>2</v>
      </c>
      <c r="Q274" t="str">
        <f t="shared" si="24"/>
        <v>April</v>
      </c>
      <c r="R274" t="str">
        <f t="shared" si="25"/>
        <v>Q2</v>
      </c>
      <c r="S274">
        <f t="shared" si="26"/>
        <v>2024</v>
      </c>
      <c r="T274">
        <f t="shared" si="27"/>
        <v>2696117.9200000004</v>
      </c>
      <c r="U274">
        <f t="shared" si="28"/>
        <v>879949.2700000006</v>
      </c>
      <c r="V274">
        <f t="shared" si="29"/>
        <v>2.0639469932170051</v>
      </c>
    </row>
    <row r="275" spans="1:22" x14ac:dyDescent="0.35">
      <c r="A275" t="s">
        <v>620</v>
      </c>
      <c r="B275" s="1">
        <v>45449</v>
      </c>
      <c r="C275" t="s">
        <v>621</v>
      </c>
      <c r="D275" t="s">
        <v>29</v>
      </c>
      <c r="E275" t="s">
        <v>85</v>
      </c>
      <c r="F275" t="s">
        <v>31</v>
      </c>
      <c r="G275" t="s">
        <v>79</v>
      </c>
      <c r="H275" t="s">
        <v>89</v>
      </c>
      <c r="I275">
        <v>3</v>
      </c>
      <c r="J275">
        <v>297.7</v>
      </c>
      <c r="K275">
        <v>0.15</v>
      </c>
      <c r="L275">
        <v>759.13</v>
      </c>
      <c r="M275">
        <v>436.91</v>
      </c>
      <c r="N275">
        <v>322.22000000000003</v>
      </c>
      <c r="O275" t="s">
        <v>24</v>
      </c>
      <c r="P275">
        <v>3</v>
      </c>
      <c r="Q275" t="str">
        <f t="shared" si="24"/>
        <v>June</v>
      </c>
      <c r="R275" t="str">
        <f t="shared" si="25"/>
        <v>Q2</v>
      </c>
      <c r="S275">
        <f t="shared" si="26"/>
        <v>2024</v>
      </c>
      <c r="T275">
        <f t="shared" si="27"/>
        <v>2692180.89</v>
      </c>
      <c r="U275">
        <f t="shared" si="28"/>
        <v>879211.95000000054</v>
      </c>
      <c r="V275">
        <f t="shared" si="29"/>
        <v>2.0620385562320878</v>
      </c>
    </row>
    <row r="276" spans="1:22" x14ac:dyDescent="0.35">
      <c r="A276" t="s">
        <v>622</v>
      </c>
      <c r="B276" s="1">
        <v>45373</v>
      </c>
      <c r="C276" t="s">
        <v>623</v>
      </c>
      <c r="D276" t="s">
        <v>49</v>
      </c>
      <c r="E276" t="s">
        <v>20</v>
      </c>
      <c r="F276" t="s">
        <v>39</v>
      </c>
      <c r="G276" t="s">
        <v>43</v>
      </c>
      <c r="H276" t="s">
        <v>50</v>
      </c>
      <c r="I276">
        <v>3</v>
      </c>
      <c r="J276">
        <v>803.54</v>
      </c>
      <c r="K276">
        <v>0.15</v>
      </c>
      <c r="L276">
        <v>2049.0300000000002</v>
      </c>
      <c r="M276">
        <v>1589.11</v>
      </c>
      <c r="N276">
        <v>459.92</v>
      </c>
      <c r="O276" t="s">
        <v>24</v>
      </c>
      <c r="P276">
        <v>4</v>
      </c>
      <c r="Q276" t="str">
        <f t="shared" si="24"/>
        <v>March</v>
      </c>
      <c r="R276" t="str">
        <f t="shared" si="25"/>
        <v>Q1</v>
      </c>
      <c r="S276">
        <f t="shared" si="26"/>
        <v>2024</v>
      </c>
      <c r="T276">
        <f t="shared" si="27"/>
        <v>2691421.7600000002</v>
      </c>
      <c r="U276">
        <f t="shared" si="28"/>
        <v>878889.73000000056</v>
      </c>
      <c r="V276">
        <f t="shared" si="29"/>
        <v>2.062297428370222</v>
      </c>
    </row>
    <row r="277" spans="1:22" x14ac:dyDescent="0.35">
      <c r="A277" t="s">
        <v>624</v>
      </c>
      <c r="B277" s="1">
        <v>45579</v>
      </c>
      <c r="C277" t="s">
        <v>625</v>
      </c>
      <c r="D277" t="s">
        <v>49</v>
      </c>
      <c r="E277" t="s">
        <v>38</v>
      </c>
      <c r="F277" t="s">
        <v>39</v>
      </c>
      <c r="G277" t="s">
        <v>60</v>
      </c>
      <c r="H277" t="s">
        <v>110</v>
      </c>
      <c r="I277">
        <v>8</v>
      </c>
      <c r="J277">
        <v>896.58</v>
      </c>
      <c r="K277">
        <v>0.05</v>
      </c>
      <c r="L277">
        <v>6814.01</v>
      </c>
      <c r="M277">
        <v>4129.5600000000004</v>
      </c>
      <c r="N277">
        <v>2684.45</v>
      </c>
      <c r="O277" t="s">
        <v>33</v>
      </c>
      <c r="P277">
        <v>5</v>
      </c>
      <c r="Q277" t="str">
        <f t="shared" si="24"/>
        <v>October</v>
      </c>
      <c r="R277" t="str">
        <f t="shared" si="25"/>
        <v>Q4</v>
      </c>
      <c r="S277">
        <f t="shared" si="26"/>
        <v>2024</v>
      </c>
      <c r="T277">
        <f t="shared" si="27"/>
        <v>2689372.73</v>
      </c>
      <c r="U277">
        <f t="shared" si="28"/>
        <v>878429.81000000052</v>
      </c>
      <c r="V277">
        <f t="shared" si="29"/>
        <v>2.0615681519278111</v>
      </c>
    </row>
    <row r="278" spans="1:22" x14ac:dyDescent="0.35">
      <c r="A278" t="s">
        <v>626</v>
      </c>
      <c r="B278" s="1">
        <v>45642</v>
      </c>
      <c r="C278" t="s">
        <v>627</v>
      </c>
      <c r="D278" t="s">
        <v>29</v>
      </c>
      <c r="E278" t="s">
        <v>98</v>
      </c>
      <c r="F278" t="s">
        <v>39</v>
      </c>
      <c r="G278" t="s">
        <v>22</v>
      </c>
      <c r="H278" t="s">
        <v>23</v>
      </c>
      <c r="I278">
        <v>1</v>
      </c>
      <c r="J278">
        <v>359.85</v>
      </c>
      <c r="K278">
        <v>0.05</v>
      </c>
      <c r="L278">
        <v>341.86</v>
      </c>
      <c r="M278">
        <v>224.8</v>
      </c>
      <c r="N278">
        <v>117.06</v>
      </c>
      <c r="O278" t="s">
        <v>62</v>
      </c>
      <c r="P278">
        <v>2</v>
      </c>
      <c r="Q278" t="str">
        <f t="shared" si="24"/>
        <v>December</v>
      </c>
      <c r="R278" t="str">
        <f t="shared" si="25"/>
        <v>Q4</v>
      </c>
      <c r="S278">
        <f t="shared" si="26"/>
        <v>2024</v>
      </c>
      <c r="T278">
        <f t="shared" si="27"/>
        <v>2682558.7199999997</v>
      </c>
      <c r="U278">
        <f t="shared" si="28"/>
        <v>875745.36000000045</v>
      </c>
      <c r="V278">
        <f t="shared" si="29"/>
        <v>2.0631720617965916</v>
      </c>
    </row>
    <row r="279" spans="1:22" x14ac:dyDescent="0.35">
      <c r="A279" t="s">
        <v>628</v>
      </c>
      <c r="B279" s="1">
        <v>45640</v>
      </c>
      <c r="C279" t="s">
        <v>629</v>
      </c>
      <c r="D279" t="s">
        <v>49</v>
      </c>
      <c r="E279" t="s">
        <v>20</v>
      </c>
      <c r="F279" t="s">
        <v>21</v>
      </c>
      <c r="G279" t="s">
        <v>79</v>
      </c>
      <c r="H279" t="s">
        <v>89</v>
      </c>
      <c r="I279">
        <v>8</v>
      </c>
      <c r="J279">
        <v>1188.52</v>
      </c>
      <c r="K279">
        <v>0.05</v>
      </c>
      <c r="L279">
        <v>9032.75</v>
      </c>
      <c r="M279">
        <v>6870.5</v>
      </c>
      <c r="N279">
        <v>2162.25</v>
      </c>
      <c r="O279" t="s">
        <v>33</v>
      </c>
      <c r="P279">
        <v>5</v>
      </c>
      <c r="Q279" t="str">
        <f t="shared" si="24"/>
        <v>December</v>
      </c>
      <c r="R279" t="str">
        <f t="shared" si="25"/>
        <v>Q4</v>
      </c>
      <c r="S279">
        <f t="shared" si="26"/>
        <v>2024</v>
      </c>
      <c r="T279">
        <f t="shared" si="27"/>
        <v>2682216.86</v>
      </c>
      <c r="U279">
        <f t="shared" si="28"/>
        <v>875628.30000000051</v>
      </c>
      <c r="V279">
        <f t="shared" si="29"/>
        <v>2.0631911508570453</v>
      </c>
    </row>
    <row r="280" spans="1:22" x14ac:dyDescent="0.35">
      <c r="A280" t="s">
        <v>630</v>
      </c>
      <c r="B280" s="1">
        <v>45385</v>
      </c>
      <c r="C280" t="s">
        <v>631</v>
      </c>
      <c r="D280" t="s">
        <v>19</v>
      </c>
      <c r="E280" t="s">
        <v>30</v>
      </c>
      <c r="F280" t="s">
        <v>21</v>
      </c>
      <c r="G280" t="s">
        <v>43</v>
      </c>
      <c r="H280" t="s">
        <v>44</v>
      </c>
      <c r="I280">
        <v>2</v>
      </c>
      <c r="J280">
        <v>62.18</v>
      </c>
      <c r="K280">
        <v>0</v>
      </c>
      <c r="L280">
        <v>124.36</v>
      </c>
      <c r="M280">
        <v>98.79</v>
      </c>
      <c r="N280">
        <v>25.57</v>
      </c>
      <c r="O280" t="s">
        <v>33</v>
      </c>
      <c r="P280">
        <v>1</v>
      </c>
      <c r="Q280" t="str">
        <f t="shared" si="24"/>
        <v>April</v>
      </c>
      <c r="R280" t="str">
        <f t="shared" si="25"/>
        <v>Q2</v>
      </c>
      <c r="S280">
        <f t="shared" si="26"/>
        <v>2024</v>
      </c>
      <c r="T280">
        <f t="shared" si="27"/>
        <v>2673184.1099999994</v>
      </c>
      <c r="U280">
        <f t="shared" si="28"/>
        <v>873466.05000000075</v>
      </c>
      <c r="V280">
        <f t="shared" si="29"/>
        <v>2.0604327552284341</v>
      </c>
    </row>
    <row r="281" spans="1:22" x14ac:dyDescent="0.35">
      <c r="A281" t="s">
        <v>632</v>
      </c>
      <c r="B281" s="1">
        <v>45590</v>
      </c>
      <c r="C281" t="s">
        <v>633</v>
      </c>
      <c r="D281" t="s">
        <v>29</v>
      </c>
      <c r="E281" t="s">
        <v>30</v>
      </c>
      <c r="F281" t="s">
        <v>21</v>
      </c>
      <c r="G281" t="s">
        <v>22</v>
      </c>
      <c r="H281" t="s">
        <v>124</v>
      </c>
      <c r="I281">
        <v>4</v>
      </c>
      <c r="J281">
        <v>603.96</v>
      </c>
      <c r="K281">
        <v>0.15</v>
      </c>
      <c r="L281">
        <v>2053.46</v>
      </c>
      <c r="M281">
        <v>1391.35</v>
      </c>
      <c r="N281">
        <v>662.11</v>
      </c>
      <c r="O281" t="s">
        <v>33</v>
      </c>
      <c r="P281">
        <v>5</v>
      </c>
      <c r="Q281" t="str">
        <f t="shared" si="24"/>
        <v>October</v>
      </c>
      <c r="R281" t="str">
        <f t="shared" si="25"/>
        <v>Q4</v>
      </c>
      <c r="S281">
        <f t="shared" si="26"/>
        <v>2024</v>
      </c>
      <c r="T281">
        <f t="shared" si="27"/>
        <v>2673059.7499999995</v>
      </c>
      <c r="U281">
        <f t="shared" si="28"/>
        <v>873440.48000000068</v>
      </c>
      <c r="V281">
        <f t="shared" si="29"/>
        <v>2.0603799700238272</v>
      </c>
    </row>
    <row r="282" spans="1:22" x14ac:dyDescent="0.35">
      <c r="A282" t="s">
        <v>634</v>
      </c>
      <c r="B282" s="1">
        <v>45324</v>
      </c>
      <c r="C282" t="s">
        <v>635</v>
      </c>
      <c r="D282" t="s">
        <v>66</v>
      </c>
      <c r="E282" t="s">
        <v>85</v>
      </c>
      <c r="F282" t="s">
        <v>39</v>
      </c>
      <c r="G282" t="s">
        <v>79</v>
      </c>
      <c r="H282" t="s">
        <v>103</v>
      </c>
      <c r="I282">
        <v>6</v>
      </c>
      <c r="J282">
        <v>863.53</v>
      </c>
      <c r="K282">
        <v>0.15</v>
      </c>
      <c r="L282">
        <v>4404</v>
      </c>
      <c r="M282">
        <v>3414.16</v>
      </c>
      <c r="N282">
        <v>989.84</v>
      </c>
      <c r="O282" t="s">
        <v>33</v>
      </c>
      <c r="P282">
        <v>2</v>
      </c>
      <c r="Q282" t="str">
        <f t="shared" si="24"/>
        <v>February</v>
      </c>
      <c r="R282" t="str">
        <f t="shared" si="25"/>
        <v>Q1</v>
      </c>
      <c r="S282">
        <f t="shared" si="26"/>
        <v>2024</v>
      </c>
      <c r="T282">
        <f t="shared" si="27"/>
        <v>2671006.2899999996</v>
      </c>
      <c r="U282">
        <f t="shared" si="28"/>
        <v>872778.37000000069</v>
      </c>
      <c r="V282">
        <f t="shared" si="29"/>
        <v>2.060348860387085</v>
      </c>
    </row>
    <row r="283" spans="1:22" x14ac:dyDescent="0.35">
      <c r="A283" t="s">
        <v>636</v>
      </c>
      <c r="B283" s="1">
        <v>45603</v>
      </c>
      <c r="C283" t="s">
        <v>637</v>
      </c>
      <c r="D283" t="s">
        <v>49</v>
      </c>
      <c r="E283" t="s">
        <v>30</v>
      </c>
      <c r="F283" t="s">
        <v>21</v>
      </c>
      <c r="G283" t="s">
        <v>60</v>
      </c>
      <c r="H283" t="s">
        <v>110</v>
      </c>
      <c r="I283">
        <v>9</v>
      </c>
      <c r="J283">
        <v>1199.6600000000001</v>
      </c>
      <c r="K283">
        <v>0.1</v>
      </c>
      <c r="L283">
        <v>9717.25</v>
      </c>
      <c r="M283">
        <v>5775.37</v>
      </c>
      <c r="N283">
        <v>3941.88</v>
      </c>
      <c r="O283" t="s">
        <v>62</v>
      </c>
      <c r="P283">
        <v>4</v>
      </c>
      <c r="Q283" t="str">
        <f t="shared" si="24"/>
        <v>November</v>
      </c>
      <c r="R283" t="str">
        <f t="shared" si="25"/>
        <v>Q4</v>
      </c>
      <c r="S283">
        <f t="shared" si="26"/>
        <v>2024</v>
      </c>
      <c r="T283">
        <f t="shared" si="27"/>
        <v>2666602.29</v>
      </c>
      <c r="U283">
        <f t="shared" si="28"/>
        <v>871788.53000000073</v>
      </c>
      <c r="V283">
        <f t="shared" si="29"/>
        <v>2.0587719363547921</v>
      </c>
    </row>
    <row r="284" spans="1:22" x14ac:dyDescent="0.35">
      <c r="A284" t="s">
        <v>638</v>
      </c>
      <c r="B284" s="1">
        <v>45600</v>
      </c>
      <c r="C284" t="s">
        <v>639</v>
      </c>
      <c r="D284" t="s">
        <v>19</v>
      </c>
      <c r="E284" t="s">
        <v>38</v>
      </c>
      <c r="F284" t="s">
        <v>39</v>
      </c>
      <c r="G284" t="s">
        <v>79</v>
      </c>
      <c r="H284" t="s">
        <v>89</v>
      </c>
      <c r="I284">
        <v>8</v>
      </c>
      <c r="J284">
        <v>220.88</v>
      </c>
      <c r="K284">
        <v>0.15</v>
      </c>
      <c r="L284">
        <v>1501.98</v>
      </c>
      <c r="M284">
        <v>955.85</v>
      </c>
      <c r="N284">
        <v>546.13</v>
      </c>
      <c r="O284" t="s">
        <v>62</v>
      </c>
      <c r="P284">
        <v>2</v>
      </c>
      <c r="Q284" t="str">
        <f t="shared" si="24"/>
        <v>November</v>
      </c>
      <c r="R284" t="str">
        <f t="shared" si="25"/>
        <v>Q4</v>
      </c>
      <c r="S284">
        <f t="shared" si="26"/>
        <v>2024</v>
      </c>
      <c r="T284">
        <f t="shared" si="27"/>
        <v>2656885.0399999996</v>
      </c>
      <c r="U284">
        <f t="shared" si="28"/>
        <v>867846.65000000072</v>
      </c>
      <c r="V284">
        <f t="shared" si="29"/>
        <v>2.0614683366007083</v>
      </c>
    </row>
    <row r="285" spans="1:22" x14ac:dyDescent="0.35">
      <c r="A285" t="s">
        <v>640</v>
      </c>
      <c r="B285" s="1">
        <v>45554</v>
      </c>
      <c r="C285" t="s">
        <v>641</v>
      </c>
      <c r="D285" t="s">
        <v>37</v>
      </c>
      <c r="E285" t="s">
        <v>38</v>
      </c>
      <c r="F285" t="s">
        <v>31</v>
      </c>
      <c r="G285" t="s">
        <v>43</v>
      </c>
      <c r="H285" t="s">
        <v>44</v>
      </c>
      <c r="I285">
        <v>7</v>
      </c>
      <c r="J285">
        <v>950.51</v>
      </c>
      <c r="K285">
        <v>0</v>
      </c>
      <c r="L285">
        <v>6653.57</v>
      </c>
      <c r="M285">
        <v>4589.1099999999997</v>
      </c>
      <c r="N285">
        <v>2064.46</v>
      </c>
      <c r="O285" t="s">
        <v>51</v>
      </c>
      <c r="P285">
        <v>5</v>
      </c>
      <c r="Q285" t="str">
        <f t="shared" si="24"/>
        <v>September</v>
      </c>
      <c r="R285" t="str">
        <f t="shared" si="25"/>
        <v>Q3</v>
      </c>
      <c r="S285">
        <f t="shared" si="26"/>
        <v>2024</v>
      </c>
      <c r="T285">
        <f t="shared" si="27"/>
        <v>2655383.0599999996</v>
      </c>
      <c r="U285">
        <f t="shared" si="28"/>
        <v>867300.52000000072</v>
      </c>
      <c r="V285">
        <f t="shared" si="29"/>
        <v>2.0616643236879386</v>
      </c>
    </row>
    <row r="286" spans="1:22" x14ac:dyDescent="0.35">
      <c r="A286" t="s">
        <v>642</v>
      </c>
      <c r="B286" s="1">
        <v>45568</v>
      </c>
      <c r="C286" t="s">
        <v>643</v>
      </c>
      <c r="D286" t="s">
        <v>29</v>
      </c>
      <c r="E286" t="s">
        <v>38</v>
      </c>
      <c r="F286" t="s">
        <v>39</v>
      </c>
      <c r="G286" t="s">
        <v>43</v>
      </c>
      <c r="H286" t="s">
        <v>44</v>
      </c>
      <c r="I286">
        <v>8</v>
      </c>
      <c r="J286">
        <v>542.28</v>
      </c>
      <c r="K286">
        <v>0.15</v>
      </c>
      <c r="L286">
        <v>3687.5</v>
      </c>
      <c r="M286">
        <v>2369.9899999999998</v>
      </c>
      <c r="N286">
        <v>1317.51</v>
      </c>
      <c r="O286" t="s">
        <v>51</v>
      </c>
      <c r="P286">
        <v>2</v>
      </c>
      <c r="Q286" t="str">
        <f t="shared" si="24"/>
        <v>October</v>
      </c>
      <c r="R286" t="str">
        <f t="shared" si="25"/>
        <v>Q4</v>
      </c>
      <c r="S286">
        <f t="shared" si="26"/>
        <v>2024</v>
      </c>
      <c r="T286">
        <f t="shared" si="27"/>
        <v>2648729.4900000002</v>
      </c>
      <c r="U286">
        <f t="shared" si="28"/>
        <v>865236.06000000064</v>
      </c>
      <c r="V286">
        <f t="shared" si="29"/>
        <v>2.0612795888326687</v>
      </c>
    </row>
    <row r="287" spans="1:22" x14ac:dyDescent="0.35">
      <c r="A287" t="s">
        <v>644</v>
      </c>
      <c r="B287" s="1">
        <v>45626</v>
      </c>
      <c r="C287" t="s">
        <v>645</v>
      </c>
      <c r="D287" t="s">
        <v>19</v>
      </c>
      <c r="E287" t="s">
        <v>38</v>
      </c>
      <c r="F287" t="s">
        <v>21</v>
      </c>
      <c r="G287" t="s">
        <v>60</v>
      </c>
      <c r="H287" t="s">
        <v>119</v>
      </c>
      <c r="I287">
        <v>8</v>
      </c>
      <c r="J287">
        <v>764.27</v>
      </c>
      <c r="K287">
        <v>0.1</v>
      </c>
      <c r="L287">
        <v>5502.74</v>
      </c>
      <c r="M287">
        <v>3791.17</v>
      </c>
      <c r="N287">
        <v>1711.57</v>
      </c>
      <c r="O287" t="s">
        <v>24</v>
      </c>
      <c r="P287">
        <v>4</v>
      </c>
      <c r="Q287" t="str">
        <f t="shared" si="24"/>
        <v>November</v>
      </c>
      <c r="R287" t="str">
        <f t="shared" si="25"/>
        <v>Q4</v>
      </c>
      <c r="S287">
        <f t="shared" si="26"/>
        <v>2024</v>
      </c>
      <c r="T287">
        <f t="shared" si="27"/>
        <v>2645041.9900000002</v>
      </c>
      <c r="U287">
        <f t="shared" si="28"/>
        <v>863918.55000000051</v>
      </c>
      <c r="V287">
        <f t="shared" si="29"/>
        <v>2.0616798192375874</v>
      </c>
    </row>
    <row r="288" spans="1:22" x14ac:dyDescent="0.35">
      <c r="A288" t="s">
        <v>646</v>
      </c>
      <c r="B288" s="1">
        <v>45411</v>
      </c>
      <c r="C288" t="s">
        <v>647</v>
      </c>
      <c r="D288" t="s">
        <v>66</v>
      </c>
      <c r="E288" t="s">
        <v>85</v>
      </c>
      <c r="F288" t="s">
        <v>31</v>
      </c>
      <c r="G288" t="s">
        <v>22</v>
      </c>
      <c r="H288" t="s">
        <v>74</v>
      </c>
      <c r="I288">
        <v>5</v>
      </c>
      <c r="J288">
        <v>492.7</v>
      </c>
      <c r="K288">
        <v>0.15</v>
      </c>
      <c r="L288">
        <v>2093.9699999999998</v>
      </c>
      <c r="M288">
        <v>1356.93</v>
      </c>
      <c r="N288">
        <v>737.04</v>
      </c>
      <c r="O288" t="s">
        <v>33</v>
      </c>
      <c r="P288">
        <v>5</v>
      </c>
      <c r="Q288" t="str">
        <f t="shared" si="24"/>
        <v>April</v>
      </c>
      <c r="R288" t="str">
        <f t="shared" si="25"/>
        <v>Q2</v>
      </c>
      <c r="S288">
        <f t="shared" si="26"/>
        <v>2024</v>
      </c>
      <c r="T288">
        <f t="shared" si="27"/>
        <v>2639539.25</v>
      </c>
      <c r="U288">
        <f t="shared" si="28"/>
        <v>862206.98000000056</v>
      </c>
      <c r="V288">
        <f t="shared" si="29"/>
        <v>2.0613754135926832</v>
      </c>
    </row>
    <row r="289" spans="1:22" x14ac:dyDescent="0.35">
      <c r="A289" t="s">
        <v>648</v>
      </c>
      <c r="B289" s="1">
        <v>45624</v>
      </c>
      <c r="C289" t="s">
        <v>649</v>
      </c>
      <c r="D289" t="s">
        <v>49</v>
      </c>
      <c r="E289" t="s">
        <v>98</v>
      </c>
      <c r="F289" t="s">
        <v>31</v>
      </c>
      <c r="G289" t="s">
        <v>79</v>
      </c>
      <c r="H289" t="s">
        <v>103</v>
      </c>
      <c r="I289">
        <v>7</v>
      </c>
      <c r="J289">
        <v>1018.39</v>
      </c>
      <c r="K289">
        <v>0.1</v>
      </c>
      <c r="L289">
        <v>6415.86</v>
      </c>
      <c r="M289">
        <v>3700.82</v>
      </c>
      <c r="N289">
        <v>2715.04</v>
      </c>
      <c r="O289" t="s">
        <v>62</v>
      </c>
      <c r="P289">
        <v>2</v>
      </c>
      <c r="Q289" t="str">
        <f t="shared" si="24"/>
        <v>November</v>
      </c>
      <c r="R289" t="str">
        <f t="shared" si="25"/>
        <v>Q4</v>
      </c>
      <c r="S289">
        <f t="shared" si="26"/>
        <v>2024</v>
      </c>
      <c r="T289">
        <f t="shared" si="27"/>
        <v>2637445.2800000003</v>
      </c>
      <c r="U289">
        <f t="shared" si="28"/>
        <v>861469.94000000053</v>
      </c>
      <c r="V289">
        <f t="shared" si="29"/>
        <v>2.0615639124912457</v>
      </c>
    </row>
    <row r="290" spans="1:22" x14ac:dyDescent="0.35">
      <c r="A290" t="s">
        <v>650</v>
      </c>
      <c r="B290" s="1">
        <v>45608</v>
      </c>
      <c r="C290" t="s">
        <v>651</v>
      </c>
      <c r="D290" t="s">
        <v>37</v>
      </c>
      <c r="E290" t="s">
        <v>85</v>
      </c>
      <c r="F290" t="s">
        <v>31</v>
      </c>
      <c r="G290" t="s">
        <v>79</v>
      </c>
      <c r="H290" t="s">
        <v>89</v>
      </c>
      <c r="I290">
        <v>12</v>
      </c>
      <c r="J290">
        <v>246.65</v>
      </c>
      <c r="K290">
        <v>0</v>
      </c>
      <c r="L290">
        <v>2959.8</v>
      </c>
      <c r="M290">
        <v>1896.66</v>
      </c>
      <c r="N290">
        <v>1063.1400000000001</v>
      </c>
      <c r="O290" t="s">
        <v>62</v>
      </c>
      <c r="P290">
        <v>2</v>
      </c>
      <c r="Q290" t="str">
        <f t="shared" si="24"/>
        <v>November</v>
      </c>
      <c r="R290" t="str">
        <f t="shared" si="25"/>
        <v>Q4</v>
      </c>
      <c r="S290">
        <f t="shared" si="26"/>
        <v>2024</v>
      </c>
      <c r="T290">
        <f t="shared" si="27"/>
        <v>2631029.4199999995</v>
      </c>
      <c r="U290">
        <f t="shared" si="28"/>
        <v>858754.90000000049</v>
      </c>
      <c r="V290">
        <f t="shared" si="29"/>
        <v>2.0637722358265416</v>
      </c>
    </row>
    <row r="291" spans="1:22" x14ac:dyDescent="0.35">
      <c r="A291" t="s">
        <v>652</v>
      </c>
      <c r="B291" s="1">
        <v>45580</v>
      </c>
      <c r="C291" t="s">
        <v>653</v>
      </c>
      <c r="D291" t="s">
        <v>49</v>
      </c>
      <c r="E291" t="s">
        <v>20</v>
      </c>
      <c r="F291" t="s">
        <v>21</v>
      </c>
      <c r="G291" t="s">
        <v>43</v>
      </c>
      <c r="H291" t="s">
        <v>44</v>
      </c>
      <c r="I291">
        <v>12</v>
      </c>
      <c r="J291">
        <v>304.45</v>
      </c>
      <c r="K291">
        <v>0.05</v>
      </c>
      <c r="L291">
        <v>3470.73</v>
      </c>
      <c r="M291">
        <v>2049.98</v>
      </c>
      <c r="N291">
        <v>1420.75</v>
      </c>
      <c r="O291" t="s">
        <v>62</v>
      </c>
      <c r="P291">
        <v>1</v>
      </c>
      <c r="Q291" t="str">
        <f t="shared" si="24"/>
        <v>October</v>
      </c>
      <c r="R291" t="str">
        <f t="shared" si="25"/>
        <v>Q4</v>
      </c>
      <c r="S291">
        <f t="shared" si="26"/>
        <v>2024</v>
      </c>
      <c r="T291">
        <f t="shared" si="27"/>
        <v>2628069.6199999996</v>
      </c>
      <c r="U291">
        <f t="shared" si="28"/>
        <v>857691.76000000047</v>
      </c>
      <c r="V291">
        <f t="shared" si="29"/>
        <v>2.0641190023791278</v>
      </c>
    </row>
    <row r="292" spans="1:22" x14ac:dyDescent="0.35">
      <c r="A292" t="s">
        <v>654</v>
      </c>
      <c r="B292" s="1">
        <v>45336</v>
      </c>
      <c r="C292" t="s">
        <v>655</v>
      </c>
      <c r="D292" t="s">
        <v>29</v>
      </c>
      <c r="E292" t="s">
        <v>98</v>
      </c>
      <c r="F292" t="s">
        <v>21</v>
      </c>
      <c r="G292" t="s">
        <v>43</v>
      </c>
      <c r="H292" t="s">
        <v>50</v>
      </c>
      <c r="I292">
        <v>5</v>
      </c>
      <c r="J292">
        <v>1064.1199999999999</v>
      </c>
      <c r="K292">
        <v>0</v>
      </c>
      <c r="L292">
        <v>5320.6</v>
      </c>
      <c r="M292">
        <v>2776.45</v>
      </c>
      <c r="N292">
        <v>2544.15</v>
      </c>
      <c r="O292" t="s">
        <v>33</v>
      </c>
      <c r="P292">
        <v>3</v>
      </c>
      <c r="Q292" t="str">
        <f t="shared" si="24"/>
        <v>February</v>
      </c>
      <c r="R292" t="str">
        <f t="shared" si="25"/>
        <v>Q1</v>
      </c>
      <c r="S292">
        <f t="shared" si="26"/>
        <v>2024</v>
      </c>
      <c r="T292">
        <f t="shared" si="27"/>
        <v>2624598.8899999997</v>
      </c>
      <c r="U292">
        <f t="shared" si="28"/>
        <v>856271.01000000059</v>
      </c>
      <c r="V292">
        <f t="shared" si="29"/>
        <v>2.0651497707483961</v>
      </c>
    </row>
    <row r="293" spans="1:22" x14ac:dyDescent="0.35">
      <c r="A293" t="s">
        <v>656</v>
      </c>
      <c r="B293" s="1">
        <v>45656</v>
      </c>
      <c r="C293" t="s">
        <v>657</v>
      </c>
      <c r="D293" t="s">
        <v>29</v>
      </c>
      <c r="E293" t="s">
        <v>98</v>
      </c>
      <c r="F293" t="s">
        <v>21</v>
      </c>
      <c r="G293" t="s">
        <v>60</v>
      </c>
      <c r="H293" t="s">
        <v>110</v>
      </c>
      <c r="I293">
        <v>5</v>
      </c>
      <c r="J293">
        <v>113.57</v>
      </c>
      <c r="K293">
        <v>0.05</v>
      </c>
      <c r="L293">
        <v>539.46</v>
      </c>
      <c r="M293">
        <v>434.86</v>
      </c>
      <c r="N293">
        <v>104.6</v>
      </c>
      <c r="O293" t="s">
        <v>24</v>
      </c>
      <c r="P293">
        <v>1</v>
      </c>
      <c r="Q293" t="str">
        <f t="shared" si="24"/>
        <v>December</v>
      </c>
      <c r="R293" t="str">
        <f t="shared" si="25"/>
        <v>Q4</v>
      </c>
      <c r="S293">
        <f t="shared" si="26"/>
        <v>2024</v>
      </c>
      <c r="T293">
        <f t="shared" si="27"/>
        <v>2619278.29</v>
      </c>
      <c r="U293">
        <f t="shared" si="28"/>
        <v>853726.86000000068</v>
      </c>
      <c r="V293">
        <f t="shared" si="29"/>
        <v>2.0680518708290352</v>
      </c>
    </row>
    <row r="294" spans="1:22" x14ac:dyDescent="0.35">
      <c r="A294" t="s">
        <v>658</v>
      </c>
      <c r="B294" s="1">
        <v>45372</v>
      </c>
      <c r="C294" t="s">
        <v>659</v>
      </c>
      <c r="D294" t="s">
        <v>66</v>
      </c>
      <c r="E294" t="s">
        <v>98</v>
      </c>
      <c r="F294" t="s">
        <v>39</v>
      </c>
      <c r="G294" t="s">
        <v>22</v>
      </c>
      <c r="H294" t="s">
        <v>74</v>
      </c>
      <c r="I294">
        <v>9</v>
      </c>
      <c r="J294">
        <v>1116.23</v>
      </c>
      <c r="K294">
        <v>0.05</v>
      </c>
      <c r="L294">
        <v>9543.77</v>
      </c>
      <c r="M294">
        <v>7260.44</v>
      </c>
      <c r="N294">
        <v>2283.33</v>
      </c>
      <c r="O294" t="s">
        <v>62</v>
      </c>
      <c r="P294">
        <v>5</v>
      </c>
      <c r="Q294" t="str">
        <f t="shared" si="24"/>
        <v>March</v>
      </c>
      <c r="R294" t="str">
        <f t="shared" si="25"/>
        <v>Q1</v>
      </c>
      <c r="S294">
        <f t="shared" si="26"/>
        <v>2024</v>
      </c>
      <c r="T294">
        <f t="shared" si="27"/>
        <v>2618738.8299999996</v>
      </c>
      <c r="U294">
        <f t="shared" si="28"/>
        <v>853622.26000000071</v>
      </c>
      <c r="V294">
        <f t="shared" si="29"/>
        <v>2.0677958538710053</v>
      </c>
    </row>
    <row r="295" spans="1:22" x14ac:dyDescent="0.35">
      <c r="A295" t="s">
        <v>660</v>
      </c>
      <c r="B295" s="1">
        <v>45401</v>
      </c>
      <c r="C295" t="s">
        <v>661</v>
      </c>
      <c r="D295" t="s">
        <v>29</v>
      </c>
      <c r="E295" t="s">
        <v>20</v>
      </c>
      <c r="F295" t="s">
        <v>31</v>
      </c>
      <c r="G295" t="s">
        <v>43</v>
      </c>
      <c r="H295" t="s">
        <v>50</v>
      </c>
      <c r="I295">
        <v>6</v>
      </c>
      <c r="J295">
        <v>1032.31</v>
      </c>
      <c r="K295">
        <v>0.15</v>
      </c>
      <c r="L295">
        <v>5264.78</v>
      </c>
      <c r="M295">
        <v>4329.47</v>
      </c>
      <c r="N295">
        <v>935.31</v>
      </c>
      <c r="O295" t="s">
        <v>33</v>
      </c>
      <c r="P295">
        <v>2</v>
      </c>
      <c r="Q295" t="str">
        <f t="shared" si="24"/>
        <v>April</v>
      </c>
      <c r="R295" t="str">
        <f t="shared" si="25"/>
        <v>Q2</v>
      </c>
      <c r="S295">
        <f t="shared" si="26"/>
        <v>2024</v>
      </c>
      <c r="T295">
        <f t="shared" si="27"/>
        <v>2609195.0599999996</v>
      </c>
      <c r="U295">
        <f t="shared" si="28"/>
        <v>851338.93000000075</v>
      </c>
      <c r="V295">
        <f t="shared" si="29"/>
        <v>2.0648135167506054</v>
      </c>
    </row>
    <row r="296" spans="1:22" x14ac:dyDescent="0.35">
      <c r="A296" t="s">
        <v>662</v>
      </c>
      <c r="B296" s="1">
        <v>45634</v>
      </c>
      <c r="C296" t="s">
        <v>663</v>
      </c>
      <c r="D296" t="s">
        <v>37</v>
      </c>
      <c r="E296" t="s">
        <v>98</v>
      </c>
      <c r="F296" t="s">
        <v>31</v>
      </c>
      <c r="G296" t="s">
        <v>43</v>
      </c>
      <c r="H296" t="s">
        <v>44</v>
      </c>
      <c r="I296">
        <v>10</v>
      </c>
      <c r="J296">
        <v>127.78</v>
      </c>
      <c r="K296">
        <v>0.15</v>
      </c>
      <c r="L296">
        <v>1086.1300000000001</v>
      </c>
      <c r="M296">
        <v>583.07000000000005</v>
      </c>
      <c r="N296">
        <v>503.06</v>
      </c>
      <c r="O296" t="s">
        <v>62</v>
      </c>
      <c r="P296">
        <v>4</v>
      </c>
      <c r="Q296" t="str">
        <f t="shared" si="24"/>
        <v>December</v>
      </c>
      <c r="R296" t="str">
        <f t="shared" si="25"/>
        <v>Q4</v>
      </c>
      <c r="S296">
        <f t="shared" si="26"/>
        <v>2024</v>
      </c>
      <c r="T296">
        <f t="shared" si="27"/>
        <v>2603930.2799999993</v>
      </c>
      <c r="U296">
        <f t="shared" si="28"/>
        <v>850403.62000000081</v>
      </c>
      <c r="V296">
        <f t="shared" si="29"/>
        <v>2.0619934096705714</v>
      </c>
    </row>
    <row r="297" spans="1:22" x14ac:dyDescent="0.35">
      <c r="A297" t="s">
        <v>664</v>
      </c>
      <c r="B297" s="1">
        <v>45497</v>
      </c>
      <c r="C297" t="s">
        <v>665</v>
      </c>
      <c r="D297" t="s">
        <v>19</v>
      </c>
      <c r="E297" t="s">
        <v>98</v>
      </c>
      <c r="F297" t="s">
        <v>31</v>
      </c>
      <c r="G297" t="s">
        <v>43</v>
      </c>
      <c r="H297" t="s">
        <v>173</v>
      </c>
      <c r="I297">
        <v>7</v>
      </c>
      <c r="J297">
        <v>462.1</v>
      </c>
      <c r="K297">
        <v>0.05</v>
      </c>
      <c r="L297">
        <v>3072.97</v>
      </c>
      <c r="M297">
        <v>1950.55</v>
      </c>
      <c r="N297">
        <v>1122.42</v>
      </c>
      <c r="O297" t="s">
        <v>51</v>
      </c>
      <c r="P297">
        <v>2</v>
      </c>
      <c r="Q297" t="str">
        <f t="shared" si="24"/>
        <v>July</v>
      </c>
      <c r="R297" t="str">
        <f t="shared" si="25"/>
        <v>Q3</v>
      </c>
      <c r="S297">
        <f t="shared" si="26"/>
        <v>2024</v>
      </c>
      <c r="T297">
        <f t="shared" si="27"/>
        <v>2602844.1499999994</v>
      </c>
      <c r="U297">
        <f t="shared" si="28"/>
        <v>849900.56000000075</v>
      </c>
      <c r="V297">
        <f t="shared" si="29"/>
        <v>2.0625278679661032</v>
      </c>
    </row>
    <row r="298" spans="1:22" x14ac:dyDescent="0.35">
      <c r="A298" t="s">
        <v>666</v>
      </c>
      <c r="B298" s="1">
        <v>45513</v>
      </c>
      <c r="C298" t="s">
        <v>667</v>
      </c>
      <c r="D298" t="s">
        <v>49</v>
      </c>
      <c r="E298" t="s">
        <v>98</v>
      </c>
      <c r="F298" t="s">
        <v>31</v>
      </c>
      <c r="G298" t="s">
        <v>79</v>
      </c>
      <c r="H298" t="s">
        <v>89</v>
      </c>
      <c r="I298">
        <v>2</v>
      </c>
      <c r="J298">
        <v>778.79</v>
      </c>
      <c r="K298">
        <v>0</v>
      </c>
      <c r="L298">
        <v>1557.58</v>
      </c>
      <c r="M298">
        <v>1196.31</v>
      </c>
      <c r="N298">
        <v>361.27</v>
      </c>
      <c r="O298" t="s">
        <v>33</v>
      </c>
      <c r="P298">
        <v>4</v>
      </c>
      <c r="Q298" t="str">
        <f t="shared" si="24"/>
        <v>August</v>
      </c>
      <c r="R298" t="str">
        <f t="shared" si="25"/>
        <v>Q3</v>
      </c>
      <c r="S298">
        <f t="shared" si="26"/>
        <v>2024</v>
      </c>
      <c r="T298">
        <f t="shared" si="27"/>
        <v>2599771.1799999992</v>
      </c>
      <c r="U298">
        <f t="shared" si="28"/>
        <v>848778.14000000071</v>
      </c>
      <c r="V298">
        <f t="shared" si="29"/>
        <v>2.0629572764444633</v>
      </c>
    </row>
    <row r="299" spans="1:22" x14ac:dyDescent="0.35">
      <c r="A299" t="s">
        <v>668</v>
      </c>
      <c r="B299" s="1">
        <v>45429</v>
      </c>
      <c r="C299" t="s">
        <v>669</v>
      </c>
      <c r="D299" t="s">
        <v>29</v>
      </c>
      <c r="E299" t="s">
        <v>38</v>
      </c>
      <c r="F299" t="s">
        <v>39</v>
      </c>
      <c r="G299" t="s">
        <v>60</v>
      </c>
      <c r="H299" t="s">
        <v>61</v>
      </c>
      <c r="I299">
        <v>9</v>
      </c>
      <c r="J299">
        <v>672.8</v>
      </c>
      <c r="K299">
        <v>0</v>
      </c>
      <c r="L299">
        <v>6055.2</v>
      </c>
      <c r="M299">
        <v>4011.46</v>
      </c>
      <c r="N299">
        <v>2043.74</v>
      </c>
      <c r="O299" t="s">
        <v>24</v>
      </c>
      <c r="P299">
        <v>3</v>
      </c>
      <c r="Q299" t="str">
        <f t="shared" si="24"/>
        <v>May</v>
      </c>
      <c r="R299" t="str">
        <f t="shared" si="25"/>
        <v>Q2</v>
      </c>
      <c r="S299">
        <f t="shared" si="26"/>
        <v>2024</v>
      </c>
      <c r="T299">
        <f t="shared" si="27"/>
        <v>2598213.5999999996</v>
      </c>
      <c r="U299">
        <f t="shared" si="28"/>
        <v>848416.87000000081</v>
      </c>
      <c r="V299">
        <f t="shared" si="29"/>
        <v>2.062425668174181</v>
      </c>
    </row>
    <row r="300" spans="1:22" x14ac:dyDescent="0.35">
      <c r="A300" t="s">
        <v>670</v>
      </c>
      <c r="B300" s="1">
        <v>45560</v>
      </c>
      <c r="C300" t="s">
        <v>671</v>
      </c>
      <c r="D300" t="s">
        <v>29</v>
      </c>
      <c r="E300" t="s">
        <v>98</v>
      </c>
      <c r="F300" t="s">
        <v>39</v>
      </c>
      <c r="G300" t="s">
        <v>60</v>
      </c>
      <c r="H300" t="s">
        <v>110</v>
      </c>
      <c r="I300">
        <v>10</v>
      </c>
      <c r="J300">
        <v>28.65</v>
      </c>
      <c r="K300">
        <v>0.1</v>
      </c>
      <c r="L300">
        <v>257.85000000000002</v>
      </c>
      <c r="M300">
        <v>156.72999999999999</v>
      </c>
      <c r="N300">
        <v>101.12</v>
      </c>
      <c r="O300" t="s">
        <v>33</v>
      </c>
      <c r="P300">
        <v>5</v>
      </c>
      <c r="Q300" t="str">
        <f t="shared" si="24"/>
        <v>September</v>
      </c>
      <c r="R300" t="str">
        <f t="shared" si="25"/>
        <v>Q3</v>
      </c>
      <c r="S300">
        <f t="shared" si="26"/>
        <v>2024</v>
      </c>
      <c r="T300">
        <f t="shared" si="27"/>
        <v>2592158.3999999994</v>
      </c>
      <c r="U300">
        <f t="shared" si="28"/>
        <v>846373.1300000007</v>
      </c>
      <c r="V300">
        <f t="shared" si="29"/>
        <v>2.0626662261832402</v>
      </c>
    </row>
    <row r="301" spans="1:22" x14ac:dyDescent="0.35">
      <c r="A301" t="s">
        <v>672</v>
      </c>
      <c r="B301" s="1">
        <v>45465</v>
      </c>
      <c r="C301" t="s">
        <v>673</v>
      </c>
      <c r="D301" t="s">
        <v>66</v>
      </c>
      <c r="E301" t="s">
        <v>38</v>
      </c>
      <c r="F301" t="s">
        <v>21</v>
      </c>
      <c r="G301" t="s">
        <v>79</v>
      </c>
      <c r="H301" t="s">
        <v>80</v>
      </c>
      <c r="I301">
        <v>2</v>
      </c>
      <c r="J301">
        <v>911.13</v>
      </c>
      <c r="K301">
        <v>0.15</v>
      </c>
      <c r="L301">
        <v>1548.92</v>
      </c>
      <c r="M301">
        <v>1272.9100000000001</v>
      </c>
      <c r="N301">
        <v>276.01</v>
      </c>
      <c r="O301" t="s">
        <v>51</v>
      </c>
      <c r="P301">
        <v>1</v>
      </c>
      <c r="Q301" t="str">
        <f t="shared" si="24"/>
        <v>June</v>
      </c>
      <c r="R301" t="str">
        <f t="shared" si="25"/>
        <v>Q2</v>
      </c>
      <c r="S301">
        <f t="shared" si="26"/>
        <v>2024</v>
      </c>
      <c r="T301">
        <f t="shared" si="27"/>
        <v>2591900.5499999998</v>
      </c>
      <c r="U301">
        <f t="shared" si="28"/>
        <v>846272.01000000071</v>
      </c>
      <c r="V301">
        <f t="shared" si="29"/>
        <v>2.0627274911290021</v>
      </c>
    </row>
    <row r="302" spans="1:22" x14ac:dyDescent="0.35">
      <c r="A302" t="s">
        <v>674</v>
      </c>
      <c r="B302" s="1">
        <v>45648</v>
      </c>
      <c r="C302" t="s">
        <v>675</v>
      </c>
      <c r="D302" t="s">
        <v>19</v>
      </c>
      <c r="E302" t="s">
        <v>38</v>
      </c>
      <c r="F302" t="s">
        <v>39</v>
      </c>
      <c r="G302" t="s">
        <v>60</v>
      </c>
      <c r="H302" t="s">
        <v>110</v>
      </c>
      <c r="I302">
        <v>2</v>
      </c>
      <c r="J302">
        <v>106.02</v>
      </c>
      <c r="K302">
        <v>0.1</v>
      </c>
      <c r="L302">
        <v>190.84</v>
      </c>
      <c r="M302">
        <v>120.79</v>
      </c>
      <c r="N302">
        <v>70.05</v>
      </c>
      <c r="O302" t="s">
        <v>24</v>
      </c>
      <c r="P302">
        <v>3</v>
      </c>
      <c r="Q302" t="str">
        <f t="shared" si="24"/>
        <v>December</v>
      </c>
      <c r="R302" t="str">
        <f t="shared" si="25"/>
        <v>Q4</v>
      </c>
      <c r="S302">
        <f t="shared" si="26"/>
        <v>2024</v>
      </c>
      <c r="T302">
        <f t="shared" si="27"/>
        <v>2590351.6299999994</v>
      </c>
      <c r="U302">
        <f t="shared" si="28"/>
        <v>845996.00000000081</v>
      </c>
      <c r="V302">
        <f t="shared" si="29"/>
        <v>2.0618958363869293</v>
      </c>
    </row>
    <row r="303" spans="1:22" x14ac:dyDescent="0.35">
      <c r="A303" t="s">
        <v>676</v>
      </c>
      <c r="B303" s="1">
        <v>45576</v>
      </c>
      <c r="C303" t="s">
        <v>677</v>
      </c>
      <c r="D303" t="s">
        <v>19</v>
      </c>
      <c r="E303" t="s">
        <v>30</v>
      </c>
      <c r="F303" t="s">
        <v>21</v>
      </c>
      <c r="G303" t="s">
        <v>22</v>
      </c>
      <c r="H303" t="s">
        <v>32</v>
      </c>
      <c r="I303">
        <v>7</v>
      </c>
      <c r="J303">
        <v>1130.3</v>
      </c>
      <c r="K303">
        <v>0.05</v>
      </c>
      <c r="L303">
        <v>7516.49</v>
      </c>
      <c r="M303">
        <v>4743.8500000000004</v>
      </c>
      <c r="N303">
        <v>2772.64</v>
      </c>
      <c r="O303" t="s">
        <v>24</v>
      </c>
      <c r="P303">
        <v>5</v>
      </c>
      <c r="Q303" t="str">
        <f t="shared" si="24"/>
        <v>October</v>
      </c>
      <c r="R303" t="str">
        <f t="shared" si="25"/>
        <v>Q4</v>
      </c>
      <c r="S303">
        <f t="shared" si="26"/>
        <v>2024</v>
      </c>
      <c r="T303">
        <f t="shared" si="27"/>
        <v>2590160.7899999991</v>
      </c>
      <c r="U303">
        <f t="shared" si="28"/>
        <v>845925.95000000077</v>
      </c>
      <c r="V303">
        <f t="shared" si="29"/>
        <v>2.0619237889557556</v>
      </c>
    </row>
    <row r="304" spans="1:22" x14ac:dyDescent="0.35">
      <c r="A304" t="s">
        <v>678</v>
      </c>
      <c r="B304" s="1">
        <v>45508</v>
      </c>
      <c r="C304" t="s">
        <v>679</v>
      </c>
      <c r="D304" t="s">
        <v>49</v>
      </c>
      <c r="E304" t="s">
        <v>20</v>
      </c>
      <c r="F304" t="s">
        <v>39</v>
      </c>
      <c r="G304" t="s">
        <v>43</v>
      </c>
      <c r="H304" t="s">
        <v>44</v>
      </c>
      <c r="I304">
        <v>8</v>
      </c>
      <c r="J304">
        <v>1033.3399999999999</v>
      </c>
      <c r="K304">
        <v>0.15</v>
      </c>
      <c r="L304">
        <v>7026.71</v>
      </c>
      <c r="M304">
        <v>5267.02</v>
      </c>
      <c r="N304">
        <v>1759.69</v>
      </c>
      <c r="O304" t="s">
        <v>24</v>
      </c>
      <c r="P304">
        <v>3</v>
      </c>
      <c r="Q304" t="str">
        <f t="shared" si="24"/>
        <v>August</v>
      </c>
      <c r="R304" t="str">
        <f t="shared" si="25"/>
        <v>Q3</v>
      </c>
      <c r="S304">
        <f t="shared" si="26"/>
        <v>2024</v>
      </c>
      <c r="T304">
        <f t="shared" si="27"/>
        <v>2582644.2999999993</v>
      </c>
      <c r="U304">
        <f t="shared" si="28"/>
        <v>843153.31000000075</v>
      </c>
      <c r="V304">
        <f t="shared" si="29"/>
        <v>2.0630779353757114</v>
      </c>
    </row>
    <row r="305" spans="1:22" x14ac:dyDescent="0.35">
      <c r="A305" t="s">
        <v>680</v>
      </c>
      <c r="B305" s="1">
        <v>45409</v>
      </c>
      <c r="C305" t="s">
        <v>681</v>
      </c>
      <c r="D305" t="s">
        <v>66</v>
      </c>
      <c r="E305" t="s">
        <v>85</v>
      </c>
      <c r="F305" t="s">
        <v>21</v>
      </c>
      <c r="G305" t="s">
        <v>60</v>
      </c>
      <c r="H305" t="s">
        <v>119</v>
      </c>
      <c r="I305">
        <v>3</v>
      </c>
      <c r="J305">
        <v>1111.68</v>
      </c>
      <c r="K305">
        <v>0.05</v>
      </c>
      <c r="L305">
        <v>3168.29</v>
      </c>
      <c r="M305">
        <v>1826.17</v>
      </c>
      <c r="N305">
        <v>1342.12</v>
      </c>
      <c r="O305" t="s">
        <v>24</v>
      </c>
      <c r="P305">
        <v>2</v>
      </c>
      <c r="Q305" t="str">
        <f t="shared" si="24"/>
        <v>April</v>
      </c>
      <c r="R305" t="str">
        <f t="shared" si="25"/>
        <v>Q2</v>
      </c>
      <c r="S305">
        <f t="shared" si="26"/>
        <v>2024</v>
      </c>
      <c r="T305">
        <f t="shared" si="27"/>
        <v>2575617.5899999994</v>
      </c>
      <c r="U305">
        <f t="shared" si="28"/>
        <v>841393.62000000069</v>
      </c>
      <c r="V305">
        <f t="shared" si="29"/>
        <v>2.061132778734402</v>
      </c>
    </row>
    <row r="306" spans="1:22" x14ac:dyDescent="0.35">
      <c r="A306" t="s">
        <v>682</v>
      </c>
      <c r="B306" s="1">
        <v>45637</v>
      </c>
      <c r="C306" t="s">
        <v>683</v>
      </c>
      <c r="D306" t="s">
        <v>66</v>
      </c>
      <c r="E306" t="s">
        <v>85</v>
      </c>
      <c r="F306" t="s">
        <v>39</v>
      </c>
      <c r="G306" t="s">
        <v>43</v>
      </c>
      <c r="H306" t="s">
        <v>50</v>
      </c>
      <c r="I306">
        <v>2</v>
      </c>
      <c r="J306">
        <v>1135.8399999999999</v>
      </c>
      <c r="K306">
        <v>0</v>
      </c>
      <c r="L306">
        <v>2271.6799999999998</v>
      </c>
      <c r="M306">
        <v>1484.31</v>
      </c>
      <c r="N306">
        <v>787.37</v>
      </c>
      <c r="O306" t="s">
        <v>24</v>
      </c>
      <c r="P306">
        <v>4</v>
      </c>
      <c r="Q306" t="str">
        <f t="shared" si="24"/>
        <v>December</v>
      </c>
      <c r="R306" t="str">
        <f t="shared" si="25"/>
        <v>Q4</v>
      </c>
      <c r="S306">
        <f t="shared" si="26"/>
        <v>2024</v>
      </c>
      <c r="T306">
        <f t="shared" si="27"/>
        <v>2572449.2999999993</v>
      </c>
      <c r="U306">
        <f t="shared" si="28"/>
        <v>840051.5000000007</v>
      </c>
      <c r="V306">
        <f t="shared" si="29"/>
        <v>2.0622518976515098</v>
      </c>
    </row>
    <row r="307" spans="1:22" x14ac:dyDescent="0.35">
      <c r="A307" t="s">
        <v>684</v>
      </c>
      <c r="B307" s="1">
        <v>45647</v>
      </c>
      <c r="C307" t="s">
        <v>685</v>
      </c>
      <c r="D307" t="s">
        <v>37</v>
      </c>
      <c r="E307" t="s">
        <v>20</v>
      </c>
      <c r="F307" t="s">
        <v>39</v>
      </c>
      <c r="G307" t="s">
        <v>22</v>
      </c>
      <c r="H307" t="s">
        <v>23</v>
      </c>
      <c r="I307">
        <v>10</v>
      </c>
      <c r="J307">
        <v>598.21</v>
      </c>
      <c r="K307">
        <v>0.05</v>
      </c>
      <c r="L307">
        <v>5682.99</v>
      </c>
      <c r="M307">
        <v>4714.3</v>
      </c>
      <c r="N307">
        <v>968.69</v>
      </c>
      <c r="O307" t="s">
        <v>24</v>
      </c>
      <c r="P307">
        <v>4</v>
      </c>
      <c r="Q307" t="str">
        <f t="shared" si="24"/>
        <v>December</v>
      </c>
      <c r="R307" t="str">
        <f t="shared" si="25"/>
        <v>Q4</v>
      </c>
      <c r="S307">
        <f t="shared" si="26"/>
        <v>2024</v>
      </c>
      <c r="T307">
        <f t="shared" si="27"/>
        <v>2570177.6199999992</v>
      </c>
      <c r="U307">
        <f t="shared" si="28"/>
        <v>839264.1300000007</v>
      </c>
      <c r="V307">
        <f t="shared" si="29"/>
        <v>2.062418049488183</v>
      </c>
    </row>
    <row r="308" spans="1:22" x14ac:dyDescent="0.35">
      <c r="A308" t="s">
        <v>686</v>
      </c>
      <c r="B308" s="1">
        <v>45400</v>
      </c>
      <c r="C308" t="s">
        <v>687</v>
      </c>
      <c r="D308" t="s">
        <v>29</v>
      </c>
      <c r="E308" t="s">
        <v>20</v>
      </c>
      <c r="F308" t="s">
        <v>31</v>
      </c>
      <c r="G308" t="s">
        <v>79</v>
      </c>
      <c r="H308" t="s">
        <v>80</v>
      </c>
      <c r="I308">
        <v>3</v>
      </c>
      <c r="J308">
        <v>694.37</v>
      </c>
      <c r="K308">
        <v>0</v>
      </c>
      <c r="L308">
        <v>2083.11</v>
      </c>
      <c r="M308">
        <v>1099.79</v>
      </c>
      <c r="N308">
        <v>983.32</v>
      </c>
      <c r="O308" t="s">
        <v>51</v>
      </c>
      <c r="P308">
        <v>1</v>
      </c>
      <c r="Q308" t="str">
        <f t="shared" si="24"/>
        <v>April</v>
      </c>
      <c r="R308" t="str">
        <f t="shared" si="25"/>
        <v>Q2</v>
      </c>
      <c r="S308">
        <f t="shared" si="26"/>
        <v>2024</v>
      </c>
      <c r="T308">
        <f t="shared" si="27"/>
        <v>2564494.6299999994</v>
      </c>
      <c r="U308">
        <f t="shared" si="28"/>
        <v>838295.44000000064</v>
      </c>
      <c r="V308">
        <f t="shared" si="29"/>
        <v>2.0591775973396653</v>
      </c>
    </row>
    <row r="309" spans="1:22" x14ac:dyDescent="0.35">
      <c r="A309" t="s">
        <v>688</v>
      </c>
      <c r="B309" s="1">
        <v>45481</v>
      </c>
      <c r="C309" t="s">
        <v>689</v>
      </c>
      <c r="D309" t="s">
        <v>37</v>
      </c>
      <c r="E309" t="s">
        <v>30</v>
      </c>
      <c r="F309" t="s">
        <v>21</v>
      </c>
      <c r="G309" t="s">
        <v>22</v>
      </c>
      <c r="H309" t="s">
        <v>23</v>
      </c>
      <c r="I309">
        <v>8</v>
      </c>
      <c r="J309">
        <v>81.47</v>
      </c>
      <c r="K309">
        <v>0</v>
      </c>
      <c r="L309">
        <v>651.76</v>
      </c>
      <c r="M309">
        <v>380.9</v>
      </c>
      <c r="N309">
        <v>270.86</v>
      </c>
      <c r="O309" t="s">
        <v>51</v>
      </c>
      <c r="P309">
        <v>4</v>
      </c>
      <c r="Q309" t="str">
        <f t="shared" si="24"/>
        <v>July</v>
      </c>
      <c r="R309" t="str">
        <f t="shared" si="25"/>
        <v>Q3</v>
      </c>
      <c r="S309">
        <f t="shared" si="26"/>
        <v>2024</v>
      </c>
      <c r="T309">
        <f t="shared" si="27"/>
        <v>2562411.5199999991</v>
      </c>
      <c r="U309">
        <f t="shared" si="28"/>
        <v>837312.12000000069</v>
      </c>
      <c r="V309">
        <f t="shared" si="29"/>
        <v>2.060282371166438</v>
      </c>
    </row>
    <row r="310" spans="1:22" x14ac:dyDescent="0.35">
      <c r="A310" t="s">
        <v>690</v>
      </c>
      <c r="B310" s="1">
        <v>45437</v>
      </c>
      <c r="C310" t="s">
        <v>691</v>
      </c>
      <c r="D310" t="s">
        <v>66</v>
      </c>
      <c r="E310" t="s">
        <v>38</v>
      </c>
      <c r="F310" t="s">
        <v>39</v>
      </c>
      <c r="G310" t="s">
        <v>22</v>
      </c>
      <c r="H310" t="s">
        <v>74</v>
      </c>
      <c r="I310">
        <v>12</v>
      </c>
      <c r="J310">
        <v>96.31</v>
      </c>
      <c r="K310">
        <v>0.15</v>
      </c>
      <c r="L310">
        <v>982.36</v>
      </c>
      <c r="M310">
        <v>606.77</v>
      </c>
      <c r="N310">
        <v>375.59</v>
      </c>
      <c r="O310" t="s">
        <v>24</v>
      </c>
      <c r="P310">
        <v>3</v>
      </c>
      <c r="Q310" t="str">
        <f t="shared" si="24"/>
        <v>May</v>
      </c>
      <c r="R310" t="str">
        <f t="shared" si="25"/>
        <v>Q2</v>
      </c>
      <c r="S310">
        <f t="shared" si="26"/>
        <v>2024</v>
      </c>
      <c r="T310">
        <f t="shared" si="27"/>
        <v>2561759.7599999993</v>
      </c>
      <c r="U310">
        <f t="shared" si="28"/>
        <v>837041.26000000071</v>
      </c>
      <c r="V310">
        <f t="shared" si="29"/>
        <v>2.0604940071890807</v>
      </c>
    </row>
    <row r="311" spans="1:22" x14ac:dyDescent="0.35">
      <c r="A311" t="s">
        <v>692</v>
      </c>
      <c r="B311" s="1">
        <v>45439</v>
      </c>
      <c r="C311" t="s">
        <v>693</v>
      </c>
      <c r="D311" t="s">
        <v>19</v>
      </c>
      <c r="E311" t="s">
        <v>38</v>
      </c>
      <c r="F311" t="s">
        <v>21</v>
      </c>
      <c r="G311" t="s">
        <v>79</v>
      </c>
      <c r="H311" t="s">
        <v>103</v>
      </c>
      <c r="I311">
        <v>11</v>
      </c>
      <c r="J311">
        <v>603.08000000000004</v>
      </c>
      <c r="K311">
        <v>0.05</v>
      </c>
      <c r="L311">
        <v>6302.19</v>
      </c>
      <c r="M311">
        <v>4911.4399999999996</v>
      </c>
      <c r="N311">
        <v>1390.75</v>
      </c>
      <c r="O311" t="s">
        <v>62</v>
      </c>
      <c r="P311">
        <v>5</v>
      </c>
      <c r="Q311" t="str">
        <f t="shared" si="24"/>
        <v>May</v>
      </c>
      <c r="R311" t="str">
        <f t="shared" si="25"/>
        <v>Q2</v>
      </c>
      <c r="S311">
        <f t="shared" si="26"/>
        <v>2024</v>
      </c>
      <c r="T311">
        <f t="shared" si="27"/>
        <v>2560777.399999999</v>
      </c>
      <c r="U311">
        <f t="shared" si="28"/>
        <v>836665.67000000074</v>
      </c>
      <c r="V311">
        <f t="shared" si="29"/>
        <v>2.060693765527629</v>
      </c>
    </row>
    <row r="312" spans="1:22" x14ac:dyDescent="0.35">
      <c r="A312" t="s">
        <v>694</v>
      </c>
      <c r="B312" s="1">
        <v>45639</v>
      </c>
      <c r="C312" t="s">
        <v>695</v>
      </c>
      <c r="D312" t="s">
        <v>29</v>
      </c>
      <c r="E312" t="s">
        <v>85</v>
      </c>
      <c r="F312" t="s">
        <v>31</v>
      </c>
      <c r="G312" t="s">
        <v>79</v>
      </c>
      <c r="H312" t="s">
        <v>103</v>
      </c>
      <c r="I312">
        <v>5</v>
      </c>
      <c r="J312">
        <v>1148.3699999999999</v>
      </c>
      <c r="K312">
        <v>0</v>
      </c>
      <c r="L312">
        <v>5741.85</v>
      </c>
      <c r="M312">
        <v>3222.26</v>
      </c>
      <c r="N312">
        <v>2519.59</v>
      </c>
      <c r="O312" t="s">
        <v>33</v>
      </c>
      <c r="P312">
        <v>1</v>
      </c>
      <c r="Q312" t="str">
        <f t="shared" si="24"/>
        <v>December</v>
      </c>
      <c r="R312" t="str">
        <f t="shared" si="25"/>
        <v>Q4</v>
      </c>
      <c r="S312">
        <f t="shared" si="26"/>
        <v>2024</v>
      </c>
      <c r="T312">
        <f t="shared" si="27"/>
        <v>2554475.2099999995</v>
      </c>
      <c r="U312">
        <f t="shared" si="28"/>
        <v>835274.92000000086</v>
      </c>
      <c r="V312">
        <f t="shared" si="29"/>
        <v>2.0582448351256577</v>
      </c>
    </row>
    <row r="313" spans="1:22" x14ac:dyDescent="0.35">
      <c r="A313" t="s">
        <v>696</v>
      </c>
      <c r="B313" s="1">
        <v>45561</v>
      </c>
      <c r="C313" t="s">
        <v>697</v>
      </c>
      <c r="D313" t="s">
        <v>49</v>
      </c>
      <c r="E313" t="s">
        <v>30</v>
      </c>
      <c r="F313" t="s">
        <v>31</v>
      </c>
      <c r="G313" t="s">
        <v>43</v>
      </c>
      <c r="H313" t="s">
        <v>173</v>
      </c>
      <c r="I313">
        <v>9</v>
      </c>
      <c r="J313">
        <v>273.52999999999997</v>
      </c>
      <c r="K313">
        <v>0.05</v>
      </c>
      <c r="L313">
        <v>2338.6799999999998</v>
      </c>
      <c r="M313">
        <v>1659.84</v>
      </c>
      <c r="N313">
        <v>678.84</v>
      </c>
      <c r="O313" t="s">
        <v>51</v>
      </c>
      <c r="P313">
        <v>5</v>
      </c>
      <c r="Q313" t="str">
        <f t="shared" si="24"/>
        <v>September</v>
      </c>
      <c r="R313" t="str">
        <f t="shared" si="25"/>
        <v>Q3</v>
      </c>
      <c r="S313">
        <f t="shared" si="26"/>
        <v>2024</v>
      </c>
      <c r="T313">
        <f t="shared" si="27"/>
        <v>2548733.3599999989</v>
      </c>
      <c r="U313">
        <f t="shared" si="28"/>
        <v>832755.33000000089</v>
      </c>
      <c r="V313">
        <f t="shared" si="29"/>
        <v>2.0606028783988641</v>
      </c>
    </row>
    <row r="314" spans="1:22" x14ac:dyDescent="0.35">
      <c r="A314" t="s">
        <v>698</v>
      </c>
      <c r="B314" s="1">
        <v>45589</v>
      </c>
      <c r="C314" t="s">
        <v>699</v>
      </c>
      <c r="D314" t="s">
        <v>66</v>
      </c>
      <c r="E314" t="s">
        <v>30</v>
      </c>
      <c r="F314" t="s">
        <v>21</v>
      </c>
      <c r="G314" t="s">
        <v>43</v>
      </c>
      <c r="H314" t="s">
        <v>173</v>
      </c>
      <c r="I314">
        <v>7</v>
      </c>
      <c r="J314">
        <v>657.69</v>
      </c>
      <c r="K314">
        <v>0.15</v>
      </c>
      <c r="L314">
        <v>3913.26</v>
      </c>
      <c r="M314">
        <v>2954.82</v>
      </c>
      <c r="N314">
        <v>958.44</v>
      </c>
      <c r="O314" t="s">
        <v>33</v>
      </c>
      <c r="P314">
        <v>5</v>
      </c>
      <c r="Q314" t="str">
        <f t="shared" si="24"/>
        <v>October</v>
      </c>
      <c r="R314" t="str">
        <f t="shared" si="25"/>
        <v>Q4</v>
      </c>
      <c r="S314">
        <f t="shared" si="26"/>
        <v>2024</v>
      </c>
      <c r="T314">
        <f t="shared" si="27"/>
        <v>2546394.6799999992</v>
      </c>
      <c r="U314">
        <f t="shared" si="28"/>
        <v>832076.49000000092</v>
      </c>
      <c r="V314">
        <f t="shared" si="29"/>
        <v>2.060289180866048</v>
      </c>
    </row>
    <row r="315" spans="1:22" x14ac:dyDescent="0.35">
      <c r="A315" t="s">
        <v>700</v>
      </c>
      <c r="B315" s="1">
        <v>45404</v>
      </c>
      <c r="C315" t="s">
        <v>701</v>
      </c>
      <c r="D315" t="s">
        <v>66</v>
      </c>
      <c r="E315" t="s">
        <v>30</v>
      </c>
      <c r="F315" t="s">
        <v>31</v>
      </c>
      <c r="G315" t="s">
        <v>22</v>
      </c>
      <c r="H315" t="s">
        <v>23</v>
      </c>
      <c r="I315">
        <v>3</v>
      </c>
      <c r="J315">
        <v>37.94</v>
      </c>
      <c r="K315">
        <v>0</v>
      </c>
      <c r="L315">
        <v>113.82</v>
      </c>
      <c r="M315">
        <v>85.17</v>
      </c>
      <c r="N315">
        <v>28.65</v>
      </c>
      <c r="O315" t="s">
        <v>24</v>
      </c>
      <c r="P315">
        <v>4</v>
      </c>
      <c r="Q315" t="str">
        <f t="shared" si="24"/>
        <v>April</v>
      </c>
      <c r="R315" t="str">
        <f t="shared" si="25"/>
        <v>Q2</v>
      </c>
      <c r="S315">
        <f t="shared" si="26"/>
        <v>2024</v>
      </c>
      <c r="T315">
        <f t="shared" si="27"/>
        <v>2542481.419999999</v>
      </c>
      <c r="U315">
        <f t="shared" si="28"/>
        <v>831118.05000000086</v>
      </c>
      <c r="V315">
        <f t="shared" si="29"/>
        <v>2.0591098581001779</v>
      </c>
    </row>
    <row r="316" spans="1:22" x14ac:dyDescent="0.35">
      <c r="A316" t="s">
        <v>702</v>
      </c>
      <c r="B316" s="1">
        <v>45435</v>
      </c>
      <c r="C316" t="s">
        <v>703</v>
      </c>
      <c r="D316" t="s">
        <v>19</v>
      </c>
      <c r="E316" t="s">
        <v>30</v>
      </c>
      <c r="F316" t="s">
        <v>31</v>
      </c>
      <c r="G316" t="s">
        <v>60</v>
      </c>
      <c r="H316" t="s">
        <v>110</v>
      </c>
      <c r="I316">
        <v>3</v>
      </c>
      <c r="J316">
        <v>296.14999999999998</v>
      </c>
      <c r="K316">
        <v>0.1</v>
      </c>
      <c r="L316">
        <v>799.6</v>
      </c>
      <c r="M316">
        <v>510.95</v>
      </c>
      <c r="N316">
        <v>288.64999999999998</v>
      </c>
      <c r="O316" t="s">
        <v>51</v>
      </c>
      <c r="P316">
        <v>5</v>
      </c>
      <c r="Q316" t="str">
        <f t="shared" si="24"/>
        <v>May</v>
      </c>
      <c r="R316" t="str">
        <f t="shared" si="25"/>
        <v>Q2</v>
      </c>
      <c r="S316">
        <f t="shared" si="26"/>
        <v>2024</v>
      </c>
      <c r="T316">
        <f t="shared" si="27"/>
        <v>2542367.5999999992</v>
      </c>
      <c r="U316">
        <f t="shared" si="28"/>
        <v>831089.40000000095</v>
      </c>
      <c r="V316">
        <f t="shared" si="29"/>
        <v>2.0590783614855348</v>
      </c>
    </row>
    <row r="317" spans="1:22" x14ac:dyDescent="0.35">
      <c r="A317" t="s">
        <v>704</v>
      </c>
      <c r="B317" s="1">
        <v>45402</v>
      </c>
      <c r="C317" t="s">
        <v>705</v>
      </c>
      <c r="D317" t="s">
        <v>49</v>
      </c>
      <c r="E317" t="s">
        <v>98</v>
      </c>
      <c r="F317" t="s">
        <v>31</v>
      </c>
      <c r="G317" t="s">
        <v>79</v>
      </c>
      <c r="H317" t="s">
        <v>80</v>
      </c>
      <c r="I317">
        <v>11</v>
      </c>
      <c r="J317">
        <v>689.66</v>
      </c>
      <c r="K317">
        <v>0.15</v>
      </c>
      <c r="L317">
        <v>6448.32</v>
      </c>
      <c r="M317">
        <v>5180.42</v>
      </c>
      <c r="N317">
        <v>1267.9000000000001</v>
      </c>
      <c r="O317" t="s">
        <v>62</v>
      </c>
      <c r="P317">
        <v>4</v>
      </c>
      <c r="Q317" t="str">
        <f t="shared" si="24"/>
        <v>April</v>
      </c>
      <c r="R317" t="str">
        <f t="shared" si="25"/>
        <v>Q2</v>
      </c>
      <c r="S317">
        <f t="shared" si="26"/>
        <v>2024</v>
      </c>
      <c r="T317">
        <f t="shared" si="27"/>
        <v>2541567.9999999991</v>
      </c>
      <c r="U317">
        <f t="shared" si="28"/>
        <v>830800.75000000093</v>
      </c>
      <c r="V317">
        <f t="shared" si="29"/>
        <v>2.0591787501395444</v>
      </c>
    </row>
    <row r="318" spans="1:22" x14ac:dyDescent="0.35">
      <c r="A318" t="s">
        <v>706</v>
      </c>
      <c r="B318" s="1">
        <v>45356</v>
      </c>
      <c r="C318" t="s">
        <v>707</v>
      </c>
      <c r="D318" t="s">
        <v>37</v>
      </c>
      <c r="E318" t="s">
        <v>20</v>
      </c>
      <c r="F318" t="s">
        <v>39</v>
      </c>
      <c r="G318" t="s">
        <v>79</v>
      </c>
      <c r="H318" t="s">
        <v>89</v>
      </c>
      <c r="I318">
        <v>3</v>
      </c>
      <c r="J318">
        <v>1190.23</v>
      </c>
      <c r="K318">
        <v>0</v>
      </c>
      <c r="L318">
        <v>3570.69</v>
      </c>
      <c r="M318">
        <v>1801.49</v>
      </c>
      <c r="N318">
        <v>1769.2</v>
      </c>
      <c r="O318" t="s">
        <v>24</v>
      </c>
      <c r="P318">
        <v>3</v>
      </c>
      <c r="Q318" t="str">
        <f t="shared" si="24"/>
        <v>March</v>
      </c>
      <c r="R318" t="str">
        <f t="shared" si="25"/>
        <v>Q1</v>
      </c>
      <c r="S318">
        <f t="shared" si="26"/>
        <v>2024</v>
      </c>
      <c r="T318">
        <f t="shared" si="27"/>
        <v>2535119.6799999992</v>
      </c>
      <c r="U318">
        <f t="shared" si="28"/>
        <v>829532.85000000091</v>
      </c>
      <c r="V318">
        <f t="shared" si="29"/>
        <v>2.0560811184270715</v>
      </c>
    </row>
    <row r="319" spans="1:22" x14ac:dyDescent="0.35">
      <c r="A319" t="s">
        <v>708</v>
      </c>
      <c r="B319" s="1">
        <v>45380</v>
      </c>
      <c r="C319" t="s">
        <v>709</v>
      </c>
      <c r="D319" t="s">
        <v>29</v>
      </c>
      <c r="E319" t="s">
        <v>98</v>
      </c>
      <c r="F319" t="s">
        <v>39</v>
      </c>
      <c r="G319" t="s">
        <v>79</v>
      </c>
      <c r="H319" t="s">
        <v>80</v>
      </c>
      <c r="I319">
        <v>12</v>
      </c>
      <c r="J319">
        <v>220.55</v>
      </c>
      <c r="K319">
        <v>0.1</v>
      </c>
      <c r="L319">
        <v>2381.94</v>
      </c>
      <c r="M319">
        <v>1233.02</v>
      </c>
      <c r="N319">
        <v>1148.92</v>
      </c>
      <c r="O319" t="s">
        <v>51</v>
      </c>
      <c r="P319">
        <v>5</v>
      </c>
      <c r="Q319" t="str">
        <f t="shared" si="24"/>
        <v>March</v>
      </c>
      <c r="R319" t="str">
        <f t="shared" si="25"/>
        <v>Q1</v>
      </c>
      <c r="S319">
        <f t="shared" si="26"/>
        <v>2024</v>
      </c>
      <c r="T319">
        <f t="shared" si="27"/>
        <v>2531548.9899999993</v>
      </c>
      <c r="U319">
        <f t="shared" si="28"/>
        <v>827763.65000000084</v>
      </c>
      <c r="V319">
        <f t="shared" si="29"/>
        <v>2.0582992983564772</v>
      </c>
    </row>
    <row r="320" spans="1:22" x14ac:dyDescent="0.35">
      <c r="A320" t="s">
        <v>710</v>
      </c>
      <c r="B320" s="1">
        <v>45366</v>
      </c>
      <c r="C320" t="s">
        <v>711</v>
      </c>
      <c r="D320" t="s">
        <v>66</v>
      </c>
      <c r="E320" t="s">
        <v>38</v>
      </c>
      <c r="F320" t="s">
        <v>31</v>
      </c>
      <c r="G320" t="s">
        <v>22</v>
      </c>
      <c r="H320" t="s">
        <v>124</v>
      </c>
      <c r="I320">
        <v>7</v>
      </c>
      <c r="J320">
        <v>923.89</v>
      </c>
      <c r="K320">
        <v>0.1</v>
      </c>
      <c r="L320">
        <v>5820.51</v>
      </c>
      <c r="M320">
        <v>4641.13</v>
      </c>
      <c r="N320">
        <v>1179.3800000000001</v>
      </c>
      <c r="O320" t="s">
        <v>62</v>
      </c>
      <c r="P320">
        <v>3</v>
      </c>
      <c r="Q320" t="str">
        <f t="shared" si="24"/>
        <v>March</v>
      </c>
      <c r="R320" t="str">
        <f t="shared" si="25"/>
        <v>Q1</v>
      </c>
      <c r="S320">
        <f t="shared" si="26"/>
        <v>2024</v>
      </c>
      <c r="T320">
        <f t="shared" si="27"/>
        <v>2529167.0499999993</v>
      </c>
      <c r="U320">
        <f t="shared" si="28"/>
        <v>826614.73000000091</v>
      </c>
      <c r="V320">
        <f t="shared" si="29"/>
        <v>2.0596684987696707</v>
      </c>
    </row>
    <row r="321" spans="1:22" x14ac:dyDescent="0.35">
      <c r="A321" t="s">
        <v>712</v>
      </c>
      <c r="B321" s="1">
        <v>45451</v>
      </c>
      <c r="C321" t="s">
        <v>713</v>
      </c>
      <c r="D321" t="s">
        <v>29</v>
      </c>
      <c r="E321" t="s">
        <v>30</v>
      </c>
      <c r="F321" t="s">
        <v>21</v>
      </c>
      <c r="G321" t="s">
        <v>60</v>
      </c>
      <c r="H321" t="s">
        <v>119</v>
      </c>
      <c r="I321">
        <v>7</v>
      </c>
      <c r="J321">
        <v>257.95</v>
      </c>
      <c r="K321">
        <v>0.15</v>
      </c>
      <c r="L321">
        <v>1534.8</v>
      </c>
      <c r="M321">
        <v>809.34</v>
      </c>
      <c r="N321">
        <v>725.46</v>
      </c>
      <c r="O321" t="s">
        <v>51</v>
      </c>
      <c r="P321">
        <v>5</v>
      </c>
      <c r="Q321" t="str">
        <f t="shared" si="24"/>
        <v>June</v>
      </c>
      <c r="R321" t="str">
        <f t="shared" si="25"/>
        <v>Q2</v>
      </c>
      <c r="S321">
        <f t="shared" si="26"/>
        <v>2024</v>
      </c>
      <c r="T321">
        <f t="shared" si="27"/>
        <v>2523346.5399999991</v>
      </c>
      <c r="U321">
        <f t="shared" si="28"/>
        <v>825435.35000000079</v>
      </c>
      <c r="V321">
        <f t="shared" si="29"/>
        <v>2.056988702991696</v>
      </c>
    </row>
    <row r="322" spans="1:22" x14ac:dyDescent="0.35">
      <c r="A322" t="s">
        <v>714</v>
      </c>
      <c r="B322" s="1">
        <v>45327</v>
      </c>
      <c r="C322" t="s">
        <v>715</v>
      </c>
      <c r="D322" t="s">
        <v>37</v>
      </c>
      <c r="E322" t="s">
        <v>30</v>
      </c>
      <c r="F322" t="s">
        <v>39</v>
      </c>
      <c r="G322" t="s">
        <v>79</v>
      </c>
      <c r="H322" t="s">
        <v>103</v>
      </c>
      <c r="I322">
        <v>3</v>
      </c>
      <c r="J322">
        <v>48.27</v>
      </c>
      <c r="K322">
        <v>0.15</v>
      </c>
      <c r="L322">
        <v>123.09</v>
      </c>
      <c r="M322">
        <v>94.23</v>
      </c>
      <c r="N322">
        <v>28.86</v>
      </c>
      <c r="O322" t="s">
        <v>62</v>
      </c>
      <c r="P322">
        <v>3</v>
      </c>
      <c r="Q322" t="str">
        <f t="shared" ref="Q322:Q385" si="30">TEXT(B322,"MMMM")</f>
        <v>February</v>
      </c>
      <c r="R322" t="str">
        <f t="shared" ref="R322:R385" si="31">"Q"&amp;ROUNDUP(MONTH(B322)/3,0)</f>
        <v>Q1</v>
      </c>
      <c r="S322">
        <f t="shared" ref="S322:S385" si="32">YEAR(B322)</f>
        <v>2024</v>
      </c>
      <c r="T322">
        <f t="shared" ref="T322:T385" si="33">SUM(L322:L1321)</f>
        <v>2521811.7399999993</v>
      </c>
      <c r="U322">
        <f t="shared" ref="U322:U385" si="34">SUM(N322:N1321)</f>
        <v>824709.89000000071</v>
      </c>
      <c r="V322">
        <f t="shared" ref="V322:V385" si="35">(T322-U322)/U322</f>
        <v>2.0578167796678142</v>
      </c>
    </row>
    <row r="323" spans="1:22" x14ac:dyDescent="0.35">
      <c r="A323" t="s">
        <v>716</v>
      </c>
      <c r="B323" s="1">
        <v>45573</v>
      </c>
      <c r="C323" t="s">
        <v>717</v>
      </c>
      <c r="D323" t="s">
        <v>19</v>
      </c>
      <c r="E323" t="s">
        <v>98</v>
      </c>
      <c r="F323" t="s">
        <v>31</v>
      </c>
      <c r="G323" t="s">
        <v>60</v>
      </c>
      <c r="H323" t="s">
        <v>61</v>
      </c>
      <c r="I323">
        <v>12</v>
      </c>
      <c r="J323">
        <v>1048.7</v>
      </c>
      <c r="K323">
        <v>0.1</v>
      </c>
      <c r="L323">
        <v>11325.96</v>
      </c>
      <c r="M323">
        <v>9574.42</v>
      </c>
      <c r="N323">
        <v>1751.54</v>
      </c>
      <c r="O323" t="s">
        <v>33</v>
      </c>
      <c r="P323">
        <v>3</v>
      </c>
      <c r="Q323" t="str">
        <f t="shared" si="30"/>
        <v>October</v>
      </c>
      <c r="R323" t="str">
        <f t="shared" si="31"/>
        <v>Q4</v>
      </c>
      <c r="S323">
        <f t="shared" si="32"/>
        <v>2024</v>
      </c>
      <c r="T323">
        <f t="shared" si="33"/>
        <v>2521688.649999999</v>
      </c>
      <c r="U323">
        <f t="shared" si="34"/>
        <v>824681.03000000084</v>
      </c>
      <c r="V323">
        <f t="shared" si="35"/>
        <v>2.0577745313239428</v>
      </c>
    </row>
    <row r="324" spans="1:22" x14ac:dyDescent="0.35">
      <c r="A324" t="s">
        <v>718</v>
      </c>
      <c r="B324" s="1">
        <v>45597</v>
      </c>
      <c r="C324" t="s">
        <v>719</v>
      </c>
      <c r="D324" t="s">
        <v>66</v>
      </c>
      <c r="E324" t="s">
        <v>98</v>
      </c>
      <c r="F324" t="s">
        <v>21</v>
      </c>
      <c r="G324" t="s">
        <v>60</v>
      </c>
      <c r="H324" t="s">
        <v>119</v>
      </c>
      <c r="I324">
        <v>3</v>
      </c>
      <c r="J324">
        <v>431.23</v>
      </c>
      <c r="K324">
        <v>0.1</v>
      </c>
      <c r="L324">
        <v>1164.32</v>
      </c>
      <c r="M324">
        <v>661.2</v>
      </c>
      <c r="N324">
        <v>503.12</v>
      </c>
      <c r="O324" t="s">
        <v>24</v>
      </c>
      <c r="P324">
        <v>5</v>
      </c>
      <c r="Q324" t="str">
        <f t="shared" si="30"/>
        <v>November</v>
      </c>
      <c r="R324" t="str">
        <f t="shared" si="31"/>
        <v>Q4</v>
      </c>
      <c r="S324">
        <f t="shared" si="32"/>
        <v>2024</v>
      </c>
      <c r="T324">
        <f t="shared" si="33"/>
        <v>2510362.689999999</v>
      </c>
      <c r="U324">
        <f t="shared" si="34"/>
        <v>822929.49000000092</v>
      </c>
      <c r="V324">
        <f t="shared" si="35"/>
        <v>2.0505197839003149</v>
      </c>
    </row>
    <row r="325" spans="1:22" x14ac:dyDescent="0.35">
      <c r="A325" t="s">
        <v>720</v>
      </c>
      <c r="B325" s="1">
        <v>45342</v>
      </c>
      <c r="C325" t="s">
        <v>721</v>
      </c>
      <c r="D325" t="s">
        <v>37</v>
      </c>
      <c r="E325" t="s">
        <v>98</v>
      </c>
      <c r="F325" t="s">
        <v>39</v>
      </c>
      <c r="G325" t="s">
        <v>79</v>
      </c>
      <c r="H325" t="s">
        <v>89</v>
      </c>
      <c r="I325">
        <v>6</v>
      </c>
      <c r="J325">
        <v>1084.4100000000001</v>
      </c>
      <c r="K325">
        <v>0.05</v>
      </c>
      <c r="L325">
        <v>6181.14</v>
      </c>
      <c r="M325">
        <v>3941.18</v>
      </c>
      <c r="N325">
        <v>2239.96</v>
      </c>
      <c r="O325" t="s">
        <v>62</v>
      </c>
      <c r="P325">
        <v>5</v>
      </c>
      <c r="Q325" t="str">
        <f t="shared" si="30"/>
        <v>February</v>
      </c>
      <c r="R325" t="str">
        <f t="shared" si="31"/>
        <v>Q1</v>
      </c>
      <c r="S325">
        <f t="shared" si="32"/>
        <v>2024</v>
      </c>
      <c r="T325">
        <f t="shared" si="33"/>
        <v>2509198.3699999987</v>
      </c>
      <c r="U325">
        <f t="shared" si="34"/>
        <v>822426.37000000093</v>
      </c>
      <c r="V325">
        <f t="shared" si="35"/>
        <v>2.0509702284959515</v>
      </c>
    </row>
    <row r="326" spans="1:22" x14ac:dyDescent="0.35">
      <c r="A326" t="s">
        <v>722</v>
      </c>
      <c r="B326" s="1">
        <v>45453</v>
      </c>
      <c r="C326" t="s">
        <v>723</v>
      </c>
      <c r="D326" t="s">
        <v>37</v>
      </c>
      <c r="E326" t="s">
        <v>38</v>
      </c>
      <c r="F326" t="s">
        <v>31</v>
      </c>
      <c r="G326" t="s">
        <v>79</v>
      </c>
      <c r="H326" t="s">
        <v>89</v>
      </c>
      <c r="I326">
        <v>5</v>
      </c>
      <c r="J326">
        <v>142.41999999999999</v>
      </c>
      <c r="K326">
        <v>0</v>
      </c>
      <c r="L326">
        <v>712.1</v>
      </c>
      <c r="M326">
        <v>449.79</v>
      </c>
      <c r="N326">
        <v>262.31</v>
      </c>
      <c r="O326" t="s">
        <v>24</v>
      </c>
      <c r="P326">
        <v>1</v>
      </c>
      <c r="Q326" t="str">
        <f t="shared" si="30"/>
        <v>June</v>
      </c>
      <c r="R326" t="str">
        <f t="shared" si="31"/>
        <v>Q2</v>
      </c>
      <c r="S326">
        <f t="shared" si="32"/>
        <v>2024</v>
      </c>
      <c r="T326">
        <f t="shared" si="33"/>
        <v>2503017.2299999995</v>
      </c>
      <c r="U326">
        <f t="shared" si="34"/>
        <v>820186.41000000085</v>
      </c>
      <c r="V326">
        <f t="shared" si="35"/>
        <v>2.0517662807897499</v>
      </c>
    </row>
    <row r="327" spans="1:22" x14ac:dyDescent="0.35">
      <c r="A327" t="s">
        <v>724</v>
      </c>
      <c r="B327" s="1">
        <v>45547</v>
      </c>
      <c r="C327" t="s">
        <v>725</v>
      </c>
      <c r="D327" t="s">
        <v>49</v>
      </c>
      <c r="E327" t="s">
        <v>30</v>
      </c>
      <c r="F327" t="s">
        <v>21</v>
      </c>
      <c r="G327" t="s">
        <v>22</v>
      </c>
      <c r="H327" t="s">
        <v>32</v>
      </c>
      <c r="I327">
        <v>8</v>
      </c>
      <c r="J327">
        <v>1034.6600000000001</v>
      </c>
      <c r="K327">
        <v>0.15</v>
      </c>
      <c r="L327">
        <v>7035.69</v>
      </c>
      <c r="M327">
        <v>4020.33</v>
      </c>
      <c r="N327">
        <v>3015.36</v>
      </c>
      <c r="O327" t="s">
        <v>24</v>
      </c>
      <c r="P327">
        <v>1</v>
      </c>
      <c r="Q327" t="str">
        <f t="shared" si="30"/>
        <v>September</v>
      </c>
      <c r="R327" t="str">
        <f t="shared" si="31"/>
        <v>Q3</v>
      </c>
      <c r="S327">
        <f t="shared" si="32"/>
        <v>2024</v>
      </c>
      <c r="T327">
        <f t="shared" si="33"/>
        <v>2502305.1299999994</v>
      </c>
      <c r="U327">
        <f t="shared" si="34"/>
        <v>819924.10000000091</v>
      </c>
      <c r="V327">
        <f t="shared" si="35"/>
        <v>2.0518741063959416</v>
      </c>
    </row>
    <row r="328" spans="1:22" x14ac:dyDescent="0.35">
      <c r="A328" t="s">
        <v>726</v>
      </c>
      <c r="B328" s="1">
        <v>45541</v>
      </c>
      <c r="C328" t="s">
        <v>727</v>
      </c>
      <c r="D328" t="s">
        <v>49</v>
      </c>
      <c r="E328" t="s">
        <v>85</v>
      </c>
      <c r="F328" t="s">
        <v>21</v>
      </c>
      <c r="G328" t="s">
        <v>60</v>
      </c>
      <c r="H328" t="s">
        <v>110</v>
      </c>
      <c r="I328">
        <v>12</v>
      </c>
      <c r="J328">
        <v>893.79</v>
      </c>
      <c r="K328">
        <v>0</v>
      </c>
      <c r="L328">
        <v>10725.48</v>
      </c>
      <c r="M328">
        <v>6637.05</v>
      </c>
      <c r="N328">
        <v>4088.43</v>
      </c>
      <c r="O328" t="s">
        <v>62</v>
      </c>
      <c r="P328">
        <v>1</v>
      </c>
      <c r="Q328" t="str">
        <f t="shared" si="30"/>
        <v>September</v>
      </c>
      <c r="R328" t="str">
        <f t="shared" si="31"/>
        <v>Q3</v>
      </c>
      <c r="S328">
        <f t="shared" si="32"/>
        <v>2024</v>
      </c>
      <c r="T328">
        <f t="shared" si="33"/>
        <v>2495269.4399999995</v>
      </c>
      <c r="U328">
        <f t="shared" si="34"/>
        <v>816908.74000000104</v>
      </c>
      <c r="V328">
        <f t="shared" si="35"/>
        <v>2.054526555805972</v>
      </c>
    </row>
    <row r="329" spans="1:22" x14ac:dyDescent="0.35">
      <c r="A329" t="s">
        <v>728</v>
      </c>
      <c r="B329" s="1">
        <v>45293</v>
      </c>
      <c r="C329" t="s">
        <v>729</v>
      </c>
      <c r="D329" t="s">
        <v>49</v>
      </c>
      <c r="E329" t="s">
        <v>98</v>
      </c>
      <c r="F329" t="s">
        <v>21</v>
      </c>
      <c r="G329" t="s">
        <v>43</v>
      </c>
      <c r="H329" t="s">
        <v>173</v>
      </c>
      <c r="I329">
        <v>5</v>
      </c>
      <c r="J329">
        <v>508.01</v>
      </c>
      <c r="K329">
        <v>0</v>
      </c>
      <c r="L329">
        <v>2540.0500000000002</v>
      </c>
      <c r="M329">
        <v>1447.99</v>
      </c>
      <c r="N329">
        <v>1092.06</v>
      </c>
      <c r="O329" t="s">
        <v>51</v>
      </c>
      <c r="P329">
        <v>1</v>
      </c>
      <c r="Q329" t="str">
        <f t="shared" si="30"/>
        <v>January</v>
      </c>
      <c r="R329" t="str">
        <f t="shared" si="31"/>
        <v>Q1</v>
      </c>
      <c r="S329">
        <f t="shared" si="32"/>
        <v>2024</v>
      </c>
      <c r="T329">
        <f t="shared" si="33"/>
        <v>2484543.9599999995</v>
      </c>
      <c r="U329">
        <f t="shared" si="34"/>
        <v>812820.3100000011</v>
      </c>
      <c r="V329">
        <f t="shared" si="35"/>
        <v>2.0566952245570689</v>
      </c>
    </row>
    <row r="330" spans="1:22" x14ac:dyDescent="0.35">
      <c r="A330" t="s">
        <v>730</v>
      </c>
      <c r="B330" s="1">
        <v>45586</v>
      </c>
      <c r="C330" t="s">
        <v>731</v>
      </c>
      <c r="D330" t="s">
        <v>37</v>
      </c>
      <c r="E330" t="s">
        <v>85</v>
      </c>
      <c r="F330" t="s">
        <v>39</v>
      </c>
      <c r="G330" t="s">
        <v>60</v>
      </c>
      <c r="H330" t="s">
        <v>110</v>
      </c>
      <c r="I330">
        <v>7</v>
      </c>
      <c r="J330">
        <v>312.57</v>
      </c>
      <c r="K330">
        <v>0.05</v>
      </c>
      <c r="L330">
        <v>2078.59</v>
      </c>
      <c r="M330">
        <v>1688.37</v>
      </c>
      <c r="N330">
        <v>390.22</v>
      </c>
      <c r="O330" t="s">
        <v>62</v>
      </c>
      <c r="P330">
        <v>1</v>
      </c>
      <c r="Q330" t="str">
        <f t="shared" si="30"/>
        <v>October</v>
      </c>
      <c r="R330" t="str">
        <f t="shared" si="31"/>
        <v>Q4</v>
      </c>
      <c r="S330">
        <f t="shared" si="32"/>
        <v>2024</v>
      </c>
      <c r="T330">
        <f t="shared" si="33"/>
        <v>2482003.9099999997</v>
      </c>
      <c r="U330">
        <f t="shared" si="34"/>
        <v>811728.25000000093</v>
      </c>
      <c r="V330">
        <f t="shared" si="35"/>
        <v>2.0576783671136205</v>
      </c>
    </row>
    <row r="331" spans="1:22" x14ac:dyDescent="0.35">
      <c r="A331" t="s">
        <v>732</v>
      </c>
      <c r="B331" s="1">
        <v>45412</v>
      </c>
      <c r="C331" t="s">
        <v>733</v>
      </c>
      <c r="D331" t="s">
        <v>49</v>
      </c>
      <c r="E331" t="s">
        <v>98</v>
      </c>
      <c r="F331" t="s">
        <v>21</v>
      </c>
      <c r="G331" t="s">
        <v>43</v>
      </c>
      <c r="H331" t="s">
        <v>173</v>
      </c>
      <c r="I331">
        <v>6</v>
      </c>
      <c r="J331">
        <v>670.04</v>
      </c>
      <c r="K331">
        <v>0.1</v>
      </c>
      <c r="L331">
        <v>3618.22</v>
      </c>
      <c r="M331">
        <v>1987.22</v>
      </c>
      <c r="N331">
        <v>1631</v>
      </c>
      <c r="O331" t="s">
        <v>24</v>
      </c>
      <c r="P331">
        <v>5</v>
      </c>
      <c r="Q331" t="str">
        <f t="shared" si="30"/>
        <v>April</v>
      </c>
      <c r="R331" t="str">
        <f t="shared" si="31"/>
        <v>Q2</v>
      </c>
      <c r="S331">
        <f t="shared" si="32"/>
        <v>2024</v>
      </c>
      <c r="T331">
        <f t="shared" si="33"/>
        <v>2479925.3199999998</v>
      </c>
      <c r="U331">
        <f t="shared" si="34"/>
        <v>811338.03000000096</v>
      </c>
      <c r="V331">
        <f t="shared" si="35"/>
        <v>2.0565870553362289</v>
      </c>
    </row>
    <row r="332" spans="1:22" x14ac:dyDescent="0.35">
      <c r="A332" t="s">
        <v>734</v>
      </c>
      <c r="B332" s="1">
        <v>45636</v>
      </c>
      <c r="C332" t="s">
        <v>735</v>
      </c>
      <c r="D332" t="s">
        <v>49</v>
      </c>
      <c r="E332" t="s">
        <v>20</v>
      </c>
      <c r="F332" t="s">
        <v>21</v>
      </c>
      <c r="G332" t="s">
        <v>60</v>
      </c>
      <c r="H332" t="s">
        <v>61</v>
      </c>
      <c r="I332">
        <v>4</v>
      </c>
      <c r="J332">
        <v>69.69</v>
      </c>
      <c r="K332">
        <v>0</v>
      </c>
      <c r="L332">
        <v>278.76</v>
      </c>
      <c r="M332">
        <v>233.31</v>
      </c>
      <c r="N332">
        <v>45.45</v>
      </c>
      <c r="O332" t="s">
        <v>33</v>
      </c>
      <c r="P332">
        <v>1</v>
      </c>
      <c r="Q332" t="str">
        <f t="shared" si="30"/>
        <v>December</v>
      </c>
      <c r="R332" t="str">
        <f t="shared" si="31"/>
        <v>Q4</v>
      </c>
      <c r="S332">
        <f t="shared" si="32"/>
        <v>2024</v>
      </c>
      <c r="T332">
        <f t="shared" si="33"/>
        <v>2476307.0999999996</v>
      </c>
      <c r="U332">
        <f t="shared" si="34"/>
        <v>809707.03000000096</v>
      </c>
      <c r="V332">
        <f t="shared" si="35"/>
        <v>2.0582754110458898</v>
      </c>
    </row>
    <row r="333" spans="1:22" x14ac:dyDescent="0.35">
      <c r="A333" t="s">
        <v>736</v>
      </c>
      <c r="B333" s="1">
        <v>45522</v>
      </c>
      <c r="C333" t="s">
        <v>737</v>
      </c>
      <c r="D333" t="s">
        <v>29</v>
      </c>
      <c r="E333" t="s">
        <v>38</v>
      </c>
      <c r="F333" t="s">
        <v>31</v>
      </c>
      <c r="G333" t="s">
        <v>43</v>
      </c>
      <c r="H333" t="s">
        <v>44</v>
      </c>
      <c r="I333">
        <v>10</v>
      </c>
      <c r="J333">
        <v>275.64999999999998</v>
      </c>
      <c r="K333">
        <v>0.05</v>
      </c>
      <c r="L333">
        <v>2618.67</v>
      </c>
      <c r="M333">
        <v>1379.05</v>
      </c>
      <c r="N333">
        <v>1239.6199999999999</v>
      </c>
      <c r="O333" t="s">
        <v>24</v>
      </c>
      <c r="P333">
        <v>3</v>
      </c>
      <c r="Q333" t="str">
        <f t="shared" si="30"/>
        <v>August</v>
      </c>
      <c r="R333" t="str">
        <f t="shared" si="31"/>
        <v>Q3</v>
      </c>
      <c r="S333">
        <f t="shared" si="32"/>
        <v>2024</v>
      </c>
      <c r="T333">
        <f t="shared" si="33"/>
        <v>2476028.34</v>
      </c>
      <c r="U333">
        <f t="shared" si="34"/>
        <v>809661.58000000089</v>
      </c>
      <c r="V333">
        <f t="shared" si="35"/>
        <v>2.0581027940093155</v>
      </c>
    </row>
    <row r="334" spans="1:22" x14ac:dyDescent="0.35">
      <c r="A334" t="s">
        <v>738</v>
      </c>
      <c r="B334" s="1">
        <v>45372</v>
      </c>
      <c r="C334" t="s">
        <v>739</v>
      </c>
      <c r="D334" t="s">
        <v>37</v>
      </c>
      <c r="E334" t="s">
        <v>38</v>
      </c>
      <c r="F334" t="s">
        <v>31</v>
      </c>
      <c r="G334" t="s">
        <v>79</v>
      </c>
      <c r="H334" t="s">
        <v>80</v>
      </c>
      <c r="I334">
        <v>10</v>
      </c>
      <c r="J334">
        <v>932.99</v>
      </c>
      <c r="K334">
        <v>0</v>
      </c>
      <c r="L334">
        <v>9329.9</v>
      </c>
      <c r="M334">
        <v>6265.8</v>
      </c>
      <c r="N334">
        <v>3064.1</v>
      </c>
      <c r="O334" t="s">
        <v>24</v>
      </c>
      <c r="P334">
        <v>4</v>
      </c>
      <c r="Q334" t="str">
        <f t="shared" si="30"/>
        <v>March</v>
      </c>
      <c r="R334" t="str">
        <f t="shared" si="31"/>
        <v>Q1</v>
      </c>
      <c r="S334">
        <f t="shared" si="32"/>
        <v>2024</v>
      </c>
      <c r="T334">
        <f t="shared" si="33"/>
        <v>2473409.67</v>
      </c>
      <c r="U334">
        <f t="shared" si="34"/>
        <v>808421.96000000089</v>
      </c>
      <c r="V334">
        <f t="shared" si="35"/>
        <v>2.0595527983925588</v>
      </c>
    </row>
    <row r="335" spans="1:22" x14ac:dyDescent="0.35">
      <c r="A335" t="s">
        <v>740</v>
      </c>
      <c r="B335" s="1">
        <v>45483</v>
      </c>
      <c r="C335" t="s">
        <v>741</v>
      </c>
      <c r="D335" t="s">
        <v>49</v>
      </c>
      <c r="E335" t="s">
        <v>85</v>
      </c>
      <c r="F335" t="s">
        <v>31</v>
      </c>
      <c r="G335" t="s">
        <v>43</v>
      </c>
      <c r="H335" t="s">
        <v>50</v>
      </c>
      <c r="I335">
        <v>6</v>
      </c>
      <c r="J335">
        <v>106.64</v>
      </c>
      <c r="K335">
        <v>0.15</v>
      </c>
      <c r="L335">
        <v>543.86</v>
      </c>
      <c r="M335">
        <v>419.52</v>
      </c>
      <c r="N335">
        <v>124.34</v>
      </c>
      <c r="O335" t="s">
        <v>62</v>
      </c>
      <c r="P335">
        <v>2</v>
      </c>
      <c r="Q335" t="str">
        <f t="shared" si="30"/>
        <v>July</v>
      </c>
      <c r="R335" t="str">
        <f t="shared" si="31"/>
        <v>Q3</v>
      </c>
      <c r="S335">
        <f t="shared" si="32"/>
        <v>2024</v>
      </c>
      <c r="T335">
        <f t="shared" si="33"/>
        <v>2464079.77</v>
      </c>
      <c r="U335">
        <f t="shared" si="34"/>
        <v>805357.86000000103</v>
      </c>
      <c r="V335">
        <f t="shared" si="35"/>
        <v>2.0596085198696601</v>
      </c>
    </row>
    <row r="336" spans="1:22" x14ac:dyDescent="0.35">
      <c r="A336" t="s">
        <v>742</v>
      </c>
      <c r="B336" s="1">
        <v>45413</v>
      </c>
      <c r="C336" t="s">
        <v>743</v>
      </c>
      <c r="D336" t="s">
        <v>19</v>
      </c>
      <c r="E336" t="s">
        <v>38</v>
      </c>
      <c r="F336" t="s">
        <v>31</v>
      </c>
      <c r="G336" t="s">
        <v>43</v>
      </c>
      <c r="H336" t="s">
        <v>50</v>
      </c>
      <c r="I336">
        <v>5</v>
      </c>
      <c r="J336">
        <v>984.48</v>
      </c>
      <c r="K336">
        <v>0.1</v>
      </c>
      <c r="L336">
        <v>4430.16</v>
      </c>
      <c r="M336">
        <v>3583.85</v>
      </c>
      <c r="N336">
        <v>846.31</v>
      </c>
      <c r="O336" t="s">
        <v>24</v>
      </c>
      <c r="P336">
        <v>1</v>
      </c>
      <c r="Q336" t="str">
        <f t="shared" si="30"/>
        <v>May</v>
      </c>
      <c r="R336" t="str">
        <f t="shared" si="31"/>
        <v>Q2</v>
      </c>
      <c r="S336">
        <f t="shared" si="32"/>
        <v>2024</v>
      </c>
      <c r="T336">
        <f t="shared" si="33"/>
        <v>2463535.9099999997</v>
      </c>
      <c r="U336">
        <f t="shared" si="34"/>
        <v>805233.52000000107</v>
      </c>
      <c r="V336">
        <f t="shared" si="35"/>
        <v>2.0594055622522975</v>
      </c>
    </row>
    <row r="337" spans="1:22" x14ac:dyDescent="0.35">
      <c r="A337" t="s">
        <v>744</v>
      </c>
      <c r="B337" s="1">
        <v>45372</v>
      </c>
      <c r="C337" t="s">
        <v>745</v>
      </c>
      <c r="D337" t="s">
        <v>29</v>
      </c>
      <c r="E337" t="s">
        <v>38</v>
      </c>
      <c r="F337" t="s">
        <v>21</v>
      </c>
      <c r="G337" t="s">
        <v>60</v>
      </c>
      <c r="H337" t="s">
        <v>119</v>
      </c>
      <c r="I337">
        <v>8</v>
      </c>
      <c r="J337">
        <v>1047.6400000000001</v>
      </c>
      <c r="K337">
        <v>0.05</v>
      </c>
      <c r="L337">
        <v>7962.06</v>
      </c>
      <c r="M337">
        <v>6198.95</v>
      </c>
      <c r="N337">
        <v>1763.11</v>
      </c>
      <c r="O337" t="s">
        <v>51</v>
      </c>
      <c r="P337">
        <v>5</v>
      </c>
      <c r="Q337" t="str">
        <f t="shared" si="30"/>
        <v>March</v>
      </c>
      <c r="R337" t="str">
        <f t="shared" si="31"/>
        <v>Q1</v>
      </c>
      <c r="S337">
        <f t="shared" si="32"/>
        <v>2024</v>
      </c>
      <c r="T337">
        <f t="shared" si="33"/>
        <v>2459105.7499999995</v>
      </c>
      <c r="U337">
        <f t="shared" si="34"/>
        <v>804387.21000000101</v>
      </c>
      <c r="V337">
        <f t="shared" si="35"/>
        <v>2.0571169200962265</v>
      </c>
    </row>
    <row r="338" spans="1:22" x14ac:dyDescent="0.35">
      <c r="A338" t="s">
        <v>746</v>
      </c>
      <c r="B338" s="1">
        <v>45408</v>
      </c>
      <c r="C338" t="s">
        <v>747</v>
      </c>
      <c r="D338" t="s">
        <v>37</v>
      </c>
      <c r="E338" t="s">
        <v>38</v>
      </c>
      <c r="F338" t="s">
        <v>39</v>
      </c>
      <c r="G338" t="s">
        <v>22</v>
      </c>
      <c r="H338" t="s">
        <v>74</v>
      </c>
      <c r="I338">
        <v>12</v>
      </c>
      <c r="J338">
        <v>349.6</v>
      </c>
      <c r="K338">
        <v>0.15</v>
      </c>
      <c r="L338">
        <v>3565.92</v>
      </c>
      <c r="M338">
        <v>2051.7600000000002</v>
      </c>
      <c r="N338">
        <v>1514.16</v>
      </c>
      <c r="O338" t="s">
        <v>62</v>
      </c>
      <c r="P338">
        <v>2</v>
      </c>
      <c r="Q338" t="str">
        <f t="shared" si="30"/>
        <v>April</v>
      </c>
      <c r="R338" t="str">
        <f t="shared" si="31"/>
        <v>Q2</v>
      </c>
      <c r="S338">
        <f t="shared" si="32"/>
        <v>2024</v>
      </c>
      <c r="T338">
        <f t="shared" si="33"/>
        <v>2451143.69</v>
      </c>
      <c r="U338">
        <f t="shared" si="34"/>
        <v>802624.10000000091</v>
      </c>
      <c r="V338">
        <f t="shared" si="35"/>
        <v>2.0539123980951941</v>
      </c>
    </row>
    <row r="339" spans="1:22" x14ac:dyDescent="0.35">
      <c r="A339" t="s">
        <v>748</v>
      </c>
      <c r="B339" s="1">
        <v>45371</v>
      </c>
      <c r="C339" t="s">
        <v>749</v>
      </c>
      <c r="D339" t="s">
        <v>29</v>
      </c>
      <c r="E339" t="s">
        <v>38</v>
      </c>
      <c r="F339" t="s">
        <v>21</v>
      </c>
      <c r="G339" t="s">
        <v>79</v>
      </c>
      <c r="H339" t="s">
        <v>89</v>
      </c>
      <c r="I339">
        <v>8</v>
      </c>
      <c r="J339">
        <v>1126.8800000000001</v>
      </c>
      <c r="K339">
        <v>0.05</v>
      </c>
      <c r="L339">
        <v>8564.2900000000009</v>
      </c>
      <c r="M339">
        <v>7136.33</v>
      </c>
      <c r="N339">
        <v>1427.96</v>
      </c>
      <c r="O339" t="s">
        <v>62</v>
      </c>
      <c r="P339">
        <v>4</v>
      </c>
      <c r="Q339" t="str">
        <f t="shared" si="30"/>
        <v>March</v>
      </c>
      <c r="R339" t="str">
        <f t="shared" si="31"/>
        <v>Q1</v>
      </c>
      <c r="S339">
        <f t="shared" si="32"/>
        <v>2024</v>
      </c>
      <c r="T339">
        <f t="shared" si="33"/>
        <v>2447577.77</v>
      </c>
      <c r="U339">
        <f t="shared" si="34"/>
        <v>801109.94000000099</v>
      </c>
      <c r="V339">
        <f t="shared" si="35"/>
        <v>2.0552333054312086</v>
      </c>
    </row>
    <row r="340" spans="1:22" x14ac:dyDescent="0.35">
      <c r="A340" t="s">
        <v>750</v>
      </c>
      <c r="B340" s="1">
        <v>45482</v>
      </c>
      <c r="C340" t="s">
        <v>751</v>
      </c>
      <c r="D340" t="s">
        <v>49</v>
      </c>
      <c r="E340" t="s">
        <v>98</v>
      </c>
      <c r="F340" t="s">
        <v>21</v>
      </c>
      <c r="G340" t="s">
        <v>79</v>
      </c>
      <c r="H340" t="s">
        <v>103</v>
      </c>
      <c r="I340">
        <v>5</v>
      </c>
      <c r="J340">
        <v>237.12</v>
      </c>
      <c r="K340">
        <v>0.1</v>
      </c>
      <c r="L340">
        <v>1067.04</v>
      </c>
      <c r="M340">
        <v>587.70000000000005</v>
      </c>
      <c r="N340">
        <v>479.34</v>
      </c>
      <c r="O340" t="s">
        <v>51</v>
      </c>
      <c r="P340">
        <v>2</v>
      </c>
      <c r="Q340" t="str">
        <f t="shared" si="30"/>
        <v>July</v>
      </c>
      <c r="R340" t="str">
        <f t="shared" si="31"/>
        <v>Q3</v>
      </c>
      <c r="S340">
        <f t="shared" si="32"/>
        <v>2024</v>
      </c>
      <c r="T340">
        <f t="shared" si="33"/>
        <v>2439013.48</v>
      </c>
      <c r="U340">
        <f t="shared" si="34"/>
        <v>799681.98000000091</v>
      </c>
      <c r="V340">
        <f t="shared" si="35"/>
        <v>2.0499792930184535</v>
      </c>
    </row>
    <row r="341" spans="1:22" x14ac:dyDescent="0.35">
      <c r="A341" t="s">
        <v>752</v>
      </c>
      <c r="B341" s="1">
        <v>45425</v>
      </c>
      <c r="C341" t="s">
        <v>753</v>
      </c>
      <c r="D341" t="s">
        <v>19</v>
      </c>
      <c r="E341" t="s">
        <v>38</v>
      </c>
      <c r="F341" t="s">
        <v>39</v>
      </c>
      <c r="G341" t="s">
        <v>60</v>
      </c>
      <c r="H341" t="s">
        <v>119</v>
      </c>
      <c r="I341">
        <v>3</v>
      </c>
      <c r="J341">
        <v>435.31</v>
      </c>
      <c r="K341">
        <v>0</v>
      </c>
      <c r="L341">
        <v>1305.93</v>
      </c>
      <c r="M341">
        <v>805.21</v>
      </c>
      <c r="N341">
        <v>500.72</v>
      </c>
      <c r="O341" t="s">
        <v>24</v>
      </c>
      <c r="P341">
        <v>2</v>
      </c>
      <c r="Q341" t="str">
        <f t="shared" si="30"/>
        <v>May</v>
      </c>
      <c r="R341" t="str">
        <f t="shared" si="31"/>
        <v>Q2</v>
      </c>
      <c r="S341">
        <f t="shared" si="32"/>
        <v>2024</v>
      </c>
      <c r="T341">
        <f t="shared" si="33"/>
        <v>2437946.44</v>
      </c>
      <c r="U341">
        <f t="shared" si="34"/>
        <v>799202.64000000095</v>
      </c>
      <c r="V341">
        <f t="shared" si="35"/>
        <v>2.0504734568944829</v>
      </c>
    </row>
    <row r="342" spans="1:22" x14ac:dyDescent="0.35">
      <c r="A342" t="s">
        <v>754</v>
      </c>
      <c r="B342" s="1">
        <v>45627</v>
      </c>
      <c r="C342" t="s">
        <v>755</v>
      </c>
      <c r="D342" t="s">
        <v>49</v>
      </c>
      <c r="E342" t="s">
        <v>98</v>
      </c>
      <c r="F342" t="s">
        <v>21</v>
      </c>
      <c r="G342" t="s">
        <v>60</v>
      </c>
      <c r="H342" t="s">
        <v>110</v>
      </c>
      <c r="I342">
        <v>7</v>
      </c>
      <c r="J342">
        <v>432.81</v>
      </c>
      <c r="K342">
        <v>0.05</v>
      </c>
      <c r="L342">
        <v>2878.19</v>
      </c>
      <c r="M342">
        <v>2056.34</v>
      </c>
      <c r="N342">
        <v>821.85</v>
      </c>
      <c r="O342" t="s">
        <v>24</v>
      </c>
      <c r="P342">
        <v>2</v>
      </c>
      <c r="Q342" t="str">
        <f t="shared" si="30"/>
        <v>December</v>
      </c>
      <c r="R342" t="str">
        <f t="shared" si="31"/>
        <v>Q4</v>
      </c>
      <c r="S342">
        <f t="shared" si="32"/>
        <v>2024</v>
      </c>
      <c r="T342">
        <f t="shared" si="33"/>
        <v>2436640.5099999998</v>
      </c>
      <c r="U342">
        <f t="shared" si="34"/>
        <v>798701.92000000097</v>
      </c>
      <c r="V342">
        <f t="shared" si="35"/>
        <v>2.0507507857249134</v>
      </c>
    </row>
    <row r="343" spans="1:22" x14ac:dyDescent="0.35">
      <c r="A343" t="s">
        <v>756</v>
      </c>
      <c r="B343" s="1">
        <v>45630</v>
      </c>
      <c r="C343" t="s">
        <v>757</v>
      </c>
      <c r="D343" t="s">
        <v>19</v>
      </c>
      <c r="E343" t="s">
        <v>85</v>
      </c>
      <c r="F343" t="s">
        <v>39</v>
      </c>
      <c r="G343" t="s">
        <v>79</v>
      </c>
      <c r="H343" t="s">
        <v>80</v>
      </c>
      <c r="I343">
        <v>11</v>
      </c>
      <c r="J343">
        <v>215.77</v>
      </c>
      <c r="K343">
        <v>0.05</v>
      </c>
      <c r="L343">
        <v>2254.8000000000002</v>
      </c>
      <c r="M343">
        <v>1730.53</v>
      </c>
      <c r="N343">
        <v>524.27</v>
      </c>
      <c r="O343" t="s">
        <v>24</v>
      </c>
      <c r="P343">
        <v>2</v>
      </c>
      <c r="Q343" t="str">
        <f t="shared" si="30"/>
        <v>December</v>
      </c>
      <c r="R343" t="str">
        <f t="shared" si="31"/>
        <v>Q4</v>
      </c>
      <c r="S343">
        <f t="shared" si="32"/>
        <v>2024</v>
      </c>
      <c r="T343">
        <f t="shared" si="33"/>
        <v>2433762.3199999998</v>
      </c>
      <c r="U343">
        <f t="shared" si="34"/>
        <v>797880.070000001</v>
      </c>
      <c r="V343">
        <f t="shared" si="35"/>
        <v>2.0502858907103629</v>
      </c>
    </row>
    <row r="344" spans="1:22" x14ac:dyDescent="0.35">
      <c r="A344" t="s">
        <v>758</v>
      </c>
      <c r="B344" s="1">
        <v>45438</v>
      </c>
      <c r="C344" t="s">
        <v>759</v>
      </c>
      <c r="D344" t="s">
        <v>49</v>
      </c>
      <c r="E344" t="s">
        <v>20</v>
      </c>
      <c r="F344" t="s">
        <v>21</v>
      </c>
      <c r="G344" t="s">
        <v>43</v>
      </c>
      <c r="H344" t="s">
        <v>44</v>
      </c>
      <c r="I344">
        <v>7</v>
      </c>
      <c r="J344">
        <v>1121.82</v>
      </c>
      <c r="K344">
        <v>0</v>
      </c>
      <c r="L344">
        <v>7852.74</v>
      </c>
      <c r="M344">
        <v>4118.76</v>
      </c>
      <c r="N344">
        <v>3733.98</v>
      </c>
      <c r="O344" t="s">
        <v>51</v>
      </c>
      <c r="P344">
        <v>5</v>
      </c>
      <c r="Q344" t="str">
        <f t="shared" si="30"/>
        <v>May</v>
      </c>
      <c r="R344" t="str">
        <f t="shared" si="31"/>
        <v>Q2</v>
      </c>
      <c r="S344">
        <f t="shared" si="32"/>
        <v>2024</v>
      </c>
      <c r="T344">
        <f t="shared" si="33"/>
        <v>2431507.52</v>
      </c>
      <c r="U344">
        <f t="shared" si="34"/>
        <v>797355.80000000098</v>
      </c>
      <c r="V344">
        <f t="shared" si="35"/>
        <v>2.0494636396950985</v>
      </c>
    </row>
    <row r="345" spans="1:22" x14ac:dyDescent="0.35">
      <c r="A345" t="s">
        <v>760</v>
      </c>
      <c r="B345" s="1">
        <v>45533</v>
      </c>
      <c r="C345" t="s">
        <v>761</v>
      </c>
      <c r="D345" t="s">
        <v>37</v>
      </c>
      <c r="E345" t="s">
        <v>38</v>
      </c>
      <c r="F345" t="s">
        <v>39</v>
      </c>
      <c r="G345" t="s">
        <v>79</v>
      </c>
      <c r="H345" t="s">
        <v>103</v>
      </c>
      <c r="I345">
        <v>9</v>
      </c>
      <c r="J345">
        <v>1138.51</v>
      </c>
      <c r="K345">
        <v>0</v>
      </c>
      <c r="L345">
        <v>10246.59</v>
      </c>
      <c r="M345">
        <v>5900.19</v>
      </c>
      <c r="N345">
        <v>4346.3999999999996</v>
      </c>
      <c r="O345" t="s">
        <v>24</v>
      </c>
      <c r="P345">
        <v>3</v>
      </c>
      <c r="Q345" t="str">
        <f t="shared" si="30"/>
        <v>August</v>
      </c>
      <c r="R345" t="str">
        <f t="shared" si="31"/>
        <v>Q3</v>
      </c>
      <c r="S345">
        <f t="shared" si="32"/>
        <v>2024</v>
      </c>
      <c r="T345">
        <f t="shared" si="33"/>
        <v>2423654.7800000003</v>
      </c>
      <c r="U345">
        <f t="shared" si="34"/>
        <v>793621.82000000088</v>
      </c>
      <c r="V345">
        <f t="shared" si="35"/>
        <v>2.0539165115192999</v>
      </c>
    </row>
    <row r="346" spans="1:22" x14ac:dyDescent="0.35">
      <c r="A346" t="s">
        <v>762</v>
      </c>
      <c r="B346" s="1">
        <v>45475</v>
      </c>
      <c r="C346" t="s">
        <v>763</v>
      </c>
      <c r="D346" t="s">
        <v>29</v>
      </c>
      <c r="E346" t="s">
        <v>98</v>
      </c>
      <c r="F346" t="s">
        <v>21</v>
      </c>
      <c r="G346" t="s">
        <v>43</v>
      </c>
      <c r="H346" t="s">
        <v>173</v>
      </c>
      <c r="I346">
        <v>10</v>
      </c>
      <c r="J346">
        <v>476.66</v>
      </c>
      <c r="K346">
        <v>0.05</v>
      </c>
      <c r="L346">
        <v>4528.2700000000004</v>
      </c>
      <c r="M346">
        <v>2922.57</v>
      </c>
      <c r="N346">
        <v>1605.7</v>
      </c>
      <c r="O346" t="s">
        <v>51</v>
      </c>
      <c r="P346">
        <v>1</v>
      </c>
      <c r="Q346" t="str">
        <f t="shared" si="30"/>
        <v>July</v>
      </c>
      <c r="R346" t="str">
        <f t="shared" si="31"/>
        <v>Q3</v>
      </c>
      <c r="S346">
        <f t="shared" si="32"/>
        <v>2024</v>
      </c>
      <c r="T346">
        <f t="shared" si="33"/>
        <v>2413408.19</v>
      </c>
      <c r="U346">
        <f t="shared" si="34"/>
        <v>789275.42000000097</v>
      </c>
      <c r="V346">
        <f t="shared" si="35"/>
        <v>2.0577516147658534</v>
      </c>
    </row>
    <row r="347" spans="1:22" x14ac:dyDescent="0.35">
      <c r="A347" t="s">
        <v>764</v>
      </c>
      <c r="B347" s="1">
        <v>45457</v>
      </c>
      <c r="C347" t="s">
        <v>765</v>
      </c>
      <c r="D347" t="s">
        <v>49</v>
      </c>
      <c r="E347" t="s">
        <v>85</v>
      </c>
      <c r="F347" t="s">
        <v>39</v>
      </c>
      <c r="G347" t="s">
        <v>22</v>
      </c>
      <c r="H347" t="s">
        <v>124</v>
      </c>
      <c r="I347">
        <v>5</v>
      </c>
      <c r="J347">
        <v>264.27</v>
      </c>
      <c r="K347">
        <v>0.1</v>
      </c>
      <c r="L347">
        <v>1189.21</v>
      </c>
      <c r="M347">
        <v>714.73</v>
      </c>
      <c r="N347">
        <v>474.48</v>
      </c>
      <c r="O347" t="s">
        <v>51</v>
      </c>
      <c r="P347">
        <v>4</v>
      </c>
      <c r="Q347" t="str">
        <f t="shared" si="30"/>
        <v>June</v>
      </c>
      <c r="R347" t="str">
        <f t="shared" si="31"/>
        <v>Q2</v>
      </c>
      <c r="S347">
        <f t="shared" si="32"/>
        <v>2024</v>
      </c>
      <c r="T347">
        <f t="shared" si="33"/>
        <v>2408879.92</v>
      </c>
      <c r="U347">
        <f t="shared" si="34"/>
        <v>787669.7200000009</v>
      </c>
      <c r="V347">
        <f t="shared" si="35"/>
        <v>2.0582360332449965</v>
      </c>
    </row>
    <row r="348" spans="1:22" x14ac:dyDescent="0.35">
      <c r="A348" t="s">
        <v>766</v>
      </c>
      <c r="B348" s="1">
        <v>45652</v>
      </c>
      <c r="C348" t="s">
        <v>767</v>
      </c>
      <c r="D348" t="s">
        <v>19</v>
      </c>
      <c r="E348" t="s">
        <v>20</v>
      </c>
      <c r="F348" t="s">
        <v>31</v>
      </c>
      <c r="G348" t="s">
        <v>43</v>
      </c>
      <c r="H348" t="s">
        <v>44</v>
      </c>
      <c r="I348">
        <v>8</v>
      </c>
      <c r="J348">
        <v>1159.1500000000001</v>
      </c>
      <c r="K348">
        <v>0.15</v>
      </c>
      <c r="L348">
        <v>7882.22</v>
      </c>
      <c r="M348">
        <v>4579.8900000000003</v>
      </c>
      <c r="N348">
        <v>3302.33</v>
      </c>
      <c r="O348" t="s">
        <v>33</v>
      </c>
      <c r="P348">
        <v>3</v>
      </c>
      <c r="Q348" t="str">
        <f t="shared" si="30"/>
        <v>December</v>
      </c>
      <c r="R348" t="str">
        <f t="shared" si="31"/>
        <v>Q4</v>
      </c>
      <c r="S348">
        <f t="shared" si="32"/>
        <v>2024</v>
      </c>
      <c r="T348">
        <f t="shared" si="33"/>
        <v>2407690.71</v>
      </c>
      <c r="U348">
        <f t="shared" si="34"/>
        <v>787195.24000000092</v>
      </c>
      <c r="V348">
        <f t="shared" si="35"/>
        <v>2.058568684942756</v>
      </c>
    </row>
    <row r="349" spans="1:22" x14ac:dyDescent="0.35">
      <c r="A349" t="s">
        <v>768</v>
      </c>
      <c r="B349" s="1">
        <v>45598</v>
      </c>
      <c r="C349" t="s">
        <v>769</v>
      </c>
      <c r="D349" t="s">
        <v>19</v>
      </c>
      <c r="E349" t="s">
        <v>98</v>
      </c>
      <c r="F349" t="s">
        <v>39</v>
      </c>
      <c r="G349" t="s">
        <v>22</v>
      </c>
      <c r="H349" t="s">
        <v>74</v>
      </c>
      <c r="I349">
        <v>1</v>
      </c>
      <c r="J349">
        <v>1078.3</v>
      </c>
      <c r="K349">
        <v>0.15</v>
      </c>
      <c r="L349">
        <v>916.55</v>
      </c>
      <c r="M349">
        <v>554.54999999999995</v>
      </c>
      <c r="N349">
        <v>362</v>
      </c>
      <c r="O349" t="s">
        <v>51</v>
      </c>
      <c r="P349">
        <v>4</v>
      </c>
      <c r="Q349" t="str">
        <f t="shared" si="30"/>
        <v>November</v>
      </c>
      <c r="R349" t="str">
        <f t="shared" si="31"/>
        <v>Q4</v>
      </c>
      <c r="S349">
        <f t="shared" si="32"/>
        <v>2024</v>
      </c>
      <c r="T349">
        <f t="shared" si="33"/>
        <v>2399808.4900000002</v>
      </c>
      <c r="U349">
        <f t="shared" si="34"/>
        <v>783892.91000000108</v>
      </c>
      <c r="V349">
        <f t="shared" si="35"/>
        <v>2.0613983866750329</v>
      </c>
    </row>
    <row r="350" spans="1:22" x14ac:dyDescent="0.35">
      <c r="A350" t="s">
        <v>770</v>
      </c>
      <c r="B350" s="1">
        <v>45524</v>
      </c>
      <c r="C350" t="s">
        <v>771</v>
      </c>
      <c r="D350" t="s">
        <v>49</v>
      </c>
      <c r="E350" t="s">
        <v>98</v>
      </c>
      <c r="F350" t="s">
        <v>21</v>
      </c>
      <c r="G350" t="s">
        <v>22</v>
      </c>
      <c r="H350" t="s">
        <v>32</v>
      </c>
      <c r="I350">
        <v>3</v>
      </c>
      <c r="J350">
        <v>430.26</v>
      </c>
      <c r="K350">
        <v>0.15</v>
      </c>
      <c r="L350">
        <v>1097.1600000000001</v>
      </c>
      <c r="M350">
        <v>613.74</v>
      </c>
      <c r="N350">
        <v>483.42</v>
      </c>
      <c r="O350" t="s">
        <v>33</v>
      </c>
      <c r="P350">
        <v>4</v>
      </c>
      <c r="Q350" t="str">
        <f t="shared" si="30"/>
        <v>August</v>
      </c>
      <c r="R350" t="str">
        <f t="shared" si="31"/>
        <v>Q3</v>
      </c>
      <c r="S350">
        <f t="shared" si="32"/>
        <v>2024</v>
      </c>
      <c r="T350">
        <f t="shared" si="33"/>
        <v>2398891.9400000004</v>
      </c>
      <c r="U350">
        <f t="shared" si="34"/>
        <v>783530.91000000108</v>
      </c>
      <c r="V350">
        <f t="shared" si="35"/>
        <v>2.0616430180144354</v>
      </c>
    </row>
    <row r="351" spans="1:22" x14ac:dyDescent="0.35">
      <c r="A351" t="s">
        <v>772</v>
      </c>
      <c r="B351" s="1">
        <v>45408</v>
      </c>
      <c r="C351" t="s">
        <v>773</v>
      </c>
      <c r="D351" t="s">
        <v>49</v>
      </c>
      <c r="E351" t="s">
        <v>30</v>
      </c>
      <c r="F351" t="s">
        <v>21</v>
      </c>
      <c r="G351" t="s">
        <v>43</v>
      </c>
      <c r="H351" t="s">
        <v>44</v>
      </c>
      <c r="I351">
        <v>3</v>
      </c>
      <c r="J351">
        <v>936.78</v>
      </c>
      <c r="K351">
        <v>0.1</v>
      </c>
      <c r="L351">
        <v>2529.31</v>
      </c>
      <c r="M351">
        <v>1486.99</v>
      </c>
      <c r="N351">
        <v>1042.32</v>
      </c>
      <c r="O351" t="s">
        <v>51</v>
      </c>
      <c r="P351">
        <v>2</v>
      </c>
      <c r="Q351" t="str">
        <f t="shared" si="30"/>
        <v>April</v>
      </c>
      <c r="R351" t="str">
        <f t="shared" si="31"/>
        <v>Q2</v>
      </c>
      <c r="S351">
        <f t="shared" si="32"/>
        <v>2024</v>
      </c>
      <c r="T351">
        <f t="shared" si="33"/>
        <v>2397794.7800000007</v>
      </c>
      <c r="U351">
        <f t="shared" si="34"/>
        <v>783047.49000000104</v>
      </c>
      <c r="V351">
        <f t="shared" si="35"/>
        <v>2.0621320042798392</v>
      </c>
    </row>
    <row r="352" spans="1:22" x14ac:dyDescent="0.35">
      <c r="A352" t="s">
        <v>774</v>
      </c>
      <c r="B352" s="1">
        <v>45577</v>
      </c>
      <c r="C352" t="s">
        <v>775</v>
      </c>
      <c r="D352" t="s">
        <v>49</v>
      </c>
      <c r="E352" t="s">
        <v>20</v>
      </c>
      <c r="F352" t="s">
        <v>21</v>
      </c>
      <c r="G352" t="s">
        <v>79</v>
      </c>
      <c r="H352" t="s">
        <v>80</v>
      </c>
      <c r="I352">
        <v>9</v>
      </c>
      <c r="J352">
        <v>547.11</v>
      </c>
      <c r="K352">
        <v>0.05</v>
      </c>
      <c r="L352">
        <v>4677.79</v>
      </c>
      <c r="M352">
        <v>2972.56</v>
      </c>
      <c r="N352">
        <v>1705.23</v>
      </c>
      <c r="O352" t="s">
        <v>24</v>
      </c>
      <c r="P352">
        <v>4</v>
      </c>
      <c r="Q352" t="str">
        <f t="shared" si="30"/>
        <v>October</v>
      </c>
      <c r="R352" t="str">
        <f t="shared" si="31"/>
        <v>Q4</v>
      </c>
      <c r="S352">
        <f t="shared" si="32"/>
        <v>2024</v>
      </c>
      <c r="T352">
        <f t="shared" si="33"/>
        <v>2395265.4700000007</v>
      </c>
      <c r="U352">
        <f t="shared" si="34"/>
        <v>782005.17000000097</v>
      </c>
      <c r="V352">
        <f t="shared" si="35"/>
        <v>2.0629790721204539</v>
      </c>
    </row>
    <row r="353" spans="1:22" x14ac:dyDescent="0.35">
      <c r="A353" t="s">
        <v>776</v>
      </c>
      <c r="B353" s="1">
        <v>45625</v>
      </c>
      <c r="C353" t="s">
        <v>777</v>
      </c>
      <c r="D353" t="s">
        <v>66</v>
      </c>
      <c r="E353" t="s">
        <v>38</v>
      </c>
      <c r="F353" t="s">
        <v>39</v>
      </c>
      <c r="G353" t="s">
        <v>60</v>
      </c>
      <c r="H353" t="s">
        <v>61</v>
      </c>
      <c r="I353">
        <v>4</v>
      </c>
      <c r="J353">
        <v>890.88</v>
      </c>
      <c r="K353">
        <v>0</v>
      </c>
      <c r="L353">
        <v>3563.52</v>
      </c>
      <c r="M353">
        <v>2712.25</v>
      </c>
      <c r="N353">
        <v>851.27</v>
      </c>
      <c r="O353" t="s">
        <v>62</v>
      </c>
      <c r="P353">
        <v>5</v>
      </c>
      <c r="Q353" t="str">
        <f t="shared" si="30"/>
        <v>November</v>
      </c>
      <c r="R353" t="str">
        <f t="shared" si="31"/>
        <v>Q4</v>
      </c>
      <c r="S353">
        <f t="shared" si="32"/>
        <v>2024</v>
      </c>
      <c r="T353">
        <f t="shared" si="33"/>
        <v>2390587.6800000006</v>
      </c>
      <c r="U353">
        <f t="shared" si="34"/>
        <v>780299.94000000111</v>
      </c>
      <c r="V353">
        <f t="shared" si="35"/>
        <v>2.0636778980144448</v>
      </c>
    </row>
    <row r="354" spans="1:22" x14ac:dyDescent="0.35">
      <c r="A354" t="s">
        <v>778</v>
      </c>
      <c r="B354" s="1">
        <v>45629</v>
      </c>
      <c r="C354" t="s">
        <v>779</v>
      </c>
      <c r="D354" t="s">
        <v>37</v>
      </c>
      <c r="E354" t="s">
        <v>20</v>
      </c>
      <c r="F354" t="s">
        <v>39</v>
      </c>
      <c r="G354" t="s">
        <v>22</v>
      </c>
      <c r="H354" t="s">
        <v>32</v>
      </c>
      <c r="I354">
        <v>11</v>
      </c>
      <c r="J354">
        <v>733.94</v>
      </c>
      <c r="K354">
        <v>0.05</v>
      </c>
      <c r="L354">
        <v>7669.67</v>
      </c>
      <c r="M354">
        <v>6174.04</v>
      </c>
      <c r="N354">
        <v>1495.63</v>
      </c>
      <c r="O354" t="s">
        <v>33</v>
      </c>
      <c r="P354">
        <v>1</v>
      </c>
      <c r="Q354" t="str">
        <f t="shared" si="30"/>
        <v>December</v>
      </c>
      <c r="R354" t="str">
        <f t="shared" si="31"/>
        <v>Q4</v>
      </c>
      <c r="S354">
        <f t="shared" si="32"/>
        <v>2024</v>
      </c>
      <c r="T354">
        <f t="shared" si="33"/>
        <v>2387024.1600000011</v>
      </c>
      <c r="U354">
        <f t="shared" si="34"/>
        <v>779448.67000000109</v>
      </c>
      <c r="V354">
        <f t="shared" si="35"/>
        <v>2.0624520277903584</v>
      </c>
    </row>
    <row r="355" spans="1:22" x14ac:dyDescent="0.35">
      <c r="A355" t="s">
        <v>780</v>
      </c>
      <c r="B355" s="1">
        <v>45566</v>
      </c>
      <c r="C355" t="s">
        <v>781</v>
      </c>
      <c r="D355" t="s">
        <v>66</v>
      </c>
      <c r="E355" t="s">
        <v>30</v>
      </c>
      <c r="F355" t="s">
        <v>31</v>
      </c>
      <c r="G355" t="s">
        <v>43</v>
      </c>
      <c r="H355" t="s">
        <v>50</v>
      </c>
      <c r="I355">
        <v>8</v>
      </c>
      <c r="J355">
        <v>815.66</v>
      </c>
      <c r="K355">
        <v>0</v>
      </c>
      <c r="L355">
        <v>6525.28</v>
      </c>
      <c r="M355">
        <v>5428.64</v>
      </c>
      <c r="N355">
        <v>1096.6400000000001</v>
      </c>
      <c r="O355" t="s">
        <v>51</v>
      </c>
      <c r="P355">
        <v>4</v>
      </c>
      <c r="Q355" t="str">
        <f t="shared" si="30"/>
        <v>October</v>
      </c>
      <c r="R355" t="str">
        <f t="shared" si="31"/>
        <v>Q4</v>
      </c>
      <c r="S355">
        <f t="shared" si="32"/>
        <v>2024</v>
      </c>
      <c r="T355">
        <f t="shared" si="33"/>
        <v>2379354.4900000007</v>
      </c>
      <c r="U355">
        <f t="shared" si="34"/>
        <v>777953.04000000108</v>
      </c>
      <c r="V355">
        <f t="shared" si="35"/>
        <v>2.0584808692308698</v>
      </c>
    </row>
    <row r="356" spans="1:22" x14ac:dyDescent="0.35">
      <c r="A356" t="s">
        <v>782</v>
      </c>
      <c r="B356" s="1">
        <v>45426</v>
      </c>
      <c r="C356" t="s">
        <v>783</v>
      </c>
      <c r="D356" t="s">
        <v>49</v>
      </c>
      <c r="E356" t="s">
        <v>38</v>
      </c>
      <c r="F356" t="s">
        <v>39</v>
      </c>
      <c r="G356" t="s">
        <v>43</v>
      </c>
      <c r="H356" t="s">
        <v>44</v>
      </c>
      <c r="I356">
        <v>4</v>
      </c>
      <c r="J356">
        <v>589.51</v>
      </c>
      <c r="K356">
        <v>0.1</v>
      </c>
      <c r="L356">
        <v>2122.2399999999998</v>
      </c>
      <c r="M356">
        <v>1625.86</v>
      </c>
      <c r="N356">
        <v>496.38</v>
      </c>
      <c r="O356" t="s">
        <v>62</v>
      </c>
      <c r="P356">
        <v>4</v>
      </c>
      <c r="Q356" t="str">
        <f t="shared" si="30"/>
        <v>May</v>
      </c>
      <c r="R356" t="str">
        <f t="shared" si="31"/>
        <v>Q2</v>
      </c>
      <c r="S356">
        <f t="shared" si="32"/>
        <v>2024</v>
      </c>
      <c r="T356">
        <f t="shared" si="33"/>
        <v>2372829.2100000009</v>
      </c>
      <c r="U356">
        <f t="shared" si="34"/>
        <v>776856.40000000119</v>
      </c>
      <c r="V356">
        <f t="shared" si="35"/>
        <v>2.054398740874114</v>
      </c>
    </row>
    <row r="357" spans="1:22" x14ac:dyDescent="0.35">
      <c r="A357" t="s">
        <v>784</v>
      </c>
      <c r="B357" s="1">
        <v>45358</v>
      </c>
      <c r="C357" t="s">
        <v>785</v>
      </c>
      <c r="D357" t="s">
        <v>29</v>
      </c>
      <c r="E357" t="s">
        <v>20</v>
      </c>
      <c r="F357" t="s">
        <v>39</v>
      </c>
      <c r="G357" t="s">
        <v>60</v>
      </c>
      <c r="H357" t="s">
        <v>61</v>
      </c>
      <c r="I357">
        <v>1</v>
      </c>
      <c r="J357">
        <v>402.11</v>
      </c>
      <c r="K357">
        <v>0</v>
      </c>
      <c r="L357">
        <v>402.11</v>
      </c>
      <c r="M357">
        <v>224.35</v>
      </c>
      <c r="N357">
        <v>177.76</v>
      </c>
      <c r="O357" t="s">
        <v>62</v>
      </c>
      <c r="P357">
        <v>1</v>
      </c>
      <c r="Q357" t="str">
        <f t="shared" si="30"/>
        <v>March</v>
      </c>
      <c r="R357" t="str">
        <f t="shared" si="31"/>
        <v>Q1</v>
      </c>
      <c r="S357">
        <f t="shared" si="32"/>
        <v>2024</v>
      </c>
      <c r="T357">
        <f t="shared" si="33"/>
        <v>2370706.9700000011</v>
      </c>
      <c r="U357">
        <f t="shared" si="34"/>
        <v>776360.02000000118</v>
      </c>
      <c r="V357">
        <f t="shared" si="35"/>
        <v>2.053618049522949</v>
      </c>
    </row>
    <row r="358" spans="1:22" x14ac:dyDescent="0.35">
      <c r="A358" t="s">
        <v>786</v>
      </c>
      <c r="B358" s="1">
        <v>45309</v>
      </c>
      <c r="C358" t="s">
        <v>787</v>
      </c>
      <c r="D358" t="s">
        <v>29</v>
      </c>
      <c r="E358" t="s">
        <v>85</v>
      </c>
      <c r="F358" t="s">
        <v>31</v>
      </c>
      <c r="G358" t="s">
        <v>22</v>
      </c>
      <c r="H358" t="s">
        <v>124</v>
      </c>
      <c r="I358">
        <v>5</v>
      </c>
      <c r="J358">
        <v>512.53</v>
      </c>
      <c r="K358">
        <v>0.15</v>
      </c>
      <c r="L358">
        <v>2178.25</v>
      </c>
      <c r="M358">
        <v>1179.49</v>
      </c>
      <c r="N358">
        <v>998.76</v>
      </c>
      <c r="O358" t="s">
        <v>51</v>
      </c>
      <c r="P358">
        <v>1</v>
      </c>
      <c r="Q358" t="str">
        <f t="shared" si="30"/>
        <v>January</v>
      </c>
      <c r="R358" t="str">
        <f t="shared" si="31"/>
        <v>Q1</v>
      </c>
      <c r="S358">
        <f t="shared" si="32"/>
        <v>2024</v>
      </c>
      <c r="T358">
        <f t="shared" si="33"/>
        <v>2370304.8600000013</v>
      </c>
      <c r="U358">
        <f t="shared" si="34"/>
        <v>776182.26000000117</v>
      </c>
      <c r="V358">
        <f t="shared" si="35"/>
        <v>2.053799322854915</v>
      </c>
    </row>
    <row r="359" spans="1:22" x14ac:dyDescent="0.35">
      <c r="A359" t="s">
        <v>788</v>
      </c>
      <c r="B359" s="1">
        <v>45481</v>
      </c>
      <c r="C359" t="s">
        <v>789</v>
      </c>
      <c r="D359" t="s">
        <v>37</v>
      </c>
      <c r="E359" t="s">
        <v>38</v>
      </c>
      <c r="F359" t="s">
        <v>39</v>
      </c>
      <c r="G359" t="s">
        <v>79</v>
      </c>
      <c r="H359" t="s">
        <v>89</v>
      </c>
      <c r="I359">
        <v>9</v>
      </c>
      <c r="J359">
        <v>738.05</v>
      </c>
      <c r="K359">
        <v>0.15</v>
      </c>
      <c r="L359">
        <v>5646.08</v>
      </c>
      <c r="M359">
        <v>3781.66</v>
      </c>
      <c r="N359">
        <v>1864.42</v>
      </c>
      <c r="O359" t="s">
        <v>24</v>
      </c>
      <c r="P359">
        <v>4</v>
      </c>
      <c r="Q359" t="str">
        <f t="shared" si="30"/>
        <v>July</v>
      </c>
      <c r="R359" t="str">
        <f t="shared" si="31"/>
        <v>Q3</v>
      </c>
      <c r="S359">
        <f t="shared" si="32"/>
        <v>2024</v>
      </c>
      <c r="T359">
        <f t="shared" si="33"/>
        <v>2368126.6100000013</v>
      </c>
      <c r="U359">
        <f t="shared" si="34"/>
        <v>775183.50000000116</v>
      </c>
      <c r="V359">
        <f t="shared" si="35"/>
        <v>2.054923911564162</v>
      </c>
    </row>
    <row r="360" spans="1:22" x14ac:dyDescent="0.35">
      <c r="A360" t="s">
        <v>790</v>
      </c>
      <c r="B360" s="1">
        <v>45503</v>
      </c>
      <c r="C360" t="s">
        <v>791</v>
      </c>
      <c r="D360" t="s">
        <v>49</v>
      </c>
      <c r="E360" t="s">
        <v>38</v>
      </c>
      <c r="F360" t="s">
        <v>21</v>
      </c>
      <c r="G360" t="s">
        <v>43</v>
      </c>
      <c r="H360" t="s">
        <v>173</v>
      </c>
      <c r="I360">
        <v>3</v>
      </c>
      <c r="J360">
        <v>224.04</v>
      </c>
      <c r="K360">
        <v>0.05</v>
      </c>
      <c r="L360">
        <v>638.51</v>
      </c>
      <c r="M360">
        <v>417.09</v>
      </c>
      <c r="N360">
        <v>221.42</v>
      </c>
      <c r="O360" t="s">
        <v>24</v>
      </c>
      <c r="P360">
        <v>4</v>
      </c>
      <c r="Q360" t="str">
        <f t="shared" si="30"/>
        <v>July</v>
      </c>
      <c r="R360" t="str">
        <f t="shared" si="31"/>
        <v>Q3</v>
      </c>
      <c r="S360">
        <f t="shared" si="32"/>
        <v>2024</v>
      </c>
      <c r="T360">
        <f t="shared" si="33"/>
        <v>2362480.5300000007</v>
      </c>
      <c r="U360">
        <f t="shared" si="34"/>
        <v>773319.08000000112</v>
      </c>
      <c r="V360">
        <f t="shared" si="35"/>
        <v>2.054988026417242</v>
      </c>
    </row>
    <row r="361" spans="1:22" x14ac:dyDescent="0.35">
      <c r="A361" t="s">
        <v>792</v>
      </c>
      <c r="B361" s="1">
        <v>45619</v>
      </c>
      <c r="C361" t="s">
        <v>793</v>
      </c>
      <c r="D361" t="s">
        <v>37</v>
      </c>
      <c r="E361" t="s">
        <v>20</v>
      </c>
      <c r="F361" t="s">
        <v>31</v>
      </c>
      <c r="G361" t="s">
        <v>43</v>
      </c>
      <c r="H361" t="s">
        <v>44</v>
      </c>
      <c r="I361">
        <v>12</v>
      </c>
      <c r="J361">
        <v>343.93</v>
      </c>
      <c r="K361">
        <v>0.1</v>
      </c>
      <c r="L361">
        <v>3714.44</v>
      </c>
      <c r="M361">
        <v>2531.33</v>
      </c>
      <c r="N361">
        <v>1183.1099999999999</v>
      </c>
      <c r="O361" t="s">
        <v>51</v>
      </c>
      <c r="P361">
        <v>2</v>
      </c>
      <c r="Q361" t="str">
        <f t="shared" si="30"/>
        <v>November</v>
      </c>
      <c r="R361" t="str">
        <f t="shared" si="31"/>
        <v>Q4</v>
      </c>
      <c r="S361">
        <f t="shared" si="32"/>
        <v>2024</v>
      </c>
      <c r="T361">
        <f t="shared" si="33"/>
        <v>2361842.0200000009</v>
      </c>
      <c r="U361">
        <f t="shared" si="34"/>
        <v>773097.66000000108</v>
      </c>
      <c r="V361">
        <f t="shared" si="35"/>
        <v>2.0550370828958369</v>
      </c>
    </row>
    <row r="362" spans="1:22" x14ac:dyDescent="0.35">
      <c r="A362" t="s">
        <v>794</v>
      </c>
      <c r="B362" s="1">
        <v>45528</v>
      </c>
      <c r="C362" t="s">
        <v>795</v>
      </c>
      <c r="D362" t="s">
        <v>49</v>
      </c>
      <c r="E362" t="s">
        <v>20</v>
      </c>
      <c r="F362" t="s">
        <v>21</v>
      </c>
      <c r="G362" t="s">
        <v>60</v>
      </c>
      <c r="H362" t="s">
        <v>119</v>
      </c>
      <c r="I362">
        <v>8</v>
      </c>
      <c r="J362">
        <v>1040.07</v>
      </c>
      <c r="K362">
        <v>0.05</v>
      </c>
      <c r="L362">
        <v>7904.53</v>
      </c>
      <c r="M362">
        <v>5574.55</v>
      </c>
      <c r="N362">
        <v>2329.98</v>
      </c>
      <c r="O362" t="s">
        <v>51</v>
      </c>
      <c r="P362">
        <v>2</v>
      </c>
      <c r="Q362" t="str">
        <f t="shared" si="30"/>
        <v>August</v>
      </c>
      <c r="R362" t="str">
        <f t="shared" si="31"/>
        <v>Q3</v>
      </c>
      <c r="S362">
        <f t="shared" si="32"/>
        <v>2024</v>
      </c>
      <c r="T362">
        <f t="shared" si="33"/>
        <v>2358127.580000001</v>
      </c>
      <c r="U362">
        <f t="shared" si="34"/>
        <v>771914.55000000109</v>
      </c>
      <c r="V362">
        <f t="shared" si="35"/>
        <v>2.0549075412556967</v>
      </c>
    </row>
    <row r="363" spans="1:22" x14ac:dyDescent="0.35">
      <c r="A363" t="s">
        <v>796</v>
      </c>
      <c r="B363" s="1">
        <v>45393</v>
      </c>
      <c r="C363" t="s">
        <v>797</v>
      </c>
      <c r="D363" t="s">
        <v>66</v>
      </c>
      <c r="E363" t="s">
        <v>85</v>
      </c>
      <c r="F363" t="s">
        <v>31</v>
      </c>
      <c r="G363" t="s">
        <v>60</v>
      </c>
      <c r="H363" t="s">
        <v>61</v>
      </c>
      <c r="I363">
        <v>12</v>
      </c>
      <c r="J363">
        <v>397.65</v>
      </c>
      <c r="K363">
        <v>0.1</v>
      </c>
      <c r="L363">
        <v>4294.62</v>
      </c>
      <c r="M363">
        <v>2291.71</v>
      </c>
      <c r="N363">
        <v>2002.91</v>
      </c>
      <c r="O363" t="s">
        <v>62</v>
      </c>
      <c r="P363">
        <v>3</v>
      </c>
      <c r="Q363" t="str">
        <f t="shared" si="30"/>
        <v>April</v>
      </c>
      <c r="R363" t="str">
        <f t="shared" si="31"/>
        <v>Q2</v>
      </c>
      <c r="S363">
        <f t="shared" si="32"/>
        <v>2024</v>
      </c>
      <c r="T363">
        <f t="shared" si="33"/>
        <v>2350223.0500000007</v>
      </c>
      <c r="U363">
        <f t="shared" si="34"/>
        <v>769584.570000001</v>
      </c>
      <c r="V363">
        <f t="shared" si="35"/>
        <v>2.0538853579145924</v>
      </c>
    </row>
    <row r="364" spans="1:22" x14ac:dyDescent="0.35">
      <c r="A364" t="s">
        <v>798</v>
      </c>
      <c r="B364" s="1">
        <v>45316</v>
      </c>
      <c r="C364" t="s">
        <v>799</v>
      </c>
      <c r="D364" t="s">
        <v>66</v>
      </c>
      <c r="E364" t="s">
        <v>38</v>
      </c>
      <c r="F364" t="s">
        <v>39</v>
      </c>
      <c r="G364" t="s">
        <v>60</v>
      </c>
      <c r="H364" t="s">
        <v>61</v>
      </c>
      <c r="I364">
        <v>9</v>
      </c>
      <c r="J364">
        <v>1111.68</v>
      </c>
      <c r="K364">
        <v>0.05</v>
      </c>
      <c r="L364">
        <v>9504.86</v>
      </c>
      <c r="M364">
        <v>4876.62</v>
      </c>
      <c r="N364">
        <v>4628.24</v>
      </c>
      <c r="O364" t="s">
        <v>33</v>
      </c>
      <c r="P364">
        <v>4</v>
      </c>
      <c r="Q364" t="str">
        <f t="shared" si="30"/>
        <v>January</v>
      </c>
      <c r="R364" t="str">
        <f t="shared" si="31"/>
        <v>Q1</v>
      </c>
      <c r="S364">
        <f t="shared" si="32"/>
        <v>2024</v>
      </c>
      <c r="T364">
        <f t="shared" si="33"/>
        <v>2345928.4300000006</v>
      </c>
      <c r="U364">
        <f t="shared" si="34"/>
        <v>767581.66000000096</v>
      </c>
      <c r="V364">
        <f t="shared" si="35"/>
        <v>2.0562590956120519</v>
      </c>
    </row>
    <row r="365" spans="1:22" x14ac:dyDescent="0.35">
      <c r="A365" t="s">
        <v>800</v>
      </c>
      <c r="B365" s="1">
        <v>45650</v>
      </c>
      <c r="C365" t="s">
        <v>801</v>
      </c>
      <c r="D365" t="s">
        <v>29</v>
      </c>
      <c r="E365" t="s">
        <v>30</v>
      </c>
      <c r="F365" t="s">
        <v>21</v>
      </c>
      <c r="G365" t="s">
        <v>79</v>
      </c>
      <c r="H365" t="s">
        <v>103</v>
      </c>
      <c r="I365">
        <v>10</v>
      </c>
      <c r="J365">
        <v>853.52</v>
      </c>
      <c r="K365">
        <v>0.15</v>
      </c>
      <c r="L365">
        <v>7254.92</v>
      </c>
      <c r="M365">
        <v>4407.01</v>
      </c>
      <c r="N365">
        <v>2847.91</v>
      </c>
      <c r="O365" t="s">
        <v>24</v>
      </c>
      <c r="P365">
        <v>2</v>
      </c>
      <c r="Q365" t="str">
        <f t="shared" si="30"/>
        <v>December</v>
      </c>
      <c r="R365" t="str">
        <f t="shared" si="31"/>
        <v>Q4</v>
      </c>
      <c r="S365">
        <f t="shared" si="32"/>
        <v>2024</v>
      </c>
      <c r="T365">
        <f t="shared" si="33"/>
        <v>2336423.5700000012</v>
      </c>
      <c r="U365">
        <f t="shared" si="34"/>
        <v>762953.42000000086</v>
      </c>
      <c r="V365">
        <f t="shared" si="35"/>
        <v>2.0623410404268174</v>
      </c>
    </row>
    <row r="366" spans="1:22" x14ac:dyDescent="0.35">
      <c r="A366" t="s">
        <v>802</v>
      </c>
      <c r="B366" s="1">
        <v>45615</v>
      </c>
      <c r="C366" t="s">
        <v>803</v>
      </c>
      <c r="D366" t="s">
        <v>49</v>
      </c>
      <c r="E366" t="s">
        <v>98</v>
      </c>
      <c r="F366" t="s">
        <v>21</v>
      </c>
      <c r="G366" t="s">
        <v>22</v>
      </c>
      <c r="H366" t="s">
        <v>23</v>
      </c>
      <c r="I366">
        <v>4</v>
      </c>
      <c r="J366">
        <v>872.01</v>
      </c>
      <c r="K366">
        <v>0.15</v>
      </c>
      <c r="L366">
        <v>2964.83</v>
      </c>
      <c r="M366">
        <v>1814.62</v>
      </c>
      <c r="N366">
        <v>1150.21</v>
      </c>
      <c r="O366" t="s">
        <v>62</v>
      </c>
      <c r="P366">
        <v>2</v>
      </c>
      <c r="Q366" t="str">
        <f t="shared" si="30"/>
        <v>November</v>
      </c>
      <c r="R366" t="str">
        <f t="shared" si="31"/>
        <v>Q4</v>
      </c>
      <c r="S366">
        <f t="shared" si="32"/>
        <v>2024</v>
      </c>
      <c r="T366">
        <f t="shared" si="33"/>
        <v>2329168.6500000013</v>
      </c>
      <c r="U366">
        <f t="shared" si="34"/>
        <v>760105.51000000117</v>
      </c>
      <c r="V366">
        <f t="shared" si="35"/>
        <v>2.0642701827013434</v>
      </c>
    </row>
    <row r="367" spans="1:22" x14ac:dyDescent="0.35">
      <c r="A367" t="s">
        <v>804</v>
      </c>
      <c r="B367" s="1">
        <v>45520</v>
      </c>
      <c r="C367" t="s">
        <v>805</v>
      </c>
      <c r="D367" t="s">
        <v>29</v>
      </c>
      <c r="E367" t="s">
        <v>98</v>
      </c>
      <c r="F367" t="s">
        <v>39</v>
      </c>
      <c r="G367" t="s">
        <v>79</v>
      </c>
      <c r="H367" t="s">
        <v>103</v>
      </c>
      <c r="I367">
        <v>2</v>
      </c>
      <c r="J367">
        <v>972.36</v>
      </c>
      <c r="K367">
        <v>0</v>
      </c>
      <c r="L367">
        <v>1944.72</v>
      </c>
      <c r="M367">
        <v>1290.01</v>
      </c>
      <c r="N367">
        <v>654.71</v>
      </c>
      <c r="O367" t="s">
        <v>62</v>
      </c>
      <c r="P367">
        <v>3</v>
      </c>
      <c r="Q367" t="str">
        <f t="shared" si="30"/>
        <v>August</v>
      </c>
      <c r="R367" t="str">
        <f t="shared" si="31"/>
        <v>Q3</v>
      </c>
      <c r="S367">
        <f t="shared" si="32"/>
        <v>2024</v>
      </c>
      <c r="T367">
        <f t="shared" si="33"/>
        <v>2326203.8200000017</v>
      </c>
      <c r="U367">
        <f t="shared" si="34"/>
        <v>758955.30000000121</v>
      </c>
      <c r="V367">
        <f t="shared" si="35"/>
        <v>2.0650076756826099</v>
      </c>
    </row>
    <row r="368" spans="1:22" x14ac:dyDescent="0.35">
      <c r="A368" t="s">
        <v>806</v>
      </c>
      <c r="B368" s="1">
        <v>45579</v>
      </c>
      <c r="C368" t="s">
        <v>807</v>
      </c>
      <c r="D368" t="s">
        <v>29</v>
      </c>
      <c r="E368" t="s">
        <v>85</v>
      </c>
      <c r="F368" t="s">
        <v>39</v>
      </c>
      <c r="G368" t="s">
        <v>60</v>
      </c>
      <c r="H368" t="s">
        <v>61</v>
      </c>
      <c r="I368">
        <v>12</v>
      </c>
      <c r="J368">
        <v>360.81</v>
      </c>
      <c r="K368">
        <v>0.1</v>
      </c>
      <c r="L368">
        <v>3896.75</v>
      </c>
      <c r="M368">
        <v>2871.74</v>
      </c>
      <c r="N368">
        <v>1025.01</v>
      </c>
      <c r="O368" t="s">
        <v>62</v>
      </c>
      <c r="P368">
        <v>4</v>
      </c>
      <c r="Q368" t="str">
        <f t="shared" si="30"/>
        <v>October</v>
      </c>
      <c r="R368" t="str">
        <f t="shared" si="31"/>
        <v>Q4</v>
      </c>
      <c r="S368">
        <f t="shared" si="32"/>
        <v>2024</v>
      </c>
      <c r="T368">
        <f t="shared" si="33"/>
        <v>2324259.1000000015</v>
      </c>
      <c r="U368">
        <f t="shared" si="34"/>
        <v>758300.59000000113</v>
      </c>
      <c r="V368">
        <f t="shared" si="35"/>
        <v>2.0650893994425061</v>
      </c>
    </row>
    <row r="369" spans="1:22" x14ac:dyDescent="0.35">
      <c r="A369" t="s">
        <v>808</v>
      </c>
      <c r="B369" s="1">
        <v>45513</v>
      </c>
      <c r="C369" t="s">
        <v>809</v>
      </c>
      <c r="D369" t="s">
        <v>66</v>
      </c>
      <c r="E369" t="s">
        <v>85</v>
      </c>
      <c r="F369" t="s">
        <v>31</v>
      </c>
      <c r="G369" t="s">
        <v>43</v>
      </c>
      <c r="H369" t="s">
        <v>50</v>
      </c>
      <c r="I369">
        <v>12</v>
      </c>
      <c r="J369">
        <v>565.41999999999996</v>
      </c>
      <c r="K369">
        <v>0.1</v>
      </c>
      <c r="L369">
        <v>6106.54</v>
      </c>
      <c r="M369">
        <v>3384.86</v>
      </c>
      <c r="N369">
        <v>2721.68</v>
      </c>
      <c r="O369" t="s">
        <v>33</v>
      </c>
      <c r="P369">
        <v>2</v>
      </c>
      <c r="Q369" t="str">
        <f t="shared" si="30"/>
        <v>August</v>
      </c>
      <c r="R369" t="str">
        <f t="shared" si="31"/>
        <v>Q3</v>
      </c>
      <c r="S369">
        <f t="shared" si="32"/>
        <v>2024</v>
      </c>
      <c r="T369">
        <f t="shared" si="33"/>
        <v>2320362.3500000015</v>
      </c>
      <c r="U369">
        <f t="shared" si="34"/>
        <v>757275.58000000124</v>
      </c>
      <c r="V369">
        <f t="shared" si="35"/>
        <v>2.064092400813978</v>
      </c>
    </row>
    <row r="370" spans="1:22" x14ac:dyDescent="0.35">
      <c r="A370" t="s">
        <v>810</v>
      </c>
      <c r="B370" s="1">
        <v>45634</v>
      </c>
      <c r="C370" t="s">
        <v>811</v>
      </c>
      <c r="D370" t="s">
        <v>66</v>
      </c>
      <c r="E370" t="s">
        <v>30</v>
      </c>
      <c r="F370" t="s">
        <v>39</v>
      </c>
      <c r="G370" t="s">
        <v>79</v>
      </c>
      <c r="H370" t="s">
        <v>103</v>
      </c>
      <c r="I370">
        <v>4</v>
      </c>
      <c r="J370">
        <v>168.8</v>
      </c>
      <c r="K370">
        <v>0.1</v>
      </c>
      <c r="L370">
        <v>607.67999999999995</v>
      </c>
      <c r="M370">
        <v>390.12</v>
      </c>
      <c r="N370">
        <v>217.56</v>
      </c>
      <c r="O370" t="s">
        <v>62</v>
      </c>
      <c r="P370">
        <v>1</v>
      </c>
      <c r="Q370" t="str">
        <f t="shared" si="30"/>
        <v>December</v>
      </c>
      <c r="R370" t="str">
        <f t="shared" si="31"/>
        <v>Q4</v>
      </c>
      <c r="S370">
        <f t="shared" si="32"/>
        <v>2024</v>
      </c>
      <c r="T370">
        <f t="shared" si="33"/>
        <v>2314255.8100000015</v>
      </c>
      <c r="U370">
        <f t="shared" si="34"/>
        <v>754553.90000000119</v>
      </c>
      <c r="V370">
        <f t="shared" si="35"/>
        <v>2.0670516844456013</v>
      </c>
    </row>
    <row r="371" spans="1:22" x14ac:dyDescent="0.35">
      <c r="A371" t="s">
        <v>812</v>
      </c>
      <c r="B371" s="1">
        <v>45470</v>
      </c>
      <c r="C371" t="s">
        <v>813</v>
      </c>
      <c r="D371" t="s">
        <v>37</v>
      </c>
      <c r="E371" t="s">
        <v>30</v>
      </c>
      <c r="F371" t="s">
        <v>39</v>
      </c>
      <c r="G371" t="s">
        <v>60</v>
      </c>
      <c r="H371" t="s">
        <v>61</v>
      </c>
      <c r="I371">
        <v>6</v>
      </c>
      <c r="J371">
        <v>300.60000000000002</v>
      </c>
      <c r="K371">
        <v>0.15</v>
      </c>
      <c r="L371">
        <v>1533.06</v>
      </c>
      <c r="M371">
        <v>805.23</v>
      </c>
      <c r="N371">
        <v>727.83</v>
      </c>
      <c r="O371" t="s">
        <v>33</v>
      </c>
      <c r="P371">
        <v>2</v>
      </c>
      <c r="Q371" t="str">
        <f t="shared" si="30"/>
        <v>June</v>
      </c>
      <c r="R371" t="str">
        <f t="shared" si="31"/>
        <v>Q2</v>
      </c>
      <c r="S371">
        <f t="shared" si="32"/>
        <v>2024</v>
      </c>
      <c r="T371">
        <f t="shared" si="33"/>
        <v>2313648.1300000013</v>
      </c>
      <c r="U371">
        <f t="shared" si="34"/>
        <v>754336.34000000125</v>
      </c>
      <c r="V371">
        <f t="shared" si="35"/>
        <v>2.067130678073918</v>
      </c>
    </row>
    <row r="372" spans="1:22" x14ac:dyDescent="0.35">
      <c r="A372" t="s">
        <v>814</v>
      </c>
      <c r="B372" s="1">
        <v>45364</v>
      </c>
      <c r="C372" t="s">
        <v>815</v>
      </c>
      <c r="D372" t="s">
        <v>29</v>
      </c>
      <c r="E372" t="s">
        <v>98</v>
      </c>
      <c r="F372" t="s">
        <v>31</v>
      </c>
      <c r="G372" t="s">
        <v>79</v>
      </c>
      <c r="H372" t="s">
        <v>103</v>
      </c>
      <c r="I372">
        <v>8</v>
      </c>
      <c r="J372">
        <v>346.14</v>
      </c>
      <c r="K372">
        <v>0.15</v>
      </c>
      <c r="L372">
        <v>2353.75</v>
      </c>
      <c r="M372">
        <v>1853.38</v>
      </c>
      <c r="N372">
        <v>500.37</v>
      </c>
      <c r="O372" t="s">
        <v>62</v>
      </c>
      <c r="P372">
        <v>2</v>
      </c>
      <c r="Q372" t="str">
        <f t="shared" si="30"/>
        <v>March</v>
      </c>
      <c r="R372" t="str">
        <f t="shared" si="31"/>
        <v>Q1</v>
      </c>
      <c r="S372">
        <f t="shared" si="32"/>
        <v>2024</v>
      </c>
      <c r="T372">
        <f t="shared" si="33"/>
        <v>2312115.0700000017</v>
      </c>
      <c r="U372">
        <f t="shared" si="34"/>
        <v>753608.51000000117</v>
      </c>
      <c r="V372">
        <f t="shared" si="35"/>
        <v>2.0680585998159682</v>
      </c>
    </row>
    <row r="373" spans="1:22" x14ac:dyDescent="0.35">
      <c r="A373" t="s">
        <v>816</v>
      </c>
      <c r="B373" s="1">
        <v>45355</v>
      </c>
      <c r="C373" t="s">
        <v>817</v>
      </c>
      <c r="D373" t="s">
        <v>66</v>
      </c>
      <c r="E373" t="s">
        <v>38</v>
      </c>
      <c r="F373" t="s">
        <v>31</v>
      </c>
      <c r="G373" t="s">
        <v>60</v>
      </c>
      <c r="H373" t="s">
        <v>110</v>
      </c>
      <c r="I373">
        <v>10</v>
      </c>
      <c r="J373">
        <v>459.99</v>
      </c>
      <c r="K373">
        <v>0.1</v>
      </c>
      <c r="L373">
        <v>4139.91</v>
      </c>
      <c r="M373">
        <v>2406.65</v>
      </c>
      <c r="N373">
        <v>1733.26</v>
      </c>
      <c r="O373" t="s">
        <v>62</v>
      </c>
      <c r="P373">
        <v>1</v>
      </c>
      <c r="Q373" t="str">
        <f t="shared" si="30"/>
        <v>March</v>
      </c>
      <c r="R373" t="str">
        <f t="shared" si="31"/>
        <v>Q1</v>
      </c>
      <c r="S373">
        <f t="shared" si="32"/>
        <v>2024</v>
      </c>
      <c r="T373">
        <f t="shared" si="33"/>
        <v>2309761.3200000012</v>
      </c>
      <c r="U373">
        <f t="shared" si="34"/>
        <v>753108.14000000118</v>
      </c>
      <c r="V373">
        <f t="shared" si="35"/>
        <v>2.066971656952211</v>
      </c>
    </row>
    <row r="374" spans="1:22" x14ac:dyDescent="0.35">
      <c r="A374" t="s">
        <v>818</v>
      </c>
      <c r="B374" s="1">
        <v>45639</v>
      </c>
      <c r="C374" t="s">
        <v>819</v>
      </c>
      <c r="D374" t="s">
        <v>49</v>
      </c>
      <c r="E374" t="s">
        <v>20</v>
      </c>
      <c r="F374" t="s">
        <v>31</v>
      </c>
      <c r="G374" t="s">
        <v>79</v>
      </c>
      <c r="H374" t="s">
        <v>103</v>
      </c>
      <c r="I374">
        <v>7</v>
      </c>
      <c r="J374">
        <v>313.97000000000003</v>
      </c>
      <c r="K374">
        <v>0.05</v>
      </c>
      <c r="L374">
        <v>2087.9</v>
      </c>
      <c r="M374">
        <v>1514.08</v>
      </c>
      <c r="N374">
        <v>573.82000000000005</v>
      </c>
      <c r="O374" t="s">
        <v>24</v>
      </c>
      <c r="P374">
        <v>1</v>
      </c>
      <c r="Q374" t="str">
        <f t="shared" si="30"/>
        <v>December</v>
      </c>
      <c r="R374" t="str">
        <f t="shared" si="31"/>
        <v>Q4</v>
      </c>
      <c r="S374">
        <f t="shared" si="32"/>
        <v>2024</v>
      </c>
      <c r="T374">
        <f t="shared" si="33"/>
        <v>2305621.4100000015</v>
      </c>
      <c r="U374">
        <f t="shared" si="34"/>
        <v>751374.88000000117</v>
      </c>
      <c r="V374">
        <f t="shared" si="35"/>
        <v>2.0685367203119669</v>
      </c>
    </row>
    <row r="375" spans="1:22" x14ac:dyDescent="0.35">
      <c r="A375" t="s">
        <v>820</v>
      </c>
      <c r="B375" s="1">
        <v>45392</v>
      </c>
      <c r="C375" t="s">
        <v>821</v>
      </c>
      <c r="D375" t="s">
        <v>19</v>
      </c>
      <c r="E375" t="s">
        <v>20</v>
      </c>
      <c r="F375" t="s">
        <v>39</v>
      </c>
      <c r="G375" t="s">
        <v>79</v>
      </c>
      <c r="H375" t="s">
        <v>80</v>
      </c>
      <c r="I375">
        <v>9</v>
      </c>
      <c r="J375">
        <v>968.89</v>
      </c>
      <c r="K375">
        <v>0</v>
      </c>
      <c r="L375">
        <v>8720.01</v>
      </c>
      <c r="M375">
        <v>4891.1499999999996</v>
      </c>
      <c r="N375">
        <v>3828.86</v>
      </c>
      <c r="O375" t="s">
        <v>33</v>
      </c>
      <c r="P375">
        <v>1</v>
      </c>
      <c r="Q375" t="str">
        <f t="shared" si="30"/>
        <v>April</v>
      </c>
      <c r="R375" t="str">
        <f t="shared" si="31"/>
        <v>Q2</v>
      </c>
      <c r="S375">
        <f t="shared" si="32"/>
        <v>2024</v>
      </c>
      <c r="T375">
        <f t="shared" si="33"/>
        <v>2303533.5100000012</v>
      </c>
      <c r="U375">
        <f t="shared" si="34"/>
        <v>750801.06000000134</v>
      </c>
      <c r="V375">
        <f t="shared" si="35"/>
        <v>2.0681010359788212</v>
      </c>
    </row>
    <row r="376" spans="1:22" x14ac:dyDescent="0.35">
      <c r="A376" t="s">
        <v>822</v>
      </c>
      <c r="B376" s="1">
        <v>45321</v>
      </c>
      <c r="C376" t="s">
        <v>823</v>
      </c>
      <c r="D376" t="s">
        <v>37</v>
      </c>
      <c r="E376" t="s">
        <v>98</v>
      </c>
      <c r="F376" t="s">
        <v>39</v>
      </c>
      <c r="G376" t="s">
        <v>60</v>
      </c>
      <c r="H376" t="s">
        <v>110</v>
      </c>
      <c r="I376">
        <v>1</v>
      </c>
      <c r="J376">
        <v>436.53</v>
      </c>
      <c r="K376">
        <v>0.05</v>
      </c>
      <c r="L376">
        <v>414.7</v>
      </c>
      <c r="M376">
        <v>222.32</v>
      </c>
      <c r="N376">
        <v>192.38</v>
      </c>
      <c r="O376" t="s">
        <v>62</v>
      </c>
      <c r="P376">
        <v>4</v>
      </c>
      <c r="Q376" t="str">
        <f t="shared" si="30"/>
        <v>January</v>
      </c>
      <c r="R376" t="str">
        <f t="shared" si="31"/>
        <v>Q1</v>
      </c>
      <c r="S376">
        <f t="shared" si="32"/>
        <v>2024</v>
      </c>
      <c r="T376">
        <f t="shared" si="33"/>
        <v>2294813.5000000014</v>
      </c>
      <c r="U376">
        <f t="shared" si="34"/>
        <v>746972.20000000135</v>
      </c>
      <c r="V376">
        <f t="shared" si="35"/>
        <v>2.0721538231275503</v>
      </c>
    </row>
    <row r="377" spans="1:22" x14ac:dyDescent="0.35">
      <c r="A377" t="s">
        <v>824</v>
      </c>
      <c r="B377" s="1">
        <v>45527</v>
      </c>
      <c r="C377" t="s">
        <v>825</v>
      </c>
      <c r="D377" t="s">
        <v>19</v>
      </c>
      <c r="E377" t="s">
        <v>38</v>
      </c>
      <c r="F377" t="s">
        <v>31</v>
      </c>
      <c r="G377" t="s">
        <v>60</v>
      </c>
      <c r="H377" t="s">
        <v>119</v>
      </c>
      <c r="I377">
        <v>10</v>
      </c>
      <c r="J377">
        <v>775.11</v>
      </c>
      <c r="K377">
        <v>0.1</v>
      </c>
      <c r="L377">
        <v>6975.99</v>
      </c>
      <c r="M377">
        <v>3503.63</v>
      </c>
      <c r="N377">
        <v>3472.36</v>
      </c>
      <c r="O377" t="s">
        <v>24</v>
      </c>
      <c r="P377">
        <v>5</v>
      </c>
      <c r="Q377" t="str">
        <f t="shared" si="30"/>
        <v>August</v>
      </c>
      <c r="R377" t="str">
        <f t="shared" si="31"/>
        <v>Q3</v>
      </c>
      <c r="S377">
        <f t="shared" si="32"/>
        <v>2024</v>
      </c>
      <c r="T377">
        <f t="shared" si="33"/>
        <v>2294398.8000000017</v>
      </c>
      <c r="U377">
        <f t="shared" si="34"/>
        <v>746779.82000000135</v>
      </c>
      <c r="V377">
        <f t="shared" si="35"/>
        <v>2.0723899314793988</v>
      </c>
    </row>
    <row r="378" spans="1:22" x14ac:dyDescent="0.35">
      <c r="A378" t="s">
        <v>826</v>
      </c>
      <c r="B378" s="1">
        <v>45375</v>
      </c>
      <c r="C378" t="s">
        <v>827</v>
      </c>
      <c r="D378" t="s">
        <v>66</v>
      </c>
      <c r="E378" t="s">
        <v>30</v>
      </c>
      <c r="F378" t="s">
        <v>31</v>
      </c>
      <c r="G378" t="s">
        <v>43</v>
      </c>
      <c r="H378" t="s">
        <v>173</v>
      </c>
      <c r="I378">
        <v>1</v>
      </c>
      <c r="J378">
        <v>250.61</v>
      </c>
      <c r="K378">
        <v>0.05</v>
      </c>
      <c r="L378">
        <v>238.08</v>
      </c>
      <c r="M378">
        <v>154.22</v>
      </c>
      <c r="N378">
        <v>83.86</v>
      </c>
      <c r="O378" t="s">
        <v>24</v>
      </c>
      <c r="P378">
        <v>4</v>
      </c>
      <c r="Q378" t="str">
        <f t="shared" si="30"/>
        <v>March</v>
      </c>
      <c r="R378" t="str">
        <f t="shared" si="31"/>
        <v>Q1</v>
      </c>
      <c r="S378">
        <f t="shared" si="32"/>
        <v>2024</v>
      </c>
      <c r="T378">
        <f t="shared" si="33"/>
        <v>2287422.8100000015</v>
      </c>
      <c r="U378">
        <f t="shared" si="34"/>
        <v>743307.46000000136</v>
      </c>
      <c r="V378">
        <f t="shared" si="35"/>
        <v>2.0773575311621348</v>
      </c>
    </row>
    <row r="379" spans="1:22" x14ac:dyDescent="0.35">
      <c r="A379" t="s">
        <v>828</v>
      </c>
      <c r="B379" s="1">
        <v>45566</v>
      </c>
      <c r="C379" t="s">
        <v>829</v>
      </c>
      <c r="D379" t="s">
        <v>49</v>
      </c>
      <c r="E379" t="s">
        <v>30</v>
      </c>
      <c r="F379" t="s">
        <v>39</v>
      </c>
      <c r="G379" t="s">
        <v>60</v>
      </c>
      <c r="H379" t="s">
        <v>110</v>
      </c>
      <c r="I379">
        <v>1</v>
      </c>
      <c r="J379">
        <v>335.9</v>
      </c>
      <c r="K379">
        <v>0</v>
      </c>
      <c r="L379">
        <v>335.9</v>
      </c>
      <c r="M379">
        <v>260.54000000000002</v>
      </c>
      <c r="N379">
        <v>75.36</v>
      </c>
      <c r="O379" t="s">
        <v>24</v>
      </c>
      <c r="P379">
        <v>1</v>
      </c>
      <c r="Q379" t="str">
        <f t="shared" si="30"/>
        <v>October</v>
      </c>
      <c r="R379" t="str">
        <f t="shared" si="31"/>
        <v>Q4</v>
      </c>
      <c r="S379">
        <f t="shared" si="32"/>
        <v>2024</v>
      </c>
      <c r="T379">
        <f t="shared" si="33"/>
        <v>2287184.7300000014</v>
      </c>
      <c r="U379">
        <f t="shared" si="34"/>
        <v>743223.60000000137</v>
      </c>
      <c r="V379">
        <f t="shared" si="35"/>
        <v>2.0773844237454209</v>
      </c>
    </row>
    <row r="380" spans="1:22" x14ac:dyDescent="0.35">
      <c r="A380" t="s">
        <v>830</v>
      </c>
      <c r="B380" s="1">
        <v>45642</v>
      </c>
      <c r="C380" t="s">
        <v>831</v>
      </c>
      <c r="D380" t="s">
        <v>49</v>
      </c>
      <c r="E380" t="s">
        <v>20</v>
      </c>
      <c r="F380" t="s">
        <v>31</v>
      </c>
      <c r="G380" t="s">
        <v>79</v>
      </c>
      <c r="H380" t="s">
        <v>103</v>
      </c>
      <c r="I380">
        <v>3</v>
      </c>
      <c r="J380">
        <v>749.37</v>
      </c>
      <c r="K380">
        <v>0.05</v>
      </c>
      <c r="L380">
        <v>2135.6999999999998</v>
      </c>
      <c r="M380">
        <v>1618.54</v>
      </c>
      <c r="N380">
        <v>517.16</v>
      </c>
      <c r="O380" t="s">
        <v>33</v>
      </c>
      <c r="P380">
        <v>2</v>
      </c>
      <c r="Q380" t="str">
        <f t="shared" si="30"/>
        <v>December</v>
      </c>
      <c r="R380" t="str">
        <f t="shared" si="31"/>
        <v>Q4</v>
      </c>
      <c r="S380">
        <f t="shared" si="32"/>
        <v>2024</v>
      </c>
      <c r="T380">
        <f t="shared" si="33"/>
        <v>2286848.8300000015</v>
      </c>
      <c r="U380">
        <f t="shared" si="34"/>
        <v>743148.24000000139</v>
      </c>
      <c r="V380">
        <f t="shared" si="35"/>
        <v>2.0772444943151545</v>
      </c>
    </row>
    <row r="381" spans="1:22" x14ac:dyDescent="0.35">
      <c r="A381" t="s">
        <v>832</v>
      </c>
      <c r="B381" s="1">
        <v>45503</v>
      </c>
      <c r="C381" t="s">
        <v>833</v>
      </c>
      <c r="D381" t="s">
        <v>29</v>
      </c>
      <c r="E381" t="s">
        <v>38</v>
      </c>
      <c r="F381" t="s">
        <v>21</v>
      </c>
      <c r="G381" t="s">
        <v>79</v>
      </c>
      <c r="H381" t="s">
        <v>80</v>
      </c>
      <c r="I381">
        <v>12</v>
      </c>
      <c r="J381">
        <v>1087.43</v>
      </c>
      <c r="K381">
        <v>0.05</v>
      </c>
      <c r="L381">
        <v>12396.7</v>
      </c>
      <c r="M381">
        <v>9828.2099999999991</v>
      </c>
      <c r="N381">
        <v>2568.4899999999998</v>
      </c>
      <c r="O381" t="s">
        <v>33</v>
      </c>
      <c r="P381">
        <v>3</v>
      </c>
      <c r="Q381" t="str">
        <f t="shared" si="30"/>
        <v>July</v>
      </c>
      <c r="R381" t="str">
        <f t="shared" si="31"/>
        <v>Q3</v>
      </c>
      <c r="S381">
        <f t="shared" si="32"/>
        <v>2024</v>
      </c>
      <c r="T381">
        <f t="shared" si="33"/>
        <v>2284713.1300000018</v>
      </c>
      <c r="U381">
        <f t="shared" si="34"/>
        <v>742631.08000000136</v>
      </c>
      <c r="V381">
        <f t="shared" si="35"/>
        <v>2.0765115971176393</v>
      </c>
    </row>
    <row r="382" spans="1:22" x14ac:dyDescent="0.35">
      <c r="A382" t="s">
        <v>834</v>
      </c>
      <c r="B382" s="1">
        <v>45524</v>
      </c>
      <c r="C382" t="s">
        <v>835</v>
      </c>
      <c r="D382" t="s">
        <v>66</v>
      </c>
      <c r="E382" t="s">
        <v>98</v>
      </c>
      <c r="F382" t="s">
        <v>31</v>
      </c>
      <c r="G382" t="s">
        <v>43</v>
      </c>
      <c r="H382" t="s">
        <v>173</v>
      </c>
      <c r="I382">
        <v>4</v>
      </c>
      <c r="J382">
        <v>929.13</v>
      </c>
      <c r="K382">
        <v>0.1</v>
      </c>
      <c r="L382">
        <v>3344.87</v>
      </c>
      <c r="M382">
        <v>2454.66</v>
      </c>
      <c r="N382">
        <v>890.21</v>
      </c>
      <c r="O382" t="s">
        <v>33</v>
      </c>
      <c r="P382">
        <v>2</v>
      </c>
      <c r="Q382" t="str">
        <f t="shared" si="30"/>
        <v>August</v>
      </c>
      <c r="R382" t="str">
        <f t="shared" si="31"/>
        <v>Q3</v>
      </c>
      <c r="S382">
        <f t="shared" si="32"/>
        <v>2024</v>
      </c>
      <c r="T382">
        <f t="shared" si="33"/>
        <v>2272316.430000002</v>
      </c>
      <c r="U382">
        <f t="shared" si="34"/>
        <v>740062.59000000136</v>
      </c>
      <c r="V382">
        <f t="shared" si="35"/>
        <v>2.0704381773979388</v>
      </c>
    </row>
    <row r="383" spans="1:22" x14ac:dyDescent="0.35">
      <c r="A383" t="s">
        <v>836</v>
      </c>
      <c r="B383" s="1">
        <v>45341</v>
      </c>
      <c r="C383" t="s">
        <v>837</v>
      </c>
      <c r="D383" t="s">
        <v>66</v>
      </c>
      <c r="E383" t="s">
        <v>98</v>
      </c>
      <c r="F383" t="s">
        <v>21</v>
      </c>
      <c r="G383" t="s">
        <v>60</v>
      </c>
      <c r="H383" t="s">
        <v>119</v>
      </c>
      <c r="I383">
        <v>11</v>
      </c>
      <c r="J383">
        <v>476.03</v>
      </c>
      <c r="K383">
        <v>0</v>
      </c>
      <c r="L383">
        <v>5236.33</v>
      </c>
      <c r="M383">
        <v>3252.71</v>
      </c>
      <c r="N383">
        <v>1983.62</v>
      </c>
      <c r="O383" t="s">
        <v>62</v>
      </c>
      <c r="P383">
        <v>3</v>
      </c>
      <c r="Q383" t="str">
        <f t="shared" si="30"/>
        <v>February</v>
      </c>
      <c r="R383" t="str">
        <f t="shared" si="31"/>
        <v>Q1</v>
      </c>
      <c r="S383">
        <f t="shared" si="32"/>
        <v>2024</v>
      </c>
      <c r="T383">
        <f t="shared" si="33"/>
        <v>2268971.5600000015</v>
      </c>
      <c r="U383">
        <f t="shared" si="34"/>
        <v>739172.38000000129</v>
      </c>
      <c r="V383">
        <f t="shared" si="35"/>
        <v>2.0696108531544395</v>
      </c>
    </row>
    <row r="384" spans="1:22" x14ac:dyDescent="0.35">
      <c r="A384" t="s">
        <v>838</v>
      </c>
      <c r="B384" s="1">
        <v>45582</v>
      </c>
      <c r="C384" t="s">
        <v>839</v>
      </c>
      <c r="D384" t="s">
        <v>49</v>
      </c>
      <c r="E384" t="s">
        <v>38</v>
      </c>
      <c r="F384" t="s">
        <v>21</v>
      </c>
      <c r="G384" t="s">
        <v>60</v>
      </c>
      <c r="H384" t="s">
        <v>61</v>
      </c>
      <c r="I384">
        <v>6</v>
      </c>
      <c r="J384">
        <v>436.05</v>
      </c>
      <c r="K384">
        <v>0.05</v>
      </c>
      <c r="L384">
        <v>2485.4899999999998</v>
      </c>
      <c r="M384">
        <v>1385.81</v>
      </c>
      <c r="N384">
        <v>1099.68</v>
      </c>
      <c r="O384" t="s">
        <v>24</v>
      </c>
      <c r="P384">
        <v>1</v>
      </c>
      <c r="Q384" t="str">
        <f t="shared" si="30"/>
        <v>October</v>
      </c>
      <c r="R384" t="str">
        <f t="shared" si="31"/>
        <v>Q4</v>
      </c>
      <c r="S384">
        <f t="shared" si="32"/>
        <v>2024</v>
      </c>
      <c r="T384">
        <f t="shared" si="33"/>
        <v>2263735.2300000014</v>
      </c>
      <c r="U384">
        <f t="shared" si="34"/>
        <v>737188.76000000129</v>
      </c>
      <c r="V384">
        <f t="shared" si="35"/>
        <v>2.0707674246145555</v>
      </c>
    </row>
    <row r="385" spans="1:22" x14ac:dyDescent="0.35">
      <c r="A385" t="s">
        <v>840</v>
      </c>
      <c r="B385" s="1">
        <v>45636</v>
      </c>
      <c r="C385" t="s">
        <v>841</v>
      </c>
      <c r="D385" t="s">
        <v>66</v>
      </c>
      <c r="E385" t="s">
        <v>38</v>
      </c>
      <c r="F385" t="s">
        <v>31</v>
      </c>
      <c r="G385" t="s">
        <v>43</v>
      </c>
      <c r="H385" t="s">
        <v>44</v>
      </c>
      <c r="I385">
        <v>1</v>
      </c>
      <c r="J385">
        <v>494.67</v>
      </c>
      <c r="K385">
        <v>0.05</v>
      </c>
      <c r="L385">
        <v>469.94</v>
      </c>
      <c r="M385">
        <v>298.93</v>
      </c>
      <c r="N385">
        <v>171.01</v>
      </c>
      <c r="O385" t="s">
        <v>33</v>
      </c>
      <c r="P385">
        <v>2</v>
      </c>
      <c r="Q385" t="str">
        <f t="shared" si="30"/>
        <v>December</v>
      </c>
      <c r="R385" t="str">
        <f t="shared" si="31"/>
        <v>Q4</v>
      </c>
      <c r="S385">
        <f t="shared" si="32"/>
        <v>2024</v>
      </c>
      <c r="T385">
        <f t="shared" si="33"/>
        <v>2261249.7400000021</v>
      </c>
      <c r="U385">
        <f t="shared" si="34"/>
        <v>736089.08000000124</v>
      </c>
      <c r="V385">
        <f t="shared" si="35"/>
        <v>2.0719783806601209</v>
      </c>
    </row>
    <row r="386" spans="1:22" x14ac:dyDescent="0.35">
      <c r="A386" t="s">
        <v>842</v>
      </c>
      <c r="B386" s="1">
        <v>45314</v>
      </c>
      <c r="C386" t="s">
        <v>843</v>
      </c>
      <c r="D386" t="s">
        <v>37</v>
      </c>
      <c r="E386" t="s">
        <v>20</v>
      </c>
      <c r="F386" t="s">
        <v>31</v>
      </c>
      <c r="G386" t="s">
        <v>79</v>
      </c>
      <c r="H386" t="s">
        <v>89</v>
      </c>
      <c r="I386">
        <v>9</v>
      </c>
      <c r="J386">
        <v>283.01</v>
      </c>
      <c r="K386">
        <v>0.15</v>
      </c>
      <c r="L386">
        <v>2165.0300000000002</v>
      </c>
      <c r="M386">
        <v>1538.07</v>
      </c>
      <c r="N386">
        <v>626.96</v>
      </c>
      <c r="O386" t="s">
        <v>33</v>
      </c>
      <c r="P386">
        <v>3</v>
      </c>
      <c r="Q386" t="str">
        <f t="shared" ref="Q386:Q449" si="36">TEXT(B386,"MMMM")</f>
        <v>January</v>
      </c>
      <c r="R386" t="str">
        <f t="shared" ref="R386:R449" si="37">"Q"&amp;ROUNDUP(MONTH(B386)/3,0)</f>
        <v>Q1</v>
      </c>
      <c r="S386">
        <f t="shared" ref="S386:S449" si="38">YEAR(B386)</f>
        <v>2024</v>
      </c>
      <c r="T386">
        <f t="shared" ref="T386:T449" si="39">SUM(L386:L1385)</f>
        <v>2260779.8000000021</v>
      </c>
      <c r="U386">
        <f t="shared" ref="U386:U449" si="40">SUM(N386:N1385)</f>
        <v>735918.07000000123</v>
      </c>
      <c r="V386">
        <f t="shared" ref="V386:V449" si="41">(T386-U386)/U386</f>
        <v>2.0720536594515178</v>
      </c>
    </row>
    <row r="387" spans="1:22" x14ac:dyDescent="0.35">
      <c r="A387" t="s">
        <v>844</v>
      </c>
      <c r="B387" s="1">
        <v>45445</v>
      </c>
      <c r="C387" t="s">
        <v>845</v>
      </c>
      <c r="D387" t="s">
        <v>19</v>
      </c>
      <c r="E387" t="s">
        <v>98</v>
      </c>
      <c r="F387" t="s">
        <v>39</v>
      </c>
      <c r="G387" t="s">
        <v>60</v>
      </c>
      <c r="H387" t="s">
        <v>61</v>
      </c>
      <c r="I387">
        <v>2</v>
      </c>
      <c r="J387">
        <v>241.58</v>
      </c>
      <c r="K387">
        <v>0.05</v>
      </c>
      <c r="L387">
        <v>459</v>
      </c>
      <c r="M387">
        <v>319.58</v>
      </c>
      <c r="N387">
        <v>139.41999999999999</v>
      </c>
      <c r="O387" t="s">
        <v>62</v>
      </c>
      <c r="P387">
        <v>4</v>
      </c>
      <c r="Q387" t="str">
        <f t="shared" si="36"/>
        <v>June</v>
      </c>
      <c r="R387" t="str">
        <f t="shared" si="37"/>
        <v>Q2</v>
      </c>
      <c r="S387">
        <f t="shared" si="38"/>
        <v>2024</v>
      </c>
      <c r="T387">
        <f t="shared" si="39"/>
        <v>2258614.7700000019</v>
      </c>
      <c r="U387">
        <f t="shared" si="40"/>
        <v>735291.11000000127</v>
      </c>
      <c r="V387">
        <f t="shared" si="41"/>
        <v>2.0717286517988747</v>
      </c>
    </row>
    <row r="388" spans="1:22" x14ac:dyDescent="0.35">
      <c r="A388" t="s">
        <v>846</v>
      </c>
      <c r="B388" s="1">
        <v>45515</v>
      </c>
      <c r="C388" t="s">
        <v>847</v>
      </c>
      <c r="D388" t="s">
        <v>19</v>
      </c>
      <c r="E388" t="s">
        <v>38</v>
      </c>
      <c r="F388" t="s">
        <v>39</v>
      </c>
      <c r="G388" t="s">
        <v>79</v>
      </c>
      <c r="H388" t="s">
        <v>80</v>
      </c>
      <c r="I388">
        <v>11</v>
      </c>
      <c r="J388">
        <v>1087.4100000000001</v>
      </c>
      <c r="K388">
        <v>0</v>
      </c>
      <c r="L388">
        <v>11961.51</v>
      </c>
      <c r="M388">
        <v>6648.31</v>
      </c>
      <c r="N388">
        <v>5313.2</v>
      </c>
      <c r="O388" t="s">
        <v>24</v>
      </c>
      <c r="P388">
        <v>1</v>
      </c>
      <c r="Q388" t="str">
        <f t="shared" si="36"/>
        <v>August</v>
      </c>
      <c r="R388" t="str">
        <f t="shared" si="37"/>
        <v>Q3</v>
      </c>
      <c r="S388">
        <f t="shared" si="38"/>
        <v>2024</v>
      </c>
      <c r="T388">
        <f t="shared" si="39"/>
        <v>2258155.7700000019</v>
      </c>
      <c r="U388">
        <f t="shared" si="40"/>
        <v>735151.69000000122</v>
      </c>
      <c r="V388">
        <f t="shared" si="41"/>
        <v>2.0716868378551889</v>
      </c>
    </row>
    <row r="389" spans="1:22" x14ac:dyDescent="0.35">
      <c r="A389" t="s">
        <v>848</v>
      </c>
      <c r="B389" s="1">
        <v>45455</v>
      </c>
      <c r="C389" t="s">
        <v>849</v>
      </c>
      <c r="D389" t="s">
        <v>19</v>
      </c>
      <c r="E389" t="s">
        <v>98</v>
      </c>
      <c r="F389" t="s">
        <v>21</v>
      </c>
      <c r="G389" t="s">
        <v>43</v>
      </c>
      <c r="H389" t="s">
        <v>44</v>
      </c>
      <c r="I389">
        <v>10</v>
      </c>
      <c r="J389">
        <v>593.35</v>
      </c>
      <c r="K389">
        <v>0.15</v>
      </c>
      <c r="L389">
        <v>5043.47</v>
      </c>
      <c r="M389">
        <v>3994.18</v>
      </c>
      <c r="N389">
        <v>1049.29</v>
      </c>
      <c r="O389" t="s">
        <v>24</v>
      </c>
      <c r="P389">
        <v>5</v>
      </c>
      <c r="Q389" t="str">
        <f t="shared" si="36"/>
        <v>June</v>
      </c>
      <c r="R389" t="str">
        <f t="shared" si="37"/>
        <v>Q2</v>
      </c>
      <c r="S389">
        <f t="shared" si="38"/>
        <v>2024</v>
      </c>
      <c r="T389">
        <f t="shared" si="39"/>
        <v>2246194.2600000016</v>
      </c>
      <c r="U389">
        <f t="shared" si="40"/>
        <v>729838.49000000127</v>
      </c>
      <c r="V389">
        <f t="shared" si="41"/>
        <v>2.0776593599496209</v>
      </c>
    </row>
    <row r="390" spans="1:22" x14ac:dyDescent="0.35">
      <c r="A390" t="s">
        <v>850</v>
      </c>
      <c r="B390" s="1">
        <v>45600</v>
      </c>
      <c r="C390" t="s">
        <v>851</v>
      </c>
      <c r="D390" t="s">
        <v>37</v>
      </c>
      <c r="E390" t="s">
        <v>20</v>
      </c>
      <c r="F390" t="s">
        <v>39</v>
      </c>
      <c r="G390" t="s">
        <v>79</v>
      </c>
      <c r="H390" t="s">
        <v>89</v>
      </c>
      <c r="I390">
        <v>12</v>
      </c>
      <c r="J390">
        <v>164.85</v>
      </c>
      <c r="K390">
        <v>0.15</v>
      </c>
      <c r="L390">
        <v>1681.47</v>
      </c>
      <c r="M390">
        <v>911.2</v>
      </c>
      <c r="N390">
        <v>770.27</v>
      </c>
      <c r="O390" t="s">
        <v>33</v>
      </c>
      <c r="P390">
        <v>4</v>
      </c>
      <c r="Q390" t="str">
        <f t="shared" si="36"/>
        <v>November</v>
      </c>
      <c r="R390" t="str">
        <f t="shared" si="37"/>
        <v>Q4</v>
      </c>
      <c r="S390">
        <f t="shared" si="38"/>
        <v>2024</v>
      </c>
      <c r="T390">
        <f t="shared" si="39"/>
        <v>2241150.7900000019</v>
      </c>
      <c r="U390">
        <f t="shared" si="40"/>
        <v>728789.20000000123</v>
      </c>
      <c r="V390">
        <f t="shared" si="41"/>
        <v>2.0751701452216884</v>
      </c>
    </row>
    <row r="391" spans="1:22" x14ac:dyDescent="0.35">
      <c r="A391" t="s">
        <v>852</v>
      </c>
      <c r="B391" s="1">
        <v>45451</v>
      </c>
      <c r="C391" t="s">
        <v>853</v>
      </c>
      <c r="D391" t="s">
        <v>19</v>
      </c>
      <c r="E391" t="s">
        <v>98</v>
      </c>
      <c r="F391" t="s">
        <v>39</v>
      </c>
      <c r="G391" t="s">
        <v>22</v>
      </c>
      <c r="H391" t="s">
        <v>124</v>
      </c>
      <c r="I391">
        <v>2</v>
      </c>
      <c r="J391">
        <v>256.77</v>
      </c>
      <c r="K391">
        <v>0.05</v>
      </c>
      <c r="L391">
        <v>487.86</v>
      </c>
      <c r="M391">
        <v>248.32</v>
      </c>
      <c r="N391">
        <v>239.54</v>
      </c>
      <c r="O391" t="s">
        <v>51</v>
      </c>
      <c r="P391">
        <v>5</v>
      </c>
      <c r="Q391" t="str">
        <f t="shared" si="36"/>
        <v>June</v>
      </c>
      <c r="R391" t="str">
        <f t="shared" si="37"/>
        <v>Q2</v>
      </c>
      <c r="S391">
        <f t="shared" si="38"/>
        <v>2024</v>
      </c>
      <c r="T391">
        <f t="shared" si="39"/>
        <v>2239469.3200000017</v>
      </c>
      <c r="U391">
        <f t="shared" si="40"/>
        <v>728018.93000000122</v>
      </c>
      <c r="V391">
        <f t="shared" si="41"/>
        <v>2.0761141334607851</v>
      </c>
    </row>
    <row r="392" spans="1:22" x14ac:dyDescent="0.35">
      <c r="A392" t="s">
        <v>854</v>
      </c>
      <c r="B392" s="1">
        <v>45482</v>
      </c>
      <c r="C392" t="s">
        <v>855</v>
      </c>
      <c r="D392" t="s">
        <v>37</v>
      </c>
      <c r="E392" t="s">
        <v>20</v>
      </c>
      <c r="F392" t="s">
        <v>39</v>
      </c>
      <c r="G392" t="s">
        <v>60</v>
      </c>
      <c r="H392" t="s">
        <v>61</v>
      </c>
      <c r="I392">
        <v>3</v>
      </c>
      <c r="J392">
        <v>165.18</v>
      </c>
      <c r="K392">
        <v>0</v>
      </c>
      <c r="L392">
        <v>495.54</v>
      </c>
      <c r="M392">
        <v>380.03</v>
      </c>
      <c r="N392">
        <v>115.51</v>
      </c>
      <c r="O392" t="s">
        <v>33</v>
      </c>
      <c r="P392">
        <v>2</v>
      </c>
      <c r="Q392" t="str">
        <f t="shared" si="36"/>
        <v>July</v>
      </c>
      <c r="R392" t="str">
        <f t="shared" si="37"/>
        <v>Q3</v>
      </c>
      <c r="S392">
        <f t="shared" si="38"/>
        <v>2024</v>
      </c>
      <c r="T392">
        <f t="shared" si="39"/>
        <v>2238981.4600000018</v>
      </c>
      <c r="U392">
        <f t="shared" si="40"/>
        <v>727779.39000000129</v>
      </c>
      <c r="V392">
        <f t="shared" si="41"/>
        <v>2.0764562596365881</v>
      </c>
    </row>
    <row r="393" spans="1:22" x14ac:dyDescent="0.35">
      <c r="A393" t="s">
        <v>856</v>
      </c>
      <c r="B393" s="1">
        <v>45599</v>
      </c>
      <c r="C393" t="s">
        <v>857</v>
      </c>
      <c r="D393" t="s">
        <v>19</v>
      </c>
      <c r="E393" t="s">
        <v>38</v>
      </c>
      <c r="F393" t="s">
        <v>21</v>
      </c>
      <c r="G393" t="s">
        <v>22</v>
      </c>
      <c r="H393" t="s">
        <v>23</v>
      </c>
      <c r="I393">
        <v>4</v>
      </c>
      <c r="J393">
        <v>669.57</v>
      </c>
      <c r="K393">
        <v>0.1</v>
      </c>
      <c r="L393">
        <v>2410.4499999999998</v>
      </c>
      <c r="M393">
        <v>1718.34</v>
      </c>
      <c r="N393">
        <v>692.11</v>
      </c>
      <c r="O393" t="s">
        <v>33</v>
      </c>
      <c r="P393">
        <v>5</v>
      </c>
      <c r="Q393" t="str">
        <f t="shared" si="36"/>
        <v>November</v>
      </c>
      <c r="R393" t="str">
        <f t="shared" si="37"/>
        <v>Q4</v>
      </c>
      <c r="S393">
        <f t="shared" si="38"/>
        <v>2024</v>
      </c>
      <c r="T393">
        <f t="shared" si="39"/>
        <v>2238485.9200000018</v>
      </c>
      <c r="U393">
        <f t="shared" si="40"/>
        <v>727663.88000000117</v>
      </c>
      <c r="V393">
        <f t="shared" si="41"/>
        <v>2.076263617757141</v>
      </c>
    </row>
    <row r="394" spans="1:22" x14ac:dyDescent="0.35">
      <c r="A394" t="s">
        <v>858</v>
      </c>
      <c r="B394" s="1">
        <v>45644</v>
      </c>
      <c r="C394" t="s">
        <v>859</v>
      </c>
      <c r="D394" t="s">
        <v>19</v>
      </c>
      <c r="E394" t="s">
        <v>30</v>
      </c>
      <c r="F394" t="s">
        <v>21</v>
      </c>
      <c r="G394" t="s">
        <v>43</v>
      </c>
      <c r="H394" t="s">
        <v>44</v>
      </c>
      <c r="I394">
        <v>2</v>
      </c>
      <c r="J394">
        <v>1023.07</v>
      </c>
      <c r="K394">
        <v>0.15</v>
      </c>
      <c r="L394">
        <v>1739.22</v>
      </c>
      <c r="M394">
        <v>1389.49</v>
      </c>
      <c r="N394">
        <v>349.73</v>
      </c>
      <c r="O394" t="s">
        <v>33</v>
      </c>
      <c r="P394">
        <v>1</v>
      </c>
      <c r="Q394" t="str">
        <f t="shared" si="36"/>
        <v>December</v>
      </c>
      <c r="R394" t="str">
        <f t="shared" si="37"/>
        <v>Q4</v>
      </c>
      <c r="S394">
        <f t="shared" si="38"/>
        <v>2024</v>
      </c>
      <c r="T394">
        <f t="shared" si="39"/>
        <v>2236075.4700000016</v>
      </c>
      <c r="U394">
        <f t="shared" si="40"/>
        <v>726971.77000000118</v>
      </c>
      <c r="V394">
        <f t="shared" si="41"/>
        <v>2.0758766189779254</v>
      </c>
    </row>
    <row r="395" spans="1:22" x14ac:dyDescent="0.35">
      <c r="A395" t="s">
        <v>860</v>
      </c>
      <c r="B395" s="1">
        <v>45631</v>
      </c>
      <c r="C395" t="s">
        <v>861</v>
      </c>
      <c r="D395" t="s">
        <v>37</v>
      </c>
      <c r="E395" t="s">
        <v>30</v>
      </c>
      <c r="F395" t="s">
        <v>21</v>
      </c>
      <c r="G395" t="s">
        <v>22</v>
      </c>
      <c r="H395" t="s">
        <v>32</v>
      </c>
      <c r="I395">
        <v>5</v>
      </c>
      <c r="J395">
        <v>31.16</v>
      </c>
      <c r="K395">
        <v>0.1</v>
      </c>
      <c r="L395">
        <v>140.22</v>
      </c>
      <c r="M395">
        <v>105.73</v>
      </c>
      <c r="N395">
        <v>34.49</v>
      </c>
      <c r="O395" t="s">
        <v>33</v>
      </c>
      <c r="P395">
        <v>4</v>
      </c>
      <c r="Q395" t="str">
        <f t="shared" si="36"/>
        <v>December</v>
      </c>
      <c r="R395" t="str">
        <f t="shared" si="37"/>
        <v>Q4</v>
      </c>
      <c r="S395">
        <f t="shared" si="38"/>
        <v>2024</v>
      </c>
      <c r="T395">
        <f t="shared" si="39"/>
        <v>2234336.2500000014</v>
      </c>
      <c r="U395">
        <f t="shared" si="40"/>
        <v>726622.0400000012</v>
      </c>
      <c r="V395">
        <f t="shared" si="41"/>
        <v>2.0749634982170342</v>
      </c>
    </row>
    <row r="396" spans="1:22" x14ac:dyDescent="0.35">
      <c r="A396" t="s">
        <v>862</v>
      </c>
      <c r="B396" s="1">
        <v>45312</v>
      </c>
      <c r="C396" t="s">
        <v>863</v>
      </c>
      <c r="D396" t="s">
        <v>66</v>
      </c>
      <c r="E396" t="s">
        <v>20</v>
      </c>
      <c r="F396" t="s">
        <v>21</v>
      </c>
      <c r="G396" t="s">
        <v>22</v>
      </c>
      <c r="H396" t="s">
        <v>23</v>
      </c>
      <c r="I396">
        <v>1</v>
      </c>
      <c r="J396">
        <v>370.51</v>
      </c>
      <c r="K396">
        <v>0.1</v>
      </c>
      <c r="L396">
        <v>333.46</v>
      </c>
      <c r="M396">
        <v>226.06</v>
      </c>
      <c r="N396">
        <v>107.4</v>
      </c>
      <c r="O396" t="s">
        <v>33</v>
      </c>
      <c r="P396">
        <v>3</v>
      </c>
      <c r="Q396" t="str">
        <f t="shared" si="36"/>
        <v>January</v>
      </c>
      <c r="R396" t="str">
        <f t="shared" si="37"/>
        <v>Q1</v>
      </c>
      <c r="S396">
        <f t="shared" si="38"/>
        <v>2024</v>
      </c>
      <c r="T396">
        <f t="shared" si="39"/>
        <v>2234196.0300000012</v>
      </c>
      <c r="U396">
        <f t="shared" si="40"/>
        <v>726587.55000000121</v>
      </c>
      <c r="V396">
        <f t="shared" si="41"/>
        <v>2.0749164777183391</v>
      </c>
    </row>
    <row r="397" spans="1:22" x14ac:dyDescent="0.35">
      <c r="A397" t="s">
        <v>864</v>
      </c>
      <c r="B397" s="1">
        <v>45649</v>
      </c>
      <c r="C397" t="s">
        <v>865</v>
      </c>
      <c r="D397" t="s">
        <v>49</v>
      </c>
      <c r="E397" t="s">
        <v>30</v>
      </c>
      <c r="F397" t="s">
        <v>31</v>
      </c>
      <c r="G397" t="s">
        <v>79</v>
      </c>
      <c r="H397" t="s">
        <v>80</v>
      </c>
      <c r="I397">
        <v>11</v>
      </c>
      <c r="J397">
        <v>952.69</v>
      </c>
      <c r="K397">
        <v>0.15</v>
      </c>
      <c r="L397">
        <v>8907.65</v>
      </c>
      <c r="M397">
        <v>6388.62</v>
      </c>
      <c r="N397">
        <v>2519.0300000000002</v>
      </c>
      <c r="O397" t="s">
        <v>33</v>
      </c>
      <c r="P397">
        <v>4</v>
      </c>
      <c r="Q397" t="str">
        <f t="shared" si="36"/>
        <v>December</v>
      </c>
      <c r="R397" t="str">
        <f t="shared" si="37"/>
        <v>Q4</v>
      </c>
      <c r="S397">
        <f t="shared" si="38"/>
        <v>2024</v>
      </c>
      <c r="T397">
        <f t="shared" si="39"/>
        <v>2233862.5700000012</v>
      </c>
      <c r="U397">
        <f t="shared" si="40"/>
        <v>726480.15000000119</v>
      </c>
      <c r="V397">
        <f t="shared" si="41"/>
        <v>2.0749120536879051</v>
      </c>
    </row>
    <row r="398" spans="1:22" x14ac:dyDescent="0.35">
      <c r="A398" t="s">
        <v>866</v>
      </c>
      <c r="B398" s="1">
        <v>45307</v>
      </c>
      <c r="C398" t="s">
        <v>867</v>
      </c>
      <c r="D398" t="s">
        <v>66</v>
      </c>
      <c r="E398" t="s">
        <v>98</v>
      </c>
      <c r="F398" t="s">
        <v>31</v>
      </c>
      <c r="G398" t="s">
        <v>79</v>
      </c>
      <c r="H398" t="s">
        <v>103</v>
      </c>
      <c r="I398">
        <v>6</v>
      </c>
      <c r="J398">
        <v>134.38</v>
      </c>
      <c r="K398">
        <v>0</v>
      </c>
      <c r="L398">
        <v>806.28</v>
      </c>
      <c r="M398">
        <v>541.32000000000005</v>
      </c>
      <c r="N398">
        <v>264.95999999999998</v>
      </c>
      <c r="O398" t="s">
        <v>51</v>
      </c>
      <c r="P398">
        <v>3</v>
      </c>
      <c r="Q398" t="str">
        <f t="shared" si="36"/>
        <v>January</v>
      </c>
      <c r="R398" t="str">
        <f t="shared" si="37"/>
        <v>Q1</v>
      </c>
      <c r="S398">
        <f t="shared" si="38"/>
        <v>2024</v>
      </c>
      <c r="T398">
        <f t="shared" si="39"/>
        <v>2224954.9200000013</v>
      </c>
      <c r="U398">
        <f t="shared" si="40"/>
        <v>723961.12000000116</v>
      </c>
      <c r="V398">
        <f t="shared" si="41"/>
        <v>2.0733071963864549</v>
      </c>
    </row>
    <row r="399" spans="1:22" x14ac:dyDescent="0.35">
      <c r="A399" t="s">
        <v>868</v>
      </c>
      <c r="B399" s="1">
        <v>45506</v>
      </c>
      <c r="C399" t="s">
        <v>869</v>
      </c>
      <c r="D399" t="s">
        <v>66</v>
      </c>
      <c r="E399" t="s">
        <v>85</v>
      </c>
      <c r="F399" t="s">
        <v>21</v>
      </c>
      <c r="G399" t="s">
        <v>60</v>
      </c>
      <c r="H399" t="s">
        <v>110</v>
      </c>
      <c r="I399">
        <v>10</v>
      </c>
      <c r="J399">
        <v>1032.3900000000001</v>
      </c>
      <c r="K399">
        <v>0.1</v>
      </c>
      <c r="L399">
        <v>9291.51</v>
      </c>
      <c r="M399">
        <v>7607.4</v>
      </c>
      <c r="N399">
        <v>1684.11</v>
      </c>
      <c r="O399" t="s">
        <v>24</v>
      </c>
      <c r="P399">
        <v>1</v>
      </c>
      <c r="Q399" t="str">
        <f t="shared" si="36"/>
        <v>August</v>
      </c>
      <c r="R399" t="str">
        <f t="shared" si="37"/>
        <v>Q3</v>
      </c>
      <c r="S399">
        <f t="shared" si="38"/>
        <v>2024</v>
      </c>
      <c r="T399">
        <f t="shared" si="39"/>
        <v>2224148.6400000015</v>
      </c>
      <c r="U399">
        <f t="shared" si="40"/>
        <v>723696.1600000012</v>
      </c>
      <c r="V399">
        <f t="shared" si="41"/>
        <v>2.073318283186687</v>
      </c>
    </row>
    <row r="400" spans="1:22" x14ac:dyDescent="0.35">
      <c r="A400" t="s">
        <v>870</v>
      </c>
      <c r="B400" s="1">
        <v>45465</v>
      </c>
      <c r="C400" t="s">
        <v>871</v>
      </c>
      <c r="D400" t="s">
        <v>66</v>
      </c>
      <c r="E400" t="s">
        <v>38</v>
      </c>
      <c r="F400" t="s">
        <v>21</v>
      </c>
      <c r="G400" t="s">
        <v>43</v>
      </c>
      <c r="H400" t="s">
        <v>50</v>
      </c>
      <c r="I400">
        <v>3</v>
      </c>
      <c r="J400">
        <v>226.34</v>
      </c>
      <c r="K400">
        <v>0</v>
      </c>
      <c r="L400">
        <v>679.02</v>
      </c>
      <c r="M400">
        <v>394.14</v>
      </c>
      <c r="N400">
        <v>284.88</v>
      </c>
      <c r="O400" t="s">
        <v>62</v>
      </c>
      <c r="P400">
        <v>1</v>
      </c>
      <c r="Q400" t="str">
        <f t="shared" si="36"/>
        <v>June</v>
      </c>
      <c r="R400" t="str">
        <f t="shared" si="37"/>
        <v>Q2</v>
      </c>
      <c r="S400">
        <f t="shared" si="38"/>
        <v>2024</v>
      </c>
      <c r="T400">
        <f t="shared" si="39"/>
        <v>2214857.1300000018</v>
      </c>
      <c r="U400">
        <f t="shared" si="40"/>
        <v>722012.05000000121</v>
      </c>
      <c r="V400">
        <f t="shared" si="41"/>
        <v>2.067617957345723</v>
      </c>
    </row>
    <row r="401" spans="1:22" x14ac:dyDescent="0.35">
      <c r="A401" t="s">
        <v>872</v>
      </c>
      <c r="B401" s="1">
        <v>45431</v>
      </c>
      <c r="C401" t="s">
        <v>873</v>
      </c>
      <c r="D401" t="s">
        <v>37</v>
      </c>
      <c r="E401" t="s">
        <v>38</v>
      </c>
      <c r="F401" t="s">
        <v>39</v>
      </c>
      <c r="G401" t="s">
        <v>79</v>
      </c>
      <c r="H401" t="s">
        <v>89</v>
      </c>
      <c r="I401">
        <v>1</v>
      </c>
      <c r="J401">
        <v>46.43</v>
      </c>
      <c r="K401">
        <v>0.05</v>
      </c>
      <c r="L401">
        <v>44.11</v>
      </c>
      <c r="M401">
        <v>23.92</v>
      </c>
      <c r="N401">
        <v>20.190000000000001</v>
      </c>
      <c r="O401" t="s">
        <v>24</v>
      </c>
      <c r="P401">
        <v>1</v>
      </c>
      <c r="Q401" t="str">
        <f t="shared" si="36"/>
        <v>May</v>
      </c>
      <c r="R401" t="str">
        <f t="shared" si="37"/>
        <v>Q2</v>
      </c>
      <c r="S401">
        <f t="shared" si="38"/>
        <v>2024</v>
      </c>
      <c r="T401">
        <f t="shared" si="39"/>
        <v>2214178.1100000017</v>
      </c>
      <c r="U401">
        <f t="shared" si="40"/>
        <v>721727.17000000121</v>
      </c>
      <c r="V401">
        <f t="shared" si="41"/>
        <v>2.0678879804400294</v>
      </c>
    </row>
    <row r="402" spans="1:22" x14ac:dyDescent="0.35">
      <c r="A402" t="s">
        <v>874</v>
      </c>
      <c r="B402" s="1">
        <v>45491</v>
      </c>
      <c r="C402" t="s">
        <v>875</v>
      </c>
      <c r="D402" t="s">
        <v>37</v>
      </c>
      <c r="E402" t="s">
        <v>85</v>
      </c>
      <c r="F402" t="s">
        <v>31</v>
      </c>
      <c r="G402" t="s">
        <v>79</v>
      </c>
      <c r="H402" t="s">
        <v>80</v>
      </c>
      <c r="I402">
        <v>3</v>
      </c>
      <c r="J402">
        <v>839.53</v>
      </c>
      <c r="K402">
        <v>0.05</v>
      </c>
      <c r="L402">
        <v>2392.66</v>
      </c>
      <c r="M402">
        <v>1781.11</v>
      </c>
      <c r="N402">
        <v>611.54999999999995</v>
      </c>
      <c r="O402" t="s">
        <v>62</v>
      </c>
      <c r="P402">
        <v>1</v>
      </c>
      <c r="Q402" t="str">
        <f t="shared" si="36"/>
        <v>July</v>
      </c>
      <c r="R402" t="str">
        <f t="shared" si="37"/>
        <v>Q3</v>
      </c>
      <c r="S402">
        <f t="shared" si="38"/>
        <v>2024</v>
      </c>
      <c r="T402">
        <f t="shared" si="39"/>
        <v>2214134.0000000019</v>
      </c>
      <c r="U402">
        <f t="shared" si="40"/>
        <v>721706.98000000115</v>
      </c>
      <c r="V402">
        <f t="shared" si="41"/>
        <v>2.0679126866695934</v>
      </c>
    </row>
    <row r="403" spans="1:22" x14ac:dyDescent="0.35">
      <c r="A403" t="s">
        <v>876</v>
      </c>
      <c r="B403" s="1">
        <v>45543</v>
      </c>
      <c r="C403" t="s">
        <v>877</v>
      </c>
      <c r="D403" t="s">
        <v>37</v>
      </c>
      <c r="E403" t="s">
        <v>38</v>
      </c>
      <c r="F403" t="s">
        <v>21</v>
      </c>
      <c r="G403" t="s">
        <v>43</v>
      </c>
      <c r="H403" t="s">
        <v>173</v>
      </c>
      <c r="I403">
        <v>7</v>
      </c>
      <c r="J403">
        <v>435.94</v>
      </c>
      <c r="K403">
        <v>0</v>
      </c>
      <c r="L403">
        <v>3051.58</v>
      </c>
      <c r="M403">
        <v>1895.05</v>
      </c>
      <c r="N403">
        <v>1156.53</v>
      </c>
      <c r="O403" t="s">
        <v>24</v>
      </c>
      <c r="P403">
        <v>1</v>
      </c>
      <c r="Q403" t="str">
        <f t="shared" si="36"/>
        <v>September</v>
      </c>
      <c r="R403" t="str">
        <f t="shared" si="37"/>
        <v>Q3</v>
      </c>
      <c r="S403">
        <f t="shared" si="38"/>
        <v>2024</v>
      </c>
      <c r="T403">
        <f t="shared" si="39"/>
        <v>2211741.3400000017</v>
      </c>
      <c r="U403">
        <f t="shared" si="40"/>
        <v>721095.43000000122</v>
      </c>
      <c r="V403">
        <f t="shared" si="41"/>
        <v>2.067196445829643</v>
      </c>
    </row>
    <row r="404" spans="1:22" x14ac:dyDescent="0.35">
      <c r="A404" t="s">
        <v>878</v>
      </c>
      <c r="B404" s="1">
        <v>45652</v>
      </c>
      <c r="C404" t="s">
        <v>879</v>
      </c>
      <c r="D404" t="s">
        <v>37</v>
      </c>
      <c r="E404" t="s">
        <v>20</v>
      </c>
      <c r="F404" t="s">
        <v>39</v>
      </c>
      <c r="G404" t="s">
        <v>43</v>
      </c>
      <c r="H404" t="s">
        <v>44</v>
      </c>
      <c r="I404">
        <v>8</v>
      </c>
      <c r="J404">
        <v>1110.76</v>
      </c>
      <c r="K404">
        <v>0.1</v>
      </c>
      <c r="L404">
        <v>7997.47</v>
      </c>
      <c r="M404">
        <v>5371.8</v>
      </c>
      <c r="N404">
        <v>2625.67</v>
      </c>
      <c r="O404" t="s">
        <v>62</v>
      </c>
      <c r="P404">
        <v>1</v>
      </c>
      <c r="Q404" t="str">
        <f t="shared" si="36"/>
        <v>December</v>
      </c>
      <c r="R404" t="str">
        <f t="shared" si="37"/>
        <v>Q4</v>
      </c>
      <c r="S404">
        <f t="shared" si="38"/>
        <v>2024</v>
      </c>
      <c r="T404">
        <f t="shared" si="39"/>
        <v>2208689.7600000016</v>
      </c>
      <c r="U404">
        <f t="shared" si="40"/>
        <v>719938.90000000119</v>
      </c>
      <c r="V404">
        <f t="shared" si="41"/>
        <v>2.0678850107974411</v>
      </c>
    </row>
    <row r="405" spans="1:22" x14ac:dyDescent="0.35">
      <c r="A405" t="s">
        <v>880</v>
      </c>
      <c r="B405" s="1">
        <v>45357</v>
      </c>
      <c r="C405" t="s">
        <v>881</v>
      </c>
      <c r="D405" t="s">
        <v>29</v>
      </c>
      <c r="E405" t="s">
        <v>38</v>
      </c>
      <c r="F405" t="s">
        <v>31</v>
      </c>
      <c r="G405" t="s">
        <v>60</v>
      </c>
      <c r="H405" t="s">
        <v>61</v>
      </c>
      <c r="I405">
        <v>7</v>
      </c>
      <c r="J405">
        <v>975.82</v>
      </c>
      <c r="K405">
        <v>0</v>
      </c>
      <c r="L405">
        <v>6830.74</v>
      </c>
      <c r="M405">
        <v>5429.42</v>
      </c>
      <c r="N405">
        <v>1401.32</v>
      </c>
      <c r="O405" t="s">
        <v>51</v>
      </c>
      <c r="P405">
        <v>2</v>
      </c>
      <c r="Q405" t="str">
        <f t="shared" si="36"/>
        <v>March</v>
      </c>
      <c r="R405" t="str">
        <f t="shared" si="37"/>
        <v>Q1</v>
      </c>
      <c r="S405">
        <f t="shared" si="38"/>
        <v>2024</v>
      </c>
      <c r="T405">
        <f t="shared" si="39"/>
        <v>2200692.2900000019</v>
      </c>
      <c r="U405">
        <f t="shared" si="40"/>
        <v>717313.23000000115</v>
      </c>
      <c r="V405">
        <f t="shared" si="41"/>
        <v>2.0679655664513512</v>
      </c>
    </row>
    <row r="406" spans="1:22" x14ac:dyDescent="0.35">
      <c r="A406" t="s">
        <v>882</v>
      </c>
      <c r="B406" s="1">
        <v>45578</v>
      </c>
      <c r="C406" t="s">
        <v>883</v>
      </c>
      <c r="D406" t="s">
        <v>49</v>
      </c>
      <c r="E406" t="s">
        <v>38</v>
      </c>
      <c r="F406" t="s">
        <v>21</v>
      </c>
      <c r="G406" t="s">
        <v>43</v>
      </c>
      <c r="H406" t="s">
        <v>173</v>
      </c>
      <c r="I406">
        <v>5</v>
      </c>
      <c r="J406">
        <v>1093.97</v>
      </c>
      <c r="K406">
        <v>0</v>
      </c>
      <c r="L406">
        <v>5469.85</v>
      </c>
      <c r="M406">
        <v>2831.49</v>
      </c>
      <c r="N406">
        <v>2638.36</v>
      </c>
      <c r="O406" t="s">
        <v>51</v>
      </c>
      <c r="P406">
        <v>2</v>
      </c>
      <c r="Q406" t="str">
        <f t="shared" si="36"/>
        <v>October</v>
      </c>
      <c r="R406" t="str">
        <f t="shared" si="37"/>
        <v>Q4</v>
      </c>
      <c r="S406">
        <f t="shared" si="38"/>
        <v>2024</v>
      </c>
      <c r="T406">
        <f t="shared" si="39"/>
        <v>2193861.5500000017</v>
      </c>
      <c r="U406">
        <f t="shared" si="40"/>
        <v>715911.9100000012</v>
      </c>
      <c r="V406">
        <f t="shared" si="41"/>
        <v>2.0644294631164861</v>
      </c>
    </row>
    <row r="407" spans="1:22" x14ac:dyDescent="0.35">
      <c r="A407" t="s">
        <v>884</v>
      </c>
      <c r="B407" s="1">
        <v>45577</v>
      </c>
      <c r="C407" t="s">
        <v>885</v>
      </c>
      <c r="D407" t="s">
        <v>66</v>
      </c>
      <c r="E407" t="s">
        <v>85</v>
      </c>
      <c r="F407" t="s">
        <v>31</v>
      </c>
      <c r="G407" t="s">
        <v>22</v>
      </c>
      <c r="H407" t="s">
        <v>74</v>
      </c>
      <c r="I407">
        <v>11</v>
      </c>
      <c r="J407">
        <v>65.42</v>
      </c>
      <c r="K407">
        <v>0</v>
      </c>
      <c r="L407">
        <v>719.62</v>
      </c>
      <c r="M407">
        <v>483.59</v>
      </c>
      <c r="N407">
        <v>236.03</v>
      </c>
      <c r="O407" t="s">
        <v>62</v>
      </c>
      <c r="P407">
        <v>2</v>
      </c>
      <c r="Q407" t="str">
        <f t="shared" si="36"/>
        <v>October</v>
      </c>
      <c r="R407" t="str">
        <f t="shared" si="37"/>
        <v>Q4</v>
      </c>
      <c r="S407">
        <f t="shared" si="38"/>
        <v>2024</v>
      </c>
      <c r="T407">
        <f t="shared" si="39"/>
        <v>2188391.7000000016</v>
      </c>
      <c r="U407">
        <f t="shared" si="40"/>
        <v>713273.55000000121</v>
      </c>
      <c r="V407">
        <f t="shared" si="41"/>
        <v>2.0680959640238976</v>
      </c>
    </row>
    <row r="408" spans="1:22" x14ac:dyDescent="0.35">
      <c r="A408" t="s">
        <v>886</v>
      </c>
      <c r="B408" s="1">
        <v>45529</v>
      </c>
      <c r="C408" t="s">
        <v>887</v>
      </c>
      <c r="D408" t="s">
        <v>66</v>
      </c>
      <c r="E408" t="s">
        <v>98</v>
      </c>
      <c r="F408" t="s">
        <v>31</v>
      </c>
      <c r="G408" t="s">
        <v>22</v>
      </c>
      <c r="H408" t="s">
        <v>124</v>
      </c>
      <c r="I408">
        <v>10</v>
      </c>
      <c r="J408">
        <v>640.23</v>
      </c>
      <c r="K408">
        <v>0.1</v>
      </c>
      <c r="L408">
        <v>5762.07</v>
      </c>
      <c r="M408">
        <v>2946.94</v>
      </c>
      <c r="N408">
        <v>2815.13</v>
      </c>
      <c r="O408" t="s">
        <v>33</v>
      </c>
      <c r="P408">
        <v>3</v>
      </c>
      <c r="Q408" t="str">
        <f t="shared" si="36"/>
        <v>August</v>
      </c>
      <c r="R408" t="str">
        <f t="shared" si="37"/>
        <v>Q3</v>
      </c>
      <c r="S408">
        <f t="shared" si="38"/>
        <v>2024</v>
      </c>
      <c r="T408">
        <f t="shared" si="39"/>
        <v>2187672.0800000015</v>
      </c>
      <c r="U408">
        <f t="shared" si="40"/>
        <v>713037.52000000118</v>
      </c>
      <c r="V408">
        <f t="shared" si="41"/>
        <v>2.0681023349234104</v>
      </c>
    </row>
    <row r="409" spans="1:22" x14ac:dyDescent="0.35">
      <c r="A409" t="s">
        <v>888</v>
      </c>
      <c r="B409" s="1">
        <v>45363</v>
      </c>
      <c r="C409" t="s">
        <v>889</v>
      </c>
      <c r="D409" t="s">
        <v>66</v>
      </c>
      <c r="E409" t="s">
        <v>85</v>
      </c>
      <c r="F409" t="s">
        <v>21</v>
      </c>
      <c r="G409" t="s">
        <v>79</v>
      </c>
      <c r="H409" t="s">
        <v>103</v>
      </c>
      <c r="I409">
        <v>12</v>
      </c>
      <c r="J409">
        <v>1157.8800000000001</v>
      </c>
      <c r="K409">
        <v>0.1</v>
      </c>
      <c r="L409">
        <v>12505.1</v>
      </c>
      <c r="M409">
        <v>8772.99</v>
      </c>
      <c r="N409">
        <v>3732.11</v>
      </c>
      <c r="O409" t="s">
        <v>51</v>
      </c>
      <c r="P409">
        <v>2</v>
      </c>
      <c r="Q409" t="str">
        <f t="shared" si="36"/>
        <v>March</v>
      </c>
      <c r="R409" t="str">
        <f t="shared" si="37"/>
        <v>Q1</v>
      </c>
      <c r="S409">
        <f t="shared" si="38"/>
        <v>2024</v>
      </c>
      <c r="T409">
        <f t="shared" si="39"/>
        <v>2181910.0100000012</v>
      </c>
      <c r="U409">
        <f t="shared" si="40"/>
        <v>710222.39000000118</v>
      </c>
      <c r="V409">
        <f t="shared" si="41"/>
        <v>2.0721504147454399</v>
      </c>
    </row>
    <row r="410" spans="1:22" x14ac:dyDescent="0.35">
      <c r="A410" t="s">
        <v>890</v>
      </c>
      <c r="B410" s="1">
        <v>45550</v>
      </c>
      <c r="C410" t="s">
        <v>891</v>
      </c>
      <c r="D410" t="s">
        <v>66</v>
      </c>
      <c r="E410" t="s">
        <v>20</v>
      </c>
      <c r="F410" t="s">
        <v>21</v>
      </c>
      <c r="G410" t="s">
        <v>79</v>
      </c>
      <c r="H410" t="s">
        <v>103</v>
      </c>
      <c r="I410">
        <v>7</v>
      </c>
      <c r="J410">
        <v>364.07</v>
      </c>
      <c r="K410">
        <v>0.15</v>
      </c>
      <c r="L410">
        <v>2166.2199999999998</v>
      </c>
      <c r="M410">
        <v>1172.51</v>
      </c>
      <c r="N410">
        <v>993.71</v>
      </c>
      <c r="O410" t="s">
        <v>51</v>
      </c>
      <c r="P410">
        <v>5</v>
      </c>
      <c r="Q410" t="str">
        <f t="shared" si="36"/>
        <v>September</v>
      </c>
      <c r="R410" t="str">
        <f t="shared" si="37"/>
        <v>Q3</v>
      </c>
      <c r="S410">
        <f t="shared" si="38"/>
        <v>2024</v>
      </c>
      <c r="T410">
        <f t="shared" si="39"/>
        <v>2169404.9100000015</v>
      </c>
      <c r="U410">
        <f t="shared" si="40"/>
        <v>706490.28000000108</v>
      </c>
      <c r="V410">
        <f t="shared" si="41"/>
        <v>2.0706790615717998</v>
      </c>
    </row>
    <row r="411" spans="1:22" x14ac:dyDescent="0.35">
      <c r="A411" t="s">
        <v>892</v>
      </c>
      <c r="B411" s="1">
        <v>45377</v>
      </c>
      <c r="C411" t="s">
        <v>893</v>
      </c>
      <c r="D411" t="s">
        <v>66</v>
      </c>
      <c r="E411" t="s">
        <v>30</v>
      </c>
      <c r="F411" t="s">
        <v>21</v>
      </c>
      <c r="G411" t="s">
        <v>43</v>
      </c>
      <c r="H411" t="s">
        <v>44</v>
      </c>
      <c r="I411">
        <v>8</v>
      </c>
      <c r="J411">
        <v>605.54</v>
      </c>
      <c r="K411">
        <v>0.05</v>
      </c>
      <c r="L411">
        <v>4602.1000000000004</v>
      </c>
      <c r="M411">
        <v>3245.8</v>
      </c>
      <c r="N411">
        <v>1356.3</v>
      </c>
      <c r="O411" t="s">
        <v>24</v>
      </c>
      <c r="P411">
        <v>1</v>
      </c>
      <c r="Q411" t="str">
        <f t="shared" si="36"/>
        <v>March</v>
      </c>
      <c r="R411" t="str">
        <f t="shared" si="37"/>
        <v>Q1</v>
      </c>
      <c r="S411">
        <f t="shared" si="38"/>
        <v>2024</v>
      </c>
      <c r="T411">
        <f t="shared" si="39"/>
        <v>2167238.6900000018</v>
      </c>
      <c r="U411">
        <f t="shared" si="40"/>
        <v>705496.57000000111</v>
      </c>
      <c r="V411">
        <f t="shared" si="41"/>
        <v>2.0719337019597392</v>
      </c>
    </row>
    <row r="412" spans="1:22" x14ac:dyDescent="0.35">
      <c r="A412" t="s">
        <v>894</v>
      </c>
      <c r="B412" s="1">
        <v>45442</v>
      </c>
      <c r="C412" t="s">
        <v>895</v>
      </c>
      <c r="D412" t="s">
        <v>49</v>
      </c>
      <c r="E412" t="s">
        <v>20</v>
      </c>
      <c r="F412" t="s">
        <v>31</v>
      </c>
      <c r="G412" t="s">
        <v>43</v>
      </c>
      <c r="H412" t="s">
        <v>50</v>
      </c>
      <c r="I412">
        <v>6</v>
      </c>
      <c r="J412">
        <v>1158.9100000000001</v>
      </c>
      <c r="K412">
        <v>0.1</v>
      </c>
      <c r="L412">
        <v>6258.11</v>
      </c>
      <c r="M412">
        <v>5263.98</v>
      </c>
      <c r="N412">
        <v>994.13</v>
      </c>
      <c r="O412" t="s">
        <v>33</v>
      </c>
      <c r="P412">
        <v>1</v>
      </c>
      <c r="Q412" t="str">
        <f t="shared" si="36"/>
        <v>May</v>
      </c>
      <c r="R412" t="str">
        <f t="shared" si="37"/>
        <v>Q2</v>
      </c>
      <c r="S412">
        <f t="shared" si="38"/>
        <v>2024</v>
      </c>
      <c r="T412">
        <f t="shared" si="39"/>
        <v>2162636.5900000012</v>
      </c>
      <c r="U412">
        <f t="shared" si="40"/>
        <v>704140.27000000118</v>
      </c>
      <c r="V412">
        <f t="shared" si="41"/>
        <v>2.0713150236386815</v>
      </c>
    </row>
    <row r="413" spans="1:22" x14ac:dyDescent="0.35">
      <c r="A413" t="s">
        <v>896</v>
      </c>
      <c r="B413" s="1">
        <v>45438</v>
      </c>
      <c r="C413" t="s">
        <v>897</v>
      </c>
      <c r="D413" t="s">
        <v>29</v>
      </c>
      <c r="E413" t="s">
        <v>38</v>
      </c>
      <c r="F413" t="s">
        <v>39</v>
      </c>
      <c r="G413" t="s">
        <v>22</v>
      </c>
      <c r="H413" t="s">
        <v>74</v>
      </c>
      <c r="I413">
        <v>10</v>
      </c>
      <c r="J413">
        <v>250.46</v>
      </c>
      <c r="K413">
        <v>0.15</v>
      </c>
      <c r="L413">
        <v>2128.91</v>
      </c>
      <c r="M413">
        <v>1166.1099999999999</v>
      </c>
      <c r="N413">
        <v>962.8</v>
      </c>
      <c r="O413" t="s">
        <v>62</v>
      </c>
      <c r="P413">
        <v>2</v>
      </c>
      <c r="Q413" t="str">
        <f t="shared" si="36"/>
        <v>May</v>
      </c>
      <c r="R413" t="str">
        <f t="shared" si="37"/>
        <v>Q2</v>
      </c>
      <c r="S413">
        <f t="shared" si="38"/>
        <v>2024</v>
      </c>
      <c r="T413">
        <f t="shared" si="39"/>
        <v>2156378.4800000018</v>
      </c>
      <c r="U413">
        <f t="shared" si="40"/>
        <v>703146.14000000106</v>
      </c>
      <c r="V413">
        <f t="shared" si="41"/>
        <v>2.0667571893376229</v>
      </c>
    </row>
    <row r="414" spans="1:22" x14ac:dyDescent="0.35">
      <c r="A414" t="s">
        <v>898</v>
      </c>
      <c r="B414" s="1">
        <v>45376</v>
      </c>
      <c r="C414" t="s">
        <v>899</v>
      </c>
      <c r="D414" t="s">
        <v>29</v>
      </c>
      <c r="E414" t="s">
        <v>98</v>
      </c>
      <c r="F414" t="s">
        <v>39</v>
      </c>
      <c r="G414" t="s">
        <v>60</v>
      </c>
      <c r="H414" t="s">
        <v>61</v>
      </c>
      <c r="I414">
        <v>7</v>
      </c>
      <c r="J414">
        <v>315.85000000000002</v>
      </c>
      <c r="K414">
        <v>0.1</v>
      </c>
      <c r="L414">
        <v>1989.86</v>
      </c>
      <c r="M414">
        <v>1642.33</v>
      </c>
      <c r="N414">
        <v>347.53</v>
      </c>
      <c r="O414" t="s">
        <v>24</v>
      </c>
      <c r="P414">
        <v>5</v>
      </c>
      <c r="Q414" t="str">
        <f t="shared" si="36"/>
        <v>March</v>
      </c>
      <c r="R414" t="str">
        <f t="shared" si="37"/>
        <v>Q1</v>
      </c>
      <c r="S414">
        <f t="shared" si="38"/>
        <v>2024</v>
      </c>
      <c r="T414">
        <f t="shared" si="39"/>
        <v>2154249.5700000017</v>
      </c>
      <c r="U414">
        <f t="shared" si="40"/>
        <v>702183.34000000113</v>
      </c>
      <c r="V414">
        <f t="shared" si="41"/>
        <v>2.0679303356869703</v>
      </c>
    </row>
    <row r="415" spans="1:22" x14ac:dyDescent="0.35">
      <c r="A415" t="s">
        <v>900</v>
      </c>
      <c r="B415" s="1">
        <v>45337</v>
      </c>
      <c r="C415" t="s">
        <v>901</v>
      </c>
      <c r="D415" t="s">
        <v>49</v>
      </c>
      <c r="E415" t="s">
        <v>98</v>
      </c>
      <c r="F415" t="s">
        <v>21</v>
      </c>
      <c r="G415" t="s">
        <v>22</v>
      </c>
      <c r="H415" t="s">
        <v>124</v>
      </c>
      <c r="I415">
        <v>12</v>
      </c>
      <c r="J415">
        <v>933.37</v>
      </c>
      <c r="K415">
        <v>0.05</v>
      </c>
      <c r="L415">
        <v>10640.42</v>
      </c>
      <c r="M415">
        <v>7172.83</v>
      </c>
      <c r="N415">
        <v>3467.59</v>
      </c>
      <c r="O415" t="s">
        <v>24</v>
      </c>
      <c r="P415">
        <v>1</v>
      </c>
      <c r="Q415" t="str">
        <f t="shared" si="36"/>
        <v>February</v>
      </c>
      <c r="R415" t="str">
        <f t="shared" si="37"/>
        <v>Q1</v>
      </c>
      <c r="S415">
        <f t="shared" si="38"/>
        <v>2024</v>
      </c>
      <c r="T415">
        <f t="shared" si="39"/>
        <v>2152259.7100000018</v>
      </c>
      <c r="U415">
        <f t="shared" si="40"/>
        <v>701835.8100000011</v>
      </c>
      <c r="V415">
        <f t="shared" si="41"/>
        <v>2.0666142697962342</v>
      </c>
    </row>
    <row r="416" spans="1:22" x14ac:dyDescent="0.35">
      <c r="A416" t="s">
        <v>902</v>
      </c>
      <c r="B416" s="1">
        <v>45546</v>
      </c>
      <c r="C416" t="s">
        <v>903</v>
      </c>
      <c r="D416" t="s">
        <v>37</v>
      </c>
      <c r="E416" t="s">
        <v>20</v>
      </c>
      <c r="F416" t="s">
        <v>21</v>
      </c>
      <c r="G416" t="s">
        <v>43</v>
      </c>
      <c r="H416" t="s">
        <v>173</v>
      </c>
      <c r="I416">
        <v>6</v>
      </c>
      <c r="J416">
        <v>840.76</v>
      </c>
      <c r="K416">
        <v>0</v>
      </c>
      <c r="L416">
        <v>5044.5600000000004</v>
      </c>
      <c r="M416">
        <v>2972.28</v>
      </c>
      <c r="N416">
        <v>2072.2800000000002</v>
      </c>
      <c r="O416" t="s">
        <v>24</v>
      </c>
      <c r="P416">
        <v>5</v>
      </c>
      <c r="Q416" t="str">
        <f t="shared" si="36"/>
        <v>September</v>
      </c>
      <c r="R416" t="str">
        <f t="shared" si="37"/>
        <v>Q3</v>
      </c>
      <c r="S416">
        <f t="shared" si="38"/>
        <v>2024</v>
      </c>
      <c r="T416">
        <f t="shared" si="39"/>
        <v>2141619.2900000014</v>
      </c>
      <c r="U416">
        <f t="shared" si="40"/>
        <v>698368.22000000102</v>
      </c>
      <c r="V416">
        <f t="shared" si="41"/>
        <v>2.0666047346770706</v>
      </c>
    </row>
    <row r="417" spans="1:22" x14ac:dyDescent="0.35">
      <c r="A417" t="s">
        <v>904</v>
      </c>
      <c r="B417" s="1">
        <v>45413</v>
      </c>
      <c r="C417" t="s">
        <v>905</v>
      </c>
      <c r="D417" t="s">
        <v>29</v>
      </c>
      <c r="E417" t="s">
        <v>38</v>
      </c>
      <c r="F417" t="s">
        <v>31</v>
      </c>
      <c r="G417" t="s">
        <v>43</v>
      </c>
      <c r="H417" t="s">
        <v>50</v>
      </c>
      <c r="I417">
        <v>10</v>
      </c>
      <c r="J417">
        <v>220.08</v>
      </c>
      <c r="K417">
        <v>0.1</v>
      </c>
      <c r="L417">
        <v>1980.72</v>
      </c>
      <c r="M417">
        <v>1133.0899999999999</v>
      </c>
      <c r="N417">
        <v>847.63</v>
      </c>
      <c r="O417" t="s">
        <v>24</v>
      </c>
      <c r="P417">
        <v>4</v>
      </c>
      <c r="Q417" t="str">
        <f t="shared" si="36"/>
        <v>May</v>
      </c>
      <c r="R417" t="str">
        <f t="shared" si="37"/>
        <v>Q2</v>
      </c>
      <c r="S417">
        <f t="shared" si="38"/>
        <v>2024</v>
      </c>
      <c r="T417">
        <f t="shared" si="39"/>
        <v>2136574.7300000014</v>
      </c>
      <c r="U417">
        <f t="shared" si="40"/>
        <v>696295.94000000111</v>
      </c>
      <c r="V417">
        <f t="shared" si="41"/>
        <v>2.0684865547255638</v>
      </c>
    </row>
    <row r="418" spans="1:22" x14ac:dyDescent="0.35">
      <c r="A418" t="s">
        <v>906</v>
      </c>
      <c r="B418" s="1">
        <v>45542</v>
      </c>
      <c r="C418" t="s">
        <v>907</v>
      </c>
      <c r="D418" t="s">
        <v>49</v>
      </c>
      <c r="E418" t="s">
        <v>85</v>
      </c>
      <c r="F418" t="s">
        <v>31</v>
      </c>
      <c r="G418" t="s">
        <v>22</v>
      </c>
      <c r="H418" t="s">
        <v>23</v>
      </c>
      <c r="I418">
        <v>2</v>
      </c>
      <c r="J418">
        <v>855.81</v>
      </c>
      <c r="K418">
        <v>0.1</v>
      </c>
      <c r="L418">
        <v>1540.46</v>
      </c>
      <c r="M418">
        <v>814.27</v>
      </c>
      <c r="N418">
        <v>726.19</v>
      </c>
      <c r="O418" t="s">
        <v>62</v>
      </c>
      <c r="P418">
        <v>1</v>
      </c>
      <c r="Q418" t="str">
        <f t="shared" si="36"/>
        <v>September</v>
      </c>
      <c r="R418" t="str">
        <f t="shared" si="37"/>
        <v>Q3</v>
      </c>
      <c r="S418">
        <f t="shared" si="38"/>
        <v>2024</v>
      </c>
      <c r="T418">
        <f t="shared" si="39"/>
        <v>2134594.0100000016</v>
      </c>
      <c r="U418">
        <f t="shared" si="40"/>
        <v>695448.3100000011</v>
      </c>
      <c r="V418">
        <f t="shared" si="41"/>
        <v>2.0693783841390001</v>
      </c>
    </row>
    <row r="419" spans="1:22" x14ac:dyDescent="0.35">
      <c r="A419" t="s">
        <v>908</v>
      </c>
      <c r="B419" s="1">
        <v>45459</v>
      </c>
      <c r="C419" t="s">
        <v>909</v>
      </c>
      <c r="D419" t="s">
        <v>19</v>
      </c>
      <c r="E419" t="s">
        <v>38</v>
      </c>
      <c r="F419" t="s">
        <v>21</v>
      </c>
      <c r="G419" t="s">
        <v>43</v>
      </c>
      <c r="H419" t="s">
        <v>50</v>
      </c>
      <c r="I419">
        <v>9</v>
      </c>
      <c r="J419">
        <v>438.58</v>
      </c>
      <c r="K419">
        <v>0.05</v>
      </c>
      <c r="L419">
        <v>3749.86</v>
      </c>
      <c r="M419">
        <v>2484.04</v>
      </c>
      <c r="N419">
        <v>1265.82</v>
      </c>
      <c r="O419" t="s">
        <v>62</v>
      </c>
      <c r="P419">
        <v>1</v>
      </c>
      <c r="Q419" t="str">
        <f t="shared" si="36"/>
        <v>June</v>
      </c>
      <c r="R419" t="str">
        <f t="shared" si="37"/>
        <v>Q2</v>
      </c>
      <c r="S419">
        <f t="shared" si="38"/>
        <v>2024</v>
      </c>
      <c r="T419">
        <f t="shared" si="39"/>
        <v>2133053.5500000012</v>
      </c>
      <c r="U419">
        <f t="shared" si="40"/>
        <v>694722.12000000104</v>
      </c>
      <c r="V419">
        <f t="shared" si="41"/>
        <v>2.0703694161918986</v>
      </c>
    </row>
    <row r="420" spans="1:22" x14ac:dyDescent="0.35">
      <c r="A420" t="s">
        <v>910</v>
      </c>
      <c r="B420" s="1">
        <v>45636</v>
      </c>
      <c r="C420" t="s">
        <v>911</v>
      </c>
      <c r="D420" t="s">
        <v>19</v>
      </c>
      <c r="E420" t="s">
        <v>85</v>
      </c>
      <c r="F420" t="s">
        <v>31</v>
      </c>
      <c r="G420" t="s">
        <v>22</v>
      </c>
      <c r="H420" t="s">
        <v>23</v>
      </c>
      <c r="I420">
        <v>2</v>
      </c>
      <c r="J420">
        <v>721.84</v>
      </c>
      <c r="K420">
        <v>0.15</v>
      </c>
      <c r="L420">
        <v>1227.1300000000001</v>
      </c>
      <c r="M420">
        <v>1029.77</v>
      </c>
      <c r="N420">
        <v>197.36</v>
      </c>
      <c r="O420" t="s">
        <v>51</v>
      </c>
      <c r="P420">
        <v>1</v>
      </c>
      <c r="Q420" t="str">
        <f t="shared" si="36"/>
        <v>December</v>
      </c>
      <c r="R420" t="str">
        <f t="shared" si="37"/>
        <v>Q4</v>
      </c>
      <c r="S420">
        <f t="shared" si="38"/>
        <v>2024</v>
      </c>
      <c r="T420">
        <f t="shared" si="39"/>
        <v>2129303.6900000013</v>
      </c>
      <c r="U420">
        <f t="shared" si="40"/>
        <v>693456.30000000098</v>
      </c>
      <c r="V420">
        <f t="shared" si="41"/>
        <v>2.0705665086610336</v>
      </c>
    </row>
    <row r="421" spans="1:22" x14ac:dyDescent="0.35">
      <c r="A421" t="s">
        <v>912</v>
      </c>
      <c r="B421" s="1">
        <v>45418</v>
      </c>
      <c r="C421" t="s">
        <v>913</v>
      </c>
      <c r="D421" t="s">
        <v>49</v>
      </c>
      <c r="E421" t="s">
        <v>85</v>
      </c>
      <c r="F421" t="s">
        <v>21</v>
      </c>
      <c r="G421" t="s">
        <v>60</v>
      </c>
      <c r="H421" t="s">
        <v>119</v>
      </c>
      <c r="I421">
        <v>2</v>
      </c>
      <c r="J421">
        <v>582.73</v>
      </c>
      <c r="K421">
        <v>0.05</v>
      </c>
      <c r="L421">
        <v>1107.19</v>
      </c>
      <c r="M421">
        <v>702.22</v>
      </c>
      <c r="N421">
        <v>404.97</v>
      </c>
      <c r="O421" t="s">
        <v>33</v>
      </c>
      <c r="P421">
        <v>1</v>
      </c>
      <c r="Q421" t="str">
        <f t="shared" si="36"/>
        <v>May</v>
      </c>
      <c r="R421" t="str">
        <f t="shared" si="37"/>
        <v>Q2</v>
      </c>
      <c r="S421">
        <f t="shared" si="38"/>
        <v>2024</v>
      </c>
      <c r="T421">
        <f t="shared" si="39"/>
        <v>2128076.5600000015</v>
      </c>
      <c r="U421">
        <f t="shared" si="40"/>
        <v>693258.94000000099</v>
      </c>
      <c r="V421">
        <f t="shared" si="41"/>
        <v>2.0696705620557863</v>
      </c>
    </row>
    <row r="422" spans="1:22" x14ac:dyDescent="0.35">
      <c r="A422" t="s">
        <v>914</v>
      </c>
      <c r="B422" s="1">
        <v>45362</v>
      </c>
      <c r="C422" t="s">
        <v>915</v>
      </c>
      <c r="D422" t="s">
        <v>66</v>
      </c>
      <c r="E422" t="s">
        <v>85</v>
      </c>
      <c r="F422" t="s">
        <v>31</v>
      </c>
      <c r="G422" t="s">
        <v>22</v>
      </c>
      <c r="H422" t="s">
        <v>23</v>
      </c>
      <c r="I422">
        <v>2</v>
      </c>
      <c r="J422">
        <v>109.03</v>
      </c>
      <c r="K422">
        <v>0.15</v>
      </c>
      <c r="L422">
        <v>185.35</v>
      </c>
      <c r="M422">
        <v>103.06</v>
      </c>
      <c r="N422">
        <v>82.29</v>
      </c>
      <c r="O422" t="s">
        <v>62</v>
      </c>
      <c r="P422">
        <v>3</v>
      </c>
      <c r="Q422" t="str">
        <f t="shared" si="36"/>
        <v>March</v>
      </c>
      <c r="R422" t="str">
        <f t="shared" si="37"/>
        <v>Q1</v>
      </c>
      <c r="S422">
        <f t="shared" si="38"/>
        <v>2024</v>
      </c>
      <c r="T422">
        <f t="shared" si="39"/>
        <v>2126969.3700000015</v>
      </c>
      <c r="U422">
        <f t="shared" si="40"/>
        <v>692853.97000000102</v>
      </c>
      <c r="V422">
        <f t="shared" si="41"/>
        <v>2.0698667570599305</v>
      </c>
    </row>
    <row r="423" spans="1:22" x14ac:dyDescent="0.35">
      <c r="A423" t="s">
        <v>916</v>
      </c>
      <c r="B423" s="1">
        <v>45603</v>
      </c>
      <c r="C423" t="s">
        <v>917</v>
      </c>
      <c r="D423" t="s">
        <v>66</v>
      </c>
      <c r="E423" t="s">
        <v>20</v>
      </c>
      <c r="F423" t="s">
        <v>21</v>
      </c>
      <c r="G423" t="s">
        <v>22</v>
      </c>
      <c r="H423" t="s">
        <v>32</v>
      </c>
      <c r="I423">
        <v>3</v>
      </c>
      <c r="J423">
        <v>184.44</v>
      </c>
      <c r="K423">
        <v>0.05</v>
      </c>
      <c r="L423">
        <v>525.65</v>
      </c>
      <c r="M423">
        <v>329.79</v>
      </c>
      <c r="N423">
        <v>195.86</v>
      </c>
      <c r="O423" t="s">
        <v>33</v>
      </c>
      <c r="P423">
        <v>5</v>
      </c>
      <c r="Q423" t="str">
        <f t="shared" si="36"/>
        <v>November</v>
      </c>
      <c r="R423" t="str">
        <f t="shared" si="37"/>
        <v>Q4</v>
      </c>
      <c r="S423">
        <f t="shared" si="38"/>
        <v>2024</v>
      </c>
      <c r="T423">
        <f t="shared" si="39"/>
        <v>2126784.0200000014</v>
      </c>
      <c r="U423">
        <f t="shared" si="40"/>
        <v>692771.68000000098</v>
      </c>
      <c r="V423">
        <f t="shared" si="41"/>
        <v>2.0699638587997682</v>
      </c>
    </row>
    <row r="424" spans="1:22" x14ac:dyDescent="0.35">
      <c r="A424" t="s">
        <v>918</v>
      </c>
      <c r="B424" s="1">
        <v>45590</v>
      </c>
      <c r="C424" t="s">
        <v>919</v>
      </c>
      <c r="D424" t="s">
        <v>66</v>
      </c>
      <c r="E424" t="s">
        <v>30</v>
      </c>
      <c r="F424" t="s">
        <v>31</v>
      </c>
      <c r="G424" t="s">
        <v>79</v>
      </c>
      <c r="H424" t="s">
        <v>103</v>
      </c>
      <c r="I424">
        <v>1</v>
      </c>
      <c r="J424">
        <v>750.97</v>
      </c>
      <c r="K424">
        <v>0.05</v>
      </c>
      <c r="L424">
        <v>713.42</v>
      </c>
      <c r="M424">
        <v>411.9</v>
      </c>
      <c r="N424">
        <v>301.52</v>
      </c>
      <c r="O424" t="s">
        <v>33</v>
      </c>
      <c r="P424">
        <v>5</v>
      </c>
      <c r="Q424" t="str">
        <f t="shared" si="36"/>
        <v>October</v>
      </c>
      <c r="R424" t="str">
        <f t="shared" si="37"/>
        <v>Q4</v>
      </c>
      <c r="S424">
        <f t="shared" si="38"/>
        <v>2024</v>
      </c>
      <c r="T424">
        <f t="shared" si="39"/>
        <v>2126258.3700000015</v>
      </c>
      <c r="U424">
        <f t="shared" si="40"/>
        <v>692575.820000001</v>
      </c>
      <c r="V424">
        <f t="shared" si="41"/>
        <v>2.0700730643469454</v>
      </c>
    </row>
    <row r="425" spans="1:22" x14ac:dyDescent="0.35">
      <c r="A425" t="s">
        <v>920</v>
      </c>
      <c r="B425" s="1">
        <v>45436</v>
      </c>
      <c r="C425" t="s">
        <v>921</v>
      </c>
      <c r="D425" t="s">
        <v>66</v>
      </c>
      <c r="E425" t="s">
        <v>98</v>
      </c>
      <c r="F425" t="s">
        <v>21</v>
      </c>
      <c r="G425" t="s">
        <v>22</v>
      </c>
      <c r="H425" t="s">
        <v>124</v>
      </c>
      <c r="I425">
        <v>6</v>
      </c>
      <c r="J425">
        <v>177.42</v>
      </c>
      <c r="K425">
        <v>0.15</v>
      </c>
      <c r="L425">
        <v>904.84</v>
      </c>
      <c r="M425">
        <v>562.1</v>
      </c>
      <c r="N425">
        <v>342.74</v>
      </c>
      <c r="O425" t="s">
        <v>51</v>
      </c>
      <c r="P425">
        <v>3</v>
      </c>
      <c r="Q425" t="str">
        <f t="shared" si="36"/>
        <v>May</v>
      </c>
      <c r="R425" t="str">
        <f t="shared" si="37"/>
        <v>Q2</v>
      </c>
      <c r="S425">
        <f t="shared" si="38"/>
        <v>2024</v>
      </c>
      <c r="T425">
        <f t="shared" si="39"/>
        <v>2125544.9500000011</v>
      </c>
      <c r="U425">
        <f t="shared" si="40"/>
        <v>692274.30000000098</v>
      </c>
      <c r="V425">
        <f t="shared" si="41"/>
        <v>2.0703796890914457</v>
      </c>
    </row>
    <row r="426" spans="1:22" x14ac:dyDescent="0.35">
      <c r="A426" t="s">
        <v>922</v>
      </c>
      <c r="B426" s="1">
        <v>45649</v>
      </c>
      <c r="C426" t="s">
        <v>923</v>
      </c>
      <c r="D426" t="s">
        <v>37</v>
      </c>
      <c r="E426" t="s">
        <v>98</v>
      </c>
      <c r="F426" t="s">
        <v>31</v>
      </c>
      <c r="G426" t="s">
        <v>43</v>
      </c>
      <c r="H426" t="s">
        <v>173</v>
      </c>
      <c r="I426">
        <v>12</v>
      </c>
      <c r="J426">
        <v>992.54</v>
      </c>
      <c r="K426">
        <v>0.05</v>
      </c>
      <c r="L426">
        <v>11314.96</v>
      </c>
      <c r="M426">
        <v>8829.1299999999992</v>
      </c>
      <c r="N426">
        <v>2485.83</v>
      </c>
      <c r="O426" t="s">
        <v>51</v>
      </c>
      <c r="P426">
        <v>2</v>
      </c>
      <c r="Q426" t="str">
        <f t="shared" si="36"/>
        <v>December</v>
      </c>
      <c r="R426" t="str">
        <f t="shared" si="37"/>
        <v>Q4</v>
      </c>
      <c r="S426">
        <f t="shared" si="38"/>
        <v>2024</v>
      </c>
      <c r="T426">
        <f t="shared" si="39"/>
        <v>2124640.1100000013</v>
      </c>
      <c r="U426">
        <f t="shared" si="40"/>
        <v>691931.56000000099</v>
      </c>
      <c r="V426">
        <f t="shared" si="41"/>
        <v>2.0705928632594794</v>
      </c>
    </row>
    <row r="427" spans="1:22" x14ac:dyDescent="0.35">
      <c r="A427" t="s">
        <v>924</v>
      </c>
      <c r="B427" s="1">
        <v>45622</v>
      </c>
      <c r="C427" t="s">
        <v>925</v>
      </c>
      <c r="D427" t="s">
        <v>19</v>
      </c>
      <c r="E427" t="s">
        <v>20</v>
      </c>
      <c r="F427" t="s">
        <v>39</v>
      </c>
      <c r="G427" t="s">
        <v>60</v>
      </c>
      <c r="H427" t="s">
        <v>110</v>
      </c>
      <c r="I427">
        <v>11</v>
      </c>
      <c r="J427">
        <v>735.79</v>
      </c>
      <c r="K427">
        <v>0</v>
      </c>
      <c r="L427">
        <v>8093.69</v>
      </c>
      <c r="M427">
        <v>5875.53</v>
      </c>
      <c r="N427">
        <v>2218.16</v>
      </c>
      <c r="O427" t="s">
        <v>62</v>
      </c>
      <c r="P427">
        <v>1</v>
      </c>
      <c r="Q427" t="str">
        <f t="shared" si="36"/>
        <v>November</v>
      </c>
      <c r="R427" t="str">
        <f t="shared" si="37"/>
        <v>Q4</v>
      </c>
      <c r="S427">
        <f t="shared" si="38"/>
        <v>2024</v>
      </c>
      <c r="T427">
        <f t="shared" si="39"/>
        <v>2113325.1500000013</v>
      </c>
      <c r="U427">
        <f t="shared" si="40"/>
        <v>689445.73000000103</v>
      </c>
      <c r="V427">
        <f t="shared" si="41"/>
        <v>2.0652523585866551</v>
      </c>
    </row>
    <row r="428" spans="1:22" x14ac:dyDescent="0.35">
      <c r="A428" t="s">
        <v>926</v>
      </c>
      <c r="B428" s="1">
        <v>45357</v>
      </c>
      <c r="C428" t="s">
        <v>927</v>
      </c>
      <c r="D428" t="s">
        <v>37</v>
      </c>
      <c r="E428" t="s">
        <v>98</v>
      </c>
      <c r="F428" t="s">
        <v>39</v>
      </c>
      <c r="G428" t="s">
        <v>60</v>
      </c>
      <c r="H428" t="s">
        <v>61</v>
      </c>
      <c r="I428">
        <v>5</v>
      </c>
      <c r="J428">
        <v>264.74</v>
      </c>
      <c r="K428">
        <v>0.05</v>
      </c>
      <c r="L428">
        <v>1257.51</v>
      </c>
      <c r="M428">
        <v>647.39</v>
      </c>
      <c r="N428">
        <v>610.12</v>
      </c>
      <c r="O428" t="s">
        <v>33</v>
      </c>
      <c r="P428">
        <v>2</v>
      </c>
      <c r="Q428" t="str">
        <f t="shared" si="36"/>
        <v>March</v>
      </c>
      <c r="R428" t="str">
        <f t="shared" si="37"/>
        <v>Q1</v>
      </c>
      <c r="S428">
        <f t="shared" si="38"/>
        <v>2024</v>
      </c>
      <c r="T428">
        <f t="shared" si="39"/>
        <v>2105231.4600000009</v>
      </c>
      <c r="U428">
        <f t="shared" si="40"/>
        <v>687227.57000000088</v>
      </c>
      <c r="V428">
        <f t="shared" si="41"/>
        <v>2.0633687469785276</v>
      </c>
    </row>
    <row r="429" spans="1:22" x14ac:dyDescent="0.35">
      <c r="A429" t="s">
        <v>928</v>
      </c>
      <c r="B429" s="1">
        <v>45647</v>
      </c>
      <c r="C429" t="s">
        <v>929</v>
      </c>
      <c r="D429" t="s">
        <v>37</v>
      </c>
      <c r="E429" t="s">
        <v>30</v>
      </c>
      <c r="F429" t="s">
        <v>31</v>
      </c>
      <c r="G429" t="s">
        <v>43</v>
      </c>
      <c r="H429" t="s">
        <v>44</v>
      </c>
      <c r="I429">
        <v>2</v>
      </c>
      <c r="J429">
        <v>141.49</v>
      </c>
      <c r="K429">
        <v>0.05</v>
      </c>
      <c r="L429">
        <v>268.83</v>
      </c>
      <c r="M429">
        <v>188.15</v>
      </c>
      <c r="N429">
        <v>80.680000000000007</v>
      </c>
      <c r="O429" t="s">
        <v>62</v>
      </c>
      <c r="P429">
        <v>5</v>
      </c>
      <c r="Q429" t="str">
        <f t="shared" si="36"/>
        <v>December</v>
      </c>
      <c r="R429" t="str">
        <f t="shared" si="37"/>
        <v>Q4</v>
      </c>
      <c r="S429">
        <f t="shared" si="38"/>
        <v>2024</v>
      </c>
      <c r="T429">
        <f t="shared" si="39"/>
        <v>2103973.9500000011</v>
      </c>
      <c r="U429">
        <f t="shared" si="40"/>
        <v>686617.45000000088</v>
      </c>
      <c r="V429">
        <f t="shared" si="41"/>
        <v>2.0642593630558013</v>
      </c>
    </row>
    <row r="430" spans="1:22" x14ac:dyDescent="0.35">
      <c r="A430" t="s">
        <v>930</v>
      </c>
      <c r="B430" s="1">
        <v>45581</v>
      </c>
      <c r="C430" t="s">
        <v>931</v>
      </c>
      <c r="D430" t="s">
        <v>37</v>
      </c>
      <c r="E430" t="s">
        <v>85</v>
      </c>
      <c r="F430" t="s">
        <v>21</v>
      </c>
      <c r="G430" t="s">
        <v>43</v>
      </c>
      <c r="H430" t="s">
        <v>173</v>
      </c>
      <c r="I430">
        <v>12</v>
      </c>
      <c r="J430">
        <v>858.3</v>
      </c>
      <c r="K430">
        <v>0.1</v>
      </c>
      <c r="L430">
        <v>9269.64</v>
      </c>
      <c r="M430">
        <v>7518.02</v>
      </c>
      <c r="N430">
        <v>1751.62</v>
      </c>
      <c r="O430" t="s">
        <v>24</v>
      </c>
      <c r="P430">
        <v>3</v>
      </c>
      <c r="Q430" t="str">
        <f t="shared" si="36"/>
        <v>October</v>
      </c>
      <c r="R430" t="str">
        <f t="shared" si="37"/>
        <v>Q4</v>
      </c>
      <c r="S430">
        <f t="shared" si="38"/>
        <v>2024</v>
      </c>
      <c r="T430">
        <f t="shared" si="39"/>
        <v>2103705.120000001</v>
      </c>
      <c r="U430">
        <f t="shared" si="40"/>
        <v>686536.77000000095</v>
      </c>
      <c r="V430">
        <f t="shared" si="41"/>
        <v>2.0642278927026707</v>
      </c>
    </row>
    <row r="431" spans="1:22" x14ac:dyDescent="0.35">
      <c r="A431" t="s">
        <v>932</v>
      </c>
      <c r="B431" s="1">
        <v>45622</v>
      </c>
      <c r="C431" t="s">
        <v>933</v>
      </c>
      <c r="D431" t="s">
        <v>66</v>
      </c>
      <c r="E431" t="s">
        <v>98</v>
      </c>
      <c r="F431" t="s">
        <v>39</v>
      </c>
      <c r="G431" t="s">
        <v>79</v>
      </c>
      <c r="H431" t="s">
        <v>89</v>
      </c>
      <c r="I431">
        <v>2</v>
      </c>
      <c r="J431">
        <v>529.42999999999995</v>
      </c>
      <c r="K431">
        <v>0</v>
      </c>
      <c r="L431">
        <v>1058.8599999999999</v>
      </c>
      <c r="M431">
        <v>875.2</v>
      </c>
      <c r="N431">
        <v>183.66</v>
      </c>
      <c r="O431" t="s">
        <v>62</v>
      </c>
      <c r="P431">
        <v>1</v>
      </c>
      <c r="Q431" t="str">
        <f t="shared" si="36"/>
        <v>November</v>
      </c>
      <c r="R431" t="str">
        <f t="shared" si="37"/>
        <v>Q4</v>
      </c>
      <c r="S431">
        <f t="shared" si="38"/>
        <v>2024</v>
      </c>
      <c r="T431">
        <f t="shared" si="39"/>
        <v>2094435.4800000007</v>
      </c>
      <c r="U431">
        <f t="shared" si="40"/>
        <v>684785.15000000095</v>
      </c>
      <c r="V431">
        <f t="shared" si="41"/>
        <v>2.0585293504101214</v>
      </c>
    </row>
    <row r="432" spans="1:22" x14ac:dyDescent="0.35">
      <c r="A432" t="s">
        <v>934</v>
      </c>
      <c r="B432" s="1">
        <v>45493</v>
      </c>
      <c r="C432" t="s">
        <v>935</v>
      </c>
      <c r="D432" t="s">
        <v>19</v>
      </c>
      <c r="E432" t="s">
        <v>20</v>
      </c>
      <c r="F432" t="s">
        <v>21</v>
      </c>
      <c r="G432" t="s">
        <v>22</v>
      </c>
      <c r="H432" t="s">
        <v>74</v>
      </c>
      <c r="I432">
        <v>8</v>
      </c>
      <c r="J432">
        <v>795.68</v>
      </c>
      <c r="K432">
        <v>0</v>
      </c>
      <c r="L432">
        <v>6365.44</v>
      </c>
      <c r="M432">
        <v>4996.1099999999997</v>
      </c>
      <c r="N432">
        <v>1369.33</v>
      </c>
      <c r="O432" t="s">
        <v>24</v>
      </c>
      <c r="P432">
        <v>2</v>
      </c>
      <c r="Q432" t="str">
        <f t="shared" si="36"/>
        <v>July</v>
      </c>
      <c r="R432" t="str">
        <f t="shared" si="37"/>
        <v>Q3</v>
      </c>
      <c r="S432">
        <f t="shared" si="38"/>
        <v>2024</v>
      </c>
      <c r="T432">
        <f t="shared" si="39"/>
        <v>2093376.6200000006</v>
      </c>
      <c r="U432">
        <f t="shared" si="40"/>
        <v>684601.49000000092</v>
      </c>
      <c r="V432">
        <f t="shared" si="41"/>
        <v>2.0578031899988969</v>
      </c>
    </row>
    <row r="433" spans="1:22" x14ac:dyDescent="0.35">
      <c r="A433" t="s">
        <v>936</v>
      </c>
      <c r="B433" s="1">
        <v>45338</v>
      </c>
      <c r="C433" t="s">
        <v>937</v>
      </c>
      <c r="D433" t="s">
        <v>37</v>
      </c>
      <c r="E433" t="s">
        <v>85</v>
      </c>
      <c r="F433" t="s">
        <v>21</v>
      </c>
      <c r="G433" t="s">
        <v>60</v>
      </c>
      <c r="H433" t="s">
        <v>119</v>
      </c>
      <c r="I433">
        <v>3</v>
      </c>
      <c r="J433">
        <v>871.56</v>
      </c>
      <c r="K433">
        <v>0.1</v>
      </c>
      <c r="L433">
        <v>2353.21</v>
      </c>
      <c r="M433">
        <v>1499.73</v>
      </c>
      <c r="N433">
        <v>853.48</v>
      </c>
      <c r="O433" t="s">
        <v>62</v>
      </c>
      <c r="P433">
        <v>5</v>
      </c>
      <c r="Q433" t="str">
        <f t="shared" si="36"/>
        <v>February</v>
      </c>
      <c r="R433" t="str">
        <f t="shared" si="37"/>
        <v>Q1</v>
      </c>
      <c r="S433">
        <f t="shared" si="38"/>
        <v>2024</v>
      </c>
      <c r="T433">
        <f t="shared" si="39"/>
        <v>2087011.1800000004</v>
      </c>
      <c r="U433">
        <f t="shared" si="40"/>
        <v>683232.16000000085</v>
      </c>
      <c r="V433">
        <f t="shared" si="41"/>
        <v>2.0546149642604612</v>
      </c>
    </row>
    <row r="434" spans="1:22" x14ac:dyDescent="0.35">
      <c r="A434" t="s">
        <v>938</v>
      </c>
      <c r="B434" s="1">
        <v>45368</v>
      </c>
      <c r="C434" t="s">
        <v>411</v>
      </c>
      <c r="D434" t="s">
        <v>49</v>
      </c>
      <c r="E434" t="s">
        <v>38</v>
      </c>
      <c r="F434" t="s">
        <v>39</v>
      </c>
      <c r="G434" t="s">
        <v>79</v>
      </c>
      <c r="H434" t="s">
        <v>80</v>
      </c>
      <c r="I434">
        <v>2</v>
      </c>
      <c r="J434">
        <v>409.59</v>
      </c>
      <c r="K434">
        <v>0.1</v>
      </c>
      <c r="L434">
        <v>737.26</v>
      </c>
      <c r="M434">
        <v>473.39</v>
      </c>
      <c r="N434">
        <v>263.87</v>
      </c>
      <c r="O434" t="s">
        <v>62</v>
      </c>
      <c r="P434">
        <v>2</v>
      </c>
      <c r="Q434" t="str">
        <f t="shared" si="36"/>
        <v>March</v>
      </c>
      <c r="R434" t="str">
        <f t="shared" si="37"/>
        <v>Q1</v>
      </c>
      <c r="S434">
        <f t="shared" si="38"/>
        <v>2024</v>
      </c>
      <c r="T434">
        <f t="shared" si="39"/>
        <v>2084657.9700000007</v>
      </c>
      <c r="U434">
        <f t="shared" si="40"/>
        <v>682378.68000000075</v>
      </c>
      <c r="V434">
        <f t="shared" si="41"/>
        <v>2.0549869611987268</v>
      </c>
    </row>
    <row r="435" spans="1:22" x14ac:dyDescent="0.35">
      <c r="A435" t="s">
        <v>939</v>
      </c>
      <c r="B435" s="1">
        <v>45537</v>
      </c>
      <c r="C435" t="s">
        <v>940</v>
      </c>
      <c r="D435" t="s">
        <v>49</v>
      </c>
      <c r="E435" t="s">
        <v>20</v>
      </c>
      <c r="F435" t="s">
        <v>31</v>
      </c>
      <c r="G435" t="s">
        <v>22</v>
      </c>
      <c r="H435" t="s">
        <v>23</v>
      </c>
      <c r="I435">
        <v>8</v>
      </c>
      <c r="J435">
        <v>1020.91</v>
      </c>
      <c r="K435">
        <v>0</v>
      </c>
      <c r="L435">
        <v>8167.28</v>
      </c>
      <c r="M435">
        <v>5892.83</v>
      </c>
      <c r="N435">
        <v>2274.4499999999998</v>
      </c>
      <c r="O435" t="s">
        <v>51</v>
      </c>
      <c r="P435">
        <v>5</v>
      </c>
      <c r="Q435" t="str">
        <f t="shared" si="36"/>
        <v>September</v>
      </c>
      <c r="R435" t="str">
        <f t="shared" si="37"/>
        <v>Q3</v>
      </c>
      <c r="S435">
        <f t="shared" si="38"/>
        <v>2024</v>
      </c>
      <c r="T435">
        <f t="shared" si="39"/>
        <v>2083920.7100000007</v>
      </c>
      <c r="U435">
        <f t="shared" si="40"/>
        <v>682114.81000000075</v>
      </c>
      <c r="V435">
        <f t="shared" si="41"/>
        <v>2.0550879110805385</v>
      </c>
    </row>
    <row r="436" spans="1:22" x14ac:dyDescent="0.35">
      <c r="A436" t="s">
        <v>941</v>
      </c>
      <c r="B436" s="1">
        <v>45622</v>
      </c>
      <c r="C436" t="s">
        <v>942</v>
      </c>
      <c r="D436" t="s">
        <v>49</v>
      </c>
      <c r="E436" t="s">
        <v>30</v>
      </c>
      <c r="F436" t="s">
        <v>39</v>
      </c>
      <c r="G436" t="s">
        <v>60</v>
      </c>
      <c r="H436" t="s">
        <v>61</v>
      </c>
      <c r="I436">
        <v>2</v>
      </c>
      <c r="J436">
        <v>328.9</v>
      </c>
      <c r="K436">
        <v>0.1</v>
      </c>
      <c r="L436">
        <v>592.02</v>
      </c>
      <c r="M436">
        <v>437.98</v>
      </c>
      <c r="N436">
        <v>154.04</v>
      </c>
      <c r="O436" t="s">
        <v>33</v>
      </c>
      <c r="P436">
        <v>5</v>
      </c>
      <c r="Q436" t="str">
        <f t="shared" si="36"/>
        <v>November</v>
      </c>
      <c r="R436" t="str">
        <f t="shared" si="37"/>
        <v>Q4</v>
      </c>
      <c r="S436">
        <f t="shared" si="38"/>
        <v>2024</v>
      </c>
      <c r="T436">
        <f t="shared" si="39"/>
        <v>2075753.4300000006</v>
      </c>
      <c r="U436">
        <f t="shared" si="40"/>
        <v>679840.3600000008</v>
      </c>
      <c r="V436">
        <f t="shared" si="41"/>
        <v>2.0532953795211544</v>
      </c>
    </row>
    <row r="437" spans="1:22" x14ac:dyDescent="0.35">
      <c r="A437" t="s">
        <v>943</v>
      </c>
      <c r="B437" s="1">
        <v>45610</v>
      </c>
      <c r="C437" t="s">
        <v>944</v>
      </c>
      <c r="D437" t="s">
        <v>49</v>
      </c>
      <c r="E437" t="s">
        <v>85</v>
      </c>
      <c r="F437" t="s">
        <v>21</v>
      </c>
      <c r="G437" t="s">
        <v>79</v>
      </c>
      <c r="H437" t="s">
        <v>103</v>
      </c>
      <c r="I437">
        <v>8</v>
      </c>
      <c r="J437">
        <v>209.65</v>
      </c>
      <c r="K437">
        <v>0</v>
      </c>
      <c r="L437">
        <v>1677.2</v>
      </c>
      <c r="M437">
        <v>1362.99</v>
      </c>
      <c r="N437">
        <v>314.20999999999998</v>
      </c>
      <c r="O437" t="s">
        <v>51</v>
      </c>
      <c r="P437">
        <v>5</v>
      </c>
      <c r="Q437" t="str">
        <f t="shared" si="36"/>
        <v>November</v>
      </c>
      <c r="R437" t="str">
        <f t="shared" si="37"/>
        <v>Q4</v>
      </c>
      <c r="S437">
        <f t="shared" si="38"/>
        <v>2024</v>
      </c>
      <c r="T437">
        <f t="shared" si="39"/>
        <v>2075161.4100000006</v>
      </c>
      <c r="U437">
        <f t="shared" si="40"/>
        <v>679686.32000000088</v>
      </c>
      <c r="V437">
        <f t="shared" si="41"/>
        <v>2.0531163404907105</v>
      </c>
    </row>
    <row r="438" spans="1:22" x14ac:dyDescent="0.35">
      <c r="A438" t="s">
        <v>945</v>
      </c>
      <c r="B438" s="1">
        <v>45539</v>
      </c>
      <c r="C438" t="s">
        <v>946</v>
      </c>
      <c r="D438" t="s">
        <v>66</v>
      </c>
      <c r="E438" t="s">
        <v>85</v>
      </c>
      <c r="F438" t="s">
        <v>31</v>
      </c>
      <c r="G438" t="s">
        <v>22</v>
      </c>
      <c r="H438" t="s">
        <v>23</v>
      </c>
      <c r="I438">
        <v>5</v>
      </c>
      <c r="J438">
        <v>1180.44</v>
      </c>
      <c r="K438">
        <v>0.1</v>
      </c>
      <c r="L438">
        <v>5311.98</v>
      </c>
      <c r="M438">
        <v>3370.63</v>
      </c>
      <c r="N438">
        <v>1941.35</v>
      </c>
      <c r="O438" t="s">
        <v>24</v>
      </c>
      <c r="P438">
        <v>4</v>
      </c>
      <c r="Q438" t="str">
        <f t="shared" si="36"/>
        <v>September</v>
      </c>
      <c r="R438" t="str">
        <f t="shared" si="37"/>
        <v>Q3</v>
      </c>
      <c r="S438">
        <f t="shared" si="38"/>
        <v>2024</v>
      </c>
      <c r="T438">
        <f t="shared" si="39"/>
        <v>2073484.2100000007</v>
      </c>
      <c r="U438">
        <f t="shared" si="40"/>
        <v>679372.1100000008</v>
      </c>
      <c r="V438">
        <f t="shared" si="41"/>
        <v>2.0520596584396116</v>
      </c>
    </row>
    <row r="439" spans="1:22" x14ac:dyDescent="0.35">
      <c r="A439" t="s">
        <v>947</v>
      </c>
      <c r="B439" s="1">
        <v>45508</v>
      </c>
      <c r="C439" t="s">
        <v>948</v>
      </c>
      <c r="D439" t="s">
        <v>37</v>
      </c>
      <c r="E439" t="s">
        <v>20</v>
      </c>
      <c r="F439" t="s">
        <v>21</v>
      </c>
      <c r="G439" t="s">
        <v>43</v>
      </c>
      <c r="H439" t="s">
        <v>173</v>
      </c>
      <c r="I439">
        <v>3</v>
      </c>
      <c r="J439">
        <v>1109.76</v>
      </c>
      <c r="K439">
        <v>0</v>
      </c>
      <c r="L439">
        <v>3329.28</v>
      </c>
      <c r="M439">
        <v>2468.6999999999998</v>
      </c>
      <c r="N439">
        <v>860.58</v>
      </c>
      <c r="O439" t="s">
        <v>51</v>
      </c>
      <c r="P439">
        <v>1</v>
      </c>
      <c r="Q439" t="str">
        <f t="shared" si="36"/>
        <v>August</v>
      </c>
      <c r="R439" t="str">
        <f t="shared" si="37"/>
        <v>Q3</v>
      </c>
      <c r="S439">
        <f t="shared" si="38"/>
        <v>2024</v>
      </c>
      <c r="T439">
        <f t="shared" si="39"/>
        <v>2068172.2300000007</v>
      </c>
      <c r="U439">
        <f t="shared" si="40"/>
        <v>677430.76000000082</v>
      </c>
      <c r="V439">
        <f t="shared" si="41"/>
        <v>2.052964748751589</v>
      </c>
    </row>
    <row r="440" spans="1:22" x14ac:dyDescent="0.35">
      <c r="A440" t="s">
        <v>949</v>
      </c>
      <c r="B440" s="1">
        <v>45370</v>
      </c>
      <c r="C440" t="s">
        <v>373</v>
      </c>
      <c r="D440" t="s">
        <v>37</v>
      </c>
      <c r="E440" t="s">
        <v>38</v>
      </c>
      <c r="F440" t="s">
        <v>39</v>
      </c>
      <c r="G440" t="s">
        <v>43</v>
      </c>
      <c r="H440" t="s">
        <v>50</v>
      </c>
      <c r="I440">
        <v>9</v>
      </c>
      <c r="J440">
        <v>356.52</v>
      </c>
      <c r="K440">
        <v>0</v>
      </c>
      <c r="L440">
        <v>3208.68</v>
      </c>
      <c r="M440">
        <v>2567.19</v>
      </c>
      <c r="N440">
        <v>641.49</v>
      </c>
      <c r="O440" t="s">
        <v>24</v>
      </c>
      <c r="P440">
        <v>4</v>
      </c>
      <c r="Q440" t="str">
        <f t="shared" si="36"/>
        <v>March</v>
      </c>
      <c r="R440" t="str">
        <f t="shared" si="37"/>
        <v>Q1</v>
      </c>
      <c r="S440">
        <f t="shared" si="38"/>
        <v>2024</v>
      </c>
      <c r="T440">
        <f t="shared" si="39"/>
        <v>2064842.9500000007</v>
      </c>
      <c r="U440">
        <f t="shared" si="40"/>
        <v>676570.18000000087</v>
      </c>
      <c r="V440">
        <f t="shared" si="41"/>
        <v>2.0519272220954194</v>
      </c>
    </row>
    <row r="441" spans="1:22" x14ac:dyDescent="0.35">
      <c r="A441" t="s">
        <v>950</v>
      </c>
      <c r="B441" s="1">
        <v>45488</v>
      </c>
      <c r="C441" t="s">
        <v>951</v>
      </c>
      <c r="D441" t="s">
        <v>19</v>
      </c>
      <c r="E441" t="s">
        <v>30</v>
      </c>
      <c r="F441" t="s">
        <v>31</v>
      </c>
      <c r="G441" t="s">
        <v>43</v>
      </c>
      <c r="H441" t="s">
        <v>44</v>
      </c>
      <c r="I441">
        <v>9</v>
      </c>
      <c r="J441">
        <v>22.19</v>
      </c>
      <c r="K441">
        <v>0.15</v>
      </c>
      <c r="L441">
        <v>169.75</v>
      </c>
      <c r="M441">
        <v>137.88</v>
      </c>
      <c r="N441">
        <v>31.87</v>
      </c>
      <c r="O441" t="s">
        <v>62</v>
      </c>
      <c r="P441">
        <v>1</v>
      </c>
      <c r="Q441" t="str">
        <f t="shared" si="36"/>
        <v>July</v>
      </c>
      <c r="R441" t="str">
        <f t="shared" si="37"/>
        <v>Q3</v>
      </c>
      <c r="S441">
        <f t="shared" si="38"/>
        <v>2024</v>
      </c>
      <c r="T441">
        <f t="shared" si="39"/>
        <v>2061634.2700000007</v>
      </c>
      <c r="U441">
        <f t="shared" si="40"/>
        <v>675928.69000000088</v>
      </c>
      <c r="V441">
        <f t="shared" si="41"/>
        <v>2.0500765842621624</v>
      </c>
    </row>
    <row r="442" spans="1:22" x14ac:dyDescent="0.35">
      <c r="A442" t="s">
        <v>952</v>
      </c>
      <c r="B442" s="1">
        <v>45423</v>
      </c>
      <c r="C442" t="s">
        <v>953</v>
      </c>
      <c r="D442" t="s">
        <v>49</v>
      </c>
      <c r="E442" t="s">
        <v>20</v>
      </c>
      <c r="F442" t="s">
        <v>31</v>
      </c>
      <c r="G442" t="s">
        <v>22</v>
      </c>
      <c r="H442" t="s">
        <v>23</v>
      </c>
      <c r="I442">
        <v>12</v>
      </c>
      <c r="J442">
        <v>54.05</v>
      </c>
      <c r="K442">
        <v>0.05</v>
      </c>
      <c r="L442">
        <v>616.16999999999996</v>
      </c>
      <c r="M442">
        <v>443.6</v>
      </c>
      <c r="N442">
        <v>172.57</v>
      </c>
      <c r="O442" t="s">
        <v>33</v>
      </c>
      <c r="P442">
        <v>1</v>
      </c>
      <c r="Q442" t="str">
        <f t="shared" si="36"/>
        <v>May</v>
      </c>
      <c r="R442" t="str">
        <f t="shared" si="37"/>
        <v>Q2</v>
      </c>
      <c r="S442">
        <f t="shared" si="38"/>
        <v>2024</v>
      </c>
      <c r="T442">
        <f t="shared" si="39"/>
        <v>2061464.5200000007</v>
      </c>
      <c r="U442">
        <f t="shared" si="40"/>
        <v>675896.82000000088</v>
      </c>
      <c r="V442">
        <f t="shared" si="41"/>
        <v>2.0499692541829062</v>
      </c>
    </row>
    <row r="443" spans="1:22" x14ac:dyDescent="0.35">
      <c r="A443" t="s">
        <v>954</v>
      </c>
      <c r="B443" s="1">
        <v>45400</v>
      </c>
      <c r="C443" t="s">
        <v>955</v>
      </c>
      <c r="D443" t="s">
        <v>66</v>
      </c>
      <c r="E443" t="s">
        <v>20</v>
      </c>
      <c r="F443" t="s">
        <v>39</v>
      </c>
      <c r="G443" t="s">
        <v>79</v>
      </c>
      <c r="H443" t="s">
        <v>80</v>
      </c>
      <c r="I443">
        <v>1</v>
      </c>
      <c r="J443">
        <v>764.28</v>
      </c>
      <c r="K443">
        <v>0.15</v>
      </c>
      <c r="L443">
        <v>649.64</v>
      </c>
      <c r="M443">
        <v>539.84</v>
      </c>
      <c r="N443">
        <v>109.8</v>
      </c>
      <c r="O443" t="s">
        <v>24</v>
      </c>
      <c r="P443">
        <v>4</v>
      </c>
      <c r="Q443" t="str">
        <f t="shared" si="36"/>
        <v>April</v>
      </c>
      <c r="R443" t="str">
        <f t="shared" si="37"/>
        <v>Q2</v>
      </c>
      <c r="S443">
        <f t="shared" si="38"/>
        <v>2024</v>
      </c>
      <c r="T443">
        <f t="shared" si="39"/>
        <v>2060848.3500000006</v>
      </c>
      <c r="U443">
        <f t="shared" si="40"/>
        <v>675724.25000000081</v>
      </c>
      <c r="V443">
        <f t="shared" si="41"/>
        <v>2.0498363052680113</v>
      </c>
    </row>
    <row r="444" spans="1:22" x14ac:dyDescent="0.35">
      <c r="A444" t="s">
        <v>956</v>
      </c>
      <c r="B444" s="1">
        <v>45394</v>
      </c>
      <c r="C444" t="s">
        <v>957</v>
      </c>
      <c r="D444" t="s">
        <v>37</v>
      </c>
      <c r="E444" t="s">
        <v>20</v>
      </c>
      <c r="F444" t="s">
        <v>39</v>
      </c>
      <c r="G444" t="s">
        <v>60</v>
      </c>
      <c r="H444" t="s">
        <v>61</v>
      </c>
      <c r="I444">
        <v>5</v>
      </c>
      <c r="J444">
        <v>409.53</v>
      </c>
      <c r="K444">
        <v>0.1</v>
      </c>
      <c r="L444">
        <v>1842.88</v>
      </c>
      <c r="M444">
        <v>1079.3499999999999</v>
      </c>
      <c r="N444">
        <v>763.53</v>
      </c>
      <c r="O444" t="s">
        <v>51</v>
      </c>
      <c r="P444">
        <v>2</v>
      </c>
      <c r="Q444" t="str">
        <f t="shared" si="36"/>
        <v>April</v>
      </c>
      <c r="R444" t="str">
        <f t="shared" si="37"/>
        <v>Q2</v>
      </c>
      <c r="S444">
        <f t="shared" si="38"/>
        <v>2024</v>
      </c>
      <c r="T444">
        <f t="shared" si="39"/>
        <v>2060198.7100000007</v>
      </c>
      <c r="U444">
        <f t="shared" si="40"/>
        <v>675614.45000000088</v>
      </c>
      <c r="V444">
        <f t="shared" si="41"/>
        <v>2.0493704064500071</v>
      </c>
    </row>
    <row r="445" spans="1:22" x14ac:dyDescent="0.35">
      <c r="A445" t="s">
        <v>958</v>
      </c>
      <c r="B445" s="1">
        <v>45296</v>
      </c>
      <c r="C445" t="s">
        <v>959</v>
      </c>
      <c r="D445" t="s">
        <v>29</v>
      </c>
      <c r="E445" t="s">
        <v>38</v>
      </c>
      <c r="F445" t="s">
        <v>39</v>
      </c>
      <c r="G445" t="s">
        <v>22</v>
      </c>
      <c r="H445" t="s">
        <v>23</v>
      </c>
      <c r="I445">
        <v>7</v>
      </c>
      <c r="J445">
        <v>1046.33</v>
      </c>
      <c r="K445">
        <v>0.05</v>
      </c>
      <c r="L445">
        <v>6958.09</v>
      </c>
      <c r="M445">
        <v>5530.77</v>
      </c>
      <c r="N445">
        <v>1427.32</v>
      </c>
      <c r="O445" t="s">
        <v>33</v>
      </c>
      <c r="P445">
        <v>5</v>
      </c>
      <c r="Q445" t="str">
        <f t="shared" si="36"/>
        <v>January</v>
      </c>
      <c r="R445" t="str">
        <f t="shared" si="37"/>
        <v>Q1</v>
      </c>
      <c r="S445">
        <f t="shared" si="38"/>
        <v>2024</v>
      </c>
      <c r="T445">
        <f t="shared" si="39"/>
        <v>2058355.8300000005</v>
      </c>
      <c r="U445">
        <f t="shared" si="40"/>
        <v>674850.92000000086</v>
      </c>
      <c r="V445">
        <f t="shared" si="41"/>
        <v>2.0500896849929431</v>
      </c>
    </row>
    <row r="446" spans="1:22" x14ac:dyDescent="0.35">
      <c r="A446" t="s">
        <v>960</v>
      </c>
      <c r="B446" s="1">
        <v>45649</v>
      </c>
      <c r="C446" t="s">
        <v>961</v>
      </c>
      <c r="D446" t="s">
        <v>29</v>
      </c>
      <c r="E446" t="s">
        <v>38</v>
      </c>
      <c r="F446" t="s">
        <v>39</v>
      </c>
      <c r="G446" t="s">
        <v>60</v>
      </c>
      <c r="H446" t="s">
        <v>110</v>
      </c>
      <c r="I446">
        <v>9</v>
      </c>
      <c r="J446">
        <v>1087.6199999999999</v>
      </c>
      <c r="K446">
        <v>0.1</v>
      </c>
      <c r="L446">
        <v>8809.7199999999993</v>
      </c>
      <c r="M446">
        <v>6858.35</v>
      </c>
      <c r="N446">
        <v>1951.37</v>
      </c>
      <c r="O446" t="s">
        <v>33</v>
      </c>
      <c r="P446">
        <v>4</v>
      </c>
      <c r="Q446" t="str">
        <f t="shared" si="36"/>
        <v>December</v>
      </c>
      <c r="R446" t="str">
        <f t="shared" si="37"/>
        <v>Q4</v>
      </c>
      <c r="S446">
        <f t="shared" si="38"/>
        <v>2024</v>
      </c>
      <c r="T446">
        <f t="shared" si="39"/>
        <v>2051397.7400000005</v>
      </c>
      <c r="U446">
        <f t="shared" si="40"/>
        <v>673423.60000000079</v>
      </c>
      <c r="V446">
        <f t="shared" si="41"/>
        <v>2.0462219322280926</v>
      </c>
    </row>
    <row r="447" spans="1:22" x14ac:dyDescent="0.35">
      <c r="A447" t="s">
        <v>962</v>
      </c>
      <c r="B447" s="1">
        <v>45382</v>
      </c>
      <c r="C447" t="s">
        <v>963</v>
      </c>
      <c r="D447" t="s">
        <v>29</v>
      </c>
      <c r="E447" t="s">
        <v>98</v>
      </c>
      <c r="F447" t="s">
        <v>39</v>
      </c>
      <c r="G447" t="s">
        <v>43</v>
      </c>
      <c r="H447" t="s">
        <v>173</v>
      </c>
      <c r="I447">
        <v>8</v>
      </c>
      <c r="J447">
        <v>692.66</v>
      </c>
      <c r="K447">
        <v>0.15</v>
      </c>
      <c r="L447">
        <v>4710.09</v>
      </c>
      <c r="M447">
        <v>2919.26</v>
      </c>
      <c r="N447">
        <v>1790.83</v>
      </c>
      <c r="O447" t="s">
        <v>62</v>
      </c>
      <c r="P447">
        <v>5</v>
      </c>
      <c r="Q447" t="str">
        <f t="shared" si="36"/>
        <v>March</v>
      </c>
      <c r="R447" t="str">
        <f t="shared" si="37"/>
        <v>Q1</v>
      </c>
      <c r="S447">
        <f t="shared" si="38"/>
        <v>2024</v>
      </c>
      <c r="T447">
        <f t="shared" si="39"/>
        <v>2042588.0200000003</v>
      </c>
      <c r="U447">
        <f t="shared" si="40"/>
        <v>671472.2300000008</v>
      </c>
      <c r="V447">
        <f t="shared" si="41"/>
        <v>2.0419545719709031</v>
      </c>
    </row>
    <row r="448" spans="1:22" x14ac:dyDescent="0.35">
      <c r="A448" t="s">
        <v>964</v>
      </c>
      <c r="B448" s="1">
        <v>45465</v>
      </c>
      <c r="C448" t="s">
        <v>965</v>
      </c>
      <c r="D448" t="s">
        <v>29</v>
      </c>
      <c r="E448" t="s">
        <v>30</v>
      </c>
      <c r="F448" t="s">
        <v>31</v>
      </c>
      <c r="G448" t="s">
        <v>22</v>
      </c>
      <c r="H448" t="s">
        <v>124</v>
      </c>
      <c r="I448">
        <v>9</v>
      </c>
      <c r="J448">
        <v>603.76</v>
      </c>
      <c r="K448">
        <v>0.15</v>
      </c>
      <c r="L448">
        <v>4618.76</v>
      </c>
      <c r="M448">
        <v>2888.75</v>
      </c>
      <c r="N448">
        <v>1730.01</v>
      </c>
      <c r="O448" t="s">
        <v>51</v>
      </c>
      <c r="P448">
        <v>4</v>
      </c>
      <c r="Q448" t="str">
        <f t="shared" si="36"/>
        <v>June</v>
      </c>
      <c r="R448" t="str">
        <f t="shared" si="37"/>
        <v>Q2</v>
      </c>
      <c r="S448">
        <f t="shared" si="38"/>
        <v>2024</v>
      </c>
      <c r="T448">
        <f t="shared" si="39"/>
        <v>2037877.9300000002</v>
      </c>
      <c r="U448">
        <f t="shared" si="40"/>
        <v>669681.40000000084</v>
      </c>
      <c r="V448">
        <f t="shared" si="41"/>
        <v>2.0430558919510049</v>
      </c>
    </row>
    <row r="449" spans="1:22" x14ac:dyDescent="0.35">
      <c r="A449" t="s">
        <v>966</v>
      </c>
      <c r="B449" s="1">
        <v>45369</v>
      </c>
      <c r="C449" t="s">
        <v>967</v>
      </c>
      <c r="D449" t="s">
        <v>49</v>
      </c>
      <c r="E449" t="s">
        <v>85</v>
      </c>
      <c r="F449" t="s">
        <v>31</v>
      </c>
      <c r="G449" t="s">
        <v>22</v>
      </c>
      <c r="H449" t="s">
        <v>74</v>
      </c>
      <c r="I449">
        <v>10</v>
      </c>
      <c r="J449">
        <v>884.51</v>
      </c>
      <c r="K449">
        <v>0.05</v>
      </c>
      <c r="L449">
        <v>8402.84</v>
      </c>
      <c r="M449">
        <v>6189.16</v>
      </c>
      <c r="N449">
        <v>2213.6799999999998</v>
      </c>
      <c r="O449" t="s">
        <v>51</v>
      </c>
      <c r="P449">
        <v>2</v>
      </c>
      <c r="Q449" t="str">
        <f t="shared" si="36"/>
        <v>March</v>
      </c>
      <c r="R449" t="str">
        <f t="shared" si="37"/>
        <v>Q1</v>
      </c>
      <c r="S449">
        <f t="shared" si="38"/>
        <v>2024</v>
      </c>
      <c r="T449">
        <f t="shared" si="39"/>
        <v>2033259.1700000004</v>
      </c>
      <c r="U449">
        <f t="shared" si="40"/>
        <v>667951.39000000083</v>
      </c>
      <c r="V449">
        <f t="shared" si="41"/>
        <v>2.0440226645834181</v>
      </c>
    </row>
    <row r="450" spans="1:22" x14ac:dyDescent="0.35">
      <c r="A450" t="s">
        <v>968</v>
      </c>
      <c r="B450" s="1">
        <v>45560</v>
      </c>
      <c r="C450" t="s">
        <v>969</v>
      </c>
      <c r="D450" t="s">
        <v>29</v>
      </c>
      <c r="E450" t="s">
        <v>98</v>
      </c>
      <c r="F450" t="s">
        <v>39</v>
      </c>
      <c r="G450" t="s">
        <v>22</v>
      </c>
      <c r="H450" t="s">
        <v>23</v>
      </c>
      <c r="I450">
        <v>1</v>
      </c>
      <c r="J450">
        <v>646.87</v>
      </c>
      <c r="K450">
        <v>0.15</v>
      </c>
      <c r="L450">
        <v>549.84</v>
      </c>
      <c r="M450">
        <v>391.69</v>
      </c>
      <c r="N450">
        <v>158.15</v>
      </c>
      <c r="O450" t="s">
        <v>24</v>
      </c>
      <c r="P450">
        <v>4</v>
      </c>
      <c r="Q450" t="str">
        <f t="shared" ref="Q450:Q513" si="42">TEXT(B450,"MMMM")</f>
        <v>September</v>
      </c>
      <c r="R450" t="str">
        <f t="shared" ref="R450:R513" si="43">"Q"&amp;ROUNDUP(MONTH(B450)/3,0)</f>
        <v>Q3</v>
      </c>
      <c r="S450">
        <f t="shared" ref="S450:S513" si="44">YEAR(B450)</f>
        <v>2024</v>
      </c>
      <c r="T450">
        <f t="shared" ref="T450:T513" si="45">SUM(L450:L1449)</f>
        <v>2024856.3300000003</v>
      </c>
      <c r="U450">
        <f t="shared" ref="U450:U513" si="46">SUM(N450:N1449)</f>
        <v>665737.71000000089</v>
      </c>
      <c r="V450">
        <f t="shared" ref="V450:V513" si="47">(T450-U450)/U450</f>
        <v>2.0415226591265165</v>
      </c>
    </row>
    <row r="451" spans="1:22" x14ac:dyDescent="0.35">
      <c r="A451" t="s">
        <v>970</v>
      </c>
      <c r="B451" s="1">
        <v>45602</v>
      </c>
      <c r="C451" t="s">
        <v>971</v>
      </c>
      <c r="D451" t="s">
        <v>66</v>
      </c>
      <c r="E451" t="s">
        <v>38</v>
      </c>
      <c r="F451" t="s">
        <v>31</v>
      </c>
      <c r="G451" t="s">
        <v>79</v>
      </c>
      <c r="H451" t="s">
        <v>80</v>
      </c>
      <c r="I451">
        <v>5</v>
      </c>
      <c r="J451">
        <v>881.74</v>
      </c>
      <c r="K451">
        <v>0.15</v>
      </c>
      <c r="L451">
        <v>3747.39</v>
      </c>
      <c r="M451">
        <v>2489.61</v>
      </c>
      <c r="N451">
        <v>1257.78</v>
      </c>
      <c r="O451" t="s">
        <v>24</v>
      </c>
      <c r="P451">
        <v>2</v>
      </c>
      <c r="Q451" t="str">
        <f t="shared" si="42"/>
        <v>November</v>
      </c>
      <c r="R451" t="str">
        <f t="shared" si="43"/>
        <v>Q4</v>
      </c>
      <c r="S451">
        <f t="shared" si="44"/>
        <v>2024</v>
      </c>
      <c r="T451">
        <f t="shared" si="45"/>
        <v>2024306.4900000002</v>
      </c>
      <c r="U451">
        <f t="shared" si="46"/>
        <v>665579.56000000087</v>
      </c>
      <c r="V451">
        <f t="shared" si="47"/>
        <v>2.0414192557235342</v>
      </c>
    </row>
    <row r="452" spans="1:22" x14ac:dyDescent="0.35">
      <c r="A452" t="s">
        <v>972</v>
      </c>
      <c r="B452" s="1">
        <v>45407</v>
      </c>
      <c r="C452" t="s">
        <v>973</v>
      </c>
      <c r="D452" t="s">
        <v>19</v>
      </c>
      <c r="E452" t="s">
        <v>30</v>
      </c>
      <c r="F452" t="s">
        <v>39</v>
      </c>
      <c r="G452" t="s">
        <v>22</v>
      </c>
      <c r="H452" t="s">
        <v>32</v>
      </c>
      <c r="I452">
        <v>4</v>
      </c>
      <c r="J452">
        <v>258.38</v>
      </c>
      <c r="K452">
        <v>0</v>
      </c>
      <c r="L452">
        <v>1033.52</v>
      </c>
      <c r="M452">
        <v>557.49</v>
      </c>
      <c r="N452">
        <v>476.03</v>
      </c>
      <c r="O452" t="s">
        <v>33</v>
      </c>
      <c r="P452">
        <v>3</v>
      </c>
      <c r="Q452" t="str">
        <f t="shared" si="42"/>
        <v>April</v>
      </c>
      <c r="R452" t="str">
        <f t="shared" si="43"/>
        <v>Q2</v>
      </c>
      <c r="S452">
        <f t="shared" si="44"/>
        <v>2024</v>
      </c>
      <c r="T452">
        <f t="shared" si="45"/>
        <v>2020559.0999999999</v>
      </c>
      <c r="U452">
        <f t="shared" si="46"/>
        <v>664321.78000000084</v>
      </c>
      <c r="V452">
        <f t="shared" si="47"/>
        <v>2.0415367384161289</v>
      </c>
    </row>
    <row r="453" spans="1:22" x14ac:dyDescent="0.35">
      <c r="A453" t="s">
        <v>974</v>
      </c>
      <c r="B453" s="1">
        <v>45307</v>
      </c>
      <c r="C453" t="s">
        <v>975</v>
      </c>
      <c r="D453" t="s">
        <v>66</v>
      </c>
      <c r="E453" t="s">
        <v>30</v>
      </c>
      <c r="F453" t="s">
        <v>39</v>
      </c>
      <c r="G453" t="s">
        <v>22</v>
      </c>
      <c r="H453" t="s">
        <v>32</v>
      </c>
      <c r="I453">
        <v>10</v>
      </c>
      <c r="J453">
        <v>784.73</v>
      </c>
      <c r="K453">
        <v>0</v>
      </c>
      <c r="L453">
        <v>7847.3</v>
      </c>
      <c r="M453">
        <v>5451.56</v>
      </c>
      <c r="N453">
        <v>2395.7399999999998</v>
      </c>
      <c r="O453" t="s">
        <v>62</v>
      </c>
      <c r="P453">
        <v>3</v>
      </c>
      <c r="Q453" t="str">
        <f t="shared" si="42"/>
        <v>January</v>
      </c>
      <c r="R453" t="str">
        <f t="shared" si="43"/>
        <v>Q1</v>
      </c>
      <c r="S453">
        <f t="shared" si="44"/>
        <v>2024</v>
      </c>
      <c r="T453">
        <f t="shared" si="45"/>
        <v>2019525.5799999998</v>
      </c>
      <c r="U453">
        <f t="shared" si="46"/>
        <v>663845.75000000081</v>
      </c>
      <c r="V453">
        <f t="shared" si="47"/>
        <v>2.0421608935509452</v>
      </c>
    </row>
    <row r="454" spans="1:22" x14ac:dyDescent="0.35">
      <c r="A454" t="s">
        <v>976</v>
      </c>
      <c r="B454" s="1">
        <v>45368</v>
      </c>
      <c r="C454" t="s">
        <v>977</v>
      </c>
      <c r="D454" t="s">
        <v>49</v>
      </c>
      <c r="E454" t="s">
        <v>20</v>
      </c>
      <c r="F454" t="s">
        <v>21</v>
      </c>
      <c r="G454" t="s">
        <v>60</v>
      </c>
      <c r="H454" t="s">
        <v>61</v>
      </c>
      <c r="I454">
        <v>11</v>
      </c>
      <c r="J454">
        <v>675.43</v>
      </c>
      <c r="K454">
        <v>0.1</v>
      </c>
      <c r="L454">
        <v>6686.76</v>
      </c>
      <c r="M454">
        <v>3640.29</v>
      </c>
      <c r="N454">
        <v>3046.47</v>
      </c>
      <c r="O454" t="s">
        <v>51</v>
      </c>
      <c r="P454">
        <v>5</v>
      </c>
      <c r="Q454" t="str">
        <f t="shared" si="42"/>
        <v>March</v>
      </c>
      <c r="R454" t="str">
        <f t="shared" si="43"/>
        <v>Q1</v>
      </c>
      <c r="S454">
        <f t="shared" si="44"/>
        <v>2024</v>
      </c>
      <c r="T454">
        <f t="shared" si="45"/>
        <v>2011678.28</v>
      </c>
      <c r="U454">
        <f t="shared" si="46"/>
        <v>661450.01000000094</v>
      </c>
      <c r="V454">
        <f t="shared" si="47"/>
        <v>2.0413156694940517</v>
      </c>
    </row>
    <row r="455" spans="1:22" x14ac:dyDescent="0.35">
      <c r="A455" t="s">
        <v>978</v>
      </c>
      <c r="B455" s="1">
        <v>45554</v>
      </c>
      <c r="C455" t="s">
        <v>979</v>
      </c>
      <c r="D455" t="s">
        <v>37</v>
      </c>
      <c r="E455" t="s">
        <v>85</v>
      </c>
      <c r="F455" t="s">
        <v>31</v>
      </c>
      <c r="G455" t="s">
        <v>79</v>
      </c>
      <c r="H455" t="s">
        <v>80</v>
      </c>
      <c r="I455">
        <v>8</v>
      </c>
      <c r="J455">
        <v>756.03</v>
      </c>
      <c r="K455">
        <v>0.15</v>
      </c>
      <c r="L455">
        <v>5141</v>
      </c>
      <c r="M455">
        <v>3070.01</v>
      </c>
      <c r="N455">
        <v>2070.9899999999998</v>
      </c>
      <c r="O455" t="s">
        <v>33</v>
      </c>
      <c r="P455">
        <v>3</v>
      </c>
      <c r="Q455" t="str">
        <f t="shared" si="42"/>
        <v>September</v>
      </c>
      <c r="R455" t="str">
        <f t="shared" si="43"/>
        <v>Q3</v>
      </c>
      <c r="S455">
        <f t="shared" si="44"/>
        <v>2024</v>
      </c>
      <c r="T455">
        <f t="shared" si="45"/>
        <v>2004991.5200000003</v>
      </c>
      <c r="U455">
        <f t="shared" si="46"/>
        <v>658403.54000000097</v>
      </c>
      <c r="V455">
        <f t="shared" si="47"/>
        <v>2.0452319864501294</v>
      </c>
    </row>
    <row r="456" spans="1:22" x14ac:dyDescent="0.35">
      <c r="A456" t="s">
        <v>980</v>
      </c>
      <c r="B456" s="1">
        <v>45314</v>
      </c>
      <c r="C456" t="s">
        <v>981</v>
      </c>
      <c r="D456" t="s">
        <v>49</v>
      </c>
      <c r="E456" t="s">
        <v>38</v>
      </c>
      <c r="F456" t="s">
        <v>31</v>
      </c>
      <c r="G456" t="s">
        <v>22</v>
      </c>
      <c r="H456" t="s">
        <v>124</v>
      </c>
      <c r="I456">
        <v>3</v>
      </c>
      <c r="J456">
        <v>59.7</v>
      </c>
      <c r="K456">
        <v>0.15</v>
      </c>
      <c r="L456">
        <v>152.24</v>
      </c>
      <c r="M456">
        <v>82.49</v>
      </c>
      <c r="N456">
        <v>69.75</v>
      </c>
      <c r="O456" t="s">
        <v>51</v>
      </c>
      <c r="P456">
        <v>3</v>
      </c>
      <c r="Q456" t="str">
        <f t="shared" si="42"/>
        <v>January</v>
      </c>
      <c r="R456" t="str">
        <f t="shared" si="43"/>
        <v>Q1</v>
      </c>
      <c r="S456">
        <f t="shared" si="44"/>
        <v>2024</v>
      </c>
      <c r="T456">
        <f t="shared" si="45"/>
        <v>1999850.5200000003</v>
      </c>
      <c r="U456">
        <f t="shared" si="46"/>
        <v>656332.55000000086</v>
      </c>
      <c r="V456">
        <f t="shared" si="47"/>
        <v>2.047007983986163</v>
      </c>
    </row>
    <row r="457" spans="1:22" x14ac:dyDescent="0.35">
      <c r="A457" t="s">
        <v>982</v>
      </c>
      <c r="B457" s="1">
        <v>45501</v>
      </c>
      <c r="C457" t="s">
        <v>983</v>
      </c>
      <c r="D457" t="s">
        <v>37</v>
      </c>
      <c r="E457" t="s">
        <v>38</v>
      </c>
      <c r="F457" t="s">
        <v>31</v>
      </c>
      <c r="G457" t="s">
        <v>22</v>
      </c>
      <c r="H457" t="s">
        <v>32</v>
      </c>
      <c r="I457">
        <v>9</v>
      </c>
      <c r="J457">
        <v>1103.96</v>
      </c>
      <c r="K457">
        <v>0</v>
      </c>
      <c r="L457">
        <v>9935.64</v>
      </c>
      <c r="M457">
        <v>8185.98</v>
      </c>
      <c r="N457">
        <v>1749.66</v>
      </c>
      <c r="O457" t="s">
        <v>62</v>
      </c>
      <c r="P457">
        <v>4</v>
      </c>
      <c r="Q457" t="str">
        <f t="shared" si="42"/>
        <v>July</v>
      </c>
      <c r="R457" t="str">
        <f t="shared" si="43"/>
        <v>Q3</v>
      </c>
      <c r="S457">
        <f t="shared" si="44"/>
        <v>2024</v>
      </c>
      <c r="T457">
        <f t="shared" si="45"/>
        <v>1999698.2800000003</v>
      </c>
      <c r="U457">
        <f t="shared" si="46"/>
        <v>656262.80000000086</v>
      </c>
      <c r="V457">
        <f t="shared" si="47"/>
        <v>2.0470998508524296</v>
      </c>
    </row>
    <row r="458" spans="1:22" x14ac:dyDescent="0.35">
      <c r="A458" t="s">
        <v>984</v>
      </c>
      <c r="B458" s="1">
        <v>45452</v>
      </c>
      <c r="C458" t="s">
        <v>985</v>
      </c>
      <c r="D458" t="s">
        <v>37</v>
      </c>
      <c r="E458" t="s">
        <v>20</v>
      </c>
      <c r="F458" t="s">
        <v>21</v>
      </c>
      <c r="G458" t="s">
        <v>60</v>
      </c>
      <c r="H458" t="s">
        <v>61</v>
      </c>
      <c r="I458">
        <v>7</v>
      </c>
      <c r="J458">
        <v>774.47</v>
      </c>
      <c r="K458">
        <v>0.05</v>
      </c>
      <c r="L458">
        <v>5150.2299999999996</v>
      </c>
      <c r="M458">
        <v>3165.14</v>
      </c>
      <c r="N458">
        <v>1985.09</v>
      </c>
      <c r="O458" t="s">
        <v>24</v>
      </c>
      <c r="P458">
        <v>3</v>
      </c>
      <c r="Q458" t="str">
        <f t="shared" si="42"/>
        <v>June</v>
      </c>
      <c r="R458" t="str">
        <f t="shared" si="43"/>
        <v>Q2</v>
      </c>
      <c r="S458">
        <f t="shared" si="44"/>
        <v>2024</v>
      </c>
      <c r="T458">
        <f t="shared" si="45"/>
        <v>1989762.6400000001</v>
      </c>
      <c r="U458">
        <f t="shared" si="46"/>
        <v>654513.14000000083</v>
      </c>
      <c r="V458">
        <f t="shared" si="47"/>
        <v>2.040065230775959</v>
      </c>
    </row>
    <row r="459" spans="1:22" x14ac:dyDescent="0.35">
      <c r="A459" t="s">
        <v>986</v>
      </c>
      <c r="B459" s="1">
        <v>45320</v>
      </c>
      <c r="C459" t="s">
        <v>987</v>
      </c>
      <c r="D459" t="s">
        <v>37</v>
      </c>
      <c r="E459" t="s">
        <v>85</v>
      </c>
      <c r="F459" t="s">
        <v>21</v>
      </c>
      <c r="G459" t="s">
        <v>79</v>
      </c>
      <c r="H459" t="s">
        <v>89</v>
      </c>
      <c r="I459">
        <v>8</v>
      </c>
      <c r="J459">
        <v>586.15</v>
      </c>
      <c r="K459">
        <v>0.15</v>
      </c>
      <c r="L459">
        <v>3985.82</v>
      </c>
      <c r="M459">
        <v>3184.38</v>
      </c>
      <c r="N459">
        <v>801.44</v>
      </c>
      <c r="O459" t="s">
        <v>51</v>
      </c>
      <c r="P459">
        <v>1</v>
      </c>
      <c r="Q459" t="str">
        <f t="shared" si="42"/>
        <v>January</v>
      </c>
      <c r="R459" t="str">
        <f t="shared" si="43"/>
        <v>Q1</v>
      </c>
      <c r="S459">
        <f t="shared" si="44"/>
        <v>2024</v>
      </c>
      <c r="T459">
        <f t="shared" si="45"/>
        <v>1984612.4100000001</v>
      </c>
      <c r="U459">
        <f t="shared" si="46"/>
        <v>652528.05000000086</v>
      </c>
      <c r="V459">
        <f t="shared" si="47"/>
        <v>2.0414208400696303</v>
      </c>
    </row>
    <row r="460" spans="1:22" x14ac:dyDescent="0.35">
      <c r="A460" t="s">
        <v>988</v>
      </c>
      <c r="B460" s="1">
        <v>45593</v>
      </c>
      <c r="C460" t="s">
        <v>989</v>
      </c>
      <c r="D460" t="s">
        <v>66</v>
      </c>
      <c r="E460" t="s">
        <v>98</v>
      </c>
      <c r="F460" t="s">
        <v>39</v>
      </c>
      <c r="G460" t="s">
        <v>22</v>
      </c>
      <c r="H460" t="s">
        <v>32</v>
      </c>
      <c r="I460">
        <v>3</v>
      </c>
      <c r="J460">
        <v>748.4</v>
      </c>
      <c r="K460">
        <v>0.05</v>
      </c>
      <c r="L460">
        <v>2132.94</v>
      </c>
      <c r="M460">
        <v>1556.96</v>
      </c>
      <c r="N460">
        <v>575.98</v>
      </c>
      <c r="O460" t="s">
        <v>62</v>
      </c>
      <c r="P460">
        <v>2</v>
      </c>
      <c r="Q460" t="str">
        <f t="shared" si="42"/>
        <v>October</v>
      </c>
      <c r="R460" t="str">
        <f t="shared" si="43"/>
        <v>Q4</v>
      </c>
      <c r="S460">
        <f t="shared" si="44"/>
        <v>2024</v>
      </c>
      <c r="T460">
        <f t="shared" si="45"/>
        <v>1980626.59</v>
      </c>
      <c r="U460">
        <f t="shared" si="46"/>
        <v>651726.6100000008</v>
      </c>
      <c r="V460">
        <f t="shared" si="47"/>
        <v>2.039045145018703</v>
      </c>
    </row>
    <row r="461" spans="1:22" x14ac:dyDescent="0.35">
      <c r="A461" t="s">
        <v>990</v>
      </c>
      <c r="B461" s="1">
        <v>45657</v>
      </c>
      <c r="C461" t="s">
        <v>991</v>
      </c>
      <c r="D461" t="s">
        <v>19</v>
      </c>
      <c r="E461" t="s">
        <v>38</v>
      </c>
      <c r="F461" t="s">
        <v>39</v>
      </c>
      <c r="G461" t="s">
        <v>60</v>
      </c>
      <c r="H461" t="s">
        <v>110</v>
      </c>
      <c r="I461">
        <v>11</v>
      </c>
      <c r="J461">
        <v>705.06</v>
      </c>
      <c r="K461">
        <v>0.1</v>
      </c>
      <c r="L461">
        <v>6980.09</v>
      </c>
      <c r="M461">
        <v>5785.27</v>
      </c>
      <c r="N461">
        <v>1194.82</v>
      </c>
      <c r="O461" t="s">
        <v>33</v>
      </c>
      <c r="P461">
        <v>3</v>
      </c>
      <c r="Q461" t="str">
        <f t="shared" si="42"/>
        <v>December</v>
      </c>
      <c r="R461" t="str">
        <f t="shared" si="43"/>
        <v>Q4</v>
      </c>
      <c r="S461">
        <f t="shared" si="44"/>
        <v>2024</v>
      </c>
      <c r="T461">
        <f t="shared" si="45"/>
        <v>1978493.6500000001</v>
      </c>
      <c r="U461">
        <f t="shared" si="46"/>
        <v>651150.63000000082</v>
      </c>
      <c r="V461">
        <f t="shared" si="47"/>
        <v>2.0384577067828342</v>
      </c>
    </row>
    <row r="462" spans="1:22" x14ac:dyDescent="0.35">
      <c r="A462" t="s">
        <v>992</v>
      </c>
      <c r="B462" s="1">
        <v>45468</v>
      </c>
      <c r="C462" t="s">
        <v>993</v>
      </c>
      <c r="D462" t="s">
        <v>37</v>
      </c>
      <c r="E462" t="s">
        <v>20</v>
      </c>
      <c r="F462" t="s">
        <v>31</v>
      </c>
      <c r="G462" t="s">
        <v>60</v>
      </c>
      <c r="H462" t="s">
        <v>110</v>
      </c>
      <c r="I462">
        <v>2</v>
      </c>
      <c r="J462">
        <v>86.62</v>
      </c>
      <c r="K462">
        <v>0.15</v>
      </c>
      <c r="L462">
        <v>147.25</v>
      </c>
      <c r="M462">
        <v>89.78</v>
      </c>
      <c r="N462">
        <v>57.47</v>
      </c>
      <c r="O462" t="s">
        <v>33</v>
      </c>
      <c r="P462">
        <v>4</v>
      </c>
      <c r="Q462" t="str">
        <f t="shared" si="42"/>
        <v>June</v>
      </c>
      <c r="R462" t="str">
        <f t="shared" si="43"/>
        <v>Q2</v>
      </c>
      <c r="S462">
        <f t="shared" si="44"/>
        <v>2024</v>
      </c>
      <c r="T462">
        <f t="shared" si="45"/>
        <v>1971513.5600000003</v>
      </c>
      <c r="U462">
        <f t="shared" si="46"/>
        <v>649955.81000000075</v>
      </c>
      <c r="V462">
        <f t="shared" si="47"/>
        <v>2.0333040026213443</v>
      </c>
    </row>
    <row r="463" spans="1:22" x14ac:dyDescent="0.35">
      <c r="A463" t="s">
        <v>994</v>
      </c>
      <c r="B463" s="1">
        <v>45419</v>
      </c>
      <c r="C463" t="s">
        <v>995</v>
      </c>
      <c r="D463" t="s">
        <v>49</v>
      </c>
      <c r="E463" t="s">
        <v>20</v>
      </c>
      <c r="F463" t="s">
        <v>31</v>
      </c>
      <c r="G463" t="s">
        <v>22</v>
      </c>
      <c r="H463" t="s">
        <v>23</v>
      </c>
      <c r="I463">
        <v>4</v>
      </c>
      <c r="J463">
        <v>88.53</v>
      </c>
      <c r="K463">
        <v>0</v>
      </c>
      <c r="L463">
        <v>354.12</v>
      </c>
      <c r="M463">
        <v>276.85000000000002</v>
      </c>
      <c r="N463">
        <v>77.27</v>
      </c>
      <c r="O463" t="s">
        <v>24</v>
      </c>
      <c r="P463">
        <v>2</v>
      </c>
      <c r="Q463" t="str">
        <f t="shared" si="42"/>
        <v>May</v>
      </c>
      <c r="R463" t="str">
        <f t="shared" si="43"/>
        <v>Q2</v>
      </c>
      <c r="S463">
        <f t="shared" si="44"/>
        <v>2024</v>
      </c>
      <c r="T463">
        <f t="shared" si="45"/>
        <v>1971366.3100000003</v>
      </c>
      <c r="U463">
        <f t="shared" si="46"/>
        <v>649898.34000000078</v>
      </c>
      <c r="V463">
        <f t="shared" si="47"/>
        <v>2.0333456614152885</v>
      </c>
    </row>
    <row r="464" spans="1:22" x14ac:dyDescent="0.35">
      <c r="A464" t="s">
        <v>996</v>
      </c>
      <c r="B464" s="1">
        <v>45331</v>
      </c>
      <c r="C464" t="s">
        <v>997</v>
      </c>
      <c r="D464" t="s">
        <v>49</v>
      </c>
      <c r="E464" t="s">
        <v>38</v>
      </c>
      <c r="F464" t="s">
        <v>31</v>
      </c>
      <c r="G464" t="s">
        <v>22</v>
      </c>
      <c r="H464" t="s">
        <v>32</v>
      </c>
      <c r="I464">
        <v>3</v>
      </c>
      <c r="J464">
        <v>1190.57</v>
      </c>
      <c r="K464">
        <v>0.15</v>
      </c>
      <c r="L464">
        <v>3035.95</v>
      </c>
      <c r="M464">
        <v>1649.7</v>
      </c>
      <c r="N464">
        <v>1386.25</v>
      </c>
      <c r="O464" t="s">
        <v>24</v>
      </c>
      <c r="P464">
        <v>1</v>
      </c>
      <c r="Q464" t="str">
        <f t="shared" si="42"/>
        <v>February</v>
      </c>
      <c r="R464" t="str">
        <f t="shared" si="43"/>
        <v>Q1</v>
      </c>
      <c r="S464">
        <f t="shared" si="44"/>
        <v>2024</v>
      </c>
      <c r="T464">
        <f t="shared" si="45"/>
        <v>1971012.1900000002</v>
      </c>
      <c r="U464">
        <f t="shared" si="46"/>
        <v>649821.07000000076</v>
      </c>
      <c r="V464">
        <f t="shared" si="47"/>
        <v>2.0331614054927427</v>
      </c>
    </row>
    <row r="465" spans="1:22" x14ac:dyDescent="0.35">
      <c r="A465" t="s">
        <v>998</v>
      </c>
      <c r="B465" s="1">
        <v>45404</v>
      </c>
      <c r="C465" t="s">
        <v>999</v>
      </c>
      <c r="D465" t="s">
        <v>66</v>
      </c>
      <c r="E465" t="s">
        <v>30</v>
      </c>
      <c r="F465" t="s">
        <v>21</v>
      </c>
      <c r="G465" t="s">
        <v>79</v>
      </c>
      <c r="H465" t="s">
        <v>89</v>
      </c>
      <c r="I465">
        <v>11</v>
      </c>
      <c r="J465">
        <v>683.83</v>
      </c>
      <c r="K465">
        <v>0.1</v>
      </c>
      <c r="L465">
        <v>6769.92</v>
      </c>
      <c r="M465">
        <v>4195.58</v>
      </c>
      <c r="N465">
        <v>2574.34</v>
      </c>
      <c r="O465" t="s">
        <v>51</v>
      </c>
      <c r="P465">
        <v>3</v>
      </c>
      <c r="Q465" t="str">
        <f t="shared" si="42"/>
        <v>April</v>
      </c>
      <c r="R465" t="str">
        <f t="shared" si="43"/>
        <v>Q2</v>
      </c>
      <c r="S465">
        <f t="shared" si="44"/>
        <v>2024</v>
      </c>
      <c r="T465">
        <f t="shared" si="45"/>
        <v>1967976.2400000002</v>
      </c>
      <c r="U465">
        <f t="shared" si="46"/>
        <v>648434.82000000076</v>
      </c>
      <c r="V465">
        <f t="shared" si="47"/>
        <v>2.034963853421687</v>
      </c>
    </row>
    <row r="466" spans="1:22" x14ac:dyDescent="0.35">
      <c r="A466" t="s">
        <v>1000</v>
      </c>
      <c r="B466" s="1">
        <v>45398</v>
      </c>
      <c r="C466" t="s">
        <v>1001</v>
      </c>
      <c r="D466" t="s">
        <v>37</v>
      </c>
      <c r="E466" t="s">
        <v>30</v>
      </c>
      <c r="F466" t="s">
        <v>21</v>
      </c>
      <c r="G466" t="s">
        <v>60</v>
      </c>
      <c r="H466" t="s">
        <v>110</v>
      </c>
      <c r="I466">
        <v>2</v>
      </c>
      <c r="J466">
        <v>338.9</v>
      </c>
      <c r="K466">
        <v>0.05</v>
      </c>
      <c r="L466">
        <v>643.91</v>
      </c>
      <c r="M466">
        <v>423.74</v>
      </c>
      <c r="N466">
        <v>220.17</v>
      </c>
      <c r="O466" t="s">
        <v>24</v>
      </c>
      <c r="P466">
        <v>5</v>
      </c>
      <c r="Q466" t="str">
        <f t="shared" si="42"/>
        <v>April</v>
      </c>
      <c r="R466" t="str">
        <f t="shared" si="43"/>
        <v>Q2</v>
      </c>
      <c r="S466">
        <f t="shared" si="44"/>
        <v>2024</v>
      </c>
      <c r="T466">
        <f t="shared" si="45"/>
        <v>1961206.32</v>
      </c>
      <c r="U466">
        <f t="shared" si="46"/>
        <v>645860.48000000068</v>
      </c>
      <c r="V466">
        <f t="shared" si="47"/>
        <v>2.0365789218129557</v>
      </c>
    </row>
    <row r="467" spans="1:22" x14ac:dyDescent="0.35">
      <c r="A467" t="s">
        <v>1002</v>
      </c>
      <c r="B467" s="1">
        <v>45651</v>
      </c>
      <c r="C467" t="s">
        <v>1003</v>
      </c>
      <c r="D467" t="s">
        <v>66</v>
      </c>
      <c r="E467" t="s">
        <v>98</v>
      </c>
      <c r="F467" t="s">
        <v>31</v>
      </c>
      <c r="G467" t="s">
        <v>22</v>
      </c>
      <c r="H467" t="s">
        <v>32</v>
      </c>
      <c r="I467">
        <v>4</v>
      </c>
      <c r="J467">
        <v>202.17</v>
      </c>
      <c r="K467">
        <v>0</v>
      </c>
      <c r="L467">
        <v>808.68</v>
      </c>
      <c r="M467">
        <v>611.71</v>
      </c>
      <c r="N467">
        <v>196.97</v>
      </c>
      <c r="O467" t="s">
        <v>24</v>
      </c>
      <c r="P467">
        <v>2</v>
      </c>
      <c r="Q467" t="str">
        <f t="shared" si="42"/>
        <v>December</v>
      </c>
      <c r="R467" t="str">
        <f t="shared" si="43"/>
        <v>Q4</v>
      </c>
      <c r="S467">
        <f t="shared" si="44"/>
        <v>2024</v>
      </c>
      <c r="T467">
        <f t="shared" si="45"/>
        <v>1960562.4100000001</v>
      </c>
      <c r="U467">
        <f t="shared" si="46"/>
        <v>645640.31000000064</v>
      </c>
      <c r="V467">
        <f t="shared" si="47"/>
        <v>2.0366171065124457</v>
      </c>
    </row>
    <row r="468" spans="1:22" x14ac:dyDescent="0.35">
      <c r="A468" t="s">
        <v>1004</v>
      </c>
      <c r="B468" s="1">
        <v>45295</v>
      </c>
      <c r="C468" t="s">
        <v>1005</v>
      </c>
      <c r="D468" t="s">
        <v>29</v>
      </c>
      <c r="E468" t="s">
        <v>85</v>
      </c>
      <c r="F468" t="s">
        <v>39</v>
      </c>
      <c r="G468" t="s">
        <v>43</v>
      </c>
      <c r="H468" t="s">
        <v>44</v>
      </c>
      <c r="I468">
        <v>6</v>
      </c>
      <c r="J468">
        <v>645.9</v>
      </c>
      <c r="K468">
        <v>0.15</v>
      </c>
      <c r="L468">
        <v>3294.09</v>
      </c>
      <c r="M468">
        <v>2516.4499999999998</v>
      </c>
      <c r="N468">
        <v>777.64</v>
      </c>
      <c r="O468" t="s">
        <v>33</v>
      </c>
      <c r="P468">
        <v>2</v>
      </c>
      <c r="Q468" t="str">
        <f t="shared" si="42"/>
        <v>January</v>
      </c>
      <c r="R468" t="str">
        <f t="shared" si="43"/>
        <v>Q1</v>
      </c>
      <c r="S468">
        <f t="shared" si="44"/>
        <v>2024</v>
      </c>
      <c r="T468">
        <f t="shared" si="45"/>
        <v>1959753.73</v>
      </c>
      <c r="U468">
        <f t="shared" si="46"/>
        <v>645443.34000000067</v>
      </c>
      <c r="V468">
        <f t="shared" si="47"/>
        <v>2.0362908849597825</v>
      </c>
    </row>
    <row r="469" spans="1:22" x14ac:dyDescent="0.35">
      <c r="A469" t="s">
        <v>1006</v>
      </c>
      <c r="B469" s="1">
        <v>45653</v>
      </c>
      <c r="C469" t="s">
        <v>1007</v>
      </c>
      <c r="D469" t="s">
        <v>29</v>
      </c>
      <c r="E469" t="s">
        <v>30</v>
      </c>
      <c r="F469" t="s">
        <v>31</v>
      </c>
      <c r="G469" t="s">
        <v>79</v>
      </c>
      <c r="H469" t="s">
        <v>80</v>
      </c>
      <c r="I469">
        <v>10</v>
      </c>
      <c r="J469">
        <v>336.66</v>
      </c>
      <c r="K469">
        <v>0.05</v>
      </c>
      <c r="L469">
        <v>3198.27</v>
      </c>
      <c r="M469">
        <v>2688.05</v>
      </c>
      <c r="N469">
        <v>510.22</v>
      </c>
      <c r="O469" t="s">
        <v>62</v>
      </c>
      <c r="P469">
        <v>1</v>
      </c>
      <c r="Q469" t="str">
        <f t="shared" si="42"/>
        <v>December</v>
      </c>
      <c r="R469" t="str">
        <f t="shared" si="43"/>
        <v>Q4</v>
      </c>
      <c r="S469">
        <f t="shared" si="44"/>
        <v>2024</v>
      </c>
      <c r="T469">
        <f t="shared" si="45"/>
        <v>1956459.6400000001</v>
      </c>
      <c r="U469">
        <f t="shared" si="46"/>
        <v>644665.70000000065</v>
      </c>
      <c r="V469">
        <f t="shared" si="47"/>
        <v>2.0348437027128914</v>
      </c>
    </row>
    <row r="470" spans="1:22" x14ac:dyDescent="0.35">
      <c r="A470" t="s">
        <v>1008</v>
      </c>
      <c r="B470" s="1">
        <v>45479</v>
      </c>
      <c r="C470" t="s">
        <v>1009</v>
      </c>
      <c r="D470" t="s">
        <v>37</v>
      </c>
      <c r="E470" t="s">
        <v>98</v>
      </c>
      <c r="F470" t="s">
        <v>39</v>
      </c>
      <c r="G470" t="s">
        <v>22</v>
      </c>
      <c r="H470" t="s">
        <v>32</v>
      </c>
      <c r="I470">
        <v>12</v>
      </c>
      <c r="J470">
        <v>211.85</v>
      </c>
      <c r="K470">
        <v>0</v>
      </c>
      <c r="L470">
        <v>2542.1999999999998</v>
      </c>
      <c r="M470">
        <v>1435.85</v>
      </c>
      <c r="N470">
        <v>1106.3499999999999</v>
      </c>
      <c r="O470" t="s">
        <v>33</v>
      </c>
      <c r="P470">
        <v>2</v>
      </c>
      <c r="Q470" t="str">
        <f t="shared" si="42"/>
        <v>July</v>
      </c>
      <c r="R470" t="str">
        <f t="shared" si="43"/>
        <v>Q3</v>
      </c>
      <c r="S470">
        <f t="shared" si="44"/>
        <v>2024</v>
      </c>
      <c r="T470">
        <f t="shared" si="45"/>
        <v>1953261.37</v>
      </c>
      <c r="U470">
        <f t="shared" si="46"/>
        <v>644155.48000000068</v>
      </c>
      <c r="V470">
        <f t="shared" si="47"/>
        <v>2.0322824700645223</v>
      </c>
    </row>
    <row r="471" spans="1:22" x14ac:dyDescent="0.35">
      <c r="A471" t="s">
        <v>1010</v>
      </c>
      <c r="B471" s="1">
        <v>45541</v>
      </c>
      <c r="C471" t="s">
        <v>1011</v>
      </c>
      <c r="D471" t="s">
        <v>49</v>
      </c>
      <c r="E471" t="s">
        <v>20</v>
      </c>
      <c r="F471" t="s">
        <v>31</v>
      </c>
      <c r="G471" t="s">
        <v>43</v>
      </c>
      <c r="H471" t="s">
        <v>173</v>
      </c>
      <c r="I471">
        <v>11</v>
      </c>
      <c r="J471">
        <v>866.01</v>
      </c>
      <c r="K471">
        <v>0.05</v>
      </c>
      <c r="L471">
        <v>9049.7999999999993</v>
      </c>
      <c r="M471">
        <v>4546.6400000000003</v>
      </c>
      <c r="N471">
        <v>4503.16</v>
      </c>
      <c r="O471" t="s">
        <v>24</v>
      </c>
      <c r="P471">
        <v>5</v>
      </c>
      <c r="Q471" t="str">
        <f t="shared" si="42"/>
        <v>September</v>
      </c>
      <c r="R471" t="str">
        <f t="shared" si="43"/>
        <v>Q3</v>
      </c>
      <c r="S471">
        <f t="shared" si="44"/>
        <v>2024</v>
      </c>
      <c r="T471">
        <f t="shared" si="45"/>
        <v>1950719.1700000002</v>
      </c>
      <c r="U471">
        <f t="shared" si="46"/>
        <v>643049.1300000007</v>
      </c>
      <c r="V471">
        <f t="shared" si="47"/>
        <v>2.0335460837961139</v>
      </c>
    </row>
    <row r="472" spans="1:22" x14ac:dyDescent="0.35">
      <c r="A472" t="s">
        <v>1012</v>
      </c>
      <c r="B472" s="1">
        <v>45619</v>
      </c>
      <c r="C472" t="s">
        <v>1013</v>
      </c>
      <c r="D472" t="s">
        <v>37</v>
      </c>
      <c r="E472" t="s">
        <v>85</v>
      </c>
      <c r="F472" t="s">
        <v>31</v>
      </c>
      <c r="G472" t="s">
        <v>60</v>
      </c>
      <c r="H472" t="s">
        <v>110</v>
      </c>
      <c r="I472">
        <v>6</v>
      </c>
      <c r="J472">
        <v>730.03</v>
      </c>
      <c r="K472">
        <v>0.15</v>
      </c>
      <c r="L472">
        <v>3723.15</v>
      </c>
      <c r="M472">
        <v>2294.6</v>
      </c>
      <c r="N472">
        <v>1428.55</v>
      </c>
      <c r="O472" t="s">
        <v>24</v>
      </c>
      <c r="P472">
        <v>3</v>
      </c>
      <c r="Q472" t="str">
        <f t="shared" si="42"/>
        <v>November</v>
      </c>
      <c r="R472" t="str">
        <f t="shared" si="43"/>
        <v>Q4</v>
      </c>
      <c r="S472">
        <f t="shared" si="44"/>
        <v>2024</v>
      </c>
      <c r="T472">
        <f t="shared" si="45"/>
        <v>1941669.3700000003</v>
      </c>
      <c r="U472">
        <f t="shared" si="46"/>
        <v>638545.97000000055</v>
      </c>
      <c r="V472">
        <f t="shared" si="47"/>
        <v>2.040766775178299</v>
      </c>
    </row>
    <row r="473" spans="1:22" x14ac:dyDescent="0.35">
      <c r="A473" t="s">
        <v>1014</v>
      </c>
      <c r="B473" s="1">
        <v>45525</v>
      </c>
      <c r="C473" t="s">
        <v>1015</v>
      </c>
      <c r="D473" t="s">
        <v>29</v>
      </c>
      <c r="E473" t="s">
        <v>20</v>
      </c>
      <c r="F473" t="s">
        <v>21</v>
      </c>
      <c r="G473" t="s">
        <v>43</v>
      </c>
      <c r="H473" t="s">
        <v>44</v>
      </c>
      <c r="I473">
        <v>2</v>
      </c>
      <c r="J473">
        <v>642.58000000000004</v>
      </c>
      <c r="K473">
        <v>0.15</v>
      </c>
      <c r="L473">
        <v>1092.3900000000001</v>
      </c>
      <c r="M473">
        <v>821.81</v>
      </c>
      <c r="N473">
        <v>270.58</v>
      </c>
      <c r="O473" t="s">
        <v>62</v>
      </c>
      <c r="P473">
        <v>2</v>
      </c>
      <c r="Q473" t="str">
        <f t="shared" si="42"/>
        <v>August</v>
      </c>
      <c r="R473" t="str">
        <f t="shared" si="43"/>
        <v>Q3</v>
      </c>
      <c r="S473">
        <f t="shared" si="44"/>
        <v>2024</v>
      </c>
      <c r="T473">
        <f t="shared" si="45"/>
        <v>1937946.2200000002</v>
      </c>
      <c r="U473">
        <f t="shared" si="46"/>
        <v>637117.42000000062</v>
      </c>
      <c r="V473">
        <f t="shared" si="47"/>
        <v>2.0417410655637047</v>
      </c>
    </row>
    <row r="474" spans="1:22" x14ac:dyDescent="0.35">
      <c r="A474" t="s">
        <v>1016</v>
      </c>
      <c r="B474" s="1">
        <v>45539</v>
      </c>
      <c r="C474" t="s">
        <v>1017</v>
      </c>
      <c r="D474" t="s">
        <v>66</v>
      </c>
      <c r="E474" t="s">
        <v>85</v>
      </c>
      <c r="F474" t="s">
        <v>21</v>
      </c>
      <c r="G474" t="s">
        <v>79</v>
      </c>
      <c r="H474" t="s">
        <v>103</v>
      </c>
      <c r="I474">
        <v>9</v>
      </c>
      <c r="J474">
        <v>987.83</v>
      </c>
      <c r="K474">
        <v>0.05</v>
      </c>
      <c r="L474">
        <v>8445.9500000000007</v>
      </c>
      <c r="M474">
        <v>6734.75</v>
      </c>
      <c r="N474">
        <v>1711.2</v>
      </c>
      <c r="O474" t="s">
        <v>33</v>
      </c>
      <c r="P474">
        <v>1</v>
      </c>
      <c r="Q474" t="str">
        <f t="shared" si="42"/>
        <v>September</v>
      </c>
      <c r="R474" t="str">
        <f t="shared" si="43"/>
        <v>Q3</v>
      </c>
      <c r="S474">
        <f t="shared" si="44"/>
        <v>2024</v>
      </c>
      <c r="T474">
        <f t="shared" si="45"/>
        <v>1936853.83</v>
      </c>
      <c r="U474">
        <f t="shared" si="46"/>
        <v>636846.84000000055</v>
      </c>
      <c r="V474">
        <f t="shared" si="47"/>
        <v>2.0413181134729323</v>
      </c>
    </row>
    <row r="475" spans="1:22" x14ac:dyDescent="0.35">
      <c r="A475" t="s">
        <v>1018</v>
      </c>
      <c r="B475" s="1">
        <v>45324</v>
      </c>
      <c r="C475" t="s">
        <v>1019</v>
      </c>
      <c r="D475" t="s">
        <v>29</v>
      </c>
      <c r="E475" t="s">
        <v>30</v>
      </c>
      <c r="F475" t="s">
        <v>39</v>
      </c>
      <c r="G475" t="s">
        <v>60</v>
      </c>
      <c r="H475" t="s">
        <v>61</v>
      </c>
      <c r="I475">
        <v>11</v>
      </c>
      <c r="J475">
        <v>12.54</v>
      </c>
      <c r="K475">
        <v>0.05</v>
      </c>
      <c r="L475">
        <v>131.04</v>
      </c>
      <c r="M475">
        <v>89.16</v>
      </c>
      <c r="N475">
        <v>41.88</v>
      </c>
      <c r="O475" t="s">
        <v>24</v>
      </c>
      <c r="P475">
        <v>1</v>
      </c>
      <c r="Q475" t="str">
        <f t="shared" si="42"/>
        <v>February</v>
      </c>
      <c r="R475" t="str">
        <f t="shared" si="43"/>
        <v>Q1</v>
      </c>
      <c r="S475">
        <f t="shared" si="44"/>
        <v>2024</v>
      </c>
      <c r="T475">
        <f t="shared" si="45"/>
        <v>1928407.8800000004</v>
      </c>
      <c r="U475">
        <f t="shared" si="46"/>
        <v>635135.6400000006</v>
      </c>
      <c r="V475">
        <f t="shared" si="47"/>
        <v>2.0362142486603312</v>
      </c>
    </row>
    <row r="476" spans="1:22" x14ac:dyDescent="0.35">
      <c r="A476" t="s">
        <v>1020</v>
      </c>
      <c r="B476" s="1">
        <v>45647</v>
      </c>
      <c r="C476" t="s">
        <v>1021</v>
      </c>
      <c r="D476" t="s">
        <v>49</v>
      </c>
      <c r="E476" t="s">
        <v>30</v>
      </c>
      <c r="F476" t="s">
        <v>21</v>
      </c>
      <c r="G476" t="s">
        <v>22</v>
      </c>
      <c r="H476" t="s">
        <v>74</v>
      </c>
      <c r="I476">
        <v>9</v>
      </c>
      <c r="J476">
        <v>1120.54</v>
      </c>
      <c r="K476">
        <v>0.1</v>
      </c>
      <c r="L476">
        <v>9076.3700000000008</v>
      </c>
      <c r="M476">
        <v>5918.91</v>
      </c>
      <c r="N476">
        <v>3157.46</v>
      </c>
      <c r="O476" t="s">
        <v>24</v>
      </c>
      <c r="P476">
        <v>5</v>
      </c>
      <c r="Q476" t="str">
        <f t="shared" si="42"/>
        <v>December</v>
      </c>
      <c r="R476" t="str">
        <f t="shared" si="43"/>
        <v>Q4</v>
      </c>
      <c r="S476">
        <f t="shared" si="44"/>
        <v>2024</v>
      </c>
      <c r="T476">
        <f t="shared" si="45"/>
        <v>1928276.8400000003</v>
      </c>
      <c r="U476">
        <f t="shared" si="46"/>
        <v>635093.76000000059</v>
      </c>
      <c r="V476">
        <f t="shared" si="47"/>
        <v>2.0362081340556681</v>
      </c>
    </row>
    <row r="477" spans="1:22" x14ac:dyDescent="0.35">
      <c r="A477" t="s">
        <v>1022</v>
      </c>
      <c r="B477" s="1">
        <v>45517</v>
      </c>
      <c r="C477" t="s">
        <v>1023</v>
      </c>
      <c r="D477" t="s">
        <v>29</v>
      </c>
      <c r="E477" t="s">
        <v>20</v>
      </c>
      <c r="F477" t="s">
        <v>31</v>
      </c>
      <c r="G477" t="s">
        <v>22</v>
      </c>
      <c r="H477" t="s">
        <v>23</v>
      </c>
      <c r="I477">
        <v>5</v>
      </c>
      <c r="J477">
        <v>282.73</v>
      </c>
      <c r="K477">
        <v>0.15</v>
      </c>
      <c r="L477">
        <v>1201.5999999999999</v>
      </c>
      <c r="M477">
        <v>632.65</v>
      </c>
      <c r="N477">
        <v>568.95000000000005</v>
      </c>
      <c r="O477" t="s">
        <v>51</v>
      </c>
      <c r="P477">
        <v>4</v>
      </c>
      <c r="Q477" t="str">
        <f t="shared" si="42"/>
        <v>August</v>
      </c>
      <c r="R477" t="str">
        <f t="shared" si="43"/>
        <v>Q3</v>
      </c>
      <c r="S477">
        <f t="shared" si="44"/>
        <v>2024</v>
      </c>
      <c r="T477">
        <f t="shared" si="45"/>
        <v>1919200.4700000004</v>
      </c>
      <c r="U477">
        <f t="shared" si="46"/>
        <v>631936.30000000063</v>
      </c>
      <c r="V477">
        <f t="shared" si="47"/>
        <v>2.037015708703549</v>
      </c>
    </row>
    <row r="478" spans="1:22" x14ac:dyDescent="0.35">
      <c r="A478" t="s">
        <v>1024</v>
      </c>
      <c r="B478" s="1">
        <v>45510</v>
      </c>
      <c r="C478" t="s">
        <v>1025</v>
      </c>
      <c r="D478" t="s">
        <v>19</v>
      </c>
      <c r="E478" t="s">
        <v>20</v>
      </c>
      <c r="F478" t="s">
        <v>39</v>
      </c>
      <c r="G478" t="s">
        <v>22</v>
      </c>
      <c r="H478" t="s">
        <v>124</v>
      </c>
      <c r="I478">
        <v>6</v>
      </c>
      <c r="J478">
        <v>696.76</v>
      </c>
      <c r="K478">
        <v>0</v>
      </c>
      <c r="L478">
        <v>4180.5600000000004</v>
      </c>
      <c r="M478">
        <v>3492.75</v>
      </c>
      <c r="N478">
        <v>687.81</v>
      </c>
      <c r="O478" t="s">
        <v>24</v>
      </c>
      <c r="P478">
        <v>2</v>
      </c>
      <c r="Q478" t="str">
        <f t="shared" si="42"/>
        <v>August</v>
      </c>
      <c r="R478" t="str">
        <f t="shared" si="43"/>
        <v>Q3</v>
      </c>
      <c r="S478">
        <f t="shared" si="44"/>
        <v>2024</v>
      </c>
      <c r="T478">
        <f t="shared" si="45"/>
        <v>1917998.8700000003</v>
      </c>
      <c r="U478">
        <f t="shared" si="46"/>
        <v>631367.35000000056</v>
      </c>
      <c r="V478">
        <f t="shared" si="47"/>
        <v>2.0378493122902199</v>
      </c>
    </row>
    <row r="479" spans="1:22" x14ac:dyDescent="0.35">
      <c r="A479" t="s">
        <v>1026</v>
      </c>
      <c r="B479" s="1">
        <v>45536</v>
      </c>
      <c r="C479" t="s">
        <v>1027</v>
      </c>
      <c r="D479" t="s">
        <v>19</v>
      </c>
      <c r="E479" t="s">
        <v>85</v>
      </c>
      <c r="F479" t="s">
        <v>39</v>
      </c>
      <c r="G479" t="s">
        <v>22</v>
      </c>
      <c r="H479" t="s">
        <v>74</v>
      </c>
      <c r="I479">
        <v>10</v>
      </c>
      <c r="J479">
        <v>340.97</v>
      </c>
      <c r="K479">
        <v>0</v>
      </c>
      <c r="L479">
        <v>3409.7</v>
      </c>
      <c r="M479">
        <v>2747.38</v>
      </c>
      <c r="N479">
        <v>662.32</v>
      </c>
      <c r="O479" t="s">
        <v>24</v>
      </c>
      <c r="P479">
        <v>4</v>
      </c>
      <c r="Q479" t="str">
        <f t="shared" si="42"/>
        <v>September</v>
      </c>
      <c r="R479" t="str">
        <f t="shared" si="43"/>
        <v>Q3</v>
      </c>
      <c r="S479">
        <f t="shared" si="44"/>
        <v>2024</v>
      </c>
      <c r="T479">
        <f t="shared" si="45"/>
        <v>1913818.3100000003</v>
      </c>
      <c r="U479">
        <f t="shared" si="46"/>
        <v>630679.54000000062</v>
      </c>
      <c r="V479">
        <f t="shared" si="47"/>
        <v>2.0345336872669093</v>
      </c>
    </row>
    <row r="480" spans="1:22" x14ac:dyDescent="0.35">
      <c r="A480" t="s">
        <v>1028</v>
      </c>
      <c r="B480" s="1">
        <v>45454</v>
      </c>
      <c r="C480" t="s">
        <v>1029</v>
      </c>
      <c r="D480" t="s">
        <v>37</v>
      </c>
      <c r="E480" t="s">
        <v>85</v>
      </c>
      <c r="F480" t="s">
        <v>31</v>
      </c>
      <c r="G480" t="s">
        <v>22</v>
      </c>
      <c r="H480" t="s">
        <v>124</v>
      </c>
      <c r="I480">
        <v>8</v>
      </c>
      <c r="J480">
        <v>343.94</v>
      </c>
      <c r="K480">
        <v>0.1</v>
      </c>
      <c r="L480">
        <v>2476.37</v>
      </c>
      <c r="M480">
        <v>1448.92</v>
      </c>
      <c r="N480">
        <v>1027.45</v>
      </c>
      <c r="O480" t="s">
        <v>33</v>
      </c>
      <c r="P480">
        <v>5</v>
      </c>
      <c r="Q480" t="str">
        <f t="shared" si="42"/>
        <v>June</v>
      </c>
      <c r="R480" t="str">
        <f t="shared" si="43"/>
        <v>Q2</v>
      </c>
      <c r="S480">
        <f t="shared" si="44"/>
        <v>2024</v>
      </c>
      <c r="T480">
        <f t="shared" si="45"/>
        <v>1910408.6100000003</v>
      </c>
      <c r="U480">
        <f t="shared" si="46"/>
        <v>630017.22000000055</v>
      </c>
      <c r="V480">
        <f t="shared" si="47"/>
        <v>2.0323117358601697</v>
      </c>
    </row>
    <row r="481" spans="1:22" x14ac:dyDescent="0.35">
      <c r="A481" t="s">
        <v>1030</v>
      </c>
      <c r="B481" s="1">
        <v>45532</v>
      </c>
      <c r="C481" t="s">
        <v>1031</v>
      </c>
      <c r="D481" t="s">
        <v>49</v>
      </c>
      <c r="E481" t="s">
        <v>38</v>
      </c>
      <c r="F481" t="s">
        <v>39</v>
      </c>
      <c r="G481" t="s">
        <v>60</v>
      </c>
      <c r="H481" t="s">
        <v>119</v>
      </c>
      <c r="I481">
        <v>9</v>
      </c>
      <c r="J481">
        <v>886.22</v>
      </c>
      <c r="K481">
        <v>0</v>
      </c>
      <c r="L481">
        <v>7975.98</v>
      </c>
      <c r="M481">
        <v>5408</v>
      </c>
      <c r="N481">
        <v>2567.98</v>
      </c>
      <c r="O481" t="s">
        <v>24</v>
      </c>
      <c r="P481">
        <v>3</v>
      </c>
      <c r="Q481" t="str">
        <f t="shared" si="42"/>
        <v>August</v>
      </c>
      <c r="R481" t="str">
        <f t="shared" si="43"/>
        <v>Q3</v>
      </c>
      <c r="S481">
        <f t="shared" si="44"/>
        <v>2024</v>
      </c>
      <c r="T481">
        <f t="shared" si="45"/>
        <v>1907932.2400000005</v>
      </c>
      <c r="U481">
        <f t="shared" si="46"/>
        <v>628989.77000000048</v>
      </c>
      <c r="V481">
        <f t="shared" si="47"/>
        <v>2.0333279347293662</v>
      </c>
    </row>
    <row r="482" spans="1:22" x14ac:dyDescent="0.35">
      <c r="A482" t="s">
        <v>1032</v>
      </c>
      <c r="B482" s="1">
        <v>45445</v>
      </c>
      <c r="C482" t="s">
        <v>1033</v>
      </c>
      <c r="D482" t="s">
        <v>66</v>
      </c>
      <c r="E482" t="s">
        <v>98</v>
      </c>
      <c r="F482" t="s">
        <v>21</v>
      </c>
      <c r="G482" t="s">
        <v>79</v>
      </c>
      <c r="H482" t="s">
        <v>103</v>
      </c>
      <c r="I482">
        <v>2</v>
      </c>
      <c r="J482">
        <v>593.76</v>
      </c>
      <c r="K482">
        <v>0.05</v>
      </c>
      <c r="L482">
        <v>1128.1400000000001</v>
      </c>
      <c r="M482">
        <v>801.16</v>
      </c>
      <c r="N482">
        <v>326.98</v>
      </c>
      <c r="O482" t="s">
        <v>51</v>
      </c>
      <c r="P482">
        <v>5</v>
      </c>
      <c r="Q482" t="str">
        <f t="shared" si="42"/>
        <v>June</v>
      </c>
      <c r="R482" t="str">
        <f t="shared" si="43"/>
        <v>Q2</v>
      </c>
      <c r="S482">
        <f t="shared" si="44"/>
        <v>2024</v>
      </c>
      <c r="T482">
        <f t="shared" si="45"/>
        <v>1899956.26</v>
      </c>
      <c r="U482">
        <f t="shared" si="46"/>
        <v>626421.7900000005</v>
      </c>
      <c r="V482">
        <f t="shared" si="47"/>
        <v>2.0330302845946635</v>
      </c>
    </row>
    <row r="483" spans="1:22" x14ac:dyDescent="0.35">
      <c r="A483" t="s">
        <v>1034</v>
      </c>
      <c r="B483" s="1">
        <v>45584</v>
      </c>
      <c r="C483" t="s">
        <v>1035</v>
      </c>
      <c r="D483" t="s">
        <v>37</v>
      </c>
      <c r="E483" t="s">
        <v>20</v>
      </c>
      <c r="F483" t="s">
        <v>31</v>
      </c>
      <c r="G483" t="s">
        <v>60</v>
      </c>
      <c r="H483" t="s">
        <v>110</v>
      </c>
      <c r="I483">
        <v>12</v>
      </c>
      <c r="J483">
        <v>313.74</v>
      </c>
      <c r="K483">
        <v>0.05</v>
      </c>
      <c r="L483">
        <v>3576.64</v>
      </c>
      <c r="M483">
        <v>2308.4299999999998</v>
      </c>
      <c r="N483">
        <v>1268.21</v>
      </c>
      <c r="O483" t="s">
        <v>51</v>
      </c>
      <c r="P483">
        <v>3</v>
      </c>
      <c r="Q483" t="str">
        <f t="shared" si="42"/>
        <v>October</v>
      </c>
      <c r="R483" t="str">
        <f t="shared" si="43"/>
        <v>Q4</v>
      </c>
      <c r="S483">
        <f t="shared" si="44"/>
        <v>2024</v>
      </c>
      <c r="T483">
        <f t="shared" si="45"/>
        <v>1898828.1199999999</v>
      </c>
      <c r="U483">
        <f t="shared" si="46"/>
        <v>626094.81000000052</v>
      </c>
      <c r="V483">
        <f t="shared" si="47"/>
        <v>2.0328124266035656</v>
      </c>
    </row>
    <row r="484" spans="1:22" x14ac:dyDescent="0.35">
      <c r="A484" t="s">
        <v>1036</v>
      </c>
      <c r="B484" s="1">
        <v>45353</v>
      </c>
      <c r="C484" t="s">
        <v>1037</v>
      </c>
      <c r="D484" t="s">
        <v>19</v>
      </c>
      <c r="E484" t="s">
        <v>98</v>
      </c>
      <c r="F484" t="s">
        <v>39</v>
      </c>
      <c r="G484" t="s">
        <v>79</v>
      </c>
      <c r="H484" t="s">
        <v>89</v>
      </c>
      <c r="I484">
        <v>9</v>
      </c>
      <c r="J484">
        <v>969.89</v>
      </c>
      <c r="K484">
        <v>0.1</v>
      </c>
      <c r="L484">
        <v>7856.11</v>
      </c>
      <c r="M484">
        <v>5037.8100000000004</v>
      </c>
      <c r="N484">
        <v>2818.3</v>
      </c>
      <c r="O484" t="s">
        <v>33</v>
      </c>
      <c r="P484">
        <v>2</v>
      </c>
      <c r="Q484" t="str">
        <f t="shared" si="42"/>
        <v>March</v>
      </c>
      <c r="R484" t="str">
        <f t="shared" si="43"/>
        <v>Q1</v>
      </c>
      <c r="S484">
        <f t="shared" si="44"/>
        <v>2024</v>
      </c>
      <c r="T484">
        <f t="shared" si="45"/>
        <v>1895251.48</v>
      </c>
      <c r="U484">
        <f t="shared" si="46"/>
        <v>624826.60000000044</v>
      </c>
      <c r="V484">
        <f t="shared" si="47"/>
        <v>2.0332439111907186</v>
      </c>
    </row>
    <row r="485" spans="1:22" x14ac:dyDescent="0.35">
      <c r="A485" t="s">
        <v>1038</v>
      </c>
      <c r="B485" s="1">
        <v>45297</v>
      </c>
      <c r="C485" t="s">
        <v>1039</v>
      </c>
      <c r="D485" t="s">
        <v>19</v>
      </c>
      <c r="E485" t="s">
        <v>98</v>
      </c>
      <c r="F485" t="s">
        <v>21</v>
      </c>
      <c r="G485" t="s">
        <v>79</v>
      </c>
      <c r="H485" t="s">
        <v>89</v>
      </c>
      <c r="I485">
        <v>4</v>
      </c>
      <c r="J485">
        <v>618.28</v>
      </c>
      <c r="K485">
        <v>0.05</v>
      </c>
      <c r="L485">
        <v>2349.46</v>
      </c>
      <c r="M485">
        <v>1921.95</v>
      </c>
      <c r="N485">
        <v>427.51</v>
      </c>
      <c r="O485" t="s">
        <v>33</v>
      </c>
      <c r="P485">
        <v>5</v>
      </c>
      <c r="Q485" t="str">
        <f t="shared" si="42"/>
        <v>January</v>
      </c>
      <c r="R485" t="str">
        <f t="shared" si="43"/>
        <v>Q1</v>
      </c>
      <c r="S485">
        <f t="shared" si="44"/>
        <v>2024</v>
      </c>
      <c r="T485">
        <f t="shared" si="45"/>
        <v>1887395.3699999999</v>
      </c>
      <c r="U485">
        <f t="shared" si="46"/>
        <v>622008.30000000063</v>
      </c>
      <c r="V485">
        <f t="shared" si="47"/>
        <v>2.0343572103459038</v>
      </c>
    </row>
    <row r="486" spans="1:22" x14ac:dyDescent="0.35">
      <c r="A486" t="s">
        <v>1040</v>
      </c>
      <c r="B486" s="1">
        <v>45655</v>
      </c>
      <c r="C486" t="s">
        <v>1041</v>
      </c>
      <c r="D486" t="s">
        <v>49</v>
      </c>
      <c r="E486" t="s">
        <v>98</v>
      </c>
      <c r="F486" t="s">
        <v>21</v>
      </c>
      <c r="G486" t="s">
        <v>60</v>
      </c>
      <c r="H486" t="s">
        <v>61</v>
      </c>
      <c r="I486">
        <v>11</v>
      </c>
      <c r="J486">
        <v>195.3</v>
      </c>
      <c r="K486">
        <v>0.1</v>
      </c>
      <c r="L486">
        <v>1933.47</v>
      </c>
      <c r="M486">
        <v>1105.6500000000001</v>
      </c>
      <c r="N486">
        <v>827.82</v>
      </c>
      <c r="O486" t="s">
        <v>24</v>
      </c>
      <c r="P486">
        <v>4</v>
      </c>
      <c r="Q486" t="str">
        <f t="shared" si="42"/>
        <v>December</v>
      </c>
      <c r="R486" t="str">
        <f t="shared" si="43"/>
        <v>Q4</v>
      </c>
      <c r="S486">
        <f t="shared" si="44"/>
        <v>2024</v>
      </c>
      <c r="T486">
        <f t="shared" si="45"/>
        <v>1885045.91</v>
      </c>
      <c r="U486">
        <f t="shared" si="46"/>
        <v>621580.79000000062</v>
      </c>
      <c r="V486">
        <f t="shared" si="47"/>
        <v>2.0326643621016633</v>
      </c>
    </row>
    <row r="487" spans="1:22" x14ac:dyDescent="0.35">
      <c r="A487" t="s">
        <v>1042</v>
      </c>
      <c r="B487" s="1">
        <v>45408</v>
      </c>
      <c r="C487" t="s">
        <v>1043</v>
      </c>
      <c r="D487" t="s">
        <v>19</v>
      </c>
      <c r="E487" t="s">
        <v>38</v>
      </c>
      <c r="F487" t="s">
        <v>21</v>
      </c>
      <c r="G487" t="s">
        <v>43</v>
      </c>
      <c r="H487" t="s">
        <v>44</v>
      </c>
      <c r="I487">
        <v>1</v>
      </c>
      <c r="J487">
        <v>1087.46</v>
      </c>
      <c r="K487">
        <v>0.1</v>
      </c>
      <c r="L487">
        <v>978.71</v>
      </c>
      <c r="M487">
        <v>808.39</v>
      </c>
      <c r="N487">
        <v>170.32</v>
      </c>
      <c r="O487" t="s">
        <v>24</v>
      </c>
      <c r="P487">
        <v>5</v>
      </c>
      <c r="Q487" t="str">
        <f t="shared" si="42"/>
        <v>April</v>
      </c>
      <c r="R487" t="str">
        <f t="shared" si="43"/>
        <v>Q2</v>
      </c>
      <c r="S487">
        <f t="shared" si="44"/>
        <v>2024</v>
      </c>
      <c r="T487">
        <f t="shared" si="45"/>
        <v>1883112.44</v>
      </c>
      <c r="U487">
        <f t="shared" si="46"/>
        <v>620752.97000000067</v>
      </c>
      <c r="V487">
        <f t="shared" si="47"/>
        <v>2.0335939270657022</v>
      </c>
    </row>
    <row r="488" spans="1:22" x14ac:dyDescent="0.35">
      <c r="A488" t="s">
        <v>1044</v>
      </c>
      <c r="B488" s="1">
        <v>45438</v>
      </c>
      <c r="C488" t="s">
        <v>1045</v>
      </c>
      <c r="D488" t="s">
        <v>29</v>
      </c>
      <c r="E488" t="s">
        <v>38</v>
      </c>
      <c r="F488" t="s">
        <v>39</v>
      </c>
      <c r="G488" t="s">
        <v>60</v>
      </c>
      <c r="H488" t="s">
        <v>119</v>
      </c>
      <c r="I488">
        <v>5</v>
      </c>
      <c r="J488">
        <v>505.27</v>
      </c>
      <c r="K488">
        <v>0.15</v>
      </c>
      <c r="L488">
        <v>2147.4</v>
      </c>
      <c r="M488">
        <v>1105.57</v>
      </c>
      <c r="N488">
        <v>1041.83</v>
      </c>
      <c r="O488" t="s">
        <v>24</v>
      </c>
      <c r="P488">
        <v>2</v>
      </c>
      <c r="Q488" t="str">
        <f t="shared" si="42"/>
        <v>May</v>
      </c>
      <c r="R488" t="str">
        <f t="shared" si="43"/>
        <v>Q2</v>
      </c>
      <c r="S488">
        <f t="shared" si="44"/>
        <v>2024</v>
      </c>
      <c r="T488">
        <f t="shared" si="45"/>
        <v>1882133.7300000002</v>
      </c>
      <c r="U488">
        <f t="shared" si="46"/>
        <v>620582.65000000072</v>
      </c>
      <c r="V488">
        <f t="shared" si="47"/>
        <v>2.0328494198153915</v>
      </c>
    </row>
    <row r="489" spans="1:22" x14ac:dyDescent="0.35">
      <c r="A489" t="s">
        <v>1046</v>
      </c>
      <c r="B489" s="1">
        <v>45453</v>
      </c>
      <c r="C489" t="s">
        <v>1047</v>
      </c>
      <c r="D489" t="s">
        <v>29</v>
      </c>
      <c r="E489" t="s">
        <v>38</v>
      </c>
      <c r="F489" t="s">
        <v>21</v>
      </c>
      <c r="G489" t="s">
        <v>22</v>
      </c>
      <c r="H489" t="s">
        <v>23</v>
      </c>
      <c r="I489">
        <v>9</v>
      </c>
      <c r="J489">
        <v>505.25</v>
      </c>
      <c r="K489">
        <v>0</v>
      </c>
      <c r="L489">
        <v>4547.25</v>
      </c>
      <c r="M489">
        <v>2493.0300000000002</v>
      </c>
      <c r="N489">
        <v>2054.2199999999998</v>
      </c>
      <c r="O489" t="s">
        <v>51</v>
      </c>
      <c r="P489">
        <v>1</v>
      </c>
      <c r="Q489" t="str">
        <f t="shared" si="42"/>
        <v>June</v>
      </c>
      <c r="R489" t="str">
        <f t="shared" si="43"/>
        <v>Q2</v>
      </c>
      <c r="S489">
        <f t="shared" si="44"/>
        <v>2024</v>
      </c>
      <c r="T489">
        <f t="shared" si="45"/>
        <v>1879986.33</v>
      </c>
      <c r="U489">
        <f t="shared" si="46"/>
        <v>619540.82000000076</v>
      </c>
      <c r="V489">
        <f t="shared" si="47"/>
        <v>2.0344833936850164</v>
      </c>
    </row>
    <row r="490" spans="1:22" x14ac:dyDescent="0.35">
      <c r="A490" t="s">
        <v>1048</v>
      </c>
      <c r="B490" s="1">
        <v>45607</v>
      </c>
      <c r="C490" t="s">
        <v>1049</v>
      </c>
      <c r="D490" t="s">
        <v>49</v>
      </c>
      <c r="E490" t="s">
        <v>38</v>
      </c>
      <c r="F490" t="s">
        <v>39</v>
      </c>
      <c r="G490" t="s">
        <v>60</v>
      </c>
      <c r="H490" t="s">
        <v>61</v>
      </c>
      <c r="I490">
        <v>6</v>
      </c>
      <c r="J490">
        <v>1022.4</v>
      </c>
      <c r="K490">
        <v>0.15</v>
      </c>
      <c r="L490">
        <v>5214.24</v>
      </c>
      <c r="M490">
        <v>2792.26</v>
      </c>
      <c r="N490">
        <v>2421.98</v>
      </c>
      <c r="O490" t="s">
        <v>51</v>
      </c>
      <c r="P490">
        <v>1</v>
      </c>
      <c r="Q490" t="str">
        <f t="shared" si="42"/>
        <v>November</v>
      </c>
      <c r="R490" t="str">
        <f t="shared" si="43"/>
        <v>Q4</v>
      </c>
      <c r="S490">
        <f t="shared" si="44"/>
        <v>2024</v>
      </c>
      <c r="T490">
        <f t="shared" si="45"/>
        <v>1875439.08</v>
      </c>
      <c r="U490">
        <f t="shared" si="46"/>
        <v>617486.60000000068</v>
      </c>
      <c r="V490">
        <f t="shared" si="47"/>
        <v>2.0372142164704434</v>
      </c>
    </row>
    <row r="491" spans="1:22" x14ac:dyDescent="0.35">
      <c r="A491" t="s">
        <v>1050</v>
      </c>
      <c r="B491" s="1">
        <v>45489</v>
      </c>
      <c r="C491" t="s">
        <v>1051</v>
      </c>
      <c r="D491" t="s">
        <v>66</v>
      </c>
      <c r="E491" t="s">
        <v>85</v>
      </c>
      <c r="F491" t="s">
        <v>31</v>
      </c>
      <c r="G491" t="s">
        <v>79</v>
      </c>
      <c r="H491" t="s">
        <v>103</v>
      </c>
      <c r="I491">
        <v>4</v>
      </c>
      <c r="J491">
        <v>784.09</v>
      </c>
      <c r="K491">
        <v>0.05</v>
      </c>
      <c r="L491">
        <v>2979.54</v>
      </c>
      <c r="M491">
        <v>2471.5700000000002</v>
      </c>
      <c r="N491">
        <v>507.97</v>
      </c>
      <c r="O491" t="s">
        <v>51</v>
      </c>
      <c r="P491">
        <v>2</v>
      </c>
      <c r="Q491" t="str">
        <f t="shared" si="42"/>
        <v>July</v>
      </c>
      <c r="R491" t="str">
        <f t="shared" si="43"/>
        <v>Q3</v>
      </c>
      <c r="S491">
        <f t="shared" si="44"/>
        <v>2024</v>
      </c>
      <c r="T491">
        <f t="shared" si="45"/>
        <v>1870224.84</v>
      </c>
      <c r="U491">
        <f t="shared" si="46"/>
        <v>615064.62000000069</v>
      </c>
      <c r="V491">
        <f t="shared" si="47"/>
        <v>2.0406965043770486</v>
      </c>
    </row>
    <row r="492" spans="1:22" x14ac:dyDescent="0.35">
      <c r="A492" t="s">
        <v>1052</v>
      </c>
      <c r="B492" s="1">
        <v>45481</v>
      </c>
      <c r="C492" t="s">
        <v>1053</v>
      </c>
      <c r="D492" t="s">
        <v>19</v>
      </c>
      <c r="E492" t="s">
        <v>30</v>
      </c>
      <c r="F492" t="s">
        <v>31</v>
      </c>
      <c r="G492" t="s">
        <v>60</v>
      </c>
      <c r="H492" t="s">
        <v>61</v>
      </c>
      <c r="I492">
        <v>1</v>
      </c>
      <c r="J492">
        <v>558.75</v>
      </c>
      <c r="K492">
        <v>0.1</v>
      </c>
      <c r="L492">
        <v>502.88</v>
      </c>
      <c r="M492">
        <v>387.5</v>
      </c>
      <c r="N492">
        <v>115.38</v>
      </c>
      <c r="O492" t="s">
        <v>51</v>
      </c>
      <c r="P492">
        <v>4</v>
      </c>
      <c r="Q492" t="str">
        <f t="shared" si="42"/>
        <v>July</v>
      </c>
      <c r="R492" t="str">
        <f t="shared" si="43"/>
        <v>Q3</v>
      </c>
      <c r="S492">
        <f t="shared" si="44"/>
        <v>2024</v>
      </c>
      <c r="T492">
        <f t="shared" si="45"/>
        <v>1867245.2999999998</v>
      </c>
      <c r="U492">
        <f t="shared" si="46"/>
        <v>614556.65000000072</v>
      </c>
      <c r="V492">
        <f t="shared" si="47"/>
        <v>2.0383615570671925</v>
      </c>
    </row>
    <row r="493" spans="1:22" x14ac:dyDescent="0.35">
      <c r="A493" t="s">
        <v>1054</v>
      </c>
      <c r="B493" s="1">
        <v>45611</v>
      </c>
      <c r="C493" t="s">
        <v>1055</v>
      </c>
      <c r="D493" t="s">
        <v>49</v>
      </c>
      <c r="E493" t="s">
        <v>30</v>
      </c>
      <c r="F493" t="s">
        <v>39</v>
      </c>
      <c r="G493" t="s">
        <v>22</v>
      </c>
      <c r="H493" t="s">
        <v>23</v>
      </c>
      <c r="I493">
        <v>5</v>
      </c>
      <c r="J493">
        <v>983.72</v>
      </c>
      <c r="K493">
        <v>0.05</v>
      </c>
      <c r="L493">
        <v>4672.67</v>
      </c>
      <c r="M493">
        <v>2790.1</v>
      </c>
      <c r="N493">
        <v>1882.57</v>
      </c>
      <c r="O493" t="s">
        <v>33</v>
      </c>
      <c r="P493">
        <v>3</v>
      </c>
      <c r="Q493" t="str">
        <f t="shared" si="42"/>
        <v>November</v>
      </c>
      <c r="R493" t="str">
        <f t="shared" si="43"/>
        <v>Q4</v>
      </c>
      <c r="S493">
        <f t="shared" si="44"/>
        <v>2024</v>
      </c>
      <c r="T493">
        <f t="shared" si="45"/>
        <v>1866742.42</v>
      </c>
      <c r="U493">
        <f t="shared" si="46"/>
        <v>614441.27000000072</v>
      </c>
      <c r="V493">
        <f t="shared" si="47"/>
        <v>2.0381136670718711</v>
      </c>
    </row>
    <row r="494" spans="1:22" x14ac:dyDescent="0.35">
      <c r="A494" t="s">
        <v>1056</v>
      </c>
      <c r="B494" s="1">
        <v>45474</v>
      </c>
      <c r="C494" t="s">
        <v>1057</v>
      </c>
      <c r="D494" t="s">
        <v>19</v>
      </c>
      <c r="E494" t="s">
        <v>30</v>
      </c>
      <c r="F494" t="s">
        <v>21</v>
      </c>
      <c r="G494" t="s">
        <v>22</v>
      </c>
      <c r="H494" t="s">
        <v>124</v>
      </c>
      <c r="I494">
        <v>3</v>
      </c>
      <c r="J494">
        <v>61.21</v>
      </c>
      <c r="K494">
        <v>0.15</v>
      </c>
      <c r="L494">
        <v>156.09</v>
      </c>
      <c r="M494">
        <v>121.84</v>
      </c>
      <c r="N494">
        <v>34.25</v>
      </c>
      <c r="O494" t="s">
        <v>51</v>
      </c>
      <c r="P494">
        <v>1</v>
      </c>
      <c r="Q494" t="str">
        <f t="shared" si="42"/>
        <v>July</v>
      </c>
      <c r="R494" t="str">
        <f t="shared" si="43"/>
        <v>Q3</v>
      </c>
      <c r="S494">
        <f t="shared" si="44"/>
        <v>2024</v>
      </c>
      <c r="T494">
        <f t="shared" si="45"/>
        <v>1862069.75</v>
      </c>
      <c r="U494">
        <f t="shared" si="46"/>
        <v>612558.70000000065</v>
      </c>
      <c r="V494">
        <f t="shared" si="47"/>
        <v>2.0398225508836916</v>
      </c>
    </row>
    <row r="495" spans="1:22" x14ac:dyDescent="0.35">
      <c r="A495" t="s">
        <v>1058</v>
      </c>
      <c r="B495" s="1">
        <v>45454</v>
      </c>
      <c r="C495" t="s">
        <v>1059</v>
      </c>
      <c r="D495" t="s">
        <v>37</v>
      </c>
      <c r="E495" t="s">
        <v>98</v>
      </c>
      <c r="F495" t="s">
        <v>21</v>
      </c>
      <c r="G495" t="s">
        <v>79</v>
      </c>
      <c r="H495" t="s">
        <v>103</v>
      </c>
      <c r="I495">
        <v>7</v>
      </c>
      <c r="J495">
        <v>147.97999999999999</v>
      </c>
      <c r="K495">
        <v>0.15</v>
      </c>
      <c r="L495">
        <v>880.48</v>
      </c>
      <c r="M495">
        <v>538.26</v>
      </c>
      <c r="N495">
        <v>342.22</v>
      </c>
      <c r="O495" t="s">
        <v>24</v>
      </c>
      <c r="P495">
        <v>3</v>
      </c>
      <c r="Q495" t="str">
        <f t="shared" si="42"/>
        <v>June</v>
      </c>
      <c r="R495" t="str">
        <f t="shared" si="43"/>
        <v>Q2</v>
      </c>
      <c r="S495">
        <f t="shared" si="44"/>
        <v>2024</v>
      </c>
      <c r="T495">
        <f t="shared" si="45"/>
        <v>1861913.66</v>
      </c>
      <c r="U495">
        <f t="shared" si="46"/>
        <v>612524.45000000065</v>
      </c>
      <c r="V495">
        <f t="shared" si="47"/>
        <v>2.0397376953687285</v>
      </c>
    </row>
    <row r="496" spans="1:22" x14ac:dyDescent="0.35">
      <c r="A496" t="s">
        <v>1060</v>
      </c>
      <c r="B496" s="1">
        <v>45540</v>
      </c>
      <c r="C496" t="s">
        <v>1061</v>
      </c>
      <c r="D496" t="s">
        <v>29</v>
      </c>
      <c r="E496" t="s">
        <v>98</v>
      </c>
      <c r="F496" t="s">
        <v>21</v>
      </c>
      <c r="G496" t="s">
        <v>22</v>
      </c>
      <c r="H496" t="s">
        <v>74</v>
      </c>
      <c r="I496">
        <v>1</v>
      </c>
      <c r="J496">
        <v>161.38999999999999</v>
      </c>
      <c r="K496">
        <v>0.1</v>
      </c>
      <c r="L496">
        <v>145.25</v>
      </c>
      <c r="M496">
        <v>90.9</v>
      </c>
      <c r="N496">
        <v>54.35</v>
      </c>
      <c r="O496" t="s">
        <v>24</v>
      </c>
      <c r="P496">
        <v>5</v>
      </c>
      <c r="Q496" t="str">
        <f t="shared" si="42"/>
        <v>September</v>
      </c>
      <c r="R496" t="str">
        <f t="shared" si="43"/>
        <v>Q3</v>
      </c>
      <c r="S496">
        <f t="shared" si="44"/>
        <v>2024</v>
      </c>
      <c r="T496">
        <f t="shared" si="45"/>
        <v>1861033.18</v>
      </c>
      <c r="U496">
        <f t="shared" si="46"/>
        <v>612182.23000000056</v>
      </c>
      <c r="V496">
        <f t="shared" si="47"/>
        <v>2.0399986945063695</v>
      </c>
    </row>
    <row r="497" spans="1:22" x14ac:dyDescent="0.35">
      <c r="A497" t="s">
        <v>1062</v>
      </c>
      <c r="B497" s="1">
        <v>45323</v>
      </c>
      <c r="C497" t="s">
        <v>1063</v>
      </c>
      <c r="D497" t="s">
        <v>29</v>
      </c>
      <c r="E497" t="s">
        <v>38</v>
      </c>
      <c r="F497" t="s">
        <v>31</v>
      </c>
      <c r="G497" t="s">
        <v>60</v>
      </c>
      <c r="H497" t="s">
        <v>110</v>
      </c>
      <c r="I497">
        <v>9</v>
      </c>
      <c r="J497">
        <v>938.64</v>
      </c>
      <c r="K497">
        <v>0</v>
      </c>
      <c r="L497">
        <v>8447.76</v>
      </c>
      <c r="M497">
        <v>5930.15</v>
      </c>
      <c r="N497">
        <v>2517.61</v>
      </c>
      <c r="O497" t="s">
        <v>62</v>
      </c>
      <c r="P497">
        <v>3</v>
      </c>
      <c r="Q497" t="str">
        <f t="shared" si="42"/>
        <v>February</v>
      </c>
      <c r="R497" t="str">
        <f t="shared" si="43"/>
        <v>Q1</v>
      </c>
      <c r="S497">
        <f t="shared" si="44"/>
        <v>2024</v>
      </c>
      <c r="T497">
        <f t="shared" si="45"/>
        <v>1860887.93</v>
      </c>
      <c r="U497">
        <f t="shared" si="46"/>
        <v>612127.88000000059</v>
      </c>
      <c r="V497">
        <f t="shared" si="47"/>
        <v>2.0400313248270905</v>
      </c>
    </row>
    <row r="498" spans="1:22" x14ac:dyDescent="0.35">
      <c r="A498" t="s">
        <v>1064</v>
      </c>
      <c r="B498" s="1">
        <v>45351</v>
      </c>
      <c r="C498" t="s">
        <v>1065</v>
      </c>
      <c r="D498" t="s">
        <v>29</v>
      </c>
      <c r="E498" t="s">
        <v>20</v>
      </c>
      <c r="F498" t="s">
        <v>39</v>
      </c>
      <c r="G498" t="s">
        <v>43</v>
      </c>
      <c r="H498" t="s">
        <v>50</v>
      </c>
      <c r="I498">
        <v>9</v>
      </c>
      <c r="J498">
        <v>233.66</v>
      </c>
      <c r="K498">
        <v>0.1</v>
      </c>
      <c r="L498">
        <v>1892.65</v>
      </c>
      <c r="M498">
        <v>1327.41</v>
      </c>
      <c r="N498">
        <v>565.24</v>
      </c>
      <c r="O498" t="s">
        <v>33</v>
      </c>
      <c r="P498">
        <v>3</v>
      </c>
      <c r="Q498" t="str">
        <f t="shared" si="42"/>
        <v>February</v>
      </c>
      <c r="R498" t="str">
        <f t="shared" si="43"/>
        <v>Q1</v>
      </c>
      <c r="S498">
        <f t="shared" si="44"/>
        <v>2024</v>
      </c>
      <c r="T498">
        <f t="shared" si="45"/>
        <v>1852440.17</v>
      </c>
      <c r="U498">
        <f t="shared" si="46"/>
        <v>609610.2700000006</v>
      </c>
      <c r="V498">
        <f t="shared" si="47"/>
        <v>2.0387286126265529</v>
      </c>
    </row>
    <row r="499" spans="1:22" x14ac:dyDescent="0.35">
      <c r="A499" t="s">
        <v>1066</v>
      </c>
      <c r="B499" s="1">
        <v>45410</v>
      </c>
      <c r="C499" t="s">
        <v>1067</v>
      </c>
      <c r="D499" t="s">
        <v>37</v>
      </c>
      <c r="E499" t="s">
        <v>30</v>
      </c>
      <c r="F499" t="s">
        <v>31</v>
      </c>
      <c r="G499" t="s">
        <v>22</v>
      </c>
      <c r="H499" t="s">
        <v>74</v>
      </c>
      <c r="I499">
        <v>8</v>
      </c>
      <c r="J499">
        <v>817.21</v>
      </c>
      <c r="K499">
        <v>0.05</v>
      </c>
      <c r="L499">
        <v>6210.8</v>
      </c>
      <c r="M499">
        <v>3836.84</v>
      </c>
      <c r="N499">
        <v>2373.96</v>
      </c>
      <c r="O499" t="s">
        <v>51</v>
      </c>
      <c r="P499">
        <v>3</v>
      </c>
      <c r="Q499" t="str">
        <f t="shared" si="42"/>
        <v>April</v>
      </c>
      <c r="R499" t="str">
        <f t="shared" si="43"/>
        <v>Q2</v>
      </c>
      <c r="S499">
        <f t="shared" si="44"/>
        <v>2024</v>
      </c>
      <c r="T499">
        <f t="shared" si="45"/>
        <v>1850547.52</v>
      </c>
      <c r="U499">
        <f t="shared" si="46"/>
        <v>609045.03000000049</v>
      </c>
      <c r="V499">
        <f t="shared" si="47"/>
        <v>2.0384412134518173</v>
      </c>
    </row>
    <row r="500" spans="1:22" x14ac:dyDescent="0.35">
      <c r="A500" t="s">
        <v>1068</v>
      </c>
      <c r="B500" s="1">
        <v>45308</v>
      </c>
      <c r="C500" t="s">
        <v>1069</v>
      </c>
      <c r="D500" t="s">
        <v>29</v>
      </c>
      <c r="E500" t="s">
        <v>30</v>
      </c>
      <c r="F500" t="s">
        <v>31</v>
      </c>
      <c r="G500" t="s">
        <v>79</v>
      </c>
      <c r="H500" t="s">
        <v>89</v>
      </c>
      <c r="I500">
        <v>11</v>
      </c>
      <c r="J500">
        <v>1085.49</v>
      </c>
      <c r="K500">
        <v>0.1</v>
      </c>
      <c r="L500">
        <v>10746.35</v>
      </c>
      <c r="M500">
        <v>7932.81</v>
      </c>
      <c r="N500">
        <v>2813.54</v>
      </c>
      <c r="O500" t="s">
        <v>24</v>
      </c>
      <c r="P500">
        <v>1</v>
      </c>
      <c r="Q500" t="str">
        <f t="shared" si="42"/>
        <v>January</v>
      </c>
      <c r="R500" t="str">
        <f t="shared" si="43"/>
        <v>Q1</v>
      </c>
      <c r="S500">
        <f t="shared" si="44"/>
        <v>2024</v>
      </c>
      <c r="T500">
        <f t="shared" si="45"/>
        <v>1844336.72</v>
      </c>
      <c r="U500">
        <f t="shared" si="46"/>
        <v>606671.07000000053</v>
      </c>
      <c r="V500">
        <f t="shared" si="47"/>
        <v>2.0400934067945555</v>
      </c>
    </row>
    <row r="501" spans="1:22" x14ac:dyDescent="0.35">
      <c r="A501" t="s">
        <v>1070</v>
      </c>
      <c r="B501" s="1">
        <v>45419</v>
      </c>
      <c r="C501" t="s">
        <v>1071</v>
      </c>
      <c r="D501" t="s">
        <v>66</v>
      </c>
      <c r="E501" t="s">
        <v>30</v>
      </c>
      <c r="F501" t="s">
        <v>21</v>
      </c>
      <c r="G501" t="s">
        <v>43</v>
      </c>
      <c r="H501" t="s">
        <v>173</v>
      </c>
      <c r="I501">
        <v>7</v>
      </c>
      <c r="J501">
        <v>241.65</v>
      </c>
      <c r="K501">
        <v>0</v>
      </c>
      <c r="L501">
        <v>1691.55</v>
      </c>
      <c r="M501">
        <v>1203.6099999999999</v>
      </c>
      <c r="N501">
        <v>487.94</v>
      </c>
      <c r="O501" t="s">
        <v>33</v>
      </c>
      <c r="P501">
        <v>4</v>
      </c>
      <c r="Q501" t="str">
        <f t="shared" si="42"/>
        <v>May</v>
      </c>
      <c r="R501" t="str">
        <f t="shared" si="43"/>
        <v>Q2</v>
      </c>
      <c r="S501">
        <f t="shared" si="44"/>
        <v>2024</v>
      </c>
      <c r="T501">
        <f t="shared" si="45"/>
        <v>1833590.3699999999</v>
      </c>
      <c r="U501">
        <f t="shared" si="46"/>
        <v>603857.53000000049</v>
      </c>
      <c r="V501">
        <f t="shared" si="47"/>
        <v>2.036461878681878</v>
      </c>
    </row>
    <row r="502" spans="1:22" x14ac:dyDescent="0.35">
      <c r="A502" t="s">
        <v>1072</v>
      </c>
      <c r="B502" s="1">
        <v>45486</v>
      </c>
      <c r="C502" t="s">
        <v>1073</v>
      </c>
      <c r="D502" t="s">
        <v>49</v>
      </c>
      <c r="E502" t="s">
        <v>38</v>
      </c>
      <c r="F502" t="s">
        <v>39</v>
      </c>
      <c r="G502" t="s">
        <v>22</v>
      </c>
      <c r="H502" t="s">
        <v>74</v>
      </c>
      <c r="I502">
        <v>12</v>
      </c>
      <c r="J502">
        <v>653.55999999999995</v>
      </c>
      <c r="K502">
        <v>0.05</v>
      </c>
      <c r="L502">
        <v>7450.58</v>
      </c>
      <c r="M502">
        <v>5106.03</v>
      </c>
      <c r="N502">
        <v>2344.5500000000002</v>
      </c>
      <c r="O502" t="s">
        <v>33</v>
      </c>
      <c r="P502">
        <v>5</v>
      </c>
      <c r="Q502" t="str">
        <f t="shared" si="42"/>
        <v>July</v>
      </c>
      <c r="R502" t="str">
        <f t="shared" si="43"/>
        <v>Q3</v>
      </c>
      <c r="S502">
        <f t="shared" si="44"/>
        <v>2024</v>
      </c>
      <c r="T502">
        <f t="shared" si="45"/>
        <v>1831898.8199999998</v>
      </c>
      <c r="U502">
        <f t="shared" si="46"/>
        <v>603369.59000000055</v>
      </c>
      <c r="V502">
        <f t="shared" si="47"/>
        <v>2.0361139347443715</v>
      </c>
    </row>
    <row r="503" spans="1:22" x14ac:dyDescent="0.35">
      <c r="A503" t="s">
        <v>1074</v>
      </c>
      <c r="B503" s="1">
        <v>45569</v>
      </c>
      <c r="C503" t="s">
        <v>1075</v>
      </c>
      <c r="D503" t="s">
        <v>19</v>
      </c>
      <c r="E503" t="s">
        <v>38</v>
      </c>
      <c r="F503" t="s">
        <v>31</v>
      </c>
      <c r="G503" t="s">
        <v>79</v>
      </c>
      <c r="H503" t="s">
        <v>103</v>
      </c>
      <c r="I503">
        <v>4</v>
      </c>
      <c r="J503">
        <v>223.31</v>
      </c>
      <c r="K503">
        <v>0.15</v>
      </c>
      <c r="L503">
        <v>759.25</v>
      </c>
      <c r="M503">
        <v>402</v>
      </c>
      <c r="N503">
        <v>357.25</v>
      </c>
      <c r="O503" t="s">
        <v>51</v>
      </c>
      <c r="P503">
        <v>3</v>
      </c>
      <c r="Q503" t="str">
        <f t="shared" si="42"/>
        <v>October</v>
      </c>
      <c r="R503" t="str">
        <f t="shared" si="43"/>
        <v>Q4</v>
      </c>
      <c r="S503">
        <f t="shared" si="44"/>
        <v>2024</v>
      </c>
      <c r="T503">
        <f t="shared" si="45"/>
        <v>1824448.24</v>
      </c>
      <c r="U503">
        <f t="shared" si="46"/>
        <v>601025.0400000005</v>
      </c>
      <c r="V503">
        <f t="shared" si="47"/>
        <v>2.035561114059405</v>
      </c>
    </row>
    <row r="504" spans="1:22" x14ac:dyDescent="0.35">
      <c r="A504" t="s">
        <v>1076</v>
      </c>
      <c r="B504" s="1">
        <v>45459</v>
      </c>
      <c r="C504" t="s">
        <v>1077</v>
      </c>
      <c r="D504" t="s">
        <v>29</v>
      </c>
      <c r="E504" t="s">
        <v>20</v>
      </c>
      <c r="F504" t="s">
        <v>31</v>
      </c>
      <c r="G504" t="s">
        <v>22</v>
      </c>
      <c r="H504" t="s">
        <v>74</v>
      </c>
      <c r="I504">
        <v>11</v>
      </c>
      <c r="J504">
        <v>924.55</v>
      </c>
      <c r="K504">
        <v>0.1</v>
      </c>
      <c r="L504">
        <v>9153.0499999999993</v>
      </c>
      <c r="M504">
        <v>6061</v>
      </c>
      <c r="N504">
        <v>3092.05</v>
      </c>
      <c r="O504" t="s">
        <v>33</v>
      </c>
      <c r="P504">
        <v>3</v>
      </c>
      <c r="Q504" t="str">
        <f t="shared" si="42"/>
        <v>June</v>
      </c>
      <c r="R504" t="str">
        <f t="shared" si="43"/>
        <v>Q2</v>
      </c>
      <c r="S504">
        <f t="shared" si="44"/>
        <v>2024</v>
      </c>
      <c r="T504">
        <f t="shared" si="45"/>
        <v>1823688.9900000002</v>
      </c>
      <c r="U504">
        <f t="shared" si="46"/>
        <v>600667.7900000005</v>
      </c>
      <c r="V504">
        <f t="shared" si="47"/>
        <v>2.0361025184986175</v>
      </c>
    </row>
    <row r="505" spans="1:22" x14ac:dyDescent="0.35">
      <c r="A505" t="s">
        <v>1078</v>
      </c>
      <c r="B505" s="1">
        <v>45380</v>
      </c>
      <c r="C505" t="s">
        <v>1079</v>
      </c>
      <c r="D505" t="s">
        <v>66</v>
      </c>
      <c r="E505" t="s">
        <v>20</v>
      </c>
      <c r="F505" t="s">
        <v>31</v>
      </c>
      <c r="G505" t="s">
        <v>22</v>
      </c>
      <c r="H505" t="s">
        <v>124</v>
      </c>
      <c r="I505">
        <v>10</v>
      </c>
      <c r="J505">
        <v>227.5</v>
      </c>
      <c r="K505">
        <v>0.15</v>
      </c>
      <c r="L505">
        <v>1933.75</v>
      </c>
      <c r="M505">
        <v>1410.65</v>
      </c>
      <c r="N505">
        <v>523.1</v>
      </c>
      <c r="O505" t="s">
        <v>51</v>
      </c>
      <c r="P505">
        <v>2</v>
      </c>
      <c r="Q505" t="str">
        <f t="shared" si="42"/>
        <v>March</v>
      </c>
      <c r="R505" t="str">
        <f t="shared" si="43"/>
        <v>Q1</v>
      </c>
      <c r="S505">
        <f t="shared" si="44"/>
        <v>2024</v>
      </c>
      <c r="T505">
        <f t="shared" si="45"/>
        <v>1814535.9400000002</v>
      </c>
      <c r="U505">
        <f t="shared" si="46"/>
        <v>597575.74000000069</v>
      </c>
      <c r="V505">
        <f t="shared" si="47"/>
        <v>2.0364953235886016</v>
      </c>
    </row>
    <row r="506" spans="1:22" x14ac:dyDescent="0.35">
      <c r="A506" t="s">
        <v>1080</v>
      </c>
      <c r="B506" s="1">
        <v>45568</v>
      </c>
      <c r="C506" t="s">
        <v>1081</v>
      </c>
      <c r="D506" t="s">
        <v>49</v>
      </c>
      <c r="E506" t="s">
        <v>30</v>
      </c>
      <c r="F506" t="s">
        <v>21</v>
      </c>
      <c r="G506" t="s">
        <v>43</v>
      </c>
      <c r="H506" t="s">
        <v>44</v>
      </c>
      <c r="I506">
        <v>1</v>
      </c>
      <c r="J506">
        <v>858.15</v>
      </c>
      <c r="K506">
        <v>0.05</v>
      </c>
      <c r="L506">
        <v>815.24</v>
      </c>
      <c r="M506">
        <v>508.99</v>
      </c>
      <c r="N506">
        <v>306.25</v>
      </c>
      <c r="O506" t="s">
        <v>33</v>
      </c>
      <c r="P506">
        <v>1</v>
      </c>
      <c r="Q506" t="str">
        <f t="shared" si="42"/>
        <v>October</v>
      </c>
      <c r="R506" t="str">
        <f t="shared" si="43"/>
        <v>Q4</v>
      </c>
      <c r="S506">
        <f t="shared" si="44"/>
        <v>2024</v>
      </c>
      <c r="T506">
        <f t="shared" si="45"/>
        <v>1812602.1900000002</v>
      </c>
      <c r="U506">
        <f t="shared" si="46"/>
        <v>597052.6400000006</v>
      </c>
      <c r="V506">
        <f t="shared" si="47"/>
        <v>2.0359168833086447</v>
      </c>
    </row>
    <row r="507" spans="1:22" x14ac:dyDescent="0.35">
      <c r="A507" t="s">
        <v>1082</v>
      </c>
      <c r="B507" s="1">
        <v>45621</v>
      </c>
      <c r="C507" t="s">
        <v>1083</v>
      </c>
      <c r="D507" t="s">
        <v>29</v>
      </c>
      <c r="E507" t="s">
        <v>20</v>
      </c>
      <c r="F507" t="s">
        <v>21</v>
      </c>
      <c r="G507" t="s">
        <v>60</v>
      </c>
      <c r="H507" t="s">
        <v>119</v>
      </c>
      <c r="I507">
        <v>11</v>
      </c>
      <c r="J507">
        <v>836.67</v>
      </c>
      <c r="K507">
        <v>0.05</v>
      </c>
      <c r="L507">
        <v>8743.2000000000007</v>
      </c>
      <c r="M507">
        <v>6658.05</v>
      </c>
      <c r="N507">
        <v>2085.15</v>
      </c>
      <c r="O507" t="s">
        <v>62</v>
      </c>
      <c r="P507">
        <v>3</v>
      </c>
      <c r="Q507" t="str">
        <f t="shared" si="42"/>
        <v>November</v>
      </c>
      <c r="R507" t="str">
        <f t="shared" si="43"/>
        <v>Q4</v>
      </c>
      <c r="S507">
        <f t="shared" si="44"/>
        <v>2024</v>
      </c>
      <c r="T507">
        <f t="shared" si="45"/>
        <v>1811786.9500000002</v>
      </c>
      <c r="U507">
        <f t="shared" si="46"/>
        <v>596746.3900000006</v>
      </c>
      <c r="V507">
        <f t="shared" si="47"/>
        <v>2.0361087731087881</v>
      </c>
    </row>
    <row r="508" spans="1:22" x14ac:dyDescent="0.35">
      <c r="A508" t="s">
        <v>1084</v>
      </c>
      <c r="B508" s="1">
        <v>45645</v>
      </c>
      <c r="C508" t="s">
        <v>1085</v>
      </c>
      <c r="D508" t="s">
        <v>19</v>
      </c>
      <c r="E508" t="s">
        <v>85</v>
      </c>
      <c r="F508" t="s">
        <v>21</v>
      </c>
      <c r="G508" t="s">
        <v>43</v>
      </c>
      <c r="H508" t="s">
        <v>50</v>
      </c>
      <c r="I508">
        <v>10</v>
      </c>
      <c r="J508">
        <v>720.41</v>
      </c>
      <c r="K508">
        <v>0.1</v>
      </c>
      <c r="L508">
        <v>6483.69</v>
      </c>
      <c r="M508">
        <v>5448.24</v>
      </c>
      <c r="N508">
        <v>1035.45</v>
      </c>
      <c r="O508" t="s">
        <v>33</v>
      </c>
      <c r="P508">
        <v>1</v>
      </c>
      <c r="Q508" t="str">
        <f t="shared" si="42"/>
        <v>December</v>
      </c>
      <c r="R508" t="str">
        <f t="shared" si="43"/>
        <v>Q4</v>
      </c>
      <c r="S508">
        <f t="shared" si="44"/>
        <v>2024</v>
      </c>
      <c r="T508">
        <f t="shared" si="45"/>
        <v>1803043.7500000002</v>
      </c>
      <c r="U508">
        <f t="shared" si="46"/>
        <v>594661.24000000046</v>
      </c>
      <c r="V508">
        <f t="shared" si="47"/>
        <v>2.0320519124468226</v>
      </c>
    </row>
    <row r="509" spans="1:22" x14ac:dyDescent="0.35">
      <c r="A509" t="s">
        <v>1086</v>
      </c>
      <c r="B509" s="1">
        <v>45410</v>
      </c>
      <c r="C509" t="s">
        <v>1087</v>
      </c>
      <c r="D509" t="s">
        <v>29</v>
      </c>
      <c r="E509" t="s">
        <v>98</v>
      </c>
      <c r="F509" t="s">
        <v>21</v>
      </c>
      <c r="G509" t="s">
        <v>79</v>
      </c>
      <c r="H509" t="s">
        <v>89</v>
      </c>
      <c r="I509">
        <v>5</v>
      </c>
      <c r="J509">
        <v>446.03</v>
      </c>
      <c r="K509">
        <v>0</v>
      </c>
      <c r="L509">
        <v>2230.15</v>
      </c>
      <c r="M509">
        <v>1194.43</v>
      </c>
      <c r="N509">
        <v>1035.72</v>
      </c>
      <c r="O509" t="s">
        <v>24</v>
      </c>
      <c r="P509">
        <v>3</v>
      </c>
      <c r="Q509" t="str">
        <f t="shared" si="42"/>
        <v>April</v>
      </c>
      <c r="R509" t="str">
        <f t="shared" si="43"/>
        <v>Q2</v>
      </c>
      <c r="S509">
        <f t="shared" si="44"/>
        <v>2024</v>
      </c>
      <c r="T509">
        <f t="shared" si="45"/>
        <v>1796560.0600000005</v>
      </c>
      <c r="U509">
        <f t="shared" si="46"/>
        <v>593625.79000000062</v>
      </c>
      <c r="V509">
        <f t="shared" si="47"/>
        <v>2.0264184782133516</v>
      </c>
    </row>
    <row r="510" spans="1:22" x14ac:dyDescent="0.35">
      <c r="A510" t="s">
        <v>1088</v>
      </c>
      <c r="B510" s="1">
        <v>45538</v>
      </c>
      <c r="C510" t="s">
        <v>1089</v>
      </c>
      <c r="D510" t="s">
        <v>19</v>
      </c>
      <c r="E510" t="s">
        <v>98</v>
      </c>
      <c r="F510" t="s">
        <v>39</v>
      </c>
      <c r="G510" t="s">
        <v>60</v>
      </c>
      <c r="H510" t="s">
        <v>119</v>
      </c>
      <c r="I510">
        <v>1</v>
      </c>
      <c r="J510">
        <v>902.06</v>
      </c>
      <c r="K510">
        <v>0.15</v>
      </c>
      <c r="L510">
        <v>766.75</v>
      </c>
      <c r="M510">
        <v>484.4</v>
      </c>
      <c r="N510">
        <v>282.35000000000002</v>
      </c>
      <c r="O510" t="s">
        <v>62</v>
      </c>
      <c r="P510">
        <v>5</v>
      </c>
      <c r="Q510" t="str">
        <f t="shared" si="42"/>
        <v>September</v>
      </c>
      <c r="R510" t="str">
        <f t="shared" si="43"/>
        <v>Q3</v>
      </c>
      <c r="S510">
        <f t="shared" si="44"/>
        <v>2024</v>
      </c>
      <c r="T510">
        <f t="shared" si="45"/>
        <v>1794329.9100000004</v>
      </c>
      <c r="U510">
        <f t="shared" si="46"/>
        <v>592590.07000000065</v>
      </c>
      <c r="V510">
        <f t="shared" si="47"/>
        <v>2.0279446127067207</v>
      </c>
    </row>
    <row r="511" spans="1:22" x14ac:dyDescent="0.35">
      <c r="A511" t="s">
        <v>1090</v>
      </c>
      <c r="B511" s="1">
        <v>45385</v>
      </c>
      <c r="C511" t="s">
        <v>1091</v>
      </c>
      <c r="D511" t="s">
        <v>66</v>
      </c>
      <c r="E511" t="s">
        <v>30</v>
      </c>
      <c r="F511" t="s">
        <v>31</v>
      </c>
      <c r="G511" t="s">
        <v>60</v>
      </c>
      <c r="H511" t="s">
        <v>110</v>
      </c>
      <c r="I511">
        <v>12</v>
      </c>
      <c r="J511">
        <v>180.05</v>
      </c>
      <c r="K511">
        <v>0</v>
      </c>
      <c r="L511">
        <v>2160.6</v>
      </c>
      <c r="M511">
        <v>1183.0899999999999</v>
      </c>
      <c r="N511">
        <v>977.51</v>
      </c>
      <c r="O511" t="s">
        <v>24</v>
      </c>
      <c r="P511">
        <v>1</v>
      </c>
      <c r="Q511" t="str">
        <f t="shared" si="42"/>
        <v>April</v>
      </c>
      <c r="R511" t="str">
        <f t="shared" si="43"/>
        <v>Q2</v>
      </c>
      <c r="S511">
        <f t="shared" si="44"/>
        <v>2024</v>
      </c>
      <c r="T511">
        <f t="shared" si="45"/>
        <v>1793563.1600000004</v>
      </c>
      <c r="U511">
        <f t="shared" si="46"/>
        <v>592307.72000000067</v>
      </c>
      <c r="V511">
        <f t="shared" si="47"/>
        <v>2.0280935051800411</v>
      </c>
    </row>
    <row r="512" spans="1:22" x14ac:dyDescent="0.35">
      <c r="A512" t="s">
        <v>1092</v>
      </c>
      <c r="B512" s="1">
        <v>45454</v>
      </c>
      <c r="C512" t="s">
        <v>1093</v>
      </c>
      <c r="D512" t="s">
        <v>49</v>
      </c>
      <c r="E512" t="s">
        <v>98</v>
      </c>
      <c r="F512" t="s">
        <v>39</v>
      </c>
      <c r="G512" t="s">
        <v>22</v>
      </c>
      <c r="H512" t="s">
        <v>23</v>
      </c>
      <c r="I512">
        <v>5</v>
      </c>
      <c r="J512">
        <v>740.96</v>
      </c>
      <c r="K512">
        <v>0.05</v>
      </c>
      <c r="L512">
        <v>3519.56</v>
      </c>
      <c r="M512">
        <v>1808.06</v>
      </c>
      <c r="N512">
        <v>1711.5</v>
      </c>
      <c r="O512" t="s">
        <v>24</v>
      </c>
      <c r="P512">
        <v>1</v>
      </c>
      <c r="Q512" t="str">
        <f t="shared" si="42"/>
        <v>June</v>
      </c>
      <c r="R512" t="str">
        <f t="shared" si="43"/>
        <v>Q2</v>
      </c>
      <c r="S512">
        <f t="shared" si="44"/>
        <v>2024</v>
      </c>
      <c r="T512">
        <f t="shared" si="45"/>
        <v>1791402.5600000005</v>
      </c>
      <c r="U512">
        <f t="shared" si="46"/>
        <v>591330.21000000066</v>
      </c>
      <c r="V512">
        <f t="shared" si="47"/>
        <v>2.0294453584571612</v>
      </c>
    </row>
    <row r="513" spans="1:22" x14ac:dyDescent="0.35">
      <c r="A513" t="s">
        <v>1094</v>
      </c>
      <c r="B513" s="1">
        <v>45474</v>
      </c>
      <c r="C513" t="s">
        <v>1095</v>
      </c>
      <c r="D513" t="s">
        <v>66</v>
      </c>
      <c r="E513" t="s">
        <v>85</v>
      </c>
      <c r="F513" t="s">
        <v>39</v>
      </c>
      <c r="G513" t="s">
        <v>60</v>
      </c>
      <c r="H513" t="s">
        <v>110</v>
      </c>
      <c r="I513">
        <v>2</v>
      </c>
      <c r="J513">
        <v>881.99</v>
      </c>
      <c r="K513">
        <v>0.15</v>
      </c>
      <c r="L513">
        <v>1499.38</v>
      </c>
      <c r="M513">
        <v>1075.19</v>
      </c>
      <c r="N513">
        <v>424.19</v>
      </c>
      <c r="O513" t="s">
        <v>33</v>
      </c>
      <c r="P513">
        <v>4</v>
      </c>
      <c r="Q513" t="str">
        <f t="shared" si="42"/>
        <v>July</v>
      </c>
      <c r="R513" t="str">
        <f t="shared" si="43"/>
        <v>Q3</v>
      </c>
      <c r="S513">
        <f t="shared" si="44"/>
        <v>2024</v>
      </c>
      <c r="T513">
        <f t="shared" si="45"/>
        <v>1787883.0000000005</v>
      </c>
      <c r="U513">
        <f t="shared" si="46"/>
        <v>589618.71000000066</v>
      </c>
      <c r="V513">
        <f t="shared" si="47"/>
        <v>2.0322697866897719</v>
      </c>
    </row>
    <row r="514" spans="1:22" x14ac:dyDescent="0.35">
      <c r="A514" t="s">
        <v>1096</v>
      </c>
      <c r="B514" s="1">
        <v>45314</v>
      </c>
      <c r="C514" t="s">
        <v>1097</v>
      </c>
      <c r="D514" t="s">
        <v>29</v>
      </c>
      <c r="E514" t="s">
        <v>98</v>
      </c>
      <c r="F514" t="s">
        <v>21</v>
      </c>
      <c r="G514" t="s">
        <v>43</v>
      </c>
      <c r="H514" t="s">
        <v>173</v>
      </c>
      <c r="I514">
        <v>8</v>
      </c>
      <c r="J514">
        <v>1029.78</v>
      </c>
      <c r="K514">
        <v>0.15</v>
      </c>
      <c r="L514">
        <v>7002.5</v>
      </c>
      <c r="M514">
        <v>5869.58</v>
      </c>
      <c r="N514">
        <v>1132.92</v>
      </c>
      <c r="O514" t="s">
        <v>51</v>
      </c>
      <c r="P514">
        <v>2</v>
      </c>
      <c r="Q514" t="str">
        <f t="shared" ref="Q514:Q577" si="48">TEXT(B514,"MMMM")</f>
        <v>January</v>
      </c>
      <c r="R514" t="str">
        <f t="shared" ref="R514:R577" si="49">"Q"&amp;ROUNDUP(MONTH(B514)/3,0)</f>
        <v>Q1</v>
      </c>
      <c r="S514">
        <f t="shared" ref="S514:S577" si="50">YEAR(B514)</f>
        <v>2024</v>
      </c>
      <c r="T514">
        <f t="shared" ref="T514:T577" si="51">SUM(L514:L1513)</f>
        <v>1786383.6200000003</v>
      </c>
      <c r="U514">
        <f t="shared" ref="U514:U577" si="52">SUM(N514:N1513)</f>
        <v>589194.5200000006</v>
      </c>
      <c r="V514">
        <f t="shared" ref="V514:V577" si="53">(T514-U514)/U514</f>
        <v>2.0319080700207435</v>
      </c>
    </row>
    <row r="515" spans="1:22" x14ac:dyDescent="0.35">
      <c r="A515" t="s">
        <v>1098</v>
      </c>
      <c r="B515" s="1">
        <v>45444</v>
      </c>
      <c r="C515" t="s">
        <v>1099</v>
      </c>
      <c r="D515" t="s">
        <v>19</v>
      </c>
      <c r="E515" t="s">
        <v>20</v>
      </c>
      <c r="F515" t="s">
        <v>31</v>
      </c>
      <c r="G515" t="s">
        <v>43</v>
      </c>
      <c r="H515" t="s">
        <v>50</v>
      </c>
      <c r="I515">
        <v>2</v>
      </c>
      <c r="J515">
        <v>231.13</v>
      </c>
      <c r="K515">
        <v>0.1</v>
      </c>
      <c r="L515">
        <v>416.03</v>
      </c>
      <c r="M515">
        <v>304.5</v>
      </c>
      <c r="N515">
        <v>111.53</v>
      </c>
      <c r="O515" t="s">
        <v>33</v>
      </c>
      <c r="P515">
        <v>5</v>
      </c>
      <c r="Q515" t="str">
        <f t="shared" si="48"/>
        <v>June</v>
      </c>
      <c r="R515" t="str">
        <f t="shared" si="49"/>
        <v>Q2</v>
      </c>
      <c r="S515">
        <f t="shared" si="50"/>
        <v>2024</v>
      </c>
      <c r="T515">
        <f t="shared" si="51"/>
        <v>1779381.1200000006</v>
      </c>
      <c r="U515">
        <f t="shared" si="52"/>
        <v>588061.60000000056</v>
      </c>
      <c r="V515">
        <f t="shared" si="53"/>
        <v>2.0258413744410428</v>
      </c>
    </row>
    <row r="516" spans="1:22" x14ac:dyDescent="0.35">
      <c r="A516" t="s">
        <v>1100</v>
      </c>
      <c r="B516" s="1">
        <v>45416</v>
      </c>
      <c r="C516" t="s">
        <v>1101</v>
      </c>
      <c r="D516" t="s">
        <v>29</v>
      </c>
      <c r="E516" t="s">
        <v>20</v>
      </c>
      <c r="F516" t="s">
        <v>31</v>
      </c>
      <c r="G516" t="s">
        <v>79</v>
      </c>
      <c r="H516" t="s">
        <v>103</v>
      </c>
      <c r="I516">
        <v>7</v>
      </c>
      <c r="J516">
        <v>557.85</v>
      </c>
      <c r="K516">
        <v>0</v>
      </c>
      <c r="L516">
        <v>3904.95</v>
      </c>
      <c r="M516">
        <v>1959.53</v>
      </c>
      <c r="N516">
        <v>1945.42</v>
      </c>
      <c r="O516" t="s">
        <v>62</v>
      </c>
      <c r="P516">
        <v>2</v>
      </c>
      <c r="Q516" t="str">
        <f t="shared" si="48"/>
        <v>May</v>
      </c>
      <c r="R516" t="str">
        <f t="shared" si="49"/>
        <v>Q2</v>
      </c>
      <c r="S516">
        <f t="shared" si="50"/>
        <v>2024</v>
      </c>
      <c r="T516">
        <f t="shared" si="51"/>
        <v>1778965.0900000005</v>
      </c>
      <c r="U516">
        <f t="shared" si="52"/>
        <v>587950.07000000053</v>
      </c>
      <c r="V516">
        <f t="shared" si="53"/>
        <v>2.0257077612049592</v>
      </c>
    </row>
    <row r="517" spans="1:22" x14ac:dyDescent="0.35">
      <c r="A517" t="s">
        <v>1102</v>
      </c>
      <c r="B517" s="1">
        <v>45389</v>
      </c>
      <c r="C517" t="s">
        <v>1103</v>
      </c>
      <c r="D517" t="s">
        <v>37</v>
      </c>
      <c r="E517" t="s">
        <v>98</v>
      </c>
      <c r="F517" t="s">
        <v>39</v>
      </c>
      <c r="G517" t="s">
        <v>79</v>
      </c>
      <c r="H517" t="s">
        <v>80</v>
      </c>
      <c r="I517">
        <v>11</v>
      </c>
      <c r="J517">
        <v>896.1</v>
      </c>
      <c r="K517">
        <v>0.1</v>
      </c>
      <c r="L517">
        <v>8871.39</v>
      </c>
      <c r="M517">
        <v>5602.63</v>
      </c>
      <c r="N517">
        <v>3268.76</v>
      </c>
      <c r="O517" t="s">
        <v>62</v>
      </c>
      <c r="P517">
        <v>4</v>
      </c>
      <c r="Q517" t="str">
        <f t="shared" si="48"/>
        <v>April</v>
      </c>
      <c r="R517" t="str">
        <f t="shared" si="49"/>
        <v>Q2</v>
      </c>
      <c r="S517">
        <f t="shared" si="50"/>
        <v>2024</v>
      </c>
      <c r="T517">
        <f t="shared" si="51"/>
        <v>1775060.1400000006</v>
      </c>
      <c r="U517">
        <f t="shared" si="52"/>
        <v>586004.65000000049</v>
      </c>
      <c r="V517">
        <f t="shared" si="53"/>
        <v>2.0290888306091075</v>
      </c>
    </row>
    <row r="518" spans="1:22" x14ac:dyDescent="0.35">
      <c r="A518" t="s">
        <v>1104</v>
      </c>
      <c r="B518" s="1">
        <v>45488</v>
      </c>
      <c r="C518" t="s">
        <v>1105</v>
      </c>
      <c r="D518" t="s">
        <v>19</v>
      </c>
      <c r="E518" t="s">
        <v>85</v>
      </c>
      <c r="F518" t="s">
        <v>31</v>
      </c>
      <c r="G518" t="s">
        <v>43</v>
      </c>
      <c r="H518" t="s">
        <v>44</v>
      </c>
      <c r="I518">
        <v>6</v>
      </c>
      <c r="J518">
        <v>490.84</v>
      </c>
      <c r="K518">
        <v>0.05</v>
      </c>
      <c r="L518">
        <v>2797.79</v>
      </c>
      <c r="M518">
        <v>1852.65</v>
      </c>
      <c r="N518">
        <v>945.14</v>
      </c>
      <c r="O518" t="s">
        <v>33</v>
      </c>
      <c r="P518">
        <v>2</v>
      </c>
      <c r="Q518" t="str">
        <f t="shared" si="48"/>
        <v>July</v>
      </c>
      <c r="R518" t="str">
        <f t="shared" si="49"/>
        <v>Q3</v>
      </c>
      <c r="S518">
        <f t="shared" si="50"/>
        <v>2024</v>
      </c>
      <c r="T518">
        <f t="shared" si="51"/>
        <v>1766188.7500000007</v>
      </c>
      <c r="U518">
        <f t="shared" si="52"/>
        <v>582735.89000000048</v>
      </c>
      <c r="V518">
        <f t="shared" si="53"/>
        <v>2.0308563112527689</v>
      </c>
    </row>
    <row r="519" spans="1:22" x14ac:dyDescent="0.35">
      <c r="A519" t="s">
        <v>1106</v>
      </c>
      <c r="B519" s="1">
        <v>45382</v>
      </c>
      <c r="C519" t="s">
        <v>1107</v>
      </c>
      <c r="D519" t="s">
        <v>37</v>
      </c>
      <c r="E519" t="s">
        <v>20</v>
      </c>
      <c r="F519" t="s">
        <v>39</v>
      </c>
      <c r="G519" t="s">
        <v>79</v>
      </c>
      <c r="H519" t="s">
        <v>80</v>
      </c>
      <c r="I519">
        <v>6</v>
      </c>
      <c r="J519">
        <v>979.28</v>
      </c>
      <c r="K519">
        <v>0</v>
      </c>
      <c r="L519">
        <v>5875.68</v>
      </c>
      <c r="M519">
        <v>3524.74</v>
      </c>
      <c r="N519">
        <v>2350.94</v>
      </c>
      <c r="O519" t="s">
        <v>33</v>
      </c>
      <c r="P519">
        <v>5</v>
      </c>
      <c r="Q519" t="str">
        <f t="shared" si="48"/>
        <v>March</v>
      </c>
      <c r="R519" t="str">
        <f t="shared" si="49"/>
        <v>Q1</v>
      </c>
      <c r="S519">
        <f t="shared" si="50"/>
        <v>2024</v>
      </c>
      <c r="T519">
        <f t="shared" si="51"/>
        <v>1763390.9600000007</v>
      </c>
      <c r="U519">
        <f t="shared" si="52"/>
        <v>581790.75000000047</v>
      </c>
      <c r="V519">
        <f t="shared" si="53"/>
        <v>2.0309711180523227</v>
      </c>
    </row>
    <row r="520" spans="1:22" x14ac:dyDescent="0.35">
      <c r="A520" t="s">
        <v>1108</v>
      </c>
      <c r="B520" s="1">
        <v>45511</v>
      </c>
      <c r="C520" t="s">
        <v>1109</v>
      </c>
      <c r="D520" t="s">
        <v>29</v>
      </c>
      <c r="E520" t="s">
        <v>30</v>
      </c>
      <c r="F520" t="s">
        <v>31</v>
      </c>
      <c r="G520" t="s">
        <v>60</v>
      </c>
      <c r="H520" t="s">
        <v>61</v>
      </c>
      <c r="I520">
        <v>2</v>
      </c>
      <c r="J520">
        <v>695.23</v>
      </c>
      <c r="K520">
        <v>0</v>
      </c>
      <c r="L520">
        <v>1390.46</v>
      </c>
      <c r="M520">
        <v>1042.5999999999999</v>
      </c>
      <c r="N520">
        <v>347.86</v>
      </c>
      <c r="O520" t="s">
        <v>51</v>
      </c>
      <c r="P520">
        <v>5</v>
      </c>
      <c r="Q520" t="str">
        <f t="shared" si="48"/>
        <v>August</v>
      </c>
      <c r="R520" t="str">
        <f t="shared" si="49"/>
        <v>Q3</v>
      </c>
      <c r="S520">
        <f t="shared" si="50"/>
        <v>2024</v>
      </c>
      <c r="T520">
        <f t="shared" si="51"/>
        <v>1757515.2800000005</v>
      </c>
      <c r="U520">
        <f t="shared" si="52"/>
        <v>579439.81000000041</v>
      </c>
      <c r="V520">
        <f t="shared" si="53"/>
        <v>2.0331282898908851</v>
      </c>
    </row>
    <row r="521" spans="1:22" x14ac:dyDescent="0.35">
      <c r="A521" t="s">
        <v>1110</v>
      </c>
      <c r="B521" s="1">
        <v>45558</v>
      </c>
      <c r="C521" t="s">
        <v>1111</v>
      </c>
      <c r="D521" t="s">
        <v>29</v>
      </c>
      <c r="E521" t="s">
        <v>38</v>
      </c>
      <c r="F521" t="s">
        <v>31</v>
      </c>
      <c r="G521" t="s">
        <v>43</v>
      </c>
      <c r="H521" t="s">
        <v>44</v>
      </c>
      <c r="I521">
        <v>11</v>
      </c>
      <c r="J521">
        <v>46.24</v>
      </c>
      <c r="K521">
        <v>0.05</v>
      </c>
      <c r="L521">
        <v>483.21</v>
      </c>
      <c r="M521">
        <v>242.12</v>
      </c>
      <c r="N521">
        <v>241.09</v>
      </c>
      <c r="O521" t="s">
        <v>51</v>
      </c>
      <c r="P521">
        <v>5</v>
      </c>
      <c r="Q521" t="str">
        <f t="shared" si="48"/>
        <v>September</v>
      </c>
      <c r="R521" t="str">
        <f t="shared" si="49"/>
        <v>Q3</v>
      </c>
      <c r="S521">
        <f t="shared" si="50"/>
        <v>2024</v>
      </c>
      <c r="T521">
        <f t="shared" si="51"/>
        <v>1756124.8200000005</v>
      </c>
      <c r="U521">
        <f t="shared" si="52"/>
        <v>579091.95000000042</v>
      </c>
      <c r="V521">
        <f t="shared" si="53"/>
        <v>2.0325491832514668</v>
      </c>
    </row>
    <row r="522" spans="1:22" x14ac:dyDescent="0.35">
      <c r="A522" t="s">
        <v>1112</v>
      </c>
      <c r="B522" s="1">
        <v>45549</v>
      </c>
      <c r="C522" t="s">
        <v>1113</v>
      </c>
      <c r="D522" t="s">
        <v>29</v>
      </c>
      <c r="E522" t="s">
        <v>30</v>
      </c>
      <c r="F522" t="s">
        <v>21</v>
      </c>
      <c r="G522" t="s">
        <v>22</v>
      </c>
      <c r="H522" t="s">
        <v>23</v>
      </c>
      <c r="I522">
        <v>8</v>
      </c>
      <c r="J522">
        <v>939.04</v>
      </c>
      <c r="K522">
        <v>0</v>
      </c>
      <c r="L522">
        <v>7512.32</v>
      </c>
      <c r="M522">
        <v>4173.59</v>
      </c>
      <c r="N522">
        <v>3338.73</v>
      </c>
      <c r="O522" t="s">
        <v>51</v>
      </c>
      <c r="P522">
        <v>3</v>
      </c>
      <c r="Q522" t="str">
        <f t="shared" si="48"/>
        <v>September</v>
      </c>
      <c r="R522" t="str">
        <f t="shared" si="49"/>
        <v>Q3</v>
      </c>
      <c r="S522">
        <f t="shared" si="50"/>
        <v>2024</v>
      </c>
      <c r="T522">
        <f t="shared" si="51"/>
        <v>1755641.6100000006</v>
      </c>
      <c r="U522">
        <f t="shared" si="52"/>
        <v>578850.86000000045</v>
      </c>
      <c r="V522">
        <f t="shared" si="53"/>
        <v>2.0329774581314419</v>
      </c>
    </row>
    <row r="523" spans="1:22" x14ac:dyDescent="0.35">
      <c r="A523" t="s">
        <v>1114</v>
      </c>
      <c r="B523" s="1">
        <v>45628</v>
      </c>
      <c r="C523" t="s">
        <v>1115</v>
      </c>
      <c r="D523" t="s">
        <v>49</v>
      </c>
      <c r="E523" t="s">
        <v>20</v>
      </c>
      <c r="F523" t="s">
        <v>39</v>
      </c>
      <c r="G523" t="s">
        <v>79</v>
      </c>
      <c r="H523" t="s">
        <v>80</v>
      </c>
      <c r="I523">
        <v>2</v>
      </c>
      <c r="J523">
        <v>314.77999999999997</v>
      </c>
      <c r="K523">
        <v>0.1</v>
      </c>
      <c r="L523">
        <v>566.6</v>
      </c>
      <c r="M523">
        <v>422.09</v>
      </c>
      <c r="N523">
        <v>144.51</v>
      </c>
      <c r="O523" t="s">
        <v>51</v>
      </c>
      <c r="P523">
        <v>1</v>
      </c>
      <c r="Q523" t="str">
        <f t="shared" si="48"/>
        <v>December</v>
      </c>
      <c r="R523" t="str">
        <f t="shared" si="49"/>
        <v>Q4</v>
      </c>
      <c r="S523">
        <f t="shared" si="50"/>
        <v>2024</v>
      </c>
      <c r="T523">
        <f t="shared" si="51"/>
        <v>1748129.2900000005</v>
      </c>
      <c r="U523">
        <f t="shared" si="52"/>
        <v>575512.13000000035</v>
      </c>
      <c r="V523">
        <f t="shared" si="53"/>
        <v>2.0375194524570652</v>
      </c>
    </row>
    <row r="524" spans="1:22" x14ac:dyDescent="0.35">
      <c r="A524" t="s">
        <v>1116</v>
      </c>
      <c r="B524" s="1">
        <v>45559</v>
      </c>
      <c r="C524" t="s">
        <v>1117</v>
      </c>
      <c r="D524" t="s">
        <v>49</v>
      </c>
      <c r="E524" t="s">
        <v>30</v>
      </c>
      <c r="F524" t="s">
        <v>39</v>
      </c>
      <c r="G524" t="s">
        <v>43</v>
      </c>
      <c r="H524" t="s">
        <v>50</v>
      </c>
      <c r="I524">
        <v>5</v>
      </c>
      <c r="J524">
        <v>824.03</v>
      </c>
      <c r="K524">
        <v>0.15</v>
      </c>
      <c r="L524">
        <v>3502.13</v>
      </c>
      <c r="M524">
        <v>2698.88</v>
      </c>
      <c r="N524">
        <v>803.25</v>
      </c>
      <c r="O524" t="s">
        <v>24</v>
      </c>
      <c r="P524">
        <v>1</v>
      </c>
      <c r="Q524" t="str">
        <f t="shared" si="48"/>
        <v>September</v>
      </c>
      <c r="R524" t="str">
        <f t="shared" si="49"/>
        <v>Q3</v>
      </c>
      <c r="S524">
        <f t="shared" si="50"/>
        <v>2024</v>
      </c>
      <c r="T524">
        <f t="shared" si="51"/>
        <v>1747562.6900000006</v>
      </c>
      <c r="U524">
        <f t="shared" si="52"/>
        <v>575367.62000000034</v>
      </c>
      <c r="V524">
        <f t="shared" si="53"/>
        <v>2.0372975976646019</v>
      </c>
    </row>
    <row r="525" spans="1:22" x14ac:dyDescent="0.35">
      <c r="A525" t="s">
        <v>1118</v>
      </c>
      <c r="B525" s="1">
        <v>45474</v>
      </c>
      <c r="C525" t="s">
        <v>1119</v>
      </c>
      <c r="D525" t="s">
        <v>49</v>
      </c>
      <c r="E525" t="s">
        <v>30</v>
      </c>
      <c r="F525" t="s">
        <v>31</v>
      </c>
      <c r="G525" t="s">
        <v>79</v>
      </c>
      <c r="H525" t="s">
        <v>80</v>
      </c>
      <c r="I525">
        <v>4</v>
      </c>
      <c r="J525">
        <v>46</v>
      </c>
      <c r="K525">
        <v>0</v>
      </c>
      <c r="L525">
        <v>184</v>
      </c>
      <c r="M525">
        <v>137.91999999999999</v>
      </c>
      <c r="N525">
        <v>46.08</v>
      </c>
      <c r="O525" t="s">
        <v>51</v>
      </c>
      <c r="P525">
        <v>1</v>
      </c>
      <c r="Q525" t="str">
        <f t="shared" si="48"/>
        <v>July</v>
      </c>
      <c r="R525" t="str">
        <f t="shared" si="49"/>
        <v>Q3</v>
      </c>
      <c r="S525">
        <f t="shared" si="50"/>
        <v>2024</v>
      </c>
      <c r="T525">
        <f t="shared" si="51"/>
        <v>1744060.5600000005</v>
      </c>
      <c r="U525">
        <f t="shared" si="52"/>
        <v>574564.37000000034</v>
      </c>
      <c r="V525">
        <f t="shared" si="53"/>
        <v>2.0354485085805085</v>
      </c>
    </row>
    <row r="526" spans="1:22" x14ac:dyDescent="0.35">
      <c r="A526" t="s">
        <v>1120</v>
      </c>
      <c r="B526" s="1">
        <v>45568</v>
      </c>
      <c r="C526" t="s">
        <v>1121</v>
      </c>
      <c r="D526" t="s">
        <v>37</v>
      </c>
      <c r="E526" t="s">
        <v>98</v>
      </c>
      <c r="F526" t="s">
        <v>31</v>
      </c>
      <c r="G526" t="s">
        <v>60</v>
      </c>
      <c r="H526" t="s">
        <v>61</v>
      </c>
      <c r="I526">
        <v>8</v>
      </c>
      <c r="J526">
        <v>71.489999999999995</v>
      </c>
      <c r="K526">
        <v>0.1</v>
      </c>
      <c r="L526">
        <v>514.73</v>
      </c>
      <c r="M526">
        <v>393.68</v>
      </c>
      <c r="N526">
        <v>121.05</v>
      </c>
      <c r="O526" t="s">
        <v>24</v>
      </c>
      <c r="P526">
        <v>3</v>
      </c>
      <c r="Q526" t="str">
        <f t="shared" si="48"/>
        <v>October</v>
      </c>
      <c r="R526" t="str">
        <f t="shared" si="49"/>
        <v>Q4</v>
      </c>
      <c r="S526">
        <f t="shared" si="50"/>
        <v>2024</v>
      </c>
      <c r="T526">
        <f t="shared" si="51"/>
        <v>1743876.5600000005</v>
      </c>
      <c r="U526">
        <f t="shared" si="52"/>
        <v>574518.29000000039</v>
      </c>
      <c r="V526">
        <f t="shared" si="53"/>
        <v>2.0353717024396198</v>
      </c>
    </row>
    <row r="527" spans="1:22" x14ac:dyDescent="0.35">
      <c r="A527" t="s">
        <v>1122</v>
      </c>
      <c r="B527" s="1">
        <v>45444</v>
      </c>
      <c r="C527" t="s">
        <v>1123</v>
      </c>
      <c r="D527" t="s">
        <v>37</v>
      </c>
      <c r="E527" t="s">
        <v>20</v>
      </c>
      <c r="F527" t="s">
        <v>21</v>
      </c>
      <c r="G527" t="s">
        <v>79</v>
      </c>
      <c r="H527" t="s">
        <v>89</v>
      </c>
      <c r="I527">
        <v>9</v>
      </c>
      <c r="J527">
        <v>743.92</v>
      </c>
      <c r="K527">
        <v>0.15</v>
      </c>
      <c r="L527">
        <v>5690.99</v>
      </c>
      <c r="M527">
        <v>2977.02</v>
      </c>
      <c r="N527">
        <v>2713.97</v>
      </c>
      <c r="O527" t="s">
        <v>51</v>
      </c>
      <c r="P527">
        <v>1</v>
      </c>
      <c r="Q527" t="str">
        <f t="shared" si="48"/>
        <v>June</v>
      </c>
      <c r="R527" t="str">
        <f t="shared" si="49"/>
        <v>Q2</v>
      </c>
      <c r="S527">
        <f t="shared" si="50"/>
        <v>2024</v>
      </c>
      <c r="T527">
        <f t="shared" si="51"/>
        <v>1743361.8300000005</v>
      </c>
      <c r="U527">
        <f t="shared" si="52"/>
        <v>574397.24000000034</v>
      </c>
      <c r="V527">
        <f t="shared" si="53"/>
        <v>2.0351152627404678</v>
      </c>
    </row>
    <row r="528" spans="1:22" x14ac:dyDescent="0.35">
      <c r="A528" t="s">
        <v>1124</v>
      </c>
      <c r="B528" s="1">
        <v>45438</v>
      </c>
      <c r="C528" t="s">
        <v>1125</v>
      </c>
      <c r="D528" t="s">
        <v>19</v>
      </c>
      <c r="E528" t="s">
        <v>30</v>
      </c>
      <c r="F528" t="s">
        <v>31</v>
      </c>
      <c r="G528" t="s">
        <v>79</v>
      </c>
      <c r="H528" t="s">
        <v>103</v>
      </c>
      <c r="I528">
        <v>8</v>
      </c>
      <c r="J528">
        <v>806.58</v>
      </c>
      <c r="K528">
        <v>0</v>
      </c>
      <c r="L528">
        <v>6452.64</v>
      </c>
      <c r="M528">
        <v>5428.69</v>
      </c>
      <c r="N528">
        <v>1023.95</v>
      </c>
      <c r="O528" t="s">
        <v>62</v>
      </c>
      <c r="P528">
        <v>5</v>
      </c>
      <c r="Q528" t="str">
        <f t="shared" si="48"/>
        <v>May</v>
      </c>
      <c r="R528" t="str">
        <f t="shared" si="49"/>
        <v>Q2</v>
      </c>
      <c r="S528">
        <f t="shared" si="50"/>
        <v>2024</v>
      </c>
      <c r="T528">
        <f t="shared" si="51"/>
        <v>1737670.8400000003</v>
      </c>
      <c r="U528">
        <f t="shared" si="52"/>
        <v>571683.27000000037</v>
      </c>
      <c r="V528">
        <f t="shared" si="53"/>
        <v>2.0395691656325696</v>
      </c>
    </row>
    <row r="529" spans="1:22" x14ac:dyDescent="0.35">
      <c r="A529" t="s">
        <v>1126</v>
      </c>
      <c r="B529" s="1">
        <v>45420</v>
      </c>
      <c r="C529" t="s">
        <v>1127</v>
      </c>
      <c r="D529" t="s">
        <v>19</v>
      </c>
      <c r="E529" t="s">
        <v>98</v>
      </c>
      <c r="F529" t="s">
        <v>31</v>
      </c>
      <c r="G529" t="s">
        <v>43</v>
      </c>
      <c r="H529" t="s">
        <v>50</v>
      </c>
      <c r="I529">
        <v>2</v>
      </c>
      <c r="J529">
        <v>766.23</v>
      </c>
      <c r="K529">
        <v>0</v>
      </c>
      <c r="L529">
        <v>1532.46</v>
      </c>
      <c r="M529">
        <v>1293.6400000000001</v>
      </c>
      <c r="N529">
        <v>238.82</v>
      </c>
      <c r="O529" t="s">
        <v>62</v>
      </c>
      <c r="P529">
        <v>3</v>
      </c>
      <c r="Q529" t="str">
        <f t="shared" si="48"/>
        <v>May</v>
      </c>
      <c r="R529" t="str">
        <f t="shared" si="49"/>
        <v>Q2</v>
      </c>
      <c r="S529">
        <f t="shared" si="50"/>
        <v>2024</v>
      </c>
      <c r="T529">
        <f t="shared" si="51"/>
        <v>1731218.2000000004</v>
      </c>
      <c r="U529">
        <f t="shared" si="52"/>
        <v>570659.3200000003</v>
      </c>
      <c r="V529">
        <f t="shared" si="53"/>
        <v>2.0337158078834139</v>
      </c>
    </row>
    <row r="530" spans="1:22" x14ac:dyDescent="0.35">
      <c r="A530" t="s">
        <v>1128</v>
      </c>
      <c r="B530" s="1">
        <v>45502</v>
      </c>
      <c r="C530" t="s">
        <v>1129</v>
      </c>
      <c r="D530" t="s">
        <v>29</v>
      </c>
      <c r="E530" t="s">
        <v>85</v>
      </c>
      <c r="F530" t="s">
        <v>39</v>
      </c>
      <c r="G530" t="s">
        <v>60</v>
      </c>
      <c r="H530" t="s">
        <v>119</v>
      </c>
      <c r="I530">
        <v>5</v>
      </c>
      <c r="J530">
        <v>457.34</v>
      </c>
      <c r="K530">
        <v>0</v>
      </c>
      <c r="L530">
        <v>2286.6999999999998</v>
      </c>
      <c r="M530">
        <v>1145</v>
      </c>
      <c r="N530">
        <v>1141.7</v>
      </c>
      <c r="O530" t="s">
        <v>51</v>
      </c>
      <c r="P530">
        <v>5</v>
      </c>
      <c r="Q530" t="str">
        <f t="shared" si="48"/>
        <v>July</v>
      </c>
      <c r="R530" t="str">
        <f t="shared" si="49"/>
        <v>Q3</v>
      </c>
      <c r="S530">
        <f t="shared" si="50"/>
        <v>2024</v>
      </c>
      <c r="T530">
        <f t="shared" si="51"/>
        <v>1729685.7400000005</v>
      </c>
      <c r="U530">
        <f t="shared" si="52"/>
        <v>570420.50000000035</v>
      </c>
      <c r="V530">
        <f t="shared" si="53"/>
        <v>2.0322994001793404</v>
      </c>
    </row>
    <row r="531" spans="1:22" x14ac:dyDescent="0.35">
      <c r="A531" t="s">
        <v>1130</v>
      </c>
      <c r="B531" s="1">
        <v>45352</v>
      </c>
      <c r="C531" t="s">
        <v>1131</v>
      </c>
      <c r="D531" t="s">
        <v>19</v>
      </c>
      <c r="E531" t="s">
        <v>20</v>
      </c>
      <c r="F531" t="s">
        <v>39</v>
      </c>
      <c r="G531" t="s">
        <v>60</v>
      </c>
      <c r="H531" t="s">
        <v>61</v>
      </c>
      <c r="I531">
        <v>7</v>
      </c>
      <c r="J531">
        <v>422.4</v>
      </c>
      <c r="K531">
        <v>0.1</v>
      </c>
      <c r="L531">
        <v>2661.12</v>
      </c>
      <c r="M531">
        <v>1344.28</v>
      </c>
      <c r="N531">
        <v>1316.84</v>
      </c>
      <c r="O531" t="s">
        <v>62</v>
      </c>
      <c r="P531">
        <v>5</v>
      </c>
      <c r="Q531" t="str">
        <f t="shared" si="48"/>
        <v>March</v>
      </c>
      <c r="R531" t="str">
        <f t="shared" si="49"/>
        <v>Q1</v>
      </c>
      <c r="S531">
        <f t="shared" si="50"/>
        <v>2024</v>
      </c>
      <c r="T531">
        <f t="shared" si="51"/>
        <v>1727399.0400000003</v>
      </c>
      <c r="U531">
        <f t="shared" si="52"/>
        <v>569278.80000000028</v>
      </c>
      <c r="V531">
        <f t="shared" si="53"/>
        <v>2.0343639004298057</v>
      </c>
    </row>
    <row r="532" spans="1:22" x14ac:dyDescent="0.35">
      <c r="A532" t="s">
        <v>1132</v>
      </c>
      <c r="B532" s="1">
        <v>45502</v>
      </c>
      <c r="C532" t="s">
        <v>1133</v>
      </c>
      <c r="D532" t="s">
        <v>37</v>
      </c>
      <c r="E532" t="s">
        <v>30</v>
      </c>
      <c r="F532" t="s">
        <v>39</v>
      </c>
      <c r="G532" t="s">
        <v>60</v>
      </c>
      <c r="H532" t="s">
        <v>110</v>
      </c>
      <c r="I532">
        <v>3</v>
      </c>
      <c r="J532">
        <v>435.93</v>
      </c>
      <c r="K532">
        <v>0.1</v>
      </c>
      <c r="L532">
        <v>1177.01</v>
      </c>
      <c r="M532">
        <v>962.62</v>
      </c>
      <c r="N532">
        <v>214.39</v>
      </c>
      <c r="O532" t="s">
        <v>62</v>
      </c>
      <c r="P532">
        <v>5</v>
      </c>
      <c r="Q532" t="str">
        <f t="shared" si="48"/>
        <v>July</v>
      </c>
      <c r="R532" t="str">
        <f t="shared" si="49"/>
        <v>Q3</v>
      </c>
      <c r="S532">
        <f t="shared" si="50"/>
        <v>2024</v>
      </c>
      <c r="T532">
        <f t="shared" si="51"/>
        <v>1724737.9200000002</v>
      </c>
      <c r="U532">
        <f t="shared" si="52"/>
        <v>567961.9600000002</v>
      </c>
      <c r="V532">
        <f t="shared" si="53"/>
        <v>2.0367137968183635</v>
      </c>
    </row>
    <row r="533" spans="1:22" x14ac:dyDescent="0.35">
      <c r="A533" t="s">
        <v>1134</v>
      </c>
      <c r="B533" s="1">
        <v>45343</v>
      </c>
      <c r="C533" t="s">
        <v>1135</v>
      </c>
      <c r="D533" t="s">
        <v>49</v>
      </c>
      <c r="E533" t="s">
        <v>20</v>
      </c>
      <c r="F533" t="s">
        <v>39</v>
      </c>
      <c r="G533" t="s">
        <v>79</v>
      </c>
      <c r="H533" t="s">
        <v>103</v>
      </c>
      <c r="I533">
        <v>4</v>
      </c>
      <c r="J533">
        <v>695.64</v>
      </c>
      <c r="K533">
        <v>0</v>
      </c>
      <c r="L533">
        <v>2782.56</v>
      </c>
      <c r="M533">
        <v>2352.27</v>
      </c>
      <c r="N533">
        <v>430.29</v>
      </c>
      <c r="O533" t="s">
        <v>33</v>
      </c>
      <c r="P533">
        <v>5</v>
      </c>
      <c r="Q533" t="str">
        <f t="shared" si="48"/>
        <v>February</v>
      </c>
      <c r="R533" t="str">
        <f t="shared" si="49"/>
        <v>Q1</v>
      </c>
      <c r="S533">
        <f t="shared" si="50"/>
        <v>2024</v>
      </c>
      <c r="T533">
        <f t="shared" si="51"/>
        <v>1723560.9100000001</v>
      </c>
      <c r="U533">
        <f t="shared" si="52"/>
        <v>567747.57000000018</v>
      </c>
      <c r="V533">
        <f t="shared" si="53"/>
        <v>2.0357873834669156</v>
      </c>
    </row>
    <row r="534" spans="1:22" x14ac:dyDescent="0.35">
      <c r="A534" t="s">
        <v>1136</v>
      </c>
      <c r="B534" s="1">
        <v>45294</v>
      </c>
      <c r="C534" t="s">
        <v>1137</v>
      </c>
      <c r="D534" t="s">
        <v>29</v>
      </c>
      <c r="E534" t="s">
        <v>98</v>
      </c>
      <c r="F534" t="s">
        <v>21</v>
      </c>
      <c r="G534" t="s">
        <v>79</v>
      </c>
      <c r="H534" t="s">
        <v>80</v>
      </c>
      <c r="I534">
        <v>6</v>
      </c>
      <c r="J534">
        <v>1188.33</v>
      </c>
      <c r="K534">
        <v>0.15</v>
      </c>
      <c r="L534">
        <v>6060.48</v>
      </c>
      <c r="M534">
        <v>3533.5</v>
      </c>
      <c r="N534">
        <v>2526.98</v>
      </c>
      <c r="O534" t="s">
        <v>33</v>
      </c>
      <c r="P534">
        <v>4</v>
      </c>
      <c r="Q534" t="str">
        <f t="shared" si="48"/>
        <v>January</v>
      </c>
      <c r="R534" t="str">
        <f t="shared" si="49"/>
        <v>Q1</v>
      </c>
      <c r="S534">
        <f t="shared" si="50"/>
        <v>2024</v>
      </c>
      <c r="T534">
        <f t="shared" si="51"/>
        <v>1720778.3500000003</v>
      </c>
      <c r="U534">
        <f t="shared" si="52"/>
        <v>567317.28000000014</v>
      </c>
      <c r="V534">
        <f t="shared" si="53"/>
        <v>2.0331851517020598</v>
      </c>
    </row>
    <row r="535" spans="1:22" x14ac:dyDescent="0.35">
      <c r="A535" t="s">
        <v>1138</v>
      </c>
      <c r="B535" s="1">
        <v>45612</v>
      </c>
      <c r="C535" t="s">
        <v>1139</v>
      </c>
      <c r="D535" t="s">
        <v>29</v>
      </c>
      <c r="E535" t="s">
        <v>38</v>
      </c>
      <c r="F535" t="s">
        <v>21</v>
      </c>
      <c r="G535" t="s">
        <v>79</v>
      </c>
      <c r="H535" t="s">
        <v>103</v>
      </c>
      <c r="I535">
        <v>12</v>
      </c>
      <c r="J535">
        <v>976.49</v>
      </c>
      <c r="K535">
        <v>0.05</v>
      </c>
      <c r="L535">
        <v>11131.99</v>
      </c>
      <c r="M535">
        <v>8886.26</v>
      </c>
      <c r="N535">
        <v>2245.73</v>
      </c>
      <c r="O535" t="s">
        <v>24</v>
      </c>
      <c r="P535">
        <v>2</v>
      </c>
      <c r="Q535" t="str">
        <f t="shared" si="48"/>
        <v>November</v>
      </c>
      <c r="R535" t="str">
        <f t="shared" si="49"/>
        <v>Q4</v>
      </c>
      <c r="S535">
        <f t="shared" si="50"/>
        <v>2024</v>
      </c>
      <c r="T535">
        <f t="shared" si="51"/>
        <v>1714717.87</v>
      </c>
      <c r="U535">
        <f t="shared" si="52"/>
        <v>564790.30000000005</v>
      </c>
      <c r="V535">
        <f t="shared" si="53"/>
        <v>2.0360257072403685</v>
      </c>
    </row>
    <row r="536" spans="1:22" x14ac:dyDescent="0.35">
      <c r="A536" t="s">
        <v>1140</v>
      </c>
      <c r="B536" s="1">
        <v>45498</v>
      </c>
      <c r="C536" t="s">
        <v>1141</v>
      </c>
      <c r="D536" t="s">
        <v>66</v>
      </c>
      <c r="E536" t="s">
        <v>30</v>
      </c>
      <c r="F536" t="s">
        <v>39</v>
      </c>
      <c r="G536" t="s">
        <v>79</v>
      </c>
      <c r="H536" t="s">
        <v>103</v>
      </c>
      <c r="I536">
        <v>10</v>
      </c>
      <c r="J536">
        <v>500.15</v>
      </c>
      <c r="K536">
        <v>0.15</v>
      </c>
      <c r="L536">
        <v>4251.2700000000004</v>
      </c>
      <c r="M536">
        <v>2842.8</v>
      </c>
      <c r="N536">
        <v>1408.47</v>
      </c>
      <c r="O536" t="s">
        <v>24</v>
      </c>
      <c r="P536">
        <v>4</v>
      </c>
      <c r="Q536" t="str">
        <f t="shared" si="48"/>
        <v>July</v>
      </c>
      <c r="R536" t="str">
        <f t="shared" si="49"/>
        <v>Q3</v>
      </c>
      <c r="S536">
        <f t="shared" si="50"/>
        <v>2024</v>
      </c>
      <c r="T536">
        <f t="shared" si="51"/>
        <v>1703585.8800000004</v>
      </c>
      <c r="U536">
        <f t="shared" si="52"/>
        <v>562544.57000000018</v>
      </c>
      <c r="V536">
        <f t="shared" si="53"/>
        <v>2.028357166437496</v>
      </c>
    </row>
    <row r="537" spans="1:22" x14ac:dyDescent="0.35">
      <c r="A537" t="s">
        <v>1142</v>
      </c>
      <c r="B537" s="1">
        <v>45444</v>
      </c>
      <c r="C537" t="s">
        <v>1143</v>
      </c>
      <c r="D537" t="s">
        <v>66</v>
      </c>
      <c r="E537" t="s">
        <v>98</v>
      </c>
      <c r="F537" t="s">
        <v>21</v>
      </c>
      <c r="G537" t="s">
        <v>60</v>
      </c>
      <c r="H537" t="s">
        <v>61</v>
      </c>
      <c r="I537">
        <v>8</v>
      </c>
      <c r="J537">
        <v>1092.3699999999999</v>
      </c>
      <c r="K537">
        <v>0.1</v>
      </c>
      <c r="L537">
        <v>7865.06</v>
      </c>
      <c r="M537">
        <v>5827.57</v>
      </c>
      <c r="N537">
        <v>2037.49</v>
      </c>
      <c r="O537" t="s">
        <v>51</v>
      </c>
      <c r="P537">
        <v>4</v>
      </c>
      <c r="Q537" t="str">
        <f t="shared" si="48"/>
        <v>June</v>
      </c>
      <c r="R537" t="str">
        <f t="shared" si="49"/>
        <v>Q2</v>
      </c>
      <c r="S537">
        <f t="shared" si="50"/>
        <v>2024</v>
      </c>
      <c r="T537">
        <f t="shared" si="51"/>
        <v>1699334.6100000006</v>
      </c>
      <c r="U537">
        <f t="shared" si="52"/>
        <v>561136.10000000021</v>
      </c>
      <c r="V537">
        <f t="shared" si="53"/>
        <v>2.0283822587782177</v>
      </c>
    </row>
    <row r="538" spans="1:22" x14ac:dyDescent="0.35">
      <c r="A538" t="s">
        <v>1144</v>
      </c>
      <c r="B538" s="1">
        <v>45580</v>
      </c>
      <c r="C538" t="s">
        <v>1145</v>
      </c>
      <c r="D538" t="s">
        <v>29</v>
      </c>
      <c r="E538" t="s">
        <v>20</v>
      </c>
      <c r="F538" t="s">
        <v>21</v>
      </c>
      <c r="G538" t="s">
        <v>22</v>
      </c>
      <c r="H538" t="s">
        <v>74</v>
      </c>
      <c r="I538">
        <v>8</v>
      </c>
      <c r="J538">
        <v>414.53</v>
      </c>
      <c r="K538">
        <v>0</v>
      </c>
      <c r="L538">
        <v>3316.24</v>
      </c>
      <c r="M538">
        <v>2600.85</v>
      </c>
      <c r="N538">
        <v>715.39</v>
      </c>
      <c r="O538" t="s">
        <v>24</v>
      </c>
      <c r="P538">
        <v>4</v>
      </c>
      <c r="Q538" t="str">
        <f t="shared" si="48"/>
        <v>October</v>
      </c>
      <c r="R538" t="str">
        <f t="shared" si="49"/>
        <v>Q4</v>
      </c>
      <c r="S538">
        <f t="shared" si="50"/>
        <v>2024</v>
      </c>
      <c r="T538">
        <f t="shared" si="51"/>
        <v>1691469.5500000007</v>
      </c>
      <c r="U538">
        <f t="shared" si="52"/>
        <v>559098.61000000022</v>
      </c>
      <c r="V538">
        <f t="shared" si="53"/>
        <v>2.0253510199211546</v>
      </c>
    </row>
    <row r="539" spans="1:22" x14ac:dyDescent="0.35">
      <c r="A539" t="s">
        <v>1146</v>
      </c>
      <c r="B539" s="1">
        <v>45654</v>
      </c>
      <c r="C539" t="s">
        <v>1147</v>
      </c>
      <c r="D539" t="s">
        <v>49</v>
      </c>
      <c r="E539" t="s">
        <v>85</v>
      </c>
      <c r="F539" t="s">
        <v>39</v>
      </c>
      <c r="G539" t="s">
        <v>22</v>
      </c>
      <c r="H539" t="s">
        <v>32</v>
      </c>
      <c r="I539">
        <v>11</v>
      </c>
      <c r="J539">
        <v>1026.3699999999999</v>
      </c>
      <c r="K539">
        <v>0</v>
      </c>
      <c r="L539">
        <v>11290.07</v>
      </c>
      <c r="M539">
        <v>5661</v>
      </c>
      <c r="N539">
        <v>5629.07</v>
      </c>
      <c r="O539" t="s">
        <v>51</v>
      </c>
      <c r="P539">
        <v>2</v>
      </c>
      <c r="Q539" t="str">
        <f t="shared" si="48"/>
        <v>December</v>
      </c>
      <c r="R539" t="str">
        <f t="shared" si="49"/>
        <v>Q4</v>
      </c>
      <c r="S539">
        <f t="shared" si="50"/>
        <v>2024</v>
      </c>
      <c r="T539">
        <f t="shared" si="51"/>
        <v>1688153.3100000008</v>
      </c>
      <c r="U539">
        <f t="shared" si="52"/>
        <v>558383.2200000002</v>
      </c>
      <c r="V539">
        <f t="shared" si="53"/>
        <v>2.0232880386341123</v>
      </c>
    </row>
    <row r="540" spans="1:22" x14ac:dyDescent="0.35">
      <c r="A540" t="s">
        <v>1148</v>
      </c>
      <c r="B540" s="1">
        <v>45292</v>
      </c>
      <c r="C540" t="s">
        <v>1149</v>
      </c>
      <c r="D540" t="s">
        <v>37</v>
      </c>
      <c r="E540" t="s">
        <v>38</v>
      </c>
      <c r="F540" t="s">
        <v>31</v>
      </c>
      <c r="G540" t="s">
        <v>43</v>
      </c>
      <c r="H540" t="s">
        <v>173</v>
      </c>
      <c r="I540">
        <v>11</v>
      </c>
      <c r="J540">
        <v>1035.68</v>
      </c>
      <c r="K540">
        <v>0</v>
      </c>
      <c r="L540">
        <v>11392.48</v>
      </c>
      <c r="M540">
        <v>9277.74</v>
      </c>
      <c r="N540">
        <v>2114.7399999999998</v>
      </c>
      <c r="O540" t="s">
        <v>51</v>
      </c>
      <c r="P540">
        <v>5</v>
      </c>
      <c r="Q540" t="str">
        <f t="shared" si="48"/>
        <v>January</v>
      </c>
      <c r="R540" t="str">
        <f t="shared" si="49"/>
        <v>Q1</v>
      </c>
      <c r="S540">
        <f t="shared" si="50"/>
        <v>2024</v>
      </c>
      <c r="T540">
        <f t="shared" si="51"/>
        <v>1676863.2400000007</v>
      </c>
      <c r="U540">
        <f t="shared" si="52"/>
        <v>552754.15000000014</v>
      </c>
      <c r="V540">
        <f t="shared" si="53"/>
        <v>2.0336511087252811</v>
      </c>
    </row>
    <row r="541" spans="1:22" x14ac:dyDescent="0.35">
      <c r="A541" t="s">
        <v>1150</v>
      </c>
      <c r="B541" s="1">
        <v>45536</v>
      </c>
      <c r="C541" t="s">
        <v>1151</v>
      </c>
      <c r="D541" t="s">
        <v>66</v>
      </c>
      <c r="E541" t="s">
        <v>85</v>
      </c>
      <c r="F541" t="s">
        <v>31</v>
      </c>
      <c r="G541" t="s">
        <v>60</v>
      </c>
      <c r="H541" t="s">
        <v>61</v>
      </c>
      <c r="I541">
        <v>5</v>
      </c>
      <c r="J541">
        <v>255.72</v>
      </c>
      <c r="K541">
        <v>0</v>
      </c>
      <c r="L541">
        <v>1278.5999999999999</v>
      </c>
      <c r="M541">
        <v>803.05</v>
      </c>
      <c r="N541">
        <v>475.55</v>
      </c>
      <c r="O541" t="s">
        <v>51</v>
      </c>
      <c r="P541">
        <v>5</v>
      </c>
      <c r="Q541" t="str">
        <f t="shared" si="48"/>
        <v>September</v>
      </c>
      <c r="R541" t="str">
        <f t="shared" si="49"/>
        <v>Q3</v>
      </c>
      <c r="S541">
        <f t="shared" si="50"/>
        <v>2024</v>
      </c>
      <c r="T541">
        <f t="shared" si="51"/>
        <v>1665470.7600000007</v>
      </c>
      <c r="U541">
        <f t="shared" si="52"/>
        <v>550639.41</v>
      </c>
      <c r="V541">
        <f t="shared" si="53"/>
        <v>2.0246123502130016</v>
      </c>
    </row>
    <row r="542" spans="1:22" x14ac:dyDescent="0.35">
      <c r="A542" t="s">
        <v>1152</v>
      </c>
      <c r="B542" s="1">
        <v>45618</v>
      </c>
      <c r="C542" t="s">
        <v>1153</v>
      </c>
      <c r="D542" t="s">
        <v>66</v>
      </c>
      <c r="E542" t="s">
        <v>38</v>
      </c>
      <c r="F542" t="s">
        <v>39</v>
      </c>
      <c r="G542" t="s">
        <v>79</v>
      </c>
      <c r="H542" t="s">
        <v>80</v>
      </c>
      <c r="I542">
        <v>11</v>
      </c>
      <c r="J542">
        <v>542.23</v>
      </c>
      <c r="K542">
        <v>0.15</v>
      </c>
      <c r="L542">
        <v>5069.8500000000004</v>
      </c>
      <c r="M542">
        <v>4217.7700000000004</v>
      </c>
      <c r="N542">
        <v>852.08</v>
      </c>
      <c r="O542" t="s">
        <v>33</v>
      </c>
      <c r="P542">
        <v>5</v>
      </c>
      <c r="Q542" t="str">
        <f t="shared" si="48"/>
        <v>November</v>
      </c>
      <c r="R542" t="str">
        <f t="shared" si="49"/>
        <v>Q4</v>
      </c>
      <c r="S542">
        <f t="shared" si="50"/>
        <v>2024</v>
      </c>
      <c r="T542">
        <f t="shared" si="51"/>
        <v>1664192.1600000006</v>
      </c>
      <c r="U542">
        <f t="shared" si="52"/>
        <v>550163.8600000001</v>
      </c>
      <c r="V542">
        <f t="shared" si="53"/>
        <v>2.02490272625323</v>
      </c>
    </row>
    <row r="543" spans="1:22" x14ac:dyDescent="0.35">
      <c r="A543" t="s">
        <v>1154</v>
      </c>
      <c r="B543" s="1">
        <v>45426</v>
      </c>
      <c r="C543" t="s">
        <v>1155</v>
      </c>
      <c r="D543" t="s">
        <v>29</v>
      </c>
      <c r="E543" t="s">
        <v>85</v>
      </c>
      <c r="F543" t="s">
        <v>31</v>
      </c>
      <c r="G543" t="s">
        <v>79</v>
      </c>
      <c r="H543" t="s">
        <v>103</v>
      </c>
      <c r="I543">
        <v>12</v>
      </c>
      <c r="J543">
        <v>757.94</v>
      </c>
      <c r="K543">
        <v>0</v>
      </c>
      <c r="L543">
        <v>9095.2800000000007</v>
      </c>
      <c r="M543">
        <v>5856.02</v>
      </c>
      <c r="N543">
        <v>3239.26</v>
      </c>
      <c r="O543" t="s">
        <v>51</v>
      </c>
      <c r="P543">
        <v>1</v>
      </c>
      <c r="Q543" t="str">
        <f t="shared" si="48"/>
        <v>May</v>
      </c>
      <c r="R543" t="str">
        <f t="shared" si="49"/>
        <v>Q2</v>
      </c>
      <c r="S543">
        <f t="shared" si="50"/>
        <v>2024</v>
      </c>
      <c r="T543">
        <f t="shared" si="51"/>
        <v>1659122.3100000005</v>
      </c>
      <c r="U543">
        <f t="shared" si="52"/>
        <v>549311.78</v>
      </c>
      <c r="V543">
        <f t="shared" si="53"/>
        <v>2.0203654289008703</v>
      </c>
    </row>
    <row r="544" spans="1:22" x14ac:dyDescent="0.35">
      <c r="A544" t="s">
        <v>1156</v>
      </c>
      <c r="B544" s="1">
        <v>45304</v>
      </c>
      <c r="C544" t="s">
        <v>1157</v>
      </c>
      <c r="D544" t="s">
        <v>19</v>
      </c>
      <c r="E544" t="s">
        <v>85</v>
      </c>
      <c r="F544" t="s">
        <v>21</v>
      </c>
      <c r="G544" t="s">
        <v>60</v>
      </c>
      <c r="H544" t="s">
        <v>110</v>
      </c>
      <c r="I544">
        <v>5</v>
      </c>
      <c r="J544">
        <v>578.34</v>
      </c>
      <c r="K544">
        <v>0.15</v>
      </c>
      <c r="L544">
        <v>2457.9499999999998</v>
      </c>
      <c r="M544">
        <v>1272.83</v>
      </c>
      <c r="N544">
        <v>1185.1199999999999</v>
      </c>
      <c r="O544" t="s">
        <v>51</v>
      </c>
      <c r="P544">
        <v>1</v>
      </c>
      <c r="Q544" t="str">
        <f t="shared" si="48"/>
        <v>January</v>
      </c>
      <c r="R544" t="str">
        <f t="shared" si="49"/>
        <v>Q1</v>
      </c>
      <c r="S544">
        <f t="shared" si="50"/>
        <v>2024</v>
      </c>
      <c r="T544">
        <f t="shared" si="51"/>
        <v>1650027.0300000007</v>
      </c>
      <c r="U544">
        <f t="shared" si="52"/>
        <v>546072.52000000014</v>
      </c>
      <c r="V544">
        <f t="shared" si="53"/>
        <v>2.0216261935319513</v>
      </c>
    </row>
    <row r="545" spans="1:22" x14ac:dyDescent="0.35">
      <c r="A545" t="s">
        <v>1158</v>
      </c>
      <c r="B545" s="1">
        <v>45367</v>
      </c>
      <c r="C545" t="s">
        <v>1159</v>
      </c>
      <c r="D545" t="s">
        <v>19</v>
      </c>
      <c r="E545" t="s">
        <v>98</v>
      </c>
      <c r="F545" t="s">
        <v>39</v>
      </c>
      <c r="G545" t="s">
        <v>79</v>
      </c>
      <c r="H545" t="s">
        <v>80</v>
      </c>
      <c r="I545">
        <v>10</v>
      </c>
      <c r="J545">
        <v>382.88</v>
      </c>
      <c r="K545">
        <v>0.15</v>
      </c>
      <c r="L545">
        <v>3254.48</v>
      </c>
      <c r="M545">
        <v>2543.8200000000002</v>
      </c>
      <c r="N545">
        <v>710.66</v>
      </c>
      <c r="O545" t="s">
        <v>24</v>
      </c>
      <c r="P545">
        <v>3</v>
      </c>
      <c r="Q545" t="str">
        <f t="shared" si="48"/>
        <v>March</v>
      </c>
      <c r="R545" t="str">
        <f t="shared" si="49"/>
        <v>Q1</v>
      </c>
      <c r="S545">
        <f t="shared" si="50"/>
        <v>2024</v>
      </c>
      <c r="T545">
        <f t="shared" si="51"/>
        <v>1647569.0800000008</v>
      </c>
      <c r="U545">
        <f t="shared" si="52"/>
        <v>544887.40000000014</v>
      </c>
      <c r="V545">
        <f t="shared" si="53"/>
        <v>2.0236872425385508</v>
      </c>
    </row>
    <row r="546" spans="1:22" x14ac:dyDescent="0.35">
      <c r="A546" t="s">
        <v>1160</v>
      </c>
      <c r="B546" s="1">
        <v>45492</v>
      </c>
      <c r="C546" t="s">
        <v>1161</v>
      </c>
      <c r="D546" t="s">
        <v>49</v>
      </c>
      <c r="E546" t="s">
        <v>98</v>
      </c>
      <c r="F546" t="s">
        <v>39</v>
      </c>
      <c r="G546" t="s">
        <v>79</v>
      </c>
      <c r="H546" t="s">
        <v>103</v>
      </c>
      <c r="I546">
        <v>9</v>
      </c>
      <c r="J546">
        <v>1147.06</v>
      </c>
      <c r="K546">
        <v>0.15</v>
      </c>
      <c r="L546">
        <v>8775.01</v>
      </c>
      <c r="M546">
        <v>7361.33</v>
      </c>
      <c r="N546">
        <v>1413.68</v>
      </c>
      <c r="O546" t="s">
        <v>33</v>
      </c>
      <c r="P546">
        <v>4</v>
      </c>
      <c r="Q546" t="str">
        <f t="shared" si="48"/>
        <v>July</v>
      </c>
      <c r="R546" t="str">
        <f t="shared" si="49"/>
        <v>Q3</v>
      </c>
      <c r="S546">
        <f t="shared" si="50"/>
        <v>2024</v>
      </c>
      <c r="T546">
        <f t="shared" si="51"/>
        <v>1644314.6000000006</v>
      </c>
      <c r="U546">
        <f t="shared" si="52"/>
        <v>544176.74000000011</v>
      </c>
      <c r="V546">
        <f t="shared" si="53"/>
        <v>2.0216554276097876</v>
      </c>
    </row>
    <row r="547" spans="1:22" x14ac:dyDescent="0.35">
      <c r="A547" t="s">
        <v>1162</v>
      </c>
      <c r="B547" s="1">
        <v>45582</v>
      </c>
      <c r="C547" t="s">
        <v>1163</v>
      </c>
      <c r="D547" t="s">
        <v>66</v>
      </c>
      <c r="E547" t="s">
        <v>20</v>
      </c>
      <c r="F547" t="s">
        <v>21</v>
      </c>
      <c r="G547" t="s">
        <v>79</v>
      </c>
      <c r="H547" t="s">
        <v>89</v>
      </c>
      <c r="I547">
        <v>5</v>
      </c>
      <c r="J547">
        <v>186.84</v>
      </c>
      <c r="K547">
        <v>0</v>
      </c>
      <c r="L547">
        <v>934.2</v>
      </c>
      <c r="M547">
        <v>670.35</v>
      </c>
      <c r="N547">
        <v>263.85000000000002</v>
      </c>
      <c r="O547" t="s">
        <v>62</v>
      </c>
      <c r="P547">
        <v>3</v>
      </c>
      <c r="Q547" t="str">
        <f t="shared" si="48"/>
        <v>October</v>
      </c>
      <c r="R547" t="str">
        <f t="shared" si="49"/>
        <v>Q4</v>
      </c>
      <c r="S547">
        <f t="shared" si="50"/>
        <v>2024</v>
      </c>
      <c r="T547">
        <f t="shared" si="51"/>
        <v>1635539.5900000008</v>
      </c>
      <c r="U547">
        <f t="shared" si="52"/>
        <v>542763.06000000006</v>
      </c>
      <c r="V547">
        <f t="shared" si="53"/>
        <v>2.0133583335608738</v>
      </c>
    </row>
    <row r="548" spans="1:22" x14ac:dyDescent="0.35">
      <c r="A548" t="s">
        <v>1164</v>
      </c>
      <c r="B548" s="1">
        <v>45313</v>
      </c>
      <c r="C548" t="s">
        <v>1165</v>
      </c>
      <c r="D548" t="s">
        <v>37</v>
      </c>
      <c r="E548" t="s">
        <v>38</v>
      </c>
      <c r="F548" t="s">
        <v>39</v>
      </c>
      <c r="G548" t="s">
        <v>22</v>
      </c>
      <c r="H548" t="s">
        <v>23</v>
      </c>
      <c r="I548">
        <v>9</v>
      </c>
      <c r="J548">
        <v>326.75</v>
      </c>
      <c r="K548">
        <v>0.15</v>
      </c>
      <c r="L548">
        <v>2499.64</v>
      </c>
      <c r="M548">
        <v>2097.81</v>
      </c>
      <c r="N548">
        <v>401.83</v>
      </c>
      <c r="O548" t="s">
        <v>51</v>
      </c>
      <c r="P548">
        <v>5</v>
      </c>
      <c r="Q548" t="str">
        <f t="shared" si="48"/>
        <v>January</v>
      </c>
      <c r="R548" t="str">
        <f t="shared" si="49"/>
        <v>Q1</v>
      </c>
      <c r="S548">
        <f t="shared" si="50"/>
        <v>2024</v>
      </c>
      <c r="T548">
        <f t="shared" si="51"/>
        <v>1634605.3900000008</v>
      </c>
      <c r="U548">
        <f t="shared" si="52"/>
        <v>542499.2100000002</v>
      </c>
      <c r="V548">
        <f t="shared" si="53"/>
        <v>2.0131018808303893</v>
      </c>
    </row>
    <row r="549" spans="1:22" x14ac:dyDescent="0.35">
      <c r="A549" t="s">
        <v>1166</v>
      </c>
      <c r="B549" s="1">
        <v>45616</v>
      </c>
      <c r="C549" t="s">
        <v>1167</v>
      </c>
      <c r="D549" t="s">
        <v>19</v>
      </c>
      <c r="E549" t="s">
        <v>30</v>
      </c>
      <c r="F549" t="s">
        <v>21</v>
      </c>
      <c r="G549" t="s">
        <v>79</v>
      </c>
      <c r="H549" t="s">
        <v>103</v>
      </c>
      <c r="I549">
        <v>3</v>
      </c>
      <c r="J549">
        <v>200.1</v>
      </c>
      <c r="K549">
        <v>0.05</v>
      </c>
      <c r="L549">
        <v>570.28</v>
      </c>
      <c r="M549">
        <v>458.54</v>
      </c>
      <c r="N549">
        <v>111.74</v>
      </c>
      <c r="O549" t="s">
        <v>62</v>
      </c>
      <c r="P549">
        <v>3</v>
      </c>
      <c r="Q549" t="str">
        <f t="shared" si="48"/>
        <v>November</v>
      </c>
      <c r="R549" t="str">
        <f t="shared" si="49"/>
        <v>Q4</v>
      </c>
      <c r="S549">
        <f t="shared" si="50"/>
        <v>2024</v>
      </c>
      <c r="T549">
        <f t="shared" si="51"/>
        <v>1632105.7500000007</v>
      </c>
      <c r="U549">
        <f t="shared" si="52"/>
        <v>542097.38000000012</v>
      </c>
      <c r="V549">
        <f t="shared" si="53"/>
        <v>2.010724290901388</v>
      </c>
    </row>
    <row r="550" spans="1:22" x14ac:dyDescent="0.35">
      <c r="A550" t="s">
        <v>1168</v>
      </c>
      <c r="B550" s="1">
        <v>45626</v>
      </c>
      <c r="C550" t="s">
        <v>1169</v>
      </c>
      <c r="D550" t="s">
        <v>29</v>
      </c>
      <c r="E550" t="s">
        <v>30</v>
      </c>
      <c r="F550" t="s">
        <v>39</v>
      </c>
      <c r="G550" t="s">
        <v>22</v>
      </c>
      <c r="H550" t="s">
        <v>23</v>
      </c>
      <c r="I550">
        <v>7</v>
      </c>
      <c r="J550">
        <v>291.27</v>
      </c>
      <c r="K550">
        <v>0.15</v>
      </c>
      <c r="L550">
        <v>1733.06</v>
      </c>
      <c r="M550">
        <v>1062.8599999999999</v>
      </c>
      <c r="N550">
        <v>670.2</v>
      </c>
      <c r="O550" t="s">
        <v>24</v>
      </c>
      <c r="P550">
        <v>1</v>
      </c>
      <c r="Q550" t="str">
        <f t="shared" si="48"/>
        <v>November</v>
      </c>
      <c r="R550" t="str">
        <f t="shared" si="49"/>
        <v>Q4</v>
      </c>
      <c r="S550">
        <f t="shared" si="50"/>
        <v>2024</v>
      </c>
      <c r="T550">
        <f t="shared" si="51"/>
        <v>1631535.4700000009</v>
      </c>
      <c r="U550">
        <f t="shared" si="52"/>
        <v>541985.64000000013</v>
      </c>
      <c r="V550">
        <f t="shared" si="53"/>
        <v>2.0102928003775165</v>
      </c>
    </row>
    <row r="551" spans="1:22" x14ac:dyDescent="0.35">
      <c r="A551" t="s">
        <v>1170</v>
      </c>
      <c r="B551" s="1">
        <v>45340</v>
      </c>
      <c r="C551" t="s">
        <v>1171</v>
      </c>
      <c r="D551" t="s">
        <v>66</v>
      </c>
      <c r="E551" t="s">
        <v>38</v>
      </c>
      <c r="F551" t="s">
        <v>39</v>
      </c>
      <c r="G551" t="s">
        <v>79</v>
      </c>
      <c r="H551" t="s">
        <v>80</v>
      </c>
      <c r="I551">
        <v>5</v>
      </c>
      <c r="J551">
        <v>607.07000000000005</v>
      </c>
      <c r="K551">
        <v>0.1</v>
      </c>
      <c r="L551">
        <v>2731.82</v>
      </c>
      <c r="M551">
        <v>1843.98</v>
      </c>
      <c r="N551">
        <v>887.84</v>
      </c>
      <c r="O551" t="s">
        <v>62</v>
      </c>
      <c r="P551">
        <v>3</v>
      </c>
      <c r="Q551" t="str">
        <f t="shared" si="48"/>
        <v>February</v>
      </c>
      <c r="R551" t="str">
        <f t="shared" si="49"/>
        <v>Q1</v>
      </c>
      <c r="S551">
        <f t="shared" si="50"/>
        <v>2024</v>
      </c>
      <c r="T551">
        <f t="shared" si="51"/>
        <v>1629802.4100000008</v>
      </c>
      <c r="U551">
        <f t="shared" si="52"/>
        <v>541315.44000000018</v>
      </c>
      <c r="V551">
        <f t="shared" si="53"/>
        <v>2.0108182578350258</v>
      </c>
    </row>
    <row r="552" spans="1:22" x14ac:dyDescent="0.35">
      <c r="A552" t="s">
        <v>1172</v>
      </c>
      <c r="B552" s="1">
        <v>45346</v>
      </c>
      <c r="C552" t="s">
        <v>1173</v>
      </c>
      <c r="D552" t="s">
        <v>49</v>
      </c>
      <c r="E552" t="s">
        <v>20</v>
      </c>
      <c r="F552" t="s">
        <v>21</v>
      </c>
      <c r="G552" t="s">
        <v>43</v>
      </c>
      <c r="H552" t="s">
        <v>50</v>
      </c>
      <c r="I552">
        <v>12</v>
      </c>
      <c r="J552">
        <v>1193.76</v>
      </c>
      <c r="K552">
        <v>0.05</v>
      </c>
      <c r="L552">
        <v>13608.86</v>
      </c>
      <c r="M552">
        <v>10086.07</v>
      </c>
      <c r="N552">
        <v>3522.79</v>
      </c>
      <c r="O552" t="s">
        <v>62</v>
      </c>
      <c r="P552">
        <v>5</v>
      </c>
      <c r="Q552" t="str">
        <f t="shared" si="48"/>
        <v>February</v>
      </c>
      <c r="R552" t="str">
        <f t="shared" si="49"/>
        <v>Q1</v>
      </c>
      <c r="S552">
        <f t="shared" si="50"/>
        <v>2024</v>
      </c>
      <c r="T552">
        <f t="shared" si="51"/>
        <v>1627070.5900000008</v>
      </c>
      <c r="U552">
        <f t="shared" si="52"/>
        <v>540427.60000000021</v>
      </c>
      <c r="V552">
        <f t="shared" si="53"/>
        <v>2.0107096491740988</v>
      </c>
    </row>
    <row r="553" spans="1:22" x14ac:dyDescent="0.35">
      <c r="A553" t="s">
        <v>1174</v>
      </c>
      <c r="B553" s="1">
        <v>45494</v>
      </c>
      <c r="C553" t="s">
        <v>1175</v>
      </c>
      <c r="D553" t="s">
        <v>66</v>
      </c>
      <c r="E553" t="s">
        <v>98</v>
      </c>
      <c r="F553" t="s">
        <v>39</v>
      </c>
      <c r="G553" t="s">
        <v>60</v>
      </c>
      <c r="H553" t="s">
        <v>110</v>
      </c>
      <c r="I553">
        <v>2</v>
      </c>
      <c r="J553">
        <v>25.51</v>
      </c>
      <c r="K553">
        <v>0.15</v>
      </c>
      <c r="L553">
        <v>43.37</v>
      </c>
      <c r="M553">
        <v>21.9</v>
      </c>
      <c r="N553">
        <v>21.47</v>
      </c>
      <c r="O553" t="s">
        <v>62</v>
      </c>
      <c r="P553">
        <v>1</v>
      </c>
      <c r="Q553" t="str">
        <f t="shared" si="48"/>
        <v>July</v>
      </c>
      <c r="R553" t="str">
        <f t="shared" si="49"/>
        <v>Q3</v>
      </c>
      <c r="S553">
        <f t="shared" si="50"/>
        <v>2024</v>
      </c>
      <c r="T553">
        <f t="shared" si="51"/>
        <v>1613461.7300000004</v>
      </c>
      <c r="U553">
        <f t="shared" si="52"/>
        <v>536904.81000000017</v>
      </c>
      <c r="V553">
        <f t="shared" si="53"/>
        <v>2.0051169219363114</v>
      </c>
    </row>
    <row r="554" spans="1:22" x14ac:dyDescent="0.35">
      <c r="A554" t="s">
        <v>1176</v>
      </c>
      <c r="B554" s="1">
        <v>45383</v>
      </c>
      <c r="C554" t="s">
        <v>1177</v>
      </c>
      <c r="D554" t="s">
        <v>66</v>
      </c>
      <c r="E554" t="s">
        <v>38</v>
      </c>
      <c r="F554" t="s">
        <v>31</v>
      </c>
      <c r="G554" t="s">
        <v>43</v>
      </c>
      <c r="H554" t="s">
        <v>50</v>
      </c>
      <c r="I554">
        <v>10</v>
      </c>
      <c r="J554">
        <v>601.19000000000005</v>
      </c>
      <c r="K554">
        <v>0.15</v>
      </c>
      <c r="L554">
        <v>5110.12</v>
      </c>
      <c r="M554">
        <v>4314.22</v>
      </c>
      <c r="N554">
        <v>795.9</v>
      </c>
      <c r="O554" t="s">
        <v>24</v>
      </c>
      <c r="P554">
        <v>3</v>
      </c>
      <c r="Q554" t="str">
        <f t="shared" si="48"/>
        <v>April</v>
      </c>
      <c r="R554" t="str">
        <f t="shared" si="49"/>
        <v>Q2</v>
      </c>
      <c r="S554">
        <f t="shared" si="50"/>
        <v>2024</v>
      </c>
      <c r="T554">
        <f t="shared" si="51"/>
        <v>1613418.3600000006</v>
      </c>
      <c r="U554">
        <f t="shared" si="52"/>
        <v>536883.34000000008</v>
      </c>
      <c r="V554">
        <f t="shared" si="53"/>
        <v>2.0051563157091077</v>
      </c>
    </row>
    <row r="555" spans="1:22" x14ac:dyDescent="0.35">
      <c r="A555" t="s">
        <v>1178</v>
      </c>
      <c r="B555" s="1">
        <v>45343</v>
      </c>
      <c r="C555" t="s">
        <v>1179</v>
      </c>
      <c r="D555" t="s">
        <v>49</v>
      </c>
      <c r="E555" t="s">
        <v>85</v>
      </c>
      <c r="F555" t="s">
        <v>31</v>
      </c>
      <c r="G555" t="s">
        <v>43</v>
      </c>
      <c r="H555" t="s">
        <v>44</v>
      </c>
      <c r="I555">
        <v>5</v>
      </c>
      <c r="J555">
        <v>185.09</v>
      </c>
      <c r="K555">
        <v>0.15</v>
      </c>
      <c r="L555">
        <v>786.63</v>
      </c>
      <c r="M555">
        <v>629.01</v>
      </c>
      <c r="N555">
        <v>157.62</v>
      </c>
      <c r="O555" t="s">
        <v>24</v>
      </c>
      <c r="P555">
        <v>2</v>
      </c>
      <c r="Q555" t="str">
        <f t="shared" si="48"/>
        <v>February</v>
      </c>
      <c r="R555" t="str">
        <f t="shared" si="49"/>
        <v>Q1</v>
      </c>
      <c r="S555">
        <f t="shared" si="50"/>
        <v>2024</v>
      </c>
      <c r="T555">
        <f t="shared" si="51"/>
        <v>1608308.2400000005</v>
      </c>
      <c r="U555">
        <f t="shared" si="52"/>
        <v>536087.44000000018</v>
      </c>
      <c r="V555">
        <f t="shared" si="53"/>
        <v>2.0000856576680848</v>
      </c>
    </row>
    <row r="556" spans="1:22" x14ac:dyDescent="0.35">
      <c r="A556" t="s">
        <v>1180</v>
      </c>
      <c r="B556" s="1">
        <v>45595</v>
      </c>
      <c r="C556" t="s">
        <v>1181</v>
      </c>
      <c r="D556" t="s">
        <v>19</v>
      </c>
      <c r="E556" t="s">
        <v>38</v>
      </c>
      <c r="F556" t="s">
        <v>31</v>
      </c>
      <c r="G556" t="s">
        <v>60</v>
      </c>
      <c r="H556" t="s">
        <v>61</v>
      </c>
      <c r="I556">
        <v>10</v>
      </c>
      <c r="J556">
        <v>701.64</v>
      </c>
      <c r="K556">
        <v>0.1</v>
      </c>
      <c r="L556">
        <v>6314.76</v>
      </c>
      <c r="M556">
        <v>3733.32</v>
      </c>
      <c r="N556">
        <v>2581.44</v>
      </c>
      <c r="O556" t="s">
        <v>51</v>
      </c>
      <c r="P556">
        <v>3</v>
      </c>
      <c r="Q556" t="str">
        <f t="shared" si="48"/>
        <v>October</v>
      </c>
      <c r="R556" t="str">
        <f t="shared" si="49"/>
        <v>Q4</v>
      </c>
      <c r="S556">
        <f t="shared" si="50"/>
        <v>2024</v>
      </c>
      <c r="T556">
        <f t="shared" si="51"/>
        <v>1607521.6100000003</v>
      </c>
      <c r="U556">
        <f t="shared" si="52"/>
        <v>535929.82000000007</v>
      </c>
      <c r="V556">
        <f t="shared" si="53"/>
        <v>1.9995002144124023</v>
      </c>
    </row>
    <row r="557" spans="1:22" x14ac:dyDescent="0.35">
      <c r="A557" t="s">
        <v>1182</v>
      </c>
      <c r="B557" s="1">
        <v>45379</v>
      </c>
      <c r="C557" t="s">
        <v>1183</v>
      </c>
      <c r="D557" t="s">
        <v>66</v>
      </c>
      <c r="E557" t="s">
        <v>98</v>
      </c>
      <c r="F557" t="s">
        <v>21</v>
      </c>
      <c r="G557" t="s">
        <v>79</v>
      </c>
      <c r="H557" t="s">
        <v>89</v>
      </c>
      <c r="I557">
        <v>9</v>
      </c>
      <c r="J557">
        <v>717.98</v>
      </c>
      <c r="K557">
        <v>0</v>
      </c>
      <c r="L557">
        <v>6461.82</v>
      </c>
      <c r="M557">
        <v>4178.37</v>
      </c>
      <c r="N557">
        <v>2283.4499999999998</v>
      </c>
      <c r="O557" t="s">
        <v>33</v>
      </c>
      <c r="P557">
        <v>5</v>
      </c>
      <c r="Q557" t="str">
        <f t="shared" si="48"/>
        <v>March</v>
      </c>
      <c r="R557" t="str">
        <f t="shared" si="49"/>
        <v>Q1</v>
      </c>
      <c r="S557">
        <f t="shared" si="50"/>
        <v>2024</v>
      </c>
      <c r="T557">
        <f t="shared" si="51"/>
        <v>1601206.8500000006</v>
      </c>
      <c r="U557">
        <f t="shared" si="52"/>
        <v>533348.38000000012</v>
      </c>
      <c r="V557">
        <f t="shared" si="53"/>
        <v>2.0021781447990903</v>
      </c>
    </row>
    <row r="558" spans="1:22" x14ac:dyDescent="0.35">
      <c r="A558" t="s">
        <v>1184</v>
      </c>
      <c r="B558" s="1">
        <v>45325</v>
      </c>
      <c r="C558" t="s">
        <v>1185</v>
      </c>
      <c r="D558" t="s">
        <v>49</v>
      </c>
      <c r="E558" t="s">
        <v>20</v>
      </c>
      <c r="F558" t="s">
        <v>21</v>
      </c>
      <c r="G558" t="s">
        <v>60</v>
      </c>
      <c r="H558" t="s">
        <v>61</v>
      </c>
      <c r="I558">
        <v>11</v>
      </c>
      <c r="J558">
        <v>1158.71</v>
      </c>
      <c r="K558">
        <v>0</v>
      </c>
      <c r="L558">
        <v>12745.81</v>
      </c>
      <c r="M558">
        <v>7074.58</v>
      </c>
      <c r="N558">
        <v>5671.23</v>
      </c>
      <c r="O558" t="s">
        <v>33</v>
      </c>
      <c r="P558">
        <v>3</v>
      </c>
      <c r="Q558" t="str">
        <f t="shared" si="48"/>
        <v>February</v>
      </c>
      <c r="R558" t="str">
        <f t="shared" si="49"/>
        <v>Q1</v>
      </c>
      <c r="S558">
        <f t="shared" si="50"/>
        <v>2024</v>
      </c>
      <c r="T558">
        <f t="shared" si="51"/>
        <v>1594745.0300000005</v>
      </c>
      <c r="U558">
        <f t="shared" si="52"/>
        <v>531064.93000000017</v>
      </c>
      <c r="V558">
        <f t="shared" si="53"/>
        <v>2.0029191157472965</v>
      </c>
    </row>
    <row r="559" spans="1:22" x14ac:dyDescent="0.35">
      <c r="A559" t="s">
        <v>1186</v>
      </c>
      <c r="B559" s="1">
        <v>45354</v>
      </c>
      <c r="C559" t="s">
        <v>1187</v>
      </c>
      <c r="D559" t="s">
        <v>66</v>
      </c>
      <c r="E559" t="s">
        <v>98</v>
      </c>
      <c r="F559" t="s">
        <v>39</v>
      </c>
      <c r="G559" t="s">
        <v>43</v>
      </c>
      <c r="H559" t="s">
        <v>44</v>
      </c>
      <c r="I559">
        <v>12</v>
      </c>
      <c r="J559">
        <v>541.33000000000004</v>
      </c>
      <c r="K559">
        <v>0.15</v>
      </c>
      <c r="L559">
        <v>5521.57</v>
      </c>
      <c r="M559">
        <v>4215.6099999999997</v>
      </c>
      <c r="N559">
        <v>1305.96</v>
      </c>
      <c r="O559" t="s">
        <v>62</v>
      </c>
      <c r="P559">
        <v>2</v>
      </c>
      <c r="Q559" t="str">
        <f t="shared" si="48"/>
        <v>March</v>
      </c>
      <c r="R559" t="str">
        <f t="shared" si="49"/>
        <v>Q1</v>
      </c>
      <c r="S559">
        <f t="shared" si="50"/>
        <v>2024</v>
      </c>
      <c r="T559">
        <f t="shared" si="51"/>
        <v>1581999.2200000007</v>
      </c>
      <c r="U559">
        <f t="shared" si="52"/>
        <v>525393.69999999984</v>
      </c>
      <c r="V559">
        <f t="shared" si="53"/>
        <v>2.0110738290162238</v>
      </c>
    </row>
    <row r="560" spans="1:22" x14ac:dyDescent="0.35">
      <c r="A560" t="s">
        <v>1188</v>
      </c>
      <c r="B560" s="1">
        <v>45430</v>
      </c>
      <c r="C560" t="s">
        <v>1189</v>
      </c>
      <c r="D560" t="s">
        <v>29</v>
      </c>
      <c r="E560" t="s">
        <v>98</v>
      </c>
      <c r="F560" t="s">
        <v>39</v>
      </c>
      <c r="G560" t="s">
        <v>60</v>
      </c>
      <c r="H560" t="s">
        <v>119</v>
      </c>
      <c r="I560">
        <v>6</v>
      </c>
      <c r="J560">
        <v>735.88</v>
      </c>
      <c r="K560">
        <v>0.05</v>
      </c>
      <c r="L560">
        <v>4194.5200000000004</v>
      </c>
      <c r="M560">
        <v>3094.6</v>
      </c>
      <c r="N560">
        <v>1099.92</v>
      </c>
      <c r="O560" t="s">
        <v>62</v>
      </c>
      <c r="P560">
        <v>1</v>
      </c>
      <c r="Q560" t="str">
        <f t="shared" si="48"/>
        <v>May</v>
      </c>
      <c r="R560" t="str">
        <f t="shared" si="49"/>
        <v>Q2</v>
      </c>
      <c r="S560">
        <f t="shared" si="50"/>
        <v>2024</v>
      </c>
      <c r="T560">
        <f t="shared" si="51"/>
        <v>1576477.6500000006</v>
      </c>
      <c r="U560">
        <f t="shared" si="52"/>
        <v>524087.73999999982</v>
      </c>
      <c r="V560">
        <f t="shared" si="53"/>
        <v>2.0080414588595437</v>
      </c>
    </row>
    <row r="561" spans="1:22" x14ac:dyDescent="0.35">
      <c r="A561" t="s">
        <v>1190</v>
      </c>
      <c r="B561" s="1">
        <v>45493</v>
      </c>
      <c r="C561" t="s">
        <v>1191</v>
      </c>
      <c r="D561" t="s">
        <v>19</v>
      </c>
      <c r="E561" t="s">
        <v>85</v>
      </c>
      <c r="F561" t="s">
        <v>39</v>
      </c>
      <c r="G561" t="s">
        <v>60</v>
      </c>
      <c r="H561" t="s">
        <v>61</v>
      </c>
      <c r="I561">
        <v>9</v>
      </c>
      <c r="J561">
        <v>979.76</v>
      </c>
      <c r="K561">
        <v>0.1</v>
      </c>
      <c r="L561">
        <v>7936.06</v>
      </c>
      <c r="M561">
        <v>4116.87</v>
      </c>
      <c r="N561">
        <v>3819.19</v>
      </c>
      <c r="O561" t="s">
        <v>62</v>
      </c>
      <c r="P561">
        <v>2</v>
      </c>
      <c r="Q561" t="str">
        <f t="shared" si="48"/>
        <v>July</v>
      </c>
      <c r="R561" t="str">
        <f t="shared" si="49"/>
        <v>Q3</v>
      </c>
      <c r="S561">
        <f t="shared" si="50"/>
        <v>2024</v>
      </c>
      <c r="T561">
        <f t="shared" si="51"/>
        <v>1572283.1300000004</v>
      </c>
      <c r="U561">
        <f t="shared" si="52"/>
        <v>522987.81999999977</v>
      </c>
      <c r="V561">
        <f t="shared" si="53"/>
        <v>2.0063475092020324</v>
      </c>
    </row>
    <row r="562" spans="1:22" x14ac:dyDescent="0.35">
      <c r="A562" t="s">
        <v>1192</v>
      </c>
      <c r="B562" s="1">
        <v>45309</v>
      </c>
      <c r="C562" t="s">
        <v>1193</v>
      </c>
      <c r="D562" t="s">
        <v>37</v>
      </c>
      <c r="E562" t="s">
        <v>85</v>
      </c>
      <c r="F562" t="s">
        <v>31</v>
      </c>
      <c r="G562" t="s">
        <v>22</v>
      </c>
      <c r="H562" t="s">
        <v>32</v>
      </c>
      <c r="I562">
        <v>5</v>
      </c>
      <c r="J562">
        <v>446.04</v>
      </c>
      <c r="K562">
        <v>0</v>
      </c>
      <c r="L562">
        <v>2230.1999999999998</v>
      </c>
      <c r="M562">
        <v>1692.84</v>
      </c>
      <c r="N562">
        <v>537.36</v>
      </c>
      <c r="O562" t="s">
        <v>62</v>
      </c>
      <c r="P562">
        <v>5</v>
      </c>
      <c r="Q562" t="str">
        <f t="shared" si="48"/>
        <v>January</v>
      </c>
      <c r="R562" t="str">
        <f t="shared" si="49"/>
        <v>Q1</v>
      </c>
      <c r="S562">
        <f t="shared" si="50"/>
        <v>2024</v>
      </c>
      <c r="T562">
        <f t="shared" si="51"/>
        <v>1564347.0700000005</v>
      </c>
      <c r="U562">
        <f t="shared" si="52"/>
        <v>519168.62999999983</v>
      </c>
      <c r="V562">
        <f t="shared" si="53"/>
        <v>2.0131771829126137</v>
      </c>
    </row>
    <row r="563" spans="1:22" x14ac:dyDescent="0.35">
      <c r="A563" t="s">
        <v>1194</v>
      </c>
      <c r="B563" s="1">
        <v>45423</v>
      </c>
      <c r="C563" t="s">
        <v>1195</v>
      </c>
      <c r="D563" t="s">
        <v>66</v>
      </c>
      <c r="E563" t="s">
        <v>38</v>
      </c>
      <c r="F563" t="s">
        <v>21</v>
      </c>
      <c r="G563" t="s">
        <v>43</v>
      </c>
      <c r="H563" t="s">
        <v>44</v>
      </c>
      <c r="I563">
        <v>4</v>
      </c>
      <c r="J563">
        <v>302.42</v>
      </c>
      <c r="K563">
        <v>0.1</v>
      </c>
      <c r="L563">
        <v>1088.71</v>
      </c>
      <c r="M563">
        <v>754.45</v>
      </c>
      <c r="N563">
        <v>334.26</v>
      </c>
      <c r="O563" t="s">
        <v>33</v>
      </c>
      <c r="P563">
        <v>3</v>
      </c>
      <c r="Q563" t="str">
        <f t="shared" si="48"/>
        <v>May</v>
      </c>
      <c r="R563" t="str">
        <f t="shared" si="49"/>
        <v>Q2</v>
      </c>
      <c r="S563">
        <f t="shared" si="50"/>
        <v>2024</v>
      </c>
      <c r="T563">
        <f t="shared" si="51"/>
        <v>1562116.8700000006</v>
      </c>
      <c r="U563">
        <f t="shared" si="52"/>
        <v>518631.26999999979</v>
      </c>
      <c r="V563">
        <f t="shared" si="53"/>
        <v>2.0119990065388871</v>
      </c>
    </row>
    <row r="564" spans="1:22" x14ac:dyDescent="0.35">
      <c r="A564" t="s">
        <v>1196</v>
      </c>
      <c r="B564" s="1">
        <v>45596</v>
      </c>
      <c r="C564" t="s">
        <v>1197</v>
      </c>
      <c r="D564" t="s">
        <v>66</v>
      </c>
      <c r="E564" t="s">
        <v>20</v>
      </c>
      <c r="F564" t="s">
        <v>21</v>
      </c>
      <c r="G564" t="s">
        <v>22</v>
      </c>
      <c r="H564" t="s">
        <v>23</v>
      </c>
      <c r="I564">
        <v>5</v>
      </c>
      <c r="J564">
        <v>36.369999999999997</v>
      </c>
      <c r="K564">
        <v>0</v>
      </c>
      <c r="L564">
        <v>181.85</v>
      </c>
      <c r="M564">
        <v>114.57</v>
      </c>
      <c r="N564">
        <v>67.28</v>
      </c>
      <c r="O564" t="s">
        <v>24</v>
      </c>
      <c r="P564">
        <v>4</v>
      </c>
      <c r="Q564" t="str">
        <f t="shared" si="48"/>
        <v>October</v>
      </c>
      <c r="R564" t="str">
        <f t="shared" si="49"/>
        <v>Q4</v>
      </c>
      <c r="S564">
        <f t="shared" si="50"/>
        <v>2024</v>
      </c>
      <c r="T564">
        <f t="shared" si="51"/>
        <v>1561028.1600000006</v>
      </c>
      <c r="U564">
        <f t="shared" si="52"/>
        <v>518297.00999999983</v>
      </c>
      <c r="V564">
        <f t="shared" si="53"/>
        <v>2.0118409519669065</v>
      </c>
    </row>
    <row r="565" spans="1:22" x14ac:dyDescent="0.35">
      <c r="A565" t="s">
        <v>1198</v>
      </c>
      <c r="B565" s="1">
        <v>45612</v>
      </c>
      <c r="C565" t="s">
        <v>1199</v>
      </c>
      <c r="D565" t="s">
        <v>29</v>
      </c>
      <c r="E565" t="s">
        <v>20</v>
      </c>
      <c r="F565" t="s">
        <v>21</v>
      </c>
      <c r="G565" t="s">
        <v>79</v>
      </c>
      <c r="H565" t="s">
        <v>103</v>
      </c>
      <c r="I565">
        <v>6</v>
      </c>
      <c r="J565">
        <v>1127.68</v>
      </c>
      <c r="K565">
        <v>0.05</v>
      </c>
      <c r="L565">
        <v>6427.78</v>
      </c>
      <c r="M565">
        <v>3296.55</v>
      </c>
      <c r="N565">
        <v>3131.23</v>
      </c>
      <c r="O565" t="s">
        <v>62</v>
      </c>
      <c r="P565">
        <v>2</v>
      </c>
      <c r="Q565" t="str">
        <f t="shared" si="48"/>
        <v>November</v>
      </c>
      <c r="R565" t="str">
        <f t="shared" si="49"/>
        <v>Q4</v>
      </c>
      <c r="S565">
        <f t="shared" si="50"/>
        <v>2024</v>
      </c>
      <c r="T565">
        <f t="shared" si="51"/>
        <v>1560846.3100000005</v>
      </c>
      <c r="U565">
        <f t="shared" si="52"/>
        <v>518229.72999999981</v>
      </c>
      <c r="V565">
        <f t="shared" si="53"/>
        <v>2.0118810628637633</v>
      </c>
    </row>
    <row r="566" spans="1:22" x14ac:dyDescent="0.35">
      <c r="A566" t="s">
        <v>1200</v>
      </c>
      <c r="B566" s="1">
        <v>45432</v>
      </c>
      <c r="C566" t="s">
        <v>1201</v>
      </c>
      <c r="D566" t="s">
        <v>37</v>
      </c>
      <c r="E566" t="s">
        <v>98</v>
      </c>
      <c r="F566" t="s">
        <v>39</v>
      </c>
      <c r="G566" t="s">
        <v>22</v>
      </c>
      <c r="H566" t="s">
        <v>32</v>
      </c>
      <c r="I566">
        <v>8</v>
      </c>
      <c r="J566">
        <v>207.31</v>
      </c>
      <c r="K566">
        <v>0.05</v>
      </c>
      <c r="L566">
        <v>1575.56</v>
      </c>
      <c r="M566">
        <v>829.7</v>
      </c>
      <c r="N566">
        <v>745.86</v>
      </c>
      <c r="O566" t="s">
        <v>62</v>
      </c>
      <c r="P566">
        <v>1</v>
      </c>
      <c r="Q566" t="str">
        <f t="shared" si="48"/>
        <v>May</v>
      </c>
      <c r="R566" t="str">
        <f t="shared" si="49"/>
        <v>Q2</v>
      </c>
      <c r="S566">
        <f t="shared" si="50"/>
        <v>2024</v>
      </c>
      <c r="T566">
        <f t="shared" si="51"/>
        <v>1554418.5300000003</v>
      </c>
      <c r="U566">
        <f t="shared" si="52"/>
        <v>515098.49999999983</v>
      </c>
      <c r="V566">
        <f t="shared" si="53"/>
        <v>2.0177112338708052</v>
      </c>
    </row>
    <row r="567" spans="1:22" x14ac:dyDescent="0.35">
      <c r="A567" t="s">
        <v>1202</v>
      </c>
      <c r="B567" s="1">
        <v>45496</v>
      </c>
      <c r="C567" t="s">
        <v>1203</v>
      </c>
      <c r="D567" t="s">
        <v>37</v>
      </c>
      <c r="E567" t="s">
        <v>85</v>
      </c>
      <c r="F567" t="s">
        <v>31</v>
      </c>
      <c r="G567" t="s">
        <v>79</v>
      </c>
      <c r="H567" t="s">
        <v>89</v>
      </c>
      <c r="I567">
        <v>7</v>
      </c>
      <c r="J567">
        <v>144.41</v>
      </c>
      <c r="K567">
        <v>0.05</v>
      </c>
      <c r="L567">
        <v>960.33</v>
      </c>
      <c r="M567">
        <v>623.82000000000005</v>
      </c>
      <c r="N567">
        <v>336.51</v>
      </c>
      <c r="O567" t="s">
        <v>51</v>
      </c>
      <c r="P567">
        <v>4</v>
      </c>
      <c r="Q567" t="str">
        <f t="shared" si="48"/>
        <v>July</v>
      </c>
      <c r="R567" t="str">
        <f t="shared" si="49"/>
        <v>Q3</v>
      </c>
      <c r="S567">
        <f t="shared" si="50"/>
        <v>2024</v>
      </c>
      <c r="T567">
        <f t="shared" si="51"/>
        <v>1552842.9700000004</v>
      </c>
      <c r="U567">
        <f t="shared" si="52"/>
        <v>514352.63999999978</v>
      </c>
      <c r="V567">
        <f t="shared" si="53"/>
        <v>2.0190240104532196</v>
      </c>
    </row>
    <row r="568" spans="1:22" x14ac:dyDescent="0.35">
      <c r="A568" t="s">
        <v>1204</v>
      </c>
      <c r="B568" s="1">
        <v>45426</v>
      </c>
      <c r="C568" t="s">
        <v>1205</v>
      </c>
      <c r="D568" t="s">
        <v>29</v>
      </c>
      <c r="E568" t="s">
        <v>20</v>
      </c>
      <c r="F568" t="s">
        <v>21</v>
      </c>
      <c r="G568" t="s">
        <v>43</v>
      </c>
      <c r="H568" t="s">
        <v>50</v>
      </c>
      <c r="I568">
        <v>6</v>
      </c>
      <c r="J568">
        <v>1153.42</v>
      </c>
      <c r="K568">
        <v>0.15</v>
      </c>
      <c r="L568">
        <v>5882.44</v>
      </c>
      <c r="M568">
        <v>3703.59</v>
      </c>
      <c r="N568">
        <v>2178.85</v>
      </c>
      <c r="O568" t="s">
        <v>33</v>
      </c>
      <c r="P568">
        <v>1</v>
      </c>
      <c r="Q568" t="str">
        <f t="shared" si="48"/>
        <v>May</v>
      </c>
      <c r="R568" t="str">
        <f t="shared" si="49"/>
        <v>Q2</v>
      </c>
      <c r="S568">
        <f t="shared" si="50"/>
        <v>2024</v>
      </c>
      <c r="T568">
        <f t="shared" si="51"/>
        <v>1551882.6400000004</v>
      </c>
      <c r="U568">
        <f t="shared" si="52"/>
        <v>514016.12999999977</v>
      </c>
      <c r="V568">
        <f t="shared" si="53"/>
        <v>2.0191321817079961</v>
      </c>
    </row>
    <row r="569" spans="1:22" x14ac:dyDescent="0.35">
      <c r="A569" t="s">
        <v>1206</v>
      </c>
      <c r="B569" s="1">
        <v>45657</v>
      </c>
      <c r="C569" t="s">
        <v>1207</v>
      </c>
      <c r="D569" t="s">
        <v>37</v>
      </c>
      <c r="E569" t="s">
        <v>98</v>
      </c>
      <c r="F569" t="s">
        <v>39</v>
      </c>
      <c r="G569" t="s">
        <v>22</v>
      </c>
      <c r="H569" t="s">
        <v>23</v>
      </c>
      <c r="I569">
        <v>11</v>
      </c>
      <c r="J569">
        <v>713.11</v>
      </c>
      <c r="K569">
        <v>0.05</v>
      </c>
      <c r="L569">
        <v>7452</v>
      </c>
      <c r="M569">
        <v>5786.04</v>
      </c>
      <c r="N569">
        <v>1665.96</v>
      </c>
      <c r="O569" t="s">
        <v>24</v>
      </c>
      <c r="P569">
        <v>1</v>
      </c>
      <c r="Q569" t="str">
        <f t="shared" si="48"/>
        <v>December</v>
      </c>
      <c r="R569" t="str">
        <f t="shared" si="49"/>
        <v>Q4</v>
      </c>
      <c r="S569">
        <f t="shared" si="50"/>
        <v>2024</v>
      </c>
      <c r="T569">
        <f t="shared" si="51"/>
        <v>1546000.2000000002</v>
      </c>
      <c r="U569">
        <f t="shared" si="52"/>
        <v>511837.27999999974</v>
      </c>
      <c r="V569">
        <f t="shared" si="53"/>
        <v>2.0204915906086423</v>
      </c>
    </row>
    <row r="570" spans="1:22" x14ac:dyDescent="0.35">
      <c r="A570" t="s">
        <v>1208</v>
      </c>
      <c r="B570" s="1">
        <v>45390</v>
      </c>
      <c r="C570" t="s">
        <v>1209</v>
      </c>
      <c r="D570" t="s">
        <v>66</v>
      </c>
      <c r="E570" t="s">
        <v>30</v>
      </c>
      <c r="F570" t="s">
        <v>21</v>
      </c>
      <c r="G570" t="s">
        <v>43</v>
      </c>
      <c r="H570" t="s">
        <v>173</v>
      </c>
      <c r="I570">
        <v>5</v>
      </c>
      <c r="J570">
        <v>756.37</v>
      </c>
      <c r="K570">
        <v>0</v>
      </c>
      <c r="L570">
        <v>3781.85</v>
      </c>
      <c r="M570">
        <v>2058.79</v>
      </c>
      <c r="N570">
        <v>1723.06</v>
      </c>
      <c r="O570" t="s">
        <v>62</v>
      </c>
      <c r="P570">
        <v>4</v>
      </c>
      <c r="Q570" t="str">
        <f t="shared" si="48"/>
        <v>April</v>
      </c>
      <c r="R570" t="str">
        <f t="shared" si="49"/>
        <v>Q2</v>
      </c>
      <c r="S570">
        <f t="shared" si="50"/>
        <v>2024</v>
      </c>
      <c r="T570">
        <f t="shared" si="51"/>
        <v>1538548.2000000002</v>
      </c>
      <c r="U570">
        <f t="shared" si="52"/>
        <v>510171.31999999977</v>
      </c>
      <c r="V570">
        <f t="shared" si="53"/>
        <v>2.015748121630986</v>
      </c>
    </row>
    <row r="571" spans="1:22" x14ac:dyDescent="0.35">
      <c r="A571" t="s">
        <v>1210</v>
      </c>
      <c r="B571" s="1">
        <v>45331</v>
      </c>
      <c r="C571" t="s">
        <v>1211</v>
      </c>
      <c r="D571" t="s">
        <v>66</v>
      </c>
      <c r="E571" t="s">
        <v>20</v>
      </c>
      <c r="F571" t="s">
        <v>31</v>
      </c>
      <c r="G571" t="s">
        <v>43</v>
      </c>
      <c r="H571" t="s">
        <v>173</v>
      </c>
      <c r="I571">
        <v>12</v>
      </c>
      <c r="J571">
        <v>307.77</v>
      </c>
      <c r="K571">
        <v>0.1</v>
      </c>
      <c r="L571">
        <v>3323.92</v>
      </c>
      <c r="M571">
        <v>2070.33</v>
      </c>
      <c r="N571">
        <v>1253.5899999999999</v>
      </c>
      <c r="O571" t="s">
        <v>24</v>
      </c>
      <c r="P571">
        <v>5</v>
      </c>
      <c r="Q571" t="str">
        <f t="shared" si="48"/>
        <v>February</v>
      </c>
      <c r="R571" t="str">
        <f t="shared" si="49"/>
        <v>Q1</v>
      </c>
      <c r="S571">
        <f t="shared" si="50"/>
        <v>2024</v>
      </c>
      <c r="T571">
        <f t="shared" si="51"/>
        <v>1534766.3500000003</v>
      </c>
      <c r="U571">
        <f t="shared" si="52"/>
        <v>508448.25999999978</v>
      </c>
      <c r="V571">
        <f t="shared" si="53"/>
        <v>2.0185300466954121</v>
      </c>
    </row>
    <row r="572" spans="1:22" x14ac:dyDescent="0.35">
      <c r="A572" t="s">
        <v>1212</v>
      </c>
      <c r="B572" s="1">
        <v>45456</v>
      </c>
      <c r="C572" t="s">
        <v>1213</v>
      </c>
      <c r="D572" t="s">
        <v>19</v>
      </c>
      <c r="E572" t="s">
        <v>38</v>
      </c>
      <c r="F572" t="s">
        <v>39</v>
      </c>
      <c r="G572" t="s">
        <v>79</v>
      </c>
      <c r="H572" t="s">
        <v>103</v>
      </c>
      <c r="I572">
        <v>3</v>
      </c>
      <c r="J572">
        <v>677.35</v>
      </c>
      <c r="K572">
        <v>0.05</v>
      </c>
      <c r="L572">
        <v>1930.45</v>
      </c>
      <c r="M572">
        <v>973.93</v>
      </c>
      <c r="N572">
        <v>956.52</v>
      </c>
      <c r="O572" t="s">
        <v>24</v>
      </c>
      <c r="P572">
        <v>4</v>
      </c>
      <c r="Q572" t="str">
        <f t="shared" si="48"/>
        <v>June</v>
      </c>
      <c r="R572" t="str">
        <f t="shared" si="49"/>
        <v>Q2</v>
      </c>
      <c r="S572">
        <f t="shared" si="50"/>
        <v>2024</v>
      </c>
      <c r="T572">
        <f t="shared" si="51"/>
        <v>1531442.4300000004</v>
      </c>
      <c r="U572">
        <f t="shared" si="52"/>
        <v>507194.66999999981</v>
      </c>
      <c r="V572">
        <f t="shared" si="53"/>
        <v>2.0194371522082459</v>
      </c>
    </row>
    <row r="573" spans="1:22" x14ac:dyDescent="0.35">
      <c r="A573" t="s">
        <v>1214</v>
      </c>
      <c r="B573" s="1">
        <v>45390</v>
      </c>
      <c r="C573" t="s">
        <v>1215</v>
      </c>
      <c r="D573" t="s">
        <v>37</v>
      </c>
      <c r="E573" t="s">
        <v>20</v>
      </c>
      <c r="F573" t="s">
        <v>21</v>
      </c>
      <c r="G573" t="s">
        <v>22</v>
      </c>
      <c r="H573" t="s">
        <v>124</v>
      </c>
      <c r="I573">
        <v>5</v>
      </c>
      <c r="J573">
        <v>823.66</v>
      </c>
      <c r="K573">
        <v>0.15</v>
      </c>
      <c r="L573">
        <v>3500.55</v>
      </c>
      <c r="M573">
        <v>2925.35</v>
      </c>
      <c r="N573">
        <v>575.20000000000005</v>
      </c>
      <c r="O573" t="s">
        <v>24</v>
      </c>
      <c r="P573">
        <v>4</v>
      </c>
      <c r="Q573" t="str">
        <f t="shared" si="48"/>
        <v>April</v>
      </c>
      <c r="R573" t="str">
        <f t="shared" si="49"/>
        <v>Q2</v>
      </c>
      <c r="S573">
        <f t="shared" si="50"/>
        <v>2024</v>
      </c>
      <c r="T573">
        <f t="shared" si="51"/>
        <v>1529511.9800000002</v>
      </c>
      <c r="U573">
        <f t="shared" si="52"/>
        <v>506238.14999999979</v>
      </c>
      <c r="V573">
        <f t="shared" si="53"/>
        <v>2.0213289535764951</v>
      </c>
    </row>
    <row r="574" spans="1:22" x14ac:dyDescent="0.35">
      <c r="A574" t="s">
        <v>1216</v>
      </c>
      <c r="B574" s="1">
        <v>45534</v>
      </c>
      <c r="C574" t="s">
        <v>1217</v>
      </c>
      <c r="D574" t="s">
        <v>49</v>
      </c>
      <c r="E574" t="s">
        <v>98</v>
      </c>
      <c r="F574" t="s">
        <v>31</v>
      </c>
      <c r="G574" t="s">
        <v>43</v>
      </c>
      <c r="H574" t="s">
        <v>50</v>
      </c>
      <c r="I574">
        <v>10</v>
      </c>
      <c r="J574">
        <v>849.4</v>
      </c>
      <c r="K574">
        <v>0.15</v>
      </c>
      <c r="L574">
        <v>7219.9</v>
      </c>
      <c r="M574">
        <v>5502.1</v>
      </c>
      <c r="N574">
        <v>1717.8</v>
      </c>
      <c r="O574" t="s">
        <v>33</v>
      </c>
      <c r="P574">
        <v>5</v>
      </c>
      <c r="Q574" t="str">
        <f t="shared" si="48"/>
        <v>August</v>
      </c>
      <c r="R574" t="str">
        <f t="shared" si="49"/>
        <v>Q3</v>
      </c>
      <c r="S574">
        <f t="shared" si="50"/>
        <v>2024</v>
      </c>
      <c r="T574">
        <f t="shared" si="51"/>
        <v>1526011.4300000004</v>
      </c>
      <c r="U574">
        <f t="shared" si="52"/>
        <v>505662.94999999978</v>
      </c>
      <c r="V574">
        <f t="shared" si="53"/>
        <v>2.0178430711603474</v>
      </c>
    </row>
    <row r="575" spans="1:22" x14ac:dyDescent="0.35">
      <c r="A575" t="s">
        <v>1218</v>
      </c>
      <c r="B575" s="1">
        <v>45581</v>
      </c>
      <c r="C575" t="s">
        <v>1219</v>
      </c>
      <c r="D575" t="s">
        <v>19</v>
      </c>
      <c r="E575" t="s">
        <v>30</v>
      </c>
      <c r="F575" t="s">
        <v>39</v>
      </c>
      <c r="G575" t="s">
        <v>60</v>
      </c>
      <c r="H575" t="s">
        <v>119</v>
      </c>
      <c r="I575">
        <v>3</v>
      </c>
      <c r="J575">
        <v>781.39</v>
      </c>
      <c r="K575">
        <v>0.1</v>
      </c>
      <c r="L575">
        <v>2109.75</v>
      </c>
      <c r="M575">
        <v>1107.42</v>
      </c>
      <c r="N575">
        <v>1002.33</v>
      </c>
      <c r="O575" t="s">
        <v>62</v>
      </c>
      <c r="P575">
        <v>3</v>
      </c>
      <c r="Q575" t="str">
        <f t="shared" si="48"/>
        <v>October</v>
      </c>
      <c r="R575" t="str">
        <f t="shared" si="49"/>
        <v>Q4</v>
      </c>
      <c r="S575">
        <f t="shared" si="50"/>
        <v>2024</v>
      </c>
      <c r="T575">
        <f t="shared" si="51"/>
        <v>1518791.5300000005</v>
      </c>
      <c r="U575">
        <f t="shared" si="52"/>
        <v>503945.14999999973</v>
      </c>
      <c r="V575">
        <f t="shared" si="53"/>
        <v>2.0138032482304897</v>
      </c>
    </row>
    <row r="576" spans="1:22" x14ac:dyDescent="0.35">
      <c r="A576" t="s">
        <v>1220</v>
      </c>
      <c r="B576" s="1">
        <v>45308</v>
      </c>
      <c r="C576" t="s">
        <v>1221</v>
      </c>
      <c r="D576" t="s">
        <v>29</v>
      </c>
      <c r="E576" t="s">
        <v>20</v>
      </c>
      <c r="F576" t="s">
        <v>39</v>
      </c>
      <c r="G576" t="s">
        <v>43</v>
      </c>
      <c r="H576" t="s">
        <v>44</v>
      </c>
      <c r="I576">
        <v>7</v>
      </c>
      <c r="J576">
        <v>1093.9000000000001</v>
      </c>
      <c r="K576">
        <v>0</v>
      </c>
      <c r="L576">
        <v>7657.3</v>
      </c>
      <c r="M576">
        <v>5127.5</v>
      </c>
      <c r="N576">
        <v>2529.8000000000002</v>
      </c>
      <c r="O576" t="s">
        <v>24</v>
      </c>
      <c r="P576">
        <v>1</v>
      </c>
      <c r="Q576" t="str">
        <f t="shared" si="48"/>
        <v>January</v>
      </c>
      <c r="R576" t="str">
        <f t="shared" si="49"/>
        <v>Q1</v>
      </c>
      <c r="S576">
        <f t="shared" si="50"/>
        <v>2024</v>
      </c>
      <c r="T576">
        <f t="shared" si="51"/>
        <v>1516681.7800000003</v>
      </c>
      <c r="U576">
        <f t="shared" si="52"/>
        <v>502942.81999999977</v>
      </c>
      <c r="V576">
        <f t="shared" si="53"/>
        <v>2.0156147372776907</v>
      </c>
    </row>
    <row r="577" spans="1:22" x14ac:dyDescent="0.35">
      <c r="A577" t="s">
        <v>1222</v>
      </c>
      <c r="B577" s="1">
        <v>45544</v>
      </c>
      <c r="C577" t="s">
        <v>1223</v>
      </c>
      <c r="D577" t="s">
        <v>19</v>
      </c>
      <c r="E577" t="s">
        <v>30</v>
      </c>
      <c r="F577" t="s">
        <v>21</v>
      </c>
      <c r="G577" t="s">
        <v>79</v>
      </c>
      <c r="H577" t="s">
        <v>89</v>
      </c>
      <c r="I577">
        <v>5</v>
      </c>
      <c r="J577">
        <v>130.04</v>
      </c>
      <c r="K577">
        <v>0.15</v>
      </c>
      <c r="L577">
        <v>552.66999999999996</v>
      </c>
      <c r="M577">
        <v>308.48</v>
      </c>
      <c r="N577">
        <v>244.19</v>
      </c>
      <c r="O577" t="s">
        <v>62</v>
      </c>
      <c r="P577">
        <v>5</v>
      </c>
      <c r="Q577" t="str">
        <f t="shared" si="48"/>
        <v>September</v>
      </c>
      <c r="R577" t="str">
        <f t="shared" si="49"/>
        <v>Q3</v>
      </c>
      <c r="S577">
        <f t="shared" si="50"/>
        <v>2024</v>
      </c>
      <c r="T577">
        <f t="shared" si="51"/>
        <v>1509024.4800000002</v>
      </c>
      <c r="U577">
        <f t="shared" si="52"/>
        <v>500413.01999999973</v>
      </c>
      <c r="V577">
        <f t="shared" si="53"/>
        <v>2.0155579884791988</v>
      </c>
    </row>
    <row r="578" spans="1:22" x14ac:dyDescent="0.35">
      <c r="A578" t="s">
        <v>1224</v>
      </c>
      <c r="B578" s="1">
        <v>45521</v>
      </c>
      <c r="C578" t="s">
        <v>1225</v>
      </c>
      <c r="D578" t="s">
        <v>19</v>
      </c>
      <c r="E578" t="s">
        <v>30</v>
      </c>
      <c r="F578" t="s">
        <v>31</v>
      </c>
      <c r="G578" t="s">
        <v>43</v>
      </c>
      <c r="H578" t="s">
        <v>44</v>
      </c>
      <c r="I578">
        <v>11</v>
      </c>
      <c r="J578">
        <v>664.45</v>
      </c>
      <c r="K578">
        <v>0.05</v>
      </c>
      <c r="L578">
        <v>6943.5</v>
      </c>
      <c r="M578">
        <v>4631.21</v>
      </c>
      <c r="N578">
        <v>2312.29</v>
      </c>
      <c r="O578" t="s">
        <v>33</v>
      </c>
      <c r="P578">
        <v>3</v>
      </c>
      <c r="Q578" t="str">
        <f t="shared" ref="Q578:Q641" si="54">TEXT(B578,"MMMM")</f>
        <v>August</v>
      </c>
      <c r="R578" t="str">
        <f t="shared" ref="R578:R641" si="55">"Q"&amp;ROUNDUP(MONTH(B578)/3,0)</f>
        <v>Q3</v>
      </c>
      <c r="S578">
        <f t="shared" ref="S578:S641" si="56">YEAR(B578)</f>
        <v>2024</v>
      </c>
      <c r="T578">
        <f t="shared" ref="T578:T641" si="57">SUM(L578:L1577)</f>
        <v>1508471.81</v>
      </c>
      <c r="U578">
        <f t="shared" ref="U578:U641" si="58">SUM(N578:N1577)</f>
        <v>500168.82999999973</v>
      </c>
      <c r="V578">
        <f t="shared" ref="V578:V641" si="59">(T578-U578)/U578</f>
        <v>2.0159252626758066</v>
      </c>
    </row>
    <row r="579" spans="1:22" x14ac:dyDescent="0.35">
      <c r="A579" t="s">
        <v>1226</v>
      </c>
      <c r="B579" s="1">
        <v>45439</v>
      </c>
      <c r="C579" t="s">
        <v>1227</v>
      </c>
      <c r="D579" t="s">
        <v>49</v>
      </c>
      <c r="E579" t="s">
        <v>98</v>
      </c>
      <c r="F579" t="s">
        <v>21</v>
      </c>
      <c r="G579" t="s">
        <v>79</v>
      </c>
      <c r="H579" t="s">
        <v>103</v>
      </c>
      <c r="I579">
        <v>4</v>
      </c>
      <c r="J579">
        <v>654.29</v>
      </c>
      <c r="K579">
        <v>0.05</v>
      </c>
      <c r="L579">
        <v>2486.3000000000002</v>
      </c>
      <c r="M579">
        <v>1723.22</v>
      </c>
      <c r="N579">
        <v>763.08</v>
      </c>
      <c r="O579" t="s">
        <v>33</v>
      </c>
      <c r="P579">
        <v>5</v>
      </c>
      <c r="Q579" t="str">
        <f t="shared" si="54"/>
        <v>May</v>
      </c>
      <c r="R579" t="str">
        <f t="shared" si="55"/>
        <v>Q2</v>
      </c>
      <c r="S579">
        <f t="shared" si="56"/>
        <v>2024</v>
      </c>
      <c r="T579">
        <f t="shared" si="57"/>
        <v>1501528.3100000003</v>
      </c>
      <c r="U579">
        <f t="shared" si="58"/>
        <v>497856.53999999963</v>
      </c>
      <c r="V579">
        <f t="shared" si="59"/>
        <v>2.0159859103186664</v>
      </c>
    </row>
    <row r="580" spans="1:22" x14ac:dyDescent="0.35">
      <c r="A580" t="s">
        <v>1228</v>
      </c>
      <c r="B580" s="1">
        <v>45393</v>
      </c>
      <c r="C580" t="s">
        <v>1229</v>
      </c>
      <c r="D580" t="s">
        <v>37</v>
      </c>
      <c r="E580" t="s">
        <v>98</v>
      </c>
      <c r="F580" t="s">
        <v>39</v>
      </c>
      <c r="G580" t="s">
        <v>60</v>
      </c>
      <c r="H580" t="s">
        <v>110</v>
      </c>
      <c r="I580">
        <v>5</v>
      </c>
      <c r="J580">
        <v>769.41</v>
      </c>
      <c r="K580">
        <v>0.05</v>
      </c>
      <c r="L580">
        <v>3654.7</v>
      </c>
      <c r="M580">
        <v>2598.56</v>
      </c>
      <c r="N580">
        <v>1056.1400000000001</v>
      </c>
      <c r="O580" t="s">
        <v>62</v>
      </c>
      <c r="P580">
        <v>4</v>
      </c>
      <c r="Q580" t="str">
        <f t="shared" si="54"/>
        <v>April</v>
      </c>
      <c r="R580" t="str">
        <f t="shared" si="55"/>
        <v>Q2</v>
      </c>
      <c r="S580">
        <f t="shared" si="56"/>
        <v>2024</v>
      </c>
      <c r="T580">
        <f t="shared" si="57"/>
        <v>1499042.0100000002</v>
      </c>
      <c r="U580">
        <f t="shared" si="58"/>
        <v>497093.45999999961</v>
      </c>
      <c r="V580">
        <f t="shared" si="59"/>
        <v>2.0156140255798203</v>
      </c>
    </row>
    <row r="581" spans="1:22" x14ac:dyDescent="0.35">
      <c r="A581" t="s">
        <v>1230</v>
      </c>
      <c r="B581" s="1">
        <v>45427</v>
      </c>
      <c r="C581" t="s">
        <v>73</v>
      </c>
      <c r="D581" t="s">
        <v>49</v>
      </c>
      <c r="E581" t="s">
        <v>30</v>
      </c>
      <c r="F581" t="s">
        <v>31</v>
      </c>
      <c r="G581" t="s">
        <v>22</v>
      </c>
      <c r="H581" t="s">
        <v>32</v>
      </c>
      <c r="I581">
        <v>7</v>
      </c>
      <c r="J581">
        <v>1159.02</v>
      </c>
      <c r="K581">
        <v>0.05</v>
      </c>
      <c r="L581">
        <v>7707.48</v>
      </c>
      <c r="M581">
        <v>5089.38</v>
      </c>
      <c r="N581">
        <v>2618.1</v>
      </c>
      <c r="O581" t="s">
        <v>62</v>
      </c>
      <c r="P581">
        <v>4</v>
      </c>
      <c r="Q581" t="str">
        <f t="shared" si="54"/>
        <v>May</v>
      </c>
      <c r="R581" t="str">
        <f t="shared" si="55"/>
        <v>Q2</v>
      </c>
      <c r="S581">
        <f t="shared" si="56"/>
        <v>2024</v>
      </c>
      <c r="T581">
        <f t="shared" si="57"/>
        <v>1495387.3100000003</v>
      </c>
      <c r="U581">
        <f t="shared" si="58"/>
        <v>496037.3199999996</v>
      </c>
      <c r="V581">
        <f t="shared" si="59"/>
        <v>2.0146669407858293</v>
      </c>
    </row>
    <row r="582" spans="1:22" x14ac:dyDescent="0.35">
      <c r="A582" t="s">
        <v>1231</v>
      </c>
      <c r="B582" s="1">
        <v>45307</v>
      </c>
      <c r="C582" t="s">
        <v>1232</v>
      </c>
      <c r="D582" t="s">
        <v>66</v>
      </c>
      <c r="E582" t="s">
        <v>98</v>
      </c>
      <c r="F582" t="s">
        <v>31</v>
      </c>
      <c r="G582" t="s">
        <v>43</v>
      </c>
      <c r="H582" t="s">
        <v>44</v>
      </c>
      <c r="I582">
        <v>9</v>
      </c>
      <c r="J582">
        <v>1169.06</v>
      </c>
      <c r="K582">
        <v>0.1</v>
      </c>
      <c r="L582">
        <v>9469.39</v>
      </c>
      <c r="M582">
        <v>6878.36</v>
      </c>
      <c r="N582">
        <v>2591.0300000000002</v>
      </c>
      <c r="O582" t="s">
        <v>62</v>
      </c>
      <c r="P582">
        <v>1</v>
      </c>
      <c r="Q582" t="str">
        <f t="shared" si="54"/>
        <v>January</v>
      </c>
      <c r="R582" t="str">
        <f t="shared" si="55"/>
        <v>Q1</v>
      </c>
      <c r="S582">
        <f t="shared" si="56"/>
        <v>2024</v>
      </c>
      <c r="T582">
        <f t="shared" si="57"/>
        <v>1487679.8300000003</v>
      </c>
      <c r="U582">
        <f t="shared" si="58"/>
        <v>493419.21999999962</v>
      </c>
      <c r="V582">
        <f t="shared" si="59"/>
        <v>2.0150423204025198</v>
      </c>
    </row>
    <row r="583" spans="1:22" x14ac:dyDescent="0.35">
      <c r="A583" t="s">
        <v>1233</v>
      </c>
      <c r="B583" s="1">
        <v>45545</v>
      </c>
      <c r="C583" t="s">
        <v>1234</v>
      </c>
      <c r="D583" t="s">
        <v>49</v>
      </c>
      <c r="E583" t="s">
        <v>85</v>
      </c>
      <c r="F583" t="s">
        <v>21</v>
      </c>
      <c r="G583" t="s">
        <v>22</v>
      </c>
      <c r="H583" t="s">
        <v>124</v>
      </c>
      <c r="I583">
        <v>5</v>
      </c>
      <c r="J583">
        <v>141.9</v>
      </c>
      <c r="K583">
        <v>0.05</v>
      </c>
      <c r="L583">
        <v>674.02</v>
      </c>
      <c r="M583">
        <v>491.08</v>
      </c>
      <c r="N583">
        <v>182.94</v>
      </c>
      <c r="O583" t="s">
        <v>24</v>
      </c>
      <c r="P583">
        <v>4</v>
      </c>
      <c r="Q583" t="str">
        <f t="shared" si="54"/>
        <v>September</v>
      </c>
      <c r="R583" t="str">
        <f t="shared" si="55"/>
        <v>Q3</v>
      </c>
      <c r="S583">
        <f t="shared" si="56"/>
        <v>2024</v>
      </c>
      <c r="T583">
        <f t="shared" si="57"/>
        <v>1478210.4400000004</v>
      </c>
      <c r="U583">
        <f t="shared" si="58"/>
        <v>490828.18999999965</v>
      </c>
      <c r="V583">
        <f t="shared" si="59"/>
        <v>2.0116657317502513</v>
      </c>
    </row>
    <row r="584" spans="1:22" x14ac:dyDescent="0.35">
      <c r="A584" t="s">
        <v>1235</v>
      </c>
      <c r="B584" s="1">
        <v>45572</v>
      </c>
      <c r="C584" t="s">
        <v>1236</v>
      </c>
      <c r="D584" t="s">
        <v>19</v>
      </c>
      <c r="E584" t="s">
        <v>98</v>
      </c>
      <c r="F584" t="s">
        <v>21</v>
      </c>
      <c r="G584" t="s">
        <v>43</v>
      </c>
      <c r="H584" t="s">
        <v>50</v>
      </c>
      <c r="I584">
        <v>9</v>
      </c>
      <c r="J584">
        <v>355.73</v>
      </c>
      <c r="K584">
        <v>0.15</v>
      </c>
      <c r="L584">
        <v>2721.33</v>
      </c>
      <c r="M584">
        <v>2264.0300000000002</v>
      </c>
      <c r="N584">
        <v>457.3</v>
      </c>
      <c r="O584" t="s">
        <v>51</v>
      </c>
      <c r="P584">
        <v>1</v>
      </c>
      <c r="Q584" t="str">
        <f t="shared" si="54"/>
        <v>October</v>
      </c>
      <c r="R584" t="str">
        <f t="shared" si="55"/>
        <v>Q4</v>
      </c>
      <c r="S584">
        <f t="shared" si="56"/>
        <v>2024</v>
      </c>
      <c r="T584">
        <f t="shared" si="57"/>
        <v>1477536.4200000004</v>
      </c>
      <c r="U584">
        <f t="shared" si="58"/>
        <v>490645.24999999965</v>
      </c>
      <c r="V584">
        <f t="shared" si="59"/>
        <v>2.0114149072063805</v>
      </c>
    </row>
    <row r="585" spans="1:22" x14ac:dyDescent="0.35">
      <c r="A585" t="s">
        <v>1237</v>
      </c>
      <c r="B585" s="1">
        <v>45413</v>
      </c>
      <c r="C585" t="s">
        <v>1238</v>
      </c>
      <c r="D585" t="s">
        <v>19</v>
      </c>
      <c r="E585" t="s">
        <v>38</v>
      </c>
      <c r="F585" t="s">
        <v>31</v>
      </c>
      <c r="G585" t="s">
        <v>60</v>
      </c>
      <c r="H585" t="s">
        <v>110</v>
      </c>
      <c r="I585">
        <v>11</v>
      </c>
      <c r="J585">
        <v>1001.39</v>
      </c>
      <c r="K585">
        <v>0</v>
      </c>
      <c r="L585">
        <v>11015.29</v>
      </c>
      <c r="M585">
        <v>9084.64</v>
      </c>
      <c r="N585">
        <v>1930.65</v>
      </c>
      <c r="O585" t="s">
        <v>62</v>
      </c>
      <c r="P585">
        <v>3</v>
      </c>
      <c r="Q585" t="str">
        <f t="shared" si="54"/>
        <v>May</v>
      </c>
      <c r="R585" t="str">
        <f t="shared" si="55"/>
        <v>Q2</v>
      </c>
      <c r="S585">
        <f t="shared" si="56"/>
        <v>2024</v>
      </c>
      <c r="T585">
        <f t="shared" si="57"/>
        <v>1474815.0900000003</v>
      </c>
      <c r="U585">
        <f t="shared" si="58"/>
        <v>490187.9499999996</v>
      </c>
      <c r="V585">
        <f t="shared" si="59"/>
        <v>2.0086726734102736</v>
      </c>
    </row>
    <row r="586" spans="1:22" x14ac:dyDescent="0.35">
      <c r="A586" t="s">
        <v>1239</v>
      </c>
      <c r="B586" s="1">
        <v>45568</v>
      </c>
      <c r="C586" t="s">
        <v>1240</v>
      </c>
      <c r="D586" t="s">
        <v>49</v>
      </c>
      <c r="E586" t="s">
        <v>30</v>
      </c>
      <c r="F586" t="s">
        <v>39</v>
      </c>
      <c r="G586" t="s">
        <v>60</v>
      </c>
      <c r="H586" t="s">
        <v>110</v>
      </c>
      <c r="I586">
        <v>11</v>
      </c>
      <c r="J586">
        <v>636.57000000000005</v>
      </c>
      <c r="K586">
        <v>0</v>
      </c>
      <c r="L586">
        <v>7002.27</v>
      </c>
      <c r="M586">
        <v>5656.64</v>
      </c>
      <c r="N586">
        <v>1345.63</v>
      </c>
      <c r="O586" t="s">
        <v>51</v>
      </c>
      <c r="P586">
        <v>4</v>
      </c>
      <c r="Q586" t="str">
        <f t="shared" si="54"/>
        <v>October</v>
      </c>
      <c r="R586" t="str">
        <f t="shared" si="55"/>
        <v>Q4</v>
      </c>
      <c r="S586">
        <f t="shared" si="56"/>
        <v>2024</v>
      </c>
      <c r="T586">
        <f t="shared" si="57"/>
        <v>1463799.8000000007</v>
      </c>
      <c r="U586">
        <f t="shared" si="58"/>
        <v>488257.29999999958</v>
      </c>
      <c r="V586">
        <f t="shared" si="59"/>
        <v>1.9980090415442882</v>
      </c>
    </row>
    <row r="587" spans="1:22" x14ac:dyDescent="0.35">
      <c r="A587" t="s">
        <v>1241</v>
      </c>
      <c r="B587" s="1">
        <v>45587</v>
      </c>
      <c r="C587" t="s">
        <v>1242</v>
      </c>
      <c r="D587" t="s">
        <v>29</v>
      </c>
      <c r="E587" t="s">
        <v>20</v>
      </c>
      <c r="F587" t="s">
        <v>39</v>
      </c>
      <c r="G587" t="s">
        <v>22</v>
      </c>
      <c r="H587" t="s">
        <v>23</v>
      </c>
      <c r="I587">
        <v>11</v>
      </c>
      <c r="J587">
        <v>1120.8</v>
      </c>
      <c r="K587">
        <v>0.1</v>
      </c>
      <c r="L587">
        <v>11095.92</v>
      </c>
      <c r="M587">
        <v>5593.39</v>
      </c>
      <c r="N587">
        <v>5502.53</v>
      </c>
      <c r="O587" t="s">
        <v>62</v>
      </c>
      <c r="P587">
        <v>5</v>
      </c>
      <c r="Q587" t="str">
        <f t="shared" si="54"/>
        <v>October</v>
      </c>
      <c r="R587" t="str">
        <f t="shared" si="55"/>
        <v>Q4</v>
      </c>
      <c r="S587">
        <f t="shared" si="56"/>
        <v>2024</v>
      </c>
      <c r="T587">
        <f t="shared" si="57"/>
        <v>1456797.530000001</v>
      </c>
      <c r="U587">
        <f t="shared" si="58"/>
        <v>486911.66999999958</v>
      </c>
      <c r="V587">
        <f t="shared" si="59"/>
        <v>1.9919133587412317</v>
      </c>
    </row>
    <row r="588" spans="1:22" x14ac:dyDescent="0.35">
      <c r="A588" t="s">
        <v>1243</v>
      </c>
      <c r="B588" s="1">
        <v>45518</v>
      </c>
      <c r="C588" t="s">
        <v>1244</v>
      </c>
      <c r="D588" t="s">
        <v>49</v>
      </c>
      <c r="E588" t="s">
        <v>38</v>
      </c>
      <c r="F588" t="s">
        <v>21</v>
      </c>
      <c r="G588" t="s">
        <v>22</v>
      </c>
      <c r="H588" t="s">
        <v>32</v>
      </c>
      <c r="I588">
        <v>3</v>
      </c>
      <c r="J588">
        <v>319.64</v>
      </c>
      <c r="K588">
        <v>0</v>
      </c>
      <c r="L588">
        <v>958.92</v>
      </c>
      <c r="M588">
        <v>636.28</v>
      </c>
      <c r="N588">
        <v>322.64</v>
      </c>
      <c r="O588" t="s">
        <v>33</v>
      </c>
      <c r="P588">
        <v>3</v>
      </c>
      <c r="Q588" t="str">
        <f t="shared" si="54"/>
        <v>August</v>
      </c>
      <c r="R588" t="str">
        <f t="shared" si="55"/>
        <v>Q3</v>
      </c>
      <c r="S588">
        <f t="shared" si="56"/>
        <v>2024</v>
      </c>
      <c r="T588">
        <f t="shared" si="57"/>
        <v>1445701.6100000008</v>
      </c>
      <c r="U588">
        <f t="shared" si="58"/>
        <v>481409.13999999955</v>
      </c>
      <c r="V588">
        <f t="shared" si="59"/>
        <v>2.0030622393251658</v>
      </c>
    </row>
    <row r="589" spans="1:22" x14ac:dyDescent="0.35">
      <c r="A589" t="s">
        <v>1245</v>
      </c>
      <c r="B589" s="1">
        <v>45408</v>
      </c>
      <c r="C589" t="s">
        <v>1246</v>
      </c>
      <c r="D589" t="s">
        <v>66</v>
      </c>
      <c r="E589" t="s">
        <v>85</v>
      </c>
      <c r="F589" t="s">
        <v>39</v>
      </c>
      <c r="G589" t="s">
        <v>60</v>
      </c>
      <c r="H589" t="s">
        <v>119</v>
      </c>
      <c r="I589">
        <v>12</v>
      </c>
      <c r="J589">
        <v>629.22</v>
      </c>
      <c r="K589">
        <v>0.15</v>
      </c>
      <c r="L589">
        <v>6418.04</v>
      </c>
      <c r="M589">
        <v>3389.81</v>
      </c>
      <c r="N589">
        <v>3028.23</v>
      </c>
      <c r="O589" t="s">
        <v>62</v>
      </c>
      <c r="P589">
        <v>4</v>
      </c>
      <c r="Q589" t="str">
        <f t="shared" si="54"/>
        <v>April</v>
      </c>
      <c r="R589" t="str">
        <f t="shared" si="55"/>
        <v>Q2</v>
      </c>
      <c r="S589">
        <f t="shared" si="56"/>
        <v>2024</v>
      </c>
      <c r="T589">
        <f t="shared" si="57"/>
        <v>1444742.6900000006</v>
      </c>
      <c r="U589">
        <f t="shared" si="58"/>
        <v>481086.49999999959</v>
      </c>
      <c r="V589">
        <f t="shared" si="59"/>
        <v>2.0030830006662041</v>
      </c>
    </row>
    <row r="590" spans="1:22" x14ac:dyDescent="0.35">
      <c r="A590" t="s">
        <v>1247</v>
      </c>
      <c r="B590" s="1">
        <v>45634</v>
      </c>
      <c r="C590" t="s">
        <v>1248</v>
      </c>
      <c r="D590" t="s">
        <v>29</v>
      </c>
      <c r="E590" t="s">
        <v>98</v>
      </c>
      <c r="F590" t="s">
        <v>31</v>
      </c>
      <c r="G590" t="s">
        <v>22</v>
      </c>
      <c r="H590" t="s">
        <v>74</v>
      </c>
      <c r="I590">
        <v>4</v>
      </c>
      <c r="J590">
        <v>1000.74</v>
      </c>
      <c r="K590">
        <v>0.1</v>
      </c>
      <c r="L590">
        <v>3602.66</v>
      </c>
      <c r="M590">
        <v>2432.65</v>
      </c>
      <c r="N590">
        <v>1170.01</v>
      </c>
      <c r="O590" t="s">
        <v>51</v>
      </c>
      <c r="P590">
        <v>5</v>
      </c>
      <c r="Q590" t="str">
        <f t="shared" si="54"/>
        <v>December</v>
      </c>
      <c r="R590" t="str">
        <f t="shared" si="55"/>
        <v>Q4</v>
      </c>
      <c r="S590">
        <f t="shared" si="56"/>
        <v>2024</v>
      </c>
      <c r="T590">
        <f t="shared" si="57"/>
        <v>1438324.6500000011</v>
      </c>
      <c r="U590">
        <f t="shared" si="58"/>
        <v>478058.26999999961</v>
      </c>
      <c r="V590">
        <f t="shared" si="59"/>
        <v>2.0086806154404613</v>
      </c>
    </row>
    <row r="591" spans="1:22" x14ac:dyDescent="0.35">
      <c r="A591" t="s">
        <v>1249</v>
      </c>
      <c r="B591" s="1">
        <v>45534</v>
      </c>
      <c r="C591" t="s">
        <v>1250</v>
      </c>
      <c r="D591" t="s">
        <v>49</v>
      </c>
      <c r="E591" t="s">
        <v>38</v>
      </c>
      <c r="F591" t="s">
        <v>21</v>
      </c>
      <c r="G591" t="s">
        <v>22</v>
      </c>
      <c r="H591" t="s">
        <v>23</v>
      </c>
      <c r="I591">
        <v>10</v>
      </c>
      <c r="J591">
        <v>122.32</v>
      </c>
      <c r="K591">
        <v>0.1</v>
      </c>
      <c r="L591">
        <v>1100.8800000000001</v>
      </c>
      <c r="M591">
        <v>646.34</v>
      </c>
      <c r="N591">
        <v>454.54</v>
      </c>
      <c r="O591" t="s">
        <v>51</v>
      </c>
      <c r="P591">
        <v>1</v>
      </c>
      <c r="Q591" t="str">
        <f t="shared" si="54"/>
        <v>August</v>
      </c>
      <c r="R591" t="str">
        <f t="shared" si="55"/>
        <v>Q3</v>
      </c>
      <c r="S591">
        <f t="shared" si="56"/>
        <v>2024</v>
      </c>
      <c r="T591">
        <f t="shared" si="57"/>
        <v>1434721.9900000009</v>
      </c>
      <c r="U591">
        <f t="shared" si="58"/>
        <v>476888.25999999966</v>
      </c>
      <c r="V591">
        <f t="shared" si="59"/>
        <v>2.0085076743134795</v>
      </c>
    </row>
    <row r="592" spans="1:22" x14ac:dyDescent="0.35">
      <c r="A592" t="s">
        <v>1251</v>
      </c>
      <c r="B592" s="1">
        <v>45457</v>
      </c>
      <c r="C592" t="s">
        <v>1252</v>
      </c>
      <c r="D592" t="s">
        <v>49</v>
      </c>
      <c r="E592" t="s">
        <v>20</v>
      </c>
      <c r="F592" t="s">
        <v>31</v>
      </c>
      <c r="G592" t="s">
        <v>43</v>
      </c>
      <c r="H592" t="s">
        <v>173</v>
      </c>
      <c r="I592">
        <v>11</v>
      </c>
      <c r="J592">
        <v>413.76</v>
      </c>
      <c r="K592">
        <v>0.15</v>
      </c>
      <c r="L592">
        <v>3868.66</v>
      </c>
      <c r="M592">
        <v>2720.54</v>
      </c>
      <c r="N592">
        <v>1148.1199999999999</v>
      </c>
      <c r="O592" t="s">
        <v>62</v>
      </c>
      <c r="P592">
        <v>1</v>
      </c>
      <c r="Q592" t="str">
        <f t="shared" si="54"/>
        <v>June</v>
      </c>
      <c r="R592" t="str">
        <f t="shared" si="55"/>
        <v>Q2</v>
      </c>
      <c r="S592">
        <f t="shared" si="56"/>
        <v>2024</v>
      </c>
      <c r="T592">
        <f t="shared" si="57"/>
        <v>1433621.110000001</v>
      </c>
      <c r="U592">
        <f t="shared" si="58"/>
        <v>476433.71999999968</v>
      </c>
      <c r="V592">
        <f t="shared" si="59"/>
        <v>2.0090672633330864</v>
      </c>
    </row>
    <row r="593" spans="1:22" x14ac:dyDescent="0.35">
      <c r="A593" t="s">
        <v>1253</v>
      </c>
      <c r="B593" s="1">
        <v>45442</v>
      </c>
      <c r="C593" t="s">
        <v>1254</v>
      </c>
      <c r="D593" t="s">
        <v>19</v>
      </c>
      <c r="E593" t="s">
        <v>38</v>
      </c>
      <c r="F593" t="s">
        <v>31</v>
      </c>
      <c r="G593" t="s">
        <v>79</v>
      </c>
      <c r="H593" t="s">
        <v>89</v>
      </c>
      <c r="I593">
        <v>5</v>
      </c>
      <c r="J593">
        <v>906.25</v>
      </c>
      <c r="K593">
        <v>0</v>
      </c>
      <c r="L593">
        <v>4531.25</v>
      </c>
      <c r="M593">
        <v>3850.01</v>
      </c>
      <c r="N593">
        <v>681.24</v>
      </c>
      <c r="O593" t="s">
        <v>62</v>
      </c>
      <c r="P593">
        <v>5</v>
      </c>
      <c r="Q593" t="str">
        <f t="shared" si="54"/>
        <v>May</v>
      </c>
      <c r="R593" t="str">
        <f t="shared" si="55"/>
        <v>Q2</v>
      </c>
      <c r="S593">
        <f t="shared" si="56"/>
        <v>2024</v>
      </c>
      <c r="T593">
        <f t="shared" si="57"/>
        <v>1429752.4500000009</v>
      </c>
      <c r="U593">
        <f t="shared" si="58"/>
        <v>475285.59999999969</v>
      </c>
      <c r="V593">
        <f t="shared" si="59"/>
        <v>2.0081964402035362</v>
      </c>
    </row>
    <row r="594" spans="1:22" x14ac:dyDescent="0.35">
      <c r="A594" t="s">
        <v>1255</v>
      </c>
      <c r="B594" s="1">
        <v>45530</v>
      </c>
      <c r="C594" t="s">
        <v>1256</v>
      </c>
      <c r="D594" t="s">
        <v>29</v>
      </c>
      <c r="E594" t="s">
        <v>38</v>
      </c>
      <c r="F594" t="s">
        <v>21</v>
      </c>
      <c r="G594" t="s">
        <v>22</v>
      </c>
      <c r="H594" t="s">
        <v>74</v>
      </c>
      <c r="I594">
        <v>12</v>
      </c>
      <c r="J594">
        <v>406.47</v>
      </c>
      <c r="K594">
        <v>0.05</v>
      </c>
      <c r="L594">
        <v>4633.76</v>
      </c>
      <c r="M594">
        <v>3476.32</v>
      </c>
      <c r="N594">
        <v>1157.44</v>
      </c>
      <c r="O594" t="s">
        <v>62</v>
      </c>
      <c r="P594">
        <v>2</v>
      </c>
      <c r="Q594" t="str">
        <f t="shared" si="54"/>
        <v>August</v>
      </c>
      <c r="R594" t="str">
        <f t="shared" si="55"/>
        <v>Q3</v>
      </c>
      <c r="S594">
        <f t="shared" si="56"/>
        <v>2024</v>
      </c>
      <c r="T594">
        <f t="shared" si="57"/>
        <v>1425221.2000000007</v>
      </c>
      <c r="U594">
        <f t="shared" si="58"/>
        <v>474604.35999999969</v>
      </c>
      <c r="V594">
        <f t="shared" si="59"/>
        <v>2.0029669343956336</v>
      </c>
    </row>
    <row r="595" spans="1:22" x14ac:dyDescent="0.35">
      <c r="A595" t="s">
        <v>1257</v>
      </c>
      <c r="B595" s="1">
        <v>45426</v>
      </c>
      <c r="C595" t="s">
        <v>1258</v>
      </c>
      <c r="D595" t="s">
        <v>49</v>
      </c>
      <c r="E595" t="s">
        <v>30</v>
      </c>
      <c r="F595" t="s">
        <v>31</v>
      </c>
      <c r="G595" t="s">
        <v>22</v>
      </c>
      <c r="H595" t="s">
        <v>74</v>
      </c>
      <c r="I595">
        <v>11</v>
      </c>
      <c r="J595">
        <v>566.44000000000005</v>
      </c>
      <c r="K595">
        <v>0.05</v>
      </c>
      <c r="L595">
        <v>5919.3</v>
      </c>
      <c r="M595">
        <v>4638.25</v>
      </c>
      <c r="N595">
        <v>1281.05</v>
      </c>
      <c r="O595" t="s">
        <v>24</v>
      </c>
      <c r="P595">
        <v>4</v>
      </c>
      <c r="Q595" t="str">
        <f t="shared" si="54"/>
        <v>May</v>
      </c>
      <c r="R595" t="str">
        <f t="shared" si="55"/>
        <v>Q2</v>
      </c>
      <c r="S595">
        <f t="shared" si="56"/>
        <v>2024</v>
      </c>
      <c r="T595">
        <f t="shared" si="57"/>
        <v>1420587.4400000006</v>
      </c>
      <c r="U595">
        <f t="shared" si="58"/>
        <v>473446.91999999969</v>
      </c>
      <c r="V595">
        <f t="shared" si="59"/>
        <v>2.0005210298970826</v>
      </c>
    </row>
    <row r="596" spans="1:22" x14ac:dyDescent="0.35">
      <c r="A596" t="s">
        <v>1259</v>
      </c>
      <c r="B596" s="1">
        <v>45639</v>
      </c>
      <c r="C596" t="s">
        <v>1260</v>
      </c>
      <c r="D596" t="s">
        <v>66</v>
      </c>
      <c r="E596" t="s">
        <v>85</v>
      </c>
      <c r="F596" t="s">
        <v>39</v>
      </c>
      <c r="G596" t="s">
        <v>79</v>
      </c>
      <c r="H596" t="s">
        <v>80</v>
      </c>
      <c r="I596">
        <v>11</v>
      </c>
      <c r="J596">
        <v>115.08</v>
      </c>
      <c r="K596">
        <v>0.1</v>
      </c>
      <c r="L596">
        <v>1139.29</v>
      </c>
      <c r="M596">
        <v>924.32</v>
      </c>
      <c r="N596">
        <v>214.97</v>
      </c>
      <c r="O596" t="s">
        <v>33</v>
      </c>
      <c r="P596">
        <v>2</v>
      </c>
      <c r="Q596" t="str">
        <f t="shared" si="54"/>
        <v>December</v>
      </c>
      <c r="R596" t="str">
        <f t="shared" si="55"/>
        <v>Q4</v>
      </c>
      <c r="S596">
        <f t="shared" si="56"/>
        <v>2024</v>
      </c>
      <c r="T596">
        <f t="shared" si="57"/>
        <v>1414668.1400000008</v>
      </c>
      <c r="U596">
        <f t="shared" si="58"/>
        <v>472165.8699999997</v>
      </c>
      <c r="V596">
        <f t="shared" si="59"/>
        <v>1.9961253658592515</v>
      </c>
    </row>
    <row r="597" spans="1:22" x14ac:dyDescent="0.35">
      <c r="A597" t="s">
        <v>1261</v>
      </c>
      <c r="B597" s="1">
        <v>45397</v>
      </c>
      <c r="C597" t="s">
        <v>1262</v>
      </c>
      <c r="D597" t="s">
        <v>66</v>
      </c>
      <c r="E597" t="s">
        <v>20</v>
      </c>
      <c r="F597" t="s">
        <v>21</v>
      </c>
      <c r="G597" t="s">
        <v>43</v>
      </c>
      <c r="H597" t="s">
        <v>44</v>
      </c>
      <c r="I597">
        <v>10</v>
      </c>
      <c r="J597">
        <v>461.01</v>
      </c>
      <c r="K597">
        <v>0</v>
      </c>
      <c r="L597">
        <v>4610.1000000000004</v>
      </c>
      <c r="M597">
        <v>3657.71</v>
      </c>
      <c r="N597">
        <v>952.39</v>
      </c>
      <c r="O597" t="s">
        <v>51</v>
      </c>
      <c r="P597">
        <v>4</v>
      </c>
      <c r="Q597" t="str">
        <f t="shared" si="54"/>
        <v>April</v>
      </c>
      <c r="R597" t="str">
        <f t="shared" si="55"/>
        <v>Q2</v>
      </c>
      <c r="S597">
        <f t="shared" si="56"/>
        <v>2024</v>
      </c>
      <c r="T597">
        <f t="shared" si="57"/>
        <v>1413528.8500000008</v>
      </c>
      <c r="U597">
        <f t="shared" si="58"/>
        <v>471950.89999999967</v>
      </c>
      <c r="V597">
        <f t="shared" si="59"/>
        <v>1.9950760767698541</v>
      </c>
    </row>
    <row r="598" spans="1:22" x14ac:dyDescent="0.35">
      <c r="A598" t="s">
        <v>1263</v>
      </c>
      <c r="B598" s="1">
        <v>45302</v>
      </c>
      <c r="C598" t="s">
        <v>1264</v>
      </c>
      <c r="D598" t="s">
        <v>29</v>
      </c>
      <c r="E598" t="s">
        <v>38</v>
      </c>
      <c r="F598" t="s">
        <v>39</v>
      </c>
      <c r="G598" t="s">
        <v>79</v>
      </c>
      <c r="H598" t="s">
        <v>80</v>
      </c>
      <c r="I598">
        <v>3</v>
      </c>
      <c r="J598">
        <v>926.54</v>
      </c>
      <c r="K598">
        <v>0.1</v>
      </c>
      <c r="L598">
        <v>2501.66</v>
      </c>
      <c r="M598">
        <v>1808.85</v>
      </c>
      <c r="N598">
        <v>692.81</v>
      </c>
      <c r="O598" t="s">
        <v>62</v>
      </c>
      <c r="P598">
        <v>1</v>
      </c>
      <c r="Q598" t="str">
        <f t="shared" si="54"/>
        <v>January</v>
      </c>
      <c r="R598" t="str">
        <f t="shared" si="55"/>
        <v>Q1</v>
      </c>
      <c r="S598">
        <f t="shared" si="56"/>
        <v>2024</v>
      </c>
      <c r="T598">
        <f t="shared" si="57"/>
        <v>1408918.7500000007</v>
      </c>
      <c r="U598">
        <f t="shared" si="58"/>
        <v>470998.50999999966</v>
      </c>
      <c r="V598">
        <f t="shared" si="59"/>
        <v>1.9913443887540148</v>
      </c>
    </row>
    <row r="599" spans="1:22" x14ac:dyDescent="0.35">
      <c r="A599" t="s">
        <v>1265</v>
      </c>
      <c r="B599" s="1">
        <v>45501</v>
      </c>
      <c r="C599" t="s">
        <v>1266</v>
      </c>
      <c r="D599" t="s">
        <v>29</v>
      </c>
      <c r="E599" t="s">
        <v>30</v>
      </c>
      <c r="F599" t="s">
        <v>31</v>
      </c>
      <c r="G599" t="s">
        <v>22</v>
      </c>
      <c r="H599" t="s">
        <v>23</v>
      </c>
      <c r="I599">
        <v>11</v>
      </c>
      <c r="J599">
        <v>626.42999999999995</v>
      </c>
      <c r="K599">
        <v>0</v>
      </c>
      <c r="L599">
        <v>6890.73</v>
      </c>
      <c r="M599">
        <v>5352.43</v>
      </c>
      <c r="N599">
        <v>1538.3</v>
      </c>
      <c r="O599" t="s">
        <v>51</v>
      </c>
      <c r="P599">
        <v>4</v>
      </c>
      <c r="Q599" t="str">
        <f t="shared" si="54"/>
        <v>July</v>
      </c>
      <c r="R599" t="str">
        <f t="shared" si="55"/>
        <v>Q3</v>
      </c>
      <c r="S599">
        <f t="shared" si="56"/>
        <v>2024</v>
      </c>
      <c r="T599">
        <f t="shared" si="57"/>
        <v>1406417.0900000008</v>
      </c>
      <c r="U599">
        <f t="shared" si="58"/>
        <v>470305.69999999966</v>
      </c>
      <c r="V599">
        <f t="shared" si="59"/>
        <v>1.9904317340827502</v>
      </c>
    </row>
    <row r="600" spans="1:22" x14ac:dyDescent="0.35">
      <c r="A600" t="s">
        <v>1267</v>
      </c>
      <c r="B600" s="1">
        <v>45485</v>
      </c>
      <c r="C600" t="s">
        <v>1268</v>
      </c>
      <c r="D600" t="s">
        <v>37</v>
      </c>
      <c r="E600" t="s">
        <v>85</v>
      </c>
      <c r="F600" t="s">
        <v>39</v>
      </c>
      <c r="G600" t="s">
        <v>60</v>
      </c>
      <c r="H600" t="s">
        <v>61</v>
      </c>
      <c r="I600">
        <v>3</v>
      </c>
      <c r="J600">
        <v>473.19</v>
      </c>
      <c r="K600">
        <v>0.15</v>
      </c>
      <c r="L600">
        <v>1206.6300000000001</v>
      </c>
      <c r="M600">
        <v>728.57</v>
      </c>
      <c r="N600">
        <v>478.06</v>
      </c>
      <c r="O600" t="s">
        <v>24</v>
      </c>
      <c r="P600">
        <v>5</v>
      </c>
      <c r="Q600" t="str">
        <f t="shared" si="54"/>
        <v>July</v>
      </c>
      <c r="R600" t="str">
        <f t="shared" si="55"/>
        <v>Q3</v>
      </c>
      <c r="S600">
        <f t="shared" si="56"/>
        <v>2024</v>
      </c>
      <c r="T600">
        <f t="shared" si="57"/>
        <v>1399526.3600000008</v>
      </c>
      <c r="U600">
        <f t="shared" si="58"/>
        <v>468767.39999999962</v>
      </c>
      <c r="V600">
        <f t="shared" si="59"/>
        <v>1.9855454112210063</v>
      </c>
    </row>
    <row r="601" spans="1:22" x14ac:dyDescent="0.35">
      <c r="A601" t="s">
        <v>1269</v>
      </c>
      <c r="B601" s="1">
        <v>45574</v>
      </c>
      <c r="C601" t="s">
        <v>1270</v>
      </c>
      <c r="D601" t="s">
        <v>19</v>
      </c>
      <c r="E601" t="s">
        <v>85</v>
      </c>
      <c r="F601" t="s">
        <v>21</v>
      </c>
      <c r="G601" t="s">
        <v>79</v>
      </c>
      <c r="H601" t="s">
        <v>89</v>
      </c>
      <c r="I601">
        <v>9</v>
      </c>
      <c r="J601">
        <v>1001.9</v>
      </c>
      <c r="K601">
        <v>0.05</v>
      </c>
      <c r="L601">
        <v>8566.25</v>
      </c>
      <c r="M601">
        <v>5825.85</v>
      </c>
      <c r="N601">
        <v>2740.4</v>
      </c>
      <c r="O601" t="s">
        <v>51</v>
      </c>
      <c r="P601">
        <v>2</v>
      </c>
      <c r="Q601" t="str">
        <f t="shared" si="54"/>
        <v>October</v>
      </c>
      <c r="R601" t="str">
        <f t="shared" si="55"/>
        <v>Q4</v>
      </c>
      <c r="S601">
        <f t="shared" si="56"/>
        <v>2024</v>
      </c>
      <c r="T601">
        <f t="shared" si="57"/>
        <v>1398319.7300000009</v>
      </c>
      <c r="U601">
        <f t="shared" si="58"/>
        <v>468289.33999999962</v>
      </c>
      <c r="V601">
        <f t="shared" si="59"/>
        <v>1.9860165725745584</v>
      </c>
    </row>
    <row r="602" spans="1:22" x14ac:dyDescent="0.35">
      <c r="A602" t="s">
        <v>1271</v>
      </c>
      <c r="B602" s="1">
        <v>45311</v>
      </c>
      <c r="C602" t="s">
        <v>1272</v>
      </c>
      <c r="D602" t="s">
        <v>29</v>
      </c>
      <c r="E602" t="s">
        <v>98</v>
      </c>
      <c r="F602" t="s">
        <v>39</v>
      </c>
      <c r="G602" t="s">
        <v>22</v>
      </c>
      <c r="H602" t="s">
        <v>124</v>
      </c>
      <c r="I602">
        <v>10</v>
      </c>
      <c r="J602">
        <v>1124.56</v>
      </c>
      <c r="K602">
        <v>0.05</v>
      </c>
      <c r="L602">
        <v>10683.32</v>
      </c>
      <c r="M602">
        <v>9054.48</v>
      </c>
      <c r="N602">
        <v>1628.84</v>
      </c>
      <c r="O602" t="s">
        <v>33</v>
      </c>
      <c r="P602">
        <v>4</v>
      </c>
      <c r="Q602" t="str">
        <f t="shared" si="54"/>
        <v>January</v>
      </c>
      <c r="R602" t="str">
        <f t="shared" si="55"/>
        <v>Q1</v>
      </c>
      <c r="S602">
        <f t="shared" si="56"/>
        <v>2024</v>
      </c>
      <c r="T602">
        <f t="shared" si="57"/>
        <v>1389753.4800000009</v>
      </c>
      <c r="U602">
        <f t="shared" si="58"/>
        <v>465548.93999999959</v>
      </c>
      <c r="V602">
        <f t="shared" si="59"/>
        <v>1.9851930926961237</v>
      </c>
    </row>
    <row r="603" spans="1:22" x14ac:dyDescent="0.35">
      <c r="A603" t="s">
        <v>1273</v>
      </c>
      <c r="B603" s="1">
        <v>45650</v>
      </c>
      <c r="C603" t="s">
        <v>1274</v>
      </c>
      <c r="D603" t="s">
        <v>37</v>
      </c>
      <c r="E603" t="s">
        <v>38</v>
      </c>
      <c r="F603" t="s">
        <v>31</v>
      </c>
      <c r="G603" t="s">
        <v>43</v>
      </c>
      <c r="H603" t="s">
        <v>44</v>
      </c>
      <c r="I603">
        <v>3</v>
      </c>
      <c r="J603">
        <v>990.31</v>
      </c>
      <c r="K603">
        <v>0.05</v>
      </c>
      <c r="L603">
        <v>2822.38</v>
      </c>
      <c r="M603">
        <v>2107.0300000000002</v>
      </c>
      <c r="N603">
        <v>715.35</v>
      </c>
      <c r="O603" t="s">
        <v>51</v>
      </c>
      <c r="P603">
        <v>4</v>
      </c>
      <c r="Q603" t="str">
        <f t="shared" si="54"/>
        <v>December</v>
      </c>
      <c r="R603" t="str">
        <f t="shared" si="55"/>
        <v>Q4</v>
      </c>
      <c r="S603">
        <f t="shared" si="56"/>
        <v>2024</v>
      </c>
      <c r="T603">
        <f t="shared" si="57"/>
        <v>1379070.1600000008</v>
      </c>
      <c r="U603">
        <f t="shared" si="58"/>
        <v>463920.09999999963</v>
      </c>
      <c r="V603">
        <f t="shared" si="59"/>
        <v>1.9726458500073654</v>
      </c>
    </row>
    <row r="604" spans="1:22" x14ac:dyDescent="0.35">
      <c r="A604" t="s">
        <v>1275</v>
      </c>
      <c r="B604" s="1">
        <v>45445</v>
      </c>
      <c r="C604" t="s">
        <v>1276</v>
      </c>
      <c r="D604" t="s">
        <v>37</v>
      </c>
      <c r="E604" t="s">
        <v>85</v>
      </c>
      <c r="F604" t="s">
        <v>31</v>
      </c>
      <c r="G604" t="s">
        <v>22</v>
      </c>
      <c r="H604" t="s">
        <v>23</v>
      </c>
      <c r="I604">
        <v>9</v>
      </c>
      <c r="J604">
        <v>796.82</v>
      </c>
      <c r="K604">
        <v>0.1</v>
      </c>
      <c r="L604">
        <v>6454.24</v>
      </c>
      <c r="M604">
        <v>4261.21</v>
      </c>
      <c r="N604">
        <v>2193.0300000000002</v>
      </c>
      <c r="O604" t="s">
        <v>62</v>
      </c>
      <c r="P604">
        <v>4</v>
      </c>
      <c r="Q604" t="str">
        <f t="shared" si="54"/>
        <v>June</v>
      </c>
      <c r="R604" t="str">
        <f t="shared" si="55"/>
        <v>Q2</v>
      </c>
      <c r="S604">
        <f t="shared" si="56"/>
        <v>2024</v>
      </c>
      <c r="T604">
        <f t="shared" si="57"/>
        <v>1376247.780000001</v>
      </c>
      <c r="U604">
        <f t="shared" si="58"/>
        <v>463204.74999999959</v>
      </c>
      <c r="V604">
        <f t="shared" si="59"/>
        <v>1.9711434953980982</v>
      </c>
    </row>
    <row r="605" spans="1:22" x14ac:dyDescent="0.35">
      <c r="A605" t="s">
        <v>1277</v>
      </c>
      <c r="B605" s="1">
        <v>45322</v>
      </c>
      <c r="C605" t="s">
        <v>1278</v>
      </c>
      <c r="D605" t="s">
        <v>66</v>
      </c>
      <c r="E605" t="s">
        <v>98</v>
      </c>
      <c r="F605" t="s">
        <v>31</v>
      </c>
      <c r="G605" t="s">
        <v>60</v>
      </c>
      <c r="H605" t="s">
        <v>110</v>
      </c>
      <c r="I605">
        <v>7</v>
      </c>
      <c r="J605">
        <v>1142.04</v>
      </c>
      <c r="K605">
        <v>0</v>
      </c>
      <c r="L605">
        <v>7994.28</v>
      </c>
      <c r="M605">
        <v>5017.8500000000004</v>
      </c>
      <c r="N605">
        <v>2976.43</v>
      </c>
      <c r="O605" t="s">
        <v>33</v>
      </c>
      <c r="P605">
        <v>2</v>
      </c>
      <c r="Q605" t="str">
        <f t="shared" si="54"/>
        <v>January</v>
      </c>
      <c r="R605" t="str">
        <f t="shared" si="55"/>
        <v>Q1</v>
      </c>
      <c r="S605">
        <f t="shared" si="56"/>
        <v>2024</v>
      </c>
      <c r="T605">
        <f t="shared" si="57"/>
        <v>1369793.540000001</v>
      </c>
      <c r="U605">
        <f t="shared" si="58"/>
        <v>461011.71999999956</v>
      </c>
      <c r="V605">
        <f t="shared" si="59"/>
        <v>1.9712770425879895</v>
      </c>
    </row>
    <row r="606" spans="1:22" x14ac:dyDescent="0.35">
      <c r="A606" t="s">
        <v>1279</v>
      </c>
      <c r="B606" s="1">
        <v>45510</v>
      </c>
      <c r="C606" t="s">
        <v>1280</v>
      </c>
      <c r="D606" t="s">
        <v>29</v>
      </c>
      <c r="E606" t="s">
        <v>98</v>
      </c>
      <c r="F606" t="s">
        <v>21</v>
      </c>
      <c r="G606" t="s">
        <v>22</v>
      </c>
      <c r="H606" t="s">
        <v>74</v>
      </c>
      <c r="I606">
        <v>11</v>
      </c>
      <c r="J606">
        <v>354.73</v>
      </c>
      <c r="K606">
        <v>0.1</v>
      </c>
      <c r="L606">
        <v>3511.83</v>
      </c>
      <c r="M606">
        <v>2526.4899999999998</v>
      </c>
      <c r="N606">
        <v>985.34</v>
      </c>
      <c r="O606" t="s">
        <v>33</v>
      </c>
      <c r="P606">
        <v>5</v>
      </c>
      <c r="Q606" t="str">
        <f t="shared" si="54"/>
        <v>August</v>
      </c>
      <c r="R606" t="str">
        <f t="shared" si="55"/>
        <v>Q3</v>
      </c>
      <c r="S606">
        <f t="shared" si="56"/>
        <v>2024</v>
      </c>
      <c r="T606">
        <f t="shared" si="57"/>
        <v>1361799.2600000009</v>
      </c>
      <c r="U606">
        <f t="shared" si="58"/>
        <v>458035.28999999969</v>
      </c>
      <c r="V606">
        <f t="shared" si="59"/>
        <v>1.9731317427528388</v>
      </c>
    </row>
    <row r="607" spans="1:22" x14ac:dyDescent="0.35">
      <c r="A607" t="s">
        <v>1281</v>
      </c>
      <c r="B607" s="1">
        <v>45623</v>
      </c>
      <c r="C607" t="s">
        <v>1282</v>
      </c>
      <c r="D607" t="s">
        <v>19</v>
      </c>
      <c r="E607" t="s">
        <v>30</v>
      </c>
      <c r="F607" t="s">
        <v>31</v>
      </c>
      <c r="G607" t="s">
        <v>43</v>
      </c>
      <c r="H607" t="s">
        <v>173</v>
      </c>
      <c r="I607">
        <v>1</v>
      </c>
      <c r="J607">
        <v>390.41</v>
      </c>
      <c r="K607">
        <v>0</v>
      </c>
      <c r="L607">
        <v>390.41</v>
      </c>
      <c r="M607">
        <v>228.43</v>
      </c>
      <c r="N607">
        <v>161.97999999999999</v>
      </c>
      <c r="O607" t="s">
        <v>51</v>
      </c>
      <c r="P607">
        <v>3</v>
      </c>
      <c r="Q607" t="str">
        <f t="shared" si="54"/>
        <v>November</v>
      </c>
      <c r="R607" t="str">
        <f t="shared" si="55"/>
        <v>Q4</v>
      </c>
      <c r="S607">
        <f t="shared" si="56"/>
        <v>2024</v>
      </c>
      <c r="T607">
        <f t="shared" si="57"/>
        <v>1358287.4300000009</v>
      </c>
      <c r="U607">
        <f t="shared" si="58"/>
        <v>457049.94999999966</v>
      </c>
      <c r="V607">
        <f t="shared" si="59"/>
        <v>1.9718577367747263</v>
      </c>
    </row>
    <row r="608" spans="1:22" x14ac:dyDescent="0.35">
      <c r="A608" t="s">
        <v>1283</v>
      </c>
      <c r="B608" s="1">
        <v>45328</v>
      </c>
      <c r="C608" t="s">
        <v>1284</v>
      </c>
      <c r="D608" t="s">
        <v>37</v>
      </c>
      <c r="E608" t="s">
        <v>98</v>
      </c>
      <c r="F608" t="s">
        <v>39</v>
      </c>
      <c r="G608" t="s">
        <v>43</v>
      </c>
      <c r="H608" t="s">
        <v>173</v>
      </c>
      <c r="I608">
        <v>11</v>
      </c>
      <c r="J608">
        <v>935.03</v>
      </c>
      <c r="K608">
        <v>0</v>
      </c>
      <c r="L608">
        <v>10285.33</v>
      </c>
      <c r="M608">
        <v>8334.18</v>
      </c>
      <c r="N608">
        <v>1951.15</v>
      </c>
      <c r="O608" t="s">
        <v>62</v>
      </c>
      <c r="P608">
        <v>2</v>
      </c>
      <c r="Q608" t="str">
        <f t="shared" si="54"/>
        <v>February</v>
      </c>
      <c r="R608" t="str">
        <f t="shared" si="55"/>
        <v>Q1</v>
      </c>
      <c r="S608">
        <f t="shared" si="56"/>
        <v>2024</v>
      </c>
      <c r="T608">
        <f t="shared" si="57"/>
        <v>1357897.0200000009</v>
      </c>
      <c r="U608">
        <f t="shared" si="58"/>
        <v>456887.96999999962</v>
      </c>
      <c r="V608">
        <f t="shared" si="59"/>
        <v>1.9720568479839862</v>
      </c>
    </row>
    <row r="609" spans="1:22" x14ac:dyDescent="0.35">
      <c r="A609" t="s">
        <v>1285</v>
      </c>
      <c r="B609" s="1">
        <v>45422</v>
      </c>
      <c r="C609" t="s">
        <v>1286</v>
      </c>
      <c r="D609" t="s">
        <v>66</v>
      </c>
      <c r="E609" t="s">
        <v>38</v>
      </c>
      <c r="F609" t="s">
        <v>39</v>
      </c>
      <c r="G609" t="s">
        <v>79</v>
      </c>
      <c r="H609" t="s">
        <v>80</v>
      </c>
      <c r="I609">
        <v>8</v>
      </c>
      <c r="J609">
        <v>402.24</v>
      </c>
      <c r="K609">
        <v>0</v>
      </c>
      <c r="L609">
        <v>3217.92</v>
      </c>
      <c r="M609">
        <v>2107.16</v>
      </c>
      <c r="N609">
        <v>1110.76</v>
      </c>
      <c r="O609" t="s">
        <v>62</v>
      </c>
      <c r="P609">
        <v>4</v>
      </c>
      <c r="Q609" t="str">
        <f t="shared" si="54"/>
        <v>May</v>
      </c>
      <c r="R609" t="str">
        <f t="shared" si="55"/>
        <v>Q2</v>
      </c>
      <c r="S609">
        <f t="shared" si="56"/>
        <v>2024</v>
      </c>
      <c r="T609">
        <f t="shared" si="57"/>
        <v>1347611.6900000006</v>
      </c>
      <c r="U609">
        <f t="shared" si="58"/>
        <v>454936.81999999966</v>
      </c>
      <c r="V609">
        <f t="shared" si="59"/>
        <v>1.962195256035776</v>
      </c>
    </row>
    <row r="610" spans="1:22" x14ac:dyDescent="0.35">
      <c r="A610" t="s">
        <v>1287</v>
      </c>
      <c r="B610" s="1">
        <v>45510</v>
      </c>
      <c r="C610" t="s">
        <v>1288</v>
      </c>
      <c r="D610" t="s">
        <v>19</v>
      </c>
      <c r="E610" t="s">
        <v>38</v>
      </c>
      <c r="F610" t="s">
        <v>21</v>
      </c>
      <c r="G610" t="s">
        <v>60</v>
      </c>
      <c r="H610" t="s">
        <v>119</v>
      </c>
      <c r="I610">
        <v>5</v>
      </c>
      <c r="J610">
        <v>493.93</v>
      </c>
      <c r="K610">
        <v>0.05</v>
      </c>
      <c r="L610">
        <v>2346.17</v>
      </c>
      <c r="M610">
        <v>1786.45</v>
      </c>
      <c r="N610">
        <v>559.72</v>
      </c>
      <c r="O610" t="s">
        <v>62</v>
      </c>
      <c r="P610">
        <v>1</v>
      </c>
      <c r="Q610" t="str">
        <f t="shared" si="54"/>
        <v>August</v>
      </c>
      <c r="R610" t="str">
        <f t="shared" si="55"/>
        <v>Q3</v>
      </c>
      <c r="S610">
        <f t="shared" si="56"/>
        <v>2024</v>
      </c>
      <c r="T610">
        <f t="shared" si="57"/>
        <v>1344393.7700000007</v>
      </c>
      <c r="U610">
        <f t="shared" si="58"/>
        <v>453826.05999999959</v>
      </c>
      <c r="V610">
        <f t="shared" si="59"/>
        <v>1.9623547180168586</v>
      </c>
    </row>
    <row r="611" spans="1:22" x14ac:dyDescent="0.35">
      <c r="A611" t="s">
        <v>1289</v>
      </c>
      <c r="B611" s="1">
        <v>45639</v>
      </c>
      <c r="C611" t="s">
        <v>1290</v>
      </c>
      <c r="D611" t="s">
        <v>49</v>
      </c>
      <c r="E611" t="s">
        <v>85</v>
      </c>
      <c r="F611" t="s">
        <v>39</v>
      </c>
      <c r="G611" t="s">
        <v>79</v>
      </c>
      <c r="H611" t="s">
        <v>80</v>
      </c>
      <c r="I611">
        <v>10</v>
      </c>
      <c r="J611">
        <v>525.34</v>
      </c>
      <c r="K611">
        <v>0</v>
      </c>
      <c r="L611">
        <v>5253.4</v>
      </c>
      <c r="M611">
        <v>2924.61</v>
      </c>
      <c r="N611">
        <v>2328.79</v>
      </c>
      <c r="O611" t="s">
        <v>33</v>
      </c>
      <c r="P611">
        <v>2</v>
      </c>
      <c r="Q611" t="str">
        <f t="shared" si="54"/>
        <v>December</v>
      </c>
      <c r="R611" t="str">
        <f t="shared" si="55"/>
        <v>Q4</v>
      </c>
      <c r="S611">
        <f t="shared" si="56"/>
        <v>2024</v>
      </c>
      <c r="T611">
        <f t="shared" si="57"/>
        <v>1342047.6000000008</v>
      </c>
      <c r="U611">
        <f t="shared" si="58"/>
        <v>453266.33999999962</v>
      </c>
      <c r="V611">
        <f t="shared" si="59"/>
        <v>1.960836668348243</v>
      </c>
    </row>
    <row r="612" spans="1:22" x14ac:dyDescent="0.35">
      <c r="A612" t="s">
        <v>1291</v>
      </c>
      <c r="B612" s="1">
        <v>45537</v>
      </c>
      <c r="C612" t="s">
        <v>1292</v>
      </c>
      <c r="D612" t="s">
        <v>29</v>
      </c>
      <c r="E612" t="s">
        <v>20</v>
      </c>
      <c r="F612" t="s">
        <v>39</v>
      </c>
      <c r="G612" t="s">
        <v>79</v>
      </c>
      <c r="H612" t="s">
        <v>103</v>
      </c>
      <c r="I612">
        <v>5</v>
      </c>
      <c r="J612">
        <v>85.42</v>
      </c>
      <c r="K612">
        <v>0</v>
      </c>
      <c r="L612">
        <v>427.1</v>
      </c>
      <c r="M612">
        <v>340.7</v>
      </c>
      <c r="N612">
        <v>86.4</v>
      </c>
      <c r="O612" t="s">
        <v>33</v>
      </c>
      <c r="P612">
        <v>4</v>
      </c>
      <c r="Q612" t="str">
        <f t="shared" si="54"/>
        <v>September</v>
      </c>
      <c r="R612" t="str">
        <f t="shared" si="55"/>
        <v>Q3</v>
      </c>
      <c r="S612">
        <f t="shared" si="56"/>
        <v>2024</v>
      </c>
      <c r="T612">
        <f t="shared" si="57"/>
        <v>1336794.2000000007</v>
      </c>
      <c r="U612">
        <f t="shared" si="58"/>
        <v>450937.54999999964</v>
      </c>
      <c r="V612">
        <f t="shared" si="59"/>
        <v>1.9644774536961975</v>
      </c>
    </row>
    <row r="613" spans="1:22" x14ac:dyDescent="0.35">
      <c r="A613" t="s">
        <v>1293</v>
      </c>
      <c r="B613" s="1">
        <v>45542</v>
      </c>
      <c r="C613" t="s">
        <v>1294</v>
      </c>
      <c r="D613" t="s">
        <v>49</v>
      </c>
      <c r="E613" t="s">
        <v>20</v>
      </c>
      <c r="F613" t="s">
        <v>39</v>
      </c>
      <c r="G613" t="s">
        <v>60</v>
      </c>
      <c r="H613" t="s">
        <v>61</v>
      </c>
      <c r="I613">
        <v>5</v>
      </c>
      <c r="J613">
        <v>570.01</v>
      </c>
      <c r="K613">
        <v>0.15</v>
      </c>
      <c r="L613">
        <v>2422.54</v>
      </c>
      <c r="M613">
        <v>1483.51</v>
      </c>
      <c r="N613">
        <v>939.03</v>
      </c>
      <c r="O613" t="s">
        <v>62</v>
      </c>
      <c r="P613">
        <v>2</v>
      </c>
      <c r="Q613" t="str">
        <f t="shared" si="54"/>
        <v>September</v>
      </c>
      <c r="R613" t="str">
        <f t="shared" si="55"/>
        <v>Q3</v>
      </c>
      <c r="S613">
        <f t="shared" si="56"/>
        <v>2024</v>
      </c>
      <c r="T613">
        <f t="shared" si="57"/>
        <v>1336367.1000000008</v>
      </c>
      <c r="U613">
        <f t="shared" si="58"/>
        <v>450851.14999999962</v>
      </c>
      <c r="V613">
        <f t="shared" si="59"/>
        <v>1.9640982395187456</v>
      </c>
    </row>
    <row r="614" spans="1:22" x14ac:dyDescent="0.35">
      <c r="A614" t="s">
        <v>1295</v>
      </c>
      <c r="B614" s="1">
        <v>45552</v>
      </c>
      <c r="C614" t="s">
        <v>1296</v>
      </c>
      <c r="D614" t="s">
        <v>49</v>
      </c>
      <c r="E614" t="s">
        <v>98</v>
      </c>
      <c r="F614" t="s">
        <v>31</v>
      </c>
      <c r="G614" t="s">
        <v>22</v>
      </c>
      <c r="H614" t="s">
        <v>32</v>
      </c>
      <c r="I614">
        <v>11</v>
      </c>
      <c r="J614">
        <v>762.06</v>
      </c>
      <c r="K614">
        <v>0.1</v>
      </c>
      <c r="L614">
        <v>7544.39</v>
      </c>
      <c r="M614">
        <v>4395.1099999999997</v>
      </c>
      <c r="N614">
        <v>3149.28</v>
      </c>
      <c r="O614" t="s">
        <v>62</v>
      </c>
      <c r="P614">
        <v>4</v>
      </c>
      <c r="Q614" t="str">
        <f t="shared" si="54"/>
        <v>September</v>
      </c>
      <c r="R614" t="str">
        <f t="shared" si="55"/>
        <v>Q3</v>
      </c>
      <c r="S614">
        <f t="shared" si="56"/>
        <v>2024</v>
      </c>
      <c r="T614">
        <f t="shared" si="57"/>
        <v>1333944.5600000005</v>
      </c>
      <c r="U614">
        <f t="shared" si="58"/>
        <v>449912.11999999959</v>
      </c>
      <c r="V614">
        <f t="shared" si="59"/>
        <v>1.9649002565212106</v>
      </c>
    </row>
    <row r="615" spans="1:22" x14ac:dyDescent="0.35">
      <c r="A615" t="s">
        <v>1297</v>
      </c>
      <c r="B615" s="1">
        <v>45484</v>
      </c>
      <c r="C615" t="s">
        <v>1298</v>
      </c>
      <c r="D615" t="s">
        <v>19</v>
      </c>
      <c r="E615" t="s">
        <v>85</v>
      </c>
      <c r="F615" t="s">
        <v>31</v>
      </c>
      <c r="G615" t="s">
        <v>79</v>
      </c>
      <c r="H615" t="s">
        <v>80</v>
      </c>
      <c r="I615">
        <v>8</v>
      </c>
      <c r="J615">
        <v>308.98</v>
      </c>
      <c r="K615">
        <v>0.15</v>
      </c>
      <c r="L615">
        <v>2101.06</v>
      </c>
      <c r="M615">
        <v>1705.59</v>
      </c>
      <c r="N615">
        <v>395.47</v>
      </c>
      <c r="O615" t="s">
        <v>24</v>
      </c>
      <c r="P615">
        <v>5</v>
      </c>
      <c r="Q615" t="str">
        <f t="shared" si="54"/>
        <v>July</v>
      </c>
      <c r="R615" t="str">
        <f t="shared" si="55"/>
        <v>Q3</v>
      </c>
      <c r="S615">
        <f t="shared" si="56"/>
        <v>2024</v>
      </c>
      <c r="T615">
        <f t="shared" si="57"/>
        <v>1326400.1700000006</v>
      </c>
      <c r="U615">
        <f t="shared" si="58"/>
        <v>446762.83999999968</v>
      </c>
      <c r="V615">
        <f t="shared" si="59"/>
        <v>1.9689133724729695</v>
      </c>
    </row>
    <row r="616" spans="1:22" x14ac:dyDescent="0.35">
      <c r="A616" t="s">
        <v>1299</v>
      </c>
      <c r="B616" s="1">
        <v>45439</v>
      </c>
      <c r="C616" t="s">
        <v>1300</v>
      </c>
      <c r="D616" t="s">
        <v>66</v>
      </c>
      <c r="E616" t="s">
        <v>98</v>
      </c>
      <c r="F616" t="s">
        <v>31</v>
      </c>
      <c r="G616" t="s">
        <v>60</v>
      </c>
      <c r="H616" t="s">
        <v>119</v>
      </c>
      <c r="I616">
        <v>1</v>
      </c>
      <c r="J616">
        <v>671.97</v>
      </c>
      <c r="K616">
        <v>0.1</v>
      </c>
      <c r="L616">
        <v>604.77</v>
      </c>
      <c r="M616">
        <v>449.53</v>
      </c>
      <c r="N616">
        <v>155.24</v>
      </c>
      <c r="O616" t="s">
        <v>51</v>
      </c>
      <c r="P616">
        <v>5</v>
      </c>
      <c r="Q616" t="str">
        <f t="shared" si="54"/>
        <v>May</v>
      </c>
      <c r="R616" t="str">
        <f t="shared" si="55"/>
        <v>Q2</v>
      </c>
      <c r="S616">
        <f t="shared" si="56"/>
        <v>2024</v>
      </c>
      <c r="T616">
        <f t="shared" si="57"/>
        <v>1324299.1100000006</v>
      </c>
      <c r="U616">
        <f t="shared" si="58"/>
        <v>446367.36999999965</v>
      </c>
      <c r="V616">
        <f t="shared" si="59"/>
        <v>1.9668367336080179</v>
      </c>
    </row>
    <row r="617" spans="1:22" x14ac:dyDescent="0.35">
      <c r="A617" t="s">
        <v>1301</v>
      </c>
      <c r="B617" s="1">
        <v>45396</v>
      </c>
      <c r="C617" t="s">
        <v>1302</v>
      </c>
      <c r="D617" t="s">
        <v>37</v>
      </c>
      <c r="E617" t="s">
        <v>85</v>
      </c>
      <c r="F617" t="s">
        <v>39</v>
      </c>
      <c r="G617" t="s">
        <v>43</v>
      </c>
      <c r="H617" t="s">
        <v>173</v>
      </c>
      <c r="I617">
        <v>6</v>
      </c>
      <c r="J617">
        <v>218.81</v>
      </c>
      <c r="K617">
        <v>0</v>
      </c>
      <c r="L617">
        <v>1312.86</v>
      </c>
      <c r="M617">
        <v>876.5</v>
      </c>
      <c r="N617">
        <v>436.36</v>
      </c>
      <c r="O617" t="s">
        <v>24</v>
      </c>
      <c r="P617">
        <v>4</v>
      </c>
      <c r="Q617" t="str">
        <f t="shared" si="54"/>
        <v>April</v>
      </c>
      <c r="R617" t="str">
        <f t="shared" si="55"/>
        <v>Q2</v>
      </c>
      <c r="S617">
        <f t="shared" si="56"/>
        <v>2024</v>
      </c>
      <c r="T617">
        <f t="shared" si="57"/>
        <v>1323694.3400000005</v>
      </c>
      <c r="U617">
        <f t="shared" si="58"/>
        <v>446212.12999999966</v>
      </c>
      <c r="V617">
        <f t="shared" si="59"/>
        <v>1.9665135728156955</v>
      </c>
    </row>
    <row r="618" spans="1:22" x14ac:dyDescent="0.35">
      <c r="A618" t="s">
        <v>1303</v>
      </c>
      <c r="B618" s="1">
        <v>45562</v>
      </c>
      <c r="C618" t="s">
        <v>1304</v>
      </c>
      <c r="D618" t="s">
        <v>19</v>
      </c>
      <c r="E618" t="s">
        <v>98</v>
      </c>
      <c r="F618" t="s">
        <v>31</v>
      </c>
      <c r="G618" t="s">
        <v>43</v>
      </c>
      <c r="H618" t="s">
        <v>173</v>
      </c>
      <c r="I618">
        <v>9</v>
      </c>
      <c r="J618">
        <v>144.11000000000001</v>
      </c>
      <c r="K618">
        <v>0</v>
      </c>
      <c r="L618">
        <v>1296.99</v>
      </c>
      <c r="M618">
        <v>904.34</v>
      </c>
      <c r="N618">
        <v>392.65</v>
      </c>
      <c r="O618" t="s">
        <v>51</v>
      </c>
      <c r="P618">
        <v>2</v>
      </c>
      <c r="Q618" t="str">
        <f t="shared" si="54"/>
        <v>September</v>
      </c>
      <c r="R618" t="str">
        <f t="shared" si="55"/>
        <v>Q3</v>
      </c>
      <c r="S618">
        <f t="shared" si="56"/>
        <v>2024</v>
      </c>
      <c r="T618">
        <f t="shared" si="57"/>
        <v>1322381.4800000007</v>
      </c>
      <c r="U618">
        <f t="shared" si="58"/>
        <v>445775.76999999961</v>
      </c>
      <c r="V618">
        <f t="shared" si="59"/>
        <v>1.966472314096394</v>
      </c>
    </row>
    <row r="619" spans="1:22" x14ac:dyDescent="0.35">
      <c r="A619" t="s">
        <v>1305</v>
      </c>
      <c r="B619" s="1">
        <v>45460</v>
      </c>
      <c r="C619" t="s">
        <v>1306</v>
      </c>
      <c r="D619" t="s">
        <v>66</v>
      </c>
      <c r="E619" t="s">
        <v>20</v>
      </c>
      <c r="F619" t="s">
        <v>39</v>
      </c>
      <c r="G619" t="s">
        <v>22</v>
      </c>
      <c r="H619" t="s">
        <v>32</v>
      </c>
      <c r="I619">
        <v>9</v>
      </c>
      <c r="J619">
        <v>471.44</v>
      </c>
      <c r="K619">
        <v>0.1</v>
      </c>
      <c r="L619">
        <v>3818.66</v>
      </c>
      <c r="M619">
        <v>2130.6999999999998</v>
      </c>
      <c r="N619">
        <v>1687.96</v>
      </c>
      <c r="O619" t="s">
        <v>33</v>
      </c>
      <c r="P619">
        <v>3</v>
      </c>
      <c r="Q619" t="str">
        <f t="shared" si="54"/>
        <v>June</v>
      </c>
      <c r="R619" t="str">
        <f t="shared" si="55"/>
        <v>Q2</v>
      </c>
      <c r="S619">
        <f t="shared" si="56"/>
        <v>2024</v>
      </c>
      <c r="T619">
        <f t="shared" si="57"/>
        <v>1321084.4900000007</v>
      </c>
      <c r="U619">
        <f t="shared" si="58"/>
        <v>445383.11999999965</v>
      </c>
      <c r="V619">
        <f t="shared" si="59"/>
        <v>1.9661754805615483</v>
      </c>
    </row>
    <row r="620" spans="1:22" x14ac:dyDescent="0.35">
      <c r="A620" t="s">
        <v>1307</v>
      </c>
      <c r="B620" s="1">
        <v>45562</v>
      </c>
      <c r="C620" t="s">
        <v>1308</v>
      </c>
      <c r="D620" t="s">
        <v>19</v>
      </c>
      <c r="E620" t="s">
        <v>20</v>
      </c>
      <c r="F620" t="s">
        <v>21</v>
      </c>
      <c r="G620" t="s">
        <v>79</v>
      </c>
      <c r="H620" t="s">
        <v>80</v>
      </c>
      <c r="I620">
        <v>8</v>
      </c>
      <c r="J620">
        <v>957.7</v>
      </c>
      <c r="K620">
        <v>0.05</v>
      </c>
      <c r="L620">
        <v>7278.52</v>
      </c>
      <c r="M620">
        <v>5447.13</v>
      </c>
      <c r="N620">
        <v>1831.39</v>
      </c>
      <c r="O620" t="s">
        <v>62</v>
      </c>
      <c r="P620">
        <v>4</v>
      </c>
      <c r="Q620" t="str">
        <f t="shared" si="54"/>
        <v>September</v>
      </c>
      <c r="R620" t="str">
        <f t="shared" si="55"/>
        <v>Q3</v>
      </c>
      <c r="S620">
        <f t="shared" si="56"/>
        <v>2024</v>
      </c>
      <c r="T620">
        <f t="shared" si="57"/>
        <v>1317265.8300000008</v>
      </c>
      <c r="U620">
        <f t="shared" si="58"/>
        <v>443695.15999999963</v>
      </c>
      <c r="V620">
        <f t="shared" si="59"/>
        <v>1.9688532775520964</v>
      </c>
    </row>
    <row r="621" spans="1:22" x14ac:dyDescent="0.35">
      <c r="A621" t="s">
        <v>1309</v>
      </c>
      <c r="B621" s="1">
        <v>45488</v>
      </c>
      <c r="C621" t="s">
        <v>1310</v>
      </c>
      <c r="D621" t="s">
        <v>66</v>
      </c>
      <c r="E621" t="s">
        <v>98</v>
      </c>
      <c r="F621" t="s">
        <v>21</v>
      </c>
      <c r="G621" t="s">
        <v>43</v>
      </c>
      <c r="H621" t="s">
        <v>173</v>
      </c>
      <c r="I621">
        <v>11</v>
      </c>
      <c r="J621">
        <v>694.03</v>
      </c>
      <c r="K621">
        <v>0.1</v>
      </c>
      <c r="L621">
        <v>6870.9</v>
      </c>
      <c r="M621">
        <v>4266.37</v>
      </c>
      <c r="N621">
        <v>2604.5300000000002</v>
      </c>
      <c r="O621" t="s">
        <v>62</v>
      </c>
      <c r="P621">
        <v>1</v>
      </c>
      <c r="Q621" t="str">
        <f t="shared" si="54"/>
        <v>July</v>
      </c>
      <c r="R621" t="str">
        <f t="shared" si="55"/>
        <v>Q3</v>
      </c>
      <c r="S621">
        <f t="shared" si="56"/>
        <v>2024</v>
      </c>
      <c r="T621">
        <f t="shared" si="57"/>
        <v>1309987.3100000008</v>
      </c>
      <c r="U621">
        <f t="shared" si="58"/>
        <v>441863.76999999967</v>
      </c>
      <c r="V621">
        <f t="shared" si="59"/>
        <v>1.9646859483410504</v>
      </c>
    </row>
    <row r="622" spans="1:22" x14ac:dyDescent="0.35">
      <c r="A622" t="s">
        <v>1311</v>
      </c>
      <c r="B622" s="1">
        <v>45641</v>
      </c>
      <c r="C622" t="s">
        <v>1312</v>
      </c>
      <c r="D622" t="s">
        <v>37</v>
      </c>
      <c r="E622" t="s">
        <v>98</v>
      </c>
      <c r="F622" t="s">
        <v>39</v>
      </c>
      <c r="G622" t="s">
        <v>60</v>
      </c>
      <c r="H622" t="s">
        <v>110</v>
      </c>
      <c r="I622">
        <v>10</v>
      </c>
      <c r="J622">
        <v>924.77</v>
      </c>
      <c r="K622">
        <v>0.15</v>
      </c>
      <c r="L622">
        <v>7860.55</v>
      </c>
      <c r="M622">
        <v>6249.98</v>
      </c>
      <c r="N622">
        <v>1610.57</v>
      </c>
      <c r="O622" t="s">
        <v>33</v>
      </c>
      <c r="P622">
        <v>1</v>
      </c>
      <c r="Q622" t="str">
        <f t="shared" si="54"/>
        <v>December</v>
      </c>
      <c r="R622" t="str">
        <f t="shared" si="55"/>
        <v>Q4</v>
      </c>
      <c r="S622">
        <f t="shared" si="56"/>
        <v>2024</v>
      </c>
      <c r="T622">
        <f t="shared" si="57"/>
        <v>1303116.4100000006</v>
      </c>
      <c r="U622">
        <f t="shared" si="58"/>
        <v>439259.2399999997</v>
      </c>
      <c r="V622">
        <f t="shared" si="59"/>
        <v>1.9666226486208951</v>
      </c>
    </row>
    <row r="623" spans="1:22" x14ac:dyDescent="0.35">
      <c r="A623" t="s">
        <v>1313</v>
      </c>
      <c r="B623" s="1">
        <v>45314</v>
      </c>
      <c r="C623" t="s">
        <v>1314</v>
      </c>
      <c r="D623" t="s">
        <v>66</v>
      </c>
      <c r="E623" t="s">
        <v>85</v>
      </c>
      <c r="F623" t="s">
        <v>39</v>
      </c>
      <c r="G623" t="s">
        <v>22</v>
      </c>
      <c r="H623" t="s">
        <v>74</v>
      </c>
      <c r="I623">
        <v>2</v>
      </c>
      <c r="J623">
        <v>1077.23</v>
      </c>
      <c r="K623">
        <v>0.1</v>
      </c>
      <c r="L623">
        <v>1939.01</v>
      </c>
      <c r="M623">
        <v>1400.1</v>
      </c>
      <c r="N623">
        <v>538.91</v>
      </c>
      <c r="O623" t="s">
        <v>33</v>
      </c>
      <c r="P623">
        <v>1</v>
      </c>
      <c r="Q623" t="str">
        <f t="shared" si="54"/>
        <v>January</v>
      </c>
      <c r="R623" t="str">
        <f t="shared" si="55"/>
        <v>Q1</v>
      </c>
      <c r="S623">
        <f t="shared" si="56"/>
        <v>2024</v>
      </c>
      <c r="T623">
        <f t="shared" si="57"/>
        <v>1295255.8600000006</v>
      </c>
      <c r="U623">
        <f t="shared" si="58"/>
        <v>437648.66999999963</v>
      </c>
      <c r="V623">
        <f t="shared" si="59"/>
        <v>1.9595791071408981</v>
      </c>
    </row>
    <row r="624" spans="1:22" x14ac:dyDescent="0.35">
      <c r="A624" t="s">
        <v>1315</v>
      </c>
      <c r="B624" s="1">
        <v>45313</v>
      </c>
      <c r="C624" t="s">
        <v>1316</v>
      </c>
      <c r="D624" t="s">
        <v>49</v>
      </c>
      <c r="E624" t="s">
        <v>30</v>
      </c>
      <c r="F624" t="s">
        <v>21</v>
      </c>
      <c r="G624" t="s">
        <v>60</v>
      </c>
      <c r="H624" t="s">
        <v>119</v>
      </c>
      <c r="I624">
        <v>12</v>
      </c>
      <c r="J624">
        <v>912.87</v>
      </c>
      <c r="K624">
        <v>0.15</v>
      </c>
      <c r="L624">
        <v>9311.27</v>
      </c>
      <c r="M624">
        <v>5208.46</v>
      </c>
      <c r="N624">
        <v>4102.8100000000004</v>
      </c>
      <c r="O624" t="s">
        <v>62</v>
      </c>
      <c r="P624">
        <v>4</v>
      </c>
      <c r="Q624" t="str">
        <f t="shared" si="54"/>
        <v>January</v>
      </c>
      <c r="R624" t="str">
        <f t="shared" si="55"/>
        <v>Q1</v>
      </c>
      <c r="S624">
        <f t="shared" si="56"/>
        <v>2024</v>
      </c>
      <c r="T624">
        <f t="shared" si="57"/>
        <v>1293316.8500000003</v>
      </c>
      <c r="U624">
        <f t="shared" si="58"/>
        <v>437109.75999999966</v>
      </c>
      <c r="V624">
        <f t="shared" si="59"/>
        <v>1.9587919748120044</v>
      </c>
    </row>
    <row r="625" spans="1:22" x14ac:dyDescent="0.35">
      <c r="A625" t="s">
        <v>1317</v>
      </c>
      <c r="B625" s="1">
        <v>45594</v>
      </c>
      <c r="C625" t="s">
        <v>1318</v>
      </c>
      <c r="D625" t="s">
        <v>66</v>
      </c>
      <c r="E625" t="s">
        <v>38</v>
      </c>
      <c r="F625" t="s">
        <v>31</v>
      </c>
      <c r="G625" t="s">
        <v>79</v>
      </c>
      <c r="H625" t="s">
        <v>89</v>
      </c>
      <c r="I625">
        <v>4</v>
      </c>
      <c r="J625">
        <v>684.91</v>
      </c>
      <c r="K625">
        <v>0.05</v>
      </c>
      <c r="L625">
        <v>2602.66</v>
      </c>
      <c r="M625">
        <v>1934.47</v>
      </c>
      <c r="N625">
        <v>668.19</v>
      </c>
      <c r="O625" t="s">
        <v>24</v>
      </c>
      <c r="P625">
        <v>5</v>
      </c>
      <c r="Q625" t="str">
        <f t="shared" si="54"/>
        <v>October</v>
      </c>
      <c r="R625" t="str">
        <f t="shared" si="55"/>
        <v>Q4</v>
      </c>
      <c r="S625">
        <f t="shared" si="56"/>
        <v>2024</v>
      </c>
      <c r="T625">
        <f t="shared" si="57"/>
        <v>1284005.58</v>
      </c>
      <c r="U625">
        <f t="shared" si="58"/>
        <v>433006.94999999955</v>
      </c>
      <c r="V625">
        <f t="shared" si="59"/>
        <v>1.9653232586682534</v>
      </c>
    </row>
    <row r="626" spans="1:22" x14ac:dyDescent="0.35">
      <c r="A626" t="s">
        <v>1319</v>
      </c>
      <c r="B626" s="1">
        <v>45620</v>
      </c>
      <c r="C626" t="s">
        <v>1320</v>
      </c>
      <c r="D626" t="s">
        <v>19</v>
      </c>
      <c r="E626" t="s">
        <v>38</v>
      </c>
      <c r="F626" t="s">
        <v>39</v>
      </c>
      <c r="G626" t="s">
        <v>60</v>
      </c>
      <c r="H626" t="s">
        <v>110</v>
      </c>
      <c r="I626">
        <v>8</v>
      </c>
      <c r="J626">
        <v>541.37</v>
      </c>
      <c r="K626">
        <v>0.1</v>
      </c>
      <c r="L626">
        <v>3897.86</v>
      </c>
      <c r="M626">
        <v>2106.1799999999998</v>
      </c>
      <c r="N626">
        <v>1791.68</v>
      </c>
      <c r="O626" t="s">
        <v>33</v>
      </c>
      <c r="P626">
        <v>2</v>
      </c>
      <c r="Q626" t="str">
        <f t="shared" si="54"/>
        <v>November</v>
      </c>
      <c r="R626" t="str">
        <f t="shared" si="55"/>
        <v>Q4</v>
      </c>
      <c r="S626">
        <f t="shared" si="56"/>
        <v>2024</v>
      </c>
      <c r="T626">
        <f t="shared" si="57"/>
        <v>1281402.9200000002</v>
      </c>
      <c r="U626">
        <f t="shared" si="58"/>
        <v>432338.75999999954</v>
      </c>
      <c r="V626">
        <f t="shared" si="59"/>
        <v>1.9638862821367242</v>
      </c>
    </row>
    <row r="627" spans="1:22" x14ac:dyDescent="0.35">
      <c r="A627" t="s">
        <v>1321</v>
      </c>
      <c r="B627" s="1">
        <v>45501</v>
      </c>
      <c r="C627" t="s">
        <v>1322</v>
      </c>
      <c r="D627" t="s">
        <v>37</v>
      </c>
      <c r="E627" t="s">
        <v>30</v>
      </c>
      <c r="F627" t="s">
        <v>21</v>
      </c>
      <c r="G627" t="s">
        <v>79</v>
      </c>
      <c r="H627" t="s">
        <v>103</v>
      </c>
      <c r="I627">
        <v>11</v>
      </c>
      <c r="J627">
        <v>933.83</v>
      </c>
      <c r="K627">
        <v>0.05</v>
      </c>
      <c r="L627">
        <v>9758.52</v>
      </c>
      <c r="M627">
        <v>6101.06</v>
      </c>
      <c r="N627">
        <v>3657.46</v>
      </c>
      <c r="O627" t="s">
        <v>24</v>
      </c>
      <c r="P627">
        <v>1</v>
      </c>
      <c r="Q627" t="str">
        <f t="shared" si="54"/>
        <v>July</v>
      </c>
      <c r="R627" t="str">
        <f t="shared" si="55"/>
        <v>Q3</v>
      </c>
      <c r="S627">
        <f t="shared" si="56"/>
        <v>2024</v>
      </c>
      <c r="T627">
        <f t="shared" si="57"/>
        <v>1277505.0600000003</v>
      </c>
      <c r="U627">
        <f t="shared" si="58"/>
        <v>430547.07999999955</v>
      </c>
      <c r="V627">
        <f t="shared" si="59"/>
        <v>1.9671669356113193</v>
      </c>
    </row>
    <row r="628" spans="1:22" x14ac:dyDescent="0.35">
      <c r="A628" t="s">
        <v>1323</v>
      </c>
      <c r="B628" s="1">
        <v>45618</v>
      </c>
      <c r="C628" t="s">
        <v>851</v>
      </c>
      <c r="D628" t="s">
        <v>49</v>
      </c>
      <c r="E628" t="s">
        <v>98</v>
      </c>
      <c r="F628" t="s">
        <v>39</v>
      </c>
      <c r="G628" t="s">
        <v>60</v>
      </c>
      <c r="H628" t="s">
        <v>119</v>
      </c>
      <c r="I628">
        <v>7</v>
      </c>
      <c r="J628">
        <v>771.44</v>
      </c>
      <c r="K628">
        <v>0</v>
      </c>
      <c r="L628">
        <v>5400.08</v>
      </c>
      <c r="M628">
        <v>4245.0600000000004</v>
      </c>
      <c r="N628">
        <v>1155.02</v>
      </c>
      <c r="O628" t="s">
        <v>62</v>
      </c>
      <c r="P628">
        <v>5</v>
      </c>
      <c r="Q628" t="str">
        <f t="shared" si="54"/>
        <v>November</v>
      </c>
      <c r="R628" t="str">
        <f t="shared" si="55"/>
        <v>Q4</v>
      </c>
      <c r="S628">
        <f t="shared" si="56"/>
        <v>2024</v>
      </c>
      <c r="T628">
        <f t="shared" si="57"/>
        <v>1267746.5400000003</v>
      </c>
      <c r="U628">
        <f t="shared" si="58"/>
        <v>426889.61999999965</v>
      </c>
      <c r="V628">
        <f t="shared" si="59"/>
        <v>1.9697291304482909</v>
      </c>
    </row>
    <row r="629" spans="1:22" x14ac:dyDescent="0.35">
      <c r="A629" t="s">
        <v>1324</v>
      </c>
      <c r="B629" s="1">
        <v>45531</v>
      </c>
      <c r="C629" t="s">
        <v>1325</v>
      </c>
      <c r="D629" t="s">
        <v>49</v>
      </c>
      <c r="E629" t="s">
        <v>98</v>
      </c>
      <c r="F629" t="s">
        <v>39</v>
      </c>
      <c r="G629" t="s">
        <v>79</v>
      </c>
      <c r="H629" t="s">
        <v>89</v>
      </c>
      <c r="I629">
        <v>12</v>
      </c>
      <c r="J629">
        <v>854.12</v>
      </c>
      <c r="K629">
        <v>0.05</v>
      </c>
      <c r="L629">
        <v>9736.9699999999993</v>
      </c>
      <c r="M629">
        <v>6197.32</v>
      </c>
      <c r="N629">
        <v>3539.65</v>
      </c>
      <c r="O629" t="s">
        <v>62</v>
      </c>
      <c r="P629">
        <v>1</v>
      </c>
      <c r="Q629" t="str">
        <f t="shared" si="54"/>
        <v>August</v>
      </c>
      <c r="R629" t="str">
        <f t="shared" si="55"/>
        <v>Q3</v>
      </c>
      <c r="S629">
        <f t="shared" si="56"/>
        <v>2024</v>
      </c>
      <c r="T629">
        <f t="shared" si="57"/>
        <v>1262346.4600000002</v>
      </c>
      <c r="U629">
        <f t="shared" si="58"/>
        <v>425734.59999999957</v>
      </c>
      <c r="V629">
        <f t="shared" si="59"/>
        <v>1.9651018733267192</v>
      </c>
    </row>
    <row r="630" spans="1:22" x14ac:dyDescent="0.35">
      <c r="A630" t="s">
        <v>1326</v>
      </c>
      <c r="B630" s="1">
        <v>45366</v>
      </c>
      <c r="C630" t="s">
        <v>1327</v>
      </c>
      <c r="D630" t="s">
        <v>29</v>
      </c>
      <c r="E630" t="s">
        <v>85</v>
      </c>
      <c r="F630" t="s">
        <v>39</v>
      </c>
      <c r="G630" t="s">
        <v>79</v>
      </c>
      <c r="H630" t="s">
        <v>80</v>
      </c>
      <c r="I630">
        <v>7</v>
      </c>
      <c r="J630">
        <v>141.47</v>
      </c>
      <c r="K630">
        <v>0.1</v>
      </c>
      <c r="L630">
        <v>891.26</v>
      </c>
      <c r="M630">
        <v>507.25</v>
      </c>
      <c r="N630">
        <v>384.01</v>
      </c>
      <c r="O630" t="s">
        <v>33</v>
      </c>
      <c r="P630">
        <v>3</v>
      </c>
      <c r="Q630" t="str">
        <f t="shared" si="54"/>
        <v>March</v>
      </c>
      <c r="R630" t="str">
        <f t="shared" si="55"/>
        <v>Q1</v>
      </c>
      <c r="S630">
        <f t="shared" si="56"/>
        <v>2024</v>
      </c>
      <c r="T630">
        <f t="shared" si="57"/>
        <v>1252609.49</v>
      </c>
      <c r="U630">
        <f t="shared" si="58"/>
        <v>422194.94999999955</v>
      </c>
      <c r="V630">
        <f t="shared" si="59"/>
        <v>1.9668983250510252</v>
      </c>
    </row>
    <row r="631" spans="1:22" x14ac:dyDescent="0.35">
      <c r="A631" t="s">
        <v>1328</v>
      </c>
      <c r="B631" s="1">
        <v>45421</v>
      </c>
      <c r="C631" t="s">
        <v>1329</v>
      </c>
      <c r="D631" t="s">
        <v>29</v>
      </c>
      <c r="E631" t="s">
        <v>85</v>
      </c>
      <c r="F631" t="s">
        <v>21</v>
      </c>
      <c r="G631" t="s">
        <v>60</v>
      </c>
      <c r="H631" t="s">
        <v>110</v>
      </c>
      <c r="I631">
        <v>6</v>
      </c>
      <c r="J631">
        <v>1074.4000000000001</v>
      </c>
      <c r="K631">
        <v>0.05</v>
      </c>
      <c r="L631">
        <v>6124.08</v>
      </c>
      <c r="M631">
        <v>4784.76</v>
      </c>
      <c r="N631">
        <v>1339.32</v>
      </c>
      <c r="O631" t="s">
        <v>51</v>
      </c>
      <c r="P631">
        <v>1</v>
      </c>
      <c r="Q631" t="str">
        <f t="shared" si="54"/>
        <v>May</v>
      </c>
      <c r="R631" t="str">
        <f t="shared" si="55"/>
        <v>Q2</v>
      </c>
      <c r="S631">
        <f t="shared" si="56"/>
        <v>2024</v>
      </c>
      <c r="T631">
        <f t="shared" si="57"/>
        <v>1251718.23</v>
      </c>
      <c r="U631">
        <f t="shared" si="58"/>
        <v>421810.93999999954</v>
      </c>
      <c r="V631">
        <f t="shared" si="59"/>
        <v>1.9674864051653127</v>
      </c>
    </row>
    <row r="632" spans="1:22" x14ac:dyDescent="0.35">
      <c r="A632" t="s">
        <v>1330</v>
      </c>
      <c r="B632" s="1">
        <v>45342</v>
      </c>
      <c r="C632" t="s">
        <v>1331</v>
      </c>
      <c r="D632" t="s">
        <v>19</v>
      </c>
      <c r="E632" t="s">
        <v>20</v>
      </c>
      <c r="F632" t="s">
        <v>39</v>
      </c>
      <c r="G632" t="s">
        <v>79</v>
      </c>
      <c r="H632" t="s">
        <v>80</v>
      </c>
      <c r="I632">
        <v>6</v>
      </c>
      <c r="J632">
        <v>556.45000000000005</v>
      </c>
      <c r="K632">
        <v>0.15</v>
      </c>
      <c r="L632">
        <v>2837.89</v>
      </c>
      <c r="M632">
        <v>2292.94</v>
      </c>
      <c r="N632">
        <v>544.95000000000005</v>
      </c>
      <c r="O632" t="s">
        <v>62</v>
      </c>
      <c r="P632">
        <v>1</v>
      </c>
      <c r="Q632" t="str">
        <f t="shared" si="54"/>
        <v>February</v>
      </c>
      <c r="R632" t="str">
        <f t="shared" si="55"/>
        <v>Q1</v>
      </c>
      <c r="S632">
        <f t="shared" si="56"/>
        <v>2024</v>
      </c>
      <c r="T632">
        <f t="shared" si="57"/>
        <v>1245594.1499999999</v>
      </c>
      <c r="U632">
        <f t="shared" si="58"/>
        <v>420471.61999999953</v>
      </c>
      <c r="V632">
        <f t="shared" si="59"/>
        <v>1.9623738933914288</v>
      </c>
    </row>
    <row r="633" spans="1:22" x14ac:dyDescent="0.35">
      <c r="A633" t="s">
        <v>1332</v>
      </c>
      <c r="B633" s="1">
        <v>45599</v>
      </c>
      <c r="C633" t="s">
        <v>1333</v>
      </c>
      <c r="D633" t="s">
        <v>19</v>
      </c>
      <c r="E633" t="s">
        <v>98</v>
      </c>
      <c r="F633" t="s">
        <v>39</v>
      </c>
      <c r="G633" t="s">
        <v>43</v>
      </c>
      <c r="H633" t="s">
        <v>50</v>
      </c>
      <c r="I633">
        <v>10</v>
      </c>
      <c r="J633">
        <v>365.69</v>
      </c>
      <c r="K633">
        <v>0.15</v>
      </c>
      <c r="L633">
        <v>3108.36</v>
      </c>
      <c r="M633">
        <v>2122.98</v>
      </c>
      <c r="N633">
        <v>985.38</v>
      </c>
      <c r="O633" t="s">
        <v>62</v>
      </c>
      <c r="P633">
        <v>5</v>
      </c>
      <c r="Q633" t="str">
        <f t="shared" si="54"/>
        <v>November</v>
      </c>
      <c r="R633" t="str">
        <f t="shared" si="55"/>
        <v>Q4</v>
      </c>
      <c r="S633">
        <f t="shared" si="56"/>
        <v>2024</v>
      </c>
      <c r="T633">
        <f t="shared" si="57"/>
        <v>1242756.2599999998</v>
      </c>
      <c r="U633">
        <f t="shared" si="58"/>
        <v>419926.66999999952</v>
      </c>
      <c r="V633">
        <f t="shared" si="59"/>
        <v>1.9594601838459111</v>
      </c>
    </row>
    <row r="634" spans="1:22" x14ac:dyDescent="0.35">
      <c r="A634" t="s">
        <v>1334</v>
      </c>
      <c r="B634" s="1">
        <v>45293</v>
      </c>
      <c r="C634" t="s">
        <v>1335</v>
      </c>
      <c r="D634" t="s">
        <v>49</v>
      </c>
      <c r="E634" t="s">
        <v>30</v>
      </c>
      <c r="F634" t="s">
        <v>39</v>
      </c>
      <c r="G634" t="s">
        <v>60</v>
      </c>
      <c r="H634" t="s">
        <v>110</v>
      </c>
      <c r="I634">
        <v>10</v>
      </c>
      <c r="J634">
        <v>364.38</v>
      </c>
      <c r="K634">
        <v>0.1</v>
      </c>
      <c r="L634">
        <v>3279.42</v>
      </c>
      <c r="M634">
        <v>2372.4499999999998</v>
      </c>
      <c r="N634">
        <v>906.97</v>
      </c>
      <c r="O634" t="s">
        <v>33</v>
      </c>
      <c r="P634">
        <v>5</v>
      </c>
      <c r="Q634" t="str">
        <f t="shared" si="54"/>
        <v>January</v>
      </c>
      <c r="R634" t="str">
        <f t="shared" si="55"/>
        <v>Q1</v>
      </c>
      <c r="S634">
        <f t="shared" si="56"/>
        <v>2024</v>
      </c>
      <c r="T634">
        <f t="shared" si="57"/>
        <v>1239647.8999999999</v>
      </c>
      <c r="U634">
        <f t="shared" si="58"/>
        <v>418941.28999999951</v>
      </c>
      <c r="V634">
        <f t="shared" si="59"/>
        <v>1.9590014868193137</v>
      </c>
    </row>
    <row r="635" spans="1:22" x14ac:dyDescent="0.35">
      <c r="A635" t="s">
        <v>1336</v>
      </c>
      <c r="B635" s="1">
        <v>45521</v>
      </c>
      <c r="C635" t="s">
        <v>1337</v>
      </c>
      <c r="D635" t="s">
        <v>37</v>
      </c>
      <c r="E635" t="s">
        <v>98</v>
      </c>
      <c r="F635" t="s">
        <v>39</v>
      </c>
      <c r="G635" t="s">
        <v>79</v>
      </c>
      <c r="H635" t="s">
        <v>103</v>
      </c>
      <c r="I635">
        <v>11</v>
      </c>
      <c r="J635">
        <v>1140.95</v>
      </c>
      <c r="K635">
        <v>0.05</v>
      </c>
      <c r="L635">
        <v>11922.93</v>
      </c>
      <c r="M635">
        <v>7252.06</v>
      </c>
      <c r="N635">
        <v>4670.87</v>
      </c>
      <c r="O635" t="s">
        <v>51</v>
      </c>
      <c r="P635">
        <v>3</v>
      </c>
      <c r="Q635" t="str">
        <f t="shared" si="54"/>
        <v>August</v>
      </c>
      <c r="R635" t="str">
        <f t="shared" si="55"/>
        <v>Q3</v>
      </c>
      <c r="S635">
        <f t="shared" si="56"/>
        <v>2024</v>
      </c>
      <c r="T635">
        <f t="shared" si="57"/>
        <v>1236368.48</v>
      </c>
      <c r="U635">
        <f t="shared" si="58"/>
        <v>418034.31999999954</v>
      </c>
      <c r="V635">
        <f t="shared" si="59"/>
        <v>1.957576497546903</v>
      </c>
    </row>
    <row r="636" spans="1:22" x14ac:dyDescent="0.35">
      <c r="A636" t="s">
        <v>1338</v>
      </c>
      <c r="B636" s="1">
        <v>45315</v>
      </c>
      <c r="C636" t="s">
        <v>1339</v>
      </c>
      <c r="D636" t="s">
        <v>66</v>
      </c>
      <c r="E636" t="s">
        <v>30</v>
      </c>
      <c r="F636" t="s">
        <v>39</v>
      </c>
      <c r="G636" t="s">
        <v>22</v>
      </c>
      <c r="H636" t="s">
        <v>32</v>
      </c>
      <c r="I636">
        <v>4</v>
      </c>
      <c r="J636">
        <v>886.18</v>
      </c>
      <c r="K636">
        <v>0.1</v>
      </c>
      <c r="L636">
        <v>3190.25</v>
      </c>
      <c r="M636">
        <v>1685.57</v>
      </c>
      <c r="N636">
        <v>1504.68</v>
      </c>
      <c r="O636" t="s">
        <v>24</v>
      </c>
      <c r="P636">
        <v>2</v>
      </c>
      <c r="Q636" t="str">
        <f t="shared" si="54"/>
        <v>January</v>
      </c>
      <c r="R636" t="str">
        <f t="shared" si="55"/>
        <v>Q1</v>
      </c>
      <c r="S636">
        <f t="shared" si="56"/>
        <v>2024</v>
      </c>
      <c r="T636">
        <f t="shared" si="57"/>
        <v>1224445.55</v>
      </c>
      <c r="U636">
        <f t="shared" si="58"/>
        <v>413363.44999999955</v>
      </c>
      <c r="V636">
        <f t="shared" si="59"/>
        <v>1.9621524351028168</v>
      </c>
    </row>
    <row r="637" spans="1:22" x14ac:dyDescent="0.35">
      <c r="A637" t="s">
        <v>1340</v>
      </c>
      <c r="B637" s="1">
        <v>45444</v>
      </c>
      <c r="C637" t="s">
        <v>1341</v>
      </c>
      <c r="D637" t="s">
        <v>49</v>
      </c>
      <c r="E637" t="s">
        <v>20</v>
      </c>
      <c r="F637" t="s">
        <v>31</v>
      </c>
      <c r="G637" t="s">
        <v>79</v>
      </c>
      <c r="H637" t="s">
        <v>89</v>
      </c>
      <c r="I637">
        <v>3</v>
      </c>
      <c r="J637">
        <v>1162.76</v>
      </c>
      <c r="K637">
        <v>0.1</v>
      </c>
      <c r="L637">
        <v>3139.45</v>
      </c>
      <c r="M637">
        <v>2009.08</v>
      </c>
      <c r="N637">
        <v>1130.3699999999999</v>
      </c>
      <c r="O637" t="s">
        <v>24</v>
      </c>
      <c r="P637">
        <v>2</v>
      </c>
      <c r="Q637" t="str">
        <f t="shared" si="54"/>
        <v>June</v>
      </c>
      <c r="R637" t="str">
        <f t="shared" si="55"/>
        <v>Q2</v>
      </c>
      <c r="S637">
        <f t="shared" si="56"/>
        <v>2024</v>
      </c>
      <c r="T637">
        <f t="shared" si="57"/>
        <v>1221255.3</v>
      </c>
      <c r="U637">
        <f t="shared" si="58"/>
        <v>411858.76999999961</v>
      </c>
      <c r="V637">
        <f t="shared" si="59"/>
        <v>1.9652283475716719</v>
      </c>
    </row>
    <row r="638" spans="1:22" x14ac:dyDescent="0.35">
      <c r="A638" t="s">
        <v>1342</v>
      </c>
      <c r="B638" s="1">
        <v>45516</v>
      </c>
      <c r="C638" t="s">
        <v>1343</v>
      </c>
      <c r="D638" t="s">
        <v>66</v>
      </c>
      <c r="E638" t="s">
        <v>20</v>
      </c>
      <c r="F638" t="s">
        <v>31</v>
      </c>
      <c r="G638" t="s">
        <v>79</v>
      </c>
      <c r="H638" t="s">
        <v>89</v>
      </c>
      <c r="I638">
        <v>8</v>
      </c>
      <c r="J638">
        <v>441.73</v>
      </c>
      <c r="K638">
        <v>0.15</v>
      </c>
      <c r="L638">
        <v>3003.76</v>
      </c>
      <c r="M638">
        <v>1531.68</v>
      </c>
      <c r="N638">
        <v>1472.08</v>
      </c>
      <c r="O638" t="s">
        <v>24</v>
      </c>
      <c r="P638">
        <v>3</v>
      </c>
      <c r="Q638" t="str">
        <f t="shared" si="54"/>
        <v>August</v>
      </c>
      <c r="R638" t="str">
        <f t="shared" si="55"/>
        <v>Q3</v>
      </c>
      <c r="S638">
        <f t="shared" si="56"/>
        <v>2024</v>
      </c>
      <c r="T638">
        <f t="shared" si="57"/>
        <v>1218115.8500000003</v>
      </c>
      <c r="U638">
        <f t="shared" si="58"/>
        <v>410728.39999999962</v>
      </c>
      <c r="V638">
        <f t="shared" si="59"/>
        <v>1.9657453684722104</v>
      </c>
    </row>
    <row r="639" spans="1:22" x14ac:dyDescent="0.35">
      <c r="A639" t="s">
        <v>1344</v>
      </c>
      <c r="B639" s="1">
        <v>45354</v>
      </c>
      <c r="C639" t="s">
        <v>1345</v>
      </c>
      <c r="D639" t="s">
        <v>37</v>
      </c>
      <c r="E639" t="s">
        <v>20</v>
      </c>
      <c r="F639" t="s">
        <v>39</v>
      </c>
      <c r="G639" t="s">
        <v>79</v>
      </c>
      <c r="H639" t="s">
        <v>80</v>
      </c>
      <c r="I639">
        <v>5</v>
      </c>
      <c r="J639">
        <v>839.76</v>
      </c>
      <c r="K639">
        <v>0.1</v>
      </c>
      <c r="L639">
        <v>3778.92</v>
      </c>
      <c r="M639">
        <v>2021.68</v>
      </c>
      <c r="N639">
        <v>1757.24</v>
      </c>
      <c r="O639" t="s">
        <v>62</v>
      </c>
      <c r="P639">
        <v>4</v>
      </c>
      <c r="Q639" t="str">
        <f t="shared" si="54"/>
        <v>March</v>
      </c>
      <c r="R639" t="str">
        <f t="shared" si="55"/>
        <v>Q1</v>
      </c>
      <c r="S639">
        <f t="shared" si="56"/>
        <v>2024</v>
      </c>
      <c r="T639">
        <f t="shared" si="57"/>
        <v>1215112.0900000003</v>
      </c>
      <c r="U639">
        <f t="shared" si="58"/>
        <v>409256.3199999996</v>
      </c>
      <c r="V639">
        <f t="shared" si="59"/>
        <v>1.969073489201099</v>
      </c>
    </row>
    <row r="640" spans="1:22" x14ac:dyDescent="0.35">
      <c r="A640" t="s">
        <v>1346</v>
      </c>
      <c r="B640" s="1">
        <v>45654</v>
      </c>
      <c r="C640" t="s">
        <v>1347</v>
      </c>
      <c r="D640" t="s">
        <v>37</v>
      </c>
      <c r="E640" t="s">
        <v>20</v>
      </c>
      <c r="F640" t="s">
        <v>21</v>
      </c>
      <c r="G640" t="s">
        <v>22</v>
      </c>
      <c r="H640" t="s">
        <v>74</v>
      </c>
      <c r="I640">
        <v>7</v>
      </c>
      <c r="J640">
        <v>205.79</v>
      </c>
      <c r="K640">
        <v>0.15</v>
      </c>
      <c r="L640">
        <v>1224.45</v>
      </c>
      <c r="M640">
        <v>739.48</v>
      </c>
      <c r="N640">
        <v>484.97</v>
      </c>
      <c r="O640" t="s">
        <v>24</v>
      </c>
      <c r="P640">
        <v>4</v>
      </c>
      <c r="Q640" t="str">
        <f t="shared" si="54"/>
        <v>December</v>
      </c>
      <c r="R640" t="str">
        <f t="shared" si="55"/>
        <v>Q4</v>
      </c>
      <c r="S640">
        <f t="shared" si="56"/>
        <v>2024</v>
      </c>
      <c r="T640">
        <f t="shared" si="57"/>
        <v>1211333.1700000002</v>
      </c>
      <c r="U640">
        <f t="shared" si="58"/>
        <v>407499.07999999961</v>
      </c>
      <c r="V640">
        <f t="shared" si="59"/>
        <v>1.9726034473501175</v>
      </c>
    </row>
    <row r="641" spans="1:22" x14ac:dyDescent="0.35">
      <c r="A641" t="s">
        <v>1348</v>
      </c>
      <c r="B641" s="1">
        <v>45646</v>
      </c>
      <c r="C641" t="s">
        <v>1349</v>
      </c>
      <c r="D641" t="s">
        <v>37</v>
      </c>
      <c r="E641" t="s">
        <v>20</v>
      </c>
      <c r="F641" t="s">
        <v>21</v>
      </c>
      <c r="G641" t="s">
        <v>60</v>
      </c>
      <c r="H641" t="s">
        <v>110</v>
      </c>
      <c r="I641">
        <v>4</v>
      </c>
      <c r="J641">
        <v>434.46</v>
      </c>
      <c r="K641">
        <v>0.15</v>
      </c>
      <c r="L641">
        <v>1477.16</v>
      </c>
      <c r="M641">
        <v>1210.96</v>
      </c>
      <c r="N641">
        <v>266.2</v>
      </c>
      <c r="O641" t="s">
        <v>51</v>
      </c>
      <c r="P641">
        <v>4</v>
      </c>
      <c r="Q641" t="str">
        <f t="shared" si="54"/>
        <v>December</v>
      </c>
      <c r="R641" t="str">
        <f t="shared" si="55"/>
        <v>Q4</v>
      </c>
      <c r="S641">
        <f t="shared" si="56"/>
        <v>2024</v>
      </c>
      <c r="T641">
        <f t="shared" si="57"/>
        <v>1210108.7200000004</v>
      </c>
      <c r="U641">
        <f t="shared" si="58"/>
        <v>407014.10999999964</v>
      </c>
      <c r="V641">
        <f t="shared" si="59"/>
        <v>1.9731370246599105</v>
      </c>
    </row>
    <row r="642" spans="1:22" x14ac:dyDescent="0.35">
      <c r="A642" t="s">
        <v>1350</v>
      </c>
      <c r="B642" s="1">
        <v>45648</v>
      </c>
      <c r="C642" t="s">
        <v>1351</v>
      </c>
      <c r="D642" t="s">
        <v>29</v>
      </c>
      <c r="E642" t="s">
        <v>85</v>
      </c>
      <c r="F642" t="s">
        <v>21</v>
      </c>
      <c r="G642" t="s">
        <v>22</v>
      </c>
      <c r="H642" t="s">
        <v>124</v>
      </c>
      <c r="I642">
        <v>9</v>
      </c>
      <c r="J642">
        <v>666.33</v>
      </c>
      <c r="K642">
        <v>0</v>
      </c>
      <c r="L642">
        <v>5996.97</v>
      </c>
      <c r="M642">
        <v>3602.04</v>
      </c>
      <c r="N642">
        <v>2394.9299999999998</v>
      </c>
      <c r="O642" t="s">
        <v>62</v>
      </c>
      <c r="P642">
        <v>2</v>
      </c>
      <c r="Q642" t="str">
        <f t="shared" ref="Q642:Q705" si="60">TEXT(B642,"MMMM")</f>
        <v>December</v>
      </c>
      <c r="R642" t="str">
        <f t="shared" ref="R642:R705" si="61">"Q"&amp;ROUNDUP(MONTH(B642)/3,0)</f>
        <v>Q4</v>
      </c>
      <c r="S642">
        <f t="shared" ref="S642:S705" si="62">YEAR(B642)</f>
        <v>2024</v>
      </c>
      <c r="T642">
        <f t="shared" ref="T642:T705" si="63">SUM(L642:L1641)</f>
        <v>1208631.5600000003</v>
      </c>
      <c r="U642">
        <f t="shared" ref="U642:U705" si="64">SUM(N642:N1641)</f>
        <v>406747.90999999963</v>
      </c>
      <c r="V642">
        <f t="shared" ref="V642:V705" si="65">(T642-U642)/U642</f>
        <v>1.9714511870509706</v>
      </c>
    </row>
    <row r="643" spans="1:22" x14ac:dyDescent="0.35">
      <c r="A643" t="s">
        <v>1352</v>
      </c>
      <c r="B643" s="1">
        <v>45478</v>
      </c>
      <c r="C643" t="s">
        <v>1353</v>
      </c>
      <c r="D643" t="s">
        <v>29</v>
      </c>
      <c r="E643" t="s">
        <v>30</v>
      </c>
      <c r="F643" t="s">
        <v>21</v>
      </c>
      <c r="G643" t="s">
        <v>60</v>
      </c>
      <c r="H643" t="s">
        <v>110</v>
      </c>
      <c r="I643">
        <v>9</v>
      </c>
      <c r="J643">
        <v>717.04</v>
      </c>
      <c r="K643">
        <v>0</v>
      </c>
      <c r="L643">
        <v>6453.36</v>
      </c>
      <c r="M643">
        <v>4298.8</v>
      </c>
      <c r="N643">
        <v>2154.56</v>
      </c>
      <c r="O643" t="s">
        <v>24</v>
      </c>
      <c r="P643">
        <v>4</v>
      </c>
      <c r="Q643" t="str">
        <f t="shared" si="60"/>
        <v>July</v>
      </c>
      <c r="R643" t="str">
        <f t="shared" si="61"/>
        <v>Q3</v>
      </c>
      <c r="S643">
        <f t="shared" si="62"/>
        <v>2024</v>
      </c>
      <c r="T643">
        <f t="shared" si="63"/>
        <v>1202634.5900000003</v>
      </c>
      <c r="U643">
        <f t="shared" si="64"/>
        <v>404352.97999999963</v>
      </c>
      <c r="V643">
        <f t="shared" si="65"/>
        <v>1.974219678064451</v>
      </c>
    </row>
    <row r="644" spans="1:22" x14ac:dyDescent="0.35">
      <c r="A644" t="s">
        <v>1354</v>
      </c>
      <c r="B644" s="1">
        <v>45522</v>
      </c>
      <c r="C644" t="s">
        <v>1355</v>
      </c>
      <c r="D644" t="s">
        <v>49</v>
      </c>
      <c r="E644" t="s">
        <v>20</v>
      </c>
      <c r="F644" t="s">
        <v>21</v>
      </c>
      <c r="G644" t="s">
        <v>60</v>
      </c>
      <c r="H644" t="s">
        <v>61</v>
      </c>
      <c r="I644">
        <v>8</v>
      </c>
      <c r="J644">
        <v>608.74</v>
      </c>
      <c r="K644">
        <v>0.15</v>
      </c>
      <c r="L644">
        <v>4139.43</v>
      </c>
      <c r="M644">
        <v>2752.92</v>
      </c>
      <c r="N644">
        <v>1386.51</v>
      </c>
      <c r="O644" t="s">
        <v>33</v>
      </c>
      <c r="P644">
        <v>4</v>
      </c>
      <c r="Q644" t="str">
        <f t="shared" si="60"/>
        <v>August</v>
      </c>
      <c r="R644" t="str">
        <f t="shared" si="61"/>
        <v>Q3</v>
      </c>
      <c r="S644">
        <f t="shared" si="62"/>
        <v>2024</v>
      </c>
      <c r="T644">
        <f t="shared" si="63"/>
        <v>1196181.2300000004</v>
      </c>
      <c r="U644">
        <f t="shared" si="64"/>
        <v>402198.41999999963</v>
      </c>
      <c r="V644">
        <f t="shared" si="65"/>
        <v>1.9741072329423908</v>
      </c>
    </row>
    <row r="645" spans="1:22" x14ac:dyDescent="0.35">
      <c r="A645" t="s">
        <v>1356</v>
      </c>
      <c r="B645" s="1">
        <v>45583</v>
      </c>
      <c r="C645" t="s">
        <v>1357</v>
      </c>
      <c r="D645" t="s">
        <v>66</v>
      </c>
      <c r="E645" t="s">
        <v>20</v>
      </c>
      <c r="F645" t="s">
        <v>21</v>
      </c>
      <c r="G645" t="s">
        <v>22</v>
      </c>
      <c r="H645" t="s">
        <v>32</v>
      </c>
      <c r="I645">
        <v>10</v>
      </c>
      <c r="J645">
        <v>618.38</v>
      </c>
      <c r="K645">
        <v>0.05</v>
      </c>
      <c r="L645">
        <v>5874.61</v>
      </c>
      <c r="M645">
        <v>4862.24</v>
      </c>
      <c r="N645">
        <v>1012.37</v>
      </c>
      <c r="O645" t="s">
        <v>33</v>
      </c>
      <c r="P645">
        <v>5</v>
      </c>
      <c r="Q645" t="str">
        <f t="shared" si="60"/>
        <v>October</v>
      </c>
      <c r="R645" t="str">
        <f t="shared" si="61"/>
        <v>Q4</v>
      </c>
      <c r="S645">
        <f t="shared" si="62"/>
        <v>2024</v>
      </c>
      <c r="T645">
        <f t="shared" si="63"/>
        <v>1192041.8000000005</v>
      </c>
      <c r="U645">
        <f t="shared" si="64"/>
        <v>400811.90999999963</v>
      </c>
      <c r="V645">
        <f t="shared" si="65"/>
        <v>1.9740678115079004</v>
      </c>
    </row>
    <row r="646" spans="1:22" x14ac:dyDescent="0.35">
      <c r="A646" t="s">
        <v>1358</v>
      </c>
      <c r="B646" s="1">
        <v>45498</v>
      </c>
      <c r="C646" t="s">
        <v>1359</v>
      </c>
      <c r="D646" t="s">
        <v>66</v>
      </c>
      <c r="E646" t="s">
        <v>98</v>
      </c>
      <c r="F646" t="s">
        <v>39</v>
      </c>
      <c r="G646" t="s">
        <v>22</v>
      </c>
      <c r="H646" t="s">
        <v>74</v>
      </c>
      <c r="I646">
        <v>2</v>
      </c>
      <c r="J646">
        <v>120.66</v>
      </c>
      <c r="K646">
        <v>0</v>
      </c>
      <c r="L646">
        <v>241.32</v>
      </c>
      <c r="M646">
        <v>183.17</v>
      </c>
      <c r="N646">
        <v>58.15</v>
      </c>
      <c r="O646" t="s">
        <v>33</v>
      </c>
      <c r="P646">
        <v>5</v>
      </c>
      <c r="Q646" t="str">
        <f t="shared" si="60"/>
        <v>July</v>
      </c>
      <c r="R646" t="str">
        <f t="shared" si="61"/>
        <v>Q3</v>
      </c>
      <c r="S646">
        <f t="shared" si="62"/>
        <v>2024</v>
      </c>
      <c r="T646">
        <f t="shared" si="63"/>
        <v>1186167.1900000004</v>
      </c>
      <c r="U646">
        <f t="shared" si="64"/>
        <v>399799.53999999963</v>
      </c>
      <c r="V646">
        <f t="shared" si="65"/>
        <v>1.9669048393602493</v>
      </c>
    </row>
    <row r="647" spans="1:22" x14ac:dyDescent="0.35">
      <c r="A647" t="s">
        <v>1360</v>
      </c>
      <c r="B647" s="1">
        <v>45527</v>
      </c>
      <c r="C647" t="s">
        <v>1361</v>
      </c>
      <c r="D647" t="s">
        <v>37</v>
      </c>
      <c r="E647" t="s">
        <v>30</v>
      </c>
      <c r="F647" t="s">
        <v>31</v>
      </c>
      <c r="G647" t="s">
        <v>60</v>
      </c>
      <c r="H647" t="s">
        <v>61</v>
      </c>
      <c r="I647">
        <v>10</v>
      </c>
      <c r="J647">
        <v>927.14</v>
      </c>
      <c r="K647">
        <v>0.05</v>
      </c>
      <c r="L647">
        <v>8807.83</v>
      </c>
      <c r="M647">
        <v>4653.2299999999996</v>
      </c>
      <c r="N647">
        <v>4154.6000000000004</v>
      </c>
      <c r="O647" t="s">
        <v>51</v>
      </c>
      <c r="P647">
        <v>1</v>
      </c>
      <c r="Q647" t="str">
        <f t="shared" si="60"/>
        <v>August</v>
      </c>
      <c r="R647" t="str">
        <f t="shared" si="61"/>
        <v>Q3</v>
      </c>
      <c r="S647">
        <f t="shared" si="62"/>
        <v>2024</v>
      </c>
      <c r="T647">
        <f t="shared" si="63"/>
        <v>1185925.8700000006</v>
      </c>
      <c r="U647">
        <f t="shared" si="64"/>
        <v>399741.38999999961</v>
      </c>
      <c r="V647">
        <f t="shared" si="65"/>
        <v>1.9667327418859519</v>
      </c>
    </row>
    <row r="648" spans="1:22" x14ac:dyDescent="0.35">
      <c r="A648" t="s">
        <v>1362</v>
      </c>
      <c r="B648" s="1">
        <v>45521</v>
      </c>
      <c r="C648" t="s">
        <v>217</v>
      </c>
      <c r="D648" t="s">
        <v>19</v>
      </c>
      <c r="E648" t="s">
        <v>20</v>
      </c>
      <c r="F648" t="s">
        <v>31</v>
      </c>
      <c r="G648" t="s">
        <v>22</v>
      </c>
      <c r="H648" t="s">
        <v>32</v>
      </c>
      <c r="I648">
        <v>4</v>
      </c>
      <c r="J648">
        <v>644.97</v>
      </c>
      <c r="K648">
        <v>0.05</v>
      </c>
      <c r="L648">
        <v>2450.89</v>
      </c>
      <c r="M648">
        <v>2010.48</v>
      </c>
      <c r="N648">
        <v>440.41</v>
      </c>
      <c r="O648" t="s">
        <v>33</v>
      </c>
      <c r="P648">
        <v>1</v>
      </c>
      <c r="Q648" t="str">
        <f t="shared" si="60"/>
        <v>August</v>
      </c>
      <c r="R648" t="str">
        <f t="shared" si="61"/>
        <v>Q3</v>
      </c>
      <c r="S648">
        <f t="shared" si="62"/>
        <v>2024</v>
      </c>
      <c r="T648">
        <f t="shared" si="63"/>
        <v>1177118.0399999998</v>
      </c>
      <c r="U648">
        <f t="shared" si="64"/>
        <v>395586.78999999951</v>
      </c>
      <c r="V648">
        <f t="shared" si="65"/>
        <v>1.9756252477490495</v>
      </c>
    </row>
    <row r="649" spans="1:22" x14ac:dyDescent="0.35">
      <c r="A649" t="s">
        <v>1363</v>
      </c>
      <c r="B649" s="1">
        <v>45456</v>
      </c>
      <c r="C649" t="s">
        <v>1364</v>
      </c>
      <c r="D649" t="s">
        <v>29</v>
      </c>
      <c r="E649" t="s">
        <v>38</v>
      </c>
      <c r="F649" t="s">
        <v>39</v>
      </c>
      <c r="G649" t="s">
        <v>43</v>
      </c>
      <c r="H649" t="s">
        <v>173</v>
      </c>
      <c r="I649">
        <v>7</v>
      </c>
      <c r="J649">
        <v>1045.93</v>
      </c>
      <c r="K649">
        <v>0.15</v>
      </c>
      <c r="L649">
        <v>6223.28</v>
      </c>
      <c r="M649">
        <v>3820.85</v>
      </c>
      <c r="N649">
        <v>2402.4299999999998</v>
      </c>
      <c r="O649" t="s">
        <v>24</v>
      </c>
      <c r="P649">
        <v>5</v>
      </c>
      <c r="Q649" t="str">
        <f t="shared" si="60"/>
        <v>June</v>
      </c>
      <c r="R649" t="str">
        <f t="shared" si="61"/>
        <v>Q2</v>
      </c>
      <c r="S649">
        <f t="shared" si="62"/>
        <v>2024</v>
      </c>
      <c r="T649">
        <f t="shared" si="63"/>
        <v>1174667.1499999997</v>
      </c>
      <c r="U649">
        <f t="shared" si="64"/>
        <v>395146.37999999954</v>
      </c>
      <c r="V649">
        <f t="shared" si="65"/>
        <v>1.972739241594472</v>
      </c>
    </row>
    <row r="650" spans="1:22" x14ac:dyDescent="0.35">
      <c r="A650" t="s">
        <v>1365</v>
      </c>
      <c r="B650" s="1">
        <v>45511</v>
      </c>
      <c r="C650" t="s">
        <v>1366</v>
      </c>
      <c r="D650" t="s">
        <v>37</v>
      </c>
      <c r="E650" t="s">
        <v>20</v>
      </c>
      <c r="F650" t="s">
        <v>21</v>
      </c>
      <c r="G650" t="s">
        <v>22</v>
      </c>
      <c r="H650" t="s">
        <v>23</v>
      </c>
      <c r="I650">
        <v>12</v>
      </c>
      <c r="J650">
        <v>358.16</v>
      </c>
      <c r="K650">
        <v>0.05</v>
      </c>
      <c r="L650">
        <v>4083.02</v>
      </c>
      <c r="M650">
        <v>2074.27</v>
      </c>
      <c r="N650">
        <v>2008.75</v>
      </c>
      <c r="O650" t="s">
        <v>24</v>
      </c>
      <c r="P650">
        <v>2</v>
      </c>
      <c r="Q650" t="str">
        <f t="shared" si="60"/>
        <v>August</v>
      </c>
      <c r="R650" t="str">
        <f t="shared" si="61"/>
        <v>Q3</v>
      </c>
      <c r="S650">
        <f t="shared" si="62"/>
        <v>2024</v>
      </c>
      <c r="T650">
        <f t="shared" si="63"/>
        <v>1168443.8699999999</v>
      </c>
      <c r="U650">
        <f t="shared" si="64"/>
        <v>392743.94999999949</v>
      </c>
      <c r="V650">
        <f t="shared" si="65"/>
        <v>1.9750779610990861</v>
      </c>
    </row>
    <row r="651" spans="1:22" x14ac:dyDescent="0.35">
      <c r="A651" t="s">
        <v>1367</v>
      </c>
      <c r="B651" s="1">
        <v>45619</v>
      </c>
      <c r="C651" t="s">
        <v>1368</v>
      </c>
      <c r="D651" t="s">
        <v>37</v>
      </c>
      <c r="E651" t="s">
        <v>85</v>
      </c>
      <c r="F651" t="s">
        <v>31</v>
      </c>
      <c r="G651" t="s">
        <v>22</v>
      </c>
      <c r="H651" t="s">
        <v>74</v>
      </c>
      <c r="I651">
        <v>7</v>
      </c>
      <c r="J651">
        <v>555.83000000000004</v>
      </c>
      <c r="K651">
        <v>0.15</v>
      </c>
      <c r="L651">
        <v>3307.19</v>
      </c>
      <c r="M651">
        <v>2031.71</v>
      </c>
      <c r="N651">
        <v>1275.48</v>
      </c>
      <c r="O651" t="s">
        <v>51</v>
      </c>
      <c r="P651">
        <v>3</v>
      </c>
      <c r="Q651" t="str">
        <f t="shared" si="60"/>
        <v>November</v>
      </c>
      <c r="R651" t="str">
        <f t="shared" si="61"/>
        <v>Q4</v>
      </c>
      <c r="S651">
        <f t="shared" si="62"/>
        <v>2024</v>
      </c>
      <c r="T651">
        <f t="shared" si="63"/>
        <v>1164360.8499999999</v>
      </c>
      <c r="U651">
        <f t="shared" si="64"/>
        <v>390735.19999999955</v>
      </c>
      <c r="V651">
        <f t="shared" si="65"/>
        <v>1.9799231039333065</v>
      </c>
    </row>
    <row r="652" spans="1:22" x14ac:dyDescent="0.35">
      <c r="A652" t="s">
        <v>1369</v>
      </c>
      <c r="B652" s="1">
        <v>45606</v>
      </c>
      <c r="C652" t="s">
        <v>1370</v>
      </c>
      <c r="D652" t="s">
        <v>19</v>
      </c>
      <c r="E652" t="s">
        <v>20</v>
      </c>
      <c r="F652" t="s">
        <v>21</v>
      </c>
      <c r="G652" t="s">
        <v>60</v>
      </c>
      <c r="H652" t="s">
        <v>110</v>
      </c>
      <c r="I652">
        <v>9</v>
      </c>
      <c r="J652">
        <v>157.82</v>
      </c>
      <c r="K652">
        <v>0.15</v>
      </c>
      <c r="L652">
        <v>1207.32</v>
      </c>
      <c r="M652">
        <v>673.11</v>
      </c>
      <c r="N652">
        <v>534.21</v>
      </c>
      <c r="O652" t="s">
        <v>33</v>
      </c>
      <c r="P652">
        <v>3</v>
      </c>
      <c r="Q652" t="str">
        <f t="shared" si="60"/>
        <v>November</v>
      </c>
      <c r="R652" t="str">
        <f t="shared" si="61"/>
        <v>Q4</v>
      </c>
      <c r="S652">
        <f t="shared" si="62"/>
        <v>2024</v>
      </c>
      <c r="T652">
        <f t="shared" si="63"/>
        <v>1161053.6599999999</v>
      </c>
      <c r="U652">
        <f t="shared" si="64"/>
        <v>389459.71999999951</v>
      </c>
      <c r="V652">
        <f t="shared" si="65"/>
        <v>1.9811906093908798</v>
      </c>
    </row>
    <row r="653" spans="1:22" x14ac:dyDescent="0.35">
      <c r="A653" t="s">
        <v>1371</v>
      </c>
      <c r="B653" s="1">
        <v>45337</v>
      </c>
      <c r="C653" t="s">
        <v>1372</v>
      </c>
      <c r="D653" t="s">
        <v>49</v>
      </c>
      <c r="E653" t="s">
        <v>30</v>
      </c>
      <c r="F653" t="s">
        <v>21</v>
      </c>
      <c r="G653" t="s">
        <v>43</v>
      </c>
      <c r="H653" t="s">
        <v>173</v>
      </c>
      <c r="I653">
        <v>7</v>
      </c>
      <c r="J653">
        <v>129.12</v>
      </c>
      <c r="K653">
        <v>0.05</v>
      </c>
      <c r="L653">
        <v>858.65</v>
      </c>
      <c r="M653">
        <v>711.39</v>
      </c>
      <c r="N653">
        <v>147.26</v>
      </c>
      <c r="O653" t="s">
        <v>33</v>
      </c>
      <c r="P653">
        <v>1</v>
      </c>
      <c r="Q653" t="str">
        <f t="shared" si="60"/>
        <v>February</v>
      </c>
      <c r="R653" t="str">
        <f t="shared" si="61"/>
        <v>Q1</v>
      </c>
      <c r="S653">
        <f t="shared" si="62"/>
        <v>2024</v>
      </c>
      <c r="T653">
        <f t="shared" si="63"/>
        <v>1159846.3399999999</v>
      </c>
      <c r="U653">
        <f t="shared" si="64"/>
        <v>388925.50999999949</v>
      </c>
      <c r="V653">
        <f t="shared" si="65"/>
        <v>1.9821811894005135</v>
      </c>
    </row>
    <row r="654" spans="1:22" x14ac:dyDescent="0.35">
      <c r="A654" t="s">
        <v>1373</v>
      </c>
      <c r="B654" s="1">
        <v>45308</v>
      </c>
      <c r="C654" t="s">
        <v>1374</v>
      </c>
      <c r="D654" t="s">
        <v>66</v>
      </c>
      <c r="E654" t="s">
        <v>30</v>
      </c>
      <c r="F654" t="s">
        <v>21</v>
      </c>
      <c r="G654" t="s">
        <v>79</v>
      </c>
      <c r="H654" t="s">
        <v>89</v>
      </c>
      <c r="I654">
        <v>9</v>
      </c>
      <c r="J654">
        <v>48.7</v>
      </c>
      <c r="K654">
        <v>0.15</v>
      </c>
      <c r="L654">
        <v>372.56</v>
      </c>
      <c r="M654">
        <v>282.51</v>
      </c>
      <c r="N654">
        <v>90.05</v>
      </c>
      <c r="O654" t="s">
        <v>62</v>
      </c>
      <c r="P654">
        <v>5</v>
      </c>
      <c r="Q654" t="str">
        <f t="shared" si="60"/>
        <v>January</v>
      </c>
      <c r="R654" t="str">
        <f t="shared" si="61"/>
        <v>Q1</v>
      </c>
      <c r="S654">
        <f t="shared" si="62"/>
        <v>2024</v>
      </c>
      <c r="T654">
        <f t="shared" si="63"/>
        <v>1158987.69</v>
      </c>
      <c r="U654">
        <f t="shared" si="64"/>
        <v>388778.24999999953</v>
      </c>
      <c r="V654">
        <f t="shared" si="65"/>
        <v>1.9811021835712295</v>
      </c>
    </row>
    <row r="655" spans="1:22" x14ac:dyDescent="0.35">
      <c r="A655" t="s">
        <v>1375</v>
      </c>
      <c r="B655" s="1">
        <v>45449</v>
      </c>
      <c r="C655" t="s">
        <v>1376</v>
      </c>
      <c r="D655" t="s">
        <v>29</v>
      </c>
      <c r="E655" t="s">
        <v>98</v>
      </c>
      <c r="F655" t="s">
        <v>39</v>
      </c>
      <c r="G655" t="s">
        <v>22</v>
      </c>
      <c r="H655" t="s">
        <v>124</v>
      </c>
      <c r="I655">
        <v>12</v>
      </c>
      <c r="J655">
        <v>818.7</v>
      </c>
      <c r="K655">
        <v>0.15</v>
      </c>
      <c r="L655">
        <v>8350.74</v>
      </c>
      <c r="M655">
        <v>4907.5</v>
      </c>
      <c r="N655">
        <v>3443.24</v>
      </c>
      <c r="O655" t="s">
        <v>33</v>
      </c>
      <c r="P655">
        <v>4</v>
      </c>
      <c r="Q655" t="str">
        <f t="shared" si="60"/>
        <v>June</v>
      </c>
      <c r="R655" t="str">
        <f t="shared" si="61"/>
        <v>Q2</v>
      </c>
      <c r="S655">
        <f t="shared" si="62"/>
        <v>2024</v>
      </c>
      <c r="T655">
        <f t="shared" si="63"/>
        <v>1158615.1299999999</v>
      </c>
      <c r="U655">
        <f t="shared" si="64"/>
        <v>388688.19999999949</v>
      </c>
      <c r="V655">
        <f t="shared" si="65"/>
        <v>1.9808343294188027</v>
      </c>
    </row>
    <row r="656" spans="1:22" x14ac:dyDescent="0.35">
      <c r="A656" t="s">
        <v>1377</v>
      </c>
      <c r="B656" s="1">
        <v>45572</v>
      </c>
      <c r="C656" t="s">
        <v>1378</v>
      </c>
      <c r="D656" t="s">
        <v>49</v>
      </c>
      <c r="E656" t="s">
        <v>85</v>
      </c>
      <c r="F656" t="s">
        <v>31</v>
      </c>
      <c r="G656" t="s">
        <v>43</v>
      </c>
      <c r="H656" t="s">
        <v>173</v>
      </c>
      <c r="I656">
        <v>1</v>
      </c>
      <c r="J656">
        <v>356.01</v>
      </c>
      <c r="K656">
        <v>0.1</v>
      </c>
      <c r="L656">
        <v>320.41000000000003</v>
      </c>
      <c r="M656">
        <v>161.96</v>
      </c>
      <c r="N656">
        <v>158.44999999999999</v>
      </c>
      <c r="O656" t="s">
        <v>33</v>
      </c>
      <c r="P656">
        <v>5</v>
      </c>
      <c r="Q656" t="str">
        <f t="shared" si="60"/>
        <v>October</v>
      </c>
      <c r="R656" t="str">
        <f t="shared" si="61"/>
        <v>Q4</v>
      </c>
      <c r="S656">
        <f t="shared" si="62"/>
        <v>2024</v>
      </c>
      <c r="T656">
        <f t="shared" si="63"/>
        <v>1150264.3899999999</v>
      </c>
      <c r="U656">
        <f t="shared" si="64"/>
        <v>385244.9599999995</v>
      </c>
      <c r="V656">
        <f t="shared" si="65"/>
        <v>1.9857999699723559</v>
      </c>
    </row>
    <row r="657" spans="1:22" x14ac:dyDescent="0.35">
      <c r="A657" t="s">
        <v>1379</v>
      </c>
      <c r="B657" s="1">
        <v>45528</v>
      </c>
      <c r="C657" t="s">
        <v>1380</v>
      </c>
      <c r="D657" t="s">
        <v>37</v>
      </c>
      <c r="E657" t="s">
        <v>20</v>
      </c>
      <c r="F657" t="s">
        <v>31</v>
      </c>
      <c r="G657" t="s">
        <v>22</v>
      </c>
      <c r="H657" t="s">
        <v>124</v>
      </c>
      <c r="I657">
        <v>7</v>
      </c>
      <c r="J657">
        <v>467.48</v>
      </c>
      <c r="K657">
        <v>0</v>
      </c>
      <c r="L657">
        <v>3272.36</v>
      </c>
      <c r="M657">
        <v>2170.52</v>
      </c>
      <c r="N657">
        <v>1101.8399999999999</v>
      </c>
      <c r="O657" t="s">
        <v>51</v>
      </c>
      <c r="P657">
        <v>4</v>
      </c>
      <c r="Q657" t="str">
        <f t="shared" si="60"/>
        <v>August</v>
      </c>
      <c r="R657" t="str">
        <f t="shared" si="61"/>
        <v>Q3</v>
      </c>
      <c r="S657">
        <f t="shared" si="62"/>
        <v>2024</v>
      </c>
      <c r="T657">
        <f t="shared" si="63"/>
        <v>1149943.98</v>
      </c>
      <c r="U657">
        <f t="shared" si="64"/>
        <v>385086.50999999954</v>
      </c>
      <c r="V657">
        <f t="shared" si="65"/>
        <v>1.9861964782926345</v>
      </c>
    </row>
    <row r="658" spans="1:22" x14ac:dyDescent="0.35">
      <c r="A658" t="s">
        <v>1381</v>
      </c>
      <c r="B658" s="1">
        <v>45448</v>
      </c>
      <c r="C658" t="s">
        <v>1382</v>
      </c>
      <c r="D658" t="s">
        <v>29</v>
      </c>
      <c r="E658" t="s">
        <v>30</v>
      </c>
      <c r="F658" t="s">
        <v>31</v>
      </c>
      <c r="G658" t="s">
        <v>79</v>
      </c>
      <c r="H658" t="s">
        <v>80</v>
      </c>
      <c r="I658">
        <v>6</v>
      </c>
      <c r="J658">
        <v>153.69999999999999</v>
      </c>
      <c r="K658">
        <v>0.1</v>
      </c>
      <c r="L658">
        <v>829.98</v>
      </c>
      <c r="M658">
        <v>527.95000000000005</v>
      </c>
      <c r="N658">
        <v>302.02999999999997</v>
      </c>
      <c r="O658" t="s">
        <v>33</v>
      </c>
      <c r="P658">
        <v>4</v>
      </c>
      <c r="Q658" t="str">
        <f t="shared" si="60"/>
        <v>June</v>
      </c>
      <c r="R658" t="str">
        <f t="shared" si="61"/>
        <v>Q2</v>
      </c>
      <c r="S658">
        <f t="shared" si="62"/>
        <v>2024</v>
      </c>
      <c r="T658">
        <f t="shared" si="63"/>
        <v>1146671.6199999999</v>
      </c>
      <c r="U658">
        <f t="shared" si="64"/>
        <v>383984.66999999952</v>
      </c>
      <c r="V658">
        <f t="shared" si="65"/>
        <v>1.9862432268454919</v>
      </c>
    </row>
    <row r="659" spans="1:22" x14ac:dyDescent="0.35">
      <c r="A659" t="s">
        <v>1383</v>
      </c>
      <c r="B659" s="1">
        <v>45563</v>
      </c>
      <c r="C659" t="s">
        <v>1384</v>
      </c>
      <c r="D659" t="s">
        <v>66</v>
      </c>
      <c r="E659" t="s">
        <v>98</v>
      </c>
      <c r="F659" t="s">
        <v>31</v>
      </c>
      <c r="G659" t="s">
        <v>43</v>
      </c>
      <c r="H659" t="s">
        <v>50</v>
      </c>
      <c r="I659">
        <v>8</v>
      </c>
      <c r="J659">
        <v>1091.3</v>
      </c>
      <c r="K659">
        <v>0.05</v>
      </c>
      <c r="L659">
        <v>8293.8799999999992</v>
      </c>
      <c r="M659">
        <v>6238.63</v>
      </c>
      <c r="N659">
        <v>2055.25</v>
      </c>
      <c r="O659" t="s">
        <v>62</v>
      </c>
      <c r="P659">
        <v>1</v>
      </c>
      <c r="Q659" t="str">
        <f t="shared" si="60"/>
        <v>September</v>
      </c>
      <c r="R659" t="str">
        <f t="shared" si="61"/>
        <v>Q3</v>
      </c>
      <c r="S659">
        <f t="shared" si="62"/>
        <v>2024</v>
      </c>
      <c r="T659">
        <f t="shared" si="63"/>
        <v>1145841.6399999999</v>
      </c>
      <c r="U659">
        <f t="shared" si="64"/>
        <v>383682.63999999955</v>
      </c>
      <c r="V659">
        <f t="shared" si="65"/>
        <v>1.9864307647591282</v>
      </c>
    </row>
    <row r="660" spans="1:22" x14ac:dyDescent="0.35">
      <c r="A660" t="s">
        <v>1385</v>
      </c>
      <c r="B660" s="1">
        <v>45647</v>
      </c>
      <c r="C660" t="s">
        <v>1386</v>
      </c>
      <c r="D660" t="s">
        <v>19</v>
      </c>
      <c r="E660" t="s">
        <v>30</v>
      </c>
      <c r="F660" t="s">
        <v>31</v>
      </c>
      <c r="G660" t="s">
        <v>22</v>
      </c>
      <c r="H660" t="s">
        <v>32</v>
      </c>
      <c r="I660">
        <v>8</v>
      </c>
      <c r="J660">
        <v>55.84</v>
      </c>
      <c r="K660">
        <v>0.15</v>
      </c>
      <c r="L660">
        <v>379.71</v>
      </c>
      <c r="M660">
        <v>218.76</v>
      </c>
      <c r="N660">
        <v>160.94999999999999</v>
      </c>
      <c r="O660" t="s">
        <v>24</v>
      </c>
      <c r="P660">
        <v>3</v>
      </c>
      <c r="Q660" t="str">
        <f t="shared" si="60"/>
        <v>December</v>
      </c>
      <c r="R660" t="str">
        <f t="shared" si="61"/>
        <v>Q4</v>
      </c>
      <c r="S660">
        <f t="shared" si="62"/>
        <v>2024</v>
      </c>
      <c r="T660">
        <f t="shared" si="63"/>
        <v>1137547.7599999998</v>
      </c>
      <c r="U660">
        <f t="shared" si="64"/>
        <v>381627.38999999955</v>
      </c>
      <c r="V660">
        <f t="shared" si="65"/>
        <v>1.9807812274690271</v>
      </c>
    </row>
    <row r="661" spans="1:22" x14ac:dyDescent="0.35">
      <c r="A661" t="s">
        <v>1387</v>
      </c>
      <c r="B661" s="1">
        <v>45619</v>
      </c>
      <c r="C661" t="s">
        <v>1388</v>
      </c>
      <c r="D661" t="s">
        <v>49</v>
      </c>
      <c r="E661" t="s">
        <v>38</v>
      </c>
      <c r="F661" t="s">
        <v>21</v>
      </c>
      <c r="G661" t="s">
        <v>79</v>
      </c>
      <c r="H661" t="s">
        <v>103</v>
      </c>
      <c r="I661">
        <v>10</v>
      </c>
      <c r="J661">
        <v>725.79</v>
      </c>
      <c r="K661">
        <v>0</v>
      </c>
      <c r="L661">
        <v>7257.9</v>
      </c>
      <c r="M661">
        <v>3813.66</v>
      </c>
      <c r="N661">
        <v>3444.24</v>
      </c>
      <c r="O661" t="s">
        <v>33</v>
      </c>
      <c r="P661">
        <v>4</v>
      </c>
      <c r="Q661" t="str">
        <f t="shared" si="60"/>
        <v>November</v>
      </c>
      <c r="R661" t="str">
        <f t="shared" si="61"/>
        <v>Q4</v>
      </c>
      <c r="S661">
        <f t="shared" si="62"/>
        <v>2024</v>
      </c>
      <c r="T661">
        <f t="shared" si="63"/>
        <v>1137168.0499999998</v>
      </c>
      <c r="U661">
        <f t="shared" si="64"/>
        <v>381466.43999999954</v>
      </c>
      <c r="V661">
        <f t="shared" si="65"/>
        <v>1.9810434962509449</v>
      </c>
    </row>
    <row r="662" spans="1:22" x14ac:dyDescent="0.35">
      <c r="A662" t="s">
        <v>1389</v>
      </c>
      <c r="B662" s="1">
        <v>45338</v>
      </c>
      <c r="C662" t="s">
        <v>1390</v>
      </c>
      <c r="D662" t="s">
        <v>29</v>
      </c>
      <c r="E662" t="s">
        <v>38</v>
      </c>
      <c r="F662" t="s">
        <v>31</v>
      </c>
      <c r="G662" t="s">
        <v>43</v>
      </c>
      <c r="H662" t="s">
        <v>173</v>
      </c>
      <c r="I662">
        <v>7</v>
      </c>
      <c r="J662">
        <v>252.95</v>
      </c>
      <c r="K662">
        <v>0</v>
      </c>
      <c r="L662">
        <v>1770.65</v>
      </c>
      <c r="M662">
        <v>1372.37</v>
      </c>
      <c r="N662">
        <v>398.28</v>
      </c>
      <c r="O662" t="s">
        <v>62</v>
      </c>
      <c r="P662">
        <v>3</v>
      </c>
      <c r="Q662" t="str">
        <f t="shared" si="60"/>
        <v>February</v>
      </c>
      <c r="R662" t="str">
        <f t="shared" si="61"/>
        <v>Q1</v>
      </c>
      <c r="S662">
        <f t="shared" si="62"/>
        <v>2024</v>
      </c>
      <c r="T662">
        <f t="shared" si="63"/>
        <v>1129910.1499999999</v>
      </c>
      <c r="U662">
        <f t="shared" si="64"/>
        <v>378022.19999999955</v>
      </c>
      <c r="V662">
        <f t="shared" si="65"/>
        <v>1.9890047462821001</v>
      </c>
    </row>
    <row r="663" spans="1:22" x14ac:dyDescent="0.35">
      <c r="A663" t="s">
        <v>1391</v>
      </c>
      <c r="B663" s="1">
        <v>45563</v>
      </c>
      <c r="C663" t="s">
        <v>1392</v>
      </c>
      <c r="D663" t="s">
        <v>29</v>
      </c>
      <c r="E663" t="s">
        <v>85</v>
      </c>
      <c r="F663" t="s">
        <v>21</v>
      </c>
      <c r="G663" t="s">
        <v>60</v>
      </c>
      <c r="H663" t="s">
        <v>110</v>
      </c>
      <c r="I663">
        <v>3</v>
      </c>
      <c r="J663">
        <v>632.79</v>
      </c>
      <c r="K663">
        <v>0.15</v>
      </c>
      <c r="L663">
        <v>1613.61</v>
      </c>
      <c r="M663">
        <v>1011.61</v>
      </c>
      <c r="N663">
        <v>602</v>
      </c>
      <c r="O663" t="s">
        <v>24</v>
      </c>
      <c r="P663">
        <v>2</v>
      </c>
      <c r="Q663" t="str">
        <f t="shared" si="60"/>
        <v>September</v>
      </c>
      <c r="R663" t="str">
        <f t="shared" si="61"/>
        <v>Q3</v>
      </c>
      <c r="S663">
        <f t="shared" si="62"/>
        <v>2024</v>
      </c>
      <c r="T663">
        <f t="shared" si="63"/>
        <v>1128139.5</v>
      </c>
      <c r="U663">
        <f t="shared" si="64"/>
        <v>377623.91999999952</v>
      </c>
      <c r="V663">
        <f t="shared" si="65"/>
        <v>1.9874683256293761</v>
      </c>
    </row>
    <row r="664" spans="1:22" x14ac:dyDescent="0.35">
      <c r="A664" t="s">
        <v>1393</v>
      </c>
      <c r="B664" s="1">
        <v>45626</v>
      </c>
      <c r="C664" t="s">
        <v>1394</v>
      </c>
      <c r="D664" t="s">
        <v>37</v>
      </c>
      <c r="E664" t="s">
        <v>38</v>
      </c>
      <c r="F664" t="s">
        <v>39</v>
      </c>
      <c r="G664" t="s">
        <v>60</v>
      </c>
      <c r="H664" t="s">
        <v>110</v>
      </c>
      <c r="I664">
        <v>11</v>
      </c>
      <c r="J664">
        <v>1085.74</v>
      </c>
      <c r="K664">
        <v>0.05</v>
      </c>
      <c r="L664">
        <v>11345.98</v>
      </c>
      <c r="M664">
        <v>7817.97</v>
      </c>
      <c r="N664">
        <v>3528.01</v>
      </c>
      <c r="O664" t="s">
        <v>24</v>
      </c>
      <c r="P664">
        <v>1</v>
      </c>
      <c r="Q664" t="str">
        <f t="shared" si="60"/>
        <v>November</v>
      </c>
      <c r="R664" t="str">
        <f t="shared" si="61"/>
        <v>Q4</v>
      </c>
      <c r="S664">
        <f t="shared" si="62"/>
        <v>2024</v>
      </c>
      <c r="T664">
        <f t="shared" si="63"/>
        <v>1126525.8899999999</v>
      </c>
      <c r="U664">
        <f t="shared" si="64"/>
        <v>377021.91999999958</v>
      </c>
      <c r="V664">
        <f t="shared" si="65"/>
        <v>1.9879586046349802</v>
      </c>
    </row>
    <row r="665" spans="1:22" x14ac:dyDescent="0.35">
      <c r="A665" t="s">
        <v>1395</v>
      </c>
      <c r="B665" s="1">
        <v>45609</v>
      </c>
      <c r="C665" t="s">
        <v>1396</v>
      </c>
      <c r="D665" t="s">
        <v>37</v>
      </c>
      <c r="E665" t="s">
        <v>85</v>
      </c>
      <c r="F665" t="s">
        <v>21</v>
      </c>
      <c r="G665" t="s">
        <v>79</v>
      </c>
      <c r="H665" t="s">
        <v>80</v>
      </c>
      <c r="I665">
        <v>11</v>
      </c>
      <c r="J665">
        <v>440.46</v>
      </c>
      <c r="K665">
        <v>0</v>
      </c>
      <c r="L665">
        <v>4845.0600000000004</v>
      </c>
      <c r="M665">
        <v>2712.81</v>
      </c>
      <c r="N665">
        <v>2132.25</v>
      </c>
      <c r="O665" t="s">
        <v>24</v>
      </c>
      <c r="P665">
        <v>1</v>
      </c>
      <c r="Q665" t="str">
        <f t="shared" si="60"/>
        <v>November</v>
      </c>
      <c r="R665" t="str">
        <f t="shared" si="61"/>
        <v>Q4</v>
      </c>
      <c r="S665">
        <f t="shared" si="62"/>
        <v>2024</v>
      </c>
      <c r="T665">
        <f t="shared" si="63"/>
        <v>1115179.9099999997</v>
      </c>
      <c r="U665">
        <f t="shared" si="64"/>
        <v>373493.90999999957</v>
      </c>
      <c r="V665">
        <f t="shared" si="65"/>
        <v>1.9858048020113661</v>
      </c>
    </row>
    <row r="666" spans="1:22" x14ac:dyDescent="0.35">
      <c r="A666" t="s">
        <v>1397</v>
      </c>
      <c r="B666" s="1">
        <v>45477</v>
      </c>
      <c r="C666" t="s">
        <v>1398</v>
      </c>
      <c r="D666" t="s">
        <v>66</v>
      </c>
      <c r="E666" t="s">
        <v>20</v>
      </c>
      <c r="F666" t="s">
        <v>31</v>
      </c>
      <c r="G666" t="s">
        <v>43</v>
      </c>
      <c r="H666" t="s">
        <v>44</v>
      </c>
      <c r="I666">
        <v>8</v>
      </c>
      <c r="J666">
        <v>1015.86</v>
      </c>
      <c r="K666">
        <v>0</v>
      </c>
      <c r="L666">
        <v>8126.88</v>
      </c>
      <c r="M666">
        <v>4923</v>
      </c>
      <c r="N666">
        <v>3203.88</v>
      </c>
      <c r="O666" t="s">
        <v>51</v>
      </c>
      <c r="P666">
        <v>4</v>
      </c>
      <c r="Q666" t="str">
        <f t="shared" si="60"/>
        <v>July</v>
      </c>
      <c r="R666" t="str">
        <f t="shared" si="61"/>
        <v>Q3</v>
      </c>
      <c r="S666">
        <f t="shared" si="62"/>
        <v>2024</v>
      </c>
      <c r="T666">
        <f t="shared" si="63"/>
        <v>1110334.8499999996</v>
      </c>
      <c r="U666">
        <f t="shared" si="64"/>
        <v>371361.65999999957</v>
      </c>
      <c r="V666">
        <f t="shared" si="65"/>
        <v>1.9899016769797961</v>
      </c>
    </row>
    <row r="667" spans="1:22" x14ac:dyDescent="0.35">
      <c r="A667" t="s">
        <v>1399</v>
      </c>
      <c r="B667" s="1">
        <v>45649</v>
      </c>
      <c r="C667" t="s">
        <v>1400</v>
      </c>
      <c r="D667" t="s">
        <v>29</v>
      </c>
      <c r="E667" t="s">
        <v>85</v>
      </c>
      <c r="F667" t="s">
        <v>21</v>
      </c>
      <c r="G667" t="s">
        <v>43</v>
      </c>
      <c r="H667" t="s">
        <v>50</v>
      </c>
      <c r="I667">
        <v>6</v>
      </c>
      <c r="J667">
        <v>375.68</v>
      </c>
      <c r="K667">
        <v>0.15</v>
      </c>
      <c r="L667">
        <v>1915.97</v>
      </c>
      <c r="M667">
        <v>1256.76</v>
      </c>
      <c r="N667">
        <v>659.21</v>
      </c>
      <c r="O667" t="s">
        <v>62</v>
      </c>
      <c r="P667">
        <v>1</v>
      </c>
      <c r="Q667" t="str">
        <f t="shared" si="60"/>
        <v>December</v>
      </c>
      <c r="R667" t="str">
        <f t="shared" si="61"/>
        <v>Q4</v>
      </c>
      <c r="S667">
        <f t="shared" si="62"/>
        <v>2024</v>
      </c>
      <c r="T667">
        <f t="shared" si="63"/>
        <v>1102207.9699999995</v>
      </c>
      <c r="U667">
        <f t="shared" si="64"/>
        <v>368157.77999999962</v>
      </c>
      <c r="V667">
        <f t="shared" si="65"/>
        <v>1.9938467414704659</v>
      </c>
    </row>
    <row r="668" spans="1:22" x14ac:dyDescent="0.35">
      <c r="A668" t="s">
        <v>1401</v>
      </c>
      <c r="B668" s="1">
        <v>45444</v>
      </c>
      <c r="C668" t="s">
        <v>1402</v>
      </c>
      <c r="D668" t="s">
        <v>49</v>
      </c>
      <c r="E668" t="s">
        <v>85</v>
      </c>
      <c r="F668" t="s">
        <v>31</v>
      </c>
      <c r="G668" t="s">
        <v>60</v>
      </c>
      <c r="H668" t="s">
        <v>110</v>
      </c>
      <c r="I668">
        <v>6</v>
      </c>
      <c r="J668">
        <v>743.3</v>
      </c>
      <c r="K668">
        <v>0.1</v>
      </c>
      <c r="L668">
        <v>4013.82</v>
      </c>
      <c r="M668">
        <v>2713.37</v>
      </c>
      <c r="N668">
        <v>1300.45</v>
      </c>
      <c r="O668" t="s">
        <v>33</v>
      </c>
      <c r="P668">
        <v>3</v>
      </c>
      <c r="Q668" t="str">
        <f t="shared" si="60"/>
        <v>June</v>
      </c>
      <c r="R668" t="str">
        <f t="shared" si="61"/>
        <v>Q2</v>
      </c>
      <c r="S668">
        <f t="shared" si="62"/>
        <v>2024</v>
      </c>
      <c r="T668">
        <f t="shared" si="63"/>
        <v>1100291.9999999995</v>
      </c>
      <c r="U668">
        <f t="shared" si="64"/>
        <v>367498.5699999996</v>
      </c>
      <c r="V668">
        <f t="shared" si="65"/>
        <v>1.9940034868707128</v>
      </c>
    </row>
    <row r="669" spans="1:22" x14ac:dyDescent="0.35">
      <c r="A669" t="s">
        <v>1403</v>
      </c>
      <c r="B669" s="1">
        <v>45319</v>
      </c>
      <c r="C669" t="s">
        <v>1404</v>
      </c>
      <c r="D669" t="s">
        <v>49</v>
      </c>
      <c r="E669" t="s">
        <v>30</v>
      </c>
      <c r="F669" t="s">
        <v>39</v>
      </c>
      <c r="G669" t="s">
        <v>43</v>
      </c>
      <c r="H669" t="s">
        <v>173</v>
      </c>
      <c r="I669">
        <v>2</v>
      </c>
      <c r="J669">
        <v>124.03</v>
      </c>
      <c r="K669">
        <v>0.05</v>
      </c>
      <c r="L669">
        <v>235.66</v>
      </c>
      <c r="M669">
        <v>191.9</v>
      </c>
      <c r="N669">
        <v>43.76</v>
      </c>
      <c r="O669" t="s">
        <v>62</v>
      </c>
      <c r="P669">
        <v>3</v>
      </c>
      <c r="Q669" t="str">
        <f t="shared" si="60"/>
        <v>January</v>
      </c>
      <c r="R669" t="str">
        <f t="shared" si="61"/>
        <v>Q1</v>
      </c>
      <c r="S669">
        <f t="shared" si="62"/>
        <v>2024</v>
      </c>
      <c r="T669">
        <f t="shared" si="63"/>
        <v>1096278.1799999997</v>
      </c>
      <c r="U669">
        <f t="shared" si="64"/>
        <v>366198.1199999997</v>
      </c>
      <c r="V669">
        <f t="shared" si="65"/>
        <v>1.9936750631051865</v>
      </c>
    </row>
    <row r="670" spans="1:22" x14ac:dyDescent="0.35">
      <c r="A670" t="s">
        <v>1405</v>
      </c>
      <c r="B670" s="1">
        <v>45406</v>
      </c>
      <c r="C670" t="s">
        <v>1406</v>
      </c>
      <c r="D670" t="s">
        <v>19</v>
      </c>
      <c r="E670" t="s">
        <v>30</v>
      </c>
      <c r="F670" t="s">
        <v>21</v>
      </c>
      <c r="G670" t="s">
        <v>22</v>
      </c>
      <c r="H670" t="s">
        <v>74</v>
      </c>
      <c r="I670">
        <v>4</v>
      </c>
      <c r="J670">
        <v>1076.1300000000001</v>
      </c>
      <c r="K670">
        <v>0.1</v>
      </c>
      <c r="L670">
        <v>3874.07</v>
      </c>
      <c r="M670">
        <v>2078.36</v>
      </c>
      <c r="N670">
        <v>1795.71</v>
      </c>
      <c r="O670" t="s">
        <v>51</v>
      </c>
      <c r="P670">
        <v>2</v>
      </c>
      <c r="Q670" t="str">
        <f t="shared" si="60"/>
        <v>April</v>
      </c>
      <c r="R670" t="str">
        <f t="shared" si="61"/>
        <v>Q2</v>
      </c>
      <c r="S670">
        <f t="shared" si="62"/>
        <v>2024</v>
      </c>
      <c r="T670">
        <f t="shared" si="63"/>
        <v>1096042.5199999996</v>
      </c>
      <c r="U670">
        <f t="shared" si="64"/>
        <v>366154.35999999969</v>
      </c>
      <c r="V670">
        <f t="shared" si="65"/>
        <v>1.9933892361680481</v>
      </c>
    </row>
    <row r="671" spans="1:22" x14ac:dyDescent="0.35">
      <c r="A671" t="s">
        <v>1407</v>
      </c>
      <c r="B671" s="1">
        <v>45389</v>
      </c>
      <c r="C671" t="s">
        <v>1408</v>
      </c>
      <c r="D671" t="s">
        <v>49</v>
      </c>
      <c r="E671" t="s">
        <v>20</v>
      </c>
      <c r="F671" t="s">
        <v>31</v>
      </c>
      <c r="G671" t="s">
        <v>22</v>
      </c>
      <c r="H671" t="s">
        <v>32</v>
      </c>
      <c r="I671">
        <v>3</v>
      </c>
      <c r="J671">
        <v>905.41</v>
      </c>
      <c r="K671">
        <v>0</v>
      </c>
      <c r="L671">
        <v>2716.23</v>
      </c>
      <c r="M671">
        <v>2204.36</v>
      </c>
      <c r="N671">
        <v>511.87</v>
      </c>
      <c r="O671" t="s">
        <v>62</v>
      </c>
      <c r="P671">
        <v>4</v>
      </c>
      <c r="Q671" t="str">
        <f t="shared" si="60"/>
        <v>April</v>
      </c>
      <c r="R671" t="str">
        <f t="shared" si="61"/>
        <v>Q2</v>
      </c>
      <c r="S671">
        <f t="shared" si="62"/>
        <v>2024</v>
      </c>
      <c r="T671">
        <f t="shared" si="63"/>
        <v>1092168.4499999997</v>
      </c>
      <c r="U671">
        <f t="shared" si="64"/>
        <v>364358.64999999967</v>
      </c>
      <c r="V671">
        <f t="shared" si="65"/>
        <v>1.9975093222021783</v>
      </c>
    </row>
    <row r="672" spans="1:22" x14ac:dyDescent="0.35">
      <c r="A672" t="s">
        <v>1409</v>
      </c>
      <c r="B672" s="1">
        <v>45516</v>
      </c>
      <c r="C672" t="s">
        <v>1410</v>
      </c>
      <c r="D672" t="s">
        <v>66</v>
      </c>
      <c r="E672" t="s">
        <v>98</v>
      </c>
      <c r="F672" t="s">
        <v>21</v>
      </c>
      <c r="G672" t="s">
        <v>43</v>
      </c>
      <c r="H672" t="s">
        <v>50</v>
      </c>
      <c r="I672">
        <v>9</v>
      </c>
      <c r="J672">
        <v>32.51</v>
      </c>
      <c r="K672">
        <v>0</v>
      </c>
      <c r="L672">
        <v>292.58999999999997</v>
      </c>
      <c r="M672">
        <v>198.1</v>
      </c>
      <c r="N672">
        <v>94.49</v>
      </c>
      <c r="O672" t="s">
        <v>51</v>
      </c>
      <c r="P672">
        <v>5</v>
      </c>
      <c r="Q672" t="str">
        <f t="shared" si="60"/>
        <v>August</v>
      </c>
      <c r="R672" t="str">
        <f t="shared" si="61"/>
        <v>Q3</v>
      </c>
      <c r="S672">
        <f t="shared" si="62"/>
        <v>2024</v>
      </c>
      <c r="T672">
        <f t="shared" si="63"/>
        <v>1089452.2199999997</v>
      </c>
      <c r="U672">
        <f t="shared" si="64"/>
        <v>363846.77999999968</v>
      </c>
      <c r="V672">
        <f t="shared" si="65"/>
        <v>1.9942609908489521</v>
      </c>
    </row>
    <row r="673" spans="1:22" x14ac:dyDescent="0.35">
      <c r="A673" t="s">
        <v>1411</v>
      </c>
      <c r="B673" s="1">
        <v>45565</v>
      </c>
      <c r="C673" t="s">
        <v>1412</v>
      </c>
      <c r="D673" t="s">
        <v>19</v>
      </c>
      <c r="E673" t="s">
        <v>20</v>
      </c>
      <c r="F673" t="s">
        <v>39</v>
      </c>
      <c r="G673" t="s">
        <v>60</v>
      </c>
      <c r="H673" t="s">
        <v>61</v>
      </c>
      <c r="I673">
        <v>8</v>
      </c>
      <c r="J673">
        <v>790.43</v>
      </c>
      <c r="K673">
        <v>0.1</v>
      </c>
      <c r="L673">
        <v>5691.1</v>
      </c>
      <c r="M673">
        <v>4746.9399999999996</v>
      </c>
      <c r="N673">
        <v>944.16</v>
      </c>
      <c r="O673" t="s">
        <v>51</v>
      </c>
      <c r="P673">
        <v>1</v>
      </c>
      <c r="Q673" t="str">
        <f t="shared" si="60"/>
        <v>September</v>
      </c>
      <c r="R673" t="str">
        <f t="shared" si="61"/>
        <v>Q3</v>
      </c>
      <c r="S673">
        <f t="shared" si="62"/>
        <v>2024</v>
      </c>
      <c r="T673">
        <f t="shared" si="63"/>
        <v>1089159.6299999997</v>
      </c>
      <c r="U673">
        <f t="shared" si="64"/>
        <v>363752.28999999969</v>
      </c>
      <c r="V673">
        <f t="shared" si="65"/>
        <v>1.9942344280499253</v>
      </c>
    </row>
    <row r="674" spans="1:22" x14ac:dyDescent="0.35">
      <c r="A674" t="s">
        <v>1413</v>
      </c>
      <c r="B674" s="1">
        <v>45385</v>
      </c>
      <c r="C674" t="s">
        <v>1414</v>
      </c>
      <c r="D674" t="s">
        <v>19</v>
      </c>
      <c r="E674" t="s">
        <v>20</v>
      </c>
      <c r="F674" t="s">
        <v>21</v>
      </c>
      <c r="G674" t="s">
        <v>43</v>
      </c>
      <c r="H674" t="s">
        <v>50</v>
      </c>
      <c r="I674">
        <v>8</v>
      </c>
      <c r="J674">
        <v>118.44</v>
      </c>
      <c r="K674">
        <v>0.05</v>
      </c>
      <c r="L674">
        <v>900.14</v>
      </c>
      <c r="M674">
        <v>470.32</v>
      </c>
      <c r="N674">
        <v>429.82</v>
      </c>
      <c r="O674" t="s">
        <v>24</v>
      </c>
      <c r="P674">
        <v>1</v>
      </c>
      <c r="Q674" t="str">
        <f t="shared" si="60"/>
        <v>April</v>
      </c>
      <c r="R674" t="str">
        <f t="shared" si="61"/>
        <v>Q2</v>
      </c>
      <c r="S674">
        <f t="shared" si="62"/>
        <v>2024</v>
      </c>
      <c r="T674">
        <f t="shared" si="63"/>
        <v>1083468.5299999998</v>
      </c>
      <c r="U674">
        <f t="shared" si="64"/>
        <v>362808.12999999971</v>
      </c>
      <c r="V674">
        <f t="shared" si="65"/>
        <v>1.9863402730253059</v>
      </c>
    </row>
    <row r="675" spans="1:22" x14ac:dyDescent="0.35">
      <c r="A675" t="s">
        <v>1415</v>
      </c>
      <c r="B675" s="1">
        <v>45528</v>
      </c>
      <c r="C675" t="s">
        <v>1416</v>
      </c>
      <c r="D675" t="s">
        <v>66</v>
      </c>
      <c r="E675" t="s">
        <v>85</v>
      </c>
      <c r="F675" t="s">
        <v>39</v>
      </c>
      <c r="G675" t="s">
        <v>79</v>
      </c>
      <c r="H675" t="s">
        <v>103</v>
      </c>
      <c r="I675">
        <v>3</v>
      </c>
      <c r="J675">
        <v>32.92</v>
      </c>
      <c r="K675">
        <v>0</v>
      </c>
      <c r="L675">
        <v>98.76</v>
      </c>
      <c r="M675">
        <v>59.75</v>
      </c>
      <c r="N675">
        <v>39.01</v>
      </c>
      <c r="O675" t="s">
        <v>51</v>
      </c>
      <c r="P675">
        <v>2</v>
      </c>
      <c r="Q675" t="str">
        <f t="shared" si="60"/>
        <v>August</v>
      </c>
      <c r="R675" t="str">
        <f t="shared" si="61"/>
        <v>Q3</v>
      </c>
      <c r="S675">
        <f t="shared" si="62"/>
        <v>2024</v>
      </c>
      <c r="T675">
        <f t="shared" si="63"/>
        <v>1082568.3899999997</v>
      </c>
      <c r="U675">
        <f t="shared" si="64"/>
        <v>362378.30999999971</v>
      </c>
      <c r="V675">
        <f t="shared" si="65"/>
        <v>1.9873984179682291</v>
      </c>
    </row>
    <row r="676" spans="1:22" x14ac:dyDescent="0.35">
      <c r="A676" t="s">
        <v>1417</v>
      </c>
      <c r="B676" s="1">
        <v>45611</v>
      </c>
      <c r="C676" t="s">
        <v>1418</v>
      </c>
      <c r="D676" t="s">
        <v>19</v>
      </c>
      <c r="E676" t="s">
        <v>38</v>
      </c>
      <c r="F676" t="s">
        <v>39</v>
      </c>
      <c r="G676" t="s">
        <v>22</v>
      </c>
      <c r="H676" t="s">
        <v>74</v>
      </c>
      <c r="I676">
        <v>4</v>
      </c>
      <c r="J676">
        <v>282.52</v>
      </c>
      <c r="K676">
        <v>0</v>
      </c>
      <c r="L676">
        <v>1130.08</v>
      </c>
      <c r="M676">
        <v>878.14</v>
      </c>
      <c r="N676">
        <v>251.94</v>
      </c>
      <c r="O676" t="s">
        <v>62</v>
      </c>
      <c r="P676">
        <v>3</v>
      </c>
      <c r="Q676" t="str">
        <f t="shared" si="60"/>
        <v>November</v>
      </c>
      <c r="R676" t="str">
        <f t="shared" si="61"/>
        <v>Q4</v>
      </c>
      <c r="S676">
        <f t="shared" si="62"/>
        <v>2024</v>
      </c>
      <c r="T676">
        <f t="shared" si="63"/>
        <v>1082469.6299999997</v>
      </c>
      <c r="U676">
        <f t="shared" si="64"/>
        <v>362339.2999999997</v>
      </c>
      <c r="V676">
        <f t="shared" si="65"/>
        <v>1.9874474836154967</v>
      </c>
    </row>
    <row r="677" spans="1:22" x14ac:dyDescent="0.35">
      <c r="A677" t="s">
        <v>1419</v>
      </c>
      <c r="B677" s="1">
        <v>45385</v>
      </c>
      <c r="C677" t="s">
        <v>1420</v>
      </c>
      <c r="D677" t="s">
        <v>19</v>
      </c>
      <c r="E677" t="s">
        <v>98</v>
      </c>
      <c r="F677" t="s">
        <v>39</v>
      </c>
      <c r="G677" t="s">
        <v>79</v>
      </c>
      <c r="H677" t="s">
        <v>89</v>
      </c>
      <c r="I677">
        <v>1</v>
      </c>
      <c r="J677">
        <v>500.5</v>
      </c>
      <c r="K677">
        <v>0.1</v>
      </c>
      <c r="L677">
        <v>450.45</v>
      </c>
      <c r="M677">
        <v>332.6</v>
      </c>
      <c r="N677">
        <v>117.85</v>
      </c>
      <c r="O677" t="s">
        <v>62</v>
      </c>
      <c r="P677">
        <v>4</v>
      </c>
      <c r="Q677" t="str">
        <f t="shared" si="60"/>
        <v>April</v>
      </c>
      <c r="R677" t="str">
        <f t="shared" si="61"/>
        <v>Q2</v>
      </c>
      <c r="S677">
        <f t="shared" si="62"/>
        <v>2024</v>
      </c>
      <c r="T677">
        <f t="shared" si="63"/>
        <v>1081339.5499999996</v>
      </c>
      <c r="U677">
        <f t="shared" si="64"/>
        <v>362087.35999999969</v>
      </c>
      <c r="V677">
        <f t="shared" si="65"/>
        <v>1.9864051316234859</v>
      </c>
    </row>
    <row r="678" spans="1:22" x14ac:dyDescent="0.35">
      <c r="A678" t="s">
        <v>1421</v>
      </c>
      <c r="B678" s="1">
        <v>45313</v>
      </c>
      <c r="C678" t="s">
        <v>1422</v>
      </c>
      <c r="D678" t="s">
        <v>66</v>
      </c>
      <c r="E678" t="s">
        <v>38</v>
      </c>
      <c r="F678" t="s">
        <v>31</v>
      </c>
      <c r="G678" t="s">
        <v>79</v>
      </c>
      <c r="H678" t="s">
        <v>89</v>
      </c>
      <c r="I678">
        <v>7</v>
      </c>
      <c r="J678">
        <v>317.93</v>
      </c>
      <c r="K678">
        <v>0.1</v>
      </c>
      <c r="L678">
        <v>2002.96</v>
      </c>
      <c r="M678">
        <v>1100.07</v>
      </c>
      <c r="N678">
        <v>902.89</v>
      </c>
      <c r="O678" t="s">
        <v>62</v>
      </c>
      <c r="P678">
        <v>4</v>
      </c>
      <c r="Q678" t="str">
        <f t="shared" si="60"/>
        <v>January</v>
      </c>
      <c r="R678" t="str">
        <f t="shared" si="61"/>
        <v>Q1</v>
      </c>
      <c r="S678">
        <f t="shared" si="62"/>
        <v>2024</v>
      </c>
      <c r="T678">
        <f t="shared" si="63"/>
        <v>1080889.0999999996</v>
      </c>
      <c r="U678">
        <f t="shared" si="64"/>
        <v>361969.50999999966</v>
      </c>
      <c r="V678">
        <f t="shared" si="65"/>
        <v>1.9861330033018545</v>
      </c>
    </row>
    <row r="679" spans="1:22" x14ac:dyDescent="0.35">
      <c r="A679" t="s">
        <v>1423</v>
      </c>
      <c r="B679" s="1">
        <v>45444</v>
      </c>
      <c r="C679" t="s">
        <v>1424</v>
      </c>
      <c r="D679" t="s">
        <v>29</v>
      </c>
      <c r="E679" t="s">
        <v>30</v>
      </c>
      <c r="F679" t="s">
        <v>21</v>
      </c>
      <c r="G679" t="s">
        <v>22</v>
      </c>
      <c r="H679" t="s">
        <v>124</v>
      </c>
      <c r="I679">
        <v>12</v>
      </c>
      <c r="J679">
        <v>593.02</v>
      </c>
      <c r="K679">
        <v>0.1</v>
      </c>
      <c r="L679">
        <v>6404.62</v>
      </c>
      <c r="M679">
        <v>4783.37</v>
      </c>
      <c r="N679">
        <v>1621.25</v>
      </c>
      <c r="O679" t="s">
        <v>62</v>
      </c>
      <c r="P679">
        <v>5</v>
      </c>
      <c r="Q679" t="str">
        <f t="shared" si="60"/>
        <v>June</v>
      </c>
      <c r="R679" t="str">
        <f t="shared" si="61"/>
        <v>Q2</v>
      </c>
      <c r="S679">
        <f t="shared" si="62"/>
        <v>2024</v>
      </c>
      <c r="T679">
        <f t="shared" si="63"/>
        <v>1078886.1399999997</v>
      </c>
      <c r="U679">
        <f t="shared" si="64"/>
        <v>361066.6199999997</v>
      </c>
      <c r="V679">
        <f t="shared" si="65"/>
        <v>1.9880528418827546</v>
      </c>
    </row>
    <row r="680" spans="1:22" x14ac:dyDescent="0.35">
      <c r="A680" t="s">
        <v>1425</v>
      </c>
      <c r="B680" s="1">
        <v>45431</v>
      </c>
      <c r="C680" t="s">
        <v>1426</v>
      </c>
      <c r="D680" t="s">
        <v>19</v>
      </c>
      <c r="E680" t="s">
        <v>20</v>
      </c>
      <c r="F680" t="s">
        <v>31</v>
      </c>
      <c r="G680" t="s">
        <v>60</v>
      </c>
      <c r="H680" t="s">
        <v>61</v>
      </c>
      <c r="I680">
        <v>7</v>
      </c>
      <c r="J680">
        <v>681.5</v>
      </c>
      <c r="K680">
        <v>0.15</v>
      </c>
      <c r="L680">
        <v>4054.92</v>
      </c>
      <c r="M680">
        <v>2383.0100000000002</v>
      </c>
      <c r="N680">
        <v>1671.91</v>
      </c>
      <c r="O680" t="s">
        <v>33</v>
      </c>
      <c r="P680">
        <v>1</v>
      </c>
      <c r="Q680" t="str">
        <f t="shared" si="60"/>
        <v>May</v>
      </c>
      <c r="R680" t="str">
        <f t="shared" si="61"/>
        <v>Q2</v>
      </c>
      <c r="S680">
        <f t="shared" si="62"/>
        <v>2024</v>
      </c>
      <c r="T680">
        <f t="shared" si="63"/>
        <v>1072481.5199999996</v>
      </c>
      <c r="U680">
        <f t="shared" si="64"/>
        <v>359445.36999999965</v>
      </c>
      <c r="V680">
        <f t="shared" si="65"/>
        <v>1.9837121563146038</v>
      </c>
    </row>
    <row r="681" spans="1:22" x14ac:dyDescent="0.35">
      <c r="A681" t="s">
        <v>1427</v>
      </c>
      <c r="B681" s="1">
        <v>45472</v>
      </c>
      <c r="C681" t="s">
        <v>1364</v>
      </c>
      <c r="D681" t="s">
        <v>29</v>
      </c>
      <c r="E681" t="s">
        <v>98</v>
      </c>
      <c r="F681" t="s">
        <v>31</v>
      </c>
      <c r="G681" t="s">
        <v>22</v>
      </c>
      <c r="H681" t="s">
        <v>124</v>
      </c>
      <c r="I681">
        <v>1</v>
      </c>
      <c r="J681">
        <v>543.59</v>
      </c>
      <c r="K681">
        <v>0.05</v>
      </c>
      <c r="L681">
        <v>516.41</v>
      </c>
      <c r="M681">
        <v>266.04000000000002</v>
      </c>
      <c r="N681">
        <v>250.37</v>
      </c>
      <c r="O681" t="s">
        <v>51</v>
      </c>
      <c r="P681">
        <v>4</v>
      </c>
      <c r="Q681" t="str">
        <f t="shared" si="60"/>
        <v>June</v>
      </c>
      <c r="R681" t="str">
        <f t="shared" si="61"/>
        <v>Q2</v>
      </c>
      <c r="S681">
        <f t="shared" si="62"/>
        <v>2024</v>
      </c>
      <c r="T681">
        <f t="shared" si="63"/>
        <v>1068426.5999999996</v>
      </c>
      <c r="U681">
        <f t="shared" si="64"/>
        <v>357773.45999999967</v>
      </c>
      <c r="V681">
        <f t="shared" si="65"/>
        <v>1.9863215678435191</v>
      </c>
    </row>
    <row r="682" spans="1:22" x14ac:dyDescent="0.35">
      <c r="A682" t="s">
        <v>1428</v>
      </c>
      <c r="B682" s="1">
        <v>45552</v>
      </c>
      <c r="C682" t="s">
        <v>1429</v>
      </c>
      <c r="D682" t="s">
        <v>49</v>
      </c>
      <c r="E682" t="s">
        <v>38</v>
      </c>
      <c r="F682" t="s">
        <v>31</v>
      </c>
      <c r="G682" t="s">
        <v>79</v>
      </c>
      <c r="H682" t="s">
        <v>103</v>
      </c>
      <c r="I682">
        <v>9</v>
      </c>
      <c r="J682">
        <v>1111.93</v>
      </c>
      <c r="K682">
        <v>0.05</v>
      </c>
      <c r="L682">
        <v>9507</v>
      </c>
      <c r="M682">
        <v>7982.56</v>
      </c>
      <c r="N682">
        <v>1524.44</v>
      </c>
      <c r="O682" t="s">
        <v>33</v>
      </c>
      <c r="P682">
        <v>3</v>
      </c>
      <c r="Q682" t="str">
        <f t="shared" si="60"/>
        <v>September</v>
      </c>
      <c r="R682" t="str">
        <f t="shared" si="61"/>
        <v>Q3</v>
      </c>
      <c r="S682">
        <f t="shared" si="62"/>
        <v>2024</v>
      </c>
      <c r="T682">
        <f t="shared" si="63"/>
        <v>1067910.1899999997</v>
      </c>
      <c r="U682">
        <f t="shared" si="64"/>
        <v>357523.08999999968</v>
      </c>
      <c r="V682">
        <f t="shared" si="65"/>
        <v>1.9869684500657028</v>
      </c>
    </row>
    <row r="683" spans="1:22" x14ac:dyDescent="0.35">
      <c r="A683" t="s">
        <v>1430</v>
      </c>
      <c r="B683" s="1">
        <v>45328</v>
      </c>
      <c r="C683" t="s">
        <v>1431</v>
      </c>
      <c r="D683" t="s">
        <v>19</v>
      </c>
      <c r="E683" t="s">
        <v>38</v>
      </c>
      <c r="F683" t="s">
        <v>31</v>
      </c>
      <c r="G683" t="s">
        <v>22</v>
      </c>
      <c r="H683" t="s">
        <v>74</v>
      </c>
      <c r="I683">
        <v>12</v>
      </c>
      <c r="J683">
        <v>762.84</v>
      </c>
      <c r="K683">
        <v>0.05</v>
      </c>
      <c r="L683">
        <v>8696.3799999999992</v>
      </c>
      <c r="M683">
        <v>6753.92</v>
      </c>
      <c r="N683">
        <v>1942.46</v>
      </c>
      <c r="O683" t="s">
        <v>33</v>
      </c>
      <c r="P683">
        <v>2</v>
      </c>
      <c r="Q683" t="str">
        <f t="shared" si="60"/>
        <v>February</v>
      </c>
      <c r="R683" t="str">
        <f t="shared" si="61"/>
        <v>Q1</v>
      </c>
      <c r="S683">
        <f t="shared" si="62"/>
        <v>2024</v>
      </c>
      <c r="T683">
        <f t="shared" si="63"/>
        <v>1058403.1899999997</v>
      </c>
      <c r="U683">
        <f t="shared" si="64"/>
        <v>355998.64999999967</v>
      </c>
      <c r="V683">
        <f t="shared" si="65"/>
        <v>1.9730539427607399</v>
      </c>
    </row>
    <row r="684" spans="1:22" x14ac:dyDescent="0.35">
      <c r="A684" t="s">
        <v>1432</v>
      </c>
      <c r="B684" s="1">
        <v>45618</v>
      </c>
      <c r="C684" t="s">
        <v>1433</v>
      </c>
      <c r="D684" t="s">
        <v>49</v>
      </c>
      <c r="E684" t="s">
        <v>38</v>
      </c>
      <c r="F684" t="s">
        <v>31</v>
      </c>
      <c r="G684" t="s">
        <v>43</v>
      </c>
      <c r="H684" t="s">
        <v>44</v>
      </c>
      <c r="I684">
        <v>7</v>
      </c>
      <c r="J684">
        <v>295.14</v>
      </c>
      <c r="K684">
        <v>0.1</v>
      </c>
      <c r="L684">
        <v>1859.38</v>
      </c>
      <c r="M684">
        <v>956.2</v>
      </c>
      <c r="N684">
        <v>903.18</v>
      </c>
      <c r="O684" t="s">
        <v>51</v>
      </c>
      <c r="P684">
        <v>2</v>
      </c>
      <c r="Q684" t="str">
        <f t="shared" si="60"/>
        <v>November</v>
      </c>
      <c r="R684" t="str">
        <f t="shared" si="61"/>
        <v>Q4</v>
      </c>
      <c r="S684">
        <f t="shared" si="62"/>
        <v>2024</v>
      </c>
      <c r="T684">
        <f t="shared" si="63"/>
        <v>1049706.81</v>
      </c>
      <c r="U684">
        <f t="shared" si="64"/>
        <v>354056.18999999965</v>
      </c>
      <c r="V684">
        <f t="shared" si="65"/>
        <v>1.9648028749334987</v>
      </c>
    </row>
    <row r="685" spans="1:22" x14ac:dyDescent="0.35">
      <c r="A685" t="s">
        <v>1434</v>
      </c>
      <c r="B685" s="1">
        <v>45542</v>
      </c>
      <c r="C685" t="s">
        <v>1435</v>
      </c>
      <c r="D685" t="s">
        <v>66</v>
      </c>
      <c r="E685" t="s">
        <v>98</v>
      </c>
      <c r="F685" t="s">
        <v>39</v>
      </c>
      <c r="G685" t="s">
        <v>60</v>
      </c>
      <c r="H685" t="s">
        <v>61</v>
      </c>
      <c r="I685">
        <v>8</v>
      </c>
      <c r="J685">
        <v>400.29</v>
      </c>
      <c r="K685">
        <v>0</v>
      </c>
      <c r="L685">
        <v>3202.32</v>
      </c>
      <c r="M685">
        <v>1654.76</v>
      </c>
      <c r="N685">
        <v>1547.56</v>
      </c>
      <c r="O685" t="s">
        <v>24</v>
      </c>
      <c r="P685">
        <v>3</v>
      </c>
      <c r="Q685" t="str">
        <f t="shared" si="60"/>
        <v>September</v>
      </c>
      <c r="R685" t="str">
        <f t="shared" si="61"/>
        <v>Q3</v>
      </c>
      <c r="S685">
        <f t="shared" si="62"/>
        <v>2024</v>
      </c>
      <c r="T685">
        <f t="shared" si="63"/>
        <v>1047847.4300000002</v>
      </c>
      <c r="U685">
        <f t="shared" si="64"/>
        <v>353153.00999999966</v>
      </c>
      <c r="V685">
        <f t="shared" si="65"/>
        <v>1.9671202009576563</v>
      </c>
    </row>
    <row r="686" spans="1:22" x14ac:dyDescent="0.35">
      <c r="A686" t="s">
        <v>1436</v>
      </c>
      <c r="B686" s="1">
        <v>45594</v>
      </c>
      <c r="C686" t="s">
        <v>1437</v>
      </c>
      <c r="D686" t="s">
        <v>49</v>
      </c>
      <c r="E686" t="s">
        <v>38</v>
      </c>
      <c r="F686" t="s">
        <v>31</v>
      </c>
      <c r="G686" t="s">
        <v>43</v>
      </c>
      <c r="H686" t="s">
        <v>50</v>
      </c>
      <c r="I686">
        <v>7</v>
      </c>
      <c r="J686">
        <v>409.34</v>
      </c>
      <c r="K686">
        <v>0.15</v>
      </c>
      <c r="L686">
        <v>2435.5700000000002</v>
      </c>
      <c r="M686">
        <v>1541.92</v>
      </c>
      <c r="N686">
        <v>893.65</v>
      </c>
      <c r="O686" t="s">
        <v>62</v>
      </c>
      <c r="P686">
        <v>2</v>
      </c>
      <c r="Q686" t="str">
        <f t="shared" si="60"/>
        <v>October</v>
      </c>
      <c r="R686" t="str">
        <f t="shared" si="61"/>
        <v>Q4</v>
      </c>
      <c r="S686">
        <f t="shared" si="62"/>
        <v>2024</v>
      </c>
      <c r="T686">
        <f t="shared" si="63"/>
        <v>1044645.1100000002</v>
      </c>
      <c r="U686">
        <f t="shared" si="64"/>
        <v>351605.44999999972</v>
      </c>
      <c r="V686">
        <f t="shared" si="65"/>
        <v>1.9710720069896557</v>
      </c>
    </row>
    <row r="687" spans="1:22" x14ac:dyDescent="0.35">
      <c r="A687" t="s">
        <v>1438</v>
      </c>
      <c r="B687" s="1">
        <v>45624</v>
      </c>
      <c r="C687" t="s">
        <v>1439</v>
      </c>
      <c r="D687" t="s">
        <v>29</v>
      </c>
      <c r="E687" t="s">
        <v>20</v>
      </c>
      <c r="F687" t="s">
        <v>39</v>
      </c>
      <c r="G687" t="s">
        <v>22</v>
      </c>
      <c r="H687" t="s">
        <v>74</v>
      </c>
      <c r="I687">
        <v>8</v>
      </c>
      <c r="J687">
        <v>760.38</v>
      </c>
      <c r="K687">
        <v>0</v>
      </c>
      <c r="L687">
        <v>6083.04</v>
      </c>
      <c r="M687">
        <v>3918.58</v>
      </c>
      <c r="N687">
        <v>2164.46</v>
      </c>
      <c r="O687" t="s">
        <v>62</v>
      </c>
      <c r="P687">
        <v>2</v>
      </c>
      <c r="Q687" t="str">
        <f t="shared" si="60"/>
        <v>November</v>
      </c>
      <c r="R687" t="str">
        <f t="shared" si="61"/>
        <v>Q4</v>
      </c>
      <c r="S687">
        <f t="shared" si="62"/>
        <v>2024</v>
      </c>
      <c r="T687">
        <f t="shared" si="63"/>
        <v>1042209.5400000003</v>
      </c>
      <c r="U687">
        <f t="shared" si="64"/>
        <v>350711.79999999976</v>
      </c>
      <c r="V687">
        <f t="shared" si="65"/>
        <v>1.9716979582665908</v>
      </c>
    </row>
    <row r="688" spans="1:22" x14ac:dyDescent="0.35">
      <c r="A688" t="s">
        <v>1440</v>
      </c>
      <c r="B688" s="1">
        <v>45337</v>
      </c>
      <c r="C688" t="s">
        <v>1441</v>
      </c>
      <c r="D688" t="s">
        <v>49</v>
      </c>
      <c r="E688" t="s">
        <v>85</v>
      </c>
      <c r="F688" t="s">
        <v>21</v>
      </c>
      <c r="G688" t="s">
        <v>43</v>
      </c>
      <c r="H688" t="s">
        <v>44</v>
      </c>
      <c r="I688">
        <v>11</v>
      </c>
      <c r="J688">
        <v>868.25</v>
      </c>
      <c r="K688">
        <v>0.1</v>
      </c>
      <c r="L688">
        <v>8595.68</v>
      </c>
      <c r="M688">
        <v>4513.8999999999996</v>
      </c>
      <c r="N688">
        <v>4081.78</v>
      </c>
      <c r="O688" t="s">
        <v>62</v>
      </c>
      <c r="P688">
        <v>2</v>
      </c>
      <c r="Q688" t="str">
        <f t="shared" si="60"/>
        <v>February</v>
      </c>
      <c r="R688" t="str">
        <f t="shared" si="61"/>
        <v>Q1</v>
      </c>
      <c r="S688">
        <f t="shared" si="62"/>
        <v>2024</v>
      </c>
      <c r="T688">
        <f t="shared" si="63"/>
        <v>1036126.5000000001</v>
      </c>
      <c r="U688">
        <f t="shared" si="64"/>
        <v>348547.33999999973</v>
      </c>
      <c r="V688">
        <f t="shared" si="65"/>
        <v>1.9726994904049502</v>
      </c>
    </row>
    <row r="689" spans="1:22" x14ac:dyDescent="0.35">
      <c r="A689" t="s">
        <v>1442</v>
      </c>
      <c r="B689" s="1">
        <v>45641</v>
      </c>
      <c r="C689" t="s">
        <v>1443</v>
      </c>
      <c r="D689" t="s">
        <v>19</v>
      </c>
      <c r="E689" t="s">
        <v>20</v>
      </c>
      <c r="F689" t="s">
        <v>39</v>
      </c>
      <c r="G689" t="s">
        <v>22</v>
      </c>
      <c r="H689" t="s">
        <v>124</v>
      </c>
      <c r="I689">
        <v>9</v>
      </c>
      <c r="J689">
        <v>473.84</v>
      </c>
      <c r="K689">
        <v>0</v>
      </c>
      <c r="L689">
        <v>4264.5600000000004</v>
      </c>
      <c r="M689">
        <v>2402.14</v>
      </c>
      <c r="N689">
        <v>1862.42</v>
      </c>
      <c r="O689" t="s">
        <v>33</v>
      </c>
      <c r="P689">
        <v>5</v>
      </c>
      <c r="Q689" t="str">
        <f t="shared" si="60"/>
        <v>December</v>
      </c>
      <c r="R689" t="str">
        <f t="shared" si="61"/>
        <v>Q4</v>
      </c>
      <c r="S689">
        <f t="shared" si="62"/>
        <v>2024</v>
      </c>
      <c r="T689">
        <f t="shared" si="63"/>
        <v>1027530.8200000002</v>
      </c>
      <c r="U689">
        <f t="shared" si="64"/>
        <v>344465.55999999971</v>
      </c>
      <c r="V689">
        <f t="shared" si="65"/>
        <v>1.9829711277957687</v>
      </c>
    </row>
    <row r="690" spans="1:22" x14ac:dyDescent="0.35">
      <c r="A690" t="s">
        <v>1444</v>
      </c>
      <c r="B690" s="1">
        <v>45486</v>
      </c>
      <c r="C690" t="s">
        <v>1445</v>
      </c>
      <c r="D690" t="s">
        <v>37</v>
      </c>
      <c r="E690" t="s">
        <v>85</v>
      </c>
      <c r="F690" t="s">
        <v>31</v>
      </c>
      <c r="G690" t="s">
        <v>79</v>
      </c>
      <c r="H690" t="s">
        <v>89</v>
      </c>
      <c r="I690">
        <v>12</v>
      </c>
      <c r="J690">
        <v>583.94000000000005</v>
      </c>
      <c r="K690">
        <v>0.1</v>
      </c>
      <c r="L690">
        <v>6306.55</v>
      </c>
      <c r="M690">
        <v>4053.26</v>
      </c>
      <c r="N690">
        <v>2253.29</v>
      </c>
      <c r="O690" t="s">
        <v>24</v>
      </c>
      <c r="P690">
        <v>5</v>
      </c>
      <c r="Q690" t="str">
        <f t="shared" si="60"/>
        <v>July</v>
      </c>
      <c r="R690" t="str">
        <f t="shared" si="61"/>
        <v>Q3</v>
      </c>
      <c r="S690">
        <f t="shared" si="62"/>
        <v>2024</v>
      </c>
      <c r="T690">
        <f t="shared" si="63"/>
        <v>1023266.2600000001</v>
      </c>
      <c r="U690">
        <f t="shared" si="64"/>
        <v>342603.13999999972</v>
      </c>
      <c r="V690">
        <f t="shared" si="65"/>
        <v>1.9867392925820846</v>
      </c>
    </row>
    <row r="691" spans="1:22" x14ac:dyDescent="0.35">
      <c r="A691" t="s">
        <v>1446</v>
      </c>
      <c r="B691" s="1">
        <v>45623</v>
      </c>
      <c r="C691" t="s">
        <v>1447</v>
      </c>
      <c r="D691" t="s">
        <v>37</v>
      </c>
      <c r="E691" t="s">
        <v>85</v>
      </c>
      <c r="F691" t="s">
        <v>31</v>
      </c>
      <c r="G691" t="s">
        <v>60</v>
      </c>
      <c r="H691" t="s">
        <v>61</v>
      </c>
      <c r="I691">
        <v>2</v>
      </c>
      <c r="J691">
        <v>354.86</v>
      </c>
      <c r="K691">
        <v>0</v>
      </c>
      <c r="L691">
        <v>709.72</v>
      </c>
      <c r="M691">
        <v>572.72</v>
      </c>
      <c r="N691">
        <v>137</v>
      </c>
      <c r="O691" t="s">
        <v>33</v>
      </c>
      <c r="P691">
        <v>3</v>
      </c>
      <c r="Q691" t="str">
        <f t="shared" si="60"/>
        <v>November</v>
      </c>
      <c r="R691" t="str">
        <f t="shared" si="61"/>
        <v>Q4</v>
      </c>
      <c r="S691">
        <f t="shared" si="62"/>
        <v>2024</v>
      </c>
      <c r="T691">
        <f t="shared" si="63"/>
        <v>1016959.7100000002</v>
      </c>
      <c r="U691">
        <f t="shared" si="64"/>
        <v>340349.84999999969</v>
      </c>
      <c r="V691">
        <f t="shared" si="65"/>
        <v>1.9879834235272946</v>
      </c>
    </row>
    <row r="692" spans="1:22" x14ac:dyDescent="0.35">
      <c r="A692" t="s">
        <v>1448</v>
      </c>
      <c r="B692" s="1">
        <v>45610</v>
      </c>
      <c r="C692" t="s">
        <v>1449</v>
      </c>
      <c r="D692" t="s">
        <v>29</v>
      </c>
      <c r="E692" t="s">
        <v>85</v>
      </c>
      <c r="F692" t="s">
        <v>21</v>
      </c>
      <c r="G692" t="s">
        <v>22</v>
      </c>
      <c r="H692" t="s">
        <v>124</v>
      </c>
      <c r="I692">
        <v>5</v>
      </c>
      <c r="J692">
        <v>460.11</v>
      </c>
      <c r="K692">
        <v>0.15</v>
      </c>
      <c r="L692">
        <v>1955.47</v>
      </c>
      <c r="M692">
        <v>1440.3</v>
      </c>
      <c r="N692">
        <v>515.16999999999996</v>
      </c>
      <c r="O692" t="s">
        <v>51</v>
      </c>
      <c r="P692">
        <v>5</v>
      </c>
      <c r="Q692" t="str">
        <f t="shared" si="60"/>
        <v>November</v>
      </c>
      <c r="R692" t="str">
        <f t="shared" si="61"/>
        <v>Q4</v>
      </c>
      <c r="S692">
        <f t="shared" si="62"/>
        <v>2024</v>
      </c>
      <c r="T692">
        <f t="shared" si="63"/>
        <v>1016249.9900000001</v>
      </c>
      <c r="U692">
        <f t="shared" si="64"/>
        <v>340212.84999999969</v>
      </c>
      <c r="V692">
        <f t="shared" si="65"/>
        <v>1.9871005460258218</v>
      </c>
    </row>
    <row r="693" spans="1:22" x14ac:dyDescent="0.35">
      <c r="A693" t="s">
        <v>1450</v>
      </c>
      <c r="B693" s="1">
        <v>45549</v>
      </c>
      <c r="C693" t="s">
        <v>1451</v>
      </c>
      <c r="D693" t="s">
        <v>29</v>
      </c>
      <c r="E693" t="s">
        <v>85</v>
      </c>
      <c r="F693" t="s">
        <v>31</v>
      </c>
      <c r="G693" t="s">
        <v>22</v>
      </c>
      <c r="H693" t="s">
        <v>124</v>
      </c>
      <c r="I693">
        <v>8</v>
      </c>
      <c r="J693">
        <v>1184.1600000000001</v>
      </c>
      <c r="K693">
        <v>0.05</v>
      </c>
      <c r="L693">
        <v>8999.6200000000008</v>
      </c>
      <c r="M693">
        <v>5924.18</v>
      </c>
      <c r="N693">
        <v>3075.44</v>
      </c>
      <c r="O693" t="s">
        <v>62</v>
      </c>
      <c r="P693">
        <v>2</v>
      </c>
      <c r="Q693" t="str">
        <f t="shared" si="60"/>
        <v>September</v>
      </c>
      <c r="R693" t="str">
        <f t="shared" si="61"/>
        <v>Q3</v>
      </c>
      <c r="S693">
        <f t="shared" si="62"/>
        <v>2024</v>
      </c>
      <c r="T693">
        <f t="shared" si="63"/>
        <v>1014294.5200000001</v>
      </c>
      <c r="U693">
        <f t="shared" si="64"/>
        <v>339697.6799999997</v>
      </c>
      <c r="V693">
        <f t="shared" si="65"/>
        <v>1.985874145504912</v>
      </c>
    </row>
    <row r="694" spans="1:22" x14ac:dyDescent="0.35">
      <c r="A694" t="s">
        <v>1452</v>
      </c>
      <c r="B694" s="1">
        <v>45572</v>
      </c>
      <c r="C694" t="s">
        <v>1453</v>
      </c>
      <c r="D694" t="s">
        <v>19</v>
      </c>
      <c r="E694" t="s">
        <v>85</v>
      </c>
      <c r="F694" t="s">
        <v>31</v>
      </c>
      <c r="G694" t="s">
        <v>43</v>
      </c>
      <c r="H694" t="s">
        <v>44</v>
      </c>
      <c r="I694">
        <v>12</v>
      </c>
      <c r="J694">
        <v>64.069999999999993</v>
      </c>
      <c r="K694">
        <v>0.15</v>
      </c>
      <c r="L694">
        <v>653.51</v>
      </c>
      <c r="M694">
        <v>541.84</v>
      </c>
      <c r="N694">
        <v>111.67</v>
      </c>
      <c r="O694" t="s">
        <v>62</v>
      </c>
      <c r="P694">
        <v>5</v>
      </c>
      <c r="Q694" t="str">
        <f t="shared" si="60"/>
        <v>October</v>
      </c>
      <c r="R694" t="str">
        <f t="shared" si="61"/>
        <v>Q4</v>
      </c>
      <c r="S694">
        <f t="shared" si="62"/>
        <v>2024</v>
      </c>
      <c r="T694">
        <f t="shared" si="63"/>
        <v>1005294.9</v>
      </c>
      <c r="U694">
        <f t="shared" si="64"/>
        <v>336622.2399999997</v>
      </c>
      <c r="V694">
        <f t="shared" si="65"/>
        <v>1.9864185444194091</v>
      </c>
    </row>
    <row r="695" spans="1:22" x14ac:dyDescent="0.35">
      <c r="A695" t="s">
        <v>1454</v>
      </c>
      <c r="B695" s="1">
        <v>45295</v>
      </c>
      <c r="C695" t="s">
        <v>1455</v>
      </c>
      <c r="D695" t="s">
        <v>37</v>
      </c>
      <c r="E695" t="s">
        <v>85</v>
      </c>
      <c r="F695" t="s">
        <v>39</v>
      </c>
      <c r="G695" t="s">
        <v>22</v>
      </c>
      <c r="H695" t="s">
        <v>23</v>
      </c>
      <c r="I695">
        <v>7</v>
      </c>
      <c r="J695">
        <v>107.62</v>
      </c>
      <c r="K695">
        <v>0.15</v>
      </c>
      <c r="L695">
        <v>640.34</v>
      </c>
      <c r="M695">
        <v>447.75</v>
      </c>
      <c r="N695">
        <v>192.59</v>
      </c>
      <c r="O695" t="s">
        <v>24</v>
      </c>
      <c r="P695">
        <v>5</v>
      </c>
      <c r="Q695" t="str">
        <f t="shared" si="60"/>
        <v>January</v>
      </c>
      <c r="R695" t="str">
        <f t="shared" si="61"/>
        <v>Q1</v>
      </c>
      <c r="S695">
        <f t="shared" si="62"/>
        <v>2024</v>
      </c>
      <c r="T695">
        <f t="shared" si="63"/>
        <v>1004641.39</v>
      </c>
      <c r="U695">
        <f t="shared" si="64"/>
        <v>336510.56999999972</v>
      </c>
      <c r="V695">
        <f t="shared" si="65"/>
        <v>1.9854675590130819</v>
      </c>
    </row>
    <row r="696" spans="1:22" x14ac:dyDescent="0.35">
      <c r="A696" t="s">
        <v>1456</v>
      </c>
      <c r="B696" s="1">
        <v>45521</v>
      </c>
      <c r="C696" t="s">
        <v>1457</v>
      </c>
      <c r="D696" t="s">
        <v>66</v>
      </c>
      <c r="E696" t="s">
        <v>98</v>
      </c>
      <c r="F696" t="s">
        <v>39</v>
      </c>
      <c r="G696" t="s">
        <v>22</v>
      </c>
      <c r="H696" t="s">
        <v>74</v>
      </c>
      <c r="I696">
        <v>3</v>
      </c>
      <c r="J696">
        <v>924.29</v>
      </c>
      <c r="K696">
        <v>0.15</v>
      </c>
      <c r="L696">
        <v>2356.94</v>
      </c>
      <c r="M696">
        <v>1483.88</v>
      </c>
      <c r="N696">
        <v>873.06</v>
      </c>
      <c r="O696" t="s">
        <v>24</v>
      </c>
      <c r="P696">
        <v>2</v>
      </c>
      <c r="Q696" t="str">
        <f t="shared" si="60"/>
        <v>August</v>
      </c>
      <c r="R696" t="str">
        <f t="shared" si="61"/>
        <v>Q3</v>
      </c>
      <c r="S696">
        <f t="shared" si="62"/>
        <v>2024</v>
      </c>
      <c r="T696">
        <f t="shared" si="63"/>
        <v>1004001.05</v>
      </c>
      <c r="U696">
        <f t="shared" si="64"/>
        <v>336317.97999999969</v>
      </c>
      <c r="V696">
        <f t="shared" si="65"/>
        <v>1.9852731929467491</v>
      </c>
    </row>
    <row r="697" spans="1:22" x14ac:dyDescent="0.35">
      <c r="A697" t="s">
        <v>1458</v>
      </c>
      <c r="B697" s="1">
        <v>45354</v>
      </c>
      <c r="C697" t="s">
        <v>1459</v>
      </c>
      <c r="D697" t="s">
        <v>19</v>
      </c>
      <c r="E697" t="s">
        <v>30</v>
      </c>
      <c r="F697" t="s">
        <v>21</v>
      </c>
      <c r="G697" t="s">
        <v>79</v>
      </c>
      <c r="H697" t="s">
        <v>103</v>
      </c>
      <c r="I697">
        <v>2</v>
      </c>
      <c r="J697">
        <v>489.93</v>
      </c>
      <c r="K697">
        <v>0.15</v>
      </c>
      <c r="L697">
        <v>832.88</v>
      </c>
      <c r="M697">
        <v>651.71</v>
      </c>
      <c r="N697">
        <v>181.17</v>
      </c>
      <c r="O697" t="s">
        <v>62</v>
      </c>
      <c r="P697">
        <v>3</v>
      </c>
      <c r="Q697" t="str">
        <f t="shared" si="60"/>
        <v>March</v>
      </c>
      <c r="R697" t="str">
        <f t="shared" si="61"/>
        <v>Q1</v>
      </c>
      <c r="S697">
        <f t="shared" si="62"/>
        <v>2024</v>
      </c>
      <c r="T697">
        <f t="shared" si="63"/>
        <v>1001644.1100000001</v>
      </c>
      <c r="U697">
        <f t="shared" si="64"/>
        <v>335444.91999999969</v>
      </c>
      <c r="V697">
        <f t="shared" si="65"/>
        <v>1.9860166312848053</v>
      </c>
    </row>
    <row r="698" spans="1:22" x14ac:dyDescent="0.35">
      <c r="A698" t="s">
        <v>1460</v>
      </c>
      <c r="B698" s="1">
        <v>45601</v>
      </c>
      <c r="C698" t="s">
        <v>1461</v>
      </c>
      <c r="D698" t="s">
        <v>49</v>
      </c>
      <c r="E698" t="s">
        <v>20</v>
      </c>
      <c r="F698" t="s">
        <v>39</v>
      </c>
      <c r="G698" t="s">
        <v>79</v>
      </c>
      <c r="H698" t="s">
        <v>89</v>
      </c>
      <c r="I698">
        <v>12</v>
      </c>
      <c r="J698">
        <v>300.08</v>
      </c>
      <c r="K698">
        <v>0.1</v>
      </c>
      <c r="L698">
        <v>3240.86</v>
      </c>
      <c r="M698">
        <v>2052.0300000000002</v>
      </c>
      <c r="N698">
        <v>1188.83</v>
      </c>
      <c r="O698" t="s">
        <v>51</v>
      </c>
      <c r="P698">
        <v>5</v>
      </c>
      <c r="Q698" t="str">
        <f t="shared" si="60"/>
        <v>November</v>
      </c>
      <c r="R698" t="str">
        <f t="shared" si="61"/>
        <v>Q4</v>
      </c>
      <c r="S698">
        <f t="shared" si="62"/>
        <v>2024</v>
      </c>
      <c r="T698">
        <f t="shared" si="63"/>
        <v>1000811.2300000001</v>
      </c>
      <c r="U698">
        <f t="shared" si="64"/>
        <v>335263.74999999971</v>
      </c>
      <c r="V698">
        <f t="shared" si="65"/>
        <v>1.9851459634392357</v>
      </c>
    </row>
    <row r="699" spans="1:22" x14ac:dyDescent="0.35">
      <c r="A699" t="s">
        <v>1462</v>
      </c>
      <c r="B699" s="1">
        <v>45516</v>
      </c>
      <c r="C699" t="s">
        <v>1463</v>
      </c>
      <c r="D699" t="s">
        <v>66</v>
      </c>
      <c r="E699" t="s">
        <v>38</v>
      </c>
      <c r="F699" t="s">
        <v>21</v>
      </c>
      <c r="G699" t="s">
        <v>79</v>
      </c>
      <c r="H699" t="s">
        <v>80</v>
      </c>
      <c r="I699">
        <v>7</v>
      </c>
      <c r="J699">
        <v>609.42999999999995</v>
      </c>
      <c r="K699">
        <v>0.15</v>
      </c>
      <c r="L699">
        <v>3626.11</v>
      </c>
      <c r="M699">
        <v>2407.9699999999998</v>
      </c>
      <c r="N699">
        <v>1218.1400000000001</v>
      </c>
      <c r="O699" t="s">
        <v>51</v>
      </c>
      <c r="P699">
        <v>2</v>
      </c>
      <c r="Q699" t="str">
        <f t="shared" si="60"/>
        <v>August</v>
      </c>
      <c r="R699" t="str">
        <f t="shared" si="61"/>
        <v>Q3</v>
      </c>
      <c r="S699">
        <f t="shared" si="62"/>
        <v>2024</v>
      </c>
      <c r="T699">
        <f t="shared" si="63"/>
        <v>997570.37000000011</v>
      </c>
      <c r="U699">
        <f t="shared" si="64"/>
        <v>334074.91999999969</v>
      </c>
      <c r="V699">
        <f t="shared" si="65"/>
        <v>1.9860678257440008</v>
      </c>
    </row>
    <row r="700" spans="1:22" x14ac:dyDescent="0.35">
      <c r="A700" t="s">
        <v>1464</v>
      </c>
      <c r="B700" s="1">
        <v>45615</v>
      </c>
      <c r="C700" t="s">
        <v>1465</v>
      </c>
      <c r="D700" t="s">
        <v>19</v>
      </c>
      <c r="E700" t="s">
        <v>38</v>
      </c>
      <c r="F700" t="s">
        <v>21</v>
      </c>
      <c r="G700" t="s">
        <v>22</v>
      </c>
      <c r="H700" t="s">
        <v>23</v>
      </c>
      <c r="I700">
        <v>4</v>
      </c>
      <c r="J700">
        <v>210.68</v>
      </c>
      <c r="K700">
        <v>0</v>
      </c>
      <c r="L700">
        <v>842.72</v>
      </c>
      <c r="M700">
        <v>690.39</v>
      </c>
      <c r="N700">
        <v>152.33000000000001</v>
      </c>
      <c r="O700" t="s">
        <v>62</v>
      </c>
      <c r="P700">
        <v>2</v>
      </c>
      <c r="Q700" t="str">
        <f t="shared" si="60"/>
        <v>November</v>
      </c>
      <c r="R700" t="str">
        <f t="shared" si="61"/>
        <v>Q4</v>
      </c>
      <c r="S700">
        <f t="shared" si="62"/>
        <v>2024</v>
      </c>
      <c r="T700">
        <f t="shared" si="63"/>
        <v>993944.26000000013</v>
      </c>
      <c r="U700">
        <f t="shared" si="64"/>
        <v>332856.77999999968</v>
      </c>
      <c r="V700">
        <f t="shared" si="65"/>
        <v>1.9861018904286736</v>
      </c>
    </row>
    <row r="701" spans="1:22" x14ac:dyDescent="0.35">
      <c r="A701" t="s">
        <v>1466</v>
      </c>
      <c r="B701" s="1">
        <v>45557</v>
      </c>
      <c r="C701" t="s">
        <v>1467</v>
      </c>
      <c r="D701" t="s">
        <v>29</v>
      </c>
      <c r="E701" t="s">
        <v>20</v>
      </c>
      <c r="F701" t="s">
        <v>39</v>
      </c>
      <c r="G701" t="s">
        <v>22</v>
      </c>
      <c r="H701" t="s">
        <v>23</v>
      </c>
      <c r="I701">
        <v>8</v>
      </c>
      <c r="J701">
        <v>731.21</v>
      </c>
      <c r="K701">
        <v>0.15</v>
      </c>
      <c r="L701">
        <v>4972.2299999999996</v>
      </c>
      <c r="M701">
        <v>2564.16</v>
      </c>
      <c r="N701">
        <v>2408.0700000000002</v>
      </c>
      <c r="O701" t="s">
        <v>62</v>
      </c>
      <c r="P701">
        <v>2</v>
      </c>
      <c r="Q701" t="str">
        <f t="shared" si="60"/>
        <v>September</v>
      </c>
      <c r="R701" t="str">
        <f t="shared" si="61"/>
        <v>Q3</v>
      </c>
      <c r="S701">
        <f t="shared" si="62"/>
        <v>2024</v>
      </c>
      <c r="T701">
        <f t="shared" si="63"/>
        <v>993101.54000000015</v>
      </c>
      <c r="U701">
        <f t="shared" si="64"/>
        <v>332704.44999999966</v>
      </c>
      <c r="V701">
        <f t="shared" si="65"/>
        <v>1.9849361497869993</v>
      </c>
    </row>
    <row r="702" spans="1:22" x14ac:dyDescent="0.35">
      <c r="A702" t="s">
        <v>1468</v>
      </c>
      <c r="B702" s="1">
        <v>45398</v>
      </c>
      <c r="C702" t="s">
        <v>1469</v>
      </c>
      <c r="D702" t="s">
        <v>19</v>
      </c>
      <c r="E702" t="s">
        <v>30</v>
      </c>
      <c r="F702" t="s">
        <v>31</v>
      </c>
      <c r="G702" t="s">
        <v>79</v>
      </c>
      <c r="H702" t="s">
        <v>89</v>
      </c>
      <c r="I702">
        <v>3</v>
      </c>
      <c r="J702">
        <v>13.74</v>
      </c>
      <c r="K702">
        <v>0</v>
      </c>
      <c r="L702">
        <v>41.22</v>
      </c>
      <c r="M702">
        <v>26.73</v>
      </c>
      <c r="N702">
        <v>14.49</v>
      </c>
      <c r="O702" t="s">
        <v>62</v>
      </c>
      <c r="P702">
        <v>2</v>
      </c>
      <c r="Q702" t="str">
        <f t="shared" si="60"/>
        <v>April</v>
      </c>
      <c r="R702" t="str">
        <f t="shared" si="61"/>
        <v>Q2</v>
      </c>
      <c r="S702">
        <f t="shared" si="62"/>
        <v>2024</v>
      </c>
      <c r="T702">
        <f t="shared" si="63"/>
        <v>988129.31000000017</v>
      </c>
      <c r="U702">
        <f t="shared" si="64"/>
        <v>330296.37999999966</v>
      </c>
      <c r="V702">
        <f t="shared" si="65"/>
        <v>1.9916443831446207</v>
      </c>
    </row>
    <row r="703" spans="1:22" x14ac:dyDescent="0.35">
      <c r="A703" t="s">
        <v>1470</v>
      </c>
      <c r="B703" s="1">
        <v>45584</v>
      </c>
      <c r="C703" t="s">
        <v>1471</v>
      </c>
      <c r="D703" t="s">
        <v>29</v>
      </c>
      <c r="E703" t="s">
        <v>20</v>
      </c>
      <c r="F703" t="s">
        <v>31</v>
      </c>
      <c r="G703" t="s">
        <v>79</v>
      </c>
      <c r="H703" t="s">
        <v>103</v>
      </c>
      <c r="I703">
        <v>8</v>
      </c>
      <c r="J703">
        <v>217.67</v>
      </c>
      <c r="K703">
        <v>0.15</v>
      </c>
      <c r="L703">
        <v>1480.16</v>
      </c>
      <c r="M703">
        <v>964.12</v>
      </c>
      <c r="N703">
        <v>516.04</v>
      </c>
      <c r="O703" t="s">
        <v>33</v>
      </c>
      <c r="P703">
        <v>3</v>
      </c>
      <c r="Q703" t="str">
        <f t="shared" si="60"/>
        <v>October</v>
      </c>
      <c r="R703" t="str">
        <f t="shared" si="61"/>
        <v>Q4</v>
      </c>
      <c r="S703">
        <f t="shared" si="62"/>
        <v>2024</v>
      </c>
      <c r="T703">
        <f t="shared" si="63"/>
        <v>988088.0900000002</v>
      </c>
      <c r="U703">
        <f t="shared" si="64"/>
        <v>330281.88999999961</v>
      </c>
      <c r="V703">
        <f t="shared" si="65"/>
        <v>1.991650828932829</v>
      </c>
    </row>
    <row r="704" spans="1:22" x14ac:dyDescent="0.35">
      <c r="A704" t="s">
        <v>1472</v>
      </c>
      <c r="B704" s="1">
        <v>45522</v>
      </c>
      <c r="C704" t="s">
        <v>1473</v>
      </c>
      <c r="D704" t="s">
        <v>66</v>
      </c>
      <c r="E704" t="s">
        <v>30</v>
      </c>
      <c r="F704" t="s">
        <v>39</v>
      </c>
      <c r="G704" t="s">
        <v>43</v>
      </c>
      <c r="H704" t="s">
        <v>50</v>
      </c>
      <c r="I704">
        <v>1</v>
      </c>
      <c r="J704">
        <v>709.37</v>
      </c>
      <c r="K704">
        <v>0.1</v>
      </c>
      <c r="L704">
        <v>638.42999999999995</v>
      </c>
      <c r="M704">
        <v>336.97</v>
      </c>
      <c r="N704">
        <v>301.45999999999998</v>
      </c>
      <c r="O704" t="s">
        <v>51</v>
      </c>
      <c r="P704">
        <v>5</v>
      </c>
      <c r="Q704" t="str">
        <f t="shared" si="60"/>
        <v>August</v>
      </c>
      <c r="R704" t="str">
        <f t="shared" si="61"/>
        <v>Q3</v>
      </c>
      <c r="S704">
        <f t="shared" si="62"/>
        <v>2024</v>
      </c>
      <c r="T704">
        <f t="shared" si="63"/>
        <v>986607.93000000017</v>
      </c>
      <c r="U704">
        <f t="shared" si="64"/>
        <v>329765.84999999963</v>
      </c>
      <c r="V704">
        <f t="shared" si="65"/>
        <v>1.9918438492039163</v>
      </c>
    </row>
    <row r="705" spans="1:22" x14ac:dyDescent="0.35">
      <c r="A705" t="s">
        <v>1474</v>
      </c>
      <c r="B705" s="1">
        <v>45536</v>
      </c>
      <c r="C705" t="s">
        <v>1475</v>
      </c>
      <c r="D705" t="s">
        <v>37</v>
      </c>
      <c r="E705" t="s">
        <v>38</v>
      </c>
      <c r="F705" t="s">
        <v>21</v>
      </c>
      <c r="G705" t="s">
        <v>43</v>
      </c>
      <c r="H705" t="s">
        <v>50</v>
      </c>
      <c r="I705">
        <v>11</v>
      </c>
      <c r="J705">
        <v>332.76</v>
      </c>
      <c r="K705">
        <v>0.15</v>
      </c>
      <c r="L705">
        <v>3111.31</v>
      </c>
      <c r="M705">
        <v>2114</v>
      </c>
      <c r="N705">
        <v>997.31</v>
      </c>
      <c r="O705" t="s">
        <v>62</v>
      </c>
      <c r="P705">
        <v>2</v>
      </c>
      <c r="Q705" t="str">
        <f t="shared" si="60"/>
        <v>September</v>
      </c>
      <c r="R705" t="str">
        <f t="shared" si="61"/>
        <v>Q3</v>
      </c>
      <c r="S705">
        <f t="shared" si="62"/>
        <v>2024</v>
      </c>
      <c r="T705">
        <f t="shared" si="63"/>
        <v>985969.50000000012</v>
      </c>
      <c r="U705">
        <f t="shared" si="64"/>
        <v>329464.38999999955</v>
      </c>
      <c r="V705">
        <f t="shared" si="65"/>
        <v>1.992643605580565</v>
      </c>
    </row>
    <row r="706" spans="1:22" x14ac:dyDescent="0.35">
      <c r="A706" t="s">
        <v>1476</v>
      </c>
      <c r="B706" s="1">
        <v>45638</v>
      </c>
      <c r="C706" t="s">
        <v>1477</v>
      </c>
      <c r="D706" t="s">
        <v>49</v>
      </c>
      <c r="E706" t="s">
        <v>20</v>
      </c>
      <c r="F706" t="s">
        <v>39</v>
      </c>
      <c r="G706" t="s">
        <v>43</v>
      </c>
      <c r="H706" t="s">
        <v>173</v>
      </c>
      <c r="I706">
        <v>3</v>
      </c>
      <c r="J706">
        <v>720.78</v>
      </c>
      <c r="K706">
        <v>0</v>
      </c>
      <c r="L706">
        <v>2162.34</v>
      </c>
      <c r="M706">
        <v>1616.88</v>
      </c>
      <c r="N706">
        <v>545.46</v>
      </c>
      <c r="O706" t="s">
        <v>24</v>
      </c>
      <c r="P706">
        <v>5</v>
      </c>
      <c r="Q706" t="str">
        <f t="shared" ref="Q706:Q769" si="66">TEXT(B706,"MMMM")</f>
        <v>December</v>
      </c>
      <c r="R706" t="str">
        <f t="shared" ref="R706:R769" si="67">"Q"&amp;ROUNDUP(MONTH(B706)/3,0)</f>
        <v>Q4</v>
      </c>
      <c r="S706">
        <f t="shared" ref="S706:S769" si="68">YEAR(B706)</f>
        <v>2024</v>
      </c>
      <c r="T706">
        <f t="shared" ref="T706:T769" si="69">SUM(L706:L1705)</f>
        <v>982858.19000000006</v>
      </c>
      <c r="U706">
        <f t="shared" ref="U706:U769" si="70">SUM(N706:N1705)</f>
        <v>328467.07999999955</v>
      </c>
      <c r="V706">
        <f t="shared" ref="V706:V769" si="71">(T706-U706)/U706</f>
        <v>1.9922578238281945</v>
      </c>
    </row>
    <row r="707" spans="1:22" x14ac:dyDescent="0.35">
      <c r="A707" t="s">
        <v>1478</v>
      </c>
      <c r="B707" s="1">
        <v>45650</v>
      </c>
      <c r="C707" t="s">
        <v>1479</v>
      </c>
      <c r="D707" t="s">
        <v>49</v>
      </c>
      <c r="E707" t="s">
        <v>38</v>
      </c>
      <c r="F707" t="s">
        <v>31</v>
      </c>
      <c r="G707" t="s">
        <v>22</v>
      </c>
      <c r="H707" t="s">
        <v>74</v>
      </c>
      <c r="I707">
        <v>12</v>
      </c>
      <c r="J707">
        <v>381.62</v>
      </c>
      <c r="K707">
        <v>0</v>
      </c>
      <c r="L707">
        <v>4579.4399999999996</v>
      </c>
      <c r="M707">
        <v>3843.49</v>
      </c>
      <c r="N707">
        <v>735.95</v>
      </c>
      <c r="O707" t="s">
        <v>24</v>
      </c>
      <c r="P707">
        <v>2</v>
      </c>
      <c r="Q707" t="str">
        <f t="shared" si="66"/>
        <v>December</v>
      </c>
      <c r="R707" t="str">
        <f t="shared" si="67"/>
        <v>Q4</v>
      </c>
      <c r="S707">
        <f t="shared" si="68"/>
        <v>2024</v>
      </c>
      <c r="T707">
        <f t="shared" si="69"/>
        <v>980695.85000000009</v>
      </c>
      <c r="U707">
        <f t="shared" si="70"/>
        <v>327921.61999999959</v>
      </c>
      <c r="V707">
        <f t="shared" si="71"/>
        <v>1.9906410257426799</v>
      </c>
    </row>
    <row r="708" spans="1:22" x14ac:dyDescent="0.35">
      <c r="A708" t="s">
        <v>1480</v>
      </c>
      <c r="B708" s="1">
        <v>45342</v>
      </c>
      <c r="C708" t="s">
        <v>1481</v>
      </c>
      <c r="D708" t="s">
        <v>29</v>
      </c>
      <c r="E708" t="s">
        <v>20</v>
      </c>
      <c r="F708" t="s">
        <v>21</v>
      </c>
      <c r="G708" t="s">
        <v>43</v>
      </c>
      <c r="H708" t="s">
        <v>50</v>
      </c>
      <c r="I708">
        <v>2</v>
      </c>
      <c r="J708">
        <v>453</v>
      </c>
      <c r="K708">
        <v>0.15</v>
      </c>
      <c r="L708">
        <v>770.1</v>
      </c>
      <c r="M708">
        <v>591.1</v>
      </c>
      <c r="N708">
        <v>179</v>
      </c>
      <c r="O708" t="s">
        <v>33</v>
      </c>
      <c r="P708">
        <v>1</v>
      </c>
      <c r="Q708" t="str">
        <f t="shared" si="66"/>
        <v>February</v>
      </c>
      <c r="R708" t="str">
        <f t="shared" si="67"/>
        <v>Q1</v>
      </c>
      <c r="S708">
        <f t="shared" si="68"/>
        <v>2024</v>
      </c>
      <c r="T708">
        <f t="shared" si="69"/>
        <v>976116.41</v>
      </c>
      <c r="U708">
        <f t="shared" si="70"/>
        <v>327185.66999999958</v>
      </c>
      <c r="V708">
        <f t="shared" si="71"/>
        <v>1.9833715211304985</v>
      </c>
    </row>
    <row r="709" spans="1:22" x14ac:dyDescent="0.35">
      <c r="A709" t="s">
        <v>1482</v>
      </c>
      <c r="B709" s="1">
        <v>45473</v>
      </c>
      <c r="C709" t="s">
        <v>1483</v>
      </c>
      <c r="D709" t="s">
        <v>49</v>
      </c>
      <c r="E709" t="s">
        <v>20</v>
      </c>
      <c r="F709" t="s">
        <v>39</v>
      </c>
      <c r="G709" t="s">
        <v>79</v>
      </c>
      <c r="H709" t="s">
        <v>89</v>
      </c>
      <c r="I709">
        <v>3</v>
      </c>
      <c r="J709">
        <v>683.01</v>
      </c>
      <c r="K709">
        <v>0.05</v>
      </c>
      <c r="L709">
        <v>1946.58</v>
      </c>
      <c r="M709">
        <v>1184.54</v>
      </c>
      <c r="N709">
        <v>762.04</v>
      </c>
      <c r="O709" t="s">
        <v>62</v>
      </c>
      <c r="P709">
        <v>3</v>
      </c>
      <c r="Q709" t="str">
        <f t="shared" si="66"/>
        <v>June</v>
      </c>
      <c r="R709" t="str">
        <f t="shared" si="67"/>
        <v>Q2</v>
      </c>
      <c r="S709">
        <f t="shared" si="68"/>
        <v>2024</v>
      </c>
      <c r="T709">
        <f t="shared" si="69"/>
        <v>975346.31</v>
      </c>
      <c r="U709">
        <f t="shared" si="70"/>
        <v>327006.66999999958</v>
      </c>
      <c r="V709">
        <f t="shared" si="71"/>
        <v>1.9826495893799394</v>
      </c>
    </row>
    <row r="710" spans="1:22" x14ac:dyDescent="0.35">
      <c r="A710" t="s">
        <v>1484</v>
      </c>
      <c r="B710" s="1">
        <v>45470</v>
      </c>
      <c r="C710" t="s">
        <v>1485</v>
      </c>
      <c r="D710" t="s">
        <v>19</v>
      </c>
      <c r="E710" t="s">
        <v>85</v>
      </c>
      <c r="F710" t="s">
        <v>31</v>
      </c>
      <c r="G710" t="s">
        <v>22</v>
      </c>
      <c r="H710" t="s">
        <v>124</v>
      </c>
      <c r="I710">
        <v>10</v>
      </c>
      <c r="J710">
        <v>638.55999999999995</v>
      </c>
      <c r="K710">
        <v>0.1</v>
      </c>
      <c r="L710">
        <v>5747.04</v>
      </c>
      <c r="M710">
        <v>3949.94</v>
      </c>
      <c r="N710">
        <v>1797.1</v>
      </c>
      <c r="O710" t="s">
        <v>24</v>
      </c>
      <c r="P710">
        <v>4</v>
      </c>
      <c r="Q710" t="str">
        <f t="shared" si="66"/>
        <v>June</v>
      </c>
      <c r="R710" t="str">
        <f t="shared" si="67"/>
        <v>Q2</v>
      </c>
      <c r="S710">
        <f t="shared" si="68"/>
        <v>2024</v>
      </c>
      <c r="T710">
        <f t="shared" si="69"/>
        <v>973399.7300000001</v>
      </c>
      <c r="U710">
        <f t="shared" si="70"/>
        <v>326244.62999999966</v>
      </c>
      <c r="V710">
        <f t="shared" si="71"/>
        <v>1.9836498151709077</v>
      </c>
    </row>
    <row r="711" spans="1:22" x14ac:dyDescent="0.35">
      <c r="A711" t="s">
        <v>1486</v>
      </c>
      <c r="B711" s="1">
        <v>45508</v>
      </c>
      <c r="C711" t="s">
        <v>1487</v>
      </c>
      <c r="D711" t="s">
        <v>29</v>
      </c>
      <c r="E711" t="s">
        <v>20</v>
      </c>
      <c r="F711" t="s">
        <v>21</v>
      </c>
      <c r="G711" t="s">
        <v>60</v>
      </c>
      <c r="H711" t="s">
        <v>119</v>
      </c>
      <c r="I711">
        <v>7</v>
      </c>
      <c r="J711">
        <v>517.97</v>
      </c>
      <c r="K711">
        <v>0</v>
      </c>
      <c r="L711">
        <v>3625.79</v>
      </c>
      <c r="M711">
        <v>1921.8</v>
      </c>
      <c r="N711">
        <v>1703.99</v>
      </c>
      <c r="O711" t="s">
        <v>33</v>
      </c>
      <c r="P711">
        <v>3</v>
      </c>
      <c r="Q711" t="str">
        <f t="shared" si="66"/>
        <v>August</v>
      </c>
      <c r="R711" t="str">
        <f t="shared" si="67"/>
        <v>Q3</v>
      </c>
      <c r="S711">
        <f t="shared" si="68"/>
        <v>2024</v>
      </c>
      <c r="T711">
        <f t="shared" si="69"/>
        <v>967652.69000000006</v>
      </c>
      <c r="U711">
        <f t="shared" si="70"/>
        <v>324447.52999999968</v>
      </c>
      <c r="V711">
        <f t="shared" si="71"/>
        <v>1.9824628037698453</v>
      </c>
    </row>
    <row r="712" spans="1:22" x14ac:dyDescent="0.35">
      <c r="A712" t="s">
        <v>1488</v>
      </c>
      <c r="B712" s="1">
        <v>45513</v>
      </c>
      <c r="C712" t="s">
        <v>1489</v>
      </c>
      <c r="D712" t="s">
        <v>19</v>
      </c>
      <c r="E712" t="s">
        <v>30</v>
      </c>
      <c r="F712" t="s">
        <v>31</v>
      </c>
      <c r="G712" t="s">
        <v>60</v>
      </c>
      <c r="H712" t="s">
        <v>119</v>
      </c>
      <c r="I712">
        <v>8</v>
      </c>
      <c r="J712">
        <v>472.21</v>
      </c>
      <c r="K712">
        <v>0</v>
      </c>
      <c r="L712">
        <v>3777.68</v>
      </c>
      <c r="M712">
        <v>2327.9699999999998</v>
      </c>
      <c r="N712">
        <v>1449.71</v>
      </c>
      <c r="O712" t="s">
        <v>62</v>
      </c>
      <c r="P712">
        <v>1</v>
      </c>
      <c r="Q712" t="str">
        <f t="shared" si="66"/>
        <v>August</v>
      </c>
      <c r="R712" t="str">
        <f t="shared" si="67"/>
        <v>Q3</v>
      </c>
      <c r="S712">
        <f t="shared" si="68"/>
        <v>2024</v>
      </c>
      <c r="T712">
        <f t="shared" si="69"/>
        <v>964026.89999999991</v>
      </c>
      <c r="U712">
        <f t="shared" si="70"/>
        <v>322743.53999999969</v>
      </c>
      <c r="V712">
        <f t="shared" si="71"/>
        <v>1.9869750452634958</v>
      </c>
    </row>
    <row r="713" spans="1:22" x14ac:dyDescent="0.35">
      <c r="A713" t="s">
        <v>1490</v>
      </c>
      <c r="B713" s="1">
        <v>45521</v>
      </c>
      <c r="C713" t="s">
        <v>1491</v>
      </c>
      <c r="D713" t="s">
        <v>49</v>
      </c>
      <c r="E713" t="s">
        <v>85</v>
      </c>
      <c r="F713" t="s">
        <v>31</v>
      </c>
      <c r="G713" t="s">
        <v>22</v>
      </c>
      <c r="H713" t="s">
        <v>23</v>
      </c>
      <c r="I713">
        <v>8</v>
      </c>
      <c r="J713">
        <v>177.37</v>
      </c>
      <c r="K713">
        <v>0</v>
      </c>
      <c r="L713">
        <v>1418.96</v>
      </c>
      <c r="M713">
        <v>849.61</v>
      </c>
      <c r="N713">
        <v>569.35</v>
      </c>
      <c r="O713" t="s">
        <v>24</v>
      </c>
      <c r="P713">
        <v>5</v>
      </c>
      <c r="Q713" t="str">
        <f t="shared" si="66"/>
        <v>August</v>
      </c>
      <c r="R713" t="str">
        <f t="shared" si="67"/>
        <v>Q3</v>
      </c>
      <c r="S713">
        <f t="shared" si="68"/>
        <v>2024</v>
      </c>
      <c r="T713">
        <f t="shared" si="69"/>
        <v>960249.22</v>
      </c>
      <c r="U713">
        <f t="shared" si="70"/>
        <v>321293.82999999967</v>
      </c>
      <c r="V713">
        <f t="shared" si="71"/>
        <v>1.9886948653822609</v>
      </c>
    </row>
    <row r="714" spans="1:22" x14ac:dyDescent="0.35">
      <c r="A714" t="s">
        <v>1492</v>
      </c>
      <c r="B714" s="1">
        <v>45615</v>
      </c>
      <c r="C714" t="s">
        <v>1493</v>
      </c>
      <c r="D714" t="s">
        <v>19</v>
      </c>
      <c r="E714" t="s">
        <v>98</v>
      </c>
      <c r="F714" t="s">
        <v>21</v>
      </c>
      <c r="G714" t="s">
        <v>22</v>
      </c>
      <c r="H714" t="s">
        <v>74</v>
      </c>
      <c r="I714">
        <v>9</v>
      </c>
      <c r="J714">
        <v>1182.57</v>
      </c>
      <c r="K714">
        <v>0</v>
      </c>
      <c r="L714">
        <v>10643.13</v>
      </c>
      <c r="M714">
        <v>7804.48</v>
      </c>
      <c r="N714">
        <v>2838.65</v>
      </c>
      <c r="O714" t="s">
        <v>33</v>
      </c>
      <c r="P714">
        <v>3</v>
      </c>
      <c r="Q714" t="str">
        <f t="shared" si="66"/>
        <v>November</v>
      </c>
      <c r="R714" t="str">
        <f t="shared" si="67"/>
        <v>Q4</v>
      </c>
      <c r="S714">
        <f t="shared" si="68"/>
        <v>2024</v>
      </c>
      <c r="T714">
        <f t="shared" si="69"/>
        <v>958830.25999999989</v>
      </c>
      <c r="U714">
        <f t="shared" si="70"/>
        <v>320724.47999999969</v>
      </c>
      <c r="V714">
        <f t="shared" si="71"/>
        <v>1.9895761620690784</v>
      </c>
    </row>
    <row r="715" spans="1:22" x14ac:dyDescent="0.35">
      <c r="A715" t="s">
        <v>1494</v>
      </c>
      <c r="B715" s="1">
        <v>45634</v>
      </c>
      <c r="C715" t="s">
        <v>1495</v>
      </c>
      <c r="D715" t="s">
        <v>49</v>
      </c>
      <c r="E715" t="s">
        <v>85</v>
      </c>
      <c r="F715" t="s">
        <v>21</v>
      </c>
      <c r="G715" t="s">
        <v>79</v>
      </c>
      <c r="H715" t="s">
        <v>103</v>
      </c>
      <c r="I715">
        <v>3</v>
      </c>
      <c r="J715">
        <v>465.12</v>
      </c>
      <c r="K715">
        <v>0</v>
      </c>
      <c r="L715">
        <v>1395.36</v>
      </c>
      <c r="M715">
        <v>850.55</v>
      </c>
      <c r="N715">
        <v>544.80999999999995</v>
      </c>
      <c r="O715" t="s">
        <v>24</v>
      </c>
      <c r="P715">
        <v>3</v>
      </c>
      <c r="Q715" t="str">
        <f t="shared" si="66"/>
        <v>December</v>
      </c>
      <c r="R715" t="str">
        <f t="shared" si="67"/>
        <v>Q4</v>
      </c>
      <c r="S715">
        <f t="shared" si="68"/>
        <v>2024</v>
      </c>
      <c r="T715">
        <f t="shared" si="69"/>
        <v>948187.12999999989</v>
      </c>
      <c r="U715">
        <f t="shared" si="70"/>
        <v>317885.82999999973</v>
      </c>
      <c r="V715">
        <f t="shared" si="71"/>
        <v>1.982791431753975</v>
      </c>
    </row>
    <row r="716" spans="1:22" x14ac:dyDescent="0.35">
      <c r="A716" t="s">
        <v>1496</v>
      </c>
      <c r="B716" s="1">
        <v>45540</v>
      </c>
      <c r="C716" t="s">
        <v>1497</v>
      </c>
      <c r="D716" t="s">
        <v>49</v>
      </c>
      <c r="E716" t="s">
        <v>38</v>
      </c>
      <c r="F716" t="s">
        <v>31</v>
      </c>
      <c r="G716" t="s">
        <v>79</v>
      </c>
      <c r="H716" t="s">
        <v>80</v>
      </c>
      <c r="I716">
        <v>8</v>
      </c>
      <c r="J716">
        <v>181.93</v>
      </c>
      <c r="K716">
        <v>0.15</v>
      </c>
      <c r="L716">
        <v>1237.1199999999999</v>
      </c>
      <c r="M716">
        <v>755.35</v>
      </c>
      <c r="N716">
        <v>481.77</v>
      </c>
      <c r="O716" t="s">
        <v>51</v>
      </c>
      <c r="P716">
        <v>1</v>
      </c>
      <c r="Q716" t="str">
        <f t="shared" si="66"/>
        <v>September</v>
      </c>
      <c r="R716" t="str">
        <f t="shared" si="67"/>
        <v>Q3</v>
      </c>
      <c r="S716">
        <f t="shared" si="68"/>
        <v>2024</v>
      </c>
      <c r="T716">
        <f t="shared" si="69"/>
        <v>946791.7699999999</v>
      </c>
      <c r="U716">
        <f t="shared" si="70"/>
        <v>317341.01999999967</v>
      </c>
      <c r="V716">
        <f t="shared" si="71"/>
        <v>1.9835152417421513</v>
      </c>
    </row>
    <row r="717" spans="1:22" x14ac:dyDescent="0.35">
      <c r="A717" t="s">
        <v>1498</v>
      </c>
      <c r="B717" s="1">
        <v>45640</v>
      </c>
      <c r="C717" t="s">
        <v>1499</v>
      </c>
      <c r="D717" t="s">
        <v>19</v>
      </c>
      <c r="E717" t="s">
        <v>98</v>
      </c>
      <c r="F717" t="s">
        <v>21</v>
      </c>
      <c r="G717" t="s">
        <v>43</v>
      </c>
      <c r="H717" t="s">
        <v>44</v>
      </c>
      <c r="I717">
        <v>12</v>
      </c>
      <c r="J717">
        <v>157.24</v>
      </c>
      <c r="K717">
        <v>0.1</v>
      </c>
      <c r="L717">
        <v>1698.19</v>
      </c>
      <c r="M717">
        <v>1272.05</v>
      </c>
      <c r="N717">
        <v>426.14</v>
      </c>
      <c r="O717" t="s">
        <v>33</v>
      </c>
      <c r="P717">
        <v>1</v>
      </c>
      <c r="Q717" t="str">
        <f t="shared" si="66"/>
        <v>December</v>
      </c>
      <c r="R717" t="str">
        <f t="shared" si="67"/>
        <v>Q4</v>
      </c>
      <c r="S717">
        <f t="shared" si="68"/>
        <v>2024</v>
      </c>
      <c r="T717">
        <f t="shared" si="69"/>
        <v>945554.64999999991</v>
      </c>
      <c r="U717">
        <f t="shared" si="70"/>
        <v>316859.24999999965</v>
      </c>
      <c r="V717">
        <f t="shared" si="71"/>
        <v>1.984147219940718</v>
      </c>
    </row>
    <row r="718" spans="1:22" x14ac:dyDescent="0.35">
      <c r="A718" t="s">
        <v>1500</v>
      </c>
      <c r="B718" s="1">
        <v>45428</v>
      </c>
      <c r="C718" t="s">
        <v>1501</v>
      </c>
      <c r="D718" t="s">
        <v>49</v>
      </c>
      <c r="E718" t="s">
        <v>30</v>
      </c>
      <c r="F718" t="s">
        <v>21</v>
      </c>
      <c r="G718" t="s">
        <v>22</v>
      </c>
      <c r="H718" t="s">
        <v>23</v>
      </c>
      <c r="I718">
        <v>2</v>
      </c>
      <c r="J718">
        <v>1030.1099999999999</v>
      </c>
      <c r="K718">
        <v>0.1</v>
      </c>
      <c r="L718">
        <v>1854.2</v>
      </c>
      <c r="M718">
        <v>1206.19</v>
      </c>
      <c r="N718">
        <v>648.01</v>
      </c>
      <c r="O718" t="s">
        <v>51</v>
      </c>
      <c r="P718">
        <v>2</v>
      </c>
      <c r="Q718" t="str">
        <f t="shared" si="66"/>
        <v>May</v>
      </c>
      <c r="R718" t="str">
        <f t="shared" si="67"/>
        <v>Q2</v>
      </c>
      <c r="S718">
        <f t="shared" si="68"/>
        <v>2024</v>
      </c>
      <c r="T718">
        <f t="shared" si="69"/>
        <v>943856.46</v>
      </c>
      <c r="U718">
        <f t="shared" si="70"/>
        <v>316433.10999999964</v>
      </c>
      <c r="V718">
        <f t="shared" si="71"/>
        <v>1.9827993031449871</v>
      </c>
    </row>
    <row r="719" spans="1:22" x14ac:dyDescent="0.35">
      <c r="A719" t="s">
        <v>1502</v>
      </c>
      <c r="B719" s="1">
        <v>45607</v>
      </c>
      <c r="C719" t="s">
        <v>1503</v>
      </c>
      <c r="D719" t="s">
        <v>66</v>
      </c>
      <c r="E719" t="s">
        <v>85</v>
      </c>
      <c r="F719" t="s">
        <v>21</v>
      </c>
      <c r="G719" t="s">
        <v>22</v>
      </c>
      <c r="H719" t="s">
        <v>23</v>
      </c>
      <c r="I719">
        <v>5</v>
      </c>
      <c r="J719">
        <v>142.16</v>
      </c>
      <c r="K719">
        <v>0.15</v>
      </c>
      <c r="L719">
        <v>604.17999999999995</v>
      </c>
      <c r="M719">
        <v>475.5</v>
      </c>
      <c r="N719">
        <v>128.68</v>
      </c>
      <c r="O719" t="s">
        <v>51</v>
      </c>
      <c r="P719">
        <v>5</v>
      </c>
      <c r="Q719" t="str">
        <f t="shared" si="66"/>
        <v>November</v>
      </c>
      <c r="R719" t="str">
        <f t="shared" si="67"/>
        <v>Q4</v>
      </c>
      <c r="S719">
        <f t="shared" si="68"/>
        <v>2024</v>
      </c>
      <c r="T719">
        <f t="shared" si="69"/>
        <v>942002.25999999989</v>
      </c>
      <c r="U719">
        <f t="shared" si="70"/>
        <v>315785.09999999963</v>
      </c>
      <c r="V719">
        <f t="shared" si="71"/>
        <v>1.9830484718880055</v>
      </c>
    </row>
    <row r="720" spans="1:22" x14ac:dyDescent="0.35">
      <c r="A720" t="s">
        <v>1504</v>
      </c>
      <c r="B720" s="1">
        <v>45315</v>
      </c>
      <c r="C720" t="s">
        <v>1505</v>
      </c>
      <c r="D720" t="s">
        <v>66</v>
      </c>
      <c r="E720" t="s">
        <v>98</v>
      </c>
      <c r="F720" t="s">
        <v>21</v>
      </c>
      <c r="G720" t="s">
        <v>22</v>
      </c>
      <c r="H720" t="s">
        <v>74</v>
      </c>
      <c r="I720">
        <v>11</v>
      </c>
      <c r="J720">
        <v>277.05</v>
      </c>
      <c r="K720">
        <v>0.1</v>
      </c>
      <c r="L720">
        <v>2742.8</v>
      </c>
      <c r="M720">
        <v>2175.16</v>
      </c>
      <c r="N720">
        <v>567.64</v>
      </c>
      <c r="O720" t="s">
        <v>62</v>
      </c>
      <c r="P720">
        <v>3</v>
      </c>
      <c r="Q720" t="str">
        <f t="shared" si="66"/>
        <v>January</v>
      </c>
      <c r="R720" t="str">
        <f t="shared" si="67"/>
        <v>Q1</v>
      </c>
      <c r="S720">
        <f t="shared" si="68"/>
        <v>2024</v>
      </c>
      <c r="T720">
        <f t="shared" si="69"/>
        <v>941398.08</v>
      </c>
      <c r="U720">
        <f t="shared" si="70"/>
        <v>315656.41999999963</v>
      </c>
      <c r="V720">
        <f t="shared" si="71"/>
        <v>1.9823504936158154</v>
      </c>
    </row>
    <row r="721" spans="1:22" x14ac:dyDescent="0.35">
      <c r="A721" t="s">
        <v>1506</v>
      </c>
      <c r="B721" s="1">
        <v>45563</v>
      </c>
      <c r="C721" t="s">
        <v>1507</v>
      </c>
      <c r="D721" t="s">
        <v>66</v>
      </c>
      <c r="E721" t="s">
        <v>85</v>
      </c>
      <c r="F721" t="s">
        <v>31</v>
      </c>
      <c r="G721" t="s">
        <v>60</v>
      </c>
      <c r="H721" t="s">
        <v>119</v>
      </c>
      <c r="I721">
        <v>7</v>
      </c>
      <c r="J721">
        <v>638.08000000000004</v>
      </c>
      <c r="K721">
        <v>0.05</v>
      </c>
      <c r="L721">
        <v>4243.2299999999996</v>
      </c>
      <c r="M721">
        <v>2685.72</v>
      </c>
      <c r="N721">
        <v>1557.51</v>
      </c>
      <c r="O721" t="s">
        <v>33</v>
      </c>
      <c r="P721">
        <v>2</v>
      </c>
      <c r="Q721" t="str">
        <f t="shared" si="66"/>
        <v>September</v>
      </c>
      <c r="R721" t="str">
        <f t="shared" si="67"/>
        <v>Q3</v>
      </c>
      <c r="S721">
        <f t="shared" si="68"/>
        <v>2024</v>
      </c>
      <c r="T721">
        <f t="shared" si="69"/>
        <v>938655.27999999991</v>
      </c>
      <c r="U721">
        <f t="shared" si="70"/>
        <v>315088.77999999962</v>
      </c>
      <c r="V721">
        <f t="shared" si="71"/>
        <v>1.9790184214112638</v>
      </c>
    </row>
    <row r="722" spans="1:22" x14ac:dyDescent="0.35">
      <c r="A722" t="s">
        <v>1508</v>
      </c>
      <c r="B722" s="1">
        <v>45360</v>
      </c>
      <c r="C722" t="s">
        <v>1509</v>
      </c>
      <c r="D722" t="s">
        <v>19</v>
      </c>
      <c r="E722" t="s">
        <v>98</v>
      </c>
      <c r="F722" t="s">
        <v>31</v>
      </c>
      <c r="G722" t="s">
        <v>22</v>
      </c>
      <c r="H722" t="s">
        <v>124</v>
      </c>
      <c r="I722">
        <v>8</v>
      </c>
      <c r="J722">
        <v>67.28</v>
      </c>
      <c r="K722">
        <v>0.05</v>
      </c>
      <c r="L722">
        <v>511.33</v>
      </c>
      <c r="M722">
        <v>301.14999999999998</v>
      </c>
      <c r="N722">
        <v>210.18</v>
      </c>
      <c r="O722" t="s">
        <v>33</v>
      </c>
      <c r="P722">
        <v>2</v>
      </c>
      <c r="Q722" t="str">
        <f t="shared" si="66"/>
        <v>March</v>
      </c>
      <c r="R722" t="str">
        <f t="shared" si="67"/>
        <v>Q1</v>
      </c>
      <c r="S722">
        <f t="shared" si="68"/>
        <v>2024</v>
      </c>
      <c r="T722">
        <f t="shared" si="69"/>
        <v>934412.04999999981</v>
      </c>
      <c r="U722">
        <f t="shared" si="70"/>
        <v>313531.26999999967</v>
      </c>
      <c r="V722">
        <f t="shared" si="71"/>
        <v>1.980283433929894</v>
      </c>
    </row>
    <row r="723" spans="1:22" x14ac:dyDescent="0.35">
      <c r="A723" t="s">
        <v>1510</v>
      </c>
      <c r="B723" s="1">
        <v>45636</v>
      </c>
      <c r="C723" t="s">
        <v>1511</v>
      </c>
      <c r="D723" t="s">
        <v>66</v>
      </c>
      <c r="E723" t="s">
        <v>30</v>
      </c>
      <c r="F723" t="s">
        <v>21</v>
      </c>
      <c r="G723" t="s">
        <v>22</v>
      </c>
      <c r="H723" t="s">
        <v>124</v>
      </c>
      <c r="I723">
        <v>4</v>
      </c>
      <c r="J723">
        <v>676</v>
      </c>
      <c r="K723">
        <v>0.15</v>
      </c>
      <c r="L723">
        <v>2298.4</v>
      </c>
      <c r="M723">
        <v>1754.33</v>
      </c>
      <c r="N723">
        <v>544.07000000000005</v>
      </c>
      <c r="O723" t="s">
        <v>33</v>
      </c>
      <c r="P723">
        <v>5</v>
      </c>
      <c r="Q723" t="str">
        <f t="shared" si="66"/>
        <v>December</v>
      </c>
      <c r="R723" t="str">
        <f t="shared" si="67"/>
        <v>Q4</v>
      </c>
      <c r="S723">
        <f t="shared" si="68"/>
        <v>2024</v>
      </c>
      <c r="T723">
        <f t="shared" si="69"/>
        <v>933900.71999999974</v>
      </c>
      <c r="U723">
        <f t="shared" si="70"/>
        <v>313321.08999999962</v>
      </c>
      <c r="V723">
        <f t="shared" si="71"/>
        <v>1.9806506801058328</v>
      </c>
    </row>
    <row r="724" spans="1:22" x14ac:dyDescent="0.35">
      <c r="A724" t="s">
        <v>1512</v>
      </c>
      <c r="B724" s="1">
        <v>45509</v>
      </c>
      <c r="C724" t="s">
        <v>1513</v>
      </c>
      <c r="D724" t="s">
        <v>37</v>
      </c>
      <c r="E724" t="s">
        <v>20</v>
      </c>
      <c r="F724" t="s">
        <v>21</v>
      </c>
      <c r="G724" t="s">
        <v>60</v>
      </c>
      <c r="H724" t="s">
        <v>61</v>
      </c>
      <c r="I724">
        <v>5</v>
      </c>
      <c r="J724">
        <v>194.45</v>
      </c>
      <c r="K724">
        <v>0.15</v>
      </c>
      <c r="L724">
        <v>826.41</v>
      </c>
      <c r="M724">
        <v>508.76</v>
      </c>
      <c r="N724">
        <v>317.64999999999998</v>
      </c>
      <c r="O724" t="s">
        <v>24</v>
      </c>
      <c r="P724">
        <v>2</v>
      </c>
      <c r="Q724" t="str">
        <f t="shared" si="66"/>
        <v>August</v>
      </c>
      <c r="R724" t="str">
        <f t="shared" si="67"/>
        <v>Q3</v>
      </c>
      <c r="S724">
        <f t="shared" si="68"/>
        <v>2024</v>
      </c>
      <c r="T724">
        <f t="shared" si="69"/>
        <v>931602.31999999983</v>
      </c>
      <c r="U724">
        <f t="shared" si="70"/>
        <v>312777.01999999967</v>
      </c>
      <c r="V724">
        <f t="shared" si="71"/>
        <v>1.9784871024092525</v>
      </c>
    </row>
    <row r="725" spans="1:22" x14ac:dyDescent="0.35">
      <c r="A725" t="s">
        <v>1514</v>
      </c>
      <c r="B725" s="1">
        <v>45476</v>
      </c>
      <c r="C725" t="s">
        <v>1515</v>
      </c>
      <c r="D725" t="s">
        <v>37</v>
      </c>
      <c r="E725" t="s">
        <v>38</v>
      </c>
      <c r="F725" t="s">
        <v>39</v>
      </c>
      <c r="G725" t="s">
        <v>60</v>
      </c>
      <c r="H725" t="s">
        <v>110</v>
      </c>
      <c r="I725">
        <v>3</v>
      </c>
      <c r="J725">
        <v>216.6</v>
      </c>
      <c r="K725">
        <v>0</v>
      </c>
      <c r="L725">
        <v>649.79999999999995</v>
      </c>
      <c r="M725">
        <v>411.09</v>
      </c>
      <c r="N725">
        <v>238.71</v>
      </c>
      <c r="O725" t="s">
        <v>24</v>
      </c>
      <c r="P725">
        <v>4</v>
      </c>
      <c r="Q725" t="str">
        <f t="shared" si="66"/>
        <v>July</v>
      </c>
      <c r="R725" t="str">
        <f t="shared" si="67"/>
        <v>Q3</v>
      </c>
      <c r="S725">
        <f t="shared" si="68"/>
        <v>2024</v>
      </c>
      <c r="T725">
        <f t="shared" si="69"/>
        <v>930775.9099999998</v>
      </c>
      <c r="U725">
        <f t="shared" si="70"/>
        <v>312459.36999999965</v>
      </c>
      <c r="V725">
        <f t="shared" si="71"/>
        <v>1.9788702127895887</v>
      </c>
    </row>
    <row r="726" spans="1:22" x14ac:dyDescent="0.35">
      <c r="A726" t="s">
        <v>1516</v>
      </c>
      <c r="B726" s="1">
        <v>45370</v>
      </c>
      <c r="C726" t="s">
        <v>1517</v>
      </c>
      <c r="D726" t="s">
        <v>19</v>
      </c>
      <c r="E726" t="s">
        <v>30</v>
      </c>
      <c r="F726" t="s">
        <v>21</v>
      </c>
      <c r="G726" t="s">
        <v>79</v>
      </c>
      <c r="H726" t="s">
        <v>89</v>
      </c>
      <c r="I726">
        <v>11</v>
      </c>
      <c r="J726">
        <v>782.86</v>
      </c>
      <c r="K726">
        <v>0.15</v>
      </c>
      <c r="L726">
        <v>7319.74</v>
      </c>
      <c r="M726">
        <v>4844.8</v>
      </c>
      <c r="N726">
        <v>2474.94</v>
      </c>
      <c r="O726" t="s">
        <v>51</v>
      </c>
      <c r="P726">
        <v>1</v>
      </c>
      <c r="Q726" t="str">
        <f t="shared" si="66"/>
        <v>March</v>
      </c>
      <c r="R726" t="str">
        <f t="shared" si="67"/>
        <v>Q1</v>
      </c>
      <c r="S726">
        <f t="shared" si="68"/>
        <v>2024</v>
      </c>
      <c r="T726">
        <f t="shared" si="69"/>
        <v>930126.10999999975</v>
      </c>
      <c r="U726">
        <f t="shared" si="70"/>
        <v>312220.65999999963</v>
      </c>
      <c r="V726">
        <f t="shared" si="71"/>
        <v>1.9790665037989508</v>
      </c>
    </row>
    <row r="727" spans="1:22" x14ac:dyDescent="0.35">
      <c r="A727" t="s">
        <v>1518</v>
      </c>
      <c r="B727" s="1">
        <v>45619</v>
      </c>
      <c r="C727" t="s">
        <v>1519</v>
      </c>
      <c r="D727" t="s">
        <v>49</v>
      </c>
      <c r="E727" t="s">
        <v>30</v>
      </c>
      <c r="F727" t="s">
        <v>21</v>
      </c>
      <c r="G727" t="s">
        <v>43</v>
      </c>
      <c r="H727" t="s">
        <v>50</v>
      </c>
      <c r="I727">
        <v>12</v>
      </c>
      <c r="J727">
        <v>42.01</v>
      </c>
      <c r="K727">
        <v>0.15</v>
      </c>
      <c r="L727">
        <v>428.5</v>
      </c>
      <c r="M727">
        <v>336.73</v>
      </c>
      <c r="N727">
        <v>91.77</v>
      </c>
      <c r="O727" t="s">
        <v>33</v>
      </c>
      <c r="P727">
        <v>4</v>
      </c>
      <c r="Q727" t="str">
        <f t="shared" si="66"/>
        <v>November</v>
      </c>
      <c r="R727" t="str">
        <f t="shared" si="67"/>
        <v>Q4</v>
      </c>
      <c r="S727">
        <f t="shared" si="68"/>
        <v>2024</v>
      </c>
      <c r="T727">
        <f t="shared" si="69"/>
        <v>922806.36999999976</v>
      </c>
      <c r="U727">
        <f t="shared" si="70"/>
        <v>309745.71999999962</v>
      </c>
      <c r="V727">
        <f t="shared" si="71"/>
        <v>1.9792384863300156</v>
      </c>
    </row>
    <row r="728" spans="1:22" x14ac:dyDescent="0.35">
      <c r="A728" t="s">
        <v>1520</v>
      </c>
      <c r="B728" s="1">
        <v>45446</v>
      </c>
      <c r="C728" t="s">
        <v>1521</v>
      </c>
      <c r="D728" t="s">
        <v>37</v>
      </c>
      <c r="E728" t="s">
        <v>38</v>
      </c>
      <c r="F728" t="s">
        <v>31</v>
      </c>
      <c r="G728" t="s">
        <v>22</v>
      </c>
      <c r="H728" t="s">
        <v>32</v>
      </c>
      <c r="I728">
        <v>4</v>
      </c>
      <c r="J728">
        <v>860.91</v>
      </c>
      <c r="K728">
        <v>0</v>
      </c>
      <c r="L728">
        <v>3443.64</v>
      </c>
      <c r="M728">
        <v>1872.44</v>
      </c>
      <c r="N728">
        <v>1571.2</v>
      </c>
      <c r="O728" t="s">
        <v>24</v>
      </c>
      <c r="P728">
        <v>1</v>
      </c>
      <c r="Q728" t="str">
        <f t="shared" si="66"/>
        <v>June</v>
      </c>
      <c r="R728" t="str">
        <f t="shared" si="67"/>
        <v>Q2</v>
      </c>
      <c r="S728">
        <f t="shared" si="68"/>
        <v>2024</v>
      </c>
      <c r="T728">
        <f t="shared" si="69"/>
        <v>922377.86999999976</v>
      </c>
      <c r="U728">
        <f t="shared" si="70"/>
        <v>309653.9499999996</v>
      </c>
      <c r="V728">
        <f t="shared" si="71"/>
        <v>1.9787376198495157</v>
      </c>
    </row>
    <row r="729" spans="1:22" x14ac:dyDescent="0.35">
      <c r="A729" t="s">
        <v>1522</v>
      </c>
      <c r="B729" s="1">
        <v>45623</v>
      </c>
      <c r="C729" t="s">
        <v>1523</v>
      </c>
      <c r="D729" t="s">
        <v>29</v>
      </c>
      <c r="E729" t="s">
        <v>85</v>
      </c>
      <c r="F729" t="s">
        <v>31</v>
      </c>
      <c r="G729" t="s">
        <v>79</v>
      </c>
      <c r="H729" t="s">
        <v>89</v>
      </c>
      <c r="I729">
        <v>10</v>
      </c>
      <c r="J729">
        <v>312.68</v>
      </c>
      <c r="K729">
        <v>0.15</v>
      </c>
      <c r="L729">
        <v>2657.78</v>
      </c>
      <c r="M729">
        <v>1377.02</v>
      </c>
      <c r="N729">
        <v>1280.76</v>
      </c>
      <c r="O729" t="s">
        <v>51</v>
      </c>
      <c r="P729">
        <v>4</v>
      </c>
      <c r="Q729" t="str">
        <f t="shared" si="66"/>
        <v>November</v>
      </c>
      <c r="R729" t="str">
        <f t="shared" si="67"/>
        <v>Q4</v>
      </c>
      <c r="S729">
        <f t="shared" si="68"/>
        <v>2024</v>
      </c>
      <c r="T729">
        <f t="shared" si="69"/>
        <v>918934.22999999975</v>
      </c>
      <c r="U729">
        <f t="shared" si="70"/>
        <v>308082.74999999959</v>
      </c>
      <c r="V729">
        <f t="shared" si="71"/>
        <v>1.9827513224937166</v>
      </c>
    </row>
    <row r="730" spans="1:22" x14ac:dyDescent="0.35">
      <c r="A730" t="s">
        <v>1524</v>
      </c>
      <c r="B730" s="1">
        <v>45600</v>
      </c>
      <c r="C730" t="s">
        <v>1525</v>
      </c>
      <c r="D730" t="s">
        <v>19</v>
      </c>
      <c r="E730" t="s">
        <v>38</v>
      </c>
      <c r="F730" t="s">
        <v>31</v>
      </c>
      <c r="G730" t="s">
        <v>79</v>
      </c>
      <c r="H730" t="s">
        <v>89</v>
      </c>
      <c r="I730">
        <v>12</v>
      </c>
      <c r="J730">
        <v>949.12</v>
      </c>
      <c r="K730">
        <v>0.15</v>
      </c>
      <c r="L730">
        <v>9681.02</v>
      </c>
      <c r="M730">
        <v>7880.11</v>
      </c>
      <c r="N730">
        <v>1800.91</v>
      </c>
      <c r="O730" t="s">
        <v>62</v>
      </c>
      <c r="P730">
        <v>3</v>
      </c>
      <c r="Q730" t="str">
        <f t="shared" si="66"/>
        <v>November</v>
      </c>
      <c r="R730" t="str">
        <f t="shared" si="67"/>
        <v>Q4</v>
      </c>
      <c r="S730">
        <f t="shared" si="68"/>
        <v>2024</v>
      </c>
      <c r="T730">
        <f t="shared" si="69"/>
        <v>916276.44999999972</v>
      </c>
      <c r="U730">
        <f t="shared" si="70"/>
        <v>306801.98999999958</v>
      </c>
      <c r="V730">
        <f t="shared" si="71"/>
        <v>1.9865401133806238</v>
      </c>
    </row>
    <row r="731" spans="1:22" x14ac:dyDescent="0.35">
      <c r="A731" t="s">
        <v>1526</v>
      </c>
      <c r="B731" s="1">
        <v>45336</v>
      </c>
      <c r="C731" t="s">
        <v>1527</v>
      </c>
      <c r="D731" t="s">
        <v>37</v>
      </c>
      <c r="E731" t="s">
        <v>30</v>
      </c>
      <c r="F731" t="s">
        <v>21</v>
      </c>
      <c r="G731" t="s">
        <v>79</v>
      </c>
      <c r="H731" t="s">
        <v>89</v>
      </c>
      <c r="I731">
        <v>3</v>
      </c>
      <c r="J731">
        <v>1136.45</v>
      </c>
      <c r="K731">
        <v>0.1</v>
      </c>
      <c r="L731">
        <v>3068.42</v>
      </c>
      <c r="M731">
        <v>1839.39</v>
      </c>
      <c r="N731">
        <v>1229.03</v>
      </c>
      <c r="O731" t="s">
        <v>62</v>
      </c>
      <c r="P731">
        <v>3</v>
      </c>
      <c r="Q731" t="str">
        <f t="shared" si="66"/>
        <v>February</v>
      </c>
      <c r="R731" t="str">
        <f t="shared" si="67"/>
        <v>Q1</v>
      </c>
      <c r="S731">
        <f t="shared" si="68"/>
        <v>2024</v>
      </c>
      <c r="T731">
        <f t="shared" si="69"/>
        <v>906595.4299999997</v>
      </c>
      <c r="U731">
        <f t="shared" si="70"/>
        <v>305001.07999999961</v>
      </c>
      <c r="V731">
        <f t="shared" si="71"/>
        <v>1.9724335074485666</v>
      </c>
    </row>
    <row r="732" spans="1:22" x14ac:dyDescent="0.35">
      <c r="A732" t="s">
        <v>1528</v>
      </c>
      <c r="B732" s="1">
        <v>45362</v>
      </c>
      <c r="C732" t="s">
        <v>1529</v>
      </c>
      <c r="D732" t="s">
        <v>37</v>
      </c>
      <c r="E732" t="s">
        <v>20</v>
      </c>
      <c r="F732" t="s">
        <v>39</v>
      </c>
      <c r="G732" t="s">
        <v>22</v>
      </c>
      <c r="H732" t="s">
        <v>124</v>
      </c>
      <c r="I732">
        <v>10</v>
      </c>
      <c r="J732">
        <v>409.14</v>
      </c>
      <c r="K732">
        <v>0.1</v>
      </c>
      <c r="L732">
        <v>3682.26</v>
      </c>
      <c r="M732">
        <v>2142.84</v>
      </c>
      <c r="N732">
        <v>1539.42</v>
      </c>
      <c r="O732" t="s">
        <v>24</v>
      </c>
      <c r="P732">
        <v>2</v>
      </c>
      <c r="Q732" t="str">
        <f t="shared" si="66"/>
        <v>March</v>
      </c>
      <c r="R732" t="str">
        <f t="shared" si="67"/>
        <v>Q1</v>
      </c>
      <c r="S732">
        <f t="shared" si="68"/>
        <v>2024</v>
      </c>
      <c r="T732">
        <f t="shared" si="69"/>
        <v>903527.00999999978</v>
      </c>
      <c r="U732">
        <f t="shared" si="70"/>
        <v>303772.04999999964</v>
      </c>
      <c r="V732">
        <f t="shared" si="71"/>
        <v>1.9743586021162938</v>
      </c>
    </row>
    <row r="733" spans="1:22" x14ac:dyDescent="0.35">
      <c r="A733" t="s">
        <v>1530</v>
      </c>
      <c r="B733" s="1">
        <v>45516</v>
      </c>
      <c r="C733" t="s">
        <v>1531</v>
      </c>
      <c r="D733" t="s">
        <v>29</v>
      </c>
      <c r="E733" t="s">
        <v>30</v>
      </c>
      <c r="F733" t="s">
        <v>21</v>
      </c>
      <c r="G733" t="s">
        <v>22</v>
      </c>
      <c r="H733" t="s">
        <v>32</v>
      </c>
      <c r="I733">
        <v>9</v>
      </c>
      <c r="J733">
        <v>274.08999999999997</v>
      </c>
      <c r="K733">
        <v>0</v>
      </c>
      <c r="L733">
        <v>2466.81</v>
      </c>
      <c r="M733">
        <v>1979.4</v>
      </c>
      <c r="N733">
        <v>487.41</v>
      </c>
      <c r="O733" t="s">
        <v>24</v>
      </c>
      <c r="P733">
        <v>1</v>
      </c>
      <c r="Q733" t="str">
        <f t="shared" si="66"/>
        <v>August</v>
      </c>
      <c r="R733" t="str">
        <f t="shared" si="67"/>
        <v>Q3</v>
      </c>
      <c r="S733">
        <f t="shared" si="68"/>
        <v>2024</v>
      </c>
      <c r="T733">
        <f t="shared" si="69"/>
        <v>899844.74999999965</v>
      </c>
      <c r="U733">
        <f t="shared" si="70"/>
        <v>302232.6299999996</v>
      </c>
      <c r="V733">
        <f t="shared" si="71"/>
        <v>1.9773249499896848</v>
      </c>
    </row>
    <row r="734" spans="1:22" x14ac:dyDescent="0.35">
      <c r="A734" t="s">
        <v>1532</v>
      </c>
      <c r="B734" s="1">
        <v>45556</v>
      </c>
      <c r="C734" t="s">
        <v>1533</v>
      </c>
      <c r="D734" t="s">
        <v>19</v>
      </c>
      <c r="E734" t="s">
        <v>85</v>
      </c>
      <c r="F734" t="s">
        <v>21</v>
      </c>
      <c r="G734" t="s">
        <v>22</v>
      </c>
      <c r="H734" t="s">
        <v>23</v>
      </c>
      <c r="I734">
        <v>12</v>
      </c>
      <c r="J734">
        <v>891.68</v>
      </c>
      <c r="K734">
        <v>0.05</v>
      </c>
      <c r="L734">
        <v>10165.15</v>
      </c>
      <c r="M734">
        <v>7657.37</v>
      </c>
      <c r="N734">
        <v>2507.7800000000002</v>
      </c>
      <c r="O734" t="s">
        <v>24</v>
      </c>
      <c r="P734">
        <v>2</v>
      </c>
      <c r="Q734" t="str">
        <f t="shared" si="66"/>
        <v>September</v>
      </c>
      <c r="R734" t="str">
        <f t="shared" si="67"/>
        <v>Q3</v>
      </c>
      <c r="S734">
        <f t="shared" si="68"/>
        <v>2024</v>
      </c>
      <c r="T734">
        <f t="shared" si="69"/>
        <v>897377.93999999971</v>
      </c>
      <c r="U734">
        <f t="shared" si="70"/>
        <v>301745.21999999956</v>
      </c>
      <c r="V734">
        <f t="shared" si="71"/>
        <v>1.9739590903875828</v>
      </c>
    </row>
    <row r="735" spans="1:22" x14ac:dyDescent="0.35">
      <c r="A735" t="s">
        <v>1534</v>
      </c>
      <c r="B735" s="1">
        <v>45438</v>
      </c>
      <c r="C735" t="s">
        <v>1535</v>
      </c>
      <c r="D735" t="s">
        <v>29</v>
      </c>
      <c r="E735" t="s">
        <v>38</v>
      </c>
      <c r="F735" t="s">
        <v>39</v>
      </c>
      <c r="G735" t="s">
        <v>79</v>
      </c>
      <c r="H735" t="s">
        <v>80</v>
      </c>
      <c r="I735">
        <v>5</v>
      </c>
      <c r="J735">
        <v>456.61</v>
      </c>
      <c r="K735">
        <v>0.05</v>
      </c>
      <c r="L735">
        <v>2168.9</v>
      </c>
      <c r="M735">
        <v>1347.45</v>
      </c>
      <c r="N735">
        <v>821.45</v>
      </c>
      <c r="O735" t="s">
        <v>51</v>
      </c>
      <c r="P735">
        <v>1</v>
      </c>
      <c r="Q735" t="str">
        <f t="shared" si="66"/>
        <v>May</v>
      </c>
      <c r="R735" t="str">
        <f t="shared" si="67"/>
        <v>Q2</v>
      </c>
      <c r="S735">
        <f t="shared" si="68"/>
        <v>2024</v>
      </c>
      <c r="T735">
        <f t="shared" si="69"/>
        <v>887212.78999999969</v>
      </c>
      <c r="U735">
        <f t="shared" si="70"/>
        <v>299237.43999999954</v>
      </c>
      <c r="V735">
        <f t="shared" si="71"/>
        <v>1.9649123786114497</v>
      </c>
    </row>
    <row r="736" spans="1:22" x14ac:dyDescent="0.35">
      <c r="A736" t="s">
        <v>1536</v>
      </c>
      <c r="B736" s="1">
        <v>45591</v>
      </c>
      <c r="C736" t="s">
        <v>1537</v>
      </c>
      <c r="D736" t="s">
        <v>19</v>
      </c>
      <c r="E736" t="s">
        <v>98</v>
      </c>
      <c r="F736" t="s">
        <v>31</v>
      </c>
      <c r="G736" t="s">
        <v>79</v>
      </c>
      <c r="H736" t="s">
        <v>89</v>
      </c>
      <c r="I736">
        <v>8</v>
      </c>
      <c r="J736">
        <v>395.25</v>
      </c>
      <c r="K736">
        <v>0.15</v>
      </c>
      <c r="L736">
        <v>2687.7</v>
      </c>
      <c r="M736">
        <v>1759.57</v>
      </c>
      <c r="N736">
        <v>928.13</v>
      </c>
      <c r="O736" t="s">
        <v>33</v>
      </c>
      <c r="P736">
        <v>2</v>
      </c>
      <c r="Q736" t="str">
        <f t="shared" si="66"/>
        <v>October</v>
      </c>
      <c r="R736" t="str">
        <f t="shared" si="67"/>
        <v>Q4</v>
      </c>
      <c r="S736">
        <f t="shared" si="68"/>
        <v>2024</v>
      </c>
      <c r="T736">
        <f t="shared" si="69"/>
        <v>885043.88999999966</v>
      </c>
      <c r="U736">
        <f t="shared" si="70"/>
        <v>298415.98999999953</v>
      </c>
      <c r="V736">
        <f t="shared" si="71"/>
        <v>1.9658058537680942</v>
      </c>
    </row>
    <row r="737" spans="1:22" x14ac:dyDescent="0.35">
      <c r="A737" t="s">
        <v>1538</v>
      </c>
      <c r="B737" s="1">
        <v>45556</v>
      </c>
      <c r="C737" t="s">
        <v>1539</v>
      </c>
      <c r="D737" t="s">
        <v>66</v>
      </c>
      <c r="E737" t="s">
        <v>38</v>
      </c>
      <c r="F737" t="s">
        <v>21</v>
      </c>
      <c r="G737" t="s">
        <v>43</v>
      </c>
      <c r="H737" t="s">
        <v>44</v>
      </c>
      <c r="I737">
        <v>1</v>
      </c>
      <c r="J737">
        <v>379.68</v>
      </c>
      <c r="K737">
        <v>0.1</v>
      </c>
      <c r="L737">
        <v>341.71</v>
      </c>
      <c r="M737">
        <v>287.41000000000003</v>
      </c>
      <c r="N737">
        <v>54.3</v>
      </c>
      <c r="O737" t="s">
        <v>24</v>
      </c>
      <c r="P737">
        <v>5</v>
      </c>
      <c r="Q737" t="str">
        <f t="shared" si="66"/>
        <v>September</v>
      </c>
      <c r="R737" t="str">
        <f t="shared" si="67"/>
        <v>Q3</v>
      </c>
      <c r="S737">
        <f t="shared" si="68"/>
        <v>2024</v>
      </c>
      <c r="T737">
        <f t="shared" si="69"/>
        <v>882356.18999999971</v>
      </c>
      <c r="U737">
        <f t="shared" si="70"/>
        <v>297487.85999999946</v>
      </c>
      <c r="V737">
        <f t="shared" si="71"/>
        <v>1.9660241933906188</v>
      </c>
    </row>
    <row r="738" spans="1:22" x14ac:dyDescent="0.35">
      <c r="A738" t="s">
        <v>1540</v>
      </c>
      <c r="B738" s="1">
        <v>45511</v>
      </c>
      <c r="C738" t="s">
        <v>1541</v>
      </c>
      <c r="D738" t="s">
        <v>19</v>
      </c>
      <c r="E738" t="s">
        <v>98</v>
      </c>
      <c r="F738" t="s">
        <v>31</v>
      </c>
      <c r="G738" t="s">
        <v>79</v>
      </c>
      <c r="H738" t="s">
        <v>89</v>
      </c>
      <c r="I738">
        <v>5</v>
      </c>
      <c r="J738">
        <v>434.24</v>
      </c>
      <c r="K738">
        <v>0.15</v>
      </c>
      <c r="L738">
        <v>1845.52</v>
      </c>
      <c r="M738">
        <v>1151.82</v>
      </c>
      <c r="N738">
        <v>693.7</v>
      </c>
      <c r="O738" t="s">
        <v>51</v>
      </c>
      <c r="P738">
        <v>5</v>
      </c>
      <c r="Q738" t="str">
        <f t="shared" si="66"/>
        <v>August</v>
      </c>
      <c r="R738" t="str">
        <f t="shared" si="67"/>
        <v>Q3</v>
      </c>
      <c r="S738">
        <f t="shared" si="68"/>
        <v>2024</v>
      </c>
      <c r="T738">
        <f t="shared" si="69"/>
        <v>882014.47999999963</v>
      </c>
      <c r="U738">
        <f t="shared" si="70"/>
        <v>297433.55999999947</v>
      </c>
      <c r="V738">
        <f t="shared" si="71"/>
        <v>1.9654168144307629</v>
      </c>
    </row>
    <row r="739" spans="1:22" x14ac:dyDescent="0.35">
      <c r="A739" t="s">
        <v>1542</v>
      </c>
      <c r="B739" s="1">
        <v>45465</v>
      </c>
      <c r="C739" t="s">
        <v>1543</v>
      </c>
      <c r="D739" t="s">
        <v>66</v>
      </c>
      <c r="E739" t="s">
        <v>30</v>
      </c>
      <c r="F739" t="s">
        <v>31</v>
      </c>
      <c r="G739" t="s">
        <v>22</v>
      </c>
      <c r="H739" t="s">
        <v>32</v>
      </c>
      <c r="I739">
        <v>1</v>
      </c>
      <c r="J739">
        <v>950.82</v>
      </c>
      <c r="K739">
        <v>0.15</v>
      </c>
      <c r="L739">
        <v>808.2</v>
      </c>
      <c r="M739">
        <v>481.52</v>
      </c>
      <c r="N739">
        <v>326.68</v>
      </c>
      <c r="O739" t="s">
        <v>33</v>
      </c>
      <c r="P739">
        <v>1</v>
      </c>
      <c r="Q739" t="str">
        <f t="shared" si="66"/>
        <v>June</v>
      </c>
      <c r="R739" t="str">
        <f t="shared" si="67"/>
        <v>Q2</v>
      </c>
      <c r="S739">
        <f t="shared" si="68"/>
        <v>2024</v>
      </c>
      <c r="T739">
        <f t="shared" si="69"/>
        <v>880168.95999999961</v>
      </c>
      <c r="U739">
        <f t="shared" si="70"/>
        <v>296739.85999999946</v>
      </c>
      <c r="V739">
        <f t="shared" si="71"/>
        <v>1.9661298620279768</v>
      </c>
    </row>
    <row r="740" spans="1:22" x14ac:dyDescent="0.35">
      <c r="A740" t="s">
        <v>1544</v>
      </c>
      <c r="B740" s="1">
        <v>45639</v>
      </c>
      <c r="C740" t="s">
        <v>1545</v>
      </c>
      <c r="D740" t="s">
        <v>37</v>
      </c>
      <c r="E740" t="s">
        <v>98</v>
      </c>
      <c r="F740" t="s">
        <v>21</v>
      </c>
      <c r="G740" t="s">
        <v>43</v>
      </c>
      <c r="H740" t="s">
        <v>173</v>
      </c>
      <c r="I740">
        <v>9</v>
      </c>
      <c r="J740">
        <v>1149.55</v>
      </c>
      <c r="K740">
        <v>0.05</v>
      </c>
      <c r="L740">
        <v>9828.65</v>
      </c>
      <c r="M740">
        <v>6604.44</v>
      </c>
      <c r="N740">
        <v>3224.21</v>
      </c>
      <c r="O740" t="s">
        <v>33</v>
      </c>
      <c r="P740">
        <v>1</v>
      </c>
      <c r="Q740" t="str">
        <f t="shared" si="66"/>
        <v>December</v>
      </c>
      <c r="R740" t="str">
        <f t="shared" si="67"/>
        <v>Q4</v>
      </c>
      <c r="S740">
        <f t="shared" si="68"/>
        <v>2024</v>
      </c>
      <c r="T740">
        <f t="shared" si="69"/>
        <v>879360.75999999966</v>
      </c>
      <c r="U740">
        <f t="shared" si="70"/>
        <v>296413.17999999947</v>
      </c>
      <c r="V740">
        <f t="shared" si="71"/>
        <v>1.9666722647083414</v>
      </c>
    </row>
    <row r="741" spans="1:22" x14ac:dyDescent="0.35">
      <c r="A741" t="s">
        <v>1546</v>
      </c>
      <c r="B741" s="1">
        <v>45493</v>
      </c>
      <c r="C741" t="s">
        <v>1547</v>
      </c>
      <c r="D741" t="s">
        <v>29</v>
      </c>
      <c r="E741" t="s">
        <v>85</v>
      </c>
      <c r="F741" t="s">
        <v>39</v>
      </c>
      <c r="G741" t="s">
        <v>79</v>
      </c>
      <c r="H741" t="s">
        <v>80</v>
      </c>
      <c r="I741">
        <v>2</v>
      </c>
      <c r="J741">
        <v>138.16</v>
      </c>
      <c r="K741">
        <v>0</v>
      </c>
      <c r="L741">
        <v>276.32</v>
      </c>
      <c r="M741">
        <v>176.69</v>
      </c>
      <c r="N741">
        <v>99.63</v>
      </c>
      <c r="O741" t="s">
        <v>62</v>
      </c>
      <c r="P741">
        <v>1</v>
      </c>
      <c r="Q741" t="str">
        <f t="shared" si="66"/>
        <v>July</v>
      </c>
      <c r="R741" t="str">
        <f t="shared" si="67"/>
        <v>Q3</v>
      </c>
      <c r="S741">
        <f t="shared" si="68"/>
        <v>2024</v>
      </c>
      <c r="T741">
        <f t="shared" si="69"/>
        <v>869532.10999999964</v>
      </c>
      <c r="U741">
        <f t="shared" si="70"/>
        <v>293188.96999999962</v>
      </c>
      <c r="V741">
        <f t="shared" si="71"/>
        <v>1.9657736101054577</v>
      </c>
    </row>
    <row r="742" spans="1:22" x14ac:dyDescent="0.35">
      <c r="A742" t="s">
        <v>1548</v>
      </c>
      <c r="B742" s="1">
        <v>45592</v>
      </c>
      <c r="C742" t="s">
        <v>1549</v>
      </c>
      <c r="D742" t="s">
        <v>66</v>
      </c>
      <c r="E742" t="s">
        <v>30</v>
      </c>
      <c r="F742" t="s">
        <v>21</v>
      </c>
      <c r="G742" t="s">
        <v>43</v>
      </c>
      <c r="H742" t="s">
        <v>44</v>
      </c>
      <c r="I742">
        <v>2</v>
      </c>
      <c r="J742">
        <v>290.14999999999998</v>
      </c>
      <c r="K742">
        <v>0.05</v>
      </c>
      <c r="L742">
        <v>551.28</v>
      </c>
      <c r="M742">
        <v>291.94</v>
      </c>
      <c r="N742">
        <v>259.33999999999997</v>
      </c>
      <c r="O742" t="s">
        <v>62</v>
      </c>
      <c r="P742">
        <v>5</v>
      </c>
      <c r="Q742" t="str">
        <f t="shared" si="66"/>
        <v>October</v>
      </c>
      <c r="R742" t="str">
        <f t="shared" si="67"/>
        <v>Q4</v>
      </c>
      <c r="S742">
        <f t="shared" si="68"/>
        <v>2024</v>
      </c>
      <c r="T742">
        <f t="shared" si="69"/>
        <v>869255.78999999969</v>
      </c>
      <c r="U742">
        <f t="shared" si="70"/>
        <v>293089.33999999962</v>
      </c>
      <c r="V742">
        <f t="shared" si="71"/>
        <v>1.9658389827484031</v>
      </c>
    </row>
    <row r="743" spans="1:22" x14ac:dyDescent="0.35">
      <c r="A743" t="s">
        <v>1550</v>
      </c>
      <c r="B743" s="1">
        <v>45501</v>
      </c>
      <c r="C743" t="s">
        <v>1551</v>
      </c>
      <c r="D743" t="s">
        <v>37</v>
      </c>
      <c r="E743" t="s">
        <v>30</v>
      </c>
      <c r="F743" t="s">
        <v>39</v>
      </c>
      <c r="G743" t="s">
        <v>79</v>
      </c>
      <c r="H743" t="s">
        <v>103</v>
      </c>
      <c r="I743">
        <v>3</v>
      </c>
      <c r="J743">
        <v>323.02</v>
      </c>
      <c r="K743">
        <v>0</v>
      </c>
      <c r="L743">
        <v>969.06</v>
      </c>
      <c r="M743">
        <v>504.06</v>
      </c>
      <c r="N743">
        <v>465</v>
      </c>
      <c r="O743" t="s">
        <v>33</v>
      </c>
      <c r="P743">
        <v>1</v>
      </c>
      <c r="Q743" t="str">
        <f t="shared" si="66"/>
        <v>July</v>
      </c>
      <c r="R743" t="str">
        <f t="shared" si="67"/>
        <v>Q3</v>
      </c>
      <c r="S743">
        <f t="shared" si="68"/>
        <v>2024</v>
      </c>
      <c r="T743">
        <f t="shared" si="69"/>
        <v>868704.50999999966</v>
      </c>
      <c r="U743">
        <f t="shared" si="70"/>
        <v>292829.99999999959</v>
      </c>
      <c r="V743">
        <f t="shared" si="71"/>
        <v>1.9665830345251538</v>
      </c>
    </row>
    <row r="744" spans="1:22" x14ac:dyDescent="0.35">
      <c r="A744" t="s">
        <v>1552</v>
      </c>
      <c r="B744" s="1">
        <v>45472</v>
      </c>
      <c r="C744" t="s">
        <v>1519</v>
      </c>
      <c r="D744" t="s">
        <v>37</v>
      </c>
      <c r="E744" t="s">
        <v>20</v>
      </c>
      <c r="F744" t="s">
        <v>39</v>
      </c>
      <c r="G744" t="s">
        <v>22</v>
      </c>
      <c r="H744" t="s">
        <v>32</v>
      </c>
      <c r="I744">
        <v>11</v>
      </c>
      <c r="J744">
        <v>228.49</v>
      </c>
      <c r="K744">
        <v>0.1</v>
      </c>
      <c r="L744">
        <v>2262.0500000000002</v>
      </c>
      <c r="M744">
        <v>1189.9000000000001</v>
      </c>
      <c r="N744">
        <v>1072.1500000000001</v>
      </c>
      <c r="O744" t="s">
        <v>51</v>
      </c>
      <c r="P744">
        <v>1</v>
      </c>
      <c r="Q744" t="str">
        <f t="shared" si="66"/>
        <v>June</v>
      </c>
      <c r="R744" t="str">
        <f t="shared" si="67"/>
        <v>Q2</v>
      </c>
      <c r="S744">
        <f t="shared" si="68"/>
        <v>2024</v>
      </c>
      <c r="T744">
        <f t="shared" si="69"/>
        <v>867735.44999999972</v>
      </c>
      <c r="U744">
        <f t="shared" si="70"/>
        <v>292364.99999999959</v>
      </c>
      <c r="V744">
        <f t="shared" si="71"/>
        <v>1.967986763121444</v>
      </c>
    </row>
    <row r="745" spans="1:22" x14ac:dyDescent="0.35">
      <c r="A745" t="s">
        <v>1553</v>
      </c>
      <c r="B745" s="1">
        <v>45329</v>
      </c>
      <c r="C745" t="s">
        <v>1554</v>
      </c>
      <c r="D745" t="s">
        <v>19</v>
      </c>
      <c r="E745" t="s">
        <v>20</v>
      </c>
      <c r="F745" t="s">
        <v>39</v>
      </c>
      <c r="G745" t="s">
        <v>22</v>
      </c>
      <c r="H745" t="s">
        <v>74</v>
      </c>
      <c r="I745">
        <v>6</v>
      </c>
      <c r="J745">
        <v>677</v>
      </c>
      <c r="K745">
        <v>0.15</v>
      </c>
      <c r="L745">
        <v>3452.7</v>
      </c>
      <c r="M745">
        <v>2171.19</v>
      </c>
      <c r="N745">
        <v>1281.51</v>
      </c>
      <c r="O745" t="s">
        <v>62</v>
      </c>
      <c r="P745">
        <v>4</v>
      </c>
      <c r="Q745" t="str">
        <f t="shared" si="66"/>
        <v>February</v>
      </c>
      <c r="R745" t="str">
        <f t="shared" si="67"/>
        <v>Q1</v>
      </c>
      <c r="S745">
        <f t="shared" si="68"/>
        <v>2024</v>
      </c>
      <c r="T745">
        <f t="shared" si="69"/>
        <v>865473.39999999967</v>
      </c>
      <c r="U745">
        <f t="shared" si="70"/>
        <v>291292.84999999963</v>
      </c>
      <c r="V745">
        <f t="shared" si="71"/>
        <v>1.9711453611030987</v>
      </c>
    </row>
    <row r="746" spans="1:22" x14ac:dyDescent="0.35">
      <c r="A746" t="s">
        <v>1555</v>
      </c>
      <c r="B746" s="1">
        <v>45485</v>
      </c>
      <c r="C746" t="s">
        <v>1556</v>
      </c>
      <c r="D746" t="s">
        <v>29</v>
      </c>
      <c r="E746" t="s">
        <v>98</v>
      </c>
      <c r="F746" t="s">
        <v>39</v>
      </c>
      <c r="G746" t="s">
        <v>79</v>
      </c>
      <c r="H746" t="s">
        <v>103</v>
      </c>
      <c r="I746">
        <v>11</v>
      </c>
      <c r="J746">
        <v>46.09</v>
      </c>
      <c r="K746">
        <v>0</v>
      </c>
      <c r="L746">
        <v>506.99</v>
      </c>
      <c r="M746">
        <v>364.6</v>
      </c>
      <c r="N746">
        <v>142.38999999999999</v>
      </c>
      <c r="O746" t="s">
        <v>24</v>
      </c>
      <c r="P746">
        <v>4</v>
      </c>
      <c r="Q746" t="str">
        <f t="shared" si="66"/>
        <v>July</v>
      </c>
      <c r="R746" t="str">
        <f t="shared" si="67"/>
        <v>Q3</v>
      </c>
      <c r="S746">
        <f t="shared" si="68"/>
        <v>2024</v>
      </c>
      <c r="T746">
        <f t="shared" si="69"/>
        <v>862020.6999999996</v>
      </c>
      <c r="U746">
        <f t="shared" si="70"/>
        <v>290011.33999999962</v>
      </c>
      <c r="V746">
        <f t="shared" si="71"/>
        <v>1.9723689425385944</v>
      </c>
    </row>
    <row r="747" spans="1:22" x14ac:dyDescent="0.35">
      <c r="A747" t="s">
        <v>1557</v>
      </c>
      <c r="B747" s="1">
        <v>45620</v>
      </c>
      <c r="C747" t="s">
        <v>1558</v>
      </c>
      <c r="D747" t="s">
        <v>37</v>
      </c>
      <c r="E747" t="s">
        <v>20</v>
      </c>
      <c r="F747" t="s">
        <v>31</v>
      </c>
      <c r="G747" t="s">
        <v>79</v>
      </c>
      <c r="H747" t="s">
        <v>80</v>
      </c>
      <c r="I747">
        <v>3</v>
      </c>
      <c r="J747">
        <v>442.86</v>
      </c>
      <c r="K747">
        <v>0.05</v>
      </c>
      <c r="L747">
        <v>1262.1500000000001</v>
      </c>
      <c r="M747">
        <v>944.1</v>
      </c>
      <c r="N747">
        <v>318.05</v>
      </c>
      <c r="O747" t="s">
        <v>24</v>
      </c>
      <c r="P747">
        <v>4</v>
      </c>
      <c r="Q747" t="str">
        <f t="shared" si="66"/>
        <v>November</v>
      </c>
      <c r="R747" t="str">
        <f t="shared" si="67"/>
        <v>Q4</v>
      </c>
      <c r="S747">
        <f t="shared" si="68"/>
        <v>2024</v>
      </c>
      <c r="T747">
        <f t="shared" si="69"/>
        <v>861513.70999999961</v>
      </c>
      <c r="U747">
        <f t="shared" si="70"/>
        <v>289868.9499999996</v>
      </c>
      <c r="V747">
        <f t="shared" si="71"/>
        <v>1.9720800037396238</v>
      </c>
    </row>
    <row r="748" spans="1:22" x14ac:dyDescent="0.35">
      <c r="A748" t="s">
        <v>1559</v>
      </c>
      <c r="B748" s="1">
        <v>45540</v>
      </c>
      <c r="C748" t="s">
        <v>1560</v>
      </c>
      <c r="D748" t="s">
        <v>37</v>
      </c>
      <c r="E748" t="s">
        <v>98</v>
      </c>
      <c r="F748" t="s">
        <v>31</v>
      </c>
      <c r="G748" t="s">
        <v>43</v>
      </c>
      <c r="H748" t="s">
        <v>44</v>
      </c>
      <c r="I748">
        <v>4</v>
      </c>
      <c r="J748">
        <v>542.49</v>
      </c>
      <c r="K748">
        <v>0.15</v>
      </c>
      <c r="L748">
        <v>1844.47</v>
      </c>
      <c r="M748">
        <v>1055.6400000000001</v>
      </c>
      <c r="N748">
        <v>788.83</v>
      </c>
      <c r="O748" t="s">
        <v>24</v>
      </c>
      <c r="P748">
        <v>2</v>
      </c>
      <c r="Q748" t="str">
        <f t="shared" si="66"/>
        <v>September</v>
      </c>
      <c r="R748" t="str">
        <f t="shared" si="67"/>
        <v>Q3</v>
      </c>
      <c r="S748">
        <f t="shared" si="68"/>
        <v>2024</v>
      </c>
      <c r="T748">
        <f t="shared" si="69"/>
        <v>860251.55999999971</v>
      </c>
      <c r="U748">
        <f t="shared" si="70"/>
        <v>289550.89999999962</v>
      </c>
      <c r="V748">
        <f t="shared" si="71"/>
        <v>1.9709856194541302</v>
      </c>
    </row>
    <row r="749" spans="1:22" x14ac:dyDescent="0.35">
      <c r="A749" t="s">
        <v>1561</v>
      </c>
      <c r="B749" s="1">
        <v>45553</v>
      </c>
      <c r="C749" t="s">
        <v>1562</v>
      </c>
      <c r="D749" t="s">
        <v>19</v>
      </c>
      <c r="E749" t="s">
        <v>30</v>
      </c>
      <c r="F749" t="s">
        <v>39</v>
      </c>
      <c r="G749" t="s">
        <v>43</v>
      </c>
      <c r="H749" t="s">
        <v>173</v>
      </c>
      <c r="I749">
        <v>1</v>
      </c>
      <c r="J749">
        <v>920.84</v>
      </c>
      <c r="K749">
        <v>0</v>
      </c>
      <c r="L749">
        <v>920.84</v>
      </c>
      <c r="M749">
        <v>705.1</v>
      </c>
      <c r="N749">
        <v>215.74</v>
      </c>
      <c r="O749" t="s">
        <v>51</v>
      </c>
      <c r="P749">
        <v>1</v>
      </c>
      <c r="Q749" t="str">
        <f t="shared" si="66"/>
        <v>September</v>
      </c>
      <c r="R749" t="str">
        <f t="shared" si="67"/>
        <v>Q3</v>
      </c>
      <c r="S749">
        <f t="shared" si="68"/>
        <v>2024</v>
      </c>
      <c r="T749">
        <f t="shared" si="69"/>
        <v>858407.08999999962</v>
      </c>
      <c r="U749">
        <f t="shared" si="70"/>
        <v>288762.06999999966</v>
      </c>
      <c r="V749">
        <f t="shared" si="71"/>
        <v>1.9727141449013739</v>
      </c>
    </row>
    <row r="750" spans="1:22" x14ac:dyDescent="0.35">
      <c r="A750" t="s">
        <v>1563</v>
      </c>
      <c r="B750" s="1">
        <v>45348</v>
      </c>
      <c r="C750" t="s">
        <v>1564</v>
      </c>
      <c r="D750" t="s">
        <v>19</v>
      </c>
      <c r="E750" t="s">
        <v>38</v>
      </c>
      <c r="F750" t="s">
        <v>39</v>
      </c>
      <c r="G750" t="s">
        <v>43</v>
      </c>
      <c r="H750" t="s">
        <v>44</v>
      </c>
      <c r="I750">
        <v>2</v>
      </c>
      <c r="J750">
        <v>834.64</v>
      </c>
      <c r="K750">
        <v>0</v>
      </c>
      <c r="L750">
        <v>1669.28</v>
      </c>
      <c r="M750">
        <v>1165.68</v>
      </c>
      <c r="N750">
        <v>503.6</v>
      </c>
      <c r="O750" t="s">
        <v>33</v>
      </c>
      <c r="P750">
        <v>1</v>
      </c>
      <c r="Q750" t="str">
        <f t="shared" si="66"/>
        <v>February</v>
      </c>
      <c r="R750" t="str">
        <f t="shared" si="67"/>
        <v>Q1</v>
      </c>
      <c r="S750">
        <f t="shared" si="68"/>
        <v>2024</v>
      </c>
      <c r="T750">
        <f t="shared" si="69"/>
        <v>857486.24999999965</v>
      </c>
      <c r="U750">
        <f t="shared" si="70"/>
        <v>288546.32999999961</v>
      </c>
      <c r="V750">
        <f t="shared" si="71"/>
        <v>1.9717454732486142</v>
      </c>
    </row>
    <row r="751" spans="1:22" x14ac:dyDescent="0.35">
      <c r="A751" t="s">
        <v>1565</v>
      </c>
      <c r="B751" s="1">
        <v>45468</v>
      </c>
      <c r="C751" t="s">
        <v>1566</v>
      </c>
      <c r="D751" t="s">
        <v>29</v>
      </c>
      <c r="E751" t="s">
        <v>20</v>
      </c>
      <c r="F751" t="s">
        <v>39</v>
      </c>
      <c r="G751" t="s">
        <v>60</v>
      </c>
      <c r="H751" t="s">
        <v>61</v>
      </c>
      <c r="I751">
        <v>9</v>
      </c>
      <c r="J751">
        <v>164.1</v>
      </c>
      <c r="K751">
        <v>0.15</v>
      </c>
      <c r="L751">
        <v>1255.3599999999999</v>
      </c>
      <c r="M751">
        <v>678.22</v>
      </c>
      <c r="N751">
        <v>577.14</v>
      </c>
      <c r="O751" t="s">
        <v>24</v>
      </c>
      <c r="P751">
        <v>4</v>
      </c>
      <c r="Q751" t="str">
        <f t="shared" si="66"/>
        <v>June</v>
      </c>
      <c r="R751" t="str">
        <f t="shared" si="67"/>
        <v>Q2</v>
      </c>
      <c r="S751">
        <f t="shared" si="68"/>
        <v>2024</v>
      </c>
      <c r="T751">
        <f t="shared" si="69"/>
        <v>855816.96999999962</v>
      </c>
      <c r="U751">
        <f t="shared" si="70"/>
        <v>288042.72999999963</v>
      </c>
      <c r="V751">
        <f t="shared" si="71"/>
        <v>1.9711458782521631</v>
      </c>
    </row>
    <row r="752" spans="1:22" x14ac:dyDescent="0.35">
      <c r="A752" t="s">
        <v>1567</v>
      </c>
      <c r="B752" s="1">
        <v>45324</v>
      </c>
      <c r="C752" t="s">
        <v>1568</v>
      </c>
      <c r="D752" t="s">
        <v>49</v>
      </c>
      <c r="E752" t="s">
        <v>98</v>
      </c>
      <c r="F752" t="s">
        <v>31</v>
      </c>
      <c r="G752" t="s">
        <v>60</v>
      </c>
      <c r="H752" t="s">
        <v>110</v>
      </c>
      <c r="I752">
        <v>1</v>
      </c>
      <c r="J752">
        <v>29.87</v>
      </c>
      <c r="K752">
        <v>0</v>
      </c>
      <c r="L752">
        <v>29.87</v>
      </c>
      <c r="M752">
        <v>21.1</v>
      </c>
      <c r="N752">
        <v>8.77</v>
      </c>
      <c r="O752" t="s">
        <v>62</v>
      </c>
      <c r="P752">
        <v>4</v>
      </c>
      <c r="Q752" t="str">
        <f t="shared" si="66"/>
        <v>February</v>
      </c>
      <c r="R752" t="str">
        <f t="shared" si="67"/>
        <v>Q1</v>
      </c>
      <c r="S752">
        <f t="shared" si="68"/>
        <v>2024</v>
      </c>
      <c r="T752">
        <f t="shared" si="69"/>
        <v>854561.60999999964</v>
      </c>
      <c r="U752">
        <f t="shared" si="70"/>
        <v>287465.58999999962</v>
      </c>
      <c r="V752">
        <f t="shared" si="71"/>
        <v>1.9727440073784162</v>
      </c>
    </row>
    <row r="753" spans="1:22" x14ac:dyDescent="0.35">
      <c r="A753" t="s">
        <v>1569</v>
      </c>
      <c r="B753" s="1">
        <v>45535</v>
      </c>
      <c r="C753" t="s">
        <v>1570</v>
      </c>
      <c r="D753" t="s">
        <v>37</v>
      </c>
      <c r="E753" t="s">
        <v>85</v>
      </c>
      <c r="F753" t="s">
        <v>31</v>
      </c>
      <c r="G753" t="s">
        <v>43</v>
      </c>
      <c r="H753" t="s">
        <v>44</v>
      </c>
      <c r="I753">
        <v>4</v>
      </c>
      <c r="J753">
        <v>746.83</v>
      </c>
      <c r="K753">
        <v>0.1</v>
      </c>
      <c r="L753">
        <v>2688.59</v>
      </c>
      <c r="M753">
        <v>1646.18</v>
      </c>
      <c r="N753">
        <v>1042.4100000000001</v>
      </c>
      <c r="O753" t="s">
        <v>51</v>
      </c>
      <c r="P753">
        <v>3</v>
      </c>
      <c r="Q753" t="str">
        <f t="shared" si="66"/>
        <v>August</v>
      </c>
      <c r="R753" t="str">
        <f t="shared" si="67"/>
        <v>Q3</v>
      </c>
      <c r="S753">
        <f t="shared" si="68"/>
        <v>2024</v>
      </c>
      <c r="T753">
        <f t="shared" si="69"/>
        <v>854531.73999999964</v>
      </c>
      <c r="U753">
        <f t="shared" si="70"/>
        <v>287456.81999999966</v>
      </c>
      <c r="V753">
        <f t="shared" si="71"/>
        <v>1.9727307913585095</v>
      </c>
    </row>
    <row r="754" spans="1:22" x14ac:dyDescent="0.35">
      <c r="A754" t="s">
        <v>1571</v>
      </c>
      <c r="B754" s="1">
        <v>45569</v>
      </c>
      <c r="C754" t="s">
        <v>1572</v>
      </c>
      <c r="D754" t="s">
        <v>66</v>
      </c>
      <c r="E754" t="s">
        <v>30</v>
      </c>
      <c r="F754" t="s">
        <v>39</v>
      </c>
      <c r="G754" t="s">
        <v>79</v>
      </c>
      <c r="H754" t="s">
        <v>89</v>
      </c>
      <c r="I754">
        <v>7</v>
      </c>
      <c r="J754">
        <v>893.46</v>
      </c>
      <c r="K754">
        <v>0.05</v>
      </c>
      <c r="L754">
        <v>5941.51</v>
      </c>
      <c r="M754">
        <v>4069.03</v>
      </c>
      <c r="N754">
        <v>1872.48</v>
      </c>
      <c r="O754" t="s">
        <v>62</v>
      </c>
      <c r="P754">
        <v>4</v>
      </c>
      <c r="Q754" t="str">
        <f t="shared" si="66"/>
        <v>October</v>
      </c>
      <c r="R754" t="str">
        <f t="shared" si="67"/>
        <v>Q4</v>
      </c>
      <c r="S754">
        <f t="shared" si="68"/>
        <v>2024</v>
      </c>
      <c r="T754">
        <f t="shared" si="69"/>
        <v>851843.14999999967</v>
      </c>
      <c r="U754">
        <f t="shared" si="70"/>
        <v>286414.40999999968</v>
      </c>
      <c r="V754">
        <f t="shared" si="71"/>
        <v>1.9741630318111461</v>
      </c>
    </row>
    <row r="755" spans="1:22" x14ac:dyDescent="0.35">
      <c r="A755" t="s">
        <v>1573</v>
      </c>
      <c r="B755" s="1">
        <v>45435</v>
      </c>
      <c r="C755" t="s">
        <v>1574</v>
      </c>
      <c r="D755" t="s">
        <v>19</v>
      </c>
      <c r="E755" t="s">
        <v>98</v>
      </c>
      <c r="F755" t="s">
        <v>39</v>
      </c>
      <c r="G755" t="s">
        <v>43</v>
      </c>
      <c r="H755" t="s">
        <v>50</v>
      </c>
      <c r="I755">
        <v>5</v>
      </c>
      <c r="J755">
        <v>556.89</v>
      </c>
      <c r="K755">
        <v>0</v>
      </c>
      <c r="L755">
        <v>2784.45</v>
      </c>
      <c r="M755">
        <v>2295.11</v>
      </c>
      <c r="N755">
        <v>489.34</v>
      </c>
      <c r="O755" t="s">
        <v>24</v>
      </c>
      <c r="P755">
        <v>5</v>
      </c>
      <c r="Q755" t="str">
        <f t="shared" si="66"/>
        <v>May</v>
      </c>
      <c r="R755" t="str">
        <f t="shared" si="67"/>
        <v>Q2</v>
      </c>
      <c r="S755">
        <f t="shared" si="68"/>
        <v>2024</v>
      </c>
      <c r="T755">
        <f t="shared" si="69"/>
        <v>845901.63999999966</v>
      </c>
      <c r="U755">
        <f t="shared" si="70"/>
        <v>284541.9299999997</v>
      </c>
      <c r="V755">
        <f t="shared" si="71"/>
        <v>1.9728540886750876</v>
      </c>
    </row>
    <row r="756" spans="1:22" x14ac:dyDescent="0.35">
      <c r="A756" t="s">
        <v>1575</v>
      </c>
      <c r="B756" s="1">
        <v>45601</v>
      </c>
      <c r="C756" t="s">
        <v>1576</v>
      </c>
      <c r="D756" t="s">
        <v>19</v>
      </c>
      <c r="E756" t="s">
        <v>98</v>
      </c>
      <c r="F756" t="s">
        <v>31</v>
      </c>
      <c r="G756" t="s">
        <v>43</v>
      </c>
      <c r="H756" t="s">
        <v>44</v>
      </c>
      <c r="I756">
        <v>10</v>
      </c>
      <c r="J756">
        <v>290.77999999999997</v>
      </c>
      <c r="K756">
        <v>0</v>
      </c>
      <c r="L756">
        <v>2907.8</v>
      </c>
      <c r="M756">
        <v>2364.5300000000002</v>
      </c>
      <c r="N756">
        <v>543.27</v>
      </c>
      <c r="O756" t="s">
        <v>51</v>
      </c>
      <c r="P756">
        <v>2</v>
      </c>
      <c r="Q756" t="str">
        <f t="shared" si="66"/>
        <v>November</v>
      </c>
      <c r="R756" t="str">
        <f t="shared" si="67"/>
        <v>Q4</v>
      </c>
      <c r="S756">
        <f t="shared" si="68"/>
        <v>2024</v>
      </c>
      <c r="T756">
        <f t="shared" si="69"/>
        <v>843117.18999999971</v>
      </c>
      <c r="U756">
        <f t="shared" si="70"/>
        <v>284052.58999999973</v>
      </c>
      <c r="V756">
        <f t="shared" si="71"/>
        <v>1.9681728654542474</v>
      </c>
    </row>
    <row r="757" spans="1:22" x14ac:dyDescent="0.35">
      <c r="A757" t="s">
        <v>1577</v>
      </c>
      <c r="B757" s="1">
        <v>45341</v>
      </c>
      <c r="C757" t="s">
        <v>1578</v>
      </c>
      <c r="D757" t="s">
        <v>66</v>
      </c>
      <c r="E757" t="s">
        <v>30</v>
      </c>
      <c r="F757" t="s">
        <v>39</v>
      </c>
      <c r="G757" t="s">
        <v>22</v>
      </c>
      <c r="H757" t="s">
        <v>32</v>
      </c>
      <c r="I757">
        <v>10</v>
      </c>
      <c r="J757">
        <v>512.87</v>
      </c>
      <c r="K757">
        <v>0.1</v>
      </c>
      <c r="L757">
        <v>4615.83</v>
      </c>
      <c r="M757">
        <v>2423.75</v>
      </c>
      <c r="N757">
        <v>2192.08</v>
      </c>
      <c r="O757" t="s">
        <v>33</v>
      </c>
      <c r="P757">
        <v>2</v>
      </c>
      <c r="Q757" t="str">
        <f t="shared" si="66"/>
        <v>February</v>
      </c>
      <c r="R757" t="str">
        <f t="shared" si="67"/>
        <v>Q1</v>
      </c>
      <c r="S757">
        <f t="shared" si="68"/>
        <v>2024</v>
      </c>
      <c r="T757">
        <f t="shared" si="69"/>
        <v>840209.38999999966</v>
      </c>
      <c r="U757">
        <f t="shared" si="70"/>
        <v>283509.31999999972</v>
      </c>
      <c r="V757">
        <f t="shared" si="71"/>
        <v>1.9636041241959894</v>
      </c>
    </row>
    <row r="758" spans="1:22" x14ac:dyDescent="0.35">
      <c r="A758" t="s">
        <v>1579</v>
      </c>
      <c r="B758" s="1">
        <v>45489</v>
      </c>
      <c r="C758" t="s">
        <v>1580</v>
      </c>
      <c r="D758" t="s">
        <v>66</v>
      </c>
      <c r="E758" t="s">
        <v>20</v>
      </c>
      <c r="F758" t="s">
        <v>21</v>
      </c>
      <c r="G758" t="s">
        <v>43</v>
      </c>
      <c r="H758" t="s">
        <v>50</v>
      </c>
      <c r="I758">
        <v>9</v>
      </c>
      <c r="J758">
        <v>189.71</v>
      </c>
      <c r="K758">
        <v>0</v>
      </c>
      <c r="L758">
        <v>1707.39</v>
      </c>
      <c r="M758">
        <v>1000.85</v>
      </c>
      <c r="N758">
        <v>706.54</v>
      </c>
      <c r="O758" t="s">
        <v>33</v>
      </c>
      <c r="P758">
        <v>4</v>
      </c>
      <c r="Q758" t="str">
        <f t="shared" si="66"/>
        <v>July</v>
      </c>
      <c r="R758" t="str">
        <f t="shared" si="67"/>
        <v>Q3</v>
      </c>
      <c r="S758">
        <f t="shared" si="68"/>
        <v>2024</v>
      </c>
      <c r="T758">
        <f t="shared" si="69"/>
        <v>835593.55999999971</v>
      </c>
      <c r="U758">
        <f t="shared" si="70"/>
        <v>281317.23999999976</v>
      </c>
      <c r="V758">
        <f t="shared" si="71"/>
        <v>1.9702892009035793</v>
      </c>
    </row>
    <row r="759" spans="1:22" x14ac:dyDescent="0.35">
      <c r="A759" t="s">
        <v>1581</v>
      </c>
      <c r="B759" s="1">
        <v>45477</v>
      </c>
      <c r="C759" t="s">
        <v>1582</v>
      </c>
      <c r="D759" t="s">
        <v>19</v>
      </c>
      <c r="E759" t="s">
        <v>85</v>
      </c>
      <c r="F759" t="s">
        <v>21</v>
      </c>
      <c r="G759" t="s">
        <v>60</v>
      </c>
      <c r="H759" t="s">
        <v>110</v>
      </c>
      <c r="I759">
        <v>1</v>
      </c>
      <c r="J759">
        <v>630.24</v>
      </c>
      <c r="K759">
        <v>0.15</v>
      </c>
      <c r="L759">
        <v>535.70000000000005</v>
      </c>
      <c r="M759">
        <v>320.33999999999997</v>
      </c>
      <c r="N759">
        <v>215.36</v>
      </c>
      <c r="O759" t="s">
        <v>24</v>
      </c>
      <c r="P759">
        <v>4</v>
      </c>
      <c r="Q759" t="str">
        <f t="shared" si="66"/>
        <v>July</v>
      </c>
      <c r="R759" t="str">
        <f t="shared" si="67"/>
        <v>Q3</v>
      </c>
      <c r="S759">
        <f t="shared" si="68"/>
        <v>2024</v>
      </c>
      <c r="T759">
        <f t="shared" si="69"/>
        <v>833886.16999999969</v>
      </c>
      <c r="U759">
        <f t="shared" si="70"/>
        <v>280610.69999999972</v>
      </c>
      <c r="V759">
        <f t="shared" si="71"/>
        <v>1.9716834390135534</v>
      </c>
    </row>
    <row r="760" spans="1:22" x14ac:dyDescent="0.35">
      <c r="A760" t="s">
        <v>1583</v>
      </c>
      <c r="B760" s="1">
        <v>45390</v>
      </c>
      <c r="C760" t="s">
        <v>1584</v>
      </c>
      <c r="D760" t="s">
        <v>37</v>
      </c>
      <c r="E760" t="s">
        <v>20</v>
      </c>
      <c r="F760" t="s">
        <v>21</v>
      </c>
      <c r="G760" t="s">
        <v>79</v>
      </c>
      <c r="H760" t="s">
        <v>80</v>
      </c>
      <c r="I760">
        <v>4</v>
      </c>
      <c r="J760">
        <v>1066.06</v>
      </c>
      <c r="K760">
        <v>0.1</v>
      </c>
      <c r="L760">
        <v>3837.82</v>
      </c>
      <c r="M760">
        <v>1974.02</v>
      </c>
      <c r="N760">
        <v>1863.8</v>
      </c>
      <c r="O760" t="s">
        <v>62</v>
      </c>
      <c r="P760">
        <v>4</v>
      </c>
      <c r="Q760" t="str">
        <f t="shared" si="66"/>
        <v>April</v>
      </c>
      <c r="R760" t="str">
        <f t="shared" si="67"/>
        <v>Q2</v>
      </c>
      <c r="S760">
        <f t="shared" si="68"/>
        <v>2024</v>
      </c>
      <c r="T760">
        <f t="shared" si="69"/>
        <v>833350.46999999974</v>
      </c>
      <c r="U760">
        <f t="shared" si="70"/>
        <v>280395.33999999973</v>
      </c>
      <c r="V760">
        <f t="shared" si="71"/>
        <v>1.9720553487087216</v>
      </c>
    </row>
    <row r="761" spans="1:22" x14ac:dyDescent="0.35">
      <c r="A761" t="s">
        <v>1585</v>
      </c>
      <c r="B761" s="1">
        <v>45641</v>
      </c>
      <c r="C761" t="s">
        <v>1586</v>
      </c>
      <c r="D761" t="s">
        <v>29</v>
      </c>
      <c r="E761" t="s">
        <v>85</v>
      </c>
      <c r="F761" t="s">
        <v>31</v>
      </c>
      <c r="G761" t="s">
        <v>22</v>
      </c>
      <c r="H761" t="s">
        <v>74</v>
      </c>
      <c r="I761">
        <v>10</v>
      </c>
      <c r="J761">
        <v>1006.44</v>
      </c>
      <c r="K761">
        <v>0.05</v>
      </c>
      <c r="L761">
        <v>9561.18</v>
      </c>
      <c r="M761">
        <v>7743</v>
      </c>
      <c r="N761">
        <v>1818.18</v>
      </c>
      <c r="O761" t="s">
        <v>62</v>
      </c>
      <c r="P761">
        <v>1</v>
      </c>
      <c r="Q761" t="str">
        <f t="shared" si="66"/>
        <v>December</v>
      </c>
      <c r="R761" t="str">
        <f t="shared" si="67"/>
        <v>Q4</v>
      </c>
      <c r="S761">
        <f t="shared" si="68"/>
        <v>2024</v>
      </c>
      <c r="T761">
        <f t="shared" si="69"/>
        <v>829512.64999999967</v>
      </c>
      <c r="U761">
        <f t="shared" si="70"/>
        <v>278531.53999999975</v>
      </c>
      <c r="V761">
        <f t="shared" si="71"/>
        <v>1.978164160511231</v>
      </c>
    </row>
    <row r="762" spans="1:22" x14ac:dyDescent="0.35">
      <c r="A762" t="s">
        <v>1587</v>
      </c>
      <c r="B762" s="1">
        <v>45353</v>
      </c>
      <c r="C762" t="s">
        <v>1588</v>
      </c>
      <c r="D762" t="s">
        <v>37</v>
      </c>
      <c r="E762" t="s">
        <v>98</v>
      </c>
      <c r="F762" t="s">
        <v>21</v>
      </c>
      <c r="G762" t="s">
        <v>60</v>
      </c>
      <c r="H762" t="s">
        <v>119</v>
      </c>
      <c r="I762">
        <v>2</v>
      </c>
      <c r="J762">
        <v>463.15</v>
      </c>
      <c r="K762">
        <v>0.15</v>
      </c>
      <c r="L762">
        <v>787.35</v>
      </c>
      <c r="M762">
        <v>650.87</v>
      </c>
      <c r="N762">
        <v>136.47999999999999</v>
      </c>
      <c r="O762" t="s">
        <v>51</v>
      </c>
      <c r="P762">
        <v>4</v>
      </c>
      <c r="Q762" t="str">
        <f t="shared" si="66"/>
        <v>March</v>
      </c>
      <c r="R762" t="str">
        <f t="shared" si="67"/>
        <v>Q1</v>
      </c>
      <c r="S762">
        <f t="shared" si="68"/>
        <v>2024</v>
      </c>
      <c r="T762">
        <f t="shared" si="69"/>
        <v>819951.46999999974</v>
      </c>
      <c r="U762">
        <f t="shared" si="70"/>
        <v>276713.35999999981</v>
      </c>
      <c r="V762">
        <f t="shared" si="71"/>
        <v>1.9631799129611964</v>
      </c>
    </row>
    <row r="763" spans="1:22" x14ac:dyDescent="0.35">
      <c r="A763" t="s">
        <v>1589</v>
      </c>
      <c r="B763" s="1">
        <v>45497</v>
      </c>
      <c r="C763" t="s">
        <v>1590</v>
      </c>
      <c r="D763" t="s">
        <v>29</v>
      </c>
      <c r="E763" t="s">
        <v>98</v>
      </c>
      <c r="F763" t="s">
        <v>39</v>
      </c>
      <c r="G763" t="s">
        <v>60</v>
      </c>
      <c r="H763" t="s">
        <v>110</v>
      </c>
      <c r="I763">
        <v>3</v>
      </c>
      <c r="J763">
        <v>533.35</v>
      </c>
      <c r="K763">
        <v>0.05</v>
      </c>
      <c r="L763">
        <v>1520.05</v>
      </c>
      <c r="M763">
        <v>937.78</v>
      </c>
      <c r="N763">
        <v>582.27</v>
      </c>
      <c r="O763" t="s">
        <v>51</v>
      </c>
      <c r="P763">
        <v>5</v>
      </c>
      <c r="Q763" t="str">
        <f t="shared" si="66"/>
        <v>July</v>
      </c>
      <c r="R763" t="str">
        <f t="shared" si="67"/>
        <v>Q3</v>
      </c>
      <c r="S763">
        <f t="shared" si="68"/>
        <v>2024</v>
      </c>
      <c r="T763">
        <f t="shared" si="69"/>
        <v>819164.11999999976</v>
      </c>
      <c r="U763">
        <f t="shared" si="70"/>
        <v>276576.87999999977</v>
      </c>
      <c r="V763">
        <f t="shared" si="71"/>
        <v>1.9617953604798797</v>
      </c>
    </row>
    <row r="764" spans="1:22" x14ac:dyDescent="0.35">
      <c r="A764" t="s">
        <v>1591</v>
      </c>
      <c r="B764" s="1">
        <v>45328</v>
      </c>
      <c r="C764" t="s">
        <v>1592</v>
      </c>
      <c r="D764" t="s">
        <v>19</v>
      </c>
      <c r="E764" t="s">
        <v>85</v>
      </c>
      <c r="F764" t="s">
        <v>31</v>
      </c>
      <c r="G764" t="s">
        <v>43</v>
      </c>
      <c r="H764" t="s">
        <v>50</v>
      </c>
      <c r="I764">
        <v>11</v>
      </c>
      <c r="J764">
        <v>985.62</v>
      </c>
      <c r="K764">
        <v>0.1</v>
      </c>
      <c r="L764">
        <v>9757.64</v>
      </c>
      <c r="M764">
        <v>5309.17</v>
      </c>
      <c r="N764">
        <v>4448.47</v>
      </c>
      <c r="O764" t="s">
        <v>51</v>
      </c>
      <c r="P764">
        <v>2</v>
      </c>
      <c r="Q764" t="str">
        <f t="shared" si="66"/>
        <v>February</v>
      </c>
      <c r="R764" t="str">
        <f t="shared" si="67"/>
        <v>Q1</v>
      </c>
      <c r="S764">
        <f t="shared" si="68"/>
        <v>2024</v>
      </c>
      <c r="T764">
        <f t="shared" si="69"/>
        <v>817644.06999999972</v>
      </c>
      <c r="U764">
        <f t="shared" si="70"/>
        <v>275994.60999999975</v>
      </c>
      <c r="V764">
        <f t="shared" si="71"/>
        <v>1.9625363698225862</v>
      </c>
    </row>
    <row r="765" spans="1:22" x14ac:dyDescent="0.35">
      <c r="A765" t="s">
        <v>1593</v>
      </c>
      <c r="B765" s="1">
        <v>45565</v>
      </c>
      <c r="C765" t="s">
        <v>1594</v>
      </c>
      <c r="D765" t="s">
        <v>29</v>
      </c>
      <c r="E765" t="s">
        <v>30</v>
      </c>
      <c r="F765" t="s">
        <v>21</v>
      </c>
      <c r="G765" t="s">
        <v>60</v>
      </c>
      <c r="H765" t="s">
        <v>110</v>
      </c>
      <c r="I765">
        <v>5</v>
      </c>
      <c r="J765">
        <v>304.68</v>
      </c>
      <c r="K765">
        <v>0.15</v>
      </c>
      <c r="L765">
        <v>1294.8900000000001</v>
      </c>
      <c r="M765">
        <v>805.27</v>
      </c>
      <c r="N765">
        <v>489.62</v>
      </c>
      <c r="O765" t="s">
        <v>24</v>
      </c>
      <c r="P765">
        <v>2</v>
      </c>
      <c r="Q765" t="str">
        <f t="shared" si="66"/>
        <v>September</v>
      </c>
      <c r="R765" t="str">
        <f t="shared" si="67"/>
        <v>Q3</v>
      </c>
      <c r="S765">
        <f t="shared" si="68"/>
        <v>2024</v>
      </c>
      <c r="T765">
        <f t="shared" si="69"/>
        <v>807886.42999999982</v>
      </c>
      <c r="U765">
        <f t="shared" si="70"/>
        <v>271546.13999999978</v>
      </c>
      <c r="V765">
        <f t="shared" si="71"/>
        <v>1.9751350175701281</v>
      </c>
    </row>
    <row r="766" spans="1:22" x14ac:dyDescent="0.35">
      <c r="A766" t="s">
        <v>1595</v>
      </c>
      <c r="B766" s="1">
        <v>45441</v>
      </c>
      <c r="C766" t="s">
        <v>1596</v>
      </c>
      <c r="D766" t="s">
        <v>37</v>
      </c>
      <c r="E766" t="s">
        <v>20</v>
      </c>
      <c r="F766" t="s">
        <v>21</v>
      </c>
      <c r="G766" t="s">
        <v>22</v>
      </c>
      <c r="H766" t="s">
        <v>32</v>
      </c>
      <c r="I766">
        <v>12</v>
      </c>
      <c r="J766">
        <v>563.16999999999996</v>
      </c>
      <c r="K766">
        <v>0.1</v>
      </c>
      <c r="L766">
        <v>6082.24</v>
      </c>
      <c r="M766">
        <v>4878.5200000000004</v>
      </c>
      <c r="N766">
        <v>1203.72</v>
      </c>
      <c r="O766" t="s">
        <v>33</v>
      </c>
      <c r="P766">
        <v>1</v>
      </c>
      <c r="Q766" t="str">
        <f t="shared" si="66"/>
        <v>May</v>
      </c>
      <c r="R766" t="str">
        <f t="shared" si="67"/>
        <v>Q2</v>
      </c>
      <c r="S766">
        <f t="shared" si="68"/>
        <v>2024</v>
      </c>
      <c r="T766">
        <f t="shared" si="69"/>
        <v>806591.5399999998</v>
      </c>
      <c r="U766">
        <f t="shared" si="70"/>
        <v>271056.51999999984</v>
      </c>
      <c r="V766">
        <f t="shared" si="71"/>
        <v>1.9757319248398832</v>
      </c>
    </row>
    <row r="767" spans="1:22" x14ac:dyDescent="0.35">
      <c r="A767" t="s">
        <v>1597</v>
      </c>
      <c r="B767" s="1">
        <v>45423</v>
      </c>
      <c r="C767" t="s">
        <v>1598</v>
      </c>
      <c r="D767" t="s">
        <v>37</v>
      </c>
      <c r="E767" t="s">
        <v>38</v>
      </c>
      <c r="F767" t="s">
        <v>39</v>
      </c>
      <c r="G767" t="s">
        <v>79</v>
      </c>
      <c r="H767" t="s">
        <v>89</v>
      </c>
      <c r="I767">
        <v>2</v>
      </c>
      <c r="J767">
        <v>218.6</v>
      </c>
      <c r="K767">
        <v>0</v>
      </c>
      <c r="L767">
        <v>437.2</v>
      </c>
      <c r="M767">
        <v>232.65</v>
      </c>
      <c r="N767">
        <v>204.55</v>
      </c>
      <c r="O767" t="s">
        <v>24</v>
      </c>
      <c r="P767">
        <v>2</v>
      </c>
      <c r="Q767" t="str">
        <f t="shared" si="66"/>
        <v>May</v>
      </c>
      <c r="R767" t="str">
        <f t="shared" si="67"/>
        <v>Q2</v>
      </c>
      <c r="S767">
        <f t="shared" si="68"/>
        <v>2024</v>
      </c>
      <c r="T767">
        <f t="shared" si="69"/>
        <v>800509.29999999981</v>
      </c>
      <c r="U767">
        <f t="shared" si="70"/>
        <v>269852.79999999987</v>
      </c>
      <c r="V767">
        <f t="shared" si="71"/>
        <v>1.9664665328653261</v>
      </c>
    </row>
    <row r="768" spans="1:22" x14ac:dyDescent="0.35">
      <c r="A768" t="s">
        <v>1599</v>
      </c>
      <c r="B768" s="1">
        <v>45297</v>
      </c>
      <c r="C768" t="s">
        <v>1600</v>
      </c>
      <c r="D768" t="s">
        <v>49</v>
      </c>
      <c r="E768" t="s">
        <v>20</v>
      </c>
      <c r="F768" t="s">
        <v>31</v>
      </c>
      <c r="G768" t="s">
        <v>22</v>
      </c>
      <c r="H768" t="s">
        <v>74</v>
      </c>
      <c r="I768">
        <v>3</v>
      </c>
      <c r="J768">
        <v>565.08000000000004</v>
      </c>
      <c r="K768">
        <v>0.05</v>
      </c>
      <c r="L768">
        <v>1610.48</v>
      </c>
      <c r="M768">
        <v>1340.13</v>
      </c>
      <c r="N768">
        <v>270.35000000000002</v>
      </c>
      <c r="O768" t="s">
        <v>24</v>
      </c>
      <c r="P768">
        <v>1</v>
      </c>
      <c r="Q768" t="str">
        <f t="shared" si="66"/>
        <v>January</v>
      </c>
      <c r="R768" t="str">
        <f t="shared" si="67"/>
        <v>Q1</v>
      </c>
      <c r="S768">
        <f t="shared" si="68"/>
        <v>2024</v>
      </c>
      <c r="T768">
        <f t="shared" si="69"/>
        <v>800072.09999999974</v>
      </c>
      <c r="U768">
        <f t="shared" si="70"/>
        <v>269648.24999999988</v>
      </c>
      <c r="V768">
        <f t="shared" si="71"/>
        <v>1.9670954660376994</v>
      </c>
    </row>
    <row r="769" spans="1:22" x14ac:dyDescent="0.35">
      <c r="A769" t="s">
        <v>1601</v>
      </c>
      <c r="B769" s="1">
        <v>45365</v>
      </c>
      <c r="C769" t="s">
        <v>1602</v>
      </c>
      <c r="D769" t="s">
        <v>37</v>
      </c>
      <c r="E769" t="s">
        <v>20</v>
      </c>
      <c r="F769" t="s">
        <v>31</v>
      </c>
      <c r="G769" t="s">
        <v>79</v>
      </c>
      <c r="H769" t="s">
        <v>80</v>
      </c>
      <c r="I769">
        <v>7</v>
      </c>
      <c r="J769">
        <v>398.98</v>
      </c>
      <c r="K769">
        <v>0.05</v>
      </c>
      <c r="L769">
        <v>2653.22</v>
      </c>
      <c r="M769">
        <v>2040.02</v>
      </c>
      <c r="N769">
        <v>613.20000000000005</v>
      </c>
      <c r="O769" t="s">
        <v>51</v>
      </c>
      <c r="P769">
        <v>4</v>
      </c>
      <c r="Q769" t="str">
        <f t="shared" si="66"/>
        <v>March</v>
      </c>
      <c r="R769" t="str">
        <f t="shared" si="67"/>
        <v>Q1</v>
      </c>
      <c r="S769">
        <f t="shared" si="68"/>
        <v>2024</v>
      </c>
      <c r="T769">
        <f t="shared" si="69"/>
        <v>798461.61999999976</v>
      </c>
      <c r="U769">
        <f t="shared" si="70"/>
        <v>269377.89999999985</v>
      </c>
      <c r="V769">
        <f t="shared" si="71"/>
        <v>1.964094753133053</v>
      </c>
    </row>
    <row r="770" spans="1:22" x14ac:dyDescent="0.35">
      <c r="A770" t="s">
        <v>1603</v>
      </c>
      <c r="B770" s="1">
        <v>45351</v>
      </c>
      <c r="C770" t="s">
        <v>1604</v>
      </c>
      <c r="D770" t="s">
        <v>37</v>
      </c>
      <c r="E770" t="s">
        <v>38</v>
      </c>
      <c r="F770" t="s">
        <v>31</v>
      </c>
      <c r="G770" t="s">
        <v>79</v>
      </c>
      <c r="H770" t="s">
        <v>80</v>
      </c>
      <c r="I770">
        <v>1</v>
      </c>
      <c r="J770">
        <v>701.37</v>
      </c>
      <c r="K770">
        <v>0.1</v>
      </c>
      <c r="L770">
        <v>631.23</v>
      </c>
      <c r="M770">
        <v>347.12</v>
      </c>
      <c r="N770">
        <v>284.11</v>
      </c>
      <c r="O770" t="s">
        <v>33</v>
      </c>
      <c r="P770">
        <v>1</v>
      </c>
      <c r="Q770" t="str">
        <f t="shared" ref="Q770:Q833" si="72">TEXT(B770,"MMMM")</f>
        <v>February</v>
      </c>
      <c r="R770" t="str">
        <f t="shared" ref="R770:R833" si="73">"Q"&amp;ROUNDUP(MONTH(B770)/3,0)</f>
        <v>Q1</v>
      </c>
      <c r="S770">
        <f t="shared" ref="S770:S833" si="74">YEAR(B770)</f>
        <v>2024</v>
      </c>
      <c r="T770">
        <f t="shared" ref="T770:T833" si="75">SUM(L770:L1769)</f>
        <v>795808.39999999967</v>
      </c>
      <c r="U770">
        <f t="shared" ref="U770:U833" si="76">SUM(N770:N1769)</f>
        <v>268764.6999999999</v>
      </c>
      <c r="V770">
        <f t="shared" ref="V770:V833" si="77">(T770-U770)/U770</f>
        <v>1.9609855758587342</v>
      </c>
    </row>
    <row r="771" spans="1:22" x14ac:dyDescent="0.35">
      <c r="A771" t="s">
        <v>1605</v>
      </c>
      <c r="B771" s="1">
        <v>45438</v>
      </c>
      <c r="C771" t="s">
        <v>1606</v>
      </c>
      <c r="D771" t="s">
        <v>29</v>
      </c>
      <c r="E771" t="s">
        <v>20</v>
      </c>
      <c r="F771" t="s">
        <v>31</v>
      </c>
      <c r="G771" t="s">
        <v>43</v>
      </c>
      <c r="H771" t="s">
        <v>173</v>
      </c>
      <c r="I771">
        <v>3</v>
      </c>
      <c r="J771">
        <v>912.33</v>
      </c>
      <c r="K771">
        <v>0.1</v>
      </c>
      <c r="L771">
        <v>2463.29</v>
      </c>
      <c r="M771">
        <v>1564.57</v>
      </c>
      <c r="N771">
        <v>898.72</v>
      </c>
      <c r="O771" t="s">
        <v>24</v>
      </c>
      <c r="P771">
        <v>3</v>
      </c>
      <c r="Q771" t="str">
        <f t="shared" si="72"/>
        <v>May</v>
      </c>
      <c r="R771" t="str">
        <f t="shared" si="73"/>
        <v>Q2</v>
      </c>
      <c r="S771">
        <f t="shared" si="74"/>
        <v>2024</v>
      </c>
      <c r="T771">
        <f t="shared" si="75"/>
        <v>795177.16999999969</v>
      </c>
      <c r="U771">
        <f t="shared" si="76"/>
        <v>268480.58999999991</v>
      </c>
      <c r="V771">
        <f t="shared" si="77"/>
        <v>1.9617678134572039</v>
      </c>
    </row>
    <row r="772" spans="1:22" x14ac:dyDescent="0.35">
      <c r="A772" t="s">
        <v>1607</v>
      </c>
      <c r="B772" s="1">
        <v>45465</v>
      </c>
      <c r="C772" t="s">
        <v>1608</v>
      </c>
      <c r="D772" t="s">
        <v>37</v>
      </c>
      <c r="E772" t="s">
        <v>98</v>
      </c>
      <c r="F772" t="s">
        <v>21</v>
      </c>
      <c r="G772" t="s">
        <v>43</v>
      </c>
      <c r="H772" t="s">
        <v>173</v>
      </c>
      <c r="I772">
        <v>4</v>
      </c>
      <c r="J772">
        <v>1150.31</v>
      </c>
      <c r="K772">
        <v>0</v>
      </c>
      <c r="L772">
        <v>4601.24</v>
      </c>
      <c r="M772">
        <v>2303.83</v>
      </c>
      <c r="N772">
        <v>2297.41</v>
      </c>
      <c r="O772" t="s">
        <v>24</v>
      </c>
      <c r="P772">
        <v>5</v>
      </c>
      <c r="Q772" t="str">
        <f t="shared" si="72"/>
        <v>June</v>
      </c>
      <c r="R772" t="str">
        <f t="shared" si="73"/>
        <v>Q2</v>
      </c>
      <c r="S772">
        <f t="shared" si="74"/>
        <v>2024</v>
      </c>
      <c r="T772">
        <f t="shared" si="75"/>
        <v>792713.87999999966</v>
      </c>
      <c r="U772">
        <f t="shared" si="76"/>
        <v>267581.86999999994</v>
      </c>
      <c r="V772">
        <f t="shared" si="77"/>
        <v>1.9625096797477344</v>
      </c>
    </row>
    <row r="773" spans="1:22" x14ac:dyDescent="0.35">
      <c r="A773" t="s">
        <v>1609</v>
      </c>
      <c r="B773" s="1">
        <v>45571</v>
      </c>
      <c r="C773" t="s">
        <v>1610</v>
      </c>
      <c r="D773" t="s">
        <v>66</v>
      </c>
      <c r="E773" t="s">
        <v>85</v>
      </c>
      <c r="F773" t="s">
        <v>39</v>
      </c>
      <c r="G773" t="s">
        <v>60</v>
      </c>
      <c r="H773" t="s">
        <v>61</v>
      </c>
      <c r="I773">
        <v>12</v>
      </c>
      <c r="J773">
        <v>1018.21</v>
      </c>
      <c r="K773">
        <v>0.1</v>
      </c>
      <c r="L773">
        <v>10996.67</v>
      </c>
      <c r="M773">
        <v>8175.08</v>
      </c>
      <c r="N773">
        <v>2821.59</v>
      </c>
      <c r="O773" t="s">
        <v>33</v>
      </c>
      <c r="P773">
        <v>3</v>
      </c>
      <c r="Q773" t="str">
        <f t="shared" si="72"/>
        <v>October</v>
      </c>
      <c r="R773" t="str">
        <f t="shared" si="73"/>
        <v>Q4</v>
      </c>
      <c r="S773">
        <f t="shared" si="74"/>
        <v>2024</v>
      </c>
      <c r="T773">
        <f t="shared" si="75"/>
        <v>788112.63999999966</v>
      </c>
      <c r="U773">
        <f t="shared" si="76"/>
        <v>265284.45999999996</v>
      </c>
      <c r="V773">
        <f t="shared" si="77"/>
        <v>1.9708209821261289</v>
      </c>
    </row>
    <row r="774" spans="1:22" x14ac:dyDescent="0.35">
      <c r="A774" t="s">
        <v>1611</v>
      </c>
      <c r="B774" s="1">
        <v>45296</v>
      </c>
      <c r="C774" t="s">
        <v>1612</v>
      </c>
      <c r="D774" t="s">
        <v>66</v>
      </c>
      <c r="E774" t="s">
        <v>20</v>
      </c>
      <c r="F774" t="s">
        <v>39</v>
      </c>
      <c r="G774" t="s">
        <v>22</v>
      </c>
      <c r="H774" t="s">
        <v>74</v>
      </c>
      <c r="I774">
        <v>3</v>
      </c>
      <c r="J774">
        <v>605.55999999999995</v>
      </c>
      <c r="K774">
        <v>0.15</v>
      </c>
      <c r="L774">
        <v>1544.18</v>
      </c>
      <c r="M774">
        <v>1203.45</v>
      </c>
      <c r="N774">
        <v>340.73</v>
      </c>
      <c r="O774" t="s">
        <v>24</v>
      </c>
      <c r="P774">
        <v>5</v>
      </c>
      <c r="Q774" t="str">
        <f t="shared" si="72"/>
        <v>January</v>
      </c>
      <c r="R774" t="str">
        <f t="shared" si="73"/>
        <v>Q1</v>
      </c>
      <c r="S774">
        <f t="shared" si="74"/>
        <v>2024</v>
      </c>
      <c r="T774">
        <f t="shared" si="75"/>
        <v>777115.96999999986</v>
      </c>
      <c r="U774">
        <f t="shared" si="76"/>
        <v>262462.86999999994</v>
      </c>
      <c r="V774">
        <f t="shared" si="77"/>
        <v>1.9608605971579904</v>
      </c>
    </row>
    <row r="775" spans="1:22" x14ac:dyDescent="0.35">
      <c r="A775" t="s">
        <v>1613</v>
      </c>
      <c r="B775" s="1">
        <v>45619</v>
      </c>
      <c r="C775" t="s">
        <v>1614</v>
      </c>
      <c r="D775" t="s">
        <v>66</v>
      </c>
      <c r="E775" t="s">
        <v>85</v>
      </c>
      <c r="F775" t="s">
        <v>21</v>
      </c>
      <c r="G775" t="s">
        <v>60</v>
      </c>
      <c r="H775" t="s">
        <v>110</v>
      </c>
      <c r="I775">
        <v>2</v>
      </c>
      <c r="J775">
        <v>650.98</v>
      </c>
      <c r="K775">
        <v>0</v>
      </c>
      <c r="L775">
        <v>1301.96</v>
      </c>
      <c r="M775">
        <v>957.76</v>
      </c>
      <c r="N775">
        <v>344.2</v>
      </c>
      <c r="O775" t="s">
        <v>62</v>
      </c>
      <c r="P775">
        <v>4</v>
      </c>
      <c r="Q775" t="str">
        <f t="shared" si="72"/>
        <v>November</v>
      </c>
      <c r="R775" t="str">
        <f t="shared" si="73"/>
        <v>Q4</v>
      </c>
      <c r="S775">
        <f t="shared" si="74"/>
        <v>2024</v>
      </c>
      <c r="T775">
        <f t="shared" si="75"/>
        <v>775571.7899999998</v>
      </c>
      <c r="U775">
        <f t="shared" si="76"/>
        <v>262122.13999999993</v>
      </c>
      <c r="V775">
        <f t="shared" si="77"/>
        <v>1.9588183203448593</v>
      </c>
    </row>
    <row r="776" spans="1:22" x14ac:dyDescent="0.35">
      <c r="A776" t="s">
        <v>1615</v>
      </c>
      <c r="B776" s="1">
        <v>45566</v>
      </c>
      <c r="C776" t="s">
        <v>1616</v>
      </c>
      <c r="D776" t="s">
        <v>29</v>
      </c>
      <c r="E776" t="s">
        <v>98</v>
      </c>
      <c r="F776" t="s">
        <v>39</v>
      </c>
      <c r="G776" t="s">
        <v>22</v>
      </c>
      <c r="H776" t="s">
        <v>23</v>
      </c>
      <c r="I776">
        <v>6</v>
      </c>
      <c r="J776">
        <v>758.4</v>
      </c>
      <c r="K776">
        <v>0</v>
      </c>
      <c r="L776">
        <v>4550.3999999999996</v>
      </c>
      <c r="M776">
        <v>3272.74</v>
      </c>
      <c r="N776">
        <v>1277.6600000000001</v>
      </c>
      <c r="O776" t="s">
        <v>24</v>
      </c>
      <c r="P776">
        <v>3</v>
      </c>
      <c r="Q776" t="str">
        <f t="shared" si="72"/>
        <v>October</v>
      </c>
      <c r="R776" t="str">
        <f t="shared" si="73"/>
        <v>Q4</v>
      </c>
      <c r="S776">
        <f t="shared" si="74"/>
        <v>2024</v>
      </c>
      <c r="T776">
        <f t="shared" si="75"/>
        <v>774269.82999999984</v>
      </c>
      <c r="U776">
        <f t="shared" si="76"/>
        <v>261777.93999999994</v>
      </c>
      <c r="V776">
        <f t="shared" si="77"/>
        <v>1.9577352087039879</v>
      </c>
    </row>
    <row r="777" spans="1:22" x14ac:dyDescent="0.35">
      <c r="A777" t="s">
        <v>1617</v>
      </c>
      <c r="B777" s="1">
        <v>45533</v>
      </c>
      <c r="C777" t="s">
        <v>1618</v>
      </c>
      <c r="D777" t="s">
        <v>66</v>
      </c>
      <c r="E777" t="s">
        <v>85</v>
      </c>
      <c r="F777" t="s">
        <v>31</v>
      </c>
      <c r="G777" t="s">
        <v>60</v>
      </c>
      <c r="H777" t="s">
        <v>110</v>
      </c>
      <c r="I777">
        <v>12</v>
      </c>
      <c r="J777">
        <v>150.19</v>
      </c>
      <c r="K777">
        <v>0.05</v>
      </c>
      <c r="L777">
        <v>1712.17</v>
      </c>
      <c r="M777">
        <v>1140.83</v>
      </c>
      <c r="N777">
        <v>571.34</v>
      </c>
      <c r="O777" t="s">
        <v>24</v>
      </c>
      <c r="P777">
        <v>4</v>
      </c>
      <c r="Q777" t="str">
        <f t="shared" si="72"/>
        <v>August</v>
      </c>
      <c r="R777" t="str">
        <f t="shared" si="73"/>
        <v>Q3</v>
      </c>
      <c r="S777">
        <f t="shared" si="74"/>
        <v>2024</v>
      </c>
      <c r="T777">
        <f t="shared" si="75"/>
        <v>769719.42999999982</v>
      </c>
      <c r="U777">
        <f t="shared" si="76"/>
        <v>260500.27999999991</v>
      </c>
      <c r="V777">
        <f t="shared" si="77"/>
        <v>1.9547739065769913</v>
      </c>
    </row>
    <row r="778" spans="1:22" x14ac:dyDescent="0.35">
      <c r="A778" t="s">
        <v>1619</v>
      </c>
      <c r="B778" s="1">
        <v>45390</v>
      </c>
      <c r="C778" t="s">
        <v>1620</v>
      </c>
      <c r="D778" t="s">
        <v>19</v>
      </c>
      <c r="E778" t="s">
        <v>20</v>
      </c>
      <c r="F778" t="s">
        <v>31</v>
      </c>
      <c r="G778" t="s">
        <v>22</v>
      </c>
      <c r="H778" t="s">
        <v>74</v>
      </c>
      <c r="I778">
        <v>2</v>
      </c>
      <c r="J778">
        <v>528.09</v>
      </c>
      <c r="K778">
        <v>0.1</v>
      </c>
      <c r="L778">
        <v>950.56</v>
      </c>
      <c r="M778">
        <v>674.83</v>
      </c>
      <c r="N778">
        <v>275.73</v>
      </c>
      <c r="O778" t="s">
        <v>33</v>
      </c>
      <c r="P778">
        <v>5</v>
      </c>
      <c r="Q778" t="str">
        <f t="shared" si="72"/>
        <v>April</v>
      </c>
      <c r="R778" t="str">
        <f t="shared" si="73"/>
        <v>Q2</v>
      </c>
      <c r="S778">
        <f t="shared" si="74"/>
        <v>2024</v>
      </c>
      <c r="T778">
        <f t="shared" si="75"/>
        <v>768007.25999999989</v>
      </c>
      <c r="U778">
        <f t="shared" si="76"/>
        <v>259928.93999999992</v>
      </c>
      <c r="V778">
        <f t="shared" si="77"/>
        <v>1.9546816141365411</v>
      </c>
    </row>
    <row r="779" spans="1:22" x14ac:dyDescent="0.35">
      <c r="A779" t="s">
        <v>1621</v>
      </c>
      <c r="B779" s="1">
        <v>45610</v>
      </c>
      <c r="C779" t="s">
        <v>1622</v>
      </c>
      <c r="D779" t="s">
        <v>66</v>
      </c>
      <c r="E779" t="s">
        <v>85</v>
      </c>
      <c r="F779" t="s">
        <v>21</v>
      </c>
      <c r="G779" t="s">
        <v>79</v>
      </c>
      <c r="H779" t="s">
        <v>89</v>
      </c>
      <c r="I779">
        <v>8</v>
      </c>
      <c r="J779">
        <v>579.28</v>
      </c>
      <c r="K779">
        <v>0.05</v>
      </c>
      <c r="L779">
        <v>4402.53</v>
      </c>
      <c r="M779">
        <v>2288.94</v>
      </c>
      <c r="N779">
        <v>2113.59</v>
      </c>
      <c r="O779" t="s">
        <v>62</v>
      </c>
      <c r="P779">
        <v>2</v>
      </c>
      <c r="Q779" t="str">
        <f t="shared" si="72"/>
        <v>November</v>
      </c>
      <c r="R779" t="str">
        <f t="shared" si="73"/>
        <v>Q4</v>
      </c>
      <c r="S779">
        <f t="shared" si="74"/>
        <v>2024</v>
      </c>
      <c r="T779">
        <f t="shared" si="75"/>
        <v>767056.69999999972</v>
      </c>
      <c r="U779">
        <f t="shared" si="76"/>
        <v>259653.20999999993</v>
      </c>
      <c r="V779">
        <f t="shared" si="77"/>
        <v>1.9541583560626878</v>
      </c>
    </row>
    <row r="780" spans="1:22" x14ac:dyDescent="0.35">
      <c r="A780" t="s">
        <v>1623</v>
      </c>
      <c r="B780" s="1">
        <v>45527</v>
      </c>
      <c r="C780" t="s">
        <v>1624</v>
      </c>
      <c r="D780" t="s">
        <v>19</v>
      </c>
      <c r="E780" t="s">
        <v>20</v>
      </c>
      <c r="F780" t="s">
        <v>39</v>
      </c>
      <c r="G780" t="s">
        <v>60</v>
      </c>
      <c r="H780" t="s">
        <v>119</v>
      </c>
      <c r="I780">
        <v>1</v>
      </c>
      <c r="J780">
        <v>850.51</v>
      </c>
      <c r="K780">
        <v>0.15</v>
      </c>
      <c r="L780">
        <v>722.93</v>
      </c>
      <c r="M780">
        <v>511.82</v>
      </c>
      <c r="N780">
        <v>211.11</v>
      </c>
      <c r="O780" t="s">
        <v>33</v>
      </c>
      <c r="P780">
        <v>3</v>
      </c>
      <c r="Q780" t="str">
        <f t="shared" si="72"/>
        <v>August</v>
      </c>
      <c r="R780" t="str">
        <f t="shared" si="73"/>
        <v>Q3</v>
      </c>
      <c r="S780">
        <f t="shared" si="74"/>
        <v>2024</v>
      </c>
      <c r="T780">
        <f t="shared" si="75"/>
        <v>762654.16999999981</v>
      </c>
      <c r="U780">
        <f t="shared" si="76"/>
        <v>257539.61999999991</v>
      </c>
      <c r="V780">
        <f t="shared" si="77"/>
        <v>1.9613081280464735</v>
      </c>
    </row>
    <row r="781" spans="1:22" x14ac:dyDescent="0.35">
      <c r="A781" t="s">
        <v>1625</v>
      </c>
      <c r="B781" s="1">
        <v>45404</v>
      </c>
      <c r="C781" t="s">
        <v>1626</v>
      </c>
      <c r="D781" t="s">
        <v>29</v>
      </c>
      <c r="E781" t="s">
        <v>20</v>
      </c>
      <c r="F781" t="s">
        <v>39</v>
      </c>
      <c r="G781" t="s">
        <v>22</v>
      </c>
      <c r="H781" t="s">
        <v>74</v>
      </c>
      <c r="I781">
        <v>6</v>
      </c>
      <c r="J781">
        <v>91.46</v>
      </c>
      <c r="K781">
        <v>0.1</v>
      </c>
      <c r="L781">
        <v>493.88</v>
      </c>
      <c r="M781">
        <v>275.3</v>
      </c>
      <c r="N781">
        <v>218.58</v>
      </c>
      <c r="O781" t="s">
        <v>62</v>
      </c>
      <c r="P781">
        <v>5</v>
      </c>
      <c r="Q781" t="str">
        <f t="shared" si="72"/>
        <v>April</v>
      </c>
      <c r="R781" t="str">
        <f t="shared" si="73"/>
        <v>Q2</v>
      </c>
      <c r="S781">
        <f t="shared" si="74"/>
        <v>2024</v>
      </c>
      <c r="T781">
        <f t="shared" si="75"/>
        <v>761931.23999999976</v>
      </c>
      <c r="U781">
        <f t="shared" si="76"/>
        <v>257328.50999999992</v>
      </c>
      <c r="V781">
        <f t="shared" si="77"/>
        <v>1.960928192527132</v>
      </c>
    </row>
    <row r="782" spans="1:22" x14ac:dyDescent="0.35">
      <c r="A782" t="s">
        <v>1627</v>
      </c>
      <c r="B782" s="1">
        <v>45517</v>
      </c>
      <c r="C782" t="s">
        <v>1628</v>
      </c>
      <c r="D782" t="s">
        <v>66</v>
      </c>
      <c r="E782" t="s">
        <v>30</v>
      </c>
      <c r="F782" t="s">
        <v>21</v>
      </c>
      <c r="G782" t="s">
        <v>22</v>
      </c>
      <c r="H782" t="s">
        <v>74</v>
      </c>
      <c r="I782">
        <v>11</v>
      </c>
      <c r="J782">
        <v>798.16</v>
      </c>
      <c r="K782">
        <v>0.1</v>
      </c>
      <c r="L782">
        <v>7901.78</v>
      </c>
      <c r="M782">
        <v>4039.72</v>
      </c>
      <c r="N782">
        <v>3862.06</v>
      </c>
      <c r="O782" t="s">
        <v>51</v>
      </c>
      <c r="P782">
        <v>4</v>
      </c>
      <c r="Q782" t="str">
        <f t="shared" si="72"/>
        <v>August</v>
      </c>
      <c r="R782" t="str">
        <f t="shared" si="73"/>
        <v>Q3</v>
      </c>
      <c r="S782">
        <f t="shared" si="74"/>
        <v>2024</v>
      </c>
      <c r="T782">
        <f t="shared" si="75"/>
        <v>761437.35999999975</v>
      </c>
      <c r="U782">
        <f t="shared" si="76"/>
        <v>257109.92999999991</v>
      </c>
      <c r="V782">
        <f t="shared" si="77"/>
        <v>1.9615245121026637</v>
      </c>
    </row>
    <row r="783" spans="1:22" x14ac:dyDescent="0.35">
      <c r="A783" t="s">
        <v>1629</v>
      </c>
      <c r="B783" s="1">
        <v>45354</v>
      </c>
      <c r="C783" t="s">
        <v>1630</v>
      </c>
      <c r="D783" t="s">
        <v>37</v>
      </c>
      <c r="E783" t="s">
        <v>20</v>
      </c>
      <c r="F783" t="s">
        <v>39</v>
      </c>
      <c r="G783" t="s">
        <v>79</v>
      </c>
      <c r="H783" t="s">
        <v>80</v>
      </c>
      <c r="I783">
        <v>4</v>
      </c>
      <c r="J783">
        <v>799.45</v>
      </c>
      <c r="K783">
        <v>0.05</v>
      </c>
      <c r="L783">
        <v>3037.91</v>
      </c>
      <c r="M783">
        <v>2454.83</v>
      </c>
      <c r="N783">
        <v>583.08000000000004</v>
      </c>
      <c r="O783" t="s">
        <v>51</v>
      </c>
      <c r="P783">
        <v>2</v>
      </c>
      <c r="Q783" t="str">
        <f t="shared" si="72"/>
        <v>March</v>
      </c>
      <c r="R783" t="str">
        <f t="shared" si="73"/>
        <v>Q1</v>
      </c>
      <c r="S783">
        <f t="shared" si="74"/>
        <v>2024</v>
      </c>
      <c r="T783">
        <f t="shared" si="75"/>
        <v>753535.57999999973</v>
      </c>
      <c r="U783">
        <f t="shared" si="76"/>
        <v>253247.86999999991</v>
      </c>
      <c r="V783">
        <f t="shared" si="77"/>
        <v>1.9754863486117378</v>
      </c>
    </row>
    <row r="784" spans="1:22" x14ac:dyDescent="0.35">
      <c r="A784" t="s">
        <v>1631</v>
      </c>
      <c r="B784" s="1">
        <v>45319</v>
      </c>
      <c r="C784" t="s">
        <v>1632</v>
      </c>
      <c r="D784" t="s">
        <v>29</v>
      </c>
      <c r="E784" t="s">
        <v>30</v>
      </c>
      <c r="F784" t="s">
        <v>31</v>
      </c>
      <c r="G784" t="s">
        <v>43</v>
      </c>
      <c r="H784" t="s">
        <v>44</v>
      </c>
      <c r="I784">
        <v>12</v>
      </c>
      <c r="J784">
        <v>586.57000000000005</v>
      </c>
      <c r="K784">
        <v>0</v>
      </c>
      <c r="L784">
        <v>7038.84</v>
      </c>
      <c r="M784">
        <v>4482.25</v>
      </c>
      <c r="N784">
        <v>2556.59</v>
      </c>
      <c r="O784" t="s">
        <v>33</v>
      </c>
      <c r="P784">
        <v>5</v>
      </c>
      <c r="Q784" t="str">
        <f t="shared" si="72"/>
        <v>January</v>
      </c>
      <c r="R784" t="str">
        <f t="shared" si="73"/>
        <v>Q1</v>
      </c>
      <c r="S784">
        <f t="shared" si="74"/>
        <v>2024</v>
      </c>
      <c r="T784">
        <f t="shared" si="75"/>
        <v>750497.66999999969</v>
      </c>
      <c r="U784">
        <f t="shared" si="76"/>
        <v>252664.78999999992</v>
      </c>
      <c r="V784">
        <f t="shared" si="77"/>
        <v>1.9703294630011563</v>
      </c>
    </row>
    <row r="785" spans="1:22" x14ac:dyDescent="0.35">
      <c r="A785" t="s">
        <v>1633</v>
      </c>
      <c r="B785" s="1">
        <v>45481</v>
      </c>
      <c r="C785" t="s">
        <v>1634</v>
      </c>
      <c r="D785" t="s">
        <v>66</v>
      </c>
      <c r="E785" t="s">
        <v>38</v>
      </c>
      <c r="F785" t="s">
        <v>39</v>
      </c>
      <c r="G785" t="s">
        <v>43</v>
      </c>
      <c r="H785" t="s">
        <v>173</v>
      </c>
      <c r="I785">
        <v>4</v>
      </c>
      <c r="J785">
        <v>454.08</v>
      </c>
      <c r="K785">
        <v>0.05</v>
      </c>
      <c r="L785">
        <v>1725.5</v>
      </c>
      <c r="M785">
        <v>887.59</v>
      </c>
      <c r="N785">
        <v>837.91</v>
      </c>
      <c r="O785" t="s">
        <v>62</v>
      </c>
      <c r="P785">
        <v>2</v>
      </c>
      <c r="Q785" t="str">
        <f t="shared" si="72"/>
        <v>July</v>
      </c>
      <c r="R785" t="str">
        <f t="shared" si="73"/>
        <v>Q3</v>
      </c>
      <c r="S785">
        <f t="shared" si="74"/>
        <v>2024</v>
      </c>
      <c r="T785">
        <f t="shared" si="75"/>
        <v>743458.82999999984</v>
      </c>
      <c r="U785">
        <f t="shared" si="76"/>
        <v>250108.19999999995</v>
      </c>
      <c r="V785">
        <f t="shared" si="77"/>
        <v>1.9725488008789795</v>
      </c>
    </row>
    <row r="786" spans="1:22" x14ac:dyDescent="0.35">
      <c r="A786" t="s">
        <v>1635</v>
      </c>
      <c r="B786" s="1">
        <v>45652</v>
      </c>
      <c r="C786" t="s">
        <v>1636</v>
      </c>
      <c r="D786" t="s">
        <v>29</v>
      </c>
      <c r="E786" t="s">
        <v>30</v>
      </c>
      <c r="F786" t="s">
        <v>39</v>
      </c>
      <c r="G786" t="s">
        <v>60</v>
      </c>
      <c r="H786" t="s">
        <v>110</v>
      </c>
      <c r="I786">
        <v>11</v>
      </c>
      <c r="J786">
        <v>631.44000000000005</v>
      </c>
      <c r="K786">
        <v>0.1</v>
      </c>
      <c r="L786">
        <v>6251.26</v>
      </c>
      <c r="M786">
        <v>4385.97</v>
      </c>
      <c r="N786">
        <v>1865.29</v>
      </c>
      <c r="O786" t="s">
        <v>33</v>
      </c>
      <c r="P786">
        <v>1</v>
      </c>
      <c r="Q786" t="str">
        <f t="shared" si="72"/>
        <v>December</v>
      </c>
      <c r="R786" t="str">
        <f t="shared" si="73"/>
        <v>Q4</v>
      </c>
      <c r="S786">
        <f t="shared" si="74"/>
        <v>2024</v>
      </c>
      <c r="T786">
        <f t="shared" si="75"/>
        <v>741733.32999999984</v>
      </c>
      <c r="U786">
        <f t="shared" si="76"/>
        <v>249270.28999999995</v>
      </c>
      <c r="V786">
        <f t="shared" si="77"/>
        <v>1.9756186748127906</v>
      </c>
    </row>
    <row r="787" spans="1:22" x14ac:dyDescent="0.35">
      <c r="A787" t="s">
        <v>1637</v>
      </c>
      <c r="B787" s="1">
        <v>45445</v>
      </c>
      <c r="C787" t="s">
        <v>1638</v>
      </c>
      <c r="D787" t="s">
        <v>29</v>
      </c>
      <c r="E787" t="s">
        <v>98</v>
      </c>
      <c r="F787" t="s">
        <v>31</v>
      </c>
      <c r="G787" t="s">
        <v>22</v>
      </c>
      <c r="H787" t="s">
        <v>32</v>
      </c>
      <c r="I787">
        <v>12</v>
      </c>
      <c r="J787">
        <v>19.38</v>
      </c>
      <c r="K787">
        <v>0.15</v>
      </c>
      <c r="L787">
        <v>197.68</v>
      </c>
      <c r="M787">
        <v>155.12</v>
      </c>
      <c r="N787">
        <v>42.56</v>
      </c>
      <c r="O787" t="s">
        <v>33</v>
      </c>
      <c r="P787">
        <v>5</v>
      </c>
      <c r="Q787" t="str">
        <f t="shared" si="72"/>
        <v>June</v>
      </c>
      <c r="R787" t="str">
        <f t="shared" si="73"/>
        <v>Q2</v>
      </c>
      <c r="S787">
        <f t="shared" si="74"/>
        <v>2024</v>
      </c>
      <c r="T787">
        <f t="shared" si="75"/>
        <v>735482.06999999983</v>
      </c>
      <c r="U787">
        <f t="shared" si="76"/>
        <v>247404.99999999994</v>
      </c>
      <c r="V787">
        <f t="shared" si="77"/>
        <v>1.9727857965683797</v>
      </c>
    </row>
    <row r="788" spans="1:22" x14ac:dyDescent="0.35">
      <c r="A788" t="s">
        <v>1639</v>
      </c>
      <c r="B788" s="1">
        <v>45363</v>
      </c>
      <c r="C788" t="s">
        <v>1640</v>
      </c>
      <c r="D788" t="s">
        <v>19</v>
      </c>
      <c r="E788" t="s">
        <v>20</v>
      </c>
      <c r="F788" t="s">
        <v>39</v>
      </c>
      <c r="G788" t="s">
        <v>60</v>
      </c>
      <c r="H788" t="s">
        <v>119</v>
      </c>
      <c r="I788">
        <v>3</v>
      </c>
      <c r="J788">
        <v>641.86</v>
      </c>
      <c r="K788">
        <v>0</v>
      </c>
      <c r="L788">
        <v>1925.58</v>
      </c>
      <c r="M788">
        <v>1354.69</v>
      </c>
      <c r="N788">
        <v>570.89</v>
      </c>
      <c r="O788" t="s">
        <v>33</v>
      </c>
      <c r="P788">
        <v>1</v>
      </c>
      <c r="Q788" t="str">
        <f t="shared" si="72"/>
        <v>March</v>
      </c>
      <c r="R788" t="str">
        <f t="shared" si="73"/>
        <v>Q1</v>
      </c>
      <c r="S788">
        <f t="shared" si="74"/>
        <v>2024</v>
      </c>
      <c r="T788">
        <f t="shared" si="75"/>
        <v>735284.38999999978</v>
      </c>
      <c r="U788">
        <f t="shared" si="76"/>
        <v>247362.43999999994</v>
      </c>
      <c r="V788">
        <f t="shared" si="77"/>
        <v>1.9724981286568808</v>
      </c>
    </row>
    <row r="789" spans="1:22" x14ac:dyDescent="0.35">
      <c r="A789" t="s">
        <v>1641</v>
      </c>
      <c r="B789" s="1">
        <v>45381</v>
      </c>
      <c r="C789" t="s">
        <v>1642</v>
      </c>
      <c r="D789" t="s">
        <v>19</v>
      </c>
      <c r="E789" t="s">
        <v>20</v>
      </c>
      <c r="F789" t="s">
        <v>31</v>
      </c>
      <c r="G789" t="s">
        <v>79</v>
      </c>
      <c r="H789" t="s">
        <v>80</v>
      </c>
      <c r="I789">
        <v>2</v>
      </c>
      <c r="J789">
        <v>1188.01</v>
      </c>
      <c r="K789">
        <v>0.1</v>
      </c>
      <c r="L789">
        <v>2138.42</v>
      </c>
      <c r="M789">
        <v>1069.43</v>
      </c>
      <c r="N789">
        <v>1068.99</v>
      </c>
      <c r="O789" t="s">
        <v>33</v>
      </c>
      <c r="P789">
        <v>2</v>
      </c>
      <c r="Q789" t="str">
        <f t="shared" si="72"/>
        <v>March</v>
      </c>
      <c r="R789" t="str">
        <f t="shared" si="73"/>
        <v>Q1</v>
      </c>
      <c r="S789">
        <f t="shared" si="74"/>
        <v>2024</v>
      </c>
      <c r="T789">
        <f t="shared" si="75"/>
        <v>733358.80999999982</v>
      </c>
      <c r="U789">
        <f t="shared" si="76"/>
        <v>246791.54999999996</v>
      </c>
      <c r="V789">
        <f t="shared" si="77"/>
        <v>1.9715717981430076</v>
      </c>
    </row>
    <row r="790" spans="1:22" x14ac:dyDescent="0.35">
      <c r="A790" t="s">
        <v>1643</v>
      </c>
      <c r="B790" s="1">
        <v>45497</v>
      </c>
      <c r="C790" t="s">
        <v>1644</v>
      </c>
      <c r="D790" t="s">
        <v>37</v>
      </c>
      <c r="E790" t="s">
        <v>20</v>
      </c>
      <c r="F790" t="s">
        <v>39</v>
      </c>
      <c r="G790" t="s">
        <v>43</v>
      </c>
      <c r="H790" t="s">
        <v>50</v>
      </c>
      <c r="I790">
        <v>7</v>
      </c>
      <c r="J790">
        <v>17.13</v>
      </c>
      <c r="K790">
        <v>0.1</v>
      </c>
      <c r="L790">
        <v>107.92</v>
      </c>
      <c r="M790">
        <v>90.92</v>
      </c>
      <c r="N790">
        <v>17</v>
      </c>
      <c r="O790" t="s">
        <v>33</v>
      </c>
      <c r="P790">
        <v>2</v>
      </c>
      <c r="Q790" t="str">
        <f t="shared" si="72"/>
        <v>July</v>
      </c>
      <c r="R790" t="str">
        <f t="shared" si="73"/>
        <v>Q3</v>
      </c>
      <c r="S790">
        <f t="shared" si="74"/>
        <v>2024</v>
      </c>
      <c r="T790">
        <f t="shared" si="75"/>
        <v>731220.3899999999</v>
      </c>
      <c r="U790">
        <f t="shared" si="76"/>
        <v>245722.55999999994</v>
      </c>
      <c r="V790">
        <f t="shared" si="77"/>
        <v>1.9757967278218169</v>
      </c>
    </row>
    <row r="791" spans="1:22" x14ac:dyDescent="0.35">
      <c r="A791" t="s">
        <v>1645</v>
      </c>
      <c r="B791" s="1">
        <v>45642</v>
      </c>
      <c r="C791" t="s">
        <v>1646</v>
      </c>
      <c r="D791" t="s">
        <v>66</v>
      </c>
      <c r="E791" t="s">
        <v>85</v>
      </c>
      <c r="F791" t="s">
        <v>39</v>
      </c>
      <c r="G791" t="s">
        <v>22</v>
      </c>
      <c r="H791" t="s">
        <v>32</v>
      </c>
      <c r="I791">
        <v>12</v>
      </c>
      <c r="J791">
        <v>830.84</v>
      </c>
      <c r="K791">
        <v>0.1</v>
      </c>
      <c r="L791">
        <v>8973.07</v>
      </c>
      <c r="M791">
        <v>5572.77</v>
      </c>
      <c r="N791">
        <v>3400.3</v>
      </c>
      <c r="O791" t="s">
        <v>51</v>
      </c>
      <c r="P791">
        <v>3</v>
      </c>
      <c r="Q791" t="str">
        <f t="shared" si="72"/>
        <v>December</v>
      </c>
      <c r="R791" t="str">
        <f t="shared" si="73"/>
        <v>Q4</v>
      </c>
      <c r="S791">
        <f t="shared" si="74"/>
        <v>2024</v>
      </c>
      <c r="T791">
        <f t="shared" si="75"/>
        <v>731112.46999999986</v>
      </c>
      <c r="U791">
        <f t="shared" si="76"/>
        <v>245705.55999999994</v>
      </c>
      <c r="V791">
        <f t="shared" si="77"/>
        <v>1.9755633938442421</v>
      </c>
    </row>
    <row r="792" spans="1:22" x14ac:dyDescent="0.35">
      <c r="A792" t="s">
        <v>1647</v>
      </c>
      <c r="B792" s="1">
        <v>45501</v>
      </c>
      <c r="C792" t="s">
        <v>1648</v>
      </c>
      <c r="D792" t="s">
        <v>66</v>
      </c>
      <c r="E792" t="s">
        <v>38</v>
      </c>
      <c r="F792" t="s">
        <v>31</v>
      </c>
      <c r="G792" t="s">
        <v>60</v>
      </c>
      <c r="H792" t="s">
        <v>61</v>
      </c>
      <c r="I792">
        <v>2</v>
      </c>
      <c r="J792">
        <v>1061.7</v>
      </c>
      <c r="K792">
        <v>0.15</v>
      </c>
      <c r="L792">
        <v>1804.89</v>
      </c>
      <c r="M792">
        <v>1109.45</v>
      </c>
      <c r="N792">
        <v>695.44</v>
      </c>
      <c r="O792" t="s">
        <v>51</v>
      </c>
      <c r="P792">
        <v>3</v>
      </c>
      <c r="Q792" t="str">
        <f t="shared" si="72"/>
        <v>July</v>
      </c>
      <c r="R792" t="str">
        <f t="shared" si="73"/>
        <v>Q3</v>
      </c>
      <c r="S792">
        <f t="shared" si="74"/>
        <v>2024</v>
      </c>
      <c r="T792">
        <f t="shared" si="75"/>
        <v>722139.39999999979</v>
      </c>
      <c r="U792">
        <f t="shared" si="76"/>
        <v>242305.25999999995</v>
      </c>
      <c r="V792">
        <f t="shared" si="77"/>
        <v>1.9802877576821896</v>
      </c>
    </row>
    <row r="793" spans="1:22" x14ac:dyDescent="0.35">
      <c r="A793" t="s">
        <v>1649</v>
      </c>
      <c r="B793" s="1">
        <v>45485</v>
      </c>
      <c r="C793" t="s">
        <v>1650</v>
      </c>
      <c r="D793" t="s">
        <v>37</v>
      </c>
      <c r="E793" t="s">
        <v>85</v>
      </c>
      <c r="F793" t="s">
        <v>21</v>
      </c>
      <c r="G793" t="s">
        <v>79</v>
      </c>
      <c r="H793" t="s">
        <v>89</v>
      </c>
      <c r="I793">
        <v>11</v>
      </c>
      <c r="J793">
        <v>773.27</v>
      </c>
      <c r="K793">
        <v>0.15</v>
      </c>
      <c r="L793">
        <v>7230.07</v>
      </c>
      <c r="M793">
        <v>4084.9</v>
      </c>
      <c r="N793">
        <v>3145.17</v>
      </c>
      <c r="O793" t="s">
        <v>33</v>
      </c>
      <c r="P793">
        <v>1</v>
      </c>
      <c r="Q793" t="str">
        <f t="shared" si="72"/>
        <v>July</v>
      </c>
      <c r="R793" t="str">
        <f t="shared" si="73"/>
        <v>Q3</v>
      </c>
      <c r="S793">
        <f t="shared" si="74"/>
        <v>2024</v>
      </c>
      <c r="T793">
        <f t="shared" si="75"/>
        <v>720334.50999999978</v>
      </c>
      <c r="U793">
        <f t="shared" si="76"/>
        <v>241609.81999999995</v>
      </c>
      <c r="V793">
        <f t="shared" si="77"/>
        <v>1.9813958306827095</v>
      </c>
    </row>
    <row r="794" spans="1:22" x14ac:dyDescent="0.35">
      <c r="A794" t="s">
        <v>1651</v>
      </c>
      <c r="B794" s="1">
        <v>45355</v>
      </c>
      <c r="C794" t="s">
        <v>1652</v>
      </c>
      <c r="D794" t="s">
        <v>49</v>
      </c>
      <c r="E794" t="s">
        <v>30</v>
      </c>
      <c r="F794" t="s">
        <v>21</v>
      </c>
      <c r="G794" t="s">
        <v>43</v>
      </c>
      <c r="H794" t="s">
        <v>50</v>
      </c>
      <c r="I794">
        <v>9</v>
      </c>
      <c r="J794">
        <v>40.42</v>
      </c>
      <c r="K794">
        <v>0</v>
      </c>
      <c r="L794">
        <v>363.78</v>
      </c>
      <c r="M794">
        <v>259.7</v>
      </c>
      <c r="N794">
        <v>104.08</v>
      </c>
      <c r="O794" t="s">
        <v>33</v>
      </c>
      <c r="P794">
        <v>4</v>
      </c>
      <c r="Q794" t="str">
        <f t="shared" si="72"/>
        <v>March</v>
      </c>
      <c r="R794" t="str">
        <f t="shared" si="73"/>
        <v>Q1</v>
      </c>
      <c r="S794">
        <f t="shared" si="74"/>
        <v>2024</v>
      </c>
      <c r="T794">
        <f t="shared" si="75"/>
        <v>713104.43999999983</v>
      </c>
      <c r="U794">
        <f t="shared" si="76"/>
        <v>238464.64999999994</v>
      </c>
      <c r="V794">
        <f t="shared" si="77"/>
        <v>1.990398954310419</v>
      </c>
    </row>
    <row r="795" spans="1:22" x14ac:dyDescent="0.35">
      <c r="A795" t="s">
        <v>1653</v>
      </c>
      <c r="B795" s="1">
        <v>45573</v>
      </c>
      <c r="C795" t="s">
        <v>1654</v>
      </c>
      <c r="D795" t="s">
        <v>66</v>
      </c>
      <c r="E795" t="s">
        <v>98</v>
      </c>
      <c r="F795" t="s">
        <v>31</v>
      </c>
      <c r="G795" t="s">
        <v>43</v>
      </c>
      <c r="H795" t="s">
        <v>50</v>
      </c>
      <c r="I795">
        <v>7</v>
      </c>
      <c r="J795">
        <v>422.54</v>
      </c>
      <c r="K795">
        <v>0.15</v>
      </c>
      <c r="L795">
        <v>2514.11</v>
      </c>
      <c r="M795">
        <v>1678.77</v>
      </c>
      <c r="N795">
        <v>835.34</v>
      </c>
      <c r="O795" t="s">
        <v>24</v>
      </c>
      <c r="P795">
        <v>2</v>
      </c>
      <c r="Q795" t="str">
        <f t="shared" si="72"/>
        <v>October</v>
      </c>
      <c r="R795" t="str">
        <f t="shared" si="73"/>
        <v>Q4</v>
      </c>
      <c r="S795">
        <f t="shared" si="74"/>
        <v>2024</v>
      </c>
      <c r="T795">
        <f t="shared" si="75"/>
        <v>712740.6599999998</v>
      </c>
      <c r="U795">
        <f t="shared" si="76"/>
        <v>238360.56999999995</v>
      </c>
      <c r="V795">
        <f t="shared" si="77"/>
        <v>1.9901785349816874</v>
      </c>
    </row>
    <row r="796" spans="1:22" x14ac:dyDescent="0.35">
      <c r="A796" t="s">
        <v>1655</v>
      </c>
      <c r="B796" s="1">
        <v>45354</v>
      </c>
      <c r="C796" t="s">
        <v>1656</v>
      </c>
      <c r="D796" t="s">
        <v>19</v>
      </c>
      <c r="E796" t="s">
        <v>30</v>
      </c>
      <c r="F796" t="s">
        <v>39</v>
      </c>
      <c r="G796" t="s">
        <v>79</v>
      </c>
      <c r="H796" t="s">
        <v>103</v>
      </c>
      <c r="I796">
        <v>2</v>
      </c>
      <c r="J796">
        <v>1184.69</v>
      </c>
      <c r="K796">
        <v>0.1</v>
      </c>
      <c r="L796">
        <v>2132.44</v>
      </c>
      <c r="M796">
        <v>1807.98</v>
      </c>
      <c r="N796">
        <v>324.45999999999998</v>
      </c>
      <c r="O796" t="s">
        <v>33</v>
      </c>
      <c r="P796">
        <v>2</v>
      </c>
      <c r="Q796" t="str">
        <f t="shared" si="72"/>
        <v>March</v>
      </c>
      <c r="R796" t="str">
        <f t="shared" si="73"/>
        <v>Q1</v>
      </c>
      <c r="S796">
        <f t="shared" si="74"/>
        <v>2024</v>
      </c>
      <c r="T796">
        <f t="shared" si="75"/>
        <v>710226.54999999981</v>
      </c>
      <c r="U796">
        <f t="shared" si="76"/>
        <v>237525.22999999992</v>
      </c>
      <c r="V796">
        <f t="shared" si="77"/>
        <v>1.9901099348477636</v>
      </c>
    </row>
    <row r="797" spans="1:22" x14ac:dyDescent="0.35">
      <c r="A797" t="s">
        <v>1657</v>
      </c>
      <c r="B797" s="1">
        <v>45312</v>
      </c>
      <c r="C797" t="s">
        <v>1658</v>
      </c>
      <c r="D797" t="s">
        <v>19</v>
      </c>
      <c r="E797" t="s">
        <v>38</v>
      </c>
      <c r="F797" t="s">
        <v>21</v>
      </c>
      <c r="G797" t="s">
        <v>43</v>
      </c>
      <c r="H797" t="s">
        <v>173</v>
      </c>
      <c r="I797">
        <v>5</v>
      </c>
      <c r="J797">
        <v>50.01</v>
      </c>
      <c r="K797">
        <v>0.05</v>
      </c>
      <c r="L797">
        <v>237.55</v>
      </c>
      <c r="M797">
        <v>180.45</v>
      </c>
      <c r="N797">
        <v>57.1</v>
      </c>
      <c r="O797" t="s">
        <v>62</v>
      </c>
      <c r="P797">
        <v>4</v>
      </c>
      <c r="Q797" t="str">
        <f t="shared" si="72"/>
        <v>January</v>
      </c>
      <c r="R797" t="str">
        <f t="shared" si="73"/>
        <v>Q1</v>
      </c>
      <c r="S797">
        <f t="shared" si="74"/>
        <v>2024</v>
      </c>
      <c r="T797">
        <f t="shared" si="75"/>
        <v>708094.10999999975</v>
      </c>
      <c r="U797">
        <f t="shared" si="76"/>
        <v>237200.76999999993</v>
      </c>
      <c r="V797">
        <f t="shared" si="77"/>
        <v>1.9852099974211719</v>
      </c>
    </row>
    <row r="798" spans="1:22" x14ac:dyDescent="0.35">
      <c r="A798" t="s">
        <v>1659</v>
      </c>
      <c r="B798" s="1">
        <v>45428</v>
      </c>
      <c r="C798" t="s">
        <v>1660</v>
      </c>
      <c r="D798" t="s">
        <v>29</v>
      </c>
      <c r="E798" t="s">
        <v>98</v>
      </c>
      <c r="F798" t="s">
        <v>39</v>
      </c>
      <c r="G798" t="s">
        <v>43</v>
      </c>
      <c r="H798" t="s">
        <v>173</v>
      </c>
      <c r="I798">
        <v>3</v>
      </c>
      <c r="J798">
        <v>740.15</v>
      </c>
      <c r="K798">
        <v>0.15</v>
      </c>
      <c r="L798">
        <v>1887.38</v>
      </c>
      <c r="M798">
        <v>1262.94</v>
      </c>
      <c r="N798">
        <v>624.44000000000005</v>
      </c>
      <c r="O798" t="s">
        <v>33</v>
      </c>
      <c r="P798">
        <v>1</v>
      </c>
      <c r="Q798" t="str">
        <f t="shared" si="72"/>
        <v>May</v>
      </c>
      <c r="R798" t="str">
        <f t="shared" si="73"/>
        <v>Q2</v>
      </c>
      <c r="S798">
        <f t="shared" si="74"/>
        <v>2024</v>
      </c>
      <c r="T798">
        <f t="shared" si="75"/>
        <v>707856.55999999982</v>
      </c>
      <c r="U798">
        <f t="shared" si="76"/>
        <v>237143.66999999993</v>
      </c>
      <c r="V798">
        <f t="shared" si="77"/>
        <v>1.9849270697379358</v>
      </c>
    </row>
    <row r="799" spans="1:22" x14ac:dyDescent="0.35">
      <c r="A799" t="s">
        <v>1661</v>
      </c>
      <c r="B799" s="1">
        <v>45532</v>
      </c>
      <c r="C799" t="s">
        <v>1662</v>
      </c>
      <c r="D799" t="s">
        <v>49</v>
      </c>
      <c r="E799" t="s">
        <v>20</v>
      </c>
      <c r="F799" t="s">
        <v>21</v>
      </c>
      <c r="G799" t="s">
        <v>22</v>
      </c>
      <c r="H799" t="s">
        <v>32</v>
      </c>
      <c r="I799">
        <v>7</v>
      </c>
      <c r="J799">
        <v>134.91999999999999</v>
      </c>
      <c r="K799">
        <v>0.15</v>
      </c>
      <c r="L799">
        <v>802.77</v>
      </c>
      <c r="M799">
        <v>455.62</v>
      </c>
      <c r="N799">
        <v>347.15</v>
      </c>
      <c r="O799" t="s">
        <v>51</v>
      </c>
      <c r="P799">
        <v>2</v>
      </c>
      <c r="Q799" t="str">
        <f t="shared" si="72"/>
        <v>August</v>
      </c>
      <c r="R799" t="str">
        <f t="shared" si="73"/>
        <v>Q3</v>
      </c>
      <c r="S799">
        <f t="shared" si="74"/>
        <v>2024</v>
      </c>
      <c r="T799">
        <f t="shared" si="75"/>
        <v>705969.17999999982</v>
      </c>
      <c r="U799">
        <f t="shared" si="76"/>
        <v>236519.22999999992</v>
      </c>
      <c r="V799">
        <f t="shared" si="77"/>
        <v>1.9848278298555262</v>
      </c>
    </row>
    <row r="800" spans="1:22" x14ac:dyDescent="0.35">
      <c r="A800" t="s">
        <v>1663</v>
      </c>
      <c r="B800" s="1">
        <v>45421</v>
      </c>
      <c r="C800" t="s">
        <v>1664</v>
      </c>
      <c r="D800" t="s">
        <v>37</v>
      </c>
      <c r="E800" t="s">
        <v>98</v>
      </c>
      <c r="F800" t="s">
        <v>39</v>
      </c>
      <c r="G800" t="s">
        <v>60</v>
      </c>
      <c r="H800" t="s">
        <v>61</v>
      </c>
      <c r="I800">
        <v>1</v>
      </c>
      <c r="J800">
        <v>722.7</v>
      </c>
      <c r="K800">
        <v>0.15</v>
      </c>
      <c r="L800">
        <v>614.29999999999995</v>
      </c>
      <c r="M800">
        <v>349.97</v>
      </c>
      <c r="N800">
        <v>264.33</v>
      </c>
      <c r="O800" t="s">
        <v>33</v>
      </c>
      <c r="P800">
        <v>3</v>
      </c>
      <c r="Q800" t="str">
        <f t="shared" si="72"/>
        <v>May</v>
      </c>
      <c r="R800" t="str">
        <f t="shared" si="73"/>
        <v>Q2</v>
      </c>
      <c r="S800">
        <f t="shared" si="74"/>
        <v>2024</v>
      </c>
      <c r="T800">
        <f t="shared" si="75"/>
        <v>705166.4099999998</v>
      </c>
      <c r="U800">
        <f t="shared" si="76"/>
        <v>236172.07999999993</v>
      </c>
      <c r="V800">
        <f t="shared" si="77"/>
        <v>1.9858161472770193</v>
      </c>
    </row>
    <row r="801" spans="1:22" x14ac:dyDescent="0.35">
      <c r="A801" t="s">
        <v>1665</v>
      </c>
      <c r="B801" s="1">
        <v>45648</v>
      </c>
      <c r="C801" t="s">
        <v>1666</v>
      </c>
      <c r="D801" t="s">
        <v>66</v>
      </c>
      <c r="E801" t="s">
        <v>85</v>
      </c>
      <c r="F801" t="s">
        <v>39</v>
      </c>
      <c r="G801" t="s">
        <v>79</v>
      </c>
      <c r="H801" t="s">
        <v>89</v>
      </c>
      <c r="I801">
        <v>1</v>
      </c>
      <c r="J801">
        <v>283.89</v>
      </c>
      <c r="K801">
        <v>0.15</v>
      </c>
      <c r="L801">
        <v>241.31</v>
      </c>
      <c r="M801">
        <v>128.85</v>
      </c>
      <c r="N801">
        <v>112.46</v>
      </c>
      <c r="O801" t="s">
        <v>24</v>
      </c>
      <c r="P801">
        <v>3</v>
      </c>
      <c r="Q801" t="str">
        <f t="shared" si="72"/>
        <v>December</v>
      </c>
      <c r="R801" t="str">
        <f t="shared" si="73"/>
        <v>Q4</v>
      </c>
      <c r="S801">
        <f t="shared" si="74"/>
        <v>2024</v>
      </c>
      <c r="T801">
        <f t="shared" si="75"/>
        <v>704552.10999999975</v>
      </c>
      <c r="U801">
        <f t="shared" si="76"/>
        <v>235907.74999999991</v>
      </c>
      <c r="V801">
        <f t="shared" si="77"/>
        <v>1.9865577116478794</v>
      </c>
    </row>
    <row r="802" spans="1:22" x14ac:dyDescent="0.35">
      <c r="A802" t="s">
        <v>1667</v>
      </c>
      <c r="B802" s="1">
        <v>45380</v>
      </c>
      <c r="C802" t="s">
        <v>1668</v>
      </c>
      <c r="D802" t="s">
        <v>29</v>
      </c>
      <c r="E802" t="s">
        <v>98</v>
      </c>
      <c r="F802" t="s">
        <v>39</v>
      </c>
      <c r="G802" t="s">
        <v>79</v>
      </c>
      <c r="H802" t="s">
        <v>103</v>
      </c>
      <c r="I802">
        <v>5</v>
      </c>
      <c r="J802">
        <v>726.78</v>
      </c>
      <c r="K802">
        <v>0.05</v>
      </c>
      <c r="L802">
        <v>3452.2</v>
      </c>
      <c r="M802">
        <v>2448.4899999999998</v>
      </c>
      <c r="N802">
        <v>1003.71</v>
      </c>
      <c r="O802" t="s">
        <v>33</v>
      </c>
      <c r="P802">
        <v>1</v>
      </c>
      <c r="Q802" t="str">
        <f t="shared" si="72"/>
        <v>March</v>
      </c>
      <c r="R802" t="str">
        <f t="shared" si="73"/>
        <v>Q1</v>
      </c>
      <c r="S802">
        <f t="shared" si="74"/>
        <v>2024</v>
      </c>
      <c r="T802">
        <f t="shared" si="75"/>
        <v>704310.79999999981</v>
      </c>
      <c r="U802">
        <f t="shared" si="76"/>
        <v>235795.28999999992</v>
      </c>
      <c r="V802">
        <f t="shared" si="77"/>
        <v>1.9869587301765022</v>
      </c>
    </row>
    <row r="803" spans="1:22" x14ac:dyDescent="0.35">
      <c r="A803" t="s">
        <v>1669</v>
      </c>
      <c r="B803" s="1">
        <v>45604</v>
      </c>
      <c r="C803" t="s">
        <v>1670</v>
      </c>
      <c r="D803" t="s">
        <v>49</v>
      </c>
      <c r="E803" t="s">
        <v>98</v>
      </c>
      <c r="F803" t="s">
        <v>39</v>
      </c>
      <c r="G803" t="s">
        <v>43</v>
      </c>
      <c r="H803" t="s">
        <v>50</v>
      </c>
      <c r="I803">
        <v>6</v>
      </c>
      <c r="J803">
        <v>1067.54</v>
      </c>
      <c r="K803">
        <v>0.15</v>
      </c>
      <c r="L803">
        <v>5444.45</v>
      </c>
      <c r="M803">
        <v>2931.17</v>
      </c>
      <c r="N803">
        <v>2513.2800000000002</v>
      </c>
      <c r="O803" t="s">
        <v>24</v>
      </c>
      <c r="P803">
        <v>1</v>
      </c>
      <c r="Q803" t="str">
        <f t="shared" si="72"/>
        <v>November</v>
      </c>
      <c r="R803" t="str">
        <f t="shared" si="73"/>
        <v>Q4</v>
      </c>
      <c r="S803">
        <f t="shared" si="74"/>
        <v>2024</v>
      </c>
      <c r="T803">
        <f t="shared" si="75"/>
        <v>700858.59999999974</v>
      </c>
      <c r="U803">
        <f t="shared" si="76"/>
        <v>234791.57999999993</v>
      </c>
      <c r="V803">
        <f t="shared" si="77"/>
        <v>1.9850244203816847</v>
      </c>
    </row>
    <row r="804" spans="1:22" x14ac:dyDescent="0.35">
      <c r="A804" t="s">
        <v>1671</v>
      </c>
      <c r="B804" s="1">
        <v>45568</v>
      </c>
      <c r="C804" t="s">
        <v>1672</v>
      </c>
      <c r="D804" t="s">
        <v>49</v>
      </c>
      <c r="E804" t="s">
        <v>98</v>
      </c>
      <c r="F804" t="s">
        <v>31</v>
      </c>
      <c r="G804" t="s">
        <v>60</v>
      </c>
      <c r="H804" t="s">
        <v>110</v>
      </c>
      <c r="I804">
        <v>4</v>
      </c>
      <c r="J804">
        <v>348.04</v>
      </c>
      <c r="K804">
        <v>0.1</v>
      </c>
      <c r="L804">
        <v>1252.94</v>
      </c>
      <c r="M804">
        <v>764.32</v>
      </c>
      <c r="N804">
        <v>488.62</v>
      </c>
      <c r="O804" t="s">
        <v>51</v>
      </c>
      <c r="P804">
        <v>4</v>
      </c>
      <c r="Q804" t="str">
        <f t="shared" si="72"/>
        <v>October</v>
      </c>
      <c r="R804" t="str">
        <f t="shared" si="73"/>
        <v>Q4</v>
      </c>
      <c r="S804">
        <f t="shared" si="74"/>
        <v>2024</v>
      </c>
      <c r="T804">
        <f t="shared" si="75"/>
        <v>695414.14999999967</v>
      </c>
      <c r="U804">
        <f t="shared" si="76"/>
        <v>232278.2999999999</v>
      </c>
      <c r="V804">
        <f t="shared" si="77"/>
        <v>1.9938834148519251</v>
      </c>
    </row>
    <row r="805" spans="1:22" x14ac:dyDescent="0.35">
      <c r="A805" t="s">
        <v>1673</v>
      </c>
      <c r="B805" s="1">
        <v>45503</v>
      </c>
      <c r="C805" t="s">
        <v>1674</v>
      </c>
      <c r="D805" t="s">
        <v>29</v>
      </c>
      <c r="E805" t="s">
        <v>30</v>
      </c>
      <c r="F805" t="s">
        <v>39</v>
      </c>
      <c r="G805" t="s">
        <v>43</v>
      </c>
      <c r="H805" t="s">
        <v>173</v>
      </c>
      <c r="I805">
        <v>8</v>
      </c>
      <c r="J805">
        <v>409.45</v>
      </c>
      <c r="K805">
        <v>0.05</v>
      </c>
      <c r="L805">
        <v>3111.82</v>
      </c>
      <c r="M805">
        <v>2068.02</v>
      </c>
      <c r="N805">
        <v>1043.8</v>
      </c>
      <c r="O805" t="s">
        <v>24</v>
      </c>
      <c r="P805">
        <v>2</v>
      </c>
      <c r="Q805" t="str">
        <f t="shared" si="72"/>
        <v>July</v>
      </c>
      <c r="R805" t="str">
        <f t="shared" si="73"/>
        <v>Q3</v>
      </c>
      <c r="S805">
        <f t="shared" si="74"/>
        <v>2024</v>
      </c>
      <c r="T805">
        <f t="shared" si="75"/>
        <v>694161.20999999961</v>
      </c>
      <c r="U805">
        <f t="shared" si="76"/>
        <v>231789.67999999991</v>
      </c>
      <c r="V805">
        <f t="shared" si="77"/>
        <v>1.994789112267638</v>
      </c>
    </row>
    <row r="806" spans="1:22" x14ac:dyDescent="0.35">
      <c r="A806" t="s">
        <v>1675</v>
      </c>
      <c r="B806" s="1">
        <v>45610</v>
      </c>
      <c r="C806" t="s">
        <v>1676</v>
      </c>
      <c r="D806" t="s">
        <v>66</v>
      </c>
      <c r="E806" t="s">
        <v>85</v>
      </c>
      <c r="F806" t="s">
        <v>21</v>
      </c>
      <c r="G806" t="s">
        <v>79</v>
      </c>
      <c r="H806" t="s">
        <v>80</v>
      </c>
      <c r="I806">
        <v>12</v>
      </c>
      <c r="J806">
        <v>935.43</v>
      </c>
      <c r="K806">
        <v>0.15</v>
      </c>
      <c r="L806">
        <v>9541.39</v>
      </c>
      <c r="M806">
        <v>8079.17</v>
      </c>
      <c r="N806">
        <v>1462.22</v>
      </c>
      <c r="O806" t="s">
        <v>33</v>
      </c>
      <c r="P806">
        <v>1</v>
      </c>
      <c r="Q806" t="str">
        <f t="shared" si="72"/>
        <v>November</v>
      </c>
      <c r="R806" t="str">
        <f t="shared" si="73"/>
        <v>Q4</v>
      </c>
      <c r="S806">
        <f t="shared" si="74"/>
        <v>2024</v>
      </c>
      <c r="T806">
        <f t="shared" si="75"/>
        <v>691049.38999999966</v>
      </c>
      <c r="U806">
        <f t="shared" si="76"/>
        <v>230745.87999999992</v>
      </c>
      <c r="V806">
        <f t="shared" si="77"/>
        <v>1.994850395595362</v>
      </c>
    </row>
    <row r="807" spans="1:22" x14ac:dyDescent="0.35">
      <c r="A807" t="s">
        <v>1677</v>
      </c>
      <c r="B807" s="1">
        <v>45633</v>
      </c>
      <c r="C807" t="s">
        <v>1678</v>
      </c>
      <c r="D807" t="s">
        <v>37</v>
      </c>
      <c r="E807" t="s">
        <v>38</v>
      </c>
      <c r="F807" t="s">
        <v>39</v>
      </c>
      <c r="G807" t="s">
        <v>79</v>
      </c>
      <c r="H807" t="s">
        <v>89</v>
      </c>
      <c r="I807">
        <v>4</v>
      </c>
      <c r="J807">
        <v>387.31</v>
      </c>
      <c r="K807">
        <v>0.1</v>
      </c>
      <c r="L807">
        <v>1394.32</v>
      </c>
      <c r="M807">
        <v>777.35</v>
      </c>
      <c r="N807">
        <v>616.97</v>
      </c>
      <c r="O807" t="s">
        <v>62</v>
      </c>
      <c r="P807">
        <v>3</v>
      </c>
      <c r="Q807" t="str">
        <f t="shared" si="72"/>
        <v>December</v>
      </c>
      <c r="R807" t="str">
        <f t="shared" si="73"/>
        <v>Q4</v>
      </c>
      <c r="S807">
        <f t="shared" si="74"/>
        <v>2024</v>
      </c>
      <c r="T807">
        <f t="shared" si="75"/>
        <v>681507.99999999977</v>
      </c>
      <c r="U807">
        <f t="shared" si="76"/>
        <v>229283.65999999997</v>
      </c>
      <c r="V807">
        <f t="shared" si="77"/>
        <v>1.9723356649139316</v>
      </c>
    </row>
    <row r="808" spans="1:22" x14ac:dyDescent="0.35">
      <c r="A808" t="s">
        <v>1679</v>
      </c>
      <c r="B808" s="1">
        <v>45520</v>
      </c>
      <c r="C808" t="s">
        <v>1680</v>
      </c>
      <c r="D808" t="s">
        <v>19</v>
      </c>
      <c r="E808" t="s">
        <v>85</v>
      </c>
      <c r="F808" t="s">
        <v>39</v>
      </c>
      <c r="G808" t="s">
        <v>43</v>
      </c>
      <c r="H808" t="s">
        <v>44</v>
      </c>
      <c r="I808">
        <v>7</v>
      </c>
      <c r="J808">
        <v>1020.22</v>
      </c>
      <c r="K808">
        <v>0.15</v>
      </c>
      <c r="L808">
        <v>6070.31</v>
      </c>
      <c r="M808">
        <v>4589.47</v>
      </c>
      <c r="N808">
        <v>1480.84</v>
      </c>
      <c r="O808" t="s">
        <v>51</v>
      </c>
      <c r="P808">
        <v>2</v>
      </c>
      <c r="Q808" t="str">
        <f t="shared" si="72"/>
        <v>August</v>
      </c>
      <c r="R808" t="str">
        <f t="shared" si="73"/>
        <v>Q3</v>
      </c>
      <c r="S808">
        <f t="shared" si="74"/>
        <v>2024</v>
      </c>
      <c r="T808">
        <f t="shared" si="75"/>
        <v>680113.67999999982</v>
      </c>
      <c r="U808">
        <f t="shared" si="76"/>
        <v>228666.68999999997</v>
      </c>
      <c r="V808">
        <f t="shared" si="77"/>
        <v>1.9742577723060579</v>
      </c>
    </row>
    <row r="809" spans="1:22" x14ac:dyDescent="0.35">
      <c r="A809" t="s">
        <v>1681</v>
      </c>
      <c r="B809" s="1">
        <v>45464</v>
      </c>
      <c r="C809" t="s">
        <v>1682</v>
      </c>
      <c r="D809" t="s">
        <v>66</v>
      </c>
      <c r="E809" t="s">
        <v>20</v>
      </c>
      <c r="F809" t="s">
        <v>31</v>
      </c>
      <c r="G809" t="s">
        <v>79</v>
      </c>
      <c r="H809" t="s">
        <v>89</v>
      </c>
      <c r="I809">
        <v>4</v>
      </c>
      <c r="J809">
        <v>241.73</v>
      </c>
      <c r="K809">
        <v>0.1</v>
      </c>
      <c r="L809">
        <v>870.23</v>
      </c>
      <c r="M809">
        <v>539.33000000000004</v>
      </c>
      <c r="N809">
        <v>330.9</v>
      </c>
      <c r="O809" t="s">
        <v>62</v>
      </c>
      <c r="P809">
        <v>2</v>
      </c>
      <c r="Q809" t="str">
        <f t="shared" si="72"/>
        <v>June</v>
      </c>
      <c r="R809" t="str">
        <f t="shared" si="73"/>
        <v>Q2</v>
      </c>
      <c r="S809">
        <f t="shared" si="74"/>
        <v>2024</v>
      </c>
      <c r="T809">
        <f t="shared" si="75"/>
        <v>674043.36999999988</v>
      </c>
      <c r="U809">
        <f t="shared" si="76"/>
        <v>227185.84999999995</v>
      </c>
      <c r="V809">
        <f t="shared" si="77"/>
        <v>1.9669249647370204</v>
      </c>
    </row>
    <row r="810" spans="1:22" x14ac:dyDescent="0.35">
      <c r="A810" t="s">
        <v>1683</v>
      </c>
      <c r="B810" s="1">
        <v>45346</v>
      </c>
      <c r="C810" t="s">
        <v>1684</v>
      </c>
      <c r="D810" t="s">
        <v>19</v>
      </c>
      <c r="E810" t="s">
        <v>20</v>
      </c>
      <c r="F810" t="s">
        <v>21</v>
      </c>
      <c r="G810" t="s">
        <v>60</v>
      </c>
      <c r="H810" t="s">
        <v>119</v>
      </c>
      <c r="I810">
        <v>2</v>
      </c>
      <c r="J810">
        <v>481.19</v>
      </c>
      <c r="K810">
        <v>0.15</v>
      </c>
      <c r="L810">
        <v>818.02</v>
      </c>
      <c r="M810">
        <v>672.08</v>
      </c>
      <c r="N810">
        <v>145.94</v>
      </c>
      <c r="O810" t="s">
        <v>51</v>
      </c>
      <c r="P810">
        <v>2</v>
      </c>
      <c r="Q810" t="str">
        <f t="shared" si="72"/>
        <v>February</v>
      </c>
      <c r="R810" t="str">
        <f t="shared" si="73"/>
        <v>Q1</v>
      </c>
      <c r="S810">
        <f t="shared" si="74"/>
        <v>2024</v>
      </c>
      <c r="T810">
        <f t="shared" si="75"/>
        <v>673173.1399999999</v>
      </c>
      <c r="U810">
        <f t="shared" si="76"/>
        <v>226854.94999999995</v>
      </c>
      <c r="V810">
        <f t="shared" si="77"/>
        <v>1.9674165805066191</v>
      </c>
    </row>
    <row r="811" spans="1:22" x14ac:dyDescent="0.35">
      <c r="A811" t="s">
        <v>1685</v>
      </c>
      <c r="B811" s="1">
        <v>45574</v>
      </c>
      <c r="C811" t="s">
        <v>1686</v>
      </c>
      <c r="D811" t="s">
        <v>49</v>
      </c>
      <c r="E811" t="s">
        <v>30</v>
      </c>
      <c r="F811" t="s">
        <v>21</v>
      </c>
      <c r="G811" t="s">
        <v>79</v>
      </c>
      <c r="H811" t="s">
        <v>103</v>
      </c>
      <c r="I811">
        <v>8</v>
      </c>
      <c r="J811">
        <v>310.11</v>
      </c>
      <c r="K811">
        <v>0.05</v>
      </c>
      <c r="L811">
        <v>2356.84</v>
      </c>
      <c r="M811">
        <v>1895.11</v>
      </c>
      <c r="N811">
        <v>461.73</v>
      </c>
      <c r="O811" t="s">
        <v>51</v>
      </c>
      <c r="P811">
        <v>3</v>
      </c>
      <c r="Q811" t="str">
        <f t="shared" si="72"/>
        <v>October</v>
      </c>
      <c r="R811" t="str">
        <f t="shared" si="73"/>
        <v>Q4</v>
      </c>
      <c r="S811">
        <f t="shared" si="74"/>
        <v>2024</v>
      </c>
      <c r="T811">
        <f t="shared" si="75"/>
        <v>672355.11999999988</v>
      </c>
      <c r="U811">
        <f t="shared" si="76"/>
        <v>226709.00999999995</v>
      </c>
      <c r="V811">
        <f t="shared" si="77"/>
        <v>1.9657185658390905</v>
      </c>
    </row>
    <row r="812" spans="1:22" x14ac:dyDescent="0.35">
      <c r="A812" t="s">
        <v>1687</v>
      </c>
      <c r="B812" s="1">
        <v>45592</v>
      </c>
      <c r="C812" t="s">
        <v>1688</v>
      </c>
      <c r="D812" t="s">
        <v>19</v>
      </c>
      <c r="E812" t="s">
        <v>85</v>
      </c>
      <c r="F812" t="s">
        <v>21</v>
      </c>
      <c r="G812" t="s">
        <v>79</v>
      </c>
      <c r="H812" t="s">
        <v>103</v>
      </c>
      <c r="I812">
        <v>6</v>
      </c>
      <c r="J812">
        <v>948.57</v>
      </c>
      <c r="K812">
        <v>0</v>
      </c>
      <c r="L812">
        <v>5691.42</v>
      </c>
      <c r="M812">
        <v>3038.08</v>
      </c>
      <c r="N812">
        <v>2653.34</v>
      </c>
      <c r="O812" t="s">
        <v>62</v>
      </c>
      <c r="P812">
        <v>2</v>
      </c>
      <c r="Q812" t="str">
        <f t="shared" si="72"/>
        <v>October</v>
      </c>
      <c r="R812" t="str">
        <f t="shared" si="73"/>
        <v>Q4</v>
      </c>
      <c r="S812">
        <f t="shared" si="74"/>
        <v>2024</v>
      </c>
      <c r="T812">
        <f t="shared" si="75"/>
        <v>669998.27999999991</v>
      </c>
      <c r="U812">
        <f t="shared" si="76"/>
        <v>226247.27999999997</v>
      </c>
      <c r="V812">
        <f t="shared" si="77"/>
        <v>1.9613539663327666</v>
      </c>
    </row>
    <row r="813" spans="1:22" x14ac:dyDescent="0.35">
      <c r="A813" t="s">
        <v>1689</v>
      </c>
      <c r="B813" s="1">
        <v>45424</v>
      </c>
      <c r="C813" t="s">
        <v>1690</v>
      </c>
      <c r="D813" t="s">
        <v>37</v>
      </c>
      <c r="E813" t="s">
        <v>98</v>
      </c>
      <c r="F813" t="s">
        <v>31</v>
      </c>
      <c r="G813" t="s">
        <v>22</v>
      </c>
      <c r="H813" t="s">
        <v>124</v>
      </c>
      <c r="I813">
        <v>8</v>
      </c>
      <c r="J813">
        <v>614.16</v>
      </c>
      <c r="K813">
        <v>0.15</v>
      </c>
      <c r="L813">
        <v>4176.29</v>
      </c>
      <c r="M813">
        <v>2167.7800000000002</v>
      </c>
      <c r="N813">
        <v>2008.51</v>
      </c>
      <c r="O813" t="s">
        <v>24</v>
      </c>
      <c r="P813">
        <v>4</v>
      </c>
      <c r="Q813" t="str">
        <f t="shared" si="72"/>
        <v>May</v>
      </c>
      <c r="R813" t="str">
        <f t="shared" si="73"/>
        <v>Q2</v>
      </c>
      <c r="S813">
        <f t="shared" si="74"/>
        <v>2024</v>
      </c>
      <c r="T813">
        <f t="shared" si="75"/>
        <v>664306.85999999987</v>
      </c>
      <c r="U813">
        <f t="shared" si="76"/>
        <v>223593.93999999997</v>
      </c>
      <c r="V813">
        <f t="shared" si="77"/>
        <v>1.9710414334127302</v>
      </c>
    </row>
    <row r="814" spans="1:22" x14ac:dyDescent="0.35">
      <c r="A814" t="s">
        <v>1691</v>
      </c>
      <c r="B814" s="1">
        <v>45547</v>
      </c>
      <c r="C814" t="s">
        <v>1692</v>
      </c>
      <c r="D814" t="s">
        <v>29</v>
      </c>
      <c r="E814" t="s">
        <v>85</v>
      </c>
      <c r="F814" t="s">
        <v>21</v>
      </c>
      <c r="G814" t="s">
        <v>60</v>
      </c>
      <c r="H814" t="s">
        <v>61</v>
      </c>
      <c r="I814">
        <v>2</v>
      </c>
      <c r="J814">
        <v>1051.08</v>
      </c>
      <c r="K814">
        <v>0.05</v>
      </c>
      <c r="L814">
        <v>1997.05</v>
      </c>
      <c r="M814">
        <v>1103.58</v>
      </c>
      <c r="N814">
        <v>893.47</v>
      </c>
      <c r="O814" t="s">
        <v>33</v>
      </c>
      <c r="P814">
        <v>5</v>
      </c>
      <c r="Q814" t="str">
        <f t="shared" si="72"/>
        <v>September</v>
      </c>
      <c r="R814" t="str">
        <f t="shared" si="73"/>
        <v>Q3</v>
      </c>
      <c r="S814">
        <f t="shared" si="74"/>
        <v>2024</v>
      </c>
      <c r="T814">
        <f t="shared" si="75"/>
        <v>660130.56999999983</v>
      </c>
      <c r="U814">
        <f t="shared" si="76"/>
        <v>221585.42999999996</v>
      </c>
      <c r="V814">
        <f t="shared" si="77"/>
        <v>1.9791244397251209</v>
      </c>
    </row>
    <row r="815" spans="1:22" x14ac:dyDescent="0.35">
      <c r="A815" t="s">
        <v>1693</v>
      </c>
      <c r="B815" s="1">
        <v>45349</v>
      </c>
      <c r="C815" t="s">
        <v>1694</v>
      </c>
      <c r="D815" t="s">
        <v>37</v>
      </c>
      <c r="E815" t="s">
        <v>38</v>
      </c>
      <c r="F815" t="s">
        <v>31</v>
      </c>
      <c r="G815" t="s">
        <v>22</v>
      </c>
      <c r="H815" t="s">
        <v>23</v>
      </c>
      <c r="I815">
        <v>1</v>
      </c>
      <c r="J815">
        <v>558.87</v>
      </c>
      <c r="K815">
        <v>0.05</v>
      </c>
      <c r="L815">
        <v>530.92999999999995</v>
      </c>
      <c r="M815">
        <v>373.35</v>
      </c>
      <c r="N815">
        <v>157.58000000000001</v>
      </c>
      <c r="O815" t="s">
        <v>51</v>
      </c>
      <c r="P815">
        <v>3</v>
      </c>
      <c r="Q815" t="str">
        <f t="shared" si="72"/>
        <v>February</v>
      </c>
      <c r="R815" t="str">
        <f t="shared" si="73"/>
        <v>Q1</v>
      </c>
      <c r="S815">
        <f t="shared" si="74"/>
        <v>2024</v>
      </c>
      <c r="T815">
        <f t="shared" si="75"/>
        <v>658133.5199999999</v>
      </c>
      <c r="U815">
        <f t="shared" si="76"/>
        <v>220691.95999999996</v>
      </c>
      <c r="V815">
        <f t="shared" si="77"/>
        <v>1.9821363678133088</v>
      </c>
    </row>
    <row r="816" spans="1:22" x14ac:dyDescent="0.35">
      <c r="A816" t="s">
        <v>1695</v>
      </c>
      <c r="B816" s="1">
        <v>45641</v>
      </c>
      <c r="C816" t="s">
        <v>1696</v>
      </c>
      <c r="D816" t="s">
        <v>49</v>
      </c>
      <c r="E816" t="s">
        <v>85</v>
      </c>
      <c r="F816" t="s">
        <v>21</v>
      </c>
      <c r="G816" t="s">
        <v>22</v>
      </c>
      <c r="H816" t="s">
        <v>23</v>
      </c>
      <c r="I816">
        <v>3</v>
      </c>
      <c r="J816">
        <v>498.18</v>
      </c>
      <c r="K816">
        <v>0.05</v>
      </c>
      <c r="L816">
        <v>1419.81</v>
      </c>
      <c r="M816">
        <v>758.41</v>
      </c>
      <c r="N816">
        <v>661.4</v>
      </c>
      <c r="O816" t="s">
        <v>24</v>
      </c>
      <c r="P816">
        <v>5</v>
      </c>
      <c r="Q816" t="str">
        <f t="shared" si="72"/>
        <v>December</v>
      </c>
      <c r="R816" t="str">
        <f t="shared" si="73"/>
        <v>Q4</v>
      </c>
      <c r="S816">
        <f t="shared" si="74"/>
        <v>2024</v>
      </c>
      <c r="T816">
        <f t="shared" si="75"/>
        <v>657602.59</v>
      </c>
      <c r="U816">
        <f t="shared" si="76"/>
        <v>220534.37999999995</v>
      </c>
      <c r="V816">
        <f t="shared" si="77"/>
        <v>1.9818597444987949</v>
      </c>
    </row>
    <row r="817" spans="1:22" x14ac:dyDescent="0.35">
      <c r="A817" t="s">
        <v>1697</v>
      </c>
      <c r="B817" s="1">
        <v>45631</v>
      </c>
      <c r="C817" t="s">
        <v>1698</v>
      </c>
      <c r="D817" t="s">
        <v>19</v>
      </c>
      <c r="E817" t="s">
        <v>85</v>
      </c>
      <c r="F817" t="s">
        <v>39</v>
      </c>
      <c r="G817" t="s">
        <v>60</v>
      </c>
      <c r="H817" t="s">
        <v>110</v>
      </c>
      <c r="I817">
        <v>11</v>
      </c>
      <c r="J817">
        <v>1011.39</v>
      </c>
      <c r="K817">
        <v>0.1</v>
      </c>
      <c r="L817">
        <v>10012.76</v>
      </c>
      <c r="M817">
        <v>5869.97</v>
      </c>
      <c r="N817">
        <v>4142.79</v>
      </c>
      <c r="O817" t="s">
        <v>24</v>
      </c>
      <c r="P817">
        <v>5</v>
      </c>
      <c r="Q817" t="str">
        <f t="shared" si="72"/>
        <v>December</v>
      </c>
      <c r="R817" t="str">
        <f t="shared" si="73"/>
        <v>Q4</v>
      </c>
      <c r="S817">
        <f t="shared" si="74"/>
        <v>2024</v>
      </c>
      <c r="T817">
        <f t="shared" si="75"/>
        <v>656182.78</v>
      </c>
      <c r="U817">
        <f t="shared" si="76"/>
        <v>219872.97999999995</v>
      </c>
      <c r="V817">
        <f t="shared" si="77"/>
        <v>1.9843720679093908</v>
      </c>
    </row>
    <row r="818" spans="1:22" x14ac:dyDescent="0.35">
      <c r="A818" t="s">
        <v>1699</v>
      </c>
      <c r="B818" s="1">
        <v>45485</v>
      </c>
      <c r="C818" t="s">
        <v>1700</v>
      </c>
      <c r="D818" t="s">
        <v>19</v>
      </c>
      <c r="E818" t="s">
        <v>98</v>
      </c>
      <c r="F818" t="s">
        <v>21</v>
      </c>
      <c r="G818" t="s">
        <v>22</v>
      </c>
      <c r="H818" t="s">
        <v>124</v>
      </c>
      <c r="I818">
        <v>1</v>
      </c>
      <c r="J818">
        <v>944.86</v>
      </c>
      <c r="K818">
        <v>0.15</v>
      </c>
      <c r="L818">
        <v>803.13</v>
      </c>
      <c r="M818">
        <v>472.57</v>
      </c>
      <c r="N818">
        <v>330.56</v>
      </c>
      <c r="O818" t="s">
        <v>62</v>
      </c>
      <c r="P818">
        <v>2</v>
      </c>
      <c r="Q818" t="str">
        <f t="shared" si="72"/>
        <v>July</v>
      </c>
      <c r="R818" t="str">
        <f t="shared" si="73"/>
        <v>Q3</v>
      </c>
      <c r="S818">
        <f t="shared" si="74"/>
        <v>2024</v>
      </c>
      <c r="T818">
        <f t="shared" si="75"/>
        <v>646170.01999999979</v>
      </c>
      <c r="U818">
        <f t="shared" si="76"/>
        <v>215730.18999999997</v>
      </c>
      <c r="V818">
        <f t="shared" si="77"/>
        <v>1.9952693222955948</v>
      </c>
    </row>
    <row r="819" spans="1:22" x14ac:dyDescent="0.35">
      <c r="A819" t="s">
        <v>1701</v>
      </c>
      <c r="B819" s="1">
        <v>45344</v>
      </c>
      <c r="C819" t="s">
        <v>1702</v>
      </c>
      <c r="D819" t="s">
        <v>37</v>
      </c>
      <c r="E819" t="s">
        <v>38</v>
      </c>
      <c r="F819" t="s">
        <v>39</v>
      </c>
      <c r="G819" t="s">
        <v>22</v>
      </c>
      <c r="H819" t="s">
        <v>32</v>
      </c>
      <c r="I819">
        <v>8</v>
      </c>
      <c r="J819">
        <v>310.89999999999998</v>
      </c>
      <c r="K819">
        <v>0</v>
      </c>
      <c r="L819">
        <v>2487.1999999999998</v>
      </c>
      <c r="M819">
        <v>1982.78</v>
      </c>
      <c r="N819">
        <v>504.42</v>
      </c>
      <c r="O819" t="s">
        <v>33</v>
      </c>
      <c r="P819">
        <v>3</v>
      </c>
      <c r="Q819" t="str">
        <f t="shared" si="72"/>
        <v>February</v>
      </c>
      <c r="R819" t="str">
        <f t="shared" si="73"/>
        <v>Q1</v>
      </c>
      <c r="S819">
        <f t="shared" si="74"/>
        <v>2024</v>
      </c>
      <c r="T819">
        <f t="shared" si="75"/>
        <v>645366.88999999978</v>
      </c>
      <c r="U819">
        <f t="shared" si="76"/>
        <v>215399.62999999998</v>
      </c>
      <c r="V819">
        <f t="shared" si="77"/>
        <v>1.9961374121209021</v>
      </c>
    </row>
    <row r="820" spans="1:22" x14ac:dyDescent="0.35">
      <c r="A820" t="s">
        <v>1703</v>
      </c>
      <c r="B820" s="1">
        <v>45506</v>
      </c>
      <c r="C820" t="s">
        <v>1704</v>
      </c>
      <c r="D820" t="s">
        <v>49</v>
      </c>
      <c r="E820" t="s">
        <v>30</v>
      </c>
      <c r="F820" t="s">
        <v>31</v>
      </c>
      <c r="G820" t="s">
        <v>79</v>
      </c>
      <c r="H820" t="s">
        <v>89</v>
      </c>
      <c r="I820">
        <v>12</v>
      </c>
      <c r="J820">
        <v>462.94</v>
      </c>
      <c r="K820">
        <v>0.05</v>
      </c>
      <c r="L820">
        <v>5277.52</v>
      </c>
      <c r="M820">
        <v>3929.55</v>
      </c>
      <c r="N820">
        <v>1347.97</v>
      </c>
      <c r="O820" t="s">
        <v>33</v>
      </c>
      <c r="P820">
        <v>5</v>
      </c>
      <c r="Q820" t="str">
        <f t="shared" si="72"/>
        <v>August</v>
      </c>
      <c r="R820" t="str">
        <f t="shared" si="73"/>
        <v>Q3</v>
      </c>
      <c r="S820">
        <f t="shared" si="74"/>
        <v>2024</v>
      </c>
      <c r="T820">
        <f t="shared" si="75"/>
        <v>642879.68999999983</v>
      </c>
      <c r="U820">
        <f t="shared" si="76"/>
        <v>214895.20999999996</v>
      </c>
      <c r="V820">
        <f t="shared" si="77"/>
        <v>1.9915961830884921</v>
      </c>
    </row>
    <row r="821" spans="1:22" x14ac:dyDescent="0.35">
      <c r="A821" t="s">
        <v>1705</v>
      </c>
      <c r="B821" s="1">
        <v>45456</v>
      </c>
      <c r="C821" t="s">
        <v>1706</v>
      </c>
      <c r="D821" t="s">
        <v>37</v>
      </c>
      <c r="E821" t="s">
        <v>98</v>
      </c>
      <c r="F821" t="s">
        <v>21</v>
      </c>
      <c r="G821" t="s">
        <v>43</v>
      </c>
      <c r="H821" t="s">
        <v>44</v>
      </c>
      <c r="I821">
        <v>5</v>
      </c>
      <c r="J821">
        <v>595.84</v>
      </c>
      <c r="K821">
        <v>0.15</v>
      </c>
      <c r="L821">
        <v>2532.3200000000002</v>
      </c>
      <c r="M821">
        <v>1927.06</v>
      </c>
      <c r="N821">
        <v>605.26</v>
      </c>
      <c r="O821" t="s">
        <v>51</v>
      </c>
      <c r="P821">
        <v>3</v>
      </c>
      <c r="Q821" t="str">
        <f t="shared" si="72"/>
        <v>June</v>
      </c>
      <c r="R821" t="str">
        <f t="shared" si="73"/>
        <v>Q2</v>
      </c>
      <c r="S821">
        <f t="shared" si="74"/>
        <v>2024</v>
      </c>
      <c r="T821">
        <f t="shared" si="75"/>
        <v>637602.16999999993</v>
      </c>
      <c r="U821">
        <f t="shared" si="76"/>
        <v>213547.23999999996</v>
      </c>
      <c r="V821">
        <f t="shared" si="77"/>
        <v>1.9857663812466038</v>
      </c>
    </row>
    <row r="822" spans="1:22" x14ac:dyDescent="0.35">
      <c r="A822" t="s">
        <v>1707</v>
      </c>
      <c r="B822" s="1">
        <v>45602</v>
      </c>
      <c r="C822" t="s">
        <v>1708</v>
      </c>
      <c r="D822" t="s">
        <v>66</v>
      </c>
      <c r="E822" t="s">
        <v>85</v>
      </c>
      <c r="F822" t="s">
        <v>39</v>
      </c>
      <c r="G822" t="s">
        <v>22</v>
      </c>
      <c r="H822" t="s">
        <v>32</v>
      </c>
      <c r="I822">
        <v>9</v>
      </c>
      <c r="J822">
        <v>959.07</v>
      </c>
      <c r="K822">
        <v>0.05</v>
      </c>
      <c r="L822">
        <v>8200.0499999999993</v>
      </c>
      <c r="M822">
        <v>6422.95</v>
      </c>
      <c r="N822">
        <v>1777.1</v>
      </c>
      <c r="O822" t="s">
        <v>24</v>
      </c>
      <c r="P822">
        <v>4</v>
      </c>
      <c r="Q822" t="str">
        <f t="shared" si="72"/>
        <v>November</v>
      </c>
      <c r="R822" t="str">
        <f t="shared" si="73"/>
        <v>Q4</v>
      </c>
      <c r="S822">
        <f t="shared" si="74"/>
        <v>2024</v>
      </c>
      <c r="T822">
        <f t="shared" si="75"/>
        <v>635069.84999999986</v>
      </c>
      <c r="U822">
        <f t="shared" si="76"/>
        <v>212941.97999999995</v>
      </c>
      <c r="V822">
        <f t="shared" si="77"/>
        <v>1.9823609698754561</v>
      </c>
    </row>
    <row r="823" spans="1:22" x14ac:dyDescent="0.35">
      <c r="A823" t="s">
        <v>1709</v>
      </c>
      <c r="B823" s="1">
        <v>45481</v>
      </c>
      <c r="C823" t="s">
        <v>1710</v>
      </c>
      <c r="D823" t="s">
        <v>49</v>
      </c>
      <c r="E823" t="s">
        <v>30</v>
      </c>
      <c r="F823" t="s">
        <v>21</v>
      </c>
      <c r="G823" t="s">
        <v>22</v>
      </c>
      <c r="H823" t="s">
        <v>74</v>
      </c>
      <c r="I823">
        <v>9</v>
      </c>
      <c r="J823">
        <v>1154.4000000000001</v>
      </c>
      <c r="K823">
        <v>0</v>
      </c>
      <c r="L823">
        <v>10389.6</v>
      </c>
      <c r="M823">
        <v>8712.0400000000009</v>
      </c>
      <c r="N823">
        <v>1677.56</v>
      </c>
      <c r="O823" t="s">
        <v>62</v>
      </c>
      <c r="P823">
        <v>2</v>
      </c>
      <c r="Q823" t="str">
        <f t="shared" si="72"/>
        <v>July</v>
      </c>
      <c r="R823" t="str">
        <f t="shared" si="73"/>
        <v>Q3</v>
      </c>
      <c r="S823">
        <f t="shared" si="74"/>
        <v>2024</v>
      </c>
      <c r="T823">
        <f t="shared" si="75"/>
        <v>626869.80000000005</v>
      </c>
      <c r="U823">
        <f t="shared" si="76"/>
        <v>211164.87999999995</v>
      </c>
      <c r="V823">
        <f t="shared" si="77"/>
        <v>1.9686271694421924</v>
      </c>
    </row>
    <row r="824" spans="1:22" x14ac:dyDescent="0.35">
      <c r="A824" t="s">
        <v>1711</v>
      </c>
      <c r="B824" s="1">
        <v>45385</v>
      </c>
      <c r="C824" t="s">
        <v>1712</v>
      </c>
      <c r="D824" t="s">
        <v>66</v>
      </c>
      <c r="E824" t="s">
        <v>38</v>
      </c>
      <c r="F824" t="s">
        <v>31</v>
      </c>
      <c r="G824" t="s">
        <v>43</v>
      </c>
      <c r="H824" t="s">
        <v>44</v>
      </c>
      <c r="I824">
        <v>11</v>
      </c>
      <c r="J824">
        <v>459.58</v>
      </c>
      <c r="K824">
        <v>0.15</v>
      </c>
      <c r="L824">
        <v>4297.07</v>
      </c>
      <c r="M824">
        <v>2895.73</v>
      </c>
      <c r="N824">
        <v>1401.34</v>
      </c>
      <c r="O824" t="s">
        <v>33</v>
      </c>
      <c r="P824">
        <v>3</v>
      </c>
      <c r="Q824" t="str">
        <f t="shared" si="72"/>
        <v>April</v>
      </c>
      <c r="R824" t="str">
        <f t="shared" si="73"/>
        <v>Q2</v>
      </c>
      <c r="S824">
        <f t="shared" si="74"/>
        <v>2024</v>
      </c>
      <c r="T824">
        <f t="shared" si="75"/>
        <v>616480.19999999995</v>
      </c>
      <c r="U824">
        <f t="shared" si="76"/>
        <v>209487.31999999992</v>
      </c>
      <c r="V824">
        <f t="shared" si="77"/>
        <v>1.9428043663931553</v>
      </c>
    </row>
    <row r="825" spans="1:22" x14ac:dyDescent="0.35">
      <c r="A825" t="s">
        <v>1713</v>
      </c>
      <c r="B825" s="1">
        <v>45555</v>
      </c>
      <c r="C825" t="s">
        <v>1714</v>
      </c>
      <c r="D825" t="s">
        <v>29</v>
      </c>
      <c r="E825" t="s">
        <v>98</v>
      </c>
      <c r="F825" t="s">
        <v>31</v>
      </c>
      <c r="G825" t="s">
        <v>43</v>
      </c>
      <c r="H825" t="s">
        <v>44</v>
      </c>
      <c r="I825">
        <v>12</v>
      </c>
      <c r="J825">
        <v>258.45999999999998</v>
      </c>
      <c r="K825">
        <v>0.05</v>
      </c>
      <c r="L825">
        <v>2946.44</v>
      </c>
      <c r="M825">
        <v>2021.07</v>
      </c>
      <c r="N825">
        <v>925.37</v>
      </c>
      <c r="O825" t="s">
        <v>62</v>
      </c>
      <c r="P825">
        <v>5</v>
      </c>
      <c r="Q825" t="str">
        <f t="shared" si="72"/>
        <v>September</v>
      </c>
      <c r="R825" t="str">
        <f t="shared" si="73"/>
        <v>Q3</v>
      </c>
      <c r="S825">
        <f t="shared" si="74"/>
        <v>2024</v>
      </c>
      <c r="T825">
        <f t="shared" si="75"/>
        <v>612183.13000000012</v>
      </c>
      <c r="U825">
        <f t="shared" si="76"/>
        <v>208085.97999999992</v>
      </c>
      <c r="V825">
        <f t="shared" si="77"/>
        <v>1.941972015606243</v>
      </c>
    </row>
    <row r="826" spans="1:22" x14ac:dyDescent="0.35">
      <c r="A826" t="s">
        <v>1715</v>
      </c>
      <c r="B826" s="1">
        <v>45327</v>
      </c>
      <c r="C826" t="s">
        <v>1716</v>
      </c>
      <c r="D826" t="s">
        <v>19</v>
      </c>
      <c r="E826" t="s">
        <v>85</v>
      </c>
      <c r="F826" t="s">
        <v>39</v>
      </c>
      <c r="G826" t="s">
        <v>22</v>
      </c>
      <c r="H826" t="s">
        <v>23</v>
      </c>
      <c r="I826">
        <v>7</v>
      </c>
      <c r="J826">
        <v>435.28</v>
      </c>
      <c r="K826">
        <v>0</v>
      </c>
      <c r="L826">
        <v>3046.96</v>
      </c>
      <c r="M826">
        <v>2288.7800000000002</v>
      </c>
      <c r="N826">
        <v>758.18</v>
      </c>
      <c r="O826" t="s">
        <v>24</v>
      </c>
      <c r="P826">
        <v>1</v>
      </c>
      <c r="Q826" t="str">
        <f t="shared" si="72"/>
        <v>February</v>
      </c>
      <c r="R826" t="str">
        <f t="shared" si="73"/>
        <v>Q1</v>
      </c>
      <c r="S826">
        <f t="shared" si="74"/>
        <v>2024</v>
      </c>
      <c r="T826">
        <f t="shared" si="75"/>
        <v>609236.69000000006</v>
      </c>
      <c r="U826">
        <f t="shared" si="76"/>
        <v>207160.6099999999</v>
      </c>
      <c r="V826">
        <f t="shared" si="77"/>
        <v>1.9408905969141546</v>
      </c>
    </row>
    <row r="827" spans="1:22" x14ac:dyDescent="0.35">
      <c r="A827" t="s">
        <v>1717</v>
      </c>
      <c r="B827" s="1">
        <v>45555</v>
      </c>
      <c r="C827" t="s">
        <v>1718</v>
      </c>
      <c r="D827" t="s">
        <v>29</v>
      </c>
      <c r="E827" t="s">
        <v>85</v>
      </c>
      <c r="F827" t="s">
        <v>31</v>
      </c>
      <c r="G827" t="s">
        <v>43</v>
      </c>
      <c r="H827" t="s">
        <v>44</v>
      </c>
      <c r="I827">
        <v>5</v>
      </c>
      <c r="J827">
        <v>675</v>
      </c>
      <c r="K827">
        <v>0.15</v>
      </c>
      <c r="L827">
        <v>2868.75</v>
      </c>
      <c r="M827">
        <v>1542.88</v>
      </c>
      <c r="N827">
        <v>1325.87</v>
      </c>
      <c r="O827" t="s">
        <v>51</v>
      </c>
      <c r="P827">
        <v>2</v>
      </c>
      <c r="Q827" t="str">
        <f t="shared" si="72"/>
        <v>September</v>
      </c>
      <c r="R827" t="str">
        <f t="shared" si="73"/>
        <v>Q3</v>
      </c>
      <c r="S827">
        <f t="shared" si="74"/>
        <v>2024</v>
      </c>
      <c r="T827">
        <f t="shared" si="75"/>
        <v>606189.73</v>
      </c>
      <c r="U827">
        <f t="shared" si="76"/>
        <v>206402.42999999993</v>
      </c>
      <c r="V827">
        <f t="shared" si="77"/>
        <v>1.9369311688820727</v>
      </c>
    </row>
    <row r="828" spans="1:22" x14ac:dyDescent="0.35">
      <c r="A828" t="s">
        <v>1719</v>
      </c>
      <c r="B828" s="1">
        <v>45458</v>
      </c>
      <c r="C828" t="s">
        <v>1720</v>
      </c>
      <c r="D828" t="s">
        <v>19</v>
      </c>
      <c r="E828" t="s">
        <v>20</v>
      </c>
      <c r="F828" t="s">
        <v>31</v>
      </c>
      <c r="G828" t="s">
        <v>43</v>
      </c>
      <c r="H828" t="s">
        <v>44</v>
      </c>
      <c r="I828">
        <v>12</v>
      </c>
      <c r="J828">
        <v>1035.3399999999999</v>
      </c>
      <c r="K828">
        <v>0.1</v>
      </c>
      <c r="L828">
        <v>11181.67</v>
      </c>
      <c r="M828">
        <v>6340.16</v>
      </c>
      <c r="N828">
        <v>4841.51</v>
      </c>
      <c r="O828" t="s">
        <v>24</v>
      </c>
      <c r="P828">
        <v>4</v>
      </c>
      <c r="Q828" t="str">
        <f t="shared" si="72"/>
        <v>June</v>
      </c>
      <c r="R828" t="str">
        <f t="shared" si="73"/>
        <v>Q2</v>
      </c>
      <c r="S828">
        <f t="shared" si="74"/>
        <v>2024</v>
      </c>
      <c r="T828">
        <f t="shared" si="75"/>
        <v>603320.98</v>
      </c>
      <c r="U828">
        <f t="shared" si="76"/>
        <v>205076.55999999991</v>
      </c>
      <c r="V828">
        <f t="shared" si="77"/>
        <v>1.9419304673337616</v>
      </c>
    </row>
    <row r="829" spans="1:22" x14ac:dyDescent="0.35">
      <c r="A829" t="s">
        <v>1721</v>
      </c>
      <c r="B829" s="1">
        <v>45353</v>
      </c>
      <c r="C829" t="s">
        <v>1722</v>
      </c>
      <c r="D829" t="s">
        <v>66</v>
      </c>
      <c r="E829" t="s">
        <v>98</v>
      </c>
      <c r="F829" t="s">
        <v>31</v>
      </c>
      <c r="G829" t="s">
        <v>60</v>
      </c>
      <c r="H829" t="s">
        <v>119</v>
      </c>
      <c r="I829">
        <v>4</v>
      </c>
      <c r="J829">
        <v>1054.78</v>
      </c>
      <c r="K829">
        <v>0.1</v>
      </c>
      <c r="L829">
        <v>3797.21</v>
      </c>
      <c r="M829">
        <v>2564.4299999999998</v>
      </c>
      <c r="N829">
        <v>1232.78</v>
      </c>
      <c r="O829" t="s">
        <v>62</v>
      </c>
      <c r="P829">
        <v>2</v>
      </c>
      <c r="Q829" t="str">
        <f t="shared" si="72"/>
        <v>March</v>
      </c>
      <c r="R829" t="str">
        <f t="shared" si="73"/>
        <v>Q1</v>
      </c>
      <c r="S829">
        <f t="shared" si="74"/>
        <v>2024</v>
      </c>
      <c r="T829">
        <f t="shared" si="75"/>
        <v>592139.31000000006</v>
      </c>
      <c r="U829">
        <f t="shared" si="76"/>
        <v>200235.05</v>
      </c>
      <c r="V829">
        <f t="shared" si="77"/>
        <v>1.9572210759305131</v>
      </c>
    </row>
    <row r="830" spans="1:22" x14ac:dyDescent="0.35">
      <c r="A830" t="s">
        <v>1723</v>
      </c>
      <c r="B830" s="1">
        <v>45574</v>
      </c>
      <c r="C830" t="s">
        <v>1724</v>
      </c>
      <c r="D830" t="s">
        <v>49</v>
      </c>
      <c r="E830" t="s">
        <v>85</v>
      </c>
      <c r="F830" t="s">
        <v>21</v>
      </c>
      <c r="G830" t="s">
        <v>79</v>
      </c>
      <c r="H830" t="s">
        <v>89</v>
      </c>
      <c r="I830">
        <v>8</v>
      </c>
      <c r="J830">
        <v>74.510000000000005</v>
      </c>
      <c r="K830">
        <v>0.15</v>
      </c>
      <c r="L830">
        <v>506.67</v>
      </c>
      <c r="M830">
        <v>254.78</v>
      </c>
      <c r="N830">
        <v>251.89</v>
      </c>
      <c r="O830" t="s">
        <v>24</v>
      </c>
      <c r="P830">
        <v>1</v>
      </c>
      <c r="Q830" t="str">
        <f t="shared" si="72"/>
        <v>October</v>
      </c>
      <c r="R830" t="str">
        <f t="shared" si="73"/>
        <v>Q4</v>
      </c>
      <c r="S830">
        <f t="shared" si="74"/>
        <v>2024</v>
      </c>
      <c r="T830">
        <f t="shared" si="75"/>
        <v>588342.10000000009</v>
      </c>
      <c r="U830">
        <f t="shared" si="76"/>
        <v>199002.27</v>
      </c>
      <c r="V830">
        <f t="shared" si="77"/>
        <v>1.95645924038957</v>
      </c>
    </row>
    <row r="831" spans="1:22" x14ac:dyDescent="0.35">
      <c r="A831" t="s">
        <v>1725</v>
      </c>
      <c r="B831" s="1">
        <v>45544</v>
      </c>
      <c r="C831" t="s">
        <v>1726</v>
      </c>
      <c r="D831" t="s">
        <v>49</v>
      </c>
      <c r="E831" t="s">
        <v>38</v>
      </c>
      <c r="F831" t="s">
        <v>31</v>
      </c>
      <c r="G831" t="s">
        <v>79</v>
      </c>
      <c r="H831" t="s">
        <v>80</v>
      </c>
      <c r="I831">
        <v>3</v>
      </c>
      <c r="J831">
        <v>748.56</v>
      </c>
      <c r="K831">
        <v>0</v>
      </c>
      <c r="L831">
        <v>2245.6799999999998</v>
      </c>
      <c r="M831">
        <v>1413.76</v>
      </c>
      <c r="N831">
        <v>831.92</v>
      </c>
      <c r="O831" t="s">
        <v>33</v>
      </c>
      <c r="P831">
        <v>4</v>
      </c>
      <c r="Q831" t="str">
        <f t="shared" si="72"/>
        <v>September</v>
      </c>
      <c r="R831" t="str">
        <f t="shared" si="73"/>
        <v>Q3</v>
      </c>
      <c r="S831">
        <f t="shared" si="74"/>
        <v>2024</v>
      </c>
      <c r="T831">
        <f t="shared" si="75"/>
        <v>587835.43000000005</v>
      </c>
      <c r="U831">
        <f t="shared" si="76"/>
        <v>198750.38</v>
      </c>
      <c r="V831">
        <f t="shared" si="77"/>
        <v>1.9576568859893502</v>
      </c>
    </row>
    <row r="832" spans="1:22" x14ac:dyDescent="0.35">
      <c r="A832" t="s">
        <v>1727</v>
      </c>
      <c r="B832" s="1">
        <v>45529</v>
      </c>
      <c r="C832" t="s">
        <v>1728</v>
      </c>
      <c r="D832" t="s">
        <v>29</v>
      </c>
      <c r="E832" t="s">
        <v>20</v>
      </c>
      <c r="F832" t="s">
        <v>31</v>
      </c>
      <c r="G832" t="s">
        <v>79</v>
      </c>
      <c r="H832" t="s">
        <v>89</v>
      </c>
      <c r="I832">
        <v>11</v>
      </c>
      <c r="J832">
        <v>139.77000000000001</v>
      </c>
      <c r="K832">
        <v>0.05</v>
      </c>
      <c r="L832">
        <v>1460.6</v>
      </c>
      <c r="M832">
        <v>775.78</v>
      </c>
      <c r="N832">
        <v>684.82</v>
      </c>
      <c r="O832" t="s">
        <v>51</v>
      </c>
      <c r="P832">
        <v>2</v>
      </c>
      <c r="Q832" t="str">
        <f t="shared" si="72"/>
        <v>August</v>
      </c>
      <c r="R832" t="str">
        <f t="shared" si="73"/>
        <v>Q3</v>
      </c>
      <c r="S832">
        <f t="shared" si="74"/>
        <v>2024</v>
      </c>
      <c r="T832">
        <f t="shared" si="75"/>
        <v>585589.75000000012</v>
      </c>
      <c r="U832">
        <f t="shared" si="76"/>
        <v>197918.46000000002</v>
      </c>
      <c r="V832">
        <f t="shared" si="77"/>
        <v>1.9587424538367975</v>
      </c>
    </row>
    <row r="833" spans="1:22" x14ac:dyDescent="0.35">
      <c r="A833" t="s">
        <v>1729</v>
      </c>
      <c r="B833" s="1">
        <v>45484</v>
      </c>
      <c r="C833" t="s">
        <v>1730</v>
      </c>
      <c r="D833" t="s">
        <v>49</v>
      </c>
      <c r="E833" t="s">
        <v>38</v>
      </c>
      <c r="F833" t="s">
        <v>31</v>
      </c>
      <c r="G833" t="s">
        <v>60</v>
      </c>
      <c r="H833" t="s">
        <v>110</v>
      </c>
      <c r="I833">
        <v>1</v>
      </c>
      <c r="J833">
        <v>409.87</v>
      </c>
      <c r="K833">
        <v>0.15</v>
      </c>
      <c r="L833">
        <v>348.39</v>
      </c>
      <c r="M833">
        <v>254.23</v>
      </c>
      <c r="N833">
        <v>94.16</v>
      </c>
      <c r="O833" t="s">
        <v>33</v>
      </c>
      <c r="P833">
        <v>1</v>
      </c>
      <c r="Q833" t="str">
        <f t="shared" si="72"/>
        <v>July</v>
      </c>
      <c r="R833" t="str">
        <f t="shared" si="73"/>
        <v>Q3</v>
      </c>
      <c r="S833">
        <f t="shared" si="74"/>
        <v>2024</v>
      </c>
      <c r="T833">
        <f t="shared" si="75"/>
        <v>584129.15000000014</v>
      </c>
      <c r="U833">
        <f t="shared" si="76"/>
        <v>197233.64</v>
      </c>
      <c r="V833">
        <f t="shared" si="77"/>
        <v>1.9616101492625706</v>
      </c>
    </row>
    <row r="834" spans="1:22" x14ac:dyDescent="0.35">
      <c r="A834" t="s">
        <v>1731</v>
      </c>
      <c r="B834" s="1">
        <v>45426</v>
      </c>
      <c r="C834" t="s">
        <v>1732</v>
      </c>
      <c r="D834" t="s">
        <v>49</v>
      </c>
      <c r="E834" t="s">
        <v>85</v>
      </c>
      <c r="F834" t="s">
        <v>21</v>
      </c>
      <c r="G834" t="s">
        <v>22</v>
      </c>
      <c r="H834" t="s">
        <v>74</v>
      </c>
      <c r="I834">
        <v>1</v>
      </c>
      <c r="J834">
        <v>438.95</v>
      </c>
      <c r="K834">
        <v>0.1</v>
      </c>
      <c r="L834">
        <v>395.06</v>
      </c>
      <c r="M834">
        <v>306.83999999999997</v>
      </c>
      <c r="N834">
        <v>88.22</v>
      </c>
      <c r="O834" t="s">
        <v>33</v>
      </c>
      <c r="P834">
        <v>3</v>
      </c>
      <c r="Q834" t="str">
        <f t="shared" ref="Q834:Q897" si="78">TEXT(B834,"MMMM")</f>
        <v>May</v>
      </c>
      <c r="R834" t="str">
        <f t="shared" ref="R834:R897" si="79">"Q"&amp;ROUNDUP(MONTH(B834)/3,0)</f>
        <v>Q2</v>
      </c>
      <c r="S834">
        <f t="shared" ref="S834:S897" si="80">YEAR(B834)</f>
        <v>2024</v>
      </c>
      <c r="T834">
        <f t="shared" ref="T834:T897" si="81">SUM(L834:L1833)</f>
        <v>583780.76000000013</v>
      </c>
      <c r="U834">
        <f t="shared" ref="U834:U897" si="82">SUM(N834:N1833)</f>
        <v>197139.48</v>
      </c>
      <c r="V834">
        <f t="shared" ref="V834:V897" si="83">(T834-U834)/U834</f>
        <v>1.9612574812513461</v>
      </c>
    </row>
    <row r="835" spans="1:22" x14ac:dyDescent="0.35">
      <c r="A835" t="s">
        <v>1733</v>
      </c>
      <c r="B835" s="1">
        <v>45516</v>
      </c>
      <c r="C835" t="s">
        <v>1734</v>
      </c>
      <c r="D835" t="s">
        <v>49</v>
      </c>
      <c r="E835" t="s">
        <v>85</v>
      </c>
      <c r="F835" t="s">
        <v>21</v>
      </c>
      <c r="G835" t="s">
        <v>22</v>
      </c>
      <c r="H835" t="s">
        <v>124</v>
      </c>
      <c r="I835">
        <v>6</v>
      </c>
      <c r="J835">
        <v>218.38</v>
      </c>
      <c r="K835">
        <v>0.15</v>
      </c>
      <c r="L835">
        <v>1113.74</v>
      </c>
      <c r="M835">
        <v>858.24</v>
      </c>
      <c r="N835">
        <v>255.5</v>
      </c>
      <c r="O835" t="s">
        <v>62</v>
      </c>
      <c r="P835">
        <v>3</v>
      </c>
      <c r="Q835" t="str">
        <f t="shared" si="78"/>
        <v>August</v>
      </c>
      <c r="R835" t="str">
        <f t="shared" si="79"/>
        <v>Q3</v>
      </c>
      <c r="S835">
        <f t="shared" si="80"/>
        <v>2024</v>
      </c>
      <c r="T835">
        <f t="shared" si="81"/>
        <v>583385.70000000007</v>
      </c>
      <c r="U835">
        <f t="shared" si="82"/>
        <v>197051.26</v>
      </c>
      <c r="V835">
        <f t="shared" si="83"/>
        <v>1.9605783794531435</v>
      </c>
    </row>
    <row r="836" spans="1:22" x14ac:dyDescent="0.35">
      <c r="A836" t="s">
        <v>1735</v>
      </c>
      <c r="B836" s="1">
        <v>45365</v>
      </c>
      <c r="C836" t="s">
        <v>1736</v>
      </c>
      <c r="D836" t="s">
        <v>37</v>
      </c>
      <c r="E836" t="s">
        <v>38</v>
      </c>
      <c r="F836" t="s">
        <v>31</v>
      </c>
      <c r="G836" t="s">
        <v>79</v>
      </c>
      <c r="H836" t="s">
        <v>89</v>
      </c>
      <c r="I836">
        <v>8</v>
      </c>
      <c r="J836">
        <v>456.56</v>
      </c>
      <c r="K836">
        <v>0.15</v>
      </c>
      <c r="L836">
        <v>3104.61</v>
      </c>
      <c r="M836">
        <v>1648.15</v>
      </c>
      <c r="N836">
        <v>1456.46</v>
      </c>
      <c r="O836" t="s">
        <v>51</v>
      </c>
      <c r="P836">
        <v>2</v>
      </c>
      <c r="Q836" t="str">
        <f t="shared" si="78"/>
        <v>March</v>
      </c>
      <c r="R836" t="str">
        <f t="shared" si="79"/>
        <v>Q1</v>
      </c>
      <c r="S836">
        <f t="shared" si="80"/>
        <v>2024</v>
      </c>
      <c r="T836">
        <f t="shared" si="81"/>
        <v>582271.96000000008</v>
      </c>
      <c r="U836">
        <f t="shared" si="82"/>
        <v>196795.76</v>
      </c>
      <c r="V836">
        <f t="shared" si="83"/>
        <v>1.9587627294409191</v>
      </c>
    </row>
    <row r="837" spans="1:22" x14ac:dyDescent="0.35">
      <c r="A837" t="s">
        <v>1737</v>
      </c>
      <c r="B837" s="1">
        <v>45343</v>
      </c>
      <c r="C837" t="s">
        <v>411</v>
      </c>
      <c r="D837" t="s">
        <v>37</v>
      </c>
      <c r="E837" t="s">
        <v>98</v>
      </c>
      <c r="F837" t="s">
        <v>31</v>
      </c>
      <c r="G837" t="s">
        <v>60</v>
      </c>
      <c r="H837" t="s">
        <v>110</v>
      </c>
      <c r="I837">
        <v>3</v>
      </c>
      <c r="J837">
        <v>264.41000000000003</v>
      </c>
      <c r="K837">
        <v>0</v>
      </c>
      <c r="L837">
        <v>793.23</v>
      </c>
      <c r="M837">
        <v>533.12</v>
      </c>
      <c r="N837">
        <v>260.11</v>
      </c>
      <c r="O837" t="s">
        <v>24</v>
      </c>
      <c r="P837">
        <v>1</v>
      </c>
      <c r="Q837" t="str">
        <f t="shared" si="78"/>
        <v>February</v>
      </c>
      <c r="R837" t="str">
        <f t="shared" si="79"/>
        <v>Q1</v>
      </c>
      <c r="S837">
        <f t="shared" si="80"/>
        <v>2024</v>
      </c>
      <c r="T837">
        <f t="shared" si="81"/>
        <v>579167.35000000021</v>
      </c>
      <c r="U837">
        <f t="shared" si="82"/>
        <v>195339.30000000002</v>
      </c>
      <c r="V837">
        <f t="shared" si="83"/>
        <v>1.9649299961656468</v>
      </c>
    </row>
    <row r="838" spans="1:22" x14ac:dyDescent="0.35">
      <c r="A838" t="s">
        <v>1738</v>
      </c>
      <c r="B838" s="1">
        <v>45337</v>
      </c>
      <c r="C838" t="s">
        <v>1739</v>
      </c>
      <c r="D838" t="s">
        <v>37</v>
      </c>
      <c r="E838" t="s">
        <v>38</v>
      </c>
      <c r="F838" t="s">
        <v>39</v>
      </c>
      <c r="G838" t="s">
        <v>79</v>
      </c>
      <c r="H838" t="s">
        <v>103</v>
      </c>
      <c r="I838">
        <v>8</v>
      </c>
      <c r="J838">
        <v>597.41</v>
      </c>
      <c r="K838">
        <v>0</v>
      </c>
      <c r="L838">
        <v>4779.28</v>
      </c>
      <c r="M838">
        <v>3008.32</v>
      </c>
      <c r="N838">
        <v>1770.96</v>
      </c>
      <c r="O838" t="s">
        <v>24</v>
      </c>
      <c r="P838">
        <v>2</v>
      </c>
      <c r="Q838" t="str">
        <f t="shared" si="78"/>
        <v>February</v>
      </c>
      <c r="R838" t="str">
        <f t="shared" si="79"/>
        <v>Q1</v>
      </c>
      <c r="S838">
        <f t="shared" si="80"/>
        <v>2024</v>
      </c>
      <c r="T838">
        <f t="shared" si="81"/>
        <v>578374.12000000023</v>
      </c>
      <c r="U838">
        <f t="shared" si="82"/>
        <v>195079.19000000003</v>
      </c>
      <c r="V838">
        <f t="shared" si="83"/>
        <v>1.9648171083753223</v>
      </c>
    </row>
    <row r="839" spans="1:22" x14ac:dyDescent="0.35">
      <c r="A839" t="s">
        <v>1740</v>
      </c>
      <c r="B839" s="1">
        <v>45654</v>
      </c>
      <c r="C839" t="s">
        <v>1741</v>
      </c>
      <c r="D839" t="s">
        <v>19</v>
      </c>
      <c r="E839" t="s">
        <v>30</v>
      </c>
      <c r="F839" t="s">
        <v>31</v>
      </c>
      <c r="G839" t="s">
        <v>60</v>
      </c>
      <c r="H839" t="s">
        <v>61</v>
      </c>
      <c r="I839">
        <v>3</v>
      </c>
      <c r="J839">
        <v>432.87</v>
      </c>
      <c r="K839">
        <v>0.15</v>
      </c>
      <c r="L839">
        <v>1103.82</v>
      </c>
      <c r="M839">
        <v>582.66999999999996</v>
      </c>
      <c r="N839">
        <v>521.15</v>
      </c>
      <c r="O839" t="s">
        <v>51</v>
      </c>
      <c r="P839">
        <v>1</v>
      </c>
      <c r="Q839" t="str">
        <f t="shared" si="78"/>
        <v>December</v>
      </c>
      <c r="R839" t="str">
        <f t="shared" si="79"/>
        <v>Q4</v>
      </c>
      <c r="S839">
        <f t="shared" si="80"/>
        <v>2024</v>
      </c>
      <c r="T839">
        <f t="shared" si="81"/>
        <v>573594.8400000002</v>
      </c>
      <c r="U839">
        <f t="shared" si="82"/>
        <v>193308.23000000004</v>
      </c>
      <c r="V839">
        <f t="shared" si="83"/>
        <v>1.9672551448016471</v>
      </c>
    </row>
    <row r="840" spans="1:22" x14ac:dyDescent="0.35">
      <c r="A840" t="s">
        <v>1742</v>
      </c>
      <c r="B840" s="1">
        <v>45564</v>
      </c>
      <c r="C840" t="s">
        <v>1743</v>
      </c>
      <c r="D840" t="s">
        <v>37</v>
      </c>
      <c r="E840" t="s">
        <v>98</v>
      </c>
      <c r="F840" t="s">
        <v>31</v>
      </c>
      <c r="G840" t="s">
        <v>22</v>
      </c>
      <c r="H840" t="s">
        <v>74</v>
      </c>
      <c r="I840">
        <v>4</v>
      </c>
      <c r="J840">
        <v>493.51</v>
      </c>
      <c r="K840">
        <v>0.05</v>
      </c>
      <c r="L840">
        <v>1875.34</v>
      </c>
      <c r="M840">
        <v>951.2</v>
      </c>
      <c r="N840">
        <v>924.14</v>
      </c>
      <c r="O840" t="s">
        <v>24</v>
      </c>
      <c r="P840">
        <v>3</v>
      </c>
      <c r="Q840" t="str">
        <f t="shared" si="78"/>
        <v>September</v>
      </c>
      <c r="R840" t="str">
        <f t="shared" si="79"/>
        <v>Q3</v>
      </c>
      <c r="S840">
        <f t="shared" si="80"/>
        <v>2024</v>
      </c>
      <c r="T840">
        <f t="shared" si="81"/>
        <v>572491.02000000025</v>
      </c>
      <c r="U840">
        <f t="shared" si="82"/>
        <v>192787.08000000005</v>
      </c>
      <c r="V840">
        <f t="shared" si="83"/>
        <v>1.9695507603517834</v>
      </c>
    </row>
    <row r="841" spans="1:22" x14ac:dyDescent="0.35">
      <c r="A841" t="s">
        <v>1744</v>
      </c>
      <c r="B841" s="1">
        <v>45312</v>
      </c>
      <c r="C841" t="s">
        <v>1745</v>
      </c>
      <c r="D841" t="s">
        <v>19</v>
      </c>
      <c r="E841" t="s">
        <v>38</v>
      </c>
      <c r="F841" t="s">
        <v>21</v>
      </c>
      <c r="G841" t="s">
        <v>43</v>
      </c>
      <c r="H841" t="s">
        <v>44</v>
      </c>
      <c r="I841">
        <v>3</v>
      </c>
      <c r="J841">
        <v>105.73</v>
      </c>
      <c r="K841">
        <v>0</v>
      </c>
      <c r="L841">
        <v>317.19</v>
      </c>
      <c r="M841">
        <v>243.7</v>
      </c>
      <c r="N841">
        <v>73.489999999999995</v>
      </c>
      <c r="O841" t="s">
        <v>51</v>
      </c>
      <c r="P841">
        <v>1</v>
      </c>
      <c r="Q841" t="str">
        <f t="shared" si="78"/>
        <v>January</v>
      </c>
      <c r="R841" t="str">
        <f t="shared" si="79"/>
        <v>Q1</v>
      </c>
      <c r="S841">
        <f t="shared" si="80"/>
        <v>2024</v>
      </c>
      <c r="T841">
        <f t="shared" si="81"/>
        <v>570615.68000000028</v>
      </c>
      <c r="U841">
        <f t="shared" si="82"/>
        <v>191862.94000000003</v>
      </c>
      <c r="V841">
        <f t="shared" si="83"/>
        <v>1.9740797258709795</v>
      </c>
    </row>
    <row r="842" spans="1:22" x14ac:dyDescent="0.35">
      <c r="A842" t="s">
        <v>1746</v>
      </c>
      <c r="B842" s="1">
        <v>45292</v>
      </c>
      <c r="C842" t="s">
        <v>1747</v>
      </c>
      <c r="D842" t="s">
        <v>37</v>
      </c>
      <c r="E842" t="s">
        <v>85</v>
      </c>
      <c r="F842" t="s">
        <v>39</v>
      </c>
      <c r="G842" t="s">
        <v>60</v>
      </c>
      <c r="H842" t="s">
        <v>110</v>
      </c>
      <c r="I842">
        <v>11</v>
      </c>
      <c r="J842">
        <v>1051.6600000000001</v>
      </c>
      <c r="K842">
        <v>0.05</v>
      </c>
      <c r="L842">
        <v>10989.85</v>
      </c>
      <c r="M842">
        <v>7826.01</v>
      </c>
      <c r="N842">
        <v>3163.84</v>
      </c>
      <c r="O842" t="s">
        <v>62</v>
      </c>
      <c r="P842">
        <v>2</v>
      </c>
      <c r="Q842" t="str">
        <f t="shared" si="78"/>
        <v>January</v>
      </c>
      <c r="R842" t="str">
        <f t="shared" si="79"/>
        <v>Q1</v>
      </c>
      <c r="S842">
        <f t="shared" si="80"/>
        <v>2024</v>
      </c>
      <c r="T842">
        <f t="shared" si="81"/>
        <v>570298.49000000034</v>
      </c>
      <c r="U842">
        <f t="shared" si="82"/>
        <v>191789.45000000004</v>
      </c>
      <c r="V842">
        <f t="shared" si="83"/>
        <v>1.973565490698264</v>
      </c>
    </row>
    <row r="843" spans="1:22" x14ac:dyDescent="0.35">
      <c r="A843" t="s">
        <v>1748</v>
      </c>
      <c r="B843" s="1">
        <v>45614</v>
      </c>
      <c r="C843" t="s">
        <v>1749</v>
      </c>
      <c r="D843" t="s">
        <v>29</v>
      </c>
      <c r="E843" t="s">
        <v>98</v>
      </c>
      <c r="F843" t="s">
        <v>21</v>
      </c>
      <c r="G843" t="s">
        <v>43</v>
      </c>
      <c r="H843" t="s">
        <v>44</v>
      </c>
      <c r="I843">
        <v>6</v>
      </c>
      <c r="J843">
        <v>216.98</v>
      </c>
      <c r="K843">
        <v>0.05</v>
      </c>
      <c r="L843">
        <v>1236.79</v>
      </c>
      <c r="M843">
        <v>826.89</v>
      </c>
      <c r="N843">
        <v>409.9</v>
      </c>
      <c r="O843" t="s">
        <v>62</v>
      </c>
      <c r="P843">
        <v>2</v>
      </c>
      <c r="Q843" t="str">
        <f t="shared" si="78"/>
        <v>November</v>
      </c>
      <c r="R843" t="str">
        <f t="shared" si="79"/>
        <v>Q4</v>
      </c>
      <c r="S843">
        <f t="shared" si="80"/>
        <v>2024</v>
      </c>
      <c r="T843">
        <f t="shared" si="81"/>
        <v>559308.64000000025</v>
      </c>
      <c r="U843">
        <f t="shared" si="82"/>
        <v>188625.61000000002</v>
      </c>
      <c r="V843">
        <f t="shared" si="83"/>
        <v>1.9651786944519369</v>
      </c>
    </row>
    <row r="844" spans="1:22" x14ac:dyDescent="0.35">
      <c r="A844" t="s">
        <v>1750</v>
      </c>
      <c r="B844" s="1">
        <v>45307</v>
      </c>
      <c r="C844" t="s">
        <v>1751</v>
      </c>
      <c r="D844" t="s">
        <v>37</v>
      </c>
      <c r="E844" t="s">
        <v>85</v>
      </c>
      <c r="F844" t="s">
        <v>21</v>
      </c>
      <c r="G844" t="s">
        <v>22</v>
      </c>
      <c r="H844" t="s">
        <v>32</v>
      </c>
      <c r="I844">
        <v>6</v>
      </c>
      <c r="J844">
        <v>794.04</v>
      </c>
      <c r="K844">
        <v>0.1</v>
      </c>
      <c r="L844">
        <v>4287.82</v>
      </c>
      <c r="M844">
        <v>2866.28</v>
      </c>
      <c r="N844">
        <v>1421.54</v>
      </c>
      <c r="O844" t="s">
        <v>62</v>
      </c>
      <c r="P844">
        <v>4</v>
      </c>
      <c r="Q844" t="str">
        <f t="shared" si="78"/>
        <v>January</v>
      </c>
      <c r="R844" t="str">
        <f t="shared" si="79"/>
        <v>Q1</v>
      </c>
      <c r="S844">
        <f t="shared" si="80"/>
        <v>2024</v>
      </c>
      <c r="T844">
        <f t="shared" si="81"/>
        <v>558071.85000000033</v>
      </c>
      <c r="U844">
        <f t="shared" si="82"/>
        <v>188215.71000000002</v>
      </c>
      <c r="V844">
        <f t="shared" si="83"/>
        <v>1.9650651903605723</v>
      </c>
    </row>
    <row r="845" spans="1:22" x14ac:dyDescent="0.35">
      <c r="A845" t="s">
        <v>1752</v>
      </c>
      <c r="B845" s="1">
        <v>45610</v>
      </c>
      <c r="C845" t="s">
        <v>1753</v>
      </c>
      <c r="D845" t="s">
        <v>49</v>
      </c>
      <c r="E845" t="s">
        <v>38</v>
      </c>
      <c r="F845" t="s">
        <v>39</v>
      </c>
      <c r="G845" t="s">
        <v>79</v>
      </c>
      <c r="H845" t="s">
        <v>103</v>
      </c>
      <c r="I845">
        <v>12</v>
      </c>
      <c r="J845">
        <v>285.89999999999998</v>
      </c>
      <c r="K845">
        <v>0.05</v>
      </c>
      <c r="L845">
        <v>3259.26</v>
      </c>
      <c r="M845">
        <v>2022.78</v>
      </c>
      <c r="N845">
        <v>1236.48</v>
      </c>
      <c r="O845" t="s">
        <v>62</v>
      </c>
      <c r="P845">
        <v>5</v>
      </c>
      <c r="Q845" t="str">
        <f t="shared" si="78"/>
        <v>November</v>
      </c>
      <c r="R845" t="str">
        <f t="shared" si="79"/>
        <v>Q4</v>
      </c>
      <c r="S845">
        <f t="shared" si="80"/>
        <v>2024</v>
      </c>
      <c r="T845">
        <f t="shared" si="81"/>
        <v>553784.03000000026</v>
      </c>
      <c r="U845">
        <f t="shared" si="82"/>
        <v>186794.17000000004</v>
      </c>
      <c r="V845">
        <f t="shared" si="83"/>
        <v>1.9646751287794482</v>
      </c>
    </row>
    <row r="846" spans="1:22" x14ac:dyDescent="0.35">
      <c r="A846" t="s">
        <v>1754</v>
      </c>
      <c r="B846" s="1">
        <v>45354</v>
      </c>
      <c r="C846" t="s">
        <v>1755</v>
      </c>
      <c r="D846" t="s">
        <v>66</v>
      </c>
      <c r="E846" t="s">
        <v>38</v>
      </c>
      <c r="F846" t="s">
        <v>21</v>
      </c>
      <c r="G846" t="s">
        <v>60</v>
      </c>
      <c r="H846" t="s">
        <v>61</v>
      </c>
      <c r="I846">
        <v>12</v>
      </c>
      <c r="J846">
        <v>1125.4100000000001</v>
      </c>
      <c r="K846">
        <v>0.1</v>
      </c>
      <c r="L846">
        <v>12154.43</v>
      </c>
      <c r="M846">
        <v>7974.06</v>
      </c>
      <c r="N846">
        <v>4180.37</v>
      </c>
      <c r="O846" t="s">
        <v>62</v>
      </c>
      <c r="P846">
        <v>5</v>
      </c>
      <c r="Q846" t="str">
        <f t="shared" si="78"/>
        <v>March</v>
      </c>
      <c r="R846" t="str">
        <f t="shared" si="79"/>
        <v>Q1</v>
      </c>
      <c r="S846">
        <f t="shared" si="80"/>
        <v>2024</v>
      </c>
      <c r="T846">
        <f t="shared" si="81"/>
        <v>550524.77000000025</v>
      </c>
      <c r="U846">
        <f t="shared" si="82"/>
        <v>185557.69000000003</v>
      </c>
      <c r="V846">
        <f t="shared" si="83"/>
        <v>1.9668658302439535</v>
      </c>
    </row>
    <row r="847" spans="1:22" x14ac:dyDescent="0.35">
      <c r="A847" t="s">
        <v>1756</v>
      </c>
      <c r="B847" s="1">
        <v>45427</v>
      </c>
      <c r="C847" t="s">
        <v>1757</v>
      </c>
      <c r="D847" t="s">
        <v>19</v>
      </c>
      <c r="E847" t="s">
        <v>20</v>
      </c>
      <c r="F847" t="s">
        <v>21</v>
      </c>
      <c r="G847" t="s">
        <v>43</v>
      </c>
      <c r="H847" t="s">
        <v>50</v>
      </c>
      <c r="I847">
        <v>1</v>
      </c>
      <c r="J847">
        <v>1060.48</v>
      </c>
      <c r="K847">
        <v>0.1</v>
      </c>
      <c r="L847">
        <v>954.43</v>
      </c>
      <c r="M847">
        <v>644.57000000000005</v>
      </c>
      <c r="N847">
        <v>309.86</v>
      </c>
      <c r="O847" t="s">
        <v>24</v>
      </c>
      <c r="P847">
        <v>2</v>
      </c>
      <c r="Q847" t="str">
        <f t="shared" si="78"/>
        <v>May</v>
      </c>
      <c r="R847" t="str">
        <f t="shared" si="79"/>
        <v>Q2</v>
      </c>
      <c r="S847">
        <f t="shared" si="80"/>
        <v>2024</v>
      </c>
      <c r="T847">
        <f t="shared" si="81"/>
        <v>538370.3400000002</v>
      </c>
      <c r="U847">
        <f t="shared" si="82"/>
        <v>181377.32000000007</v>
      </c>
      <c r="V847">
        <f t="shared" si="83"/>
        <v>1.9682340658688748</v>
      </c>
    </row>
    <row r="848" spans="1:22" x14ac:dyDescent="0.35">
      <c r="A848" t="s">
        <v>1758</v>
      </c>
      <c r="B848" s="1">
        <v>45392</v>
      </c>
      <c r="C848" t="s">
        <v>1759</v>
      </c>
      <c r="D848" t="s">
        <v>29</v>
      </c>
      <c r="E848" t="s">
        <v>20</v>
      </c>
      <c r="F848" t="s">
        <v>39</v>
      </c>
      <c r="G848" t="s">
        <v>43</v>
      </c>
      <c r="H848" t="s">
        <v>173</v>
      </c>
      <c r="I848">
        <v>3</v>
      </c>
      <c r="J848">
        <v>596.6</v>
      </c>
      <c r="K848">
        <v>0.15</v>
      </c>
      <c r="L848">
        <v>1521.33</v>
      </c>
      <c r="M848">
        <v>1070.73</v>
      </c>
      <c r="N848">
        <v>450.6</v>
      </c>
      <c r="O848" t="s">
        <v>24</v>
      </c>
      <c r="P848">
        <v>1</v>
      </c>
      <c r="Q848" t="str">
        <f t="shared" si="78"/>
        <v>April</v>
      </c>
      <c r="R848" t="str">
        <f t="shared" si="79"/>
        <v>Q2</v>
      </c>
      <c r="S848">
        <f t="shared" si="80"/>
        <v>2024</v>
      </c>
      <c r="T848">
        <f t="shared" si="81"/>
        <v>537415.91000000015</v>
      </c>
      <c r="U848">
        <f t="shared" si="82"/>
        <v>181067.46000000008</v>
      </c>
      <c r="V848">
        <f t="shared" si="83"/>
        <v>1.9680424632896485</v>
      </c>
    </row>
    <row r="849" spans="1:22" x14ac:dyDescent="0.35">
      <c r="A849" t="s">
        <v>1760</v>
      </c>
      <c r="B849" s="1">
        <v>45554</v>
      </c>
      <c r="C849" t="s">
        <v>1761</v>
      </c>
      <c r="D849" t="s">
        <v>49</v>
      </c>
      <c r="E849" t="s">
        <v>38</v>
      </c>
      <c r="F849" t="s">
        <v>31</v>
      </c>
      <c r="G849" t="s">
        <v>60</v>
      </c>
      <c r="H849" t="s">
        <v>61</v>
      </c>
      <c r="I849">
        <v>9</v>
      </c>
      <c r="J849">
        <v>126.83</v>
      </c>
      <c r="K849">
        <v>0.05</v>
      </c>
      <c r="L849">
        <v>1084.4000000000001</v>
      </c>
      <c r="M849">
        <v>904.46</v>
      </c>
      <c r="N849">
        <v>179.94</v>
      </c>
      <c r="O849" t="s">
        <v>33</v>
      </c>
      <c r="P849">
        <v>2</v>
      </c>
      <c r="Q849" t="str">
        <f t="shared" si="78"/>
        <v>September</v>
      </c>
      <c r="R849" t="str">
        <f t="shared" si="79"/>
        <v>Q3</v>
      </c>
      <c r="S849">
        <f t="shared" si="80"/>
        <v>2024</v>
      </c>
      <c r="T849">
        <f t="shared" si="81"/>
        <v>535894.58000000007</v>
      </c>
      <c r="U849">
        <f t="shared" si="82"/>
        <v>180616.86000000007</v>
      </c>
      <c r="V849">
        <f t="shared" si="83"/>
        <v>1.9670241194537421</v>
      </c>
    </row>
    <row r="850" spans="1:22" x14ac:dyDescent="0.35">
      <c r="A850" t="s">
        <v>1762</v>
      </c>
      <c r="B850" s="1">
        <v>45297</v>
      </c>
      <c r="C850" t="s">
        <v>1763</v>
      </c>
      <c r="D850" t="s">
        <v>19</v>
      </c>
      <c r="E850" t="s">
        <v>98</v>
      </c>
      <c r="F850" t="s">
        <v>21</v>
      </c>
      <c r="G850" t="s">
        <v>79</v>
      </c>
      <c r="H850" t="s">
        <v>89</v>
      </c>
      <c r="I850">
        <v>10</v>
      </c>
      <c r="J850">
        <v>329.59</v>
      </c>
      <c r="K850">
        <v>0.1</v>
      </c>
      <c r="L850">
        <v>2966.31</v>
      </c>
      <c r="M850">
        <v>1902.34</v>
      </c>
      <c r="N850">
        <v>1063.97</v>
      </c>
      <c r="O850" t="s">
        <v>51</v>
      </c>
      <c r="P850">
        <v>3</v>
      </c>
      <c r="Q850" t="str">
        <f t="shared" si="78"/>
        <v>January</v>
      </c>
      <c r="R850" t="str">
        <f t="shared" si="79"/>
        <v>Q1</v>
      </c>
      <c r="S850">
        <f t="shared" si="80"/>
        <v>2024</v>
      </c>
      <c r="T850">
        <f t="shared" si="81"/>
        <v>534810.18000000017</v>
      </c>
      <c r="U850">
        <f t="shared" si="82"/>
        <v>180436.92000000007</v>
      </c>
      <c r="V850">
        <f t="shared" si="83"/>
        <v>1.9639731159232821</v>
      </c>
    </row>
    <row r="851" spans="1:22" x14ac:dyDescent="0.35">
      <c r="A851" t="s">
        <v>1764</v>
      </c>
      <c r="B851" s="1">
        <v>45523</v>
      </c>
      <c r="C851" t="s">
        <v>1765</v>
      </c>
      <c r="D851" t="s">
        <v>29</v>
      </c>
      <c r="E851" t="s">
        <v>30</v>
      </c>
      <c r="F851" t="s">
        <v>39</v>
      </c>
      <c r="G851" t="s">
        <v>22</v>
      </c>
      <c r="H851" t="s">
        <v>23</v>
      </c>
      <c r="I851">
        <v>8</v>
      </c>
      <c r="J851">
        <v>749.75</v>
      </c>
      <c r="K851">
        <v>0.05</v>
      </c>
      <c r="L851">
        <v>5698.1</v>
      </c>
      <c r="M851">
        <v>3300.92</v>
      </c>
      <c r="N851">
        <v>2397.1799999999998</v>
      </c>
      <c r="O851" t="s">
        <v>33</v>
      </c>
      <c r="P851">
        <v>4</v>
      </c>
      <c r="Q851" t="str">
        <f t="shared" si="78"/>
        <v>August</v>
      </c>
      <c r="R851" t="str">
        <f t="shared" si="79"/>
        <v>Q3</v>
      </c>
      <c r="S851">
        <f t="shared" si="80"/>
        <v>2024</v>
      </c>
      <c r="T851">
        <f t="shared" si="81"/>
        <v>531843.87000000011</v>
      </c>
      <c r="U851">
        <f t="shared" si="82"/>
        <v>179372.95000000007</v>
      </c>
      <c r="V851">
        <f t="shared" si="83"/>
        <v>1.9650171332968538</v>
      </c>
    </row>
    <row r="852" spans="1:22" x14ac:dyDescent="0.35">
      <c r="A852" t="s">
        <v>1766</v>
      </c>
      <c r="B852" s="1">
        <v>45618</v>
      </c>
      <c r="C852" t="s">
        <v>1767</v>
      </c>
      <c r="D852" t="s">
        <v>66</v>
      </c>
      <c r="E852" t="s">
        <v>98</v>
      </c>
      <c r="F852" t="s">
        <v>21</v>
      </c>
      <c r="G852" t="s">
        <v>43</v>
      </c>
      <c r="H852" t="s">
        <v>50</v>
      </c>
      <c r="I852">
        <v>3</v>
      </c>
      <c r="J852">
        <v>569.11</v>
      </c>
      <c r="K852">
        <v>0</v>
      </c>
      <c r="L852">
        <v>1707.33</v>
      </c>
      <c r="M852">
        <v>1134.2</v>
      </c>
      <c r="N852">
        <v>573.13</v>
      </c>
      <c r="O852" t="s">
        <v>51</v>
      </c>
      <c r="P852">
        <v>3</v>
      </c>
      <c r="Q852" t="str">
        <f t="shared" si="78"/>
        <v>November</v>
      </c>
      <c r="R852" t="str">
        <f t="shared" si="79"/>
        <v>Q4</v>
      </c>
      <c r="S852">
        <f t="shared" si="80"/>
        <v>2024</v>
      </c>
      <c r="T852">
        <f t="shared" si="81"/>
        <v>526145.77</v>
      </c>
      <c r="U852">
        <f t="shared" si="82"/>
        <v>176975.77000000008</v>
      </c>
      <c r="V852">
        <f t="shared" si="83"/>
        <v>1.9729819511450624</v>
      </c>
    </row>
    <row r="853" spans="1:22" x14ac:dyDescent="0.35">
      <c r="A853" t="s">
        <v>1768</v>
      </c>
      <c r="B853" s="1">
        <v>45615</v>
      </c>
      <c r="C853" t="s">
        <v>1769</v>
      </c>
      <c r="D853" t="s">
        <v>37</v>
      </c>
      <c r="E853" t="s">
        <v>85</v>
      </c>
      <c r="F853" t="s">
        <v>39</v>
      </c>
      <c r="G853" t="s">
        <v>22</v>
      </c>
      <c r="H853" t="s">
        <v>74</v>
      </c>
      <c r="I853">
        <v>4</v>
      </c>
      <c r="J853">
        <v>330.08</v>
      </c>
      <c r="K853">
        <v>0.15</v>
      </c>
      <c r="L853">
        <v>1122.27</v>
      </c>
      <c r="M853">
        <v>908.14</v>
      </c>
      <c r="N853">
        <v>214.13</v>
      </c>
      <c r="O853" t="s">
        <v>33</v>
      </c>
      <c r="P853">
        <v>4</v>
      </c>
      <c r="Q853" t="str">
        <f t="shared" si="78"/>
        <v>November</v>
      </c>
      <c r="R853" t="str">
        <f t="shared" si="79"/>
        <v>Q4</v>
      </c>
      <c r="S853">
        <f t="shared" si="80"/>
        <v>2024</v>
      </c>
      <c r="T853">
        <f t="shared" si="81"/>
        <v>524438.44000000006</v>
      </c>
      <c r="U853">
        <f t="shared" si="82"/>
        <v>176402.64000000007</v>
      </c>
      <c r="V853">
        <f t="shared" si="83"/>
        <v>1.9729625361615895</v>
      </c>
    </row>
    <row r="854" spans="1:22" x14ac:dyDescent="0.35">
      <c r="A854" t="s">
        <v>1770</v>
      </c>
      <c r="B854" s="1">
        <v>45537</v>
      </c>
      <c r="C854" t="s">
        <v>1771</v>
      </c>
      <c r="D854" t="s">
        <v>19</v>
      </c>
      <c r="E854" t="s">
        <v>20</v>
      </c>
      <c r="F854" t="s">
        <v>21</v>
      </c>
      <c r="G854" t="s">
        <v>22</v>
      </c>
      <c r="H854" t="s">
        <v>124</v>
      </c>
      <c r="I854">
        <v>11</v>
      </c>
      <c r="J854">
        <v>830.68</v>
      </c>
      <c r="K854">
        <v>0.1</v>
      </c>
      <c r="L854">
        <v>8223.73</v>
      </c>
      <c r="M854">
        <v>4160.8999999999996</v>
      </c>
      <c r="N854">
        <v>4062.83</v>
      </c>
      <c r="O854" t="s">
        <v>24</v>
      </c>
      <c r="P854">
        <v>3</v>
      </c>
      <c r="Q854" t="str">
        <f t="shared" si="78"/>
        <v>September</v>
      </c>
      <c r="R854" t="str">
        <f t="shared" si="79"/>
        <v>Q3</v>
      </c>
      <c r="S854">
        <f t="shared" si="80"/>
        <v>2024</v>
      </c>
      <c r="T854">
        <f t="shared" si="81"/>
        <v>523316.17000000004</v>
      </c>
      <c r="U854">
        <f t="shared" si="82"/>
        <v>176188.51000000007</v>
      </c>
      <c r="V854">
        <f t="shared" si="83"/>
        <v>1.9702060026502286</v>
      </c>
    </row>
    <row r="855" spans="1:22" x14ac:dyDescent="0.35">
      <c r="A855" t="s">
        <v>1772</v>
      </c>
      <c r="B855" s="1">
        <v>45530</v>
      </c>
      <c r="C855" t="s">
        <v>1773</v>
      </c>
      <c r="D855" t="s">
        <v>66</v>
      </c>
      <c r="E855" t="s">
        <v>30</v>
      </c>
      <c r="F855" t="s">
        <v>21</v>
      </c>
      <c r="G855" t="s">
        <v>79</v>
      </c>
      <c r="H855" t="s">
        <v>89</v>
      </c>
      <c r="I855">
        <v>4</v>
      </c>
      <c r="J855">
        <v>356.96</v>
      </c>
      <c r="K855">
        <v>0.15</v>
      </c>
      <c r="L855">
        <v>1213.6600000000001</v>
      </c>
      <c r="M855">
        <v>623.83000000000004</v>
      </c>
      <c r="N855">
        <v>589.83000000000004</v>
      </c>
      <c r="O855" t="s">
        <v>33</v>
      </c>
      <c r="P855">
        <v>4</v>
      </c>
      <c r="Q855" t="str">
        <f t="shared" si="78"/>
        <v>August</v>
      </c>
      <c r="R855" t="str">
        <f t="shared" si="79"/>
        <v>Q3</v>
      </c>
      <c r="S855">
        <f t="shared" si="80"/>
        <v>2024</v>
      </c>
      <c r="T855">
        <f t="shared" si="81"/>
        <v>515092.44</v>
      </c>
      <c r="U855">
        <f t="shared" si="82"/>
        <v>172125.68000000011</v>
      </c>
      <c r="V855">
        <f t="shared" si="83"/>
        <v>1.9925368486561661</v>
      </c>
    </row>
    <row r="856" spans="1:22" x14ac:dyDescent="0.35">
      <c r="A856" t="s">
        <v>1774</v>
      </c>
      <c r="B856" s="1">
        <v>45522</v>
      </c>
      <c r="C856" t="s">
        <v>1775</v>
      </c>
      <c r="D856" t="s">
        <v>29</v>
      </c>
      <c r="E856" t="s">
        <v>98</v>
      </c>
      <c r="F856" t="s">
        <v>39</v>
      </c>
      <c r="G856" t="s">
        <v>43</v>
      </c>
      <c r="H856" t="s">
        <v>173</v>
      </c>
      <c r="I856">
        <v>8</v>
      </c>
      <c r="J856">
        <v>284.66000000000003</v>
      </c>
      <c r="K856">
        <v>0</v>
      </c>
      <c r="L856">
        <v>2277.2800000000002</v>
      </c>
      <c r="M856">
        <v>1715.01</v>
      </c>
      <c r="N856">
        <v>562.27</v>
      </c>
      <c r="O856" t="s">
        <v>33</v>
      </c>
      <c r="P856">
        <v>4</v>
      </c>
      <c r="Q856" t="str">
        <f t="shared" si="78"/>
        <v>August</v>
      </c>
      <c r="R856" t="str">
        <f t="shared" si="79"/>
        <v>Q3</v>
      </c>
      <c r="S856">
        <f t="shared" si="80"/>
        <v>2024</v>
      </c>
      <c r="T856">
        <f t="shared" si="81"/>
        <v>513878.78</v>
      </c>
      <c r="U856">
        <f t="shared" si="82"/>
        <v>171535.85000000009</v>
      </c>
      <c r="V856">
        <f t="shared" si="83"/>
        <v>1.9957515003423467</v>
      </c>
    </row>
    <row r="857" spans="1:22" x14ac:dyDescent="0.35">
      <c r="A857" t="s">
        <v>1776</v>
      </c>
      <c r="B857" s="1">
        <v>45540</v>
      </c>
      <c r="C857" t="s">
        <v>1777</v>
      </c>
      <c r="D857" t="s">
        <v>66</v>
      </c>
      <c r="E857" t="s">
        <v>20</v>
      </c>
      <c r="F857" t="s">
        <v>21</v>
      </c>
      <c r="G857" t="s">
        <v>79</v>
      </c>
      <c r="H857" t="s">
        <v>80</v>
      </c>
      <c r="I857">
        <v>10</v>
      </c>
      <c r="J857">
        <v>468.7</v>
      </c>
      <c r="K857">
        <v>0.15</v>
      </c>
      <c r="L857">
        <v>3983.95</v>
      </c>
      <c r="M857">
        <v>2757.89</v>
      </c>
      <c r="N857">
        <v>1226.06</v>
      </c>
      <c r="O857" t="s">
        <v>24</v>
      </c>
      <c r="P857">
        <v>4</v>
      </c>
      <c r="Q857" t="str">
        <f t="shared" si="78"/>
        <v>September</v>
      </c>
      <c r="R857" t="str">
        <f t="shared" si="79"/>
        <v>Q3</v>
      </c>
      <c r="S857">
        <f t="shared" si="80"/>
        <v>2024</v>
      </c>
      <c r="T857">
        <f t="shared" si="81"/>
        <v>511601.5</v>
      </c>
      <c r="U857">
        <f t="shared" si="82"/>
        <v>170973.5800000001</v>
      </c>
      <c r="V857">
        <f t="shared" si="83"/>
        <v>1.9922839540471675</v>
      </c>
    </row>
    <row r="858" spans="1:22" x14ac:dyDescent="0.35">
      <c r="A858" t="s">
        <v>1778</v>
      </c>
      <c r="B858" s="1">
        <v>45473</v>
      </c>
      <c r="C858" t="s">
        <v>1779</v>
      </c>
      <c r="D858" t="s">
        <v>37</v>
      </c>
      <c r="E858" t="s">
        <v>20</v>
      </c>
      <c r="F858" t="s">
        <v>21</v>
      </c>
      <c r="G858" t="s">
        <v>22</v>
      </c>
      <c r="H858" t="s">
        <v>23</v>
      </c>
      <c r="I858">
        <v>2</v>
      </c>
      <c r="J858">
        <v>231.37</v>
      </c>
      <c r="K858">
        <v>0.05</v>
      </c>
      <c r="L858">
        <v>439.6</v>
      </c>
      <c r="M858">
        <v>288.06</v>
      </c>
      <c r="N858">
        <v>151.54</v>
      </c>
      <c r="O858" t="s">
        <v>51</v>
      </c>
      <c r="P858">
        <v>3</v>
      </c>
      <c r="Q858" t="str">
        <f t="shared" si="78"/>
        <v>June</v>
      </c>
      <c r="R858" t="str">
        <f t="shared" si="79"/>
        <v>Q2</v>
      </c>
      <c r="S858">
        <f t="shared" si="80"/>
        <v>2024</v>
      </c>
      <c r="T858">
        <f t="shared" si="81"/>
        <v>507617.55000000005</v>
      </c>
      <c r="U858">
        <f t="shared" si="82"/>
        <v>169747.52000000011</v>
      </c>
      <c r="V858">
        <f t="shared" si="83"/>
        <v>1.990426899904044</v>
      </c>
    </row>
    <row r="859" spans="1:22" x14ac:dyDescent="0.35">
      <c r="A859" t="s">
        <v>1780</v>
      </c>
      <c r="B859" s="1">
        <v>45470</v>
      </c>
      <c r="C859" t="s">
        <v>1781</v>
      </c>
      <c r="D859" t="s">
        <v>66</v>
      </c>
      <c r="E859" t="s">
        <v>85</v>
      </c>
      <c r="F859" t="s">
        <v>31</v>
      </c>
      <c r="G859" t="s">
        <v>43</v>
      </c>
      <c r="H859" t="s">
        <v>50</v>
      </c>
      <c r="I859">
        <v>8</v>
      </c>
      <c r="J859">
        <v>1141.32</v>
      </c>
      <c r="K859">
        <v>0</v>
      </c>
      <c r="L859">
        <v>9130.56</v>
      </c>
      <c r="M859">
        <v>6565.11</v>
      </c>
      <c r="N859">
        <v>2565.4499999999998</v>
      </c>
      <c r="O859" t="s">
        <v>62</v>
      </c>
      <c r="P859">
        <v>2</v>
      </c>
      <c r="Q859" t="str">
        <f t="shared" si="78"/>
        <v>June</v>
      </c>
      <c r="R859" t="str">
        <f t="shared" si="79"/>
        <v>Q2</v>
      </c>
      <c r="S859">
        <f t="shared" si="80"/>
        <v>2024</v>
      </c>
      <c r="T859">
        <f t="shared" si="81"/>
        <v>507177.95000000007</v>
      </c>
      <c r="U859">
        <f t="shared" si="82"/>
        <v>169595.98000000013</v>
      </c>
      <c r="V859">
        <f t="shared" si="83"/>
        <v>1.9905069094208467</v>
      </c>
    </row>
    <row r="860" spans="1:22" x14ac:dyDescent="0.35">
      <c r="A860" t="s">
        <v>1782</v>
      </c>
      <c r="B860" s="1">
        <v>45418</v>
      </c>
      <c r="C860" t="s">
        <v>1783</v>
      </c>
      <c r="D860" t="s">
        <v>37</v>
      </c>
      <c r="E860" t="s">
        <v>38</v>
      </c>
      <c r="F860" t="s">
        <v>39</v>
      </c>
      <c r="G860" t="s">
        <v>22</v>
      </c>
      <c r="H860" t="s">
        <v>23</v>
      </c>
      <c r="I860">
        <v>3</v>
      </c>
      <c r="J860">
        <v>409.13</v>
      </c>
      <c r="K860">
        <v>0.05</v>
      </c>
      <c r="L860">
        <v>1166.02</v>
      </c>
      <c r="M860">
        <v>659.1</v>
      </c>
      <c r="N860">
        <v>506.92</v>
      </c>
      <c r="O860" t="s">
        <v>33</v>
      </c>
      <c r="P860">
        <v>1</v>
      </c>
      <c r="Q860" t="str">
        <f t="shared" si="78"/>
        <v>May</v>
      </c>
      <c r="R860" t="str">
        <f t="shared" si="79"/>
        <v>Q2</v>
      </c>
      <c r="S860">
        <f t="shared" si="80"/>
        <v>2024</v>
      </c>
      <c r="T860">
        <f t="shared" si="81"/>
        <v>498047.39000000007</v>
      </c>
      <c r="U860">
        <f t="shared" si="82"/>
        <v>167030.53000000009</v>
      </c>
      <c r="V860">
        <f t="shared" si="83"/>
        <v>1.9817745893520173</v>
      </c>
    </row>
    <row r="861" spans="1:22" x14ac:dyDescent="0.35">
      <c r="A861" t="s">
        <v>1784</v>
      </c>
      <c r="B861" s="1">
        <v>45315</v>
      </c>
      <c r="C861" t="s">
        <v>1785</v>
      </c>
      <c r="D861" t="s">
        <v>66</v>
      </c>
      <c r="E861" t="s">
        <v>30</v>
      </c>
      <c r="F861" t="s">
        <v>39</v>
      </c>
      <c r="G861" t="s">
        <v>22</v>
      </c>
      <c r="H861" t="s">
        <v>124</v>
      </c>
      <c r="I861">
        <v>5</v>
      </c>
      <c r="J861">
        <v>659.15</v>
      </c>
      <c r="K861">
        <v>0.05</v>
      </c>
      <c r="L861">
        <v>3130.96</v>
      </c>
      <c r="M861">
        <v>1991.86</v>
      </c>
      <c r="N861">
        <v>1139.0999999999999</v>
      </c>
      <c r="O861" t="s">
        <v>62</v>
      </c>
      <c r="P861">
        <v>1</v>
      </c>
      <c r="Q861" t="str">
        <f t="shared" si="78"/>
        <v>January</v>
      </c>
      <c r="R861" t="str">
        <f t="shared" si="79"/>
        <v>Q1</v>
      </c>
      <c r="S861">
        <f t="shared" si="80"/>
        <v>2024</v>
      </c>
      <c r="T861">
        <f t="shared" si="81"/>
        <v>496881.37000000005</v>
      </c>
      <c r="U861">
        <f t="shared" si="82"/>
        <v>166523.6100000001</v>
      </c>
      <c r="V861">
        <f t="shared" si="83"/>
        <v>1.9838493772744883</v>
      </c>
    </row>
    <row r="862" spans="1:22" x14ac:dyDescent="0.35">
      <c r="A862" t="s">
        <v>1786</v>
      </c>
      <c r="B862" s="1">
        <v>45648</v>
      </c>
      <c r="C862" t="s">
        <v>1787</v>
      </c>
      <c r="D862" t="s">
        <v>37</v>
      </c>
      <c r="E862" t="s">
        <v>98</v>
      </c>
      <c r="F862" t="s">
        <v>21</v>
      </c>
      <c r="G862" t="s">
        <v>43</v>
      </c>
      <c r="H862" t="s">
        <v>50</v>
      </c>
      <c r="I862">
        <v>5</v>
      </c>
      <c r="J862">
        <v>1120.57</v>
      </c>
      <c r="K862">
        <v>0</v>
      </c>
      <c r="L862">
        <v>5602.85</v>
      </c>
      <c r="M862">
        <v>4509.4799999999996</v>
      </c>
      <c r="N862">
        <v>1093.3699999999999</v>
      </c>
      <c r="O862" t="s">
        <v>33</v>
      </c>
      <c r="P862">
        <v>3</v>
      </c>
      <c r="Q862" t="str">
        <f t="shared" si="78"/>
        <v>December</v>
      </c>
      <c r="R862" t="str">
        <f t="shared" si="79"/>
        <v>Q4</v>
      </c>
      <c r="S862">
        <f t="shared" si="80"/>
        <v>2024</v>
      </c>
      <c r="T862">
        <f t="shared" si="81"/>
        <v>493750.41000000003</v>
      </c>
      <c r="U862">
        <f t="shared" si="82"/>
        <v>165384.5100000001</v>
      </c>
      <c r="V862">
        <f t="shared" si="83"/>
        <v>1.9854694977177711</v>
      </c>
    </row>
    <row r="863" spans="1:22" x14ac:dyDescent="0.35">
      <c r="A863" t="s">
        <v>1788</v>
      </c>
      <c r="B863" s="1">
        <v>45578</v>
      </c>
      <c r="C863" t="s">
        <v>1789</v>
      </c>
      <c r="D863" t="s">
        <v>37</v>
      </c>
      <c r="E863" t="s">
        <v>38</v>
      </c>
      <c r="F863" t="s">
        <v>21</v>
      </c>
      <c r="G863" t="s">
        <v>43</v>
      </c>
      <c r="H863" t="s">
        <v>44</v>
      </c>
      <c r="I863">
        <v>1</v>
      </c>
      <c r="J863">
        <v>71.75</v>
      </c>
      <c r="K863">
        <v>0.05</v>
      </c>
      <c r="L863">
        <v>68.16</v>
      </c>
      <c r="M863">
        <v>44.01</v>
      </c>
      <c r="N863">
        <v>24.15</v>
      </c>
      <c r="O863" t="s">
        <v>33</v>
      </c>
      <c r="P863">
        <v>4</v>
      </c>
      <c r="Q863" t="str">
        <f t="shared" si="78"/>
        <v>October</v>
      </c>
      <c r="R863" t="str">
        <f t="shared" si="79"/>
        <v>Q4</v>
      </c>
      <c r="S863">
        <f t="shared" si="80"/>
        <v>2024</v>
      </c>
      <c r="T863">
        <f t="shared" si="81"/>
        <v>488147.56</v>
      </c>
      <c r="U863">
        <f t="shared" si="82"/>
        <v>164291.1400000001</v>
      </c>
      <c r="V863">
        <f t="shared" si="83"/>
        <v>1.9712348456526609</v>
      </c>
    </row>
    <row r="864" spans="1:22" x14ac:dyDescent="0.35">
      <c r="A864" t="s">
        <v>1790</v>
      </c>
      <c r="B864" s="1">
        <v>45408</v>
      </c>
      <c r="C864" t="s">
        <v>1791</v>
      </c>
      <c r="D864" t="s">
        <v>29</v>
      </c>
      <c r="E864" t="s">
        <v>98</v>
      </c>
      <c r="F864" t="s">
        <v>31</v>
      </c>
      <c r="G864" t="s">
        <v>43</v>
      </c>
      <c r="H864" t="s">
        <v>173</v>
      </c>
      <c r="I864">
        <v>1</v>
      </c>
      <c r="J864">
        <v>762.42</v>
      </c>
      <c r="K864">
        <v>0.15</v>
      </c>
      <c r="L864">
        <v>648.05999999999995</v>
      </c>
      <c r="M864">
        <v>409.48</v>
      </c>
      <c r="N864">
        <v>238.58</v>
      </c>
      <c r="O864" t="s">
        <v>33</v>
      </c>
      <c r="P864">
        <v>3</v>
      </c>
      <c r="Q864" t="str">
        <f t="shared" si="78"/>
        <v>April</v>
      </c>
      <c r="R864" t="str">
        <f t="shared" si="79"/>
        <v>Q2</v>
      </c>
      <c r="S864">
        <f t="shared" si="80"/>
        <v>2024</v>
      </c>
      <c r="T864">
        <f t="shared" si="81"/>
        <v>488079.4</v>
      </c>
      <c r="U864">
        <f t="shared" si="82"/>
        <v>164266.99000000008</v>
      </c>
      <c r="V864">
        <f t="shared" si="83"/>
        <v>1.9712567327130044</v>
      </c>
    </row>
    <row r="865" spans="1:22" x14ac:dyDescent="0.35">
      <c r="A865" t="s">
        <v>1792</v>
      </c>
      <c r="B865" s="1">
        <v>45570</v>
      </c>
      <c r="C865" t="s">
        <v>1793</v>
      </c>
      <c r="D865" t="s">
        <v>19</v>
      </c>
      <c r="E865" t="s">
        <v>85</v>
      </c>
      <c r="F865" t="s">
        <v>31</v>
      </c>
      <c r="G865" t="s">
        <v>60</v>
      </c>
      <c r="H865" t="s">
        <v>110</v>
      </c>
      <c r="I865">
        <v>12</v>
      </c>
      <c r="J865">
        <v>1059.67</v>
      </c>
      <c r="K865">
        <v>0.1</v>
      </c>
      <c r="L865">
        <v>11444.44</v>
      </c>
      <c r="M865">
        <v>6289.63</v>
      </c>
      <c r="N865">
        <v>5154.8100000000004</v>
      </c>
      <c r="O865" t="s">
        <v>24</v>
      </c>
      <c r="P865">
        <v>3</v>
      </c>
      <c r="Q865" t="str">
        <f t="shared" si="78"/>
        <v>October</v>
      </c>
      <c r="R865" t="str">
        <f t="shared" si="79"/>
        <v>Q4</v>
      </c>
      <c r="S865">
        <f t="shared" si="80"/>
        <v>2024</v>
      </c>
      <c r="T865">
        <f t="shared" si="81"/>
        <v>487431.34</v>
      </c>
      <c r="U865">
        <f t="shared" si="82"/>
        <v>164028.41000000009</v>
      </c>
      <c r="V865">
        <f t="shared" si="83"/>
        <v>1.9716275369614309</v>
      </c>
    </row>
    <row r="866" spans="1:22" x14ac:dyDescent="0.35">
      <c r="A866" t="s">
        <v>1794</v>
      </c>
      <c r="B866" s="1">
        <v>45566</v>
      </c>
      <c r="C866" t="s">
        <v>1795</v>
      </c>
      <c r="D866" t="s">
        <v>29</v>
      </c>
      <c r="E866" t="s">
        <v>98</v>
      </c>
      <c r="F866" t="s">
        <v>39</v>
      </c>
      <c r="G866" t="s">
        <v>22</v>
      </c>
      <c r="H866" t="s">
        <v>23</v>
      </c>
      <c r="I866">
        <v>6</v>
      </c>
      <c r="J866">
        <v>218.2</v>
      </c>
      <c r="K866">
        <v>0</v>
      </c>
      <c r="L866">
        <v>1309.2</v>
      </c>
      <c r="M866">
        <v>887.65</v>
      </c>
      <c r="N866">
        <v>421.55</v>
      </c>
      <c r="O866" t="s">
        <v>33</v>
      </c>
      <c r="P866">
        <v>1</v>
      </c>
      <c r="Q866" t="str">
        <f t="shared" si="78"/>
        <v>October</v>
      </c>
      <c r="R866" t="str">
        <f t="shared" si="79"/>
        <v>Q4</v>
      </c>
      <c r="S866">
        <f t="shared" si="80"/>
        <v>2024</v>
      </c>
      <c r="T866">
        <f t="shared" si="81"/>
        <v>475986.9</v>
      </c>
      <c r="U866">
        <f t="shared" si="82"/>
        <v>158873.60000000006</v>
      </c>
      <c r="V866">
        <f t="shared" si="83"/>
        <v>1.9960100356509818</v>
      </c>
    </row>
    <row r="867" spans="1:22" x14ac:dyDescent="0.35">
      <c r="A867" t="s">
        <v>1796</v>
      </c>
      <c r="B867" s="1">
        <v>45652</v>
      </c>
      <c r="C867" t="s">
        <v>1797</v>
      </c>
      <c r="D867" t="s">
        <v>37</v>
      </c>
      <c r="E867" t="s">
        <v>20</v>
      </c>
      <c r="F867" t="s">
        <v>31</v>
      </c>
      <c r="G867" t="s">
        <v>79</v>
      </c>
      <c r="H867" t="s">
        <v>103</v>
      </c>
      <c r="I867">
        <v>2</v>
      </c>
      <c r="J867">
        <v>734.88</v>
      </c>
      <c r="K867">
        <v>0.15</v>
      </c>
      <c r="L867">
        <v>1249.3</v>
      </c>
      <c r="M867">
        <v>970.53</v>
      </c>
      <c r="N867">
        <v>278.77</v>
      </c>
      <c r="O867" t="s">
        <v>33</v>
      </c>
      <c r="P867">
        <v>3</v>
      </c>
      <c r="Q867" t="str">
        <f t="shared" si="78"/>
        <v>December</v>
      </c>
      <c r="R867" t="str">
        <f t="shared" si="79"/>
        <v>Q4</v>
      </c>
      <c r="S867">
        <f t="shared" si="80"/>
        <v>2024</v>
      </c>
      <c r="T867">
        <f t="shared" si="81"/>
        <v>474677.70000000007</v>
      </c>
      <c r="U867">
        <f t="shared" si="82"/>
        <v>158452.05000000008</v>
      </c>
      <c r="V867">
        <f t="shared" si="83"/>
        <v>1.9957182630328851</v>
      </c>
    </row>
    <row r="868" spans="1:22" x14ac:dyDescent="0.35">
      <c r="A868" t="s">
        <v>1798</v>
      </c>
      <c r="B868" s="1">
        <v>45407</v>
      </c>
      <c r="C868" t="s">
        <v>1799</v>
      </c>
      <c r="D868" t="s">
        <v>19</v>
      </c>
      <c r="E868" t="s">
        <v>30</v>
      </c>
      <c r="F868" t="s">
        <v>21</v>
      </c>
      <c r="G868" t="s">
        <v>22</v>
      </c>
      <c r="H868" t="s">
        <v>32</v>
      </c>
      <c r="I868">
        <v>10</v>
      </c>
      <c r="J868">
        <v>380.89</v>
      </c>
      <c r="K868">
        <v>0.05</v>
      </c>
      <c r="L868">
        <v>3618.45</v>
      </c>
      <c r="M868">
        <v>2965.04</v>
      </c>
      <c r="N868">
        <v>653.41</v>
      </c>
      <c r="O868" t="s">
        <v>51</v>
      </c>
      <c r="P868">
        <v>5</v>
      </c>
      <c r="Q868" t="str">
        <f t="shared" si="78"/>
        <v>April</v>
      </c>
      <c r="R868" t="str">
        <f t="shared" si="79"/>
        <v>Q2</v>
      </c>
      <c r="S868">
        <f t="shared" si="80"/>
        <v>2024</v>
      </c>
      <c r="T868">
        <f t="shared" si="81"/>
        <v>473428.40000000008</v>
      </c>
      <c r="U868">
        <f t="shared" si="82"/>
        <v>158173.28000000006</v>
      </c>
      <c r="V868">
        <f t="shared" si="83"/>
        <v>1.9930997194975022</v>
      </c>
    </row>
    <row r="869" spans="1:22" x14ac:dyDescent="0.35">
      <c r="A869" t="s">
        <v>1800</v>
      </c>
      <c r="B869" s="1">
        <v>45620</v>
      </c>
      <c r="C869" t="s">
        <v>1801</v>
      </c>
      <c r="D869" t="s">
        <v>66</v>
      </c>
      <c r="E869" t="s">
        <v>20</v>
      </c>
      <c r="F869" t="s">
        <v>31</v>
      </c>
      <c r="G869" t="s">
        <v>79</v>
      </c>
      <c r="H869" t="s">
        <v>80</v>
      </c>
      <c r="I869">
        <v>10</v>
      </c>
      <c r="J869">
        <v>970.75</v>
      </c>
      <c r="K869">
        <v>0</v>
      </c>
      <c r="L869">
        <v>9707.5</v>
      </c>
      <c r="M869">
        <v>5451.31</v>
      </c>
      <c r="N869">
        <v>4256.1899999999996</v>
      </c>
      <c r="O869" t="s">
        <v>24</v>
      </c>
      <c r="P869">
        <v>5</v>
      </c>
      <c r="Q869" t="str">
        <f t="shared" si="78"/>
        <v>November</v>
      </c>
      <c r="R869" t="str">
        <f t="shared" si="79"/>
        <v>Q4</v>
      </c>
      <c r="S869">
        <f t="shared" si="80"/>
        <v>2024</v>
      </c>
      <c r="T869">
        <f t="shared" si="81"/>
        <v>469809.95000000007</v>
      </c>
      <c r="U869">
        <f t="shared" si="82"/>
        <v>157519.87000000005</v>
      </c>
      <c r="V869">
        <f t="shared" si="83"/>
        <v>1.9825440434911477</v>
      </c>
    </row>
    <row r="870" spans="1:22" x14ac:dyDescent="0.35">
      <c r="A870" t="s">
        <v>1802</v>
      </c>
      <c r="B870" s="1">
        <v>45462</v>
      </c>
      <c r="C870" t="s">
        <v>1803</v>
      </c>
      <c r="D870" t="s">
        <v>37</v>
      </c>
      <c r="E870" t="s">
        <v>85</v>
      </c>
      <c r="F870" t="s">
        <v>31</v>
      </c>
      <c r="G870" t="s">
        <v>60</v>
      </c>
      <c r="H870" t="s">
        <v>119</v>
      </c>
      <c r="I870">
        <v>4</v>
      </c>
      <c r="J870">
        <v>297.58999999999997</v>
      </c>
      <c r="K870">
        <v>0.15</v>
      </c>
      <c r="L870">
        <v>1011.81</v>
      </c>
      <c r="M870">
        <v>716.79</v>
      </c>
      <c r="N870">
        <v>295.02</v>
      </c>
      <c r="O870" t="s">
        <v>33</v>
      </c>
      <c r="P870">
        <v>5</v>
      </c>
      <c r="Q870" t="str">
        <f t="shared" si="78"/>
        <v>June</v>
      </c>
      <c r="R870" t="str">
        <f t="shared" si="79"/>
        <v>Q2</v>
      </c>
      <c r="S870">
        <f t="shared" si="80"/>
        <v>2024</v>
      </c>
      <c r="T870">
        <f t="shared" si="81"/>
        <v>460102.45000000007</v>
      </c>
      <c r="U870">
        <f t="shared" si="82"/>
        <v>153263.68000000008</v>
      </c>
      <c r="V870">
        <f t="shared" si="83"/>
        <v>2.0020318577760881</v>
      </c>
    </row>
    <row r="871" spans="1:22" x14ac:dyDescent="0.35">
      <c r="A871" t="s">
        <v>1804</v>
      </c>
      <c r="B871" s="1">
        <v>45378</v>
      </c>
      <c r="C871" t="s">
        <v>1805</v>
      </c>
      <c r="D871" t="s">
        <v>29</v>
      </c>
      <c r="E871" t="s">
        <v>98</v>
      </c>
      <c r="F871" t="s">
        <v>21</v>
      </c>
      <c r="G871" t="s">
        <v>79</v>
      </c>
      <c r="H871" t="s">
        <v>89</v>
      </c>
      <c r="I871">
        <v>9</v>
      </c>
      <c r="J871">
        <v>350.6</v>
      </c>
      <c r="K871">
        <v>0</v>
      </c>
      <c r="L871">
        <v>3155.4</v>
      </c>
      <c r="M871">
        <v>1882.66</v>
      </c>
      <c r="N871">
        <v>1272.74</v>
      </c>
      <c r="O871" t="s">
        <v>51</v>
      </c>
      <c r="P871">
        <v>4</v>
      </c>
      <c r="Q871" t="str">
        <f t="shared" si="78"/>
        <v>March</v>
      </c>
      <c r="R871" t="str">
        <f t="shared" si="79"/>
        <v>Q1</v>
      </c>
      <c r="S871">
        <f t="shared" si="80"/>
        <v>2024</v>
      </c>
      <c r="T871">
        <f t="shared" si="81"/>
        <v>459090.64000000007</v>
      </c>
      <c r="U871">
        <f t="shared" si="82"/>
        <v>152968.66000000009</v>
      </c>
      <c r="V871">
        <f t="shared" si="83"/>
        <v>2.0012071753782754</v>
      </c>
    </row>
    <row r="872" spans="1:22" x14ac:dyDescent="0.35">
      <c r="A872" t="s">
        <v>1806</v>
      </c>
      <c r="B872" s="1">
        <v>45503</v>
      </c>
      <c r="C872" t="s">
        <v>1807</v>
      </c>
      <c r="D872" t="s">
        <v>37</v>
      </c>
      <c r="E872" t="s">
        <v>20</v>
      </c>
      <c r="F872" t="s">
        <v>21</v>
      </c>
      <c r="G872" t="s">
        <v>22</v>
      </c>
      <c r="H872" t="s">
        <v>32</v>
      </c>
      <c r="I872">
        <v>2</v>
      </c>
      <c r="J872">
        <v>578.94000000000005</v>
      </c>
      <c r="K872">
        <v>0.05</v>
      </c>
      <c r="L872">
        <v>1099.99</v>
      </c>
      <c r="M872">
        <v>671.18</v>
      </c>
      <c r="N872">
        <v>428.81</v>
      </c>
      <c r="O872" t="s">
        <v>24</v>
      </c>
      <c r="P872">
        <v>1</v>
      </c>
      <c r="Q872" t="str">
        <f t="shared" si="78"/>
        <v>July</v>
      </c>
      <c r="R872" t="str">
        <f t="shared" si="79"/>
        <v>Q3</v>
      </c>
      <c r="S872">
        <f t="shared" si="80"/>
        <v>2024</v>
      </c>
      <c r="T872">
        <f t="shared" si="81"/>
        <v>455935.24000000005</v>
      </c>
      <c r="U872">
        <f t="shared" si="82"/>
        <v>151695.9200000001</v>
      </c>
      <c r="V872">
        <f t="shared" si="83"/>
        <v>2.0055867026614806</v>
      </c>
    </row>
    <row r="873" spans="1:22" x14ac:dyDescent="0.35">
      <c r="A873" t="s">
        <v>1808</v>
      </c>
      <c r="B873" s="1">
        <v>45506</v>
      </c>
      <c r="C873" t="s">
        <v>1809</v>
      </c>
      <c r="D873" t="s">
        <v>29</v>
      </c>
      <c r="E873" t="s">
        <v>85</v>
      </c>
      <c r="F873" t="s">
        <v>39</v>
      </c>
      <c r="G873" t="s">
        <v>79</v>
      </c>
      <c r="H873" t="s">
        <v>80</v>
      </c>
      <c r="I873">
        <v>1</v>
      </c>
      <c r="J873">
        <v>787.8</v>
      </c>
      <c r="K873">
        <v>0.05</v>
      </c>
      <c r="L873">
        <v>748.41</v>
      </c>
      <c r="M873">
        <v>539.09</v>
      </c>
      <c r="N873">
        <v>209.32</v>
      </c>
      <c r="O873" t="s">
        <v>51</v>
      </c>
      <c r="P873">
        <v>3</v>
      </c>
      <c r="Q873" t="str">
        <f t="shared" si="78"/>
        <v>August</v>
      </c>
      <c r="R873" t="str">
        <f t="shared" si="79"/>
        <v>Q3</v>
      </c>
      <c r="S873">
        <f t="shared" si="80"/>
        <v>2024</v>
      </c>
      <c r="T873">
        <f t="shared" si="81"/>
        <v>454835.25000000006</v>
      </c>
      <c r="U873">
        <f t="shared" si="82"/>
        <v>151267.11000000007</v>
      </c>
      <c r="V873">
        <f t="shared" si="83"/>
        <v>2.0068350615014716</v>
      </c>
    </row>
    <row r="874" spans="1:22" x14ac:dyDescent="0.35">
      <c r="A874" t="s">
        <v>1810</v>
      </c>
      <c r="B874" s="1">
        <v>45606</v>
      </c>
      <c r="C874" t="s">
        <v>1811</v>
      </c>
      <c r="D874" t="s">
        <v>29</v>
      </c>
      <c r="E874" t="s">
        <v>98</v>
      </c>
      <c r="F874" t="s">
        <v>39</v>
      </c>
      <c r="G874" t="s">
        <v>22</v>
      </c>
      <c r="H874" t="s">
        <v>23</v>
      </c>
      <c r="I874">
        <v>9</v>
      </c>
      <c r="J874">
        <v>197.14</v>
      </c>
      <c r="K874">
        <v>0.1</v>
      </c>
      <c r="L874">
        <v>1596.83</v>
      </c>
      <c r="M874">
        <v>1251.8499999999999</v>
      </c>
      <c r="N874">
        <v>344.98</v>
      </c>
      <c r="O874" t="s">
        <v>62</v>
      </c>
      <c r="P874">
        <v>1</v>
      </c>
      <c r="Q874" t="str">
        <f t="shared" si="78"/>
        <v>November</v>
      </c>
      <c r="R874" t="str">
        <f t="shared" si="79"/>
        <v>Q4</v>
      </c>
      <c r="S874">
        <f t="shared" si="80"/>
        <v>2024</v>
      </c>
      <c r="T874">
        <f t="shared" si="81"/>
        <v>454086.84000000008</v>
      </c>
      <c r="U874">
        <f t="shared" si="82"/>
        <v>151057.7900000001</v>
      </c>
      <c r="V874">
        <f t="shared" si="83"/>
        <v>2.0060471558600175</v>
      </c>
    </row>
    <row r="875" spans="1:22" x14ac:dyDescent="0.35">
      <c r="A875" t="s">
        <v>1812</v>
      </c>
      <c r="B875" s="1">
        <v>45447</v>
      </c>
      <c r="C875" t="s">
        <v>1813</v>
      </c>
      <c r="D875" t="s">
        <v>49</v>
      </c>
      <c r="E875" t="s">
        <v>38</v>
      </c>
      <c r="F875" t="s">
        <v>31</v>
      </c>
      <c r="G875" t="s">
        <v>60</v>
      </c>
      <c r="H875" t="s">
        <v>61</v>
      </c>
      <c r="I875">
        <v>10</v>
      </c>
      <c r="J875">
        <v>1069.98</v>
      </c>
      <c r="K875">
        <v>0</v>
      </c>
      <c r="L875">
        <v>10699.8</v>
      </c>
      <c r="M875">
        <v>7911.24</v>
      </c>
      <c r="N875">
        <v>2788.56</v>
      </c>
      <c r="O875" t="s">
        <v>51</v>
      </c>
      <c r="P875">
        <v>3</v>
      </c>
      <c r="Q875" t="str">
        <f t="shared" si="78"/>
        <v>June</v>
      </c>
      <c r="R875" t="str">
        <f t="shared" si="79"/>
        <v>Q2</v>
      </c>
      <c r="S875">
        <f t="shared" si="80"/>
        <v>2024</v>
      </c>
      <c r="T875">
        <f t="shared" si="81"/>
        <v>452490.01000000007</v>
      </c>
      <c r="U875">
        <f t="shared" si="82"/>
        <v>150712.81000000008</v>
      </c>
      <c r="V875">
        <f t="shared" si="83"/>
        <v>2.0023327811351921</v>
      </c>
    </row>
    <row r="876" spans="1:22" x14ac:dyDescent="0.35">
      <c r="A876" t="s">
        <v>1814</v>
      </c>
      <c r="B876" s="1">
        <v>45293</v>
      </c>
      <c r="C876" t="s">
        <v>1815</v>
      </c>
      <c r="D876" t="s">
        <v>37</v>
      </c>
      <c r="E876" t="s">
        <v>30</v>
      </c>
      <c r="F876" t="s">
        <v>39</v>
      </c>
      <c r="G876" t="s">
        <v>60</v>
      </c>
      <c r="H876" t="s">
        <v>110</v>
      </c>
      <c r="I876">
        <v>3</v>
      </c>
      <c r="J876">
        <v>752.84</v>
      </c>
      <c r="K876">
        <v>0.15</v>
      </c>
      <c r="L876">
        <v>1919.74</v>
      </c>
      <c r="M876">
        <v>1534.24</v>
      </c>
      <c r="N876">
        <v>385.5</v>
      </c>
      <c r="O876" t="s">
        <v>33</v>
      </c>
      <c r="P876">
        <v>4</v>
      </c>
      <c r="Q876" t="str">
        <f t="shared" si="78"/>
        <v>January</v>
      </c>
      <c r="R876" t="str">
        <f t="shared" si="79"/>
        <v>Q1</v>
      </c>
      <c r="S876">
        <f t="shared" si="80"/>
        <v>2024</v>
      </c>
      <c r="T876">
        <f t="shared" si="81"/>
        <v>441790.21000000008</v>
      </c>
      <c r="U876">
        <f t="shared" si="82"/>
        <v>147924.25000000006</v>
      </c>
      <c r="V876">
        <f t="shared" si="83"/>
        <v>1.9865975997850245</v>
      </c>
    </row>
    <row r="877" spans="1:22" x14ac:dyDescent="0.35">
      <c r="A877" t="s">
        <v>1816</v>
      </c>
      <c r="B877" s="1">
        <v>45296</v>
      </c>
      <c r="C877" t="s">
        <v>1817</v>
      </c>
      <c r="D877" t="s">
        <v>37</v>
      </c>
      <c r="E877" t="s">
        <v>30</v>
      </c>
      <c r="F877" t="s">
        <v>31</v>
      </c>
      <c r="G877" t="s">
        <v>79</v>
      </c>
      <c r="H877" t="s">
        <v>89</v>
      </c>
      <c r="I877">
        <v>6</v>
      </c>
      <c r="J877">
        <v>444.27</v>
      </c>
      <c r="K877">
        <v>0.15</v>
      </c>
      <c r="L877">
        <v>2265.7800000000002</v>
      </c>
      <c r="M877">
        <v>1707.08</v>
      </c>
      <c r="N877">
        <v>558.70000000000005</v>
      </c>
      <c r="O877" t="s">
        <v>62</v>
      </c>
      <c r="P877">
        <v>1</v>
      </c>
      <c r="Q877" t="str">
        <f t="shared" si="78"/>
        <v>January</v>
      </c>
      <c r="R877" t="str">
        <f t="shared" si="79"/>
        <v>Q1</v>
      </c>
      <c r="S877">
        <f t="shared" si="80"/>
        <v>2024</v>
      </c>
      <c r="T877">
        <f t="shared" si="81"/>
        <v>439870.47000000009</v>
      </c>
      <c r="U877">
        <f t="shared" si="82"/>
        <v>147538.75000000006</v>
      </c>
      <c r="V877">
        <f t="shared" si="83"/>
        <v>1.9813894315900054</v>
      </c>
    </row>
    <row r="878" spans="1:22" x14ac:dyDescent="0.35">
      <c r="A878" t="s">
        <v>1818</v>
      </c>
      <c r="B878" s="1">
        <v>45313</v>
      </c>
      <c r="C878" t="s">
        <v>1819</v>
      </c>
      <c r="D878" t="s">
        <v>66</v>
      </c>
      <c r="E878" t="s">
        <v>98</v>
      </c>
      <c r="F878" t="s">
        <v>39</v>
      </c>
      <c r="G878" t="s">
        <v>43</v>
      </c>
      <c r="H878" t="s">
        <v>44</v>
      </c>
      <c r="I878">
        <v>10</v>
      </c>
      <c r="J878">
        <v>1171.31</v>
      </c>
      <c r="K878">
        <v>0.15</v>
      </c>
      <c r="L878">
        <v>9956.1299999999992</v>
      </c>
      <c r="M878">
        <v>5858.72</v>
      </c>
      <c r="N878">
        <v>4097.41</v>
      </c>
      <c r="O878" t="s">
        <v>62</v>
      </c>
      <c r="P878">
        <v>1</v>
      </c>
      <c r="Q878" t="str">
        <f t="shared" si="78"/>
        <v>January</v>
      </c>
      <c r="R878" t="str">
        <f t="shared" si="79"/>
        <v>Q1</v>
      </c>
      <c r="S878">
        <f t="shared" si="80"/>
        <v>2024</v>
      </c>
      <c r="T878">
        <f t="shared" si="81"/>
        <v>437604.69000000012</v>
      </c>
      <c r="U878">
        <f t="shared" si="82"/>
        <v>146980.05000000005</v>
      </c>
      <c r="V878">
        <f t="shared" si="83"/>
        <v>1.9773067161155544</v>
      </c>
    </row>
    <row r="879" spans="1:22" x14ac:dyDescent="0.35">
      <c r="A879" t="s">
        <v>1820</v>
      </c>
      <c r="B879" s="1">
        <v>45637</v>
      </c>
      <c r="C879" t="s">
        <v>1821</v>
      </c>
      <c r="D879" t="s">
        <v>49</v>
      </c>
      <c r="E879" t="s">
        <v>30</v>
      </c>
      <c r="F879" t="s">
        <v>21</v>
      </c>
      <c r="G879" t="s">
        <v>79</v>
      </c>
      <c r="H879" t="s">
        <v>80</v>
      </c>
      <c r="I879">
        <v>10</v>
      </c>
      <c r="J879">
        <v>242.28</v>
      </c>
      <c r="K879">
        <v>0</v>
      </c>
      <c r="L879">
        <v>2422.8000000000002</v>
      </c>
      <c r="M879">
        <v>1415.31</v>
      </c>
      <c r="N879">
        <v>1007.49</v>
      </c>
      <c r="O879" t="s">
        <v>62</v>
      </c>
      <c r="P879">
        <v>4</v>
      </c>
      <c r="Q879" t="str">
        <f t="shared" si="78"/>
        <v>December</v>
      </c>
      <c r="R879" t="str">
        <f t="shared" si="79"/>
        <v>Q4</v>
      </c>
      <c r="S879">
        <f t="shared" si="80"/>
        <v>2024</v>
      </c>
      <c r="T879">
        <f t="shared" si="81"/>
        <v>427648.56000000006</v>
      </c>
      <c r="U879">
        <f t="shared" si="82"/>
        <v>142882.64000000007</v>
      </c>
      <c r="V879">
        <f t="shared" si="83"/>
        <v>1.9930057283376053</v>
      </c>
    </row>
    <row r="880" spans="1:22" x14ac:dyDescent="0.35">
      <c r="A880" t="s">
        <v>1822</v>
      </c>
      <c r="B880" s="1">
        <v>45525</v>
      </c>
      <c r="C880" t="s">
        <v>1823</v>
      </c>
      <c r="D880" t="s">
        <v>49</v>
      </c>
      <c r="E880" t="s">
        <v>38</v>
      </c>
      <c r="F880" t="s">
        <v>39</v>
      </c>
      <c r="G880" t="s">
        <v>22</v>
      </c>
      <c r="H880" t="s">
        <v>23</v>
      </c>
      <c r="I880">
        <v>5</v>
      </c>
      <c r="J880">
        <v>545.45000000000005</v>
      </c>
      <c r="K880">
        <v>0.15</v>
      </c>
      <c r="L880">
        <v>2318.16</v>
      </c>
      <c r="M880">
        <v>1366.47</v>
      </c>
      <c r="N880">
        <v>951.69</v>
      </c>
      <c r="O880" t="s">
        <v>33</v>
      </c>
      <c r="P880">
        <v>4</v>
      </c>
      <c r="Q880" t="str">
        <f t="shared" si="78"/>
        <v>August</v>
      </c>
      <c r="R880" t="str">
        <f t="shared" si="79"/>
        <v>Q3</v>
      </c>
      <c r="S880">
        <f t="shared" si="80"/>
        <v>2024</v>
      </c>
      <c r="T880">
        <f t="shared" si="81"/>
        <v>425225.76000000007</v>
      </c>
      <c r="U880">
        <f t="shared" si="82"/>
        <v>141875.15000000005</v>
      </c>
      <c r="V880">
        <f t="shared" si="83"/>
        <v>1.9971828047406461</v>
      </c>
    </row>
    <row r="881" spans="1:22" x14ac:dyDescent="0.35">
      <c r="A881" t="s">
        <v>1824</v>
      </c>
      <c r="B881" s="1">
        <v>45493</v>
      </c>
      <c r="C881" t="s">
        <v>1825</v>
      </c>
      <c r="D881" t="s">
        <v>29</v>
      </c>
      <c r="E881" t="s">
        <v>20</v>
      </c>
      <c r="F881" t="s">
        <v>31</v>
      </c>
      <c r="G881" t="s">
        <v>43</v>
      </c>
      <c r="H881" t="s">
        <v>44</v>
      </c>
      <c r="I881">
        <v>12</v>
      </c>
      <c r="J881">
        <v>300.58</v>
      </c>
      <c r="K881">
        <v>0</v>
      </c>
      <c r="L881">
        <v>3606.96</v>
      </c>
      <c r="M881">
        <v>2316.9499999999998</v>
      </c>
      <c r="N881">
        <v>1290.01</v>
      </c>
      <c r="O881" t="s">
        <v>24</v>
      </c>
      <c r="P881">
        <v>2</v>
      </c>
      <c r="Q881" t="str">
        <f t="shared" si="78"/>
        <v>July</v>
      </c>
      <c r="R881" t="str">
        <f t="shared" si="79"/>
        <v>Q3</v>
      </c>
      <c r="S881">
        <f t="shared" si="80"/>
        <v>2024</v>
      </c>
      <c r="T881">
        <f t="shared" si="81"/>
        <v>422907.60000000003</v>
      </c>
      <c r="U881">
        <f t="shared" si="82"/>
        <v>140923.46000000005</v>
      </c>
      <c r="V881">
        <f t="shared" si="83"/>
        <v>2.0009737200605202</v>
      </c>
    </row>
    <row r="882" spans="1:22" x14ac:dyDescent="0.35">
      <c r="A882" t="s">
        <v>1826</v>
      </c>
      <c r="B882" s="1">
        <v>45622</v>
      </c>
      <c r="C882" t="s">
        <v>1827</v>
      </c>
      <c r="D882" t="s">
        <v>37</v>
      </c>
      <c r="E882" t="s">
        <v>30</v>
      </c>
      <c r="F882" t="s">
        <v>39</v>
      </c>
      <c r="G882" t="s">
        <v>60</v>
      </c>
      <c r="H882" t="s">
        <v>119</v>
      </c>
      <c r="I882">
        <v>10</v>
      </c>
      <c r="J882">
        <v>569.63</v>
      </c>
      <c r="K882">
        <v>0.1</v>
      </c>
      <c r="L882">
        <v>5126.67</v>
      </c>
      <c r="M882">
        <v>3821.21</v>
      </c>
      <c r="N882">
        <v>1305.46</v>
      </c>
      <c r="O882" t="s">
        <v>24</v>
      </c>
      <c r="P882">
        <v>4</v>
      </c>
      <c r="Q882" t="str">
        <f t="shared" si="78"/>
        <v>November</v>
      </c>
      <c r="R882" t="str">
        <f t="shared" si="79"/>
        <v>Q4</v>
      </c>
      <c r="S882">
        <f t="shared" si="80"/>
        <v>2024</v>
      </c>
      <c r="T882">
        <f t="shared" si="81"/>
        <v>419300.64</v>
      </c>
      <c r="U882">
        <f t="shared" si="82"/>
        <v>139633.45000000001</v>
      </c>
      <c r="V882">
        <f t="shared" si="83"/>
        <v>2.0028667199729004</v>
      </c>
    </row>
    <row r="883" spans="1:22" x14ac:dyDescent="0.35">
      <c r="A883" t="s">
        <v>1828</v>
      </c>
      <c r="B883" s="1">
        <v>45497</v>
      </c>
      <c r="C883" t="s">
        <v>1829</v>
      </c>
      <c r="D883" t="s">
        <v>66</v>
      </c>
      <c r="E883" t="s">
        <v>85</v>
      </c>
      <c r="F883" t="s">
        <v>31</v>
      </c>
      <c r="G883" t="s">
        <v>60</v>
      </c>
      <c r="H883" t="s">
        <v>110</v>
      </c>
      <c r="I883">
        <v>7</v>
      </c>
      <c r="J883">
        <v>714.43</v>
      </c>
      <c r="K883">
        <v>0.1</v>
      </c>
      <c r="L883">
        <v>4500.91</v>
      </c>
      <c r="M883">
        <v>3094.07</v>
      </c>
      <c r="N883">
        <v>1406.84</v>
      </c>
      <c r="O883" t="s">
        <v>62</v>
      </c>
      <c r="P883">
        <v>2</v>
      </c>
      <c r="Q883" t="str">
        <f t="shared" si="78"/>
        <v>July</v>
      </c>
      <c r="R883" t="str">
        <f t="shared" si="79"/>
        <v>Q3</v>
      </c>
      <c r="S883">
        <f t="shared" si="80"/>
        <v>2024</v>
      </c>
      <c r="T883">
        <f t="shared" si="81"/>
        <v>414173.97</v>
      </c>
      <c r="U883">
        <f t="shared" si="82"/>
        <v>138327.99</v>
      </c>
      <c r="V883">
        <f t="shared" si="83"/>
        <v>1.9941443521300353</v>
      </c>
    </row>
    <row r="884" spans="1:22" x14ac:dyDescent="0.35">
      <c r="A884" t="s">
        <v>1830</v>
      </c>
      <c r="B884" s="1">
        <v>45331</v>
      </c>
      <c r="C884" t="s">
        <v>1831</v>
      </c>
      <c r="D884" t="s">
        <v>19</v>
      </c>
      <c r="E884" t="s">
        <v>85</v>
      </c>
      <c r="F884" t="s">
        <v>39</v>
      </c>
      <c r="G884" t="s">
        <v>79</v>
      </c>
      <c r="H884" t="s">
        <v>89</v>
      </c>
      <c r="I884">
        <v>7</v>
      </c>
      <c r="J884">
        <v>591.08000000000004</v>
      </c>
      <c r="K884">
        <v>0.1</v>
      </c>
      <c r="L884">
        <v>3723.8</v>
      </c>
      <c r="M884">
        <v>3102.9</v>
      </c>
      <c r="N884">
        <v>620.9</v>
      </c>
      <c r="O884" t="s">
        <v>62</v>
      </c>
      <c r="P884">
        <v>2</v>
      </c>
      <c r="Q884" t="str">
        <f t="shared" si="78"/>
        <v>February</v>
      </c>
      <c r="R884" t="str">
        <f t="shared" si="79"/>
        <v>Q1</v>
      </c>
      <c r="S884">
        <f t="shared" si="80"/>
        <v>2024</v>
      </c>
      <c r="T884">
        <f t="shared" si="81"/>
        <v>409673.06</v>
      </c>
      <c r="U884">
        <f t="shared" si="82"/>
        <v>136921.14999999997</v>
      </c>
      <c r="V884">
        <f t="shared" si="83"/>
        <v>1.9920363654555933</v>
      </c>
    </row>
    <row r="885" spans="1:22" x14ac:dyDescent="0.35">
      <c r="A885" t="s">
        <v>1832</v>
      </c>
      <c r="B885" s="1">
        <v>45349</v>
      </c>
      <c r="C885" t="s">
        <v>1833</v>
      </c>
      <c r="D885" t="s">
        <v>37</v>
      </c>
      <c r="E885" t="s">
        <v>20</v>
      </c>
      <c r="F885" t="s">
        <v>39</v>
      </c>
      <c r="G885" t="s">
        <v>60</v>
      </c>
      <c r="H885" t="s">
        <v>110</v>
      </c>
      <c r="I885">
        <v>3</v>
      </c>
      <c r="J885">
        <v>12.49</v>
      </c>
      <c r="K885">
        <v>0.15</v>
      </c>
      <c r="L885">
        <v>31.85</v>
      </c>
      <c r="M885">
        <v>17.27</v>
      </c>
      <c r="N885">
        <v>14.58</v>
      </c>
      <c r="O885" t="s">
        <v>24</v>
      </c>
      <c r="P885">
        <v>3</v>
      </c>
      <c r="Q885" t="str">
        <f t="shared" si="78"/>
        <v>February</v>
      </c>
      <c r="R885" t="str">
        <f t="shared" si="79"/>
        <v>Q1</v>
      </c>
      <c r="S885">
        <f t="shared" si="80"/>
        <v>2024</v>
      </c>
      <c r="T885">
        <f t="shared" si="81"/>
        <v>405949.26</v>
      </c>
      <c r="U885">
        <f t="shared" si="82"/>
        <v>136300.24999999997</v>
      </c>
      <c r="V885">
        <f t="shared" si="83"/>
        <v>1.9783456743476264</v>
      </c>
    </row>
    <row r="886" spans="1:22" x14ac:dyDescent="0.35">
      <c r="A886" t="s">
        <v>1834</v>
      </c>
      <c r="B886" s="1">
        <v>45573</v>
      </c>
      <c r="C886" t="s">
        <v>1835</v>
      </c>
      <c r="D886" t="s">
        <v>37</v>
      </c>
      <c r="E886" t="s">
        <v>98</v>
      </c>
      <c r="F886" t="s">
        <v>21</v>
      </c>
      <c r="G886" t="s">
        <v>60</v>
      </c>
      <c r="H886" t="s">
        <v>61</v>
      </c>
      <c r="I886">
        <v>5</v>
      </c>
      <c r="J886">
        <v>584.96</v>
      </c>
      <c r="K886">
        <v>0.1</v>
      </c>
      <c r="L886">
        <v>2632.32</v>
      </c>
      <c r="M886">
        <v>1922.78</v>
      </c>
      <c r="N886">
        <v>709.54</v>
      </c>
      <c r="O886" t="s">
        <v>51</v>
      </c>
      <c r="P886">
        <v>2</v>
      </c>
      <c r="Q886" t="str">
        <f t="shared" si="78"/>
        <v>October</v>
      </c>
      <c r="R886" t="str">
        <f t="shared" si="79"/>
        <v>Q4</v>
      </c>
      <c r="S886">
        <f t="shared" si="80"/>
        <v>2024</v>
      </c>
      <c r="T886">
        <f t="shared" si="81"/>
        <v>405917.41000000003</v>
      </c>
      <c r="U886">
        <f t="shared" si="82"/>
        <v>136285.66999999995</v>
      </c>
      <c r="V886">
        <f t="shared" si="83"/>
        <v>1.9784306009575343</v>
      </c>
    </row>
    <row r="887" spans="1:22" x14ac:dyDescent="0.35">
      <c r="A887" t="s">
        <v>1836</v>
      </c>
      <c r="B887" s="1">
        <v>45467</v>
      </c>
      <c r="C887" t="s">
        <v>1837</v>
      </c>
      <c r="D887" t="s">
        <v>37</v>
      </c>
      <c r="E887" t="s">
        <v>38</v>
      </c>
      <c r="F887" t="s">
        <v>39</v>
      </c>
      <c r="G887" t="s">
        <v>60</v>
      </c>
      <c r="H887" t="s">
        <v>119</v>
      </c>
      <c r="I887">
        <v>12</v>
      </c>
      <c r="J887">
        <v>38.58</v>
      </c>
      <c r="K887">
        <v>0.15</v>
      </c>
      <c r="L887">
        <v>393.52</v>
      </c>
      <c r="M887">
        <v>317.29000000000002</v>
      </c>
      <c r="N887">
        <v>76.23</v>
      </c>
      <c r="O887" t="s">
        <v>33</v>
      </c>
      <c r="P887">
        <v>4</v>
      </c>
      <c r="Q887" t="str">
        <f t="shared" si="78"/>
        <v>June</v>
      </c>
      <c r="R887" t="str">
        <f t="shared" si="79"/>
        <v>Q2</v>
      </c>
      <c r="S887">
        <f t="shared" si="80"/>
        <v>2024</v>
      </c>
      <c r="T887">
        <f t="shared" si="81"/>
        <v>403285.09</v>
      </c>
      <c r="U887">
        <f t="shared" si="82"/>
        <v>135576.12999999998</v>
      </c>
      <c r="V887">
        <f t="shared" si="83"/>
        <v>1.9746024613624842</v>
      </c>
    </row>
    <row r="888" spans="1:22" x14ac:dyDescent="0.35">
      <c r="A888" t="s">
        <v>1838</v>
      </c>
      <c r="B888" s="1">
        <v>45550</v>
      </c>
      <c r="C888" t="s">
        <v>1839</v>
      </c>
      <c r="D888" t="s">
        <v>37</v>
      </c>
      <c r="E888" t="s">
        <v>85</v>
      </c>
      <c r="F888" t="s">
        <v>39</v>
      </c>
      <c r="G888" t="s">
        <v>60</v>
      </c>
      <c r="H888" t="s">
        <v>110</v>
      </c>
      <c r="I888">
        <v>11</v>
      </c>
      <c r="J888">
        <v>213.05</v>
      </c>
      <c r="K888">
        <v>0.15</v>
      </c>
      <c r="L888">
        <v>1992.02</v>
      </c>
      <c r="M888">
        <v>1411.87</v>
      </c>
      <c r="N888">
        <v>580.15</v>
      </c>
      <c r="O888" t="s">
        <v>51</v>
      </c>
      <c r="P888">
        <v>5</v>
      </c>
      <c r="Q888" t="str">
        <f t="shared" si="78"/>
        <v>September</v>
      </c>
      <c r="R888" t="str">
        <f t="shared" si="79"/>
        <v>Q3</v>
      </c>
      <c r="S888">
        <f t="shared" si="80"/>
        <v>2024</v>
      </c>
      <c r="T888">
        <f t="shared" si="81"/>
        <v>402891.57</v>
      </c>
      <c r="U888">
        <f t="shared" si="82"/>
        <v>135499.89999999997</v>
      </c>
      <c r="V888">
        <f t="shared" si="83"/>
        <v>1.9733717146654728</v>
      </c>
    </row>
    <row r="889" spans="1:22" x14ac:dyDescent="0.35">
      <c r="A889" t="s">
        <v>1840</v>
      </c>
      <c r="B889" s="1">
        <v>45468</v>
      </c>
      <c r="C889" t="s">
        <v>1841</v>
      </c>
      <c r="D889" t="s">
        <v>49</v>
      </c>
      <c r="E889" t="s">
        <v>98</v>
      </c>
      <c r="F889" t="s">
        <v>31</v>
      </c>
      <c r="G889" t="s">
        <v>43</v>
      </c>
      <c r="H889" t="s">
        <v>173</v>
      </c>
      <c r="I889">
        <v>5</v>
      </c>
      <c r="J889">
        <v>432.05</v>
      </c>
      <c r="K889">
        <v>0</v>
      </c>
      <c r="L889">
        <v>2160.25</v>
      </c>
      <c r="M889">
        <v>1727.6</v>
      </c>
      <c r="N889">
        <v>432.65</v>
      </c>
      <c r="O889" t="s">
        <v>24</v>
      </c>
      <c r="P889">
        <v>1</v>
      </c>
      <c r="Q889" t="str">
        <f t="shared" si="78"/>
        <v>June</v>
      </c>
      <c r="R889" t="str">
        <f t="shared" si="79"/>
        <v>Q2</v>
      </c>
      <c r="S889">
        <f t="shared" si="80"/>
        <v>2024</v>
      </c>
      <c r="T889">
        <f t="shared" si="81"/>
        <v>400899.55</v>
      </c>
      <c r="U889">
        <f t="shared" si="82"/>
        <v>134919.74999999997</v>
      </c>
      <c r="V889">
        <f t="shared" si="83"/>
        <v>1.9713926241339768</v>
      </c>
    </row>
    <row r="890" spans="1:22" x14ac:dyDescent="0.35">
      <c r="A890" t="s">
        <v>1842</v>
      </c>
      <c r="B890" s="1">
        <v>45472</v>
      </c>
      <c r="C890" t="s">
        <v>1843</v>
      </c>
      <c r="D890" t="s">
        <v>49</v>
      </c>
      <c r="E890" t="s">
        <v>38</v>
      </c>
      <c r="F890" t="s">
        <v>31</v>
      </c>
      <c r="G890" t="s">
        <v>60</v>
      </c>
      <c r="H890" t="s">
        <v>119</v>
      </c>
      <c r="I890">
        <v>2</v>
      </c>
      <c r="J890">
        <v>744.64</v>
      </c>
      <c r="K890">
        <v>0.15</v>
      </c>
      <c r="L890">
        <v>1265.8900000000001</v>
      </c>
      <c r="M890">
        <v>921.12</v>
      </c>
      <c r="N890">
        <v>344.77</v>
      </c>
      <c r="O890" t="s">
        <v>62</v>
      </c>
      <c r="P890">
        <v>1</v>
      </c>
      <c r="Q890" t="str">
        <f t="shared" si="78"/>
        <v>June</v>
      </c>
      <c r="R890" t="str">
        <f t="shared" si="79"/>
        <v>Q2</v>
      </c>
      <c r="S890">
        <f t="shared" si="80"/>
        <v>2024</v>
      </c>
      <c r="T890">
        <f t="shared" si="81"/>
        <v>398739.3</v>
      </c>
      <c r="U890">
        <f t="shared" si="82"/>
        <v>134487.09999999998</v>
      </c>
      <c r="V890">
        <f t="shared" si="83"/>
        <v>1.9648888257684198</v>
      </c>
    </row>
    <row r="891" spans="1:22" x14ac:dyDescent="0.35">
      <c r="A891" t="s">
        <v>1844</v>
      </c>
      <c r="B891" s="1">
        <v>45448</v>
      </c>
      <c r="C891" t="s">
        <v>1845</v>
      </c>
      <c r="D891" t="s">
        <v>37</v>
      </c>
      <c r="E891" t="s">
        <v>38</v>
      </c>
      <c r="F891" t="s">
        <v>39</v>
      </c>
      <c r="G891" t="s">
        <v>22</v>
      </c>
      <c r="H891" t="s">
        <v>124</v>
      </c>
      <c r="I891">
        <v>6</v>
      </c>
      <c r="J891">
        <v>351.21</v>
      </c>
      <c r="K891">
        <v>0.15</v>
      </c>
      <c r="L891">
        <v>1791.17</v>
      </c>
      <c r="M891">
        <v>1161.8</v>
      </c>
      <c r="N891">
        <v>629.37</v>
      </c>
      <c r="O891" t="s">
        <v>33</v>
      </c>
      <c r="P891">
        <v>2</v>
      </c>
      <c r="Q891" t="str">
        <f t="shared" si="78"/>
        <v>June</v>
      </c>
      <c r="R891" t="str">
        <f t="shared" si="79"/>
        <v>Q2</v>
      </c>
      <c r="S891">
        <f t="shared" si="80"/>
        <v>2024</v>
      </c>
      <c r="T891">
        <f t="shared" si="81"/>
        <v>397473.41</v>
      </c>
      <c r="U891">
        <f t="shared" si="82"/>
        <v>134142.32999999999</v>
      </c>
      <c r="V891">
        <f t="shared" si="83"/>
        <v>1.9630722084520225</v>
      </c>
    </row>
    <row r="892" spans="1:22" x14ac:dyDescent="0.35">
      <c r="A892" t="s">
        <v>1846</v>
      </c>
      <c r="B892" s="1">
        <v>45293</v>
      </c>
      <c r="C892" t="s">
        <v>1847</v>
      </c>
      <c r="D892" t="s">
        <v>19</v>
      </c>
      <c r="E892" t="s">
        <v>85</v>
      </c>
      <c r="F892" t="s">
        <v>39</v>
      </c>
      <c r="G892" t="s">
        <v>43</v>
      </c>
      <c r="H892" t="s">
        <v>173</v>
      </c>
      <c r="I892">
        <v>1</v>
      </c>
      <c r="J892">
        <v>899.39</v>
      </c>
      <c r="K892">
        <v>0.05</v>
      </c>
      <c r="L892">
        <v>854.42</v>
      </c>
      <c r="M892">
        <v>592.88</v>
      </c>
      <c r="N892">
        <v>261.54000000000002</v>
      </c>
      <c r="O892" t="s">
        <v>33</v>
      </c>
      <c r="P892">
        <v>5</v>
      </c>
      <c r="Q892" t="str">
        <f t="shared" si="78"/>
        <v>January</v>
      </c>
      <c r="R892" t="str">
        <f t="shared" si="79"/>
        <v>Q1</v>
      </c>
      <c r="S892">
        <f t="shared" si="80"/>
        <v>2024</v>
      </c>
      <c r="T892">
        <f t="shared" si="81"/>
        <v>395682.23999999993</v>
      </c>
      <c r="U892">
        <f t="shared" si="82"/>
        <v>133512.95999999996</v>
      </c>
      <c r="V892">
        <f t="shared" si="83"/>
        <v>1.9636242054703905</v>
      </c>
    </row>
    <row r="893" spans="1:22" x14ac:dyDescent="0.35">
      <c r="A893" t="s">
        <v>1848</v>
      </c>
      <c r="B893" s="1">
        <v>45534</v>
      </c>
      <c r="C893" t="s">
        <v>1849</v>
      </c>
      <c r="D893" t="s">
        <v>19</v>
      </c>
      <c r="E893" t="s">
        <v>85</v>
      </c>
      <c r="F893" t="s">
        <v>21</v>
      </c>
      <c r="G893" t="s">
        <v>22</v>
      </c>
      <c r="H893" t="s">
        <v>32</v>
      </c>
      <c r="I893">
        <v>5</v>
      </c>
      <c r="J893">
        <v>880.83</v>
      </c>
      <c r="K893">
        <v>0.1</v>
      </c>
      <c r="L893">
        <v>3963.74</v>
      </c>
      <c r="M893">
        <v>2803.95</v>
      </c>
      <c r="N893">
        <v>1159.79</v>
      </c>
      <c r="O893" t="s">
        <v>24</v>
      </c>
      <c r="P893">
        <v>5</v>
      </c>
      <c r="Q893" t="str">
        <f t="shared" si="78"/>
        <v>August</v>
      </c>
      <c r="R893" t="str">
        <f t="shared" si="79"/>
        <v>Q3</v>
      </c>
      <c r="S893">
        <f t="shared" si="80"/>
        <v>2024</v>
      </c>
      <c r="T893">
        <f t="shared" si="81"/>
        <v>394827.81999999995</v>
      </c>
      <c r="U893">
        <f t="shared" si="82"/>
        <v>133251.41999999995</v>
      </c>
      <c r="V893">
        <f t="shared" si="83"/>
        <v>1.9630289868580768</v>
      </c>
    </row>
    <row r="894" spans="1:22" x14ac:dyDescent="0.35">
      <c r="A894" t="s">
        <v>1850</v>
      </c>
      <c r="B894" s="1">
        <v>45611</v>
      </c>
      <c r="C894" t="s">
        <v>1851</v>
      </c>
      <c r="D894" t="s">
        <v>66</v>
      </c>
      <c r="E894" t="s">
        <v>85</v>
      </c>
      <c r="F894" t="s">
        <v>31</v>
      </c>
      <c r="G894" t="s">
        <v>60</v>
      </c>
      <c r="H894" t="s">
        <v>61</v>
      </c>
      <c r="I894">
        <v>9</v>
      </c>
      <c r="J894">
        <v>925.91</v>
      </c>
      <c r="K894">
        <v>0.15</v>
      </c>
      <c r="L894">
        <v>7083.21</v>
      </c>
      <c r="M894">
        <v>3953.46</v>
      </c>
      <c r="N894">
        <v>3129.75</v>
      </c>
      <c r="O894" t="s">
        <v>33</v>
      </c>
      <c r="P894">
        <v>1</v>
      </c>
      <c r="Q894" t="str">
        <f t="shared" si="78"/>
        <v>November</v>
      </c>
      <c r="R894" t="str">
        <f t="shared" si="79"/>
        <v>Q4</v>
      </c>
      <c r="S894">
        <f t="shared" si="80"/>
        <v>2024</v>
      </c>
      <c r="T894">
        <f t="shared" si="81"/>
        <v>390864.07999999996</v>
      </c>
      <c r="U894">
        <f t="shared" si="82"/>
        <v>132091.62999999998</v>
      </c>
      <c r="V894">
        <f t="shared" si="83"/>
        <v>1.9590374499883152</v>
      </c>
    </row>
    <row r="895" spans="1:22" x14ac:dyDescent="0.35">
      <c r="A895" t="s">
        <v>1852</v>
      </c>
      <c r="B895" s="1">
        <v>45414</v>
      </c>
      <c r="C895" t="s">
        <v>1853</v>
      </c>
      <c r="D895" t="s">
        <v>37</v>
      </c>
      <c r="E895" t="s">
        <v>20</v>
      </c>
      <c r="F895" t="s">
        <v>31</v>
      </c>
      <c r="G895" t="s">
        <v>60</v>
      </c>
      <c r="H895" t="s">
        <v>110</v>
      </c>
      <c r="I895">
        <v>5</v>
      </c>
      <c r="J895">
        <v>894.36</v>
      </c>
      <c r="K895">
        <v>0.15</v>
      </c>
      <c r="L895">
        <v>3801.03</v>
      </c>
      <c r="M895">
        <v>2191.7199999999998</v>
      </c>
      <c r="N895">
        <v>1609.31</v>
      </c>
      <c r="O895" t="s">
        <v>62</v>
      </c>
      <c r="P895">
        <v>4</v>
      </c>
      <c r="Q895" t="str">
        <f t="shared" si="78"/>
        <v>May</v>
      </c>
      <c r="R895" t="str">
        <f t="shared" si="79"/>
        <v>Q2</v>
      </c>
      <c r="S895">
        <f t="shared" si="80"/>
        <v>2024</v>
      </c>
      <c r="T895">
        <f t="shared" si="81"/>
        <v>383780.86999999988</v>
      </c>
      <c r="U895">
        <f t="shared" si="82"/>
        <v>128961.87999999995</v>
      </c>
      <c r="V895">
        <f t="shared" si="83"/>
        <v>1.9759249012188722</v>
      </c>
    </row>
    <row r="896" spans="1:22" x14ac:dyDescent="0.35">
      <c r="A896" t="s">
        <v>1854</v>
      </c>
      <c r="B896" s="1">
        <v>45578</v>
      </c>
      <c r="C896" t="s">
        <v>1855</v>
      </c>
      <c r="D896" t="s">
        <v>49</v>
      </c>
      <c r="E896" t="s">
        <v>98</v>
      </c>
      <c r="F896" t="s">
        <v>31</v>
      </c>
      <c r="G896" t="s">
        <v>43</v>
      </c>
      <c r="H896" t="s">
        <v>173</v>
      </c>
      <c r="I896">
        <v>8</v>
      </c>
      <c r="J896">
        <v>1132.6300000000001</v>
      </c>
      <c r="K896">
        <v>0</v>
      </c>
      <c r="L896">
        <v>9061.0400000000009</v>
      </c>
      <c r="M896">
        <v>4861.25</v>
      </c>
      <c r="N896">
        <v>4199.79</v>
      </c>
      <c r="O896" t="s">
        <v>24</v>
      </c>
      <c r="P896">
        <v>3</v>
      </c>
      <c r="Q896" t="str">
        <f t="shared" si="78"/>
        <v>October</v>
      </c>
      <c r="R896" t="str">
        <f t="shared" si="79"/>
        <v>Q4</v>
      </c>
      <c r="S896">
        <f t="shared" si="80"/>
        <v>2024</v>
      </c>
      <c r="T896">
        <f t="shared" si="81"/>
        <v>379979.83999999991</v>
      </c>
      <c r="U896">
        <f t="shared" si="82"/>
        <v>127352.56999999995</v>
      </c>
      <c r="V896">
        <f t="shared" si="83"/>
        <v>1.9836841141093584</v>
      </c>
    </row>
    <row r="897" spans="1:22" x14ac:dyDescent="0.35">
      <c r="A897" t="s">
        <v>1856</v>
      </c>
      <c r="B897" s="1">
        <v>45555</v>
      </c>
      <c r="C897" t="s">
        <v>1857</v>
      </c>
      <c r="D897" t="s">
        <v>66</v>
      </c>
      <c r="E897" t="s">
        <v>38</v>
      </c>
      <c r="F897" t="s">
        <v>21</v>
      </c>
      <c r="G897" t="s">
        <v>43</v>
      </c>
      <c r="H897" t="s">
        <v>173</v>
      </c>
      <c r="I897">
        <v>7</v>
      </c>
      <c r="J897">
        <v>964.14</v>
      </c>
      <c r="K897">
        <v>0</v>
      </c>
      <c r="L897">
        <v>6748.98</v>
      </c>
      <c r="M897">
        <v>3959.71</v>
      </c>
      <c r="N897">
        <v>2789.27</v>
      </c>
      <c r="O897" t="s">
        <v>51</v>
      </c>
      <c r="P897">
        <v>3</v>
      </c>
      <c r="Q897" t="str">
        <f t="shared" si="78"/>
        <v>September</v>
      </c>
      <c r="R897" t="str">
        <f t="shared" si="79"/>
        <v>Q3</v>
      </c>
      <c r="S897">
        <f t="shared" si="80"/>
        <v>2024</v>
      </c>
      <c r="T897">
        <f t="shared" si="81"/>
        <v>370918.79999999993</v>
      </c>
      <c r="U897">
        <f t="shared" si="82"/>
        <v>123152.77999999996</v>
      </c>
      <c r="V897">
        <f t="shared" si="83"/>
        <v>2.0118589283977193</v>
      </c>
    </row>
    <row r="898" spans="1:22" x14ac:dyDescent="0.35">
      <c r="A898" t="s">
        <v>1858</v>
      </c>
      <c r="B898" s="1">
        <v>45346</v>
      </c>
      <c r="C898" t="s">
        <v>1859</v>
      </c>
      <c r="D898" t="s">
        <v>49</v>
      </c>
      <c r="E898" t="s">
        <v>20</v>
      </c>
      <c r="F898" t="s">
        <v>39</v>
      </c>
      <c r="G898" t="s">
        <v>79</v>
      </c>
      <c r="H898" t="s">
        <v>103</v>
      </c>
      <c r="I898">
        <v>8</v>
      </c>
      <c r="J898">
        <v>909.2</v>
      </c>
      <c r="K898">
        <v>0</v>
      </c>
      <c r="L898">
        <v>7273.6</v>
      </c>
      <c r="M898">
        <v>3985.86</v>
      </c>
      <c r="N898">
        <v>3287.74</v>
      </c>
      <c r="O898" t="s">
        <v>51</v>
      </c>
      <c r="P898">
        <v>3</v>
      </c>
      <c r="Q898" t="str">
        <f t="shared" ref="Q898:Q961" si="84">TEXT(B898,"MMMM")</f>
        <v>February</v>
      </c>
      <c r="R898" t="str">
        <f t="shared" ref="R898:R961" si="85">"Q"&amp;ROUNDUP(MONTH(B898)/3,0)</f>
        <v>Q1</v>
      </c>
      <c r="S898">
        <f t="shared" ref="S898:S961" si="86">YEAR(B898)</f>
        <v>2024</v>
      </c>
      <c r="T898">
        <f t="shared" ref="T898:T961" si="87">SUM(L898:L1897)</f>
        <v>364169.81999999995</v>
      </c>
      <c r="U898">
        <f t="shared" ref="U898:U961" si="88">SUM(N898:N1897)</f>
        <v>120363.50999999994</v>
      </c>
      <c r="V898">
        <f t="shared" ref="V898:V961" si="89">(T898-U898)/U898</f>
        <v>2.02558325193408</v>
      </c>
    </row>
    <row r="899" spans="1:22" x14ac:dyDescent="0.35">
      <c r="A899" t="s">
        <v>1860</v>
      </c>
      <c r="B899" s="1">
        <v>45383</v>
      </c>
      <c r="C899" t="s">
        <v>1861</v>
      </c>
      <c r="D899" t="s">
        <v>37</v>
      </c>
      <c r="E899" t="s">
        <v>30</v>
      </c>
      <c r="F899" t="s">
        <v>39</v>
      </c>
      <c r="G899" t="s">
        <v>43</v>
      </c>
      <c r="H899" t="s">
        <v>173</v>
      </c>
      <c r="I899">
        <v>10</v>
      </c>
      <c r="J899">
        <v>1171.4100000000001</v>
      </c>
      <c r="K899">
        <v>0.05</v>
      </c>
      <c r="L899">
        <v>11128.4</v>
      </c>
      <c r="M899">
        <v>9371.36</v>
      </c>
      <c r="N899">
        <v>1757.04</v>
      </c>
      <c r="O899" t="s">
        <v>62</v>
      </c>
      <c r="P899">
        <v>3</v>
      </c>
      <c r="Q899" t="str">
        <f t="shared" si="84"/>
        <v>April</v>
      </c>
      <c r="R899" t="str">
        <f t="shared" si="85"/>
        <v>Q2</v>
      </c>
      <c r="S899">
        <f t="shared" si="86"/>
        <v>2024</v>
      </c>
      <c r="T899">
        <f t="shared" si="87"/>
        <v>356896.21999999991</v>
      </c>
      <c r="U899">
        <f t="shared" si="88"/>
        <v>117075.76999999993</v>
      </c>
      <c r="V899">
        <f t="shared" si="89"/>
        <v>2.0484208645392648</v>
      </c>
    </row>
    <row r="900" spans="1:22" x14ac:dyDescent="0.35">
      <c r="A900" t="s">
        <v>1862</v>
      </c>
      <c r="B900" s="1">
        <v>45518</v>
      </c>
      <c r="C900" t="s">
        <v>1863</v>
      </c>
      <c r="D900" t="s">
        <v>29</v>
      </c>
      <c r="E900" t="s">
        <v>30</v>
      </c>
      <c r="F900" t="s">
        <v>39</v>
      </c>
      <c r="G900" t="s">
        <v>79</v>
      </c>
      <c r="H900" t="s">
        <v>89</v>
      </c>
      <c r="I900">
        <v>4</v>
      </c>
      <c r="J900">
        <v>191.85</v>
      </c>
      <c r="K900">
        <v>0</v>
      </c>
      <c r="L900">
        <v>767.4</v>
      </c>
      <c r="M900">
        <v>481.24</v>
      </c>
      <c r="N900">
        <v>286.16000000000003</v>
      </c>
      <c r="O900" t="s">
        <v>33</v>
      </c>
      <c r="P900">
        <v>3</v>
      </c>
      <c r="Q900" t="str">
        <f t="shared" si="84"/>
        <v>August</v>
      </c>
      <c r="R900" t="str">
        <f t="shared" si="85"/>
        <v>Q3</v>
      </c>
      <c r="S900">
        <f t="shared" si="86"/>
        <v>2024</v>
      </c>
      <c r="T900">
        <f t="shared" si="87"/>
        <v>345767.81999999995</v>
      </c>
      <c r="U900">
        <f t="shared" si="88"/>
        <v>115318.72999999992</v>
      </c>
      <c r="V900">
        <f t="shared" si="89"/>
        <v>1.9983665272761864</v>
      </c>
    </row>
    <row r="901" spans="1:22" x14ac:dyDescent="0.35">
      <c r="A901" t="s">
        <v>1864</v>
      </c>
      <c r="B901" s="1">
        <v>45338</v>
      </c>
      <c r="C901" t="s">
        <v>1865</v>
      </c>
      <c r="D901" t="s">
        <v>49</v>
      </c>
      <c r="E901" t="s">
        <v>98</v>
      </c>
      <c r="F901" t="s">
        <v>31</v>
      </c>
      <c r="G901" t="s">
        <v>60</v>
      </c>
      <c r="H901" t="s">
        <v>119</v>
      </c>
      <c r="I901">
        <v>5</v>
      </c>
      <c r="J901">
        <v>971.44</v>
      </c>
      <c r="K901">
        <v>0.15</v>
      </c>
      <c r="L901">
        <v>4128.62</v>
      </c>
      <c r="M901">
        <v>2772.24</v>
      </c>
      <c r="N901">
        <v>1356.38</v>
      </c>
      <c r="O901" t="s">
        <v>24</v>
      </c>
      <c r="P901">
        <v>2</v>
      </c>
      <c r="Q901" t="str">
        <f t="shared" si="84"/>
        <v>February</v>
      </c>
      <c r="R901" t="str">
        <f t="shared" si="85"/>
        <v>Q1</v>
      </c>
      <c r="S901">
        <f t="shared" si="86"/>
        <v>2024</v>
      </c>
      <c r="T901">
        <f t="shared" si="87"/>
        <v>345000.41999999993</v>
      </c>
      <c r="U901">
        <f t="shared" si="88"/>
        <v>115032.56999999992</v>
      </c>
      <c r="V901">
        <f t="shared" si="89"/>
        <v>1.9991542395340742</v>
      </c>
    </row>
    <row r="902" spans="1:22" x14ac:dyDescent="0.35">
      <c r="A902" t="s">
        <v>1866</v>
      </c>
      <c r="B902" s="1">
        <v>45476</v>
      </c>
      <c r="C902" t="s">
        <v>1867</v>
      </c>
      <c r="D902" t="s">
        <v>37</v>
      </c>
      <c r="E902" t="s">
        <v>20</v>
      </c>
      <c r="F902" t="s">
        <v>39</v>
      </c>
      <c r="G902" t="s">
        <v>79</v>
      </c>
      <c r="H902" t="s">
        <v>80</v>
      </c>
      <c r="I902">
        <v>2</v>
      </c>
      <c r="J902">
        <v>589.14</v>
      </c>
      <c r="K902">
        <v>0.05</v>
      </c>
      <c r="L902">
        <v>1119.3699999999999</v>
      </c>
      <c r="M902">
        <v>595.12</v>
      </c>
      <c r="N902">
        <v>524.25</v>
      </c>
      <c r="O902" t="s">
        <v>62</v>
      </c>
      <c r="P902">
        <v>5</v>
      </c>
      <c r="Q902" t="str">
        <f t="shared" si="84"/>
        <v>July</v>
      </c>
      <c r="R902" t="str">
        <f t="shared" si="85"/>
        <v>Q3</v>
      </c>
      <c r="S902">
        <f t="shared" si="86"/>
        <v>2024</v>
      </c>
      <c r="T902">
        <f t="shared" si="87"/>
        <v>340871.79999999993</v>
      </c>
      <c r="U902">
        <f t="shared" si="88"/>
        <v>113676.18999999992</v>
      </c>
      <c r="V902">
        <f t="shared" si="89"/>
        <v>1.9986209073333667</v>
      </c>
    </row>
    <row r="903" spans="1:22" x14ac:dyDescent="0.35">
      <c r="A903" t="s">
        <v>1868</v>
      </c>
      <c r="B903" s="1">
        <v>45335</v>
      </c>
      <c r="C903" t="s">
        <v>1869</v>
      </c>
      <c r="D903" t="s">
        <v>19</v>
      </c>
      <c r="E903" t="s">
        <v>20</v>
      </c>
      <c r="F903" t="s">
        <v>21</v>
      </c>
      <c r="G903" t="s">
        <v>22</v>
      </c>
      <c r="H903" t="s">
        <v>124</v>
      </c>
      <c r="I903">
        <v>9</v>
      </c>
      <c r="J903">
        <v>1118.3800000000001</v>
      </c>
      <c r="K903">
        <v>0.15</v>
      </c>
      <c r="L903">
        <v>8555.61</v>
      </c>
      <c r="M903">
        <v>6465.78</v>
      </c>
      <c r="N903">
        <v>2089.83</v>
      </c>
      <c r="O903" t="s">
        <v>51</v>
      </c>
      <c r="P903">
        <v>4</v>
      </c>
      <c r="Q903" t="str">
        <f t="shared" si="84"/>
        <v>February</v>
      </c>
      <c r="R903" t="str">
        <f t="shared" si="85"/>
        <v>Q1</v>
      </c>
      <c r="S903">
        <f t="shared" si="86"/>
        <v>2024</v>
      </c>
      <c r="T903">
        <f t="shared" si="87"/>
        <v>339752.42999999993</v>
      </c>
      <c r="U903">
        <f t="shared" si="88"/>
        <v>113151.93999999992</v>
      </c>
      <c r="V903">
        <f t="shared" si="89"/>
        <v>2.0026213425947463</v>
      </c>
    </row>
    <row r="904" spans="1:22" x14ac:dyDescent="0.35">
      <c r="A904" t="s">
        <v>1870</v>
      </c>
      <c r="B904" s="1">
        <v>45431</v>
      </c>
      <c r="C904" t="s">
        <v>1871</v>
      </c>
      <c r="D904" t="s">
        <v>66</v>
      </c>
      <c r="E904" t="s">
        <v>38</v>
      </c>
      <c r="F904" t="s">
        <v>21</v>
      </c>
      <c r="G904" t="s">
        <v>60</v>
      </c>
      <c r="H904" t="s">
        <v>61</v>
      </c>
      <c r="I904">
        <v>10</v>
      </c>
      <c r="J904">
        <v>1083.4100000000001</v>
      </c>
      <c r="K904">
        <v>0.15</v>
      </c>
      <c r="L904">
        <v>9208.99</v>
      </c>
      <c r="M904">
        <v>4782.2299999999996</v>
      </c>
      <c r="N904">
        <v>4426.76</v>
      </c>
      <c r="O904" t="s">
        <v>24</v>
      </c>
      <c r="P904">
        <v>1</v>
      </c>
      <c r="Q904" t="str">
        <f t="shared" si="84"/>
        <v>May</v>
      </c>
      <c r="R904" t="str">
        <f t="shared" si="85"/>
        <v>Q2</v>
      </c>
      <c r="S904">
        <f t="shared" si="86"/>
        <v>2024</v>
      </c>
      <c r="T904">
        <f t="shared" si="87"/>
        <v>331196.81999999989</v>
      </c>
      <c r="U904">
        <f t="shared" si="88"/>
        <v>111062.10999999991</v>
      </c>
      <c r="V904">
        <f t="shared" si="89"/>
        <v>1.9820865099717639</v>
      </c>
    </row>
    <row r="905" spans="1:22" x14ac:dyDescent="0.35">
      <c r="A905" t="s">
        <v>1872</v>
      </c>
      <c r="B905" s="1">
        <v>45395</v>
      </c>
      <c r="C905" t="s">
        <v>1873</v>
      </c>
      <c r="D905" t="s">
        <v>29</v>
      </c>
      <c r="E905" t="s">
        <v>30</v>
      </c>
      <c r="F905" t="s">
        <v>21</v>
      </c>
      <c r="G905" t="s">
        <v>79</v>
      </c>
      <c r="H905" t="s">
        <v>80</v>
      </c>
      <c r="I905">
        <v>4</v>
      </c>
      <c r="J905">
        <v>1125.8499999999999</v>
      </c>
      <c r="K905">
        <v>0.05</v>
      </c>
      <c r="L905">
        <v>4278.2299999999996</v>
      </c>
      <c r="M905">
        <v>2380.44</v>
      </c>
      <c r="N905">
        <v>1897.79</v>
      </c>
      <c r="O905" t="s">
        <v>24</v>
      </c>
      <c r="P905">
        <v>5</v>
      </c>
      <c r="Q905" t="str">
        <f t="shared" si="84"/>
        <v>April</v>
      </c>
      <c r="R905" t="str">
        <f t="shared" si="85"/>
        <v>Q2</v>
      </c>
      <c r="S905">
        <f t="shared" si="86"/>
        <v>2024</v>
      </c>
      <c r="T905">
        <f t="shared" si="87"/>
        <v>321987.8299999999</v>
      </c>
      <c r="U905">
        <f t="shared" si="88"/>
        <v>106635.34999999995</v>
      </c>
      <c r="V905">
        <f t="shared" si="89"/>
        <v>2.0195224191602508</v>
      </c>
    </row>
    <row r="906" spans="1:22" x14ac:dyDescent="0.35">
      <c r="A906" t="s">
        <v>1874</v>
      </c>
      <c r="B906" s="1">
        <v>45342</v>
      </c>
      <c r="C906" t="s">
        <v>1875</v>
      </c>
      <c r="D906" t="s">
        <v>37</v>
      </c>
      <c r="E906" t="s">
        <v>98</v>
      </c>
      <c r="F906" t="s">
        <v>31</v>
      </c>
      <c r="G906" t="s">
        <v>79</v>
      </c>
      <c r="H906" t="s">
        <v>80</v>
      </c>
      <c r="I906">
        <v>10</v>
      </c>
      <c r="J906">
        <v>449.99</v>
      </c>
      <c r="K906">
        <v>0.1</v>
      </c>
      <c r="L906">
        <v>4049.91</v>
      </c>
      <c r="M906">
        <v>2975.23</v>
      </c>
      <c r="N906">
        <v>1074.68</v>
      </c>
      <c r="O906" t="s">
        <v>24</v>
      </c>
      <c r="P906">
        <v>5</v>
      </c>
      <c r="Q906" t="str">
        <f t="shared" si="84"/>
        <v>February</v>
      </c>
      <c r="R906" t="str">
        <f t="shared" si="85"/>
        <v>Q1</v>
      </c>
      <c r="S906">
        <f t="shared" si="86"/>
        <v>2024</v>
      </c>
      <c r="T906">
        <f t="shared" si="87"/>
        <v>317709.59999999986</v>
      </c>
      <c r="U906">
        <f t="shared" si="88"/>
        <v>104737.55999999994</v>
      </c>
      <c r="V906">
        <f t="shared" si="89"/>
        <v>2.0333874495453212</v>
      </c>
    </row>
    <row r="907" spans="1:22" x14ac:dyDescent="0.35">
      <c r="A907" t="s">
        <v>1876</v>
      </c>
      <c r="B907" s="1">
        <v>45364</v>
      </c>
      <c r="C907" t="s">
        <v>1877</v>
      </c>
      <c r="D907" t="s">
        <v>37</v>
      </c>
      <c r="E907" t="s">
        <v>38</v>
      </c>
      <c r="F907" t="s">
        <v>21</v>
      </c>
      <c r="G907" t="s">
        <v>60</v>
      </c>
      <c r="H907" t="s">
        <v>110</v>
      </c>
      <c r="I907">
        <v>6</v>
      </c>
      <c r="J907">
        <v>309.73</v>
      </c>
      <c r="K907">
        <v>0.15</v>
      </c>
      <c r="L907">
        <v>1579.62</v>
      </c>
      <c r="M907">
        <v>1244.99</v>
      </c>
      <c r="N907">
        <v>334.63</v>
      </c>
      <c r="O907" t="s">
        <v>33</v>
      </c>
      <c r="P907">
        <v>5</v>
      </c>
      <c r="Q907" t="str">
        <f t="shared" si="84"/>
        <v>March</v>
      </c>
      <c r="R907" t="str">
        <f t="shared" si="85"/>
        <v>Q1</v>
      </c>
      <c r="S907">
        <f t="shared" si="86"/>
        <v>2024</v>
      </c>
      <c r="T907">
        <f t="shared" si="87"/>
        <v>313659.68999999989</v>
      </c>
      <c r="U907">
        <f t="shared" si="88"/>
        <v>103662.87999999995</v>
      </c>
      <c r="V907">
        <f t="shared" si="89"/>
        <v>2.0257666968156784</v>
      </c>
    </row>
    <row r="908" spans="1:22" x14ac:dyDescent="0.35">
      <c r="A908" t="s">
        <v>1878</v>
      </c>
      <c r="B908" s="1">
        <v>45355</v>
      </c>
      <c r="C908" t="s">
        <v>1879</v>
      </c>
      <c r="D908" t="s">
        <v>66</v>
      </c>
      <c r="E908" t="s">
        <v>85</v>
      </c>
      <c r="F908" t="s">
        <v>31</v>
      </c>
      <c r="G908" t="s">
        <v>79</v>
      </c>
      <c r="H908" t="s">
        <v>80</v>
      </c>
      <c r="I908">
        <v>7</v>
      </c>
      <c r="J908">
        <v>837.53</v>
      </c>
      <c r="K908">
        <v>0.05</v>
      </c>
      <c r="L908">
        <v>5569.57</v>
      </c>
      <c r="M908">
        <v>3436.97</v>
      </c>
      <c r="N908">
        <v>2132.6</v>
      </c>
      <c r="O908" t="s">
        <v>33</v>
      </c>
      <c r="P908">
        <v>2</v>
      </c>
      <c r="Q908" t="str">
        <f t="shared" si="84"/>
        <v>March</v>
      </c>
      <c r="R908" t="str">
        <f t="shared" si="85"/>
        <v>Q1</v>
      </c>
      <c r="S908">
        <f t="shared" si="86"/>
        <v>2024</v>
      </c>
      <c r="T908">
        <f t="shared" si="87"/>
        <v>312080.06999999989</v>
      </c>
      <c r="U908">
        <f t="shared" si="88"/>
        <v>103328.24999999994</v>
      </c>
      <c r="V908">
        <f t="shared" si="89"/>
        <v>2.0202782878835177</v>
      </c>
    </row>
    <row r="909" spans="1:22" x14ac:dyDescent="0.35">
      <c r="A909" t="s">
        <v>1880</v>
      </c>
      <c r="B909" s="1">
        <v>45417</v>
      </c>
      <c r="C909" t="s">
        <v>1881</v>
      </c>
      <c r="D909" t="s">
        <v>19</v>
      </c>
      <c r="E909" t="s">
        <v>20</v>
      </c>
      <c r="F909" t="s">
        <v>21</v>
      </c>
      <c r="G909" t="s">
        <v>22</v>
      </c>
      <c r="H909" t="s">
        <v>32</v>
      </c>
      <c r="I909">
        <v>2</v>
      </c>
      <c r="J909">
        <v>934.31</v>
      </c>
      <c r="K909">
        <v>0.15</v>
      </c>
      <c r="L909">
        <v>1588.33</v>
      </c>
      <c r="M909">
        <v>971.78</v>
      </c>
      <c r="N909">
        <v>616.54999999999995</v>
      </c>
      <c r="O909" t="s">
        <v>33</v>
      </c>
      <c r="P909">
        <v>5</v>
      </c>
      <c r="Q909" t="str">
        <f t="shared" si="84"/>
        <v>May</v>
      </c>
      <c r="R909" t="str">
        <f t="shared" si="85"/>
        <v>Q2</v>
      </c>
      <c r="S909">
        <f t="shared" si="86"/>
        <v>2024</v>
      </c>
      <c r="T909">
        <f t="shared" si="87"/>
        <v>306510.49999999983</v>
      </c>
      <c r="U909">
        <f t="shared" si="88"/>
        <v>101195.64999999994</v>
      </c>
      <c r="V909">
        <f t="shared" si="89"/>
        <v>2.0288900758085946</v>
      </c>
    </row>
    <row r="910" spans="1:22" x14ac:dyDescent="0.35">
      <c r="A910" t="s">
        <v>1882</v>
      </c>
      <c r="B910" s="1">
        <v>45481</v>
      </c>
      <c r="C910" t="s">
        <v>1883</v>
      </c>
      <c r="D910" t="s">
        <v>66</v>
      </c>
      <c r="E910" t="s">
        <v>30</v>
      </c>
      <c r="F910" t="s">
        <v>39</v>
      </c>
      <c r="G910" t="s">
        <v>60</v>
      </c>
      <c r="H910" t="s">
        <v>110</v>
      </c>
      <c r="I910">
        <v>11</v>
      </c>
      <c r="J910">
        <v>412.73</v>
      </c>
      <c r="K910">
        <v>0.15</v>
      </c>
      <c r="L910">
        <v>3859.03</v>
      </c>
      <c r="M910">
        <v>2148.1999999999998</v>
      </c>
      <c r="N910">
        <v>1710.83</v>
      </c>
      <c r="O910" t="s">
        <v>62</v>
      </c>
      <c r="P910">
        <v>2</v>
      </c>
      <c r="Q910" t="str">
        <f t="shared" si="84"/>
        <v>July</v>
      </c>
      <c r="R910" t="str">
        <f t="shared" si="85"/>
        <v>Q3</v>
      </c>
      <c r="S910">
        <f t="shared" si="86"/>
        <v>2024</v>
      </c>
      <c r="T910">
        <f t="shared" si="87"/>
        <v>304922.16999999981</v>
      </c>
      <c r="U910">
        <f t="shared" si="88"/>
        <v>100579.09999999995</v>
      </c>
      <c r="V910">
        <f t="shared" si="89"/>
        <v>2.0316653260965745</v>
      </c>
    </row>
    <row r="911" spans="1:22" x14ac:dyDescent="0.35">
      <c r="A911" t="s">
        <v>1884</v>
      </c>
      <c r="B911" s="1">
        <v>45473</v>
      </c>
      <c r="C911" t="s">
        <v>1885</v>
      </c>
      <c r="D911" t="s">
        <v>37</v>
      </c>
      <c r="E911" t="s">
        <v>85</v>
      </c>
      <c r="F911" t="s">
        <v>39</v>
      </c>
      <c r="G911" t="s">
        <v>60</v>
      </c>
      <c r="H911" t="s">
        <v>110</v>
      </c>
      <c r="I911">
        <v>5</v>
      </c>
      <c r="J911">
        <v>830.67</v>
      </c>
      <c r="K911">
        <v>0.1</v>
      </c>
      <c r="L911">
        <v>3738.01</v>
      </c>
      <c r="M911">
        <v>2642.18</v>
      </c>
      <c r="N911">
        <v>1095.83</v>
      </c>
      <c r="O911" t="s">
        <v>62</v>
      </c>
      <c r="P911">
        <v>1</v>
      </c>
      <c r="Q911" t="str">
        <f t="shared" si="84"/>
        <v>June</v>
      </c>
      <c r="R911" t="str">
        <f t="shared" si="85"/>
        <v>Q2</v>
      </c>
      <c r="S911">
        <f t="shared" si="86"/>
        <v>2024</v>
      </c>
      <c r="T911">
        <f t="shared" si="87"/>
        <v>301063.13999999984</v>
      </c>
      <c r="U911">
        <f t="shared" si="88"/>
        <v>98868.269999999946</v>
      </c>
      <c r="V911">
        <f t="shared" si="89"/>
        <v>2.0450936382319624</v>
      </c>
    </row>
    <row r="912" spans="1:22" x14ac:dyDescent="0.35">
      <c r="A912" t="s">
        <v>1886</v>
      </c>
      <c r="B912" s="1">
        <v>45618</v>
      </c>
      <c r="C912" t="s">
        <v>1887</v>
      </c>
      <c r="D912" t="s">
        <v>29</v>
      </c>
      <c r="E912" t="s">
        <v>20</v>
      </c>
      <c r="F912" t="s">
        <v>31</v>
      </c>
      <c r="G912" t="s">
        <v>22</v>
      </c>
      <c r="H912" t="s">
        <v>23</v>
      </c>
      <c r="I912">
        <v>4</v>
      </c>
      <c r="J912">
        <v>1161.5</v>
      </c>
      <c r="K912">
        <v>0</v>
      </c>
      <c r="L912">
        <v>4646</v>
      </c>
      <c r="M912">
        <v>3199.05</v>
      </c>
      <c r="N912">
        <v>1446.95</v>
      </c>
      <c r="O912" t="s">
        <v>24</v>
      </c>
      <c r="P912">
        <v>4</v>
      </c>
      <c r="Q912" t="str">
        <f t="shared" si="84"/>
        <v>November</v>
      </c>
      <c r="R912" t="str">
        <f t="shared" si="85"/>
        <v>Q4</v>
      </c>
      <c r="S912">
        <f t="shared" si="86"/>
        <v>2024</v>
      </c>
      <c r="T912">
        <f t="shared" si="87"/>
        <v>297325.12999999983</v>
      </c>
      <c r="U912">
        <f t="shared" si="88"/>
        <v>97772.439999999959</v>
      </c>
      <c r="V912">
        <f t="shared" si="89"/>
        <v>2.040991203656163</v>
      </c>
    </row>
    <row r="913" spans="1:22" x14ac:dyDescent="0.35">
      <c r="A913" t="s">
        <v>1888</v>
      </c>
      <c r="B913" s="1">
        <v>45410</v>
      </c>
      <c r="C913" t="s">
        <v>1889</v>
      </c>
      <c r="D913" t="s">
        <v>66</v>
      </c>
      <c r="E913" t="s">
        <v>98</v>
      </c>
      <c r="F913" t="s">
        <v>39</v>
      </c>
      <c r="G913" t="s">
        <v>22</v>
      </c>
      <c r="H913" t="s">
        <v>124</v>
      </c>
      <c r="I913">
        <v>6</v>
      </c>
      <c r="J913">
        <v>1096.71</v>
      </c>
      <c r="K913">
        <v>0.05</v>
      </c>
      <c r="L913">
        <v>6251.25</v>
      </c>
      <c r="M913">
        <v>4446.6400000000003</v>
      </c>
      <c r="N913">
        <v>1804.61</v>
      </c>
      <c r="O913" t="s">
        <v>33</v>
      </c>
      <c r="P913">
        <v>4</v>
      </c>
      <c r="Q913" t="str">
        <f t="shared" si="84"/>
        <v>April</v>
      </c>
      <c r="R913" t="str">
        <f t="shared" si="85"/>
        <v>Q2</v>
      </c>
      <c r="S913">
        <f t="shared" si="86"/>
        <v>2024</v>
      </c>
      <c r="T913">
        <f t="shared" si="87"/>
        <v>292679.12999999977</v>
      </c>
      <c r="U913">
        <f t="shared" si="88"/>
        <v>96325.489999999962</v>
      </c>
      <c r="V913">
        <f t="shared" si="89"/>
        <v>2.0384390466116487</v>
      </c>
    </row>
    <row r="914" spans="1:22" x14ac:dyDescent="0.35">
      <c r="A914" t="s">
        <v>1890</v>
      </c>
      <c r="B914" s="1">
        <v>45406</v>
      </c>
      <c r="C914" t="s">
        <v>1891</v>
      </c>
      <c r="D914" t="s">
        <v>19</v>
      </c>
      <c r="E914" t="s">
        <v>85</v>
      </c>
      <c r="F914" t="s">
        <v>39</v>
      </c>
      <c r="G914" t="s">
        <v>43</v>
      </c>
      <c r="H914" t="s">
        <v>44</v>
      </c>
      <c r="I914">
        <v>8</v>
      </c>
      <c r="J914">
        <v>545.16999999999996</v>
      </c>
      <c r="K914">
        <v>0</v>
      </c>
      <c r="L914">
        <v>4361.3599999999997</v>
      </c>
      <c r="M914">
        <v>2578.64</v>
      </c>
      <c r="N914">
        <v>1782.72</v>
      </c>
      <c r="O914" t="s">
        <v>24</v>
      </c>
      <c r="P914">
        <v>1</v>
      </c>
      <c r="Q914" t="str">
        <f t="shared" si="84"/>
        <v>April</v>
      </c>
      <c r="R914" t="str">
        <f t="shared" si="85"/>
        <v>Q2</v>
      </c>
      <c r="S914">
        <f t="shared" si="86"/>
        <v>2024</v>
      </c>
      <c r="T914">
        <f t="shared" si="87"/>
        <v>286427.87999999989</v>
      </c>
      <c r="U914">
        <f t="shared" si="88"/>
        <v>94520.87999999999</v>
      </c>
      <c r="V914">
        <f t="shared" si="89"/>
        <v>2.0303133022037025</v>
      </c>
    </row>
    <row r="915" spans="1:22" x14ac:dyDescent="0.35">
      <c r="A915" t="s">
        <v>1892</v>
      </c>
      <c r="B915" s="1">
        <v>45319</v>
      </c>
      <c r="C915" t="s">
        <v>1893</v>
      </c>
      <c r="D915" t="s">
        <v>19</v>
      </c>
      <c r="E915" t="s">
        <v>85</v>
      </c>
      <c r="F915" t="s">
        <v>31</v>
      </c>
      <c r="G915" t="s">
        <v>22</v>
      </c>
      <c r="H915" t="s">
        <v>32</v>
      </c>
      <c r="I915">
        <v>11</v>
      </c>
      <c r="J915">
        <v>591.66</v>
      </c>
      <c r="K915">
        <v>0</v>
      </c>
      <c r="L915">
        <v>6508.26</v>
      </c>
      <c r="M915">
        <v>5443.4</v>
      </c>
      <c r="N915">
        <v>1064.8599999999999</v>
      </c>
      <c r="O915" t="s">
        <v>51</v>
      </c>
      <c r="P915">
        <v>3</v>
      </c>
      <c r="Q915" t="str">
        <f t="shared" si="84"/>
        <v>January</v>
      </c>
      <c r="R915" t="str">
        <f t="shared" si="85"/>
        <v>Q1</v>
      </c>
      <c r="S915">
        <f t="shared" si="86"/>
        <v>2024</v>
      </c>
      <c r="T915">
        <f t="shared" si="87"/>
        <v>282066.5199999999</v>
      </c>
      <c r="U915">
        <f t="shared" si="88"/>
        <v>92738.15999999996</v>
      </c>
      <c r="V915">
        <f t="shared" si="89"/>
        <v>2.0415367309422572</v>
      </c>
    </row>
    <row r="916" spans="1:22" x14ac:dyDescent="0.35">
      <c r="A916" t="s">
        <v>1894</v>
      </c>
      <c r="B916" s="1">
        <v>45309</v>
      </c>
      <c r="C916" t="s">
        <v>1895</v>
      </c>
      <c r="D916" t="s">
        <v>19</v>
      </c>
      <c r="E916" t="s">
        <v>85</v>
      </c>
      <c r="F916" t="s">
        <v>21</v>
      </c>
      <c r="G916" t="s">
        <v>43</v>
      </c>
      <c r="H916" t="s">
        <v>173</v>
      </c>
      <c r="I916">
        <v>5</v>
      </c>
      <c r="J916">
        <v>1015.47</v>
      </c>
      <c r="K916">
        <v>0.15</v>
      </c>
      <c r="L916">
        <v>4315.75</v>
      </c>
      <c r="M916">
        <v>2299.7800000000002</v>
      </c>
      <c r="N916">
        <v>2015.97</v>
      </c>
      <c r="O916" t="s">
        <v>33</v>
      </c>
      <c r="P916">
        <v>2</v>
      </c>
      <c r="Q916" t="str">
        <f t="shared" si="84"/>
        <v>January</v>
      </c>
      <c r="R916" t="str">
        <f t="shared" si="85"/>
        <v>Q1</v>
      </c>
      <c r="S916">
        <f t="shared" si="86"/>
        <v>2024</v>
      </c>
      <c r="T916">
        <f t="shared" si="87"/>
        <v>275558.25999999995</v>
      </c>
      <c r="U916">
        <f t="shared" si="88"/>
        <v>91673.299999999959</v>
      </c>
      <c r="V916">
        <f t="shared" si="89"/>
        <v>2.0058725932196189</v>
      </c>
    </row>
    <row r="917" spans="1:22" x14ac:dyDescent="0.35">
      <c r="A917" t="s">
        <v>1896</v>
      </c>
      <c r="B917" s="1">
        <v>45517</v>
      </c>
      <c r="C917" t="s">
        <v>1897</v>
      </c>
      <c r="D917" t="s">
        <v>37</v>
      </c>
      <c r="E917" t="s">
        <v>20</v>
      </c>
      <c r="F917" t="s">
        <v>21</v>
      </c>
      <c r="G917" t="s">
        <v>60</v>
      </c>
      <c r="H917" t="s">
        <v>119</v>
      </c>
      <c r="I917">
        <v>4</v>
      </c>
      <c r="J917">
        <v>610.29</v>
      </c>
      <c r="K917">
        <v>0</v>
      </c>
      <c r="L917">
        <v>2441.16</v>
      </c>
      <c r="M917">
        <v>1534.43</v>
      </c>
      <c r="N917">
        <v>906.73</v>
      </c>
      <c r="O917" t="s">
        <v>33</v>
      </c>
      <c r="P917">
        <v>1</v>
      </c>
      <c r="Q917" t="str">
        <f t="shared" si="84"/>
        <v>August</v>
      </c>
      <c r="R917" t="str">
        <f t="shared" si="85"/>
        <v>Q3</v>
      </c>
      <c r="S917">
        <f t="shared" si="86"/>
        <v>2024</v>
      </c>
      <c r="T917">
        <f t="shared" si="87"/>
        <v>271242.50999999995</v>
      </c>
      <c r="U917">
        <f t="shared" si="88"/>
        <v>89657.329999999958</v>
      </c>
      <c r="V917">
        <f t="shared" si="89"/>
        <v>2.0253244213272921</v>
      </c>
    </row>
    <row r="918" spans="1:22" x14ac:dyDescent="0.35">
      <c r="A918" t="s">
        <v>1898</v>
      </c>
      <c r="B918" s="1">
        <v>45365</v>
      </c>
      <c r="C918" t="s">
        <v>1899</v>
      </c>
      <c r="D918" t="s">
        <v>29</v>
      </c>
      <c r="E918" t="s">
        <v>38</v>
      </c>
      <c r="F918" t="s">
        <v>39</v>
      </c>
      <c r="G918" t="s">
        <v>60</v>
      </c>
      <c r="H918" t="s">
        <v>61</v>
      </c>
      <c r="I918">
        <v>10</v>
      </c>
      <c r="J918">
        <v>895.05</v>
      </c>
      <c r="K918">
        <v>0.1</v>
      </c>
      <c r="L918">
        <v>8055.45</v>
      </c>
      <c r="M918">
        <v>4536.6000000000004</v>
      </c>
      <c r="N918">
        <v>3518.85</v>
      </c>
      <c r="O918" t="s">
        <v>62</v>
      </c>
      <c r="P918">
        <v>3</v>
      </c>
      <c r="Q918" t="str">
        <f t="shared" si="84"/>
        <v>March</v>
      </c>
      <c r="R918" t="str">
        <f t="shared" si="85"/>
        <v>Q1</v>
      </c>
      <c r="S918">
        <f t="shared" si="86"/>
        <v>2024</v>
      </c>
      <c r="T918">
        <f t="shared" si="87"/>
        <v>268801.34999999998</v>
      </c>
      <c r="U918">
        <f t="shared" si="88"/>
        <v>88750.599999999962</v>
      </c>
      <c r="V918">
        <f t="shared" si="89"/>
        <v>2.0287271297320815</v>
      </c>
    </row>
    <row r="919" spans="1:22" x14ac:dyDescent="0.35">
      <c r="A919" t="s">
        <v>1900</v>
      </c>
      <c r="B919" s="1">
        <v>45525</v>
      </c>
      <c r="C919" t="s">
        <v>1901</v>
      </c>
      <c r="D919" t="s">
        <v>29</v>
      </c>
      <c r="E919" t="s">
        <v>30</v>
      </c>
      <c r="F919" t="s">
        <v>21</v>
      </c>
      <c r="G919" t="s">
        <v>43</v>
      </c>
      <c r="H919" t="s">
        <v>44</v>
      </c>
      <c r="I919">
        <v>2</v>
      </c>
      <c r="J919">
        <v>326.57</v>
      </c>
      <c r="K919">
        <v>0.1</v>
      </c>
      <c r="L919">
        <v>587.83000000000004</v>
      </c>
      <c r="M919">
        <v>494.22</v>
      </c>
      <c r="N919">
        <v>93.61</v>
      </c>
      <c r="O919" t="s">
        <v>62</v>
      </c>
      <c r="P919">
        <v>5</v>
      </c>
      <c r="Q919" t="str">
        <f t="shared" si="84"/>
        <v>August</v>
      </c>
      <c r="R919" t="str">
        <f t="shared" si="85"/>
        <v>Q3</v>
      </c>
      <c r="S919">
        <f t="shared" si="86"/>
        <v>2024</v>
      </c>
      <c r="T919">
        <f t="shared" si="87"/>
        <v>260745.90000000008</v>
      </c>
      <c r="U919">
        <f t="shared" si="88"/>
        <v>85231.749999999971</v>
      </c>
      <c r="V919">
        <f t="shared" si="89"/>
        <v>2.0592578469877734</v>
      </c>
    </row>
    <row r="920" spans="1:22" x14ac:dyDescent="0.35">
      <c r="A920" t="s">
        <v>1902</v>
      </c>
      <c r="B920" s="1">
        <v>45440</v>
      </c>
      <c r="C920" t="s">
        <v>1903</v>
      </c>
      <c r="D920" t="s">
        <v>19</v>
      </c>
      <c r="E920" t="s">
        <v>30</v>
      </c>
      <c r="F920" t="s">
        <v>39</v>
      </c>
      <c r="G920" t="s">
        <v>43</v>
      </c>
      <c r="H920" t="s">
        <v>44</v>
      </c>
      <c r="I920">
        <v>7</v>
      </c>
      <c r="J920">
        <v>963.02</v>
      </c>
      <c r="K920">
        <v>0.1</v>
      </c>
      <c r="L920">
        <v>6067.03</v>
      </c>
      <c r="M920">
        <v>3261.6</v>
      </c>
      <c r="N920">
        <v>2805.43</v>
      </c>
      <c r="O920" t="s">
        <v>24</v>
      </c>
      <c r="P920">
        <v>3</v>
      </c>
      <c r="Q920" t="str">
        <f t="shared" si="84"/>
        <v>May</v>
      </c>
      <c r="R920" t="str">
        <f t="shared" si="85"/>
        <v>Q2</v>
      </c>
      <c r="S920">
        <f t="shared" si="86"/>
        <v>2024</v>
      </c>
      <c r="T920">
        <f t="shared" si="87"/>
        <v>260158.07000000007</v>
      </c>
      <c r="U920">
        <f t="shared" si="88"/>
        <v>85138.13999999997</v>
      </c>
      <c r="V920">
        <f t="shared" si="89"/>
        <v>2.0557170969438627</v>
      </c>
    </row>
    <row r="921" spans="1:22" x14ac:dyDescent="0.35">
      <c r="A921" t="s">
        <v>1904</v>
      </c>
      <c r="B921" s="1">
        <v>45650</v>
      </c>
      <c r="C921" t="s">
        <v>1905</v>
      </c>
      <c r="D921" t="s">
        <v>37</v>
      </c>
      <c r="E921" t="s">
        <v>38</v>
      </c>
      <c r="F921" t="s">
        <v>31</v>
      </c>
      <c r="G921" t="s">
        <v>22</v>
      </c>
      <c r="H921" t="s">
        <v>124</v>
      </c>
      <c r="I921">
        <v>7</v>
      </c>
      <c r="J921">
        <v>866.91</v>
      </c>
      <c r="K921">
        <v>0.05</v>
      </c>
      <c r="L921">
        <v>5764.95</v>
      </c>
      <c r="M921">
        <v>4511.57</v>
      </c>
      <c r="N921">
        <v>1253.3800000000001</v>
      </c>
      <c r="O921" t="s">
        <v>51</v>
      </c>
      <c r="P921">
        <v>4</v>
      </c>
      <c r="Q921" t="str">
        <f t="shared" si="84"/>
        <v>December</v>
      </c>
      <c r="R921" t="str">
        <f t="shared" si="85"/>
        <v>Q4</v>
      </c>
      <c r="S921">
        <f t="shared" si="86"/>
        <v>2024</v>
      </c>
      <c r="T921">
        <f t="shared" si="87"/>
        <v>254091.04000000004</v>
      </c>
      <c r="U921">
        <f t="shared" si="88"/>
        <v>82332.709999999992</v>
      </c>
      <c r="V921">
        <f t="shared" si="89"/>
        <v>2.0861493566773164</v>
      </c>
    </row>
    <row r="922" spans="1:22" x14ac:dyDescent="0.35">
      <c r="A922" t="s">
        <v>1906</v>
      </c>
      <c r="B922" s="1">
        <v>45329</v>
      </c>
      <c r="C922" t="s">
        <v>1907</v>
      </c>
      <c r="D922" t="s">
        <v>49</v>
      </c>
      <c r="E922" t="s">
        <v>30</v>
      </c>
      <c r="F922" t="s">
        <v>39</v>
      </c>
      <c r="G922" t="s">
        <v>79</v>
      </c>
      <c r="H922" t="s">
        <v>80</v>
      </c>
      <c r="I922">
        <v>11</v>
      </c>
      <c r="J922">
        <v>97.39</v>
      </c>
      <c r="K922">
        <v>0.05</v>
      </c>
      <c r="L922">
        <v>1017.73</v>
      </c>
      <c r="M922">
        <v>523.29</v>
      </c>
      <c r="N922">
        <v>494.44</v>
      </c>
      <c r="O922" t="s">
        <v>51</v>
      </c>
      <c r="P922">
        <v>1</v>
      </c>
      <c r="Q922" t="str">
        <f t="shared" si="84"/>
        <v>February</v>
      </c>
      <c r="R922" t="str">
        <f t="shared" si="85"/>
        <v>Q1</v>
      </c>
      <c r="S922">
        <f t="shared" si="86"/>
        <v>2024</v>
      </c>
      <c r="T922">
        <f t="shared" si="87"/>
        <v>248326.09000000008</v>
      </c>
      <c r="U922">
        <f t="shared" si="88"/>
        <v>81079.329999999987</v>
      </c>
      <c r="V922">
        <f t="shared" si="89"/>
        <v>2.062754588623267</v>
      </c>
    </row>
    <row r="923" spans="1:22" x14ac:dyDescent="0.35">
      <c r="A923" t="s">
        <v>1908</v>
      </c>
      <c r="B923" s="1">
        <v>45342</v>
      </c>
      <c r="C923" t="s">
        <v>1909</v>
      </c>
      <c r="D923" t="s">
        <v>29</v>
      </c>
      <c r="E923" t="s">
        <v>85</v>
      </c>
      <c r="F923" t="s">
        <v>31</v>
      </c>
      <c r="G923" t="s">
        <v>60</v>
      </c>
      <c r="H923" t="s">
        <v>61</v>
      </c>
      <c r="I923">
        <v>4</v>
      </c>
      <c r="J923">
        <v>574.34</v>
      </c>
      <c r="K923">
        <v>0</v>
      </c>
      <c r="L923">
        <v>2297.36</v>
      </c>
      <c r="M923">
        <v>1462.99</v>
      </c>
      <c r="N923">
        <v>834.37</v>
      </c>
      <c r="O923" t="s">
        <v>51</v>
      </c>
      <c r="P923">
        <v>1</v>
      </c>
      <c r="Q923" t="str">
        <f t="shared" si="84"/>
        <v>February</v>
      </c>
      <c r="R923" t="str">
        <f t="shared" si="85"/>
        <v>Q1</v>
      </c>
      <c r="S923">
        <f t="shared" si="86"/>
        <v>2024</v>
      </c>
      <c r="T923">
        <f t="shared" si="87"/>
        <v>247308.36000000004</v>
      </c>
      <c r="U923">
        <f t="shared" si="88"/>
        <v>80584.889999999985</v>
      </c>
      <c r="V923">
        <f t="shared" si="89"/>
        <v>2.0689172622808085</v>
      </c>
    </row>
    <row r="924" spans="1:22" x14ac:dyDescent="0.35">
      <c r="A924" t="s">
        <v>1910</v>
      </c>
      <c r="B924" s="1">
        <v>45412</v>
      </c>
      <c r="C924" t="s">
        <v>1911</v>
      </c>
      <c r="D924" t="s">
        <v>49</v>
      </c>
      <c r="E924" t="s">
        <v>30</v>
      </c>
      <c r="F924" t="s">
        <v>31</v>
      </c>
      <c r="G924" t="s">
        <v>22</v>
      </c>
      <c r="H924" t="s">
        <v>124</v>
      </c>
      <c r="I924">
        <v>7</v>
      </c>
      <c r="J924">
        <v>301.74</v>
      </c>
      <c r="K924">
        <v>0.15</v>
      </c>
      <c r="L924">
        <v>1795.35</v>
      </c>
      <c r="M924">
        <v>1054.33</v>
      </c>
      <c r="N924">
        <v>741.02</v>
      </c>
      <c r="O924" t="s">
        <v>51</v>
      </c>
      <c r="P924">
        <v>5</v>
      </c>
      <c r="Q924" t="str">
        <f t="shared" si="84"/>
        <v>April</v>
      </c>
      <c r="R924" t="str">
        <f t="shared" si="85"/>
        <v>Q2</v>
      </c>
      <c r="S924">
        <f t="shared" si="86"/>
        <v>2024</v>
      </c>
      <c r="T924">
        <f t="shared" si="87"/>
        <v>245011.00000000006</v>
      </c>
      <c r="U924">
        <f t="shared" si="88"/>
        <v>79750.52</v>
      </c>
      <c r="V924">
        <f t="shared" si="89"/>
        <v>2.0722182124956681</v>
      </c>
    </row>
    <row r="925" spans="1:22" x14ac:dyDescent="0.35">
      <c r="A925" t="s">
        <v>1912</v>
      </c>
      <c r="B925" s="1">
        <v>45302</v>
      </c>
      <c r="C925" t="s">
        <v>1913</v>
      </c>
      <c r="D925" t="s">
        <v>37</v>
      </c>
      <c r="E925" t="s">
        <v>98</v>
      </c>
      <c r="F925" t="s">
        <v>21</v>
      </c>
      <c r="G925" t="s">
        <v>79</v>
      </c>
      <c r="H925" t="s">
        <v>80</v>
      </c>
      <c r="I925">
        <v>1</v>
      </c>
      <c r="J925">
        <v>338.9</v>
      </c>
      <c r="K925">
        <v>0.15</v>
      </c>
      <c r="L925">
        <v>288.06</v>
      </c>
      <c r="M925">
        <v>167.17</v>
      </c>
      <c r="N925">
        <v>120.89</v>
      </c>
      <c r="O925" t="s">
        <v>62</v>
      </c>
      <c r="P925">
        <v>3</v>
      </c>
      <c r="Q925" t="str">
        <f t="shared" si="84"/>
        <v>January</v>
      </c>
      <c r="R925" t="str">
        <f t="shared" si="85"/>
        <v>Q1</v>
      </c>
      <c r="S925">
        <f t="shared" si="86"/>
        <v>2024</v>
      </c>
      <c r="T925">
        <f t="shared" si="87"/>
        <v>243215.65000000008</v>
      </c>
      <c r="U925">
        <f t="shared" si="88"/>
        <v>79009.5</v>
      </c>
      <c r="V925">
        <f t="shared" si="89"/>
        <v>2.0783089375328294</v>
      </c>
    </row>
    <row r="926" spans="1:22" x14ac:dyDescent="0.35">
      <c r="A926" t="s">
        <v>1914</v>
      </c>
      <c r="B926" s="1">
        <v>45354</v>
      </c>
      <c r="C926" t="s">
        <v>1915</v>
      </c>
      <c r="D926" t="s">
        <v>37</v>
      </c>
      <c r="E926" t="s">
        <v>85</v>
      </c>
      <c r="F926" t="s">
        <v>21</v>
      </c>
      <c r="G926" t="s">
        <v>43</v>
      </c>
      <c r="H926" t="s">
        <v>173</v>
      </c>
      <c r="I926">
        <v>3</v>
      </c>
      <c r="J926">
        <v>195.76</v>
      </c>
      <c r="K926">
        <v>0.1</v>
      </c>
      <c r="L926">
        <v>528.54999999999995</v>
      </c>
      <c r="M926">
        <v>368.26</v>
      </c>
      <c r="N926">
        <v>160.29</v>
      </c>
      <c r="O926" t="s">
        <v>33</v>
      </c>
      <c r="P926">
        <v>4</v>
      </c>
      <c r="Q926" t="str">
        <f t="shared" si="84"/>
        <v>March</v>
      </c>
      <c r="R926" t="str">
        <f t="shared" si="85"/>
        <v>Q1</v>
      </c>
      <c r="S926">
        <f t="shared" si="86"/>
        <v>2024</v>
      </c>
      <c r="T926">
        <f t="shared" si="87"/>
        <v>242927.59000000008</v>
      </c>
      <c r="U926">
        <f t="shared" si="88"/>
        <v>78888.61</v>
      </c>
      <c r="V926">
        <f t="shared" si="89"/>
        <v>2.0793747031415575</v>
      </c>
    </row>
    <row r="927" spans="1:22" x14ac:dyDescent="0.35">
      <c r="A927" t="s">
        <v>1916</v>
      </c>
      <c r="B927" s="1">
        <v>45410</v>
      </c>
      <c r="C927" t="s">
        <v>1917</v>
      </c>
      <c r="D927" t="s">
        <v>49</v>
      </c>
      <c r="E927" t="s">
        <v>30</v>
      </c>
      <c r="F927" t="s">
        <v>21</v>
      </c>
      <c r="G927" t="s">
        <v>22</v>
      </c>
      <c r="H927" t="s">
        <v>124</v>
      </c>
      <c r="I927">
        <v>12</v>
      </c>
      <c r="J927">
        <v>798.11</v>
      </c>
      <c r="K927">
        <v>0.1</v>
      </c>
      <c r="L927">
        <v>8619.59</v>
      </c>
      <c r="M927">
        <v>5067.58</v>
      </c>
      <c r="N927">
        <v>3552.01</v>
      </c>
      <c r="O927" t="s">
        <v>62</v>
      </c>
      <c r="P927">
        <v>2</v>
      </c>
      <c r="Q927" t="str">
        <f t="shared" si="84"/>
        <v>April</v>
      </c>
      <c r="R927" t="str">
        <f t="shared" si="85"/>
        <v>Q2</v>
      </c>
      <c r="S927">
        <f t="shared" si="86"/>
        <v>2024</v>
      </c>
      <c r="T927">
        <f t="shared" si="87"/>
        <v>242399.04000000004</v>
      </c>
      <c r="U927">
        <f t="shared" si="88"/>
        <v>78728.319999999992</v>
      </c>
      <c r="V927">
        <f t="shared" si="89"/>
        <v>2.0789306821230285</v>
      </c>
    </row>
    <row r="928" spans="1:22" x14ac:dyDescent="0.35">
      <c r="A928" t="s">
        <v>1918</v>
      </c>
      <c r="B928" s="1">
        <v>45379</v>
      </c>
      <c r="C928" t="s">
        <v>1919</v>
      </c>
      <c r="D928" t="s">
        <v>66</v>
      </c>
      <c r="E928" t="s">
        <v>30</v>
      </c>
      <c r="F928" t="s">
        <v>21</v>
      </c>
      <c r="G928" t="s">
        <v>79</v>
      </c>
      <c r="H928" t="s">
        <v>89</v>
      </c>
      <c r="I928">
        <v>2</v>
      </c>
      <c r="J928">
        <v>97.87</v>
      </c>
      <c r="K928">
        <v>0.15</v>
      </c>
      <c r="L928">
        <v>166.38</v>
      </c>
      <c r="M928">
        <v>139.83000000000001</v>
      </c>
      <c r="N928">
        <v>26.55</v>
      </c>
      <c r="O928" t="s">
        <v>51</v>
      </c>
      <c r="P928">
        <v>1</v>
      </c>
      <c r="Q928" t="str">
        <f t="shared" si="84"/>
        <v>March</v>
      </c>
      <c r="R928" t="str">
        <f t="shared" si="85"/>
        <v>Q1</v>
      </c>
      <c r="S928">
        <f t="shared" si="86"/>
        <v>2024</v>
      </c>
      <c r="T928">
        <f t="shared" si="87"/>
        <v>233779.45000000007</v>
      </c>
      <c r="U928">
        <f t="shared" si="88"/>
        <v>75176.31</v>
      </c>
      <c r="V928">
        <f t="shared" si="89"/>
        <v>2.1097489355356771</v>
      </c>
    </row>
    <row r="929" spans="1:22" x14ac:dyDescent="0.35">
      <c r="A929" t="s">
        <v>1920</v>
      </c>
      <c r="B929" s="1">
        <v>45526</v>
      </c>
      <c r="C929" t="s">
        <v>1921</v>
      </c>
      <c r="D929" t="s">
        <v>49</v>
      </c>
      <c r="E929" t="s">
        <v>30</v>
      </c>
      <c r="F929" t="s">
        <v>31</v>
      </c>
      <c r="G929" t="s">
        <v>60</v>
      </c>
      <c r="H929" t="s">
        <v>110</v>
      </c>
      <c r="I929">
        <v>7</v>
      </c>
      <c r="J929">
        <v>249.77</v>
      </c>
      <c r="K929">
        <v>0</v>
      </c>
      <c r="L929">
        <v>1748.39</v>
      </c>
      <c r="M929">
        <v>945.94</v>
      </c>
      <c r="N929">
        <v>802.45</v>
      </c>
      <c r="O929" t="s">
        <v>62</v>
      </c>
      <c r="P929">
        <v>3</v>
      </c>
      <c r="Q929" t="str">
        <f t="shared" si="84"/>
        <v>August</v>
      </c>
      <c r="R929" t="str">
        <f t="shared" si="85"/>
        <v>Q3</v>
      </c>
      <c r="S929">
        <f t="shared" si="86"/>
        <v>2024</v>
      </c>
      <c r="T929">
        <f t="shared" si="87"/>
        <v>233613.07000000007</v>
      </c>
      <c r="U929">
        <f t="shared" si="88"/>
        <v>75149.759999999995</v>
      </c>
      <c r="V929">
        <f t="shared" si="89"/>
        <v>2.1086336137334314</v>
      </c>
    </row>
    <row r="930" spans="1:22" x14ac:dyDescent="0.35">
      <c r="A930" t="s">
        <v>1922</v>
      </c>
      <c r="B930" s="1">
        <v>45576</v>
      </c>
      <c r="C930" t="s">
        <v>1923</v>
      </c>
      <c r="D930" t="s">
        <v>49</v>
      </c>
      <c r="E930" t="s">
        <v>85</v>
      </c>
      <c r="F930" t="s">
        <v>21</v>
      </c>
      <c r="G930" t="s">
        <v>22</v>
      </c>
      <c r="H930" t="s">
        <v>74</v>
      </c>
      <c r="I930">
        <v>1</v>
      </c>
      <c r="J930">
        <v>263.86</v>
      </c>
      <c r="K930">
        <v>0</v>
      </c>
      <c r="L930">
        <v>263.86</v>
      </c>
      <c r="M930">
        <v>190.08</v>
      </c>
      <c r="N930">
        <v>73.78</v>
      </c>
      <c r="O930" t="s">
        <v>24</v>
      </c>
      <c r="P930">
        <v>2</v>
      </c>
      <c r="Q930" t="str">
        <f t="shared" si="84"/>
        <v>October</v>
      </c>
      <c r="R930" t="str">
        <f t="shared" si="85"/>
        <v>Q4</v>
      </c>
      <c r="S930">
        <f t="shared" si="86"/>
        <v>2024</v>
      </c>
      <c r="T930">
        <f t="shared" si="87"/>
        <v>231864.68000000005</v>
      </c>
      <c r="U930">
        <f t="shared" si="88"/>
        <v>74347.31</v>
      </c>
      <c r="V930">
        <f t="shared" si="89"/>
        <v>2.1186693909974692</v>
      </c>
    </row>
    <row r="931" spans="1:22" x14ac:dyDescent="0.35">
      <c r="A931" t="s">
        <v>1924</v>
      </c>
      <c r="B931" s="1">
        <v>45474</v>
      </c>
      <c r="C931" t="s">
        <v>1925</v>
      </c>
      <c r="D931" t="s">
        <v>19</v>
      </c>
      <c r="E931" t="s">
        <v>98</v>
      </c>
      <c r="F931" t="s">
        <v>31</v>
      </c>
      <c r="G931" t="s">
        <v>79</v>
      </c>
      <c r="H931" t="s">
        <v>80</v>
      </c>
      <c r="I931">
        <v>9</v>
      </c>
      <c r="J931">
        <v>980.98</v>
      </c>
      <c r="K931">
        <v>0.15</v>
      </c>
      <c r="L931">
        <v>7504.5</v>
      </c>
      <c r="M931">
        <v>5586.01</v>
      </c>
      <c r="N931">
        <v>1918.49</v>
      </c>
      <c r="O931" t="s">
        <v>51</v>
      </c>
      <c r="P931">
        <v>4</v>
      </c>
      <c r="Q931" t="str">
        <f t="shared" si="84"/>
        <v>July</v>
      </c>
      <c r="R931" t="str">
        <f t="shared" si="85"/>
        <v>Q3</v>
      </c>
      <c r="S931">
        <f t="shared" si="86"/>
        <v>2024</v>
      </c>
      <c r="T931">
        <f t="shared" si="87"/>
        <v>231600.82000000007</v>
      </c>
      <c r="U931">
        <f t="shared" si="88"/>
        <v>74273.53</v>
      </c>
      <c r="V931">
        <f t="shared" si="89"/>
        <v>2.1182147933456248</v>
      </c>
    </row>
    <row r="932" spans="1:22" x14ac:dyDescent="0.35">
      <c r="A932" t="s">
        <v>1926</v>
      </c>
      <c r="B932" s="1">
        <v>45453</v>
      </c>
      <c r="C932" t="s">
        <v>1927</v>
      </c>
      <c r="D932" t="s">
        <v>19</v>
      </c>
      <c r="E932" t="s">
        <v>98</v>
      </c>
      <c r="F932" t="s">
        <v>21</v>
      </c>
      <c r="G932" t="s">
        <v>22</v>
      </c>
      <c r="H932" t="s">
        <v>74</v>
      </c>
      <c r="I932">
        <v>8</v>
      </c>
      <c r="J932">
        <v>1073.94</v>
      </c>
      <c r="K932">
        <v>0.1</v>
      </c>
      <c r="L932">
        <v>7732.37</v>
      </c>
      <c r="M932">
        <v>6485.5</v>
      </c>
      <c r="N932">
        <v>1246.8699999999999</v>
      </c>
      <c r="O932" t="s">
        <v>51</v>
      </c>
      <c r="P932">
        <v>3</v>
      </c>
      <c r="Q932" t="str">
        <f t="shared" si="84"/>
        <v>June</v>
      </c>
      <c r="R932" t="str">
        <f t="shared" si="85"/>
        <v>Q2</v>
      </c>
      <c r="S932">
        <f t="shared" si="86"/>
        <v>2024</v>
      </c>
      <c r="T932">
        <f t="shared" si="87"/>
        <v>224096.32</v>
      </c>
      <c r="U932">
        <f t="shared" si="88"/>
        <v>72355.040000000023</v>
      </c>
      <c r="V932">
        <f t="shared" si="89"/>
        <v>2.0971763680871427</v>
      </c>
    </row>
    <row r="933" spans="1:22" x14ac:dyDescent="0.35">
      <c r="A933" t="s">
        <v>1928</v>
      </c>
      <c r="B933" s="1">
        <v>45389</v>
      </c>
      <c r="C933" t="s">
        <v>1929</v>
      </c>
      <c r="D933" t="s">
        <v>49</v>
      </c>
      <c r="E933" t="s">
        <v>98</v>
      </c>
      <c r="F933" t="s">
        <v>21</v>
      </c>
      <c r="G933" t="s">
        <v>79</v>
      </c>
      <c r="H933" t="s">
        <v>80</v>
      </c>
      <c r="I933">
        <v>7</v>
      </c>
      <c r="J933">
        <v>263.14</v>
      </c>
      <c r="K933">
        <v>0.05</v>
      </c>
      <c r="L933">
        <v>1749.88</v>
      </c>
      <c r="M933">
        <v>950.35</v>
      </c>
      <c r="N933">
        <v>799.53</v>
      </c>
      <c r="O933" t="s">
        <v>51</v>
      </c>
      <c r="P933">
        <v>5</v>
      </c>
      <c r="Q933" t="str">
        <f t="shared" si="84"/>
        <v>April</v>
      </c>
      <c r="R933" t="str">
        <f t="shared" si="85"/>
        <v>Q2</v>
      </c>
      <c r="S933">
        <f t="shared" si="86"/>
        <v>2024</v>
      </c>
      <c r="T933">
        <f t="shared" si="87"/>
        <v>216363.95</v>
      </c>
      <c r="U933">
        <f t="shared" si="88"/>
        <v>71108.170000000013</v>
      </c>
      <c r="V933">
        <f t="shared" si="89"/>
        <v>2.0427438928606936</v>
      </c>
    </row>
    <row r="934" spans="1:22" x14ac:dyDescent="0.35">
      <c r="A934" t="s">
        <v>1930</v>
      </c>
      <c r="B934" s="1">
        <v>45446</v>
      </c>
      <c r="C934" t="s">
        <v>1931</v>
      </c>
      <c r="D934" t="s">
        <v>66</v>
      </c>
      <c r="E934" t="s">
        <v>38</v>
      </c>
      <c r="F934" t="s">
        <v>21</v>
      </c>
      <c r="G934" t="s">
        <v>22</v>
      </c>
      <c r="H934" t="s">
        <v>23</v>
      </c>
      <c r="I934">
        <v>12</v>
      </c>
      <c r="J934">
        <v>111.39</v>
      </c>
      <c r="K934">
        <v>0.05</v>
      </c>
      <c r="L934">
        <v>1269.8499999999999</v>
      </c>
      <c r="M934">
        <v>657.02</v>
      </c>
      <c r="N934">
        <v>612.83000000000004</v>
      </c>
      <c r="O934" t="s">
        <v>24</v>
      </c>
      <c r="P934">
        <v>4</v>
      </c>
      <c r="Q934" t="str">
        <f t="shared" si="84"/>
        <v>June</v>
      </c>
      <c r="R934" t="str">
        <f t="shared" si="85"/>
        <v>Q2</v>
      </c>
      <c r="S934">
        <f t="shared" si="86"/>
        <v>2024</v>
      </c>
      <c r="T934">
        <f t="shared" si="87"/>
        <v>214614.07</v>
      </c>
      <c r="U934">
        <f t="shared" si="88"/>
        <v>70308.640000000014</v>
      </c>
      <c r="V934">
        <f t="shared" si="89"/>
        <v>2.0524565686379366</v>
      </c>
    </row>
    <row r="935" spans="1:22" x14ac:dyDescent="0.35">
      <c r="A935" t="s">
        <v>1932</v>
      </c>
      <c r="B935" s="1">
        <v>45516</v>
      </c>
      <c r="C935" t="s">
        <v>1933</v>
      </c>
      <c r="D935" t="s">
        <v>37</v>
      </c>
      <c r="E935" t="s">
        <v>30</v>
      </c>
      <c r="F935" t="s">
        <v>39</v>
      </c>
      <c r="G935" t="s">
        <v>79</v>
      </c>
      <c r="H935" t="s">
        <v>89</v>
      </c>
      <c r="I935">
        <v>10</v>
      </c>
      <c r="J935">
        <v>787.96</v>
      </c>
      <c r="K935">
        <v>0</v>
      </c>
      <c r="L935">
        <v>7879.6</v>
      </c>
      <c r="M935">
        <v>5796.99</v>
      </c>
      <c r="N935">
        <v>2082.61</v>
      </c>
      <c r="O935" t="s">
        <v>51</v>
      </c>
      <c r="P935">
        <v>1</v>
      </c>
      <c r="Q935" t="str">
        <f t="shared" si="84"/>
        <v>August</v>
      </c>
      <c r="R935" t="str">
        <f t="shared" si="85"/>
        <v>Q3</v>
      </c>
      <c r="S935">
        <f t="shared" si="86"/>
        <v>2024</v>
      </c>
      <c r="T935">
        <f t="shared" si="87"/>
        <v>213344.22000000003</v>
      </c>
      <c r="U935">
        <f t="shared" si="88"/>
        <v>69695.810000000027</v>
      </c>
      <c r="V935">
        <f t="shared" si="89"/>
        <v>2.0610766988718541</v>
      </c>
    </row>
    <row r="936" spans="1:22" x14ac:dyDescent="0.35">
      <c r="A936" t="s">
        <v>1934</v>
      </c>
      <c r="B936" s="1">
        <v>45401</v>
      </c>
      <c r="C936" t="s">
        <v>1935</v>
      </c>
      <c r="D936" t="s">
        <v>29</v>
      </c>
      <c r="E936" t="s">
        <v>30</v>
      </c>
      <c r="F936" t="s">
        <v>21</v>
      </c>
      <c r="G936" t="s">
        <v>43</v>
      </c>
      <c r="H936" t="s">
        <v>173</v>
      </c>
      <c r="I936">
        <v>7</v>
      </c>
      <c r="J936">
        <v>704.46</v>
      </c>
      <c r="K936">
        <v>0.1</v>
      </c>
      <c r="L936">
        <v>4438.1000000000004</v>
      </c>
      <c r="M936">
        <v>2935.33</v>
      </c>
      <c r="N936">
        <v>1502.77</v>
      </c>
      <c r="O936" t="s">
        <v>24</v>
      </c>
      <c r="P936">
        <v>2</v>
      </c>
      <c r="Q936" t="str">
        <f t="shared" si="84"/>
        <v>April</v>
      </c>
      <c r="R936" t="str">
        <f t="shared" si="85"/>
        <v>Q2</v>
      </c>
      <c r="S936">
        <f t="shared" si="86"/>
        <v>2024</v>
      </c>
      <c r="T936">
        <f t="shared" si="87"/>
        <v>205464.62000000005</v>
      </c>
      <c r="U936">
        <f t="shared" si="88"/>
        <v>67613.200000000026</v>
      </c>
      <c r="V936">
        <f t="shared" si="89"/>
        <v>2.0388240757721863</v>
      </c>
    </row>
    <row r="937" spans="1:22" x14ac:dyDescent="0.35">
      <c r="A937" t="s">
        <v>1936</v>
      </c>
      <c r="B937" s="1">
        <v>45565</v>
      </c>
      <c r="C937" t="s">
        <v>1937</v>
      </c>
      <c r="D937" t="s">
        <v>49</v>
      </c>
      <c r="E937" t="s">
        <v>38</v>
      </c>
      <c r="F937" t="s">
        <v>31</v>
      </c>
      <c r="G937" t="s">
        <v>60</v>
      </c>
      <c r="H937" t="s">
        <v>61</v>
      </c>
      <c r="I937">
        <v>5</v>
      </c>
      <c r="J937">
        <v>830.11</v>
      </c>
      <c r="K937">
        <v>0</v>
      </c>
      <c r="L937">
        <v>4150.55</v>
      </c>
      <c r="M937">
        <v>2281.9499999999998</v>
      </c>
      <c r="N937">
        <v>1868.6</v>
      </c>
      <c r="O937" t="s">
        <v>24</v>
      </c>
      <c r="P937">
        <v>5</v>
      </c>
      <c r="Q937" t="str">
        <f t="shared" si="84"/>
        <v>September</v>
      </c>
      <c r="R937" t="str">
        <f t="shared" si="85"/>
        <v>Q3</v>
      </c>
      <c r="S937">
        <f t="shared" si="86"/>
        <v>2024</v>
      </c>
      <c r="T937">
        <f t="shared" si="87"/>
        <v>201026.52000000005</v>
      </c>
      <c r="U937">
        <f t="shared" si="88"/>
        <v>66110.430000000037</v>
      </c>
      <c r="V937">
        <f t="shared" si="89"/>
        <v>2.0407686048933571</v>
      </c>
    </row>
    <row r="938" spans="1:22" x14ac:dyDescent="0.35">
      <c r="A938" t="s">
        <v>1938</v>
      </c>
      <c r="B938" s="1">
        <v>45441</v>
      </c>
      <c r="C938" t="s">
        <v>1939</v>
      </c>
      <c r="D938" t="s">
        <v>49</v>
      </c>
      <c r="E938" t="s">
        <v>30</v>
      </c>
      <c r="F938" t="s">
        <v>21</v>
      </c>
      <c r="G938" t="s">
        <v>79</v>
      </c>
      <c r="H938" t="s">
        <v>80</v>
      </c>
      <c r="I938">
        <v>5</v>
      </c>
      <c r="J938">
        <v>80.680000000000007</v>
      </c>
      <c r="K938">
        <v>0.05</v>
      </c>
      <c r="L938">
        <v>383.23</v>
      </c>
      <c r="M938">
        <v>263.10000000000002</v>
      </c>
      <c r="N938">
        <v>120.13</v>
      </c>
      <c r="O938" t="s">
        <v>62</v>
      </c>
      <c r="P938">
        <v>3</v>
      </c>
      <c r="Q938" t="str">
        <f t="shared" si="84"/>
        <v>May</v>
      </c>
      <c r="R938" t="str">
        <f t="shared" si="85"/>
        <v>Q2</v>
      </c>
      <c r="S938">
        <f t="shared" si="86"/>
        <v>2024</v>
      </c>
      <c r="T938">
        <f t="shared" si="87"/>
        <v>196875.97000000003</v>
      </c>
      <c r="U938">
        <f t="shared" si="88"/>
        <v>64241.830000000031</v>
      </c>
      <c r="V938">
        <f t="shared" si="89"/>
        <v>2.0646071259178007</v>
      </c>
    </row>
    <row r="939" spans="1:22" x14ac:dyDescent="0.35">
      <c r="A939" t="s">
        <v>1940</v>
      </c>
      <c r="B939" s="1">
        <v>45555</v>
      </c>
      <c r="C939" t="s">
        <v>1941</v>
      </c>
      <c r="D939" t="s">
        <v>66</v>
      </c>
      <c r="E939" t="s">
        <v>38</v>
      </c>
      <c r="F939" t="s">
        <v>39</v>
      </c>
      <c r="G939" t="s">
        <v>79</v>
      </c>
      <c r="H939" t="s">
        <v>80</v>
      </c>
      <c r="I939">
        <v>8</v>
      </c>
      <c r="J939">
        <v>1154.0899999999999</v>
      </c>
      <c r="K939">
        <v>0.05</v>
      </c>
      <c r="L939">
        <v>8771.08</v>
      </c>
      <c r="M939">
        <v>7292.15</v>
      </c>
      <c r="N939">
        <v>1478.93</v>
      </c>
      <c r="O939" t="s">
        <v>24</v>
      </c>
      <c r="P939">
        <v>3</v>
      </c>
      <c r="Q939" t="str">
        <f t="shared" si="84"/>
        <v>September</v>
      </c>
      <c r="R939" t="str">
        <f t="shared" si="85"/>
        <v>Q3</v>
      </c>
      <c r="S939">
        <f t="shared" si="86"/>
        <v>2024</v>
      </c>
      <c r="T939">
        <f t="shared" si="87"/>
        <v>196492.74000000005</v>
      </c>
      <c r="U939">
        <f t="shared" si="88"/>
        <v>64121.700000000033</v>
      </c>
      <c r="V939">
        <f t="shared" si="89"/>
        <v>2.064371967680207</v>
      </c>
    </row>
    <row r="940" spans="1:22" x14ac:dyDescent="0.35">
      <c r="A940" t="s">
        <v>1942</v>
      </c>
      <c r="B940" s="1">
        <v>45337</v>
      </c>
      <c r="C940" t="s">
        <v>1943</v>
      </c>
      <c r="D940" t="s">
        <v>29</v>
      </c>
      <c r="E940" t="s">
        <v>20</v>
      </c>
      <c r="F940" t="s">
        <v>39</v>
      </c>
      <c r="G940" t="s">
        <v>60</v>
      </c>
      <c r="H940" t="s">
        <v>119</v>
      </c>
      <c r="I940">
        <v>10</v>
      </c>
      <c r="J940">
        <v>878.36</v>
      </c>
      <c r="K940">
        <v>0.05</v>
      </c>
      <c r="L940">
        <v>8344.42</v>
      </c>
      <c r="M940">
        <v>6409.24</v>
      </c>
      <c r="N940">
        <v>1935.18</v>
      </c>
      <c r="O940" t="s">
        <v>33</v>
      </c>
      <c r="P940">
        <v>4</v>
      </c>
      <c r="Q940" t="str">
        <f t="shared" si="84"/>
        <v>February</v>
      </c>
      <c r="R940" t="str">
        <f t="shared" si="85"/>
        <v>Q1</v>
      </c>
      <c r="S940">
        <f t="shared" si="86"/>
        <v>2024</v>
      </c>
      <c r="T940">
        <f t="shared" si="87"/>
        <v>187721.66000000006</v>
      </c>
      <c r="U940">
        <f t="shared" si="88"/>
        <v>62642.770000000033</v>
      </c>
      <c r="V940">
        <f t="shared" si="89"/>
        <v>1.9967011356617845</v>
      </c>
    </row>
    <row r="941" spans="1:22" x14ac:dyDescent="0.35">
      <c r="A941" t="s">
        <v>1944</v>
      </c>
      <c r="B941" s="1">
        <v>45375</v>
      </c>
      <c r="C941" t="s">
        <v>1945</v>
      </c>
      <c r="D941" t="s">
        <v>49</v>
      </c>
      <c r="E941" t="s">
        <v>98</v>
      </c>
      <c r="F941" t="s">
        <v>39</v>
      </c>
      <c r="G941" t="s">
        <v>43</v>
      </c>
      <c r="H941" t="s">
        <v>50</v>
      </c>
      <c r="I941">
        <v>10</v>
      </c>
      <c r="J941">
        <v>521.84</v>
      </c>
      <c r="K941">
        <v>0.05</v>
      </c>
      <c r="L941">
        <v>4957.4799999999996</v>
      </c>
      <c r="M941">
        <v>2518.3200000000002</v>
      </c>
      <c r="N941">
        <v>2439.16</v>
      </c>
      <c r="O941" t="s">
        <v>62</v>
      </c>
      <c r="P941">
        <v>5</v>
      </c>
      <c r="Q941" t="str">
        <f t="shared" si="84"/>
        <v>March</v>
      </c>
      <c r="R941" t="str">
        <f t="shared" si="85"/>
        <v>Q1</v>
      </c>
      <c r="S941">
        <f t="shared" si="86"/>
        <v>2024</v>
      </c>
      <c r="T941">
        <f t="shared" si="87"/>
        <v>179377.24000000005</v>
      </c>
      <c r="U941">
        <f t="shared" si="88"/>
        <v>60707.590000000026</v>
      </c>
      <c r="V941">
        <f t="shared" si="89"/>
        <v>1.9547745183098189</v>
      </c>
    </row>
    <row r="942" spans="1:22" x14ac:dyDescent="0.35">
      <c r="A942" t="s">
        <v>1946</v>
      </c>
      <c r="B942" s="1">
        <v>45322</v>
      </c>
      <c r="C942" t="s">
        <v>1947</v>
      </c>
      <c r="D942" t="s">
        <v>37</v>
      </c>
      <c r="E942" t="s">
        <v>85</v>
      </c>
      <c r="F942" t="s">
        <v>31</v>
      </c>
      <c r="G942" t="s">
        <v>79</v>
      </c>
      <c r="H942" t="s">
        <v>89</v>
      </c>
      <c r="I942">
        <v>1</v>
      </c>
      <c r="J942">
        <v>766.41</v>
      </c>
      <c r="K942">
        <v>0</v>
      </c>
      <c r="L942">
        <v>766.41</v>
      </c>
      <c r="M942">
        <v>393.95</v>
      </c>
      <c r="N942">
        <v>372.46</v>
      </c>
      <c r="O942" t="s">
        <v>51</v>
      </c>
      <c r="P942">
        <v>4</v>
      </c>
      <c r="Q942" t="str">
        <f t="shared" si="84"/>
        <v>January</v>
      </c>
      <c r="R942" t="str">
        <f t="shared" si="85"/>
        <v>Q1</v>
      </c>
      <c r="S942">
        <f t="shared" si="86"/>
        <v>2024</v>
      </c>
      <c r="T942">
        <f t="shared" si="87"/>
        <v>174419.76000000004</v>
      </c>
      <c r="U942">
        <f t="shared" si="88"/>
        <v>58268.430000000022</v>
      </c>
      <c r="V942">
        <f t="shared" si="89"/>
        <v>1.9933835526373367</v>
      </c>
    </row>
    <row r="943" spans="1:22" x14ac:dyDescent="0.35">
      <c r="A943" t="s">
        <v>1948</v>
      </c>
      <c r="B943" s="1">
        <v>45594</v>
      </c>
      <c r="C943" t="s">
        <v>1949</v>
      </c>
      <c r="D943" t="s">
        <v>19</v>
      </c>
      <c r="E943" t="s">
        <v>38</v>
      </c>
      <c r="F943" t="s">
        <v>39</v>
      </c>
      <c r="G943" t="s">
        <v>43</v>
      </c>
      <c r="H943" t="s">
        <v>173</v>
      </c>
      <c r="I943">
        <v>5</v>
      </c>
      <c r="J943">
        <v>40.380000000000003</v>
      </c>
      <c r="K943">
        <v>0.1</v>
      </c>
      <c r="L943">
        <v>181.71</v>
      </c>
      <c r="M943">
        <v>126.48</v>
      </c>
      <c r="N943">
        <v>55.23</v>
      </c>
      <c r="O943" t="s">
        <v>33</v>
      </c>
      <c r="P943">
        <v>5</v>
      </c>
      <c r="Q943" t="str">
        <f t="shared" si="84"/>
        <v>October</v>
      </c>
      <c r="R943" t="str">
        <f t="shared" si="85"/>
        <v>Q4</v>
      </c>
      <c r="S943">
        <f t="shared" si="86"/>
        <v>2024</v>
      </c>
      <c r="T943">
        <f t="shared" si="87"/>
        <v>173653.35000000003</v>
      </c>
      <c r="U943">
        <f t="shared" si="88"/>
        <v>57895.970000000023</v>
      </c>
      <c r="V943">
        <f t="shared" si="89"/>
        <v>1.9994030672601213</v>
      </c>
    </row>
    <row r="944" spans="1:22" x14ac:dyDescent="0.35">
      <c r="A944" t="s">
        <v>1950</v>
      </c>
      <c r="B944" s="1">
        <v>45559</v>
      </c>
      <c r="C944" t="s">
        <v>1951</v>
      </c>
      <c r="D944" t="s">
        <v>49</v>
      </c>
      <c r="E944" t="s">
        <v>20</v>
      </c>
      <c r="F944" t="s">
        <v>21</v>
      </c>
      <c r="G944" t="s">
        <v>79</v>
      </c>
      <c r="H944" t="s">
        <v>103</v>
      </c>
      <c r="I944">
        <v>8</v>
      </c>
      <c r="J944">
        <v>705.38</v>
      </c>
      <c r="K944">
        <v>0.05</v>
      </c>
      <c r="L944">
        <v>5360.89</v>
      </c>
      <c r="M944">
        <v>4180.04</v>
      </c>
      <c r="N944">
        <v>1180.8499999999999</v>
      </c>
      <c r="O944" t="s">
        <v>24</v>
      </c>
      <c r="P944">
        <v>4</v>
      </c>
      <c r="Q944" t="str">
        <f t="shared" si="84"/>
        <v>September</v>
      </c>
      <c r="R944" t="str">
        <f t="shared" si="85"/>
        <v>Q3</v>
      </c>
      <c r="S944">
        <f t="shared" si="86"/>
        <v>2024</v>
      </c>
      <c r="T944">
        <f t="shared" si="87"/>
        <v>173471.64000000004</v>
      </c>
      <c r="U944">
        <f t="shared" si="88"/>
        <v>57840.74000000002</v>
      </c>
      <c r="V944">
        <f t="shared" si="89"/>
        <v>1.999125529860095</v>
      </c>
    </row>
    <row r="945" spans="1:22" x14ac:dyDescent="0.35">
      <c r="A945" t="s">
        <v>1952</v>
      </c>
      <c r="B945" s="1">
        <v>45486</v>
      </c>
      <c r="C945" t="s">
        <v>1953</v>
      </c>
      <c r="D945" t="s">
        <v>19</v>
      </c>
      <c r="E945" t="s">
        <v>30</v>
      </c>
      <c r="F945" t="s">
        <v>39</v>
      </c>
      <c r="G945" t="s">
        <v>22</v>
      </c>
      <c r="H945" t="s">
        <v>32</v>
      </c>
      <c r="I945">
        <v>1</v>
      </c>
      <c r="J945">
        <v>1059.57</v>
      </c>
      <c r="K945">
        <v>0.15</v>
      </c>
      <c r="L945">
        <v>900.63</v>
      </c>
      <c r="M945">
        <v>565.25</v>
      </c>
      <c r="N945">
        <v>335.38</v>
      </c>
      <c r="O945" t="s">
        <v>33</v>
      </c>
      <c r="P945">
        <v>2</v>
      </c>
      <c r="Q945" t="str">
        <f t="shared" si="84"/>
        <v>July</v>
      </c>
      <c r="R945" t="str">
        <f t="shared" si="85"/>
        <v>Q3</v>
      </c>
      <c r="S945">
        <f t="shared" si="86"/>
        <v>2024</v>
      </c>
      <c r="T945">
        <f t="shared" si="87"/>
        <v>168110.75000000006</v>
      </c>
      <c r="U945">
        <f t="shared" si="88"/>
        <v>56659.890000000021</v>
      </c>
      <c r="V945">
        <f t="shared" si="89"/>
        <v>1.9670151142192476</v>
      </c>
    </row>
    <row r="946" spans="1:22" x14ac:dyDescent="0.35">
      <c r="A946" t="s">
        <v>1954</v>
      </c>
      <c r="B946" s="1">
        <v>45359</v>
      </c>
      <c r="C946" t="s">
        <v>1955</v>
      </c>
      <c r="D946" t="s">
        <v>19</v>
      </c>
      <c r="E946" t="s">
        <v>30</v>
      </c>
      <c r="F946" t="s">
        <v>21</v>
      </c>
      <c r="G946" t="s">
        <v>60</v>
      </c>
      <c r="H946" t="s">
        <v>119</v>
      </c>
      <c r="I946">
        <v>6</v>
      </c>
      <c r="J946">
        <v>123.69</v>
      </c>
      <c r="K946">
        <v>0.05</v>
      </c>
      <c r="L946">
        <v>705.03</v>
      </c>
      <c r="M946">
        <v>392.28</v>
      </c>
      <c r="N946">
        <v>312.75</v>
      </c>
      <c r="O946" t="s">
        <v>24</v>
      </c>
      <c r="P946">
        <v>4</v>
      </c>
      <c r="Q946" t="str">
        <f t="shared" si="84"/>
        <v>March</v>
      </c>
      <c r="R946" t="str">
        <f t="shared" si="85"/>
        <v>Q1</v>
      </c>
      <c r="S946">
        <f t="shared" si="86"/>
        <v>2024</v>
      </c>
      <c r="T946">
        <f t="shared" si="87"/>
        <v>167210.12000000005</v>
      </c>
      <c r="U946">
        <f t="shared" si="88"/>
        <v>56324.510000000024</v>
      </c>
      <c r="V946">
        <f t="shared" si="89"/>
        <v>1.9686919602141231</v>
      </c>
    </row>
    <row r="947" spans="1:22" x14ac:dyDescent="0.35">
      <c r="A947" t="s">
        <v>1956</v>
      </c>
      <c r="B947" s="1">
        <v>45589</v>
      </c>
      <c r="C947" t="s">
        <v>1957</v>
      </c>
      <c r="D947" t="s">
        <v>49</v>
      </c>
      <c r="E947" t="s">
        <v>85</v>
      </c>
      <c r="F947" t="s">
        <v>21</v>
      </c>
      <c r="G947" t="s">
        <v>43</v>
      </c>
      <c r="H947" t="s">
        <v>173</v>
      </c>
      <c r="I947">
        <v>1</v>
      </c>
      <c r="J947">
        <v>600.09</v>
      </c>
      <c r="K947">
        <v>0.05</v>
      </c>
      <c r="L947">
        <v>570.09</v>
      </c>
      <c r="M947">
        <v>373.35</v>
      </c>
      <c r="N947">
        <v>196.74</v>
      </c>
      <c r="O947" t="s">
        <v>51</v>
      </c>
      <c r="P947">
        <v>1</v>
      </c>
      <c r="Q947" t="str">
        <f t="shared" si="84"/>
        <v>October</v>
      </c>
      <c r="R947" t="str">
        <f t="shared" si="85"/>
        <v>Q4</v>
      </c>
      <c r="S947">
        <f t="shared" si="86"/>
        <v>2024</v>
      </c>
      <c r="T947">
        <f t="shared" si="87"/>
        <v>166505.09000000005</v>
      </c>
      <c r="U947">
        <f t="shared" si="88"/>
        <v>56011.760000000024</v>
      </c>
      <c r="V947">
        <f t="shared" si="89"/>
        <v>1.9726809155791567</v>
      </c>
    </row>
    <row r="948" spans="1:22" x14ac:dyDescent="0.35">
      <c r="A948" t="s">
        <v>1958</v>
      </c>
      <c r="B948" s="1">
        <v>45585</v>
      </c>
      <c r="C948" t="s">
        <v>1959</v>
      </c>
      <c r="D948" t="s">
        <v>66</v>
      </c>
      <c r="E948" t="s">
        <v>85</v>
      </c>
      <c r="F948" t="s">
        <v>31</v>
      </c>
      <c r="G948" t="s">
        <v>43</v>
      </c>
      <c r="H948" t="s">
        <v>173</v>
      </c>
      <c r="I948">
        <v>1</v>
      </c>
      <c r="J948">
        <v>640.80999999999995</v>
      </c>
      <c r="K948">
        <v>0.15</v>
      </c>
      <c r="L948">
        <v>544.69000000000005</v>
      </c>
      <c r="M948">
        <v>347.63</v>
      </c>
      <c r="N948">
        <v>197.06</v>
      </c>
      <c r="O948" t="s">
        <v>51</v>
      </c>
      <c r="P948">
        <v>4</v>
      </c>
      <c r="Q948" t="str">
        <f t="shared" si="84"/>
        <v>October</v>
      </c>
      <c r="R948" t="str">
        <f t="shared" si="85"/>
        <v>Q4</v>
      </c>
      <c r="S948">
        <f t="shared" si="86"/>
        <v>2024</v>
      </c>
      <c r="T948">
        <f t="shared" si="87"/>
        <v>165935.00000000006</v>
      </c>
      <c r="U948">
        <f t="shared" si="88"/>
        <v>55815.020000000019</v>
      </c>
      <c r="V948">
        <f t="shared" si="89"/>
        <v>1.9729452753040311</v>
      </c>
    </row>
    <row r="949" spans="1:22" x14ac:dyDescent="0.35">
      <c r="A949" t="s">
        <v>1960</v>
      </c>
      <c r="B949" s="1">
        <v>45591</v>
      </c>
      <c r="C949" t="s">
        <v>1961</v>
      </c>
      <c r="D949" t="s">
        <v>37</v>
      </c>
      <c r="E949" t="s">
        <v>38</v>
      </c>
      <c r="F949" t="s">
        <v>21</v>
      </c>
      <c r="G949" t="s">
        <v>22</v>
      </c>
      <c r="H949" t="s">
        <v>23</v>
      </c>
      <c r="I949">
        <v>8</v>
      </c>
      <c r="J949">
        <v>346.78</v>
      </c>
      <c r="K949">
        <v>0.05</v>
      </c>
      <c r="L949">
        <v>2635.53</v>
      </c>
      <c r="M949">
        <v>1607.19</v>
      </c>
      <c r="N949">
        <v>1028.3399999999999</v>
      </c>
      <c r="O949" t="s">
        <v>33</v>
      </c>
      <c r="P949">
        <v>1</v>
      </c>
      <c r="Q949" t="str">
        <f t="shared" si="84"/>
        <v>October</v>
      </c>
      <c r="R949" t="str">
        <f t="shared" si="85"/>
        <v>Q4</v>
      </c>
      <c r="S949">
        <f t="shared" si="86"/>
        <v>2024</v>
      </c>
      <c r="T949">
        <f t="shared" si="87"/>
        <v>165390.31000000006</v>
      </c>
      <c r="U949">
        <f t="shared" si="88"/>
        <v>55617.960000000021</v>
      </c>
      <c r="V949">
        <f t="shared" si="89"/>
        <v>1.973685298777589</v>
      </c>
    </row>
    <row r="950" spans="1:22" x14ac:dyDescent="0.35">
      <c r="A950" t="s">
        <v>1962</v>
      </c>
      <c r="B950" s="1">
        <v>45515</v>
      </c>
      <c r="C950" t="s">
        <v>1963</v>
      </c>
      <c r="D950" t="s">
        <v>29</v>
      </c>
      <c r="E950" t="s">
        <v>98</v>
      </c>
      <c r="F950" t="s">
        <v>31</v>
      </c>
      <c r="G950" t="s">
        <v>60</v>
      </c>
      <c r="H950" t="s">
        <v>119</v>
      </c>
      <c r="I950">
        <v>3</v>
      </c>
      <c r="J950">
        <v>245.96</v>
      </c>
      <c r="K950">
        <v>0.15</v>
      </c>
      <c r="L950">
        <v>627.20000000000005</v>
      </c>
      <c r="M950">
        <v>345.9</v>
      </c>
      <c r="N950">
        <v>281.3</v>
      </c>
      <c r="O950" t="s">
        <v>62</v>
      </c>
      <c r="P950">
        <v>1</v>
      </c>
      <c r="Q950" t="str">
        <f t="shared" si="84"/>
        <v>August</v>
      </c>
      <c r="R950" t="str">
        <f t="shared" si="85"/>
        <v>Q3</v>
      </c>
      <c r="S950">
        <f t="shared" si="86"/>
        <v>2024</v>
      </c>
      <c r="T950">
        <f t="shared" si="87"/>
        <v>162754.78000000006</v>
      </c>
      <c r="U950">
        <f t="shared" si="88"/>
        <v>54589.620000000017</v>
      </c>
      <c r="V950">
        <f t="shared" si="89"/>
        <v>1.9814235746649271</v>
      </c>
    </row>
    <row r="951" spans="1:22" x14ac:dyDescent="0.35">
      <c r="A951" t="s">
        <v>1964</v>
      </c>
      <c r="B951" s="1">
        <v>45620</v>
      </c>
      <c r="C951" t="s">
        <v>1965</v>
      </c>
      <c r="D951" t="s">
        <v>37</v>
      </c>
      <c r="E951" t="s">
        <v>30</v>
      </c>
      <c r="F951" t="s">
        <v>39</v>
      </c>
      <c r="G951" t="s">
        <v>60</v>
      </c>
      <c r="H951" t="s">
        <v>61</v>
      </c>
      <c r="I951">
        <v>3</v>
      </c>
      <c r="J951">
        <v>1076.81</v>
      </c>
      <c r="K951">
        <v>0</v>
      </c>
      <c r="L951">
        <v>3230.43</v>
      </c>
      <c r="M951">
        <v>2557.66</v>
      </c>
      <c r="N951">
        <v>672.77</v>
      </c>
      <c r="O951" t="s">
        <v>33</v>
      </c>
      <c r="P951">
        <v>5</v>
      </c>
      <c r="Q951" t="str">
        <f t="shared" si="84"/>
        <v>November</v>
      </c>
      <c r="R951" t="str">
        <f t="shared" si="85"/>
        <v>Q4</v>
      </c>
      <c r="S951">
        <f t="shared" si="86"/>
        <v>2024</v>
      </c>
      <c r="T951">
        <f t="shared" si="87"/>
        <v>162127.58000000007</v>
      </c>
      <c r="U951">
        <f t="shared" si="88"/>
        <v>54308.320000000022</v>
      </c>
      <c r="V951">
        <f t="shared" si="89"/>
        <v>1.985317535140104</v>
      </c>
    </row>
    <row r="952" spans="1:22" x14ac:dyDescent="0.35">
      <c r="A952" t="s">
        <v>1966</v>
      </c>
      <c r="B952" s="1">
        <v>45635</v>
      </c>
      <c r="C952" t="s">
        <v>1967</v>
      </c>
      <c r="D952" t="s">
        <v>66</v>
      </c>
      <c r="E952" t="s">
        <v>38</v>
      </c>
      <c r="F952" t="s">
        <v>31</v>
      </c>
      <c r="G952" t="s">
        <v>60</v>
      </c>
      <c r="H952" t="s">
        <v>61</v>
      </c>
      <c r="I952">
        <v>5</v>
      </c>
      <c r="J952">
        <v>332.5</v>
      </c>
      <c r="K952">
        <v>0.15</v>
      </c>
      <c r="L952">
        <v>1413.12</v>
      </c>
      <c r="M952">
        <v>1020.3</v>
      </c>
      <c r="N952">
        <v>392.82</v>
      </c>
      <c r="O952" t="s">
        <v>51</v>
      </c>
      <c r="P952">
        <v>2</v>
      </c>
      <c r="Q952" t="str">
        <f t="shared" si="84"/>
        <v>December</v>
      </c>
      <c r="R952" t="str">
        <f t="shared" si="85"/>
        <v>Q4</v>
      </c>
      <c r="S952">
        <f t="shared" si="86"/>
        <v>2024</v>
      </c>
      <c r="T952">
        <f t="shared" si="87"/>
        <v>158897.15000000005</v>
      </c>
      <c r="U952">
        <f t="shared" si="88"/>
        <v>53635.550000000017</v>
      </c>
      <c r="V952">
        <f t="shared" si="89"/>
        <v>1.9625341774252338</v>
      </c>
    </row>
    <row r="953" spans="1:22" x14ac:dyDescent="0.35">
      <c r="A953" t="s">
        <v>1968</v>
      </c>
      <c r="B953" s="1">
        <v>45349</v>
      </c>
      <c r="C953" t="s">
        <v>1969</v>
      </c>
      <c r="D953" t="s">
        <v>29</v>
      </c>
      <c r="E953" t="s">
        <v>38</v>
      </c>
      <c r="F953" t="s">
        <v>31</v>
      </c>
      <c r="G953" t="s">
        <v>60</v>
      </c>
      <c r="H953" t="s">
        <v>61</v>
      </c>
      <c r="I953">
        <v>2</v>
      </c>
      <c r="J953">
        <v>282.2</v>
      </c>
      <c r="K953">
        <v>0</v>
      </c>
      <c r="L953">
        <v>564.4</v>
      </c>
      <c r="M953">
        <v>410.78</v>
      </c>
      <c r="N953">
        <v>153.62</v>
      </c>
      <c r="O953" t="s">
        <v>51</v>
      </c>
      <c r="P953">
        <v>1</v>
      </c>
      <c r="Q953" t="str">
        <f t="shared" si="84"/>
        <v>February</v>
      </c>
      <c r="R953" t="str">
        <f t="shared" si="85"/>
        <v>Q1</v>
      </c>
      <c r="S953">
        <f t="shared" si="86"/>
        <v>2024</v>
      </c>
      <c r="T953">
        <f t="shared" si="87"/>
        <v>157484.03000000006</v>
      </c>
      <c r="U953">
        <f t="shared" si="88"/>
        <v>53242.730000000018</v>
      </c>
      <c r="V953">
        <f t="shared" si="89"/>
        <v>1.9578503957253885</v>
      </c>
    </row>
    <row r="954" spans="1:22" x14ac:dyDescent="0.35">
      <c r="A954" t="s">
        <v>1970</v>
      </c>
      <c r="B954" s="1">
        <v>45470</v>
      </c>
      <c r="C954" t="s">
        <v>1971</v>
      </c>
      <c r="D954" t="s">
        <v>19</v>
      </c>
      <c r="E954" t="s">
        <v>20</v>
      </c>
      <c r="F954" t="s">
        <v>31</v>
      </c>
      <c r="G954" t="s">
        <v>79</v>
      </c>
      <c r="H954" t="s">
        <v>89</v>
      </c>
      <c r="I954">
        <v>7</v>
      </c>
      <c r="J954">
        <v>285.54000000000002</v>
      </c>
      <c r="K954">
        <v>0.05</v>
      </c>
      <c r="L954">
        <v>1898.84</v>
      </c>
      <c r="M954">
        <v>999.05</v>
      </c>
      <c r="N954">
        <v>899.79</v>
      </c>
      <c r="O954" t="s">
        <v>33</v>
      </c>
      <c r="P954">
        <v>5</v>
      </c>
      <c r="Q954" t="str">
        <f t="shared" si="84"/>
        <v>June</v>
      </c>
      <c r="R954" t="str">
        <f t="shared" si="85"/>
        <v>Q2</v>
      </c>
      <c r="S954">
        <f t="shared" si="86"/>
        <v>2024</v>
      </c>
      <c r="T954">
        <f t="shared" si="87"/>
        <v>156919.63000000003</v>
      </c>
      <c r="U954">
        <f t="shared" si="88"/>
        <v>53089.110000000022</v>
      </c>
      <c r="V954">
        <f t="shared" si="89"/>
        <v>1.9557781247415897</v>
      </c>
    </row>
    <row r="955" spans="1:22" x14ac:dyDescent="0.35">
      <c r="A955" t="s">
        <v>1972</v>
      </c>
      <c r="B955" s="1">
        <v>45603</v>
      </c>
      <c r="C955" t="s">
        <v>1973</v>
      </c>
      <c r="D955" t="s">
        <v>19</v>
      </c>
      <c r="E955" t="s">
        <v>38</v>
      </c>
      <c r="F955" t="s">
        <v>39</v>
      </c>
      <c r="G955" t="s">
        <v>79</v>
      </c>
      <c r="H955" t="s">
        <v>103</v>
      </c>
      <c r="I955">
        <v>11</v>
      </c>
      <c r="J955">
        <v>579.25</v>
      </c>
      <c r="K955">
        <v>0.15</v>
      </c>
      <c r="L955">
        <v>5415.99</v>
      </c>
      <c r="M955">
        <v>3612.21</v>
      </c>
      <c r="N955">
        <v>1803.78</v>
      </c>
      <c r="O955" t="s">
        <v>33</v>
      </c>
      <c r="P955">
        <v>2</v>
      </c>
      <c r="Q955" t="str">
        <f t="shared" si="84"/>
        <v>November</v>
      </c>
      <c r="R955" t="str">
        <f t="shared" si="85"/>
        <v>Q4</v>
      </c>
      <c r="S955">
        <f t="shared" si="86"/>
        <v>2024</v>
      </c>
      <c r="T955">
        <f t="shared" si="87"/>
        <v>155020.79000000004</v>
      </c>
      <c r="U955">
        <f t="shared" si="88"/>
        <v>52189.320000000022</v>
      </c>
      <c r="V955">
        <f t="shared" si="89"/>
        <v>1.9703546626014665</v>
      </c>
    </row>
    <row r="956" spans="1:22" x14ac:dyDescent="0.35">
      <c r="A956" t="s">
        <v>1974</v>
      </c>
      <c r="B956" s="1">
        <v>45622</v>
      </c>
      <c r="C956" t="s">
        <v>1975</v>
      </c>
      <c r="D956" t="s">
        <v>29</v>
      </c>
      <c r="E956" t="s">
        <v>85</v>
      </c>
      <c r="F956" t="s">
        <v>39</v>
      </c>
      <c r="G956" t="s">
        <v>79</v>
      </c>
      <c r="H956" t="s">
        <v>103</v>
      </c>
      <c r="I956">
        <v>9</v>
      </c>
      <c r="J956">
        <v>839.27</v>
      </c>
      <c r="K956">
        <v>0</v>
      </c>
      <c r="L956">
        <v>7553.43</v>
      </c>
      <c r="M956">
        <v>3958.72</v>
      </c>
      <c r="N956">
        <v>3594.71</v>
      </c>
      <c r="O956" t="s">
        <v>33</v>
      </c>
      <c r="P956">
        <v>5</v>
      </c>
      <c r="Q956" t="str">
        <f t="shared" si="84"/>
        <v>November</v>
      </c>
      <c r="R956" t="str">
        <f t="shared" si="85"/>
        <v>Q4</v>
      </c>
      <c r="S956">
        <f t="shared" si="86"/>
        <v>2024</v>
      </c>
      <c r="T956">
        <f t="shared" si="87"/>
        <v>149604.80000000002</v>
      </c>
      <c r="U956">
        <f t="shared" si="88"/>
        <v>50385.540000000023</v>
      </c>
      <c r="V956">
        <f t="shared" si="89"/>
        <v>1.9692010842793379</v>
      </c>
    </row>
    <row r="957" spans="1:22" x14ac:dyDescent="0.35">
      <c r="A957" t="s">
        <v>1976</v>
      </c>
      <c r="B957" s="1">
        <v>45517</v>
      </c>
      <c r="C957" t="s">
        <v>1977</v>
      </c>
      <c r="D957" t="s">
        <v>37</v>
      </c>
      <c r="E957" t="s">
        <v>30</v>
      </c>
      <c r="F957" t="s">
        <v>39</v>
      </c>
      <c r="G957" t="s">
        <v>79</v>
      </c>
      <c r="H957" t="s">
        <v>89</v>
      </c>
      <c r="I957">
        <v>3</v>
      </c>
      <c r="J957">
        <v>785.14</v>
      </c>
      <c r="K957">
        <v>0.05</v>
      </c>
      <c r="L957">
        <v>2237.65</v>
      </c>
      <c r="M957">
        <v>1150.5899999999999</v>
      </c>
      <c r="N957">
        <v>1087.06</v>
      </c>
      <c r="O957" t="s">
        <v>24</v>
      </c>
      <c r="P957">
        <v>3</v>
      </c>
      <c r="Q957" t="str">
        <f t="shared" si="84"/>
        <v>August</v>
      </c>
      <c r="R957" t="str">
        <f t="shared" si="85"/>
        <v>Q3</v>
      </c>
      <c r="S957">
        <f t="shared" si="86"/>
        <v>2024</v>
      </c>
      <c r="T957">
        <f t="shared" si="87"/>
        <v>142051.36999999997</v>
      </c>
      <c r="U957">
        <f t="shared" si="88"/>
        <v>46790.830000000009</v>
      </c>
      <c r="V957">
        <f t="shared" si="89"/>
        <v>2.0358805347116076</v>
      </c>
    </row>
    <row r="958" spans="1:22" x14ac:dyDescent="0.35">
      <c r="A958" t="s">
        <v>1978</v>
      </c>
      <c r="B958" s="1">
        <v>45392</v>
      </c>
      <c r="C958" t="s">
        <v>1979</v>
      </c>
      <c r="D958" t="s">
        <v>29</v>
      </c>
      <c r="E958" t="s">
        <v>30</v>
      </c>
      <c r="F958" t="s">
        <v>31</v>
      </c>
      <c r="G958" t="s">
        <v>79</v>
      </c>
      <c r="H958" t="s">
        <v>80</v>
      </c>
      <c r="I958">
        <v>4</v>
      </c>
      <c r="J958">
        <v>1025.1500000000001</v>
      </c>
      <c r="K958">
        <v>0</v>
      </c>
      <c r="L958">
        <v>4100.6000000000004</v>
      </c>
      <c r="M958">
        <v>3212.17</v>
      </c>
      <c r="N958">
        <v>888.43</v>
      </c>
      <c r="O958" t="s">
        <v>62</v>
      </c>
      <c r="P958">
        <v>3</v>
      </c>
      <c r="Q958" t="str">
        <f t="shared" si="84"/>
        <v>April</v>
      </c>
      <c r="R958" t="str">
        <f t="shared" si="85"/>
        <v>Q2</v>
      </c>
      <c r="S958">
        <f t="shared" si="86"/>
        <v>2024</v>
      </c>
      <c r="T958">
        <f t="shared" si="87"/>
        <v>139813.71999999997</v>
      </c>
      <c r="U958">
        <f t="shared" si="88"/>
        <v>45703.770000000011</v>
      </c>
      <c r="V958">
        <f t="shared" si="89"/>
        <v>2.0591288202264262</v>
      </c>
    </row>
    <row r="959" spans="1:22" x14ac:dyDescent="0.35">
      <c r="A959" t="s">
        <v>1980</v>
      </c>
      <c r="B959" s="1">
        <v>45434</v>
      </c>
      <c r="C959" t="s">
        <v>1981</v>
      </c>
      <c r="D959" t="s">
        <v>29</v>
      </c>
      <c r="E959" t="s">
        <v>98</v>
      </c>
      <c r="F959" t="s">
        <v>31</v>
      </c>
      <c r="G959" t="s">
        <v>60</v>
      </c>
      <c r="H959" t="s">
        <v>61</v>
      </c>
      <c r="I959">
        <v>1</v>
      </c>
      <c r="J959">
        <v>813.16</v>
      </c>
      <c r="K959">
        <v>0.1</v>
      </c>
      <c r="L959">
        <v>731.84</v>
      </c>
      <c r="M959">
        <v>411.51</v>
      </c>
      <c r="N959">
        <v>320.33</v>
      </c>
      <c r="O959" t="s">
        <v>33</v>
      </c>
      <c r="P959">
        <v>2</v>
      </c>
      <c r="Q959" t="str">
        <f t="shared" si="84"/>
        <v>May</v>
      </c>
      <c r="R959" t="str">
        <f t="shared" si="85"/>
        <v>Q2</v>
      </c>
      <c r="S959">
        <f t="shared" si="86"/>
        <v>2024</v>
      </c>
      <c r="T959">
        <f t="shared" si="87"/>
        <v>135713.11999999997</v>
      </c>
      <c r="U959">
        <f t="shared" si="88"/>
        <v>44815.340000000011</v>
      </c>
      <c r="V959">
        <f t="shared" si="89"/>
        <v>2.028273800890497</v>
      </c>
    </row>
    <row r="960" spans="1:22" x14ac:dyDescent="0.35">
      <c r="A960" t="s">
        <v>1982</v>
      </c>
      <c r="B960" s="1">
        <v>45651</v>
      </c>
      <c r="C960" t="s">
        <v>1983</v>
      </c>
      <c r="D960" t="s">
        <v>19</v>
      </c>
      <c r="E960" t="s">
        <v>30</v>
      </c>
      <c r="F960" t="s">
        <v>39</v>
      </c>
      <c r="G960" t="s">
        <v>60</v>
      </c>
      <c r="H960" t="s">
        <v>119</v>
      </c>
      <c r="I960">
        <v>5</v>
      </c>
      <c r="J960">
        <v>270.94</v>
      </c>
      <c r="K960">
        <v>0.05</v>
      </c>
      <c r="L960">
        <v>1286.96</v>
      </c>
      <c r="M960">
        <v>746.07</v>
      </c>
      <c r="N960">
        <v>540.89</v>
      </c>
      <c r="O960" t="s">
        <v>33</v>
      </c>
      <c r="P960">
        <v>4</v>
      </c>
      <c r="Q960" t="str">
        <f t="shared" si="84"/>
        <v>December</v>
      </c>
      <c r="R960" t="str">
        <f t="shared" si="85"/>
        <v>Q4</v>
      </c>
      <c r="S960">
        <f t="shared" si="86"/>
        <v>2024</v>
      </c>
      <c r="T960">
        <f t="shared" si="87"/>
        <v>134981.27999999997</v>
      </c>
      <c r="U960">
        <f t="shared" si="88"/>
        <v>44495.010000000009</v>
      </c>
      <c r="V960">
        <f t="shared" si="89"/>
        <v>2.0336273663046698</v>
      </c>
    </row>
    <row r="961" spans="1:22" x14ac:dyDescent="0.35">
      <c r="A961" t="s">
        <v>1984</v>
      </c>
      <c r="B961" s="1">
        <v>45412</v>
      </c>
      <c r="C961" t="s">
        <v>1985</v>
      </c>
      <c r="D961" t="s">
        <v>29</v>
      </c>
      <c r="E961" t="s">
        <v>20</v>
      </c>
      <c r="F961" t="s">
        <v>39</v>
      </c>
      <c r="G961" t="s">
        <v>79</v>
      </c>
      <c r="H961" t="s">
        <v>80</v>
      </c>
      <c r="I961">
        <v>4</v>
      </c>
      <c r="J961">
        <v>143.69</v>
      </c>
      <c r="K961">
        <v>0.1</v>
      </c>
      <c r="L961">
        <v>517.28</v>
      </c>
      <c r="M961">
        <v>327.49</v>
      </c>
      <c r="N961">
        <v>189.79</v>
      </c>
      <c r="O961" t="s">
        <v>24</v>
      </c>
      <c r="P961">
        <v>2</v>
      </c>
      <c r="Q961" t="str">
        <f t="shared" si="84"/>
        <v>April</v>
      </c>
      <c r="R961" t="str">
        <f t="shared" si="85"/>
        <v>Q2</v>
      </c>
      <c r="S961">
        <f t="shared" si="86"/>
        <v>2024</v>
      </c>
      <c r="T961">
        <f t="shared" si="87"/>
        <v>133694.31999999998</v>
      </c>
      <c r="U961">
        <f t="shared" si="88"/>
        <v>43954.12000000001</v>
      </c>
      <c r="V961">
        <f t="shared" si="89"/>
        <v>2.0416789142860772</v>
      </c>
    </row>
    <row r="962" spans="1:22" x14ac:dyDescent="0.35">
      <c r="A962" t="s">
        <v>1986</v>
      </c>
      <c r="B962" s="1">
        <v>45430</v>
      </c>
      <c r="C962" t="s">
        <v>1987</v>
      </c>
      <c r="D962" t="s">
        <v>66</v>
      </c>
      <c r="E962" t="s">
        <v>20</v>
      </c>
      <c r="F962" t="s">
        <v>21</v>
      </c>
      <c r="G962" t="s">
        <v>22</v>
      </c>
      <c r="H962" t="s">
        <v>124</v>
      </c>
      <c r="I962">
        <v>8</v>
      </c>
      <c r="J962">
        <v>175.28</v>
      </c>
      <c r="K962">
        <v>0</v>
      </c>
      <c r="L962">
        <v>1402.24</v>
      </c>
      <c r="M962">
        <v>792.69</v>
      </c>
      <c r="N962">
        <v>609.54999999999995</v>
      </c>
      <c r="O962" t="s">
        <v>51</v>
      </c>
      <c r="P962">
        <v>2</v>
      </c>
      <c r="Q962" t="str">
        <f t="shared" ref="Q962:Q1001" si="90">TEXT(B962,"MMMM")</f>
        <v>May</v>
      </c>
      <c r="R962" t="str">
        <f t="shared" ref="R962:R1001" si="91">"Q"&amp;ROUNDUP(MONTH(B962)/3,0)</f>
        <v>Q2</v>
      </c>
      <c r="S962">
        <f t="shared" ref="S962:S1001" si="92">YEAR(B962)</f>
        <v>2024</v>
      </c>
      <c r="T962">
        <f t="shared" ref="T962:T1001" si="93">SUM(L962:L1961)</f>
        <v>133177.03999999998</v>
      </c>
      <c r="U962">
        <f t="shared" ref="U962:U1001" si="94">SUM(N962:N1961)</f>
        <v>43764.330000000009</v>
      </c>
      <c r="V962">
        <f t="shared" ref="V962:V1001" si="95">(T962-U962)/U962</f>
        <v>2.0430498993129782</v>
      </c>
    </row>
    <row r="963" spans="1:22" x14ac:dyDescent="0.35">
      <c r="A963" t="s">
        <v>1988</v>
      </c>
      <c r="B963" s="1">
        <v>45348</v>
      </c>
      <c r="C963" t="s">
        <v>1989</v>
      </c>
      <c r="D963" t="s">
        <v>66</v>
      </c>
      <c r="E963" t="s">
        <v>20</v>
      </c>
      <c r="F963" t="s">
        <v>39</v>
      </c>
      <c r="G963" t="s">
        <v>22</v>
      </c>
      <c r="H963" t="s">
        <v>74</v>
      </c>
      <c r="I963">
        <v>9</v>
      </c>
      <c r="J963">
        <v>84.06</v>
      </c>
      <c r="K963">
        <v>0.15</v>
      </c>
      <c r="L963">
        <v>643.05999999999995</v>
      </c>
      <c r="M963">
        <v>403.76</v>
      </c>
      <c r="N963">
        <v>239.3</v>
      </c>
      <c r="O963" t="s">
        <v>24</v>
      </c>
      <c r="P963">
        <v>5</v>
      </c>
      <c r="Q963" t="str">
        <f t="shared" si="90"/>
        <v>February</v>
      </c>
      <c r="R963" t="str">
        <f t="shared" si="91"/>
        <v>Q1</v>
      </c>
      <c r="S963">
        <f t="shared" si="92"/>
        <v>2024</v>
      </c>
      <c r="T963">
        <f t="shared" si="93"/>
        <v>131774.79999999999</v>
      </c>
      <c r="U963">
        <f t="shared" si="94"/>
        <v>43154.780000000013</v>
      </c>
      <c r="V963">
        <f t="shared" si="95"/>
        <v>2.0535389127229928</v>
      </c>
    </row>
    <row r="964" spans="1:22" x14ac:dyDescent="0.35">
      <c r="A964" t="s">
        <v>1990</v>
      </c>
      <c r="B964" s="1">
        <v>45350</v>
      </c>
      <c r="C964" t="s">
        <v>1991</v>
      </c>
      <c r="D964" t="s">
        <v>19</v>
      </c>
      <c r="E964" t="s">
        <v>20</v>
      </c>
      <c r="F964" t="s">
        <v>31</v>
      </c>
      <c r="G964" t="s">
        <v>60</v>
      </c>
      <c r="H964" t="s">
        <v>61</v>
      </c>
      <c r="I964">
        <v>1</v>
      </c>
      <c r="J964">
        <v>397.49</v>
      </c>
      <c r="K964">
        <v>0.1</v>
      </c>
      <c r="L964">
        <v>357.74</v>
      </c>
      <c r="M964">
        <v>199.84</v>
      </c>
      <c r="N964">
        <v>157.9</v>
      </c>
      <c r="O964" t="s">
        <v>33</v>
      </c>
      <c r="P964">
        <v>3</v>
      </c>
      <c r="Q964" t="str">
        <f t="shared" si="90"/>
        <v>February</v>
      </c>
      <c r="R964" t="str">
        <f t="shared" si="91"/>
        <v>Q1</v>
      </c>
      <c r="S964">
        <f t="shared" si="92"/>
        <v>2024</v>
      </c>
      <c r="T964">
        <f t="shared" si="93"/>
        <v>131131.74</v>
      </c>
      <c r="U964">
        <f t="shared" si="94"/>
        <v>42915.48000000001</v>
      </c>
      <c r="V964">
        <f t="shared" si="95"/>
        <v>2.0555813426763478</v>
      </c>
    </row>
    <row r="965" spans="1:22" x14ac:dyDescent="0.35">
      <c r="A965" t="s">
        <v>1992</v>
      </c>
      <c r="B965" s="1">
        <v>45348</v>
      </c>
      <c r="C965" t="s">
        <v>1993</v>
      </c>
      <c r="D965" t="s">
        <v>29</v>
      </c>
      <c r="E965" t="s">
        <v>85</v>
      </c>
      <c r="F965" t="s">
        <v>21</v>
      </c>
      <c r="G965" t="s">
        <v>43</v>
      </c>
      <c r="H965" t="s">
        <v>50</v>
      </c>
      <c r="I965">
        <v>11</v>
      </c>
      <c r="J965">
        <v>162.41999999999999</v>
      </c>
      <c r="K965">
        <v>0</v>
      </c>
      <c r="L965">
        <v>1786.62</v>
      </c>
      <c r="M965">
        <v>1109.3900000000001</v>
      </c>
      <c r="N965">
        <v>677.23</v>
      </c>
      <c r="O965" t="s">
        <v>24</v>
      </c>
      <c r="P965">
        <v>2</v>
      </c>
      <c r="Q965" t="str">
        <f t="shared" si="90"/>
        <v>February</v>
      </c>
      <c r="R965" t="str">
        <f t="shared" si="91"/>
        <v>Q1</v>
      </c>
      <c r="S965">
        <f t="shared" si="92"/>
        <v>2024</v>
      </c>
      <c r="T965">
        <f t="shared" si="93"/>
        <v>130773.99999999997</v>
      </c>
      <c r="U965">
        <f t="shared" si="94"/>
        <v>42757.580000000009</v>
      </c>
      <c r="V965">
        <f t="shared" si="95"/>
        <v>2.0584986334586741</v>
      </c>
    </row>
    <row r="966" spans="1:22" x14ac:dyDescent="0.35">
      <c r="A966" t="s">
        <v>1994</v>
      </c>
      <c r="B966" s="1">
        <v>45535</v>
      </c>
      <c r="C966" t="s">
        <v>1995</v>
      </c>
      <c r="D966" t="s">
        <v>49</v>
      </c>
      <c r="E966" t="s">
        <v>38</v>
      </c>
      <c r="F966" t="s">
        <v>39</v>
      </c>
      <c r="G966" t="s">
        <v>43</v>
      </c>
      <c r="H966" t="s">
        <v>50</v>
      </c>
      <c r="I966">
        <v>1</v>
      </c>
      <c r="J966">
        <v>1117.08</v>
      </c>
      <c r="K966">
        <v>0.1</v>
      </c>
      <c r="L966">
        <v>1005.37</v>
      </c>
      <c r="M966">
        <v>530.69000000000005</v>
      </c>
      <c r="N966">
        <v>474.68</v>
      </c>
      <c r="O966" t="s">
        <v>62</v>
      </c>
      <c r="P966">
        <v>2</v>
      </c>
      <c r="Q966" t="str">
        <f t="shared" si="90"/>
        <v>August</v>
      </c>
      <c r="R966" t="str">
        <f t="shared" si="91"/>
        <v>Q3</v>
      </c>
      <c r="S966">
        <f t="shared" si="92"/>
        <v>2024</v>
      </c>
      <c r="T966">
        <f t="shared" si="93"/>
        <v>128987.37999999998</v>
      </c>
      <c r="U966">
        <f t="shared" si="94"/>
        <v>42080.350000000006</v>
      </c>
      <c r="V966">
        <f t="shared" si="95"/>
        <v>2.065263953365406</v>
      </c>
    </row>
    <row r="967" spans="1:22" x14ac:dyDescent="0.35">
      <c r="A967" t="s">
        <v>1996</v>
      </c>
      <c r="B967" s="1">
        <v>45569</v>
      </c>
      <c r="C967" t="s">
        <v>1997</v>
      </c>
      <c r="D967" t="s">
        <v>19</v>
      </c>
      <c r="E967" t="s">
        <v>30</v>
      </c>
      <c r="F967" t="s">
        <v>21</v>
      </c>
      <c r="G967" t="s">
        <v>79</v>
      </c>
      <c r="H967" t="s">
        <v>80</v>
      </c>
      <c r="I967">
        <v>4</v>
      </c>
      <c r="J967">
        <v>747.31</v>
      </c>
      <c r="K967">
        <v>0.05</v>
      </c>
      <c r="L967">
        <v>2839.78</v>
      </c>
      <c r="M967">
        <v>2338.2600000000002</v>
      </c>
      <c r="N967">
        <v>501.52</v>
      </c>
      <c r="O967" t="s">
        <v>24</v>
      </c>
      <c r="P967">
        <v>2</v>
      </c>
      <c r="Q967" t="str">
        <f t="shared" si="90"/>
        <v>October</v>
      </c>
      <c r="R967" t="str">
        <f t="shared" si="91"/>
        <v>Q4</v>
      </c>
      <c r="S967">
        <f t="shared" si="92"/>
        <v>2024</v>
      </c>
      <c r="T967">
        <f t="shared" si="93"/>
        <v>127982.00999999997</v>
      </c>
      <c r="U967">
        <f t="shared" si="94"/>
        <v>41605.670000000006</v>
      </c>
      <c r="V967">
        <f t="shared" si="95"/>
        <v>2.0760713623888272</v>
      </c>
    </row>
    <row r="968" spans="1:22" x14ac:dyDescent="0.35">
      <c r="A968" t="s">
        <v>1998</v>
      </c>
      <c r="B968" s="1">
        <v>45395</v>
      </c>
      <c r="C968" t="s">
        <v>1999</v>
      </c>
      <c r="D968" t="s">
        <v>66</v>
      </c>
      <c r="E968" t="s">
        <v>38</v>
      </c>
      <c r="F968" t="s">
        <v>39</v>
      </c>
      <c r="G968" t="s">
        <v>22</v>
      </c>
      <c r="H968" t="s">
        <v>74</v>
      </c>
      <c r="I968">
        <v>4</v>
      </c>
      <c r="J968">
        <v>635.08000000000004</v>
      </c>
      <c r="K968">
        <v>0.1</v>
      </c>
      <c r="L968">
        <v>2286.29</v>
      </c>
      <c r="M968">
        <v>1712.73</v>
      </c>
      <c r="N968">
        <v>573.55999999999995</v>
      </c>
      <c r="O968" t="s">
        <v>51</v>
      </c>
      <c r="P968">
        <v>5</v>
      </c>
      <c r="Q968" t="str">
        <f t="shared" si="90"/>
        <v>April</v>
      </c>
      <c r="R968" t="str">
        <f t="shared" si="91"/>
        <v>Q2</v>
      </c>
      <c r="S968">
        <f t="shared" si="92"/>
        <v>2024</v>
      </c>
      <c r="T968">
        <f t="shared" si="93"/>
        <v>125142.22999999997</v>
      </c>
      <c r="U968">
        <f t="shared" si="94"/>
        <v>41104.15</v>
      </c>
      <c r="V968">
        <f t="shared" si="95"/>
        <v>2.0445156997529437</v>
      </c>
    </row>
    <row r="969" spans="1:22" x14ac:dyDescent="0.35">
      <c r="A969" t="s">
        <v>2000</v>
      </c>
      <c r="B969" s="1">
        <v>45328</v>
      </c>
      <c r="C969" t="s">
        <v>2001</v>
      </c>
      <c r="D969" t="s">
        <v>49</v>
      </c>
      <c r="E969" t="s">
        <v>30</v>
      </c>
      <c r="F969" t="s">
        <v>21</v>
      </c>
      <c r="G969" t="s">
        <v>60</v>
      </c>
      <c r="H969" t="s">
        <v>119</v>
      </c>
      <c r="I969">
        <v>6</v>
      </c>
      <c r="J969">
        <v>886.69</v>
      </c>
      <c r="K969">
        <v>0.1</v>
      </c>
      <c r="L969">
        <v>4788.13</v>
      </c>
      <c r="M969">
        <v>2817.55</v>
      </c>
      <c r="N969">
        <v>1970.58</v>
      </c>
      <c r="O969" t="s">
        <v>24</v>
      </c>
      <c r="P969">
        <v>1</v>
      </c>
      <c r="Q969" t="str">
        <f t="shared" si="90"/>
        <v>February</v>
      </c>
      <c r="R969" t="str">
        <f t="shared" si="91"/>
        <v>Q1</v>
      </c>
      <c r="S969">
        <f t="shared" si="92"/>
        <v>2024</v>
      </c>
      <c r="T969">
        <f t="shared" si="93"/>
        <v>122855.93999999997</v>
      </c>
      <c r="U969">
        <f t="shared" si="94"/>
        <v>40530.590000000004</v>
      </c>
      <c r="V969">
        <f t="shared" si="95"/>
        <v>2.0311905156080869</v>
      </c>
    </row>
    <row r="970" spans="1:22" x14ac:dyDescent="0.35">
      <c r="A970" t="s">
        <v>2002</v>
      </c>
      <c r="B970" s="1">
        <v>45365</v>
      </c>
      <c r="C970" t="s">
        <v>2003</v>
      </c>
      <c r="D970" t="s">
        <v>19</v>
      </c>
      <c r="E970" t="s">
        <v>30</v>
      </c>
      <c r="F970" t="s">
        <v>39</v>
      </c>
      <c r="G970" t="s">
        <v>43</v>
      </c>
      <c r="H970" t="s">
        <v>44</v>
      </c>
      <c r="I970">
        <v>4</v>
      </c>
      <c r="J970">
        <v>918.56</v>
      </c>
      <c r="K970">
        <v>0.1</v>
      </c>
      <c r="L970">
        <v>3306.82</v>
      </c>
      <c r="M970">
        <v>1716.73</v>
      </c>
      <c r="N970">
        <v>1590.09</v>
      </c>
      <c r="O970" t="s">
        <v>51</v>
      </c>
      <c r="P970">
        <v>5</v>
      </c>
      <c r="Q970" t="str">
        <f t="shared" si="90"/>
        <v>March</v>
      </c>
      <c r="R970" t="str">
        <f t="shared" si="91"/>
        <v>Q1</v>
      </c>
      <c r="S970">
        <f t="shared" si="92"/>
        <v>2024</v>
      </c>
      <c r="T970">
        <f t="shared" si="93"/>
        <v>118067.80999999998</v>
      </c>
      <c r="U970">
        <f t="shared" si="94"/>
        <v>38560.01</v>
      </c>
      <c r="V970">
        <f t="shared" si="95"/>
        <v>2.0619237391276606</v>
      </c>
    </row>
    <row r="971" spans="1:22" x14ac:dyDescent="0.35">
      <c r="A971" t="s">
        <v>2004</v>
      </c>
      <c r="B971" s="1">
        <v>45409</v>
      </c>
      <c r="C971" t="s">
        <v>2005</v>
      </c>
      <c r="D971" t="s">
        <v>66</v>
      </c>
      <c r="E971" t="s">
        <v>98</v>
      </c>
      <c r="F971" t="s">
        <v>21</v>
      </c>
      <c r="G971" t="s">
        <v>43</v>
      </c>
      <c r="H971" t="s">
        <v>44</v>
      </c>
      <c r="I971">
        <v>11</v>
      </c>
      <c r="J971">
        <v>892.94</v>
      </c>
      <c r="K971">
        <v>0.05</v>
      </c>
      <c r="L971">
        <v>9331.2199999999993</v>
      </c>
      <c r="M971">
        <v>5113.03</v>
      </c>
      <c r="N971">
        <v>4218.1899999999996</v>
      </c>
      <c r="O971" t="s">
        <v>62</v>
      </c>
      <c r="P971">
        <v>2</v>
      </c>
      <c r="Q971" t="str">
        <f t="shared" si="90"/>
        <v>April</v>
      </c>
      <c r="R971" t="str">
        <f t="shared" si="91"/>
        <v>Q2</v>
      </c>
      <c r="S971">
        <f t="shared" si="92"/>
        <v>2024</v>
      </c>
      <c r="T971">
        <f t="shared" si="93"/>
        <v>114760.98999999998</v>
      </c>
      <c r="U971">
        <f t="shared" si="94"/>
        <v>36969.919999999991</v>
      </c>
      <c r="V971">
        <f t="shared" si="95"/>
        <v>2.1041719863067057</v>
      </c>
    </row>
    <row r="972" spans="1:22" x14ac:dyDescent="0.35">
      <c r="A972" t="s">
        <v>2006</v>
      </c>
      <c r="B972" s="1">
        <v>45399</v>
      </c>
      <c r="C972" t="s">
        <v>2007</v>
      </c>
      <c r="D972" t="s">
        <v>49</v>
      </c>
      <c r="E972" t="s">
        <v>30</v>
      </c>
      <c r="F972" t="s">
        <v>21</v>
      </c>
      <c r="G972" t="s">
        <v>79</v>
      </c>
      <c r="H972" t="s">
        <v>89</v>
      </c>
      <c r="I972">
        <v>1</v>
      </c>
      <c r="J972">
        <v>1097.43</v>
      </c>
      <c r="K972">
        <v>0.1</v>
      </c>
      <c r="L972">
        <v>987.69</v>
      </c>
      <c r="M972">
        <v>569.9</v>
      </c>
      <c r="N972">
        <v>417.79</v>
      </c>
      <c r="O972" t="s">
        <v>33</v>
      </c>
      <c r="P972">
        <v>1</v>
      </c>
      <c r="Q972" t="str">
        <f t="shared" si="90"/>
        <v>April</v>
      </c>
      <c r="R972" t="str">
        <f t="shared" si="91"/>
        <v>Q2</v>
      </c>
      <c r="S972">
        <f t="shared" si="92"/>
        <v>2024</v>
      </c>
      <c r="T972">
        <f t="shared" si="93"/>
        <v>105429.76999999997</v>
      </c>
      <c r="U972">
        <f t="shared" si="94"/>
        <v>32751.729999999996</v>
      </c>
      <c r="V972">
        <f t="shared" si="95"/>
        <v>2.2190595733416214</v>
      </c>
    </row>
    <row r="973" spans="1:22" x14ac:dyDescent="0.35">
      <c r="A973" t="s">
        <v>2008</v>
      </c>
      <c r="B973" s="1">
        <v>45558</v>
      </c>
      <c r="C973" t="s">
        <v>2009</v>
      </c>
      <c r="D973" t="s">
        <v>66</v>
      </c>
      <c r="E973" t="s">
        <v>38</v>
      </c>
      <c r="F973" t="s">
        <v>31</v>
      </c>
      <c r="G973" t="s">
        <v>43</v>
      </c>
      <c r="H973" t="s">
        <v>50</v>
      </c>
      <c r="I973">
        <v>6</v>
      </c>
      <c r="J973">
        <v>281.92</v>
      </c>
      <c r="K973">
        <v>0.05</v>
      </c>
      <c r="L973">
        <v>1606.94</v>
      </c>
      <c r="M973">
        <v>1123.46</v>
      </c>
      <c r="N973">
        <v>483.48</v>
      </c>
      <c r="O973" t="s">
        <v>33</v>
      </c>
      <c r="P973">
        <v>2</v>
      </c>
      <c r="Q973" t="str">
        <f t="shared" si="90"/>
        <v>September</v>
      </c>
      <c r="R973" t="str">
        <f t="shared" si="91"/>
        <v>Q3</v>
      </c>
      <c r="S973">
        <f t="shared" si="92"/>
        <v>2024</v>
      </c>
      <c r="T973">
        <f t="shared" si="93"/>
        <v>104442.07999999997</v>
      </c>
      <c r="U973">
        <f t="shared" si="94"/>
        <v>32333.939999999995</v>
      </c>
      <c r="V973">
        <f t="shared" si="95"/>
        <v>2.2301068165525142</v>
      </c>
    </row>
    <row r="974" spans="1:22" x14ac:dyDescent="0.35">
      <c r="A974" t="s">
        <v>2010</v>
      </c>
      <c r="B974" s="1">
        <v>45297</v>
      </c>
      <c r="C974" t="s">
        <v>2011</v>
      </c>
      <c r="D974" t="s">
        <v>29</v>
      </c>
      <c r="E974" t="s">
        <v>38</v>
      </c>
      <c r="F974" t="s">
        <v>39</v>
      </c>
      <c r="G974" t="s">
        <v>60</v>
      </c>
      <c r="H974" t="s">
        <v>119</v>
      </c>
      <c r="I974">
        <v>9</v>
      </c>
      <c r="J974">
        <v>696.52</v>
      </c>
      <c r="K974">
        <v>0</v>
      </c>
      <c r="L974">
        <v>6268.68</v>
      </c>
      <c r="M974">
        <v>3730.2</v>
      </c>
      <c r="N974">
        <v>2538.48</v>
      </c>
      <c r="O974" t="s">
        <v>51</v>
      </c>
      <c r="P974">
        <v>5</v>
      </c>
      <c r="Q974" t="str">
        <f t="shared" si="90"/>
        <v>January</v>
      </c>
      <c r="R974" t="str">
        <f t="shared" si="91"/>
        <v>Q1</v>
      </c>
      <c r="S974">
        <f t="shared" si="92"/>
        <v>2024</v>
      </c>
      <c r="T974">
        <f t="shared" si="93"/>
        <v>102835.13999999998</v>
      </c>
      <c r="U974">
        <f t="shared" si="94"/>
        <v>31850.459999999995</v>
      </c>
      <c r="V974">
        <f t="shared" si="95"/>
        <v>2.22868617910071</v>
      </c>
    </row>
    <row r="975" spans="1:22" x14ac:dyDescent="0.35">
      <c r="A975" t="s">
        <v>2012</v>
      </c>
      <c r="B975" s="1">
        <v>45500</v>
      </c>
      <c r="C975" t="s">
        <v>2013</v>
      </c>
      <c r="D975" t="s">
        <v>19</v>
      </c>
      <c r="E975" t="s">
        <v>20</v>
      </c>
      <c r="F975" t="s">
        <v>39</v>
      </c>
      <c r="G975" t="s">
        <v>43</v>
      </c>
      <c r="H975" t="s">
        <v>173</v>
      </c>
      <c r="I975">
        <v>5</v>
      </c>
      <c r="J975">
        <v>462.06</v>
      </c>
      <c r="K975">
        <v>0.15</v>
      </c>
      <c r="L975">
        <v>1963.76</v>
      </c>
      <c r="M975">
        <v>1054.76</v>
      </c>
      <c r="N975">
        <v>909</v>
      </c>
      <c r="O975" t="s">
        <v>62</v>
      </c>
      <c r="P975">
        <v>1</v>
      </c>
      <c r="Q975" t="str">
        <f t="shared" si="90"/>
        <v>July</v>
      </c>
      <c r="R975" t="str">
        <f t="shared" si="91"/>
        <v>Q3</v>
      </c>
      <c r="S975">
        <f t="shared" si="92"/>
        <v>2024</v>
      </c>
      <c r="T975">
        <f t="shared" si="93"/>
        <v>96566.459999999977</v>
      </c>
      <c r="U975">
        <f t="shared" si="94"/>
        <v>29311.979999999996</v>
      </c>
      <c r="V975">
        <f t="shared" si="95"/>
        <v>2.2944366091952841</v>
      </c>
    </row>
    <row r="976" spans="1:22" x14ac:dyDescent="0.35">
      <c r="A976" t="s">
        <v>2014</v>
      </c>
      <c r="B976" s="1">
        <v>45366</v>
      </c>
      <c r="C976" t="s">
        <v>2015</v>
      </c>
      <c r="D976" t="s">
        <v>37</v>
      </c>
      <c r="E976" t="s">
        <v>20</v>
      </c>
      <c r="F976" t="s">
        <v>21</v>
      </c>
      <c r="G976" t="s">
        <v>79</v>
      </c>
      <c r="H976" t="s">
        <v>89</v>
      </c>
      <c r="I976">
        <v>3</v>
      </c>
      <c r="J976">
        <v>378.45</v>
      </c>
      <c r="K976">
        <v>0.1</v>
      </c>
      <c r="L976">
        <v>1021.81</v>
      </c>
      <c r="M976">
        <v>762.54</v>
      </c>
      <c r="N976">
        <v>259.27</v>
      </c>
      <c r="O976" t="s">
        <v>24</v>
      </c>
      <c r="P976">
        <v>2</v>
      </c>
      <c r="Q976" t="str">
        <f t="shared" si="90"/>
        <v>March</v>
      </c>
      <c r="R976" t="str">
        <f t="shared" si="91"/>
        <v>Q1</v>
      </c>
      <c r="S976">
        <f t="shared" si="92"/>
        <v>2024</v>
      </c>
      <c r="T976">
        <f t="shared" si="93"/>
        <v>94602.7</v>
      </c>
      <c r="U976">
        <f t="shared" si="94"/>
        <v>28402.979999999996</v>
      </c>
      <c r="V976">
        <f t="shared" si="95"/>
        <v>2.3307314936672143</v>
      </c>
    </row>
    <row r="977" spans="1:22" x14ac:dyDescent="0.35">
      <c r="A977" t="s">
        <v>2016</v>
      </c>
      <c r="B977" s="1">
        <v>45473</v>
      </c>
      <c r="C977" t="s">
        <v>2017</v>
      </c>
      <c r="D977" t="s">
        <v>49</v>
      </c>
      <c r="E977" t="s">
        <v>38</v>
      </c>
      <c r="F977" t="s">
        <v>39</v>
      </c>
      <c r="G977" t="s">
        <v>79</v>
      </c>
      <c r="H977" t="s">
        <v>103</v>
      </c>
      <c r="I977">
        <v>11</v>
      </c>
      <c r="J977">
        <v>419.97</v>
      </c>
      <c r="K977">
        <v>0.1</v>
      </c>
      <c r="L977">
        <v>4157.7</v>
      </c>
      <c r="M977">
        <v>3173.83</v>
      </c>
      <c r="N977">
        <v>983.87</v>
      </c>
      <c r="O977" t="s">
        <v>33</v>
      </c>
      <c r="P977">
        <v>5</v>
      </c>
      <c r="Q977" t="str">
        <f t="shared" si="90"/>
        <v>June</v>
      </c>
      <c r="R977" t="str">
        <f t="shared" si="91"/>
        <v>Q2</v>
      </c>
      <c r="S977">
        <f t="shared" si="92"/>
        <v>2024</v>
      </c>
      <c r="T977">
        <f t="shared" si="93"/>
        <v>93580.89</v>
      </c>
      <c r="U977">
        <f t="shared" si="94"/>
        <v>28143.709999999995</v>
      </c>
      <c r="V977">
        <f t="shared" si="95"/>
        <v>2.3251085233609934</v>
      </c>
    </row>
    <row r="978" spans="1:22" x14ac:dyDescent="0.35">
      <c r="A978" t="s">
        <v>2018</v>
      </c>
      <c r="B978" s="1">
        <v>45435</v>
      </c>
      <c r="C978" t="s">
        <v>2019</v>
      </c>
      <c r="D978" t="s">
        <v>19</v>
      </c>
      <c r="E978" t="s">
        <v>30</v>
      </c>
      <c r="F978" t="s">
        <v>21</v>
      </c>
      <c r="G978" t="s">
        <v>22</v>
      </c>
      <c r="H978" t="s">
        <v>32</v>
      </c>
      <c r="I978">
        <v>1</v>
      </c>
      <c r="J978">
        <v>183.71</v>
      </c>
      <c r="K978">
        <v>0.1</v>
      </c>
      <c r="L978">
        <v>165.34</v>
      </c>
      <c r="M978">
        <v>116.9</v>
      </c>
      <c r="N978">
        <v>48.44</v>
      </c>
      <c r="O978" t="s">
        <v>33</v>
      </c>
      <c r="P978">
        <v>1</v>
      </c>
      <c r="Q978" t="str">
        <f t="shared" si="90"/>
        <v>May</v>
      </c>
      <c r="R978" t="str">
        <f t="shared" si="91"/>
        <v>Q2</v>
      </c>
      <c r="S978">
        <f t="shared" si="92"/>
        <v>2024</v>
      </c>
      <c r="T978">
        <f t="shared" si="93"/>
        <v>89423.189999999988</v>
      </c>
      <c r="U978">
        <f t="shared" si="94"/>
        <v>27159.839999999993</v>
      </c>
      <c r="V978">
        <f t="shared" si="95"/>
        <v>2.292478527119453</v>
      </c>
    </row>
    <row r="979" spans="1:22" x14ac:dyDescent="0.35">
      <c r="A979" t="s">
        <v>2020</v>
      </c>
      <c r="B979" s="1">
        <v>45599</v>
      </c>
      <c r="C979" t="s">
        <v>2021</v>
      </c>
      <c r="D979" t="s">
        <v>66</v>
      </c>
      <c r="E979" t="s">
        <v>85</v>
      </c>
      <c r="F979" t="s">
        <v>21</v>
      </c>
      <c r="G979" t="s">
        <v>79</v>
      </c>
      <c r="H979" t="s">
        <v>89</v>
      </c>
      <c r="I979">
        <v>5</v>
      </c>
      <c r="J979">
        <v>768.55</v>
      </c>
      <c r="K979">
        <v>0.1</v>
      </c>
      <c r="L979">
        <v>3458.47</v>
      </c>
      <c r="M979">
        <v>2879.75</v>
      </c>
      <c r="N979">
        <v>578.72</v>
      </c>
      <c r="O979" t="s">
        <v>62</v>
      </c>
      <c r="P979">
        <v>1</v>
      </c>
      <c r="Q979" t="str">
        <f t="shared" si="90"/>
        <v>November</v>
      </c>
      <c r="R979" t="str">
        <f t="shared" si="91"/>
        <v>Q4</v>
      </c>
      <c r="S979">
        <f t="shared" si="92"/>
        <v>2024</v>
      </c>
      <c r="T979">
        <f t="shared" si="93"/>
        <v>89257.849999999991</v>
      </c>
      <c r="U979">
        <f t="shared" si="94"/>
        <v>27111.399999999994</v>
      </c>
      <c r="V979">
        <f t="shared" si="95"/>
        <v>2.2922626644142321</v>
      </c>
    </row>
    <row r="980" spans="1:22" x14ac:dyDescent="0.35">
      <c r="A980" t="s">
        <v>2022</v>
      </c>
      <c r="B980" s="1">
        <v>45363</v>
      </c>
      <c r="C980" t="s">
        <v>2023</v>
      </c>
      <c r="D980" t="s">
        <v>49</v>
      </c>
      <c r="E980" t="s">
        <v>85</v>
      </c>
      <c r="F980" t="s">
        <v>21</v>
      </c>
      <c r="G980" t="s">
        <v>60</v>
      </c>
      <c r="H980" t="s">
        <v>119</v>
      </c>
      <c r="I980">
        <v>12</v>
      </c>
      <c r="J980">
        <v>813.74</v>
      </c>
      <c r="K980">
        <v>0.05</v>
      </c>
      <c r="L980">
        <v>9276.64</v>
      </c>
      <c r="M980">
        <v>7155.26</v>
      </c>
      <c r="N980">
        <v>2121.38</v>
      </c>
      <c r="O980" t="s">
        <v>33</v>
      </c>
      <c r="P980">
        <v>5</v>
      </c>
      <c r="Q980" t="str">
        <f t="shared" si="90"/>
        <v>March</v>
      </c>
      <c r="R980" t="str">
        <f t="shared" si="91"/>
        <v>Q1</v>
      </c>
      <c r="S980">
        <f t="shared" si="92"/>
        <v>2024</v>
      </c>
      <c r="T980">
        <f t="shared" si="93"/>
        <v>85799.37999999999</v>
      </c>
      <c r="U980">
        <f t="shared" si="94"/>
        <v>26532.679999999997</v>
      </c>
      <c r="V980">
        <f t="shared" si="95"/>
        <v>2.2337245992489265</v>
      </c>
    </row>
    <row r="981" spans="1:22" x14ac:dyDescent="0.35">
      <c r="A981" t="s">
        <v>2024</v>
      </c>
      <c r="B981" s="1">
        <v>45639</v>
      </c>
      <c r="C981" t="s">
        <v>2025</v>
      </c>
      <c r="D981" t="s">
        <v>49</v>
      </c>
      <c r="E981" t="s">
        <v>30</v>
      </c>
      <c r="F981" t="s">
        <v>39</v>
      </c>
      <c r="G981" t="s">
        <v>22</v>
      </c>
      <c r="H981" t="s">
        <v>23</v>
      </c>
      <c r="I981">
        <v>6</v>
      </c>
      <c r="J981">
        <v>1016.68</v>
      </c>
      <c r="K981">
        <v>0.05</v>
      </c>
      <c r="L981">
        <v>5795.08</v>
      </c>
      <c r="M981">
        <v>4407.4799999999996</v>
      </c>
      <c r="N981">
        <v>1387.6</v>
      </c>
      <c r="O981" t="s">
        <v>24</v>
      </c>
      <c r="P981">
        <v>4</v>
      </c>
      <c r="Q981" t="str">
        <f t="shared" si="90"/>
        <v>December</v>
      </c>
      <c r="R981" t="str">
        <f t="shared" si="91"/>
        <v>Q4</v>
      </c>
      <c r="S981">
        <f t="shared" si="92"/>
        <v>2024</v>
      </c>
      <c r="T981">
        <f t="shared" si="93"/>
        <v>76522.740000000005</v>
      </c>
      <c r="U981">
        <f t="shared" si="94"/>
        <v>24411.3</v>
      </c>
      <c r="V981">
        <f t="shared" si="95"/>
        <v>2.1347261309311674</v>
      </c>
    </row>
    <row r="982" spans="1:22" x14ac:dyDescent="0.35">
      <c r="A982" t="s">
        <v>2026</v>
      </c>
      <c r="B982" s="1">
        <v>45504</v>
      </c>
      <c r="C982" t="s">
        <v>2027</v>
      </c>
      <c r="D982" t="s">
        <v>66</v>
      </c>
      <c r="E982" t="s">
        <v>85</v>
      </c>
      <c r="F982" t="s">
        <v>31</v>
      </c>
      <c r="G982" t="s">
        <v>60</v>
      </c>
      <c r="H982" t="s">
        <v>61</v>
      </c>
      <c r="I982">
        <v>11</v>
      </c>
      <c r="J982">
        <v>1057.73</v>
      </c>
      <c r="K982">
        <v>0.15</v>
      </c>
      <c r="L982">
        <v>9889.7800000000007</v>
      </c>
      <c r="M982">
        <v>5332.66</v>
      </c>
      <c r="N982">
        <v>4557.12</v>
      </c>
      <c r="O982" t="s">
        <v>51</v>
      </c>
      <c r="P982">
        <v>5</v>
      </c>
      <c r="Q982" t="str">
        <f t="shared" si="90"/>
        <v>July</v>
      </c>
      <c r="R982" t="str">
        <f t="shared" si="91"/>
        <v>Q3</v>
      </c>
      <c r="S982">
        <f t="shared" si="92"/>
        <v>2024</v>
      </c>
      <c r="T982">
        <f t="shared" si="93"/>
        <v>70727.66</v>
      </c>
      <c r="U982">
        <f t="shared" si="94"/>
        <v>23023.7</v>
      </c>
      <c r="V982">
        <f t="shared" si="95"/>
        <v>2.0719502078293237</v>
      </c>
    </row>
    <row r="983" spans="1:22" x14ac:dyDescent="0.35">
      <c r="A983" t="s">
        <v>2028</v>
      </c>
      <c r="B983" s="1">
        <v>45305</v>
      </c>
      <c r="C983" t="s">
        <v>2029</v>
      </c>
      <c r="D983" t="s">
        <v>19</v>
      </c>
      <c r="E983" t="s">
        <v>98</v>
      </c>
      <c r="F983" t="s">
        <v>21</v>
      </c>
      <c r="G983" t="s">
        <v>43</v>
      </c>
      <c r="H983" t="s">
        <v>44</v>
      </c>
      <c r="I983">
        <v>6</v>
      </c>
      <c r="J983">
        <v>504.15</v>
      </c>
      <c r="K983">
        <v>0.05</v>
      </c>
      <c r="L983">
        <v>2873.65</v>
      </c>
      <c r="M983">
        <v>1639.92</v>
      </c>
      <c r="N983">
        <v>1233.73</v>
      </c>
      <c r="O983" t="s">
        <v>24</v>
      </c>
      <c r="P983">
        <v>4</v>
      </c>
      <c r="Q983" t="str">
        <f t="shared" si="90"/>
        <v>January</v>
      </c>
      <c r="R983" t="str">
        <f t="shared" si="91"/>
        <v>Q1</v>
      </c>
      <c r="S983">
        <f t="shared" si="92"/>
        <v>2024</v>
      </c>
      <c r="T983">
        <f t="shared" si="93"/>
        <v>60837.880000000012</v>
      </c>
      <c r="U983">
        <f t="shared" si="94"/>
        <v>18466.579999999998</v>
      </c>
      <c r="V983">
        <f t="shared" si="95"/>
        <v>2.2944854975853688</v>
      </c>
    </row>
    <row r="984" spans="1:22" x14ac:dyDescent="0.35">
      <c r="A984" t="s">
        <v>2030</v>
      </c>
      <c r="B984" s="1">
        <v>45406</v>
      </c>
      <c r="C984" t="s">
        <v>2031</v>
      </c>
      <c r="D984" t="s">
        <v>19</v>
      </c>
      <c r="E984" t="s">
        <v>38</v>
      </c>
      <c r="F984" t="s">
        <v>39</v>
      </c>
      <c r="G984" t="s">
        <v>22</v>
      </c>
      <c r="H984" t="s">
        <v>74</v>
      </c>
      <c r="I984">
        <v>7</v>
      </c>
      <c r="J984">
        <v>1160.73</v>
      </c>
      <c r="K984">
        <v>0</v>
      </c>
      <c r="L984">
        <v>8125.11</v>
      </c>
      <c r="M984">
        <v>6255.13</v>
      </c>
      <c r="N984">
        <v>1869.98</v>
      </c>
      <c r="O984" t="s">
        <v>51</v>
      </c>
      <c r="P984">
        <v>3</v>
      </c>
      <c r="Q984" t="str">
        <f t="shared" si="90"/>
        <v>April</v>
      </c>
      <c r="R984" t="str">
        <f t="shared" si="91"/>
        <v>Q2</v>
      </c>
      <c r="S984">
        <f t="shared" si="92"/>
        <v>2024</v>
      </c>
      <c r="T984">
        <f t="shared" si="93"/>
        <v>57964.23</v>
      </c>
      <c r="U984">
        <f t="shared" si="94"/>
        <v>17232.849999999995</v>
      </c>
      <c r="V984">
        <f t="shared" si="95"/>
        <v>2.3635893076304857</v>
      </c>
    </row>
    <row r="985" spans="1:22" x14ac:dyDescent="0.35">
      <c r="A985" t="s">
        <v>2032</v>
      </c>
      <c r="B985" s="1">
        <v>45328</v>
      </c>
      <c r="C985" t="s">
        <v>2033</v>
      </c>
      <c r="D985" t="s">
        <v>49</v>
      </c>
      <c r="E985" t="s">
        <v>38</v>
      </c>
      <c r="F985" t="s">
        <v>39</v>
      </c>
      <c r="G985" t="s">
        <v>22</v>
      </c>
      <c r="H985" t="s">
        <v>124</v>
      </c>
      <c r="I985">
        <v>8</v>
      </c>
      <c r="J985">
        <v>148.93</v>
      </c>
      <c r="K985">
        <v>0</v>
      </c>
      <c r="L985">
        <v>1191.44</v>
      </c>
      <c r="M985">
        <v>596.47</v>
      </c>
      <c r="N985">
        <v>594.97</v>
      </c>
      <c r="O985" t="s">
        <v>24</v>
      </c>
      <c r="P985">
        <v>3</v>
      </c>
      <c r="Q985" t="str">
        <f t="shared" si="90"/>
        <v>February</v>
      </c>
      <c r="R985" t="str">
        <f t="shared" si="91"/>
        <v>Q1</v>
      </c>
      <c r="S985">
        <f t="shared" si="92"/>
        <v>2024</v>
      </c>
      <c r="T985">
        <f t="shared" si="93"/>
        <v>49839.12</v>
      </c>
      <c r="U985">
        <f t="shared" si="94"/>
        <v>15362.869999999999</v>
      </c>
      <c r="V985">
        <f t="shared" si="95"/>
        <v>2.2441282130226972</v>
      </c>
    </row>
    <row r="986" spans="1:22" x14ac:dyDescent="0.35">
      <c r="A986" t="s">
        <v>2034</v>
      </c>
      <c r="B986" s="1">
        <v>45618</v>
      </c>
      <c r="C986" t="s">
        <v>2035</v>
      </c>
      <c r="D986" t="s">
        <v>29</v>
      </c>
      <c r="E986" t="s">
        <v>30</v>
      </c>
      <c r="F986" t="s">
        <v>39</v>
      </c>
      <c r="G986" t="s">
        <v>22</v>
      </c>
      <c r="H986" t="s">
        <v>74</v>
      </c>
      <c r="I986">
        <v>5</v>
      </c>
      <c r="J986">
        <v>242.78</v>
      </c>
      <c r="K986">
        <v>0.05</v>
      </c>
      <c r="L986">
        <v>1153.2</v>
      </c>
      <c r="M986">
        <v>867.83</v>
      </c>
      <c r="N986">
        <v>285.37</v>
      </c>
      <c r="O986" t="s">
        <v>24</v>
      </c>
      <c r="P986">
        <v>2</v>
      </c>
      <c r="Q986" t="str">
        <f t="shared" si="90"/>
        <v>November</v>
      </c>
      <c r="R986" t="str">
        <f t="shared" si="91"/>
        <v>Q4</v>
      </c>
      <c r="S986">
        <f t="shared" si="92"/>
        <v>2024</v>
      </c>
      <c r="T986">
        <f t="shared" si="93"/>
        <v>48647.680000000008</v>
      </c>
      <c r="U986">
        <f t="shared" si="94"/>
        <v>14767.899999999998</v>
      </c>
      <c r="V986">
        <f t="shared" si="95"/>
        <v>2.2941501499874741</v>
      </c>
    </row>
    <row r="987" spans="1:22" x14ac:dyDescent="0.35">
      <c r="A987" t="s">
        <v>2036</v>
      </c>
      <c r="B987" s="1">
        <v>45573</v>
      </c>
      <c r="C987" t="s">
        <v>2037</v>
      </c>
      <c r="D987" t="s">
        <v>37</v>
      </c>
      <c r="E987" t="s">
        <v>20</v>
      </c>
      <c r="F987" t="s">
        <v>21</v>
      </c>
      <c r="G987" t="s">
        <v>79</v>
      </c>
      <c r="H987" t="s">
        <v>80</v>
      </c>
      <c r="I987">
        <v>11</v>
      </c>
      <c r="J987">
        <v>1131.82</v>
      </c>
      <c r="K987">
        <v>0</v>
      </c>
      <c r="L987">
        <v>12450.02</v>
      </c>
      <c r="M987">
        <v>7512.49</v>
      </c>
      <c r="N987">
        <v>4937.53</v>
      </c>
      <c r="O987" t="s">
        <v>51</v>
      </c>
      <c r="P987">
        <v>2</v>
      </c>
      <c r="Q987" t="str">
        <f t="shared" si="90"/>
        <v>October</v>
      </c>
      <c r="R987" t="str">
        <f t="shared" si="91"/>
        <v>Q4</v>
      </c>
      <c r="S987">
        <f t="shared" si="92"/>
        <v>2024</v>
      </c>
      <c r="T987">
        <f t="shared" si="93"/>
        <v>47494.48</v>
      </c>
      <c r="U987">
        <f t="shared" si="94"/>
        <v>14482.529999999999</v>
      </c>
      <c r="V987">
        <f t="shared" si="95"/>
        <v>2.2794325300897018</v>
      </c>
    </row>
    <row r="988" spans="1:22" x14ac:dyDescent="0.35">
      <c r="A988" t="s">
        <v>2038</v>
      </c>
      <c r="B988" s="1">
        <v>45295</v>
      </c>
      <c r="C988" t="s">
        <v>2039</v>
      </c>
      <c r="D988" t="s">
        <v>19</v>
      </c>
      <c r="E988" t="s">
        <v>30</v>
      </c>
      <c r="F988" t="s">
        <v>21</v>
      </c>
      <c r="G988" t="s">
        <v>60</v>
      </c>
      <c r="H988" t="s">
        <v>61</v>
      </c>
      <c r="I988">
        <v>4</v>
      </c>
      <c r="J988">
        <v>520.36</v>
      </c>
      <c r="K988">
        <v>0</v>
      </c>
      <c r="L988">
        <v>2081.44</v>
      </c>
      <c r="M988">
        <v>1736.71</v>
      </c>
      <c r="N988">
        <v>344.73</v>
      </c>
      <c r="O988" t="s">
        <v>62</v>
      </c>
      <c r="P988">
        <v>2</v>
      </c>
      <c r="Q988" t="str">
        <f t="shared" si="90"/>
        <v>January</v>
      </c>
      <c r="R988" t="str">
        <f t="shared" si="91"/>
        <v>Q1</v>
      </c>
      <c r="S988">
        <f t="shared" si="92"/>
        <v>2024</v>
      </c>
      <c r="T988">
        <f t="shared" si="93"/>
        <v>35044.46</v>
      </c>
      <c r="U988">
        <f t="shared" si="94"/>
        <v>9545</v>
      </c>
      <c r="V988">
        <f t="shared" si="95"/>
        <v>2.6714992142482976</v>
      </c>
    </row>
    <row r="989" spans="1:22" x14ac:dyDescent="0.35">
      <c r="A989" t="s">
        <v>2040</v>
      </c>
      <c r="B989" s="1">
        <v>45376</v>
      </c>
      <c r="C989" t="s">
        <v>2041</v>
      </c>
      <c r="D989" t="s">
        <v>37</v>
      </c>
      <c r="E989" t="s">
        <v>38</v>
      </c>
      <c r="F989" t="s">
        <v>31</v>
      </c>
      <c r="G989" t="s">
        <v>79</v>
      </c>
      <c r="H989" t="s">
        <v>89</v>
      </c>
      <c r="I989">
        <v>10</v>
      </c>
      <c r="J989">
        <v>399.31</v>
      </c>
      <c r="K989">
        <v>0.1</v>
      </c>
      <c r="L989">
        <v>3593.79</v>
      </c>
      <c r="M989">
        <v>3029.5</v>
      </c>
      <c r="N989">
        <v>564.29</v>
      </c>
      <c r="O989" t="s">
        <v>62</v>
      </c>
      <c r="P989">
        <v>2</v>
      </c>
      <c r="Q989" t="str">
        <f t="shared" si="90"/>
        <v>March</v>
      </c>
      <c r="R989" t="str">
        <f t="shared" si="91"/>
        <v>Q1</v>
      </c>
      <c r="S989">
        <f t="shared" si="92"/>
        <v>2024</v>
      </c>
      <c r="T989">
        <f t="shared" si="93"/>
        <v>32963.019999999997</v>
      </c>
      <c r="U989">
        <f t="shared" si="94"/>
        <v>9200.27</v>
      </c>
      <c r="V989">
        <f t="shared" si="95"/>
        <v>2.582831808196933</v>
      </c>
    </row>
    <row r="990" spans="1:22" x14ac:dyDescent="0.35">
      <c r="A990" t="s">
        <v>2042</v>
      </c>
      <c r="B990" s="1">
        <v>45549</v>
      </c>
      <c r="C990" t="s">
        <v>2043</v>
      </c>
      <c r="D990" t="s">
        <v>37</v>
      </c>
      <c r="E990" t="s">
        <v>38</v>
      </c>
      <c r="F990" t="s">
        <v>31</v>
      </c>
      <c r="G990" t="s">
        <v>79</v>
      </c>
      <c r="H990" t="s">
        <v>89</v>
      </c>
      <c r="I990">
        <v>7</v>
      </c>
      <c r="J990">
        <v>190.47</v>
      </c>
      <c r="K990">
        <v>0</v>
      </c>
      <c r="L990">
        <v>1333.29</v>
      </c>
      <c r="M990">
        <v>829.28</v>
      </c>
      <c r="N990">
        <v>504.01</v>
      </c>
      <c r="O990" t="s">
        <v>24</v>
      </c>
      <c r="P990">
        <v>2</v>
      </c>
      <c r="Q990" t="str">
        <f t="shared" si="90"/>
        <v>September</v>
      </c>
      <c r="R990" t="str">
        <f t="shared" si="91"/>
        <v>Q3</v>
      </c>
      <c r="S990">
        <f t="shared" si="92"/>
        <v>2024</v>
      </c>
      <c r="T990">
        <f t="shared" si="93"/>
        <v>29369.23</v>
      </c>
      <c r="U990">
        <f t="shared" si="94"/>
        <v>8635.98</v>
      </c>
      <c r="V990">
        <f t="shared" si="95"/>
        <v>2.400798751270846</v>
      </c>
    </row>
    <row r="991" spans="1:22" x14ac:dyDescent="0.35">
      <c r="A991" t="s">
        <v>2044</v>
      </c>
      <c r="B991" s="1">
        <v>45507</v>
      </c>
      <c r="C991" t="s">
        <v>2045</v>
      </c>
      <c r="D991" t="s">
        <v>37</v>
      </c>
      <c r="E991" t="s">
        <v>85</v>
      </c>
      <c r="F991" t="s">
        <v>31</v>
      </c>
      <c r="G991" t="s">
        <v>79</v>
      </c>
      <c r="H991" t="s">
        <v>80</v>
      </c>
      <c r="I991">
        <v>6</v>
      </c>
      <c r="J991">
        <v>941.86</v>
      </c>
      <c r="K991">
        <v>0.05</v>
      </c>
      <c r="L991">
        <v>5368.6</v>
      </c>
      <c r="M991">
        <v>4079.12</v>
      </c>
      <c r="N991">
        <v>1289.48</v>
      </c>
      <c r="O991" t="s">
        <v>62</v>
      </c>
      <c r="P991">
        <v>3</v>
      </c>
      <c r="Q991" t="str">
        <f t="shared" si="90"/>
        <v>August</v>
      </c>
      <c r="R991" t="str">
        <f t="shared" si="91"/>
        <v>Q3</v>
      </c>
      <c r="S991">
        <f t="shared" si="92"/>
        <v>2024</v>
      </c>
      <c r="T991">
        <f t="shared" si="93"/>
        <v>28035.94</v>
      </c>
      <c r="U991">
        <f t="shared" si="94"/>
        <v>8131.9699999999993</v>
      </c>
      <c r="V991">
        <f t="shared" si="95"/>
        <v>2.447619703466688</v>
      </c>
    </row>
    <row r="992" spans="1:22" x14ac:dyDescent="0.35">
      <c r="A992" t="s">
        <v>2046</v>
      </c>
      <c r="B992" s="1">
        <v>45319</v>
      </c>
      <c r="C992" t="s">
        <v>2047</v>
      </c>
      <c r="D992" t="s">
        <v>29</v>
      </c>
      <c r="E992" t="s">
        <v>85</v>
      </c>
      <c r="F992" t="s">
        <v>31</v>
      </c>
      <c r="G992" t="s">
        <v>22</v>
      </c>
      <c r="H992" t="s">
        <v>74</v>
      </c>
      <c r="I992">
        <v>4</v>
      </c>
      <c r="J992">
        <v>264.27</v>
      </c>
      <c r="K992">
        <v>0.05</v>
      </c>
      <c r="L992">
        <v>1004.23</v>
      </c>
      <c r="M992">
        <v>851.81</v>
      </c>
      <c r="N992">
        <v>152.41999999999999</v>
      </c>
      <c r="O992" t="s">
        <v>51</v>
      </c>
      <c r="P992">
        <v>4</v>
      </c>
      <c r="Q992" t="str">
        <f t="shared" si="90"/>
        <v>January</v>
      </c>
      <c r="R992" t="str">
        <f t="shared" si="91"/>
        <v>Q1</v>
      </c>
      <c r="S992">
        <f t="shared" si="92"/>
        <v>2024</v>
      </c>
      <c r="T992">
        <f t="shared" si="93"/>
        <v>22667.34</v>
      </c>
      <c r="U992">
        <f t="shared" si="94"/>
        <v>6842.49</v>
      </c>
      <c r="V992">
        <f t="shared" si="95"/>
        <v>2.312732645572007</v>
      </c>
    </row>
    <row r="993" spans="1:22" x14ac:dyDescent="0.35">
      <c r="A993" t="s">
        <v>2048</v>
      </c>
      <c r="B993" s="1">
        <v>45561</v>
      </c>
      <c r="C993" t="s">
        <v>2049</v>
      </c>
      <c r="D993" t="s">
        <v>19</v>
      </c>
      <c r="E993" t="s">
        <v>98</v>
      </c>
      <c r="F993" t="s">
        <v>39</v>
      </c>
      <c r="G993" t="s">
        <v>79</v>
      </c>
      <c r="H993" t="s">
        <v>89</v>
      </c>
      <c r="I993">
        <v>3</v>
      </c>
      <c r="J993">
        <v>705.7</v>
      </c>
      <c r="K993">
        <v>0.1</v>
      </c>
      <c r="L993">
        <v>1905.39</v>
      </c>
      <c r="M993">
        <v>958.25</v>
      </c>
      <c r="N993">
        <v>947.14</v>
      </c>
      <c r="O993" t="s">
        <v>51</v>
      </c>
      <c r="P993">
        <v>1</v>
      </c>
      <c r="Q993" t="str">
        <f t="shared" si="90"/>
        <v>September</v>
      </c>
      <c r="R993" t="str">
        <f t="shared" si="91"/>
        <v>Q3</v>
      </c>
      <c r="S993">
        <f t="shared" si="92"/>
        <v>2024</v>
      </c>
      <c r="T993">
        <f t="shared" si="93"/>
        <v>21663.11</v>
      </c>
      <c r="U993">
        <f t="shared" si="94"/>
        <v>6690.07</v>
      </c>
      <c r="V993">
        <f t="shared" si="95"/>
        <v>2.2380991529236618</v>
      </c>
    </row>
    <row r="994" spans="1:22" x14ac:dyDescent="0.35">
      <c r="A994" t="s">
        <v>2050</v>
      </c>
      <c r="B994" s="1">
        <v>45621</v>
      </c>
      <c r="C994" t="s">
        <v>2051</v>
      </c>
      <c r="D994" t="s">
        <v>37</v>
      </c>
      <c r="E994" t="s">
        <v>85</v>
      </c>
      <c r="F994" t="s">
        <v>21</v>
      </c>
      <c r="G994" t="s">
        <v>22</v>
      </c>
      <c r="H994" t="s">
        <v>74</v>
      </c>
      <c r="I994">
        <v>2</v>
      </c>
      <c r="J994">
        <v>343.74</v>
      </c>
      <c r="K994">
        <v>0</v>
      </c>
      <c r="L994">
        <v>687.48</v>
      </c>
      <c r="M994">
        <v>479.69</v>
      </c>
      <c r="N994">
        <v>207.79</v>
      </c>
      <c r="O994" t="s">
        <v>24</v>
      </c>
      <c r="P994">
        <v>2</v>
      </c>
      <c r="Q994" t="str">
        <f t="shared" si="90"/>
        <v>November</v>
      </c>
      <c r="R994" t="str">
        <f t="shared" si="91"/>
        <v>Q4</v>
      </c>
      <c r="S994">
        <f t="shared" si="92"/>
        <v>2024</v>
      </c>
      <c r="T994">
        <f t="shared" si="93"/>
        <v>19757.72</v>
      </c>
      <c r="U994">
        <f t="shared" si="94"/>
        <v>5742.93</v>
      </c>
      <c r="V994">
        <f t="shared" si="95"/>
        <v>2.4403553586757978</v>
      </c>
    </row>
    <row r="995" spans="1:22" x14ac:dyDescent="0.35">
      <c r="A995" t="s">
        <v>2052</v>
      </c>
      <c r="B995" s="1">
        <v>45563</v>
      </c>
      <c r="C995" t="s">
        <v>2053</v>
      </c>
      <c r="D995" t="s">
        <v>49</v>
      </c>
      <c r="E995" t="s">
        <v>38</v>
      </c>
      <c r="F995" t="s">
        <v>39</v>
      </c>
      <c r="G995" t="s">
        <v>79</v>
      </c>
      <c r="H995" t="s">
        <v>80</v>
      </c>
      <c r="I995">
        <v>8</v>
      </c>
      <c r="J995">
        <v>121.94</v>
      </c>
      <c r="K995">
        <v>0.05</v>
      </c>
      <c r="L995">
        <v>926.74</v>
      </c>
      <c r="M995">
        <v>724.94</v>
      </c>
      <c r="N995">
        <v>201.8</v>
      </c>
      <c r="O995" t="s">
        <v>33</v>
      </c>
      <c r="P995">
        <v>2</v>
      </c>
      <c r="Q995" t="str">
        <f t="shared" si="90"/>
        <v>September</v>
      </c>
      <c r="R995" t="str">
        <f t="shared" si="91"/>
        <v>Q3</v>
      </c>
      <c r="S995">
        <f t="shared" si="92"/>
        <v>2024</v>
      </c>
      <c r="T995">
        <f t="shared" si="93"/>
        <v>19070.239999999998</v>
      </c>
      <c r="U995">
        <f t="shared" si="94"/>
        <v>5535.1399999999994</v>
      </c>
      <c r="V995">
        <f t="shared" si="95"/>
        <v>2.4453040031507784</v>
      </c>
    </row>
    <row r="996" spans="1:22" x14ac:dyDescent="0.35">
      <c r="A996" t="s">
        <v>2054</v>
      </c>
      <c r="B996" s="1">
        <v>45448</v>
      </c>
      <c r="C996" t="s">
        <v>942</v>
      </c>
      <c r="D996" t="s">
        <v>49</v>
      </c>
      <c r="E996" t="s">
        <v>20</v>
      </c>
      <c r="F996" t="s">
        <v>31</v>
      </c>
      <c r="G996" t="s">
        <v>60</v>
      </c>
      <c r="H996" t="s">
        <v>61</v>
      </c>
      <c r="I996">
        <v>2</v>
      </c>
      <c r="J996">
        <v>325.55</v>
      </c>
      <c r="K996">
        <v>0.05</v>
      </c>
      <c r="L996">
        <v>618.54</v>
      </c>
      <c r="M996">
        <v>312.63</v>
      </c>
      <c r="N996">
        <v>305.91000000000003</v>
      </c>
      <c r="O996" t="s">
        <v>24</v>
      </c>
      <c r="P996">
        <v>5</v>
      </c>
      <c r="Q996" t="str">
        <f t="shared" si="90"/>
        <v>June</v>
      </c>
      <c r="R996" t="str">
        <f t="shared" si="91"/>
        <v>Q2</v>
      </c>
      <c r="S996">
        <f t="shared" si="92"/>
        <v>2024</v>
      </c>
      <c r="T996">
        <f t="shared" si="93"/>
        <v>18143.5</v>
      </c>
      <c r="U996">
        <f t="shared" si="94"/>
        <v>5333.34</v>
      </c>
      <c r="V996">
        <f t="shared" si="95"/>
        <v>2.4019019976225029</v>
      </c>
    </row>
    <row r="997" spans="1:22" x14ac:dyDescent="0.35">
      <c r="A997" t="s">
        <v>2055</v>
      </c>
      <c r="B997" s="1">
        <v>45506</v>
      </c>
      <c r="C997" t="s">
        <v>2056</v>
      </c>
      <c r="D997" t="s">
        <v>19</v>
      </c>
      <c r="E997" t="s">
        <v>38</v>
      </c>
      <c r="F997" t="s">
        <v>21</v>
      </c>
      <c r="G997" t="s">
        <v>43</v>
      </c>
      <c r="H997" t="s">
        <v>50</v>
      </c>
      <c r="I997">
        <v>7</v>
      </c>
      <c r="J997">
        <v>764.96</v>
      </c>
      <c r="K997">
        <v>0.05</v>
      </c>
      <c r="L997">
        <v>5086.9799999999996</v>
      </c>
      <c r="M997">
        <v>4302.43</v>
      </c>
      <c r="N997">
        <v>784.55</v>
      </c>
      <c r="O997" t="s">
        <v>51</v>
      </c>
      <c r="P997">
        <v>4</v>
      </c>
      <c r="Q997" t="str">
        <f t="shared" si="90"/>
        <v>August</v>
      </c>
      <c r="R997" t="str">
        <f t="shared" si="91"/>
        <v>Q3</v>
      </c>
      <c r="S997">
        <f t="shared" si="92"/>
        <v>2024</v>
      </c>
      <c r="T997">
        <f t="shared" si="93"/>
        <v>17524.96</v>
      </c>
      <c r="U997">
        <f t="shared" si="94"/>
        <v>5027.4299999999994</v>
      </c>
      <c r="V997">
        <f t="shared" si="95"/>
        <v>2.4858685252703667</v>
      </c>
    </row>
    <row r="998" spans="1:22" x14ac:dyDescent="0.35">
      <c r="A998" t="s">
        <v>2057</v>
      </c>
      <c r="B998" s="1">
        <v>45449</v>
      </c>
      <c r="C998" t="s">
        <v>2058</v>
      </c>
      <c r="D998" t="s">
        <v>29</v>
      </c>
      <c r="E998" t="s">
        <v>38</v>
      </c>
      <c r="F998" t="s">
        <v>39</v>
      </c>
      <c r="G998" t="s">
        <v>60</v>
      </c>
      <c r="H998" t="s">
        <v>61</v>
      </c>
      <c r="I998">
        <v>7</v>
      </c>
      <c r="J998">
        <v>900.81</v>
      </c>
      <c r="K998">
        <v>0.05</v>
      </c>
      <c r="L998">
        <v>5990.39</v>
      </c>
      <c r="M998">
        <v>3744.5</v>
      </c>
      <c r="N998">
        <v>2245.89</v>
      </c>
      <c r="O998" t="s">
        <v>33</v>
      </c>
      <c r="P998">
        <v>2</v>
      </c>
      <c r="Q998" t="str">
        <f t="shared" si="90"/>
        <v>June</v>
      </c>
      <c r="R998" t="str">
        <f t="shared" si="91"/>
        <v>Q2</v>
      </c>
      <c r="S998">
        <f t="shared" si="92"/>
        <v>2024</v>
      </c>
      <c r="T998">
        <f t="shared" si="93"/>
        <v>12437.98</v>
      </c>
      <c r="U998">
        <f t="shared" si="94"/>
        <v>4242.88</v>
      </c>
      <c r="V998">
        <f t="shared" si="95"/>
        <v>1.9314946451466923</v>
      </c>
    </row>
    <row r="999" spans="1:22" x14ac:dyDescent="0.35">
      <c r="A999" t="s">
        <v>2059</v>
      </c>
      <c r="B999" s="1">
        <v>45452</v>
      </c>
      <c r="C999" t="s">
        <v>2060</v>
      </c>
      <c r="D999" t="s">
        <v>66</v>
      </c>
      <c r="E999" t="s">
        <v>30</v>
      </c>
      <c r="F999" t="s">
        <v>21</v>
      </c>
      <c r="G999" t="s">
        <v>22</v>
      </c>
      <c r="H999" t="s">
        <v>32</v>
      </c>
      <c r="I999">
        <v>3</v>
      </c>
      <c r="J999">
        <v>776.64</v>
      </c>
      <c r="K999">
        <v>0.1</v>
      </c>
      <c r="L999">
        <v>2096.9299999999998</v>
      </c>
      <c r="M999">
        <v>1410.12</v>
      </c>
      <c r="N999">
        <v>686.81</v>
      </c>
      <c r="O999" t="s">
        <v>33</v>
      </c>
      <c r="P999">
        <v>1</v>
      </c>
      <c r="Q999" t="str">
        <f t="shared" si="90"/>
        <v>June</v>
      </c>
      <c r="R999" t="str">
        <f t="shared" si="91"/>
        <v>Q2</v>
      </c>
      <c r="S999">
        <f t="shared" si="92"/>
        <v>2024</v>
      </c>
      <c r="T999">
        <f t="shared" si="93"/>
        <v>6447.59</v>
      </c>
      <c r="U999">
        <f t="shared" si="94"/>
        <v>1996.99</v>
      </c>
      <c r="V999">
        <f t="shared" si="95"/>
        <v>2.2286541244573086</v>
      </c>
    </row>
    <row r="1000" spans="1:22" x14ac:dyDescent="0.35">
      <c r="A1000" t="s">
        <v>2061</v>
      </c>
      <c r="B1000" s="1">
        <v>45421</v>
      </c>
      <c r="C1000" t="s">
        <v>2062</v>
      </c>
      <c r="D1000" t="s">
        <v>49</v>
      </c>
      <c r="E1000" t="s">
        <v>38</v>
      </c>
      <c r="F1000" t="s">
        <v>31</v>
      </c>
      <c r="G1000" t="s">
        <v>43</v>
      </c>
      <c r="H1000" t="s">
        <v>44</v>
      </c>
      <c r="I1000">
        <v>6</v>
      </c>
      <c r="J1000">
        <v>93.07</v>
      </c>
      <c r="K1000">
        <v>0.15</v>
      </c>
      <c r="L1000">
        <v>474.66</v>
      </c>
      <c r="M1000">
        <v>391.66</v>
      </c>
      <c r="N1000">
        <v>83</v>
      </c>
      <c r="O1000" t="s">
        <v>24</v>
      </c>
      <c r="P1000">
        <v>3</v>
      </c>
      <c r="Q1000" t="str">
        <f t="shared" si="90"/>
        <v>May</v>
      </c>
      <c r="R1000" t="str">
        <f t="shared" si="91"/>
        <v>Q2</v>
      </c>
      <c r="S1000">
        <f t="shared" si="92"/>
        <v>2024</v>
      </c>
      <c r="T1000">
        <f t="shared" si="93"/>
        <v>4350.66</v>
      </c>
      <c r="U1000">
        <f t="shared" si="94"/>
        <v>1310.18</v>
      </c>
      <c r="V1000">
        <f t="shared" si="95"/>
        <v>2.3206582301668468</v>
      </c>
    </row>
    <row r="1001" spans="1:22" x14ac:dyDescent="0.35">
      <c r="A1001" t="s">
        <v>2063</v>
      </c>
      <c r="B1001" s="1">
        <v>45416</v>
      </c>
      <c r="C1001" t="s">
        <v>2064</v>
      </c>
      <c r="D1001" t="s">
        <v>37</v>
      </c>
      <c r="E1001" t="s">
        <v>98</v>
      </c>
      <c r="F1001" t="s">
        <v>31</v>
      </c>
      <c r="G1001" t="s">
        <v>79</v>
      </c>
      <c r="H1001" t="s">
        <v>103</v>
      </c>
      <c r="I1001">
        <v>6</v>
      </c>
      <c r="J1001">
        <v>680</v>
      </c>
      <c r="K1001">
        <v>0.05</v>
      </c>
      <c r="L1001">
        <v>3876</v>
      </c>
      <c r="M1001">
        <v>2648.82</v>
      </c>
      <c r="N1001">
        <v>1227.18</v>
      </c>
      <c r="O1001" t="s">
        <v>62</v>
      </c>
      <c r="P1001">
        <v>5</v>
      </c>
      <c r="Q1001" t="str">
        <f t="shared" si="90"/>
        <v>May</v>
      </c>
      <c r="R1001" t="str">
        <f t="shared" si="91"/>
        <v>Q2</v>
      </c>
      <c r="S1001">
        <f t="shared" si="92"/>
        <v>2024</v>
      </c>
      <c r="T1001">
        <f t="shared" si="93"/>
        <v>3876</v>
      </c>
      <c r="U1001">
        <f t="shared" si="94"/>
        <v>1227.18</v>
      </c>
      <c r="V1001">
        <f t="shared" si="95"/>
        <v>2.158460861487312</v>
      </c>
    </row>
  </sheetData>
  <conditionalFormatting sqref="A1:T1001">
    <cfRule type="top10" dxfId="9" priority="11" bottom="1" rank="10"/>
    <cfRule type="top10" dxfId="8" priority="12" rank="10"/>
    <cfRule type="top10" dxfId="7" priority="13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sales_dataset_csv</vt:lpstr>
      <vt:lpstr>Sheet2</vt:lpstr>
      <vt:lpstr>Sheet8</vt:lpstr>
      <vt:lpstr>Sheet9</vt:lpstr>
      <vt:lpstr>Sheet10</vt:lpstr>
      <vt:lpstr>Sheet11</vt:lpstr>
      <vt:lpstr>sales_dataset_csv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2026-05-28T04:08:17Z</dcterms:created>
  <dcterms:modified xsi:type="dcterms:W3CDTF">2026-06-07T06:59:25Z</dcterms:modified>
</cp:coreProperties>
</file>