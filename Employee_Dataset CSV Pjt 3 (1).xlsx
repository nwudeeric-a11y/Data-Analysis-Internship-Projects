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INTERNSHIP folder\Internship 2\WK 3 folder\"/>
    </mc:Choice>
  </mc:AlternateContent>
  <xr:revisionPtr revIDLastSave="0" documentId="13_ncr:1_{6B8B6781-0A1E-4006-9E27-1CD14D0221D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mployee_Retention_Data" sheetId="1" r:id="rId1"/>
    <sheet name="Sheet1" sheetId="3" r:id="rId2"/>
    <sheet name="Employee_Retention_Data (2)" sheetId="2" r:id="rId3"/>
  </sheets>
  <calcPr calcId="181029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" i="2" l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B2" i="2" l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</calcChain>
</file>

<file path=xl/sharedStrings.xml><?xml version="1.0" encoding="utf-8"?>
<sst xmlns="http://schemas.openxmlformats.org/spreadsheetml/2006/main" count="16116" uniqueCount="1996">
  <si>
    <t>EmployeeID</t>
  </si>
  <si>
    <t>FirstName</t>
  </si>
  <si>
    <t>LastName</t>
  </si>
  <si>
    <t>Gender</t>
  </si>
  <si>
    <t>Age</t>
  </si>
  <si>
    <t>Department</t>
  </si>
  <si>
    <t>EmployeeRole</t>
  </si>
  <si>
    <t>HireDate</t>
  </si>
  <si>
    <t>YearsAtCompany</t>
  </si>
  <si>
    <t>TotalExperienceYears</t>
  </si>
  <si>
    <t>Salary</t>
  </si>
  <si>
    <t>PerformanceRating</t>
  </si>
  <si>
    <t>AttritionStatus</t>
  </si>
  <si>
    <t>RetentionRatePercent</t>
  </si>
  <si>
    <t>EMP0001</t>
  </si>
  <si>
    <t>Peter</t>
  </si>
  <si>
    <t>Brown</t>
  </si>
  <si>
    <t>Male</t>
  </si>
  <si>
    <t>HR</t>
  </si>
  <si>
    <t>Administrative Assistant</t>
  </si>
  <si>
    <t>2021-05-16</t>
  </si>
  <si>
    <t>Yes</t>
  </si>
  <si>
    <t>EMP0002</t>
  </si>
  <si>
    <t>David</t>
  </si>
  <si>
    <t>Williams</t>
  </si>
  <si>
    <t>Female</t>
  </si>
  <si>
    <t>Operations Manager</t>
  </si>
  <si>
    <t>2022-06-04</t>
  </si>
  <si>
    <t>EMP0003</t>
  </si>
  <si>
    <t>Daniel</t>
  </si>
  <si>
    <t>Smith</t>
  </si>
  <si>
    <t>IT</t>
  </si>
  <si>
    <t>Software Developer</t>
  </si>
  <si>
    <t>2022-11-01</t>
  </si>
  <si>
    <t>EMP0004</t>
  </si>
  <si>
    <t>Sarah</t>
  </si>
  <si>
    <t>Ibrahim</t>
  </si>
  <si>
    <t>Finance</t>
  </si>
  <si>
    <t>2020-04-24</t>
  </si>
  <si>
    <t>EMP0005</t>
  </si>
  <si>
    <t>Mary</t>
  </si>
  <si>
    <t>Financial Analyst</t>
  </si>
  <si>
    <t>2014-02-11</t>
  </si>
  <si>
    <t>No</t>
  </si>
  <si>
    <t>EMP0006</t>
  </si>
  <si>
    <t>John</t>
  </si>
  <si>
    <t>Sales</t>
  </si>
  <si>
    <t>2024-12-24</t>
  </si>
  <si>
    <t>EMP0007</t>
  </si>
  <si>
    <t>Jones</t>
  </si>
  <si>
    <t>2023-01-24</t>
  </si>
  <si>
    <t>EMP0008</t>
  </si>
  <si>
    <t>Ahmed</t>
  </si>
  <si>
    <t>2019-05-01</t>
  </si>
  <si>
    <t>EMP0009</t>
  </si>
  <si>
    <t>Grace</t>
  </si>
  <si>
    <t>Okoro</t>
  </si>
  <si>
    <t>Data Analyst</t>
  </si>
  <si>
    <t>2023-09-10</t>
  </si>
  <si>
    <t>EMP0010</t>
  </si>
  <si>
    <t>Hauwa</t>
  </si>
  <si>
    <t>Marketing Specialist</t>
  </si>
  <si>
    <t>2020-07-26</t>
  </si>
  <si>
    <t>EMP0011</t>
  </si>
  <si>
    <t>Garba</t>
  </si>
  <si>
    <t>2025-04-22</t>
  </si>
  <si>
    <t>EMP0012</t>
  </si>
  <si>
    <t>2022-07-20</t>
  </si>
  <si>
    <t>EMP0013</t>
  </si>
  <si>
    <t>Fatima</t>
  </si>
  <si>
    <t>Admin</t>
  </si>
  <si>
    <t>HR Officer</t>
  </si>
  <si>
    <t>2014-02-15</t>
  </si>
  <si>
    <t>EMP0014</t>
  </si>
  <si>
    <t>Marketing</t>
  </si>
  <si>
    <t>Sales Executive</t>
  </si>
  <si>
    <t>2023-08-29</t>
  </si>
  <si>
    <t>EMP0015</t>
  </si>
  <si>
    <t>Amina</t>
  </si>
  <si>
    <t>Operations</t>
  </si>
  <si>
    <t>2017-09-05</t>
  </si>
  <si>
    <t>EMP0016</t>
  </si>
  <si>
    <t>Johnson</t>
  </si>
  <si>
    <t>2013-11-17</t>
  </si>
  <si>
    <t>EMP0017</t>
  </si>
  <si>
    <t>IT Support</t>
  </si>
  <si>
    <t>2021-07-11</t>
  </si>
  <si>
    <t>EMP0018</t>
  </si>
  <si>
    <t>Project Manager</t>
  </si>
  <si>
    <t>2022-07-22</t>
  </si>
  <si>
    <t>EMP0019</t>
  </si>
  <si>
    <t>2021-12-23</t>
  </si>
  <si>
    <t>EMP0020</t>
  </si>
  <si>
    <t>Musa</t>
  </si>
  <si>
    <t>2014-03-14</t>
  </si>
  <si>
    <t>EMP0021</t>
  </si>
  <si>
    <t>Michael</t>
  </si>
  <si>
    <t>2015-01-24</t>
  </si>
  <si>
    <t>EMP0022</t>
  </si>
  <si>
    <t>2014-08-02</t>
  </si>
  <si>
    <t>EMP0023</t>
  </si>
  <si>
    <t>2017-08-28</t>
  </si>
  <si>
    <t>EMP0024</t>
  </si>
  <si>
    <t>2017-09-06</t>
  </si>
  <si>
    <t>EMP0025</t>
  </si>
  <si>
    <t>2015-08-26</t>
  </si>
  <si>
    <t>EMP0026</t>
  </si>
  <si>
    <t>2021-02-01</t>
  </si>
  <si>
    <t>EMP0027</t>
  </si>
  <si>
    <t>2017-04-10</t>
  </si>
  <si>
    <t>EMP0028</t>
  </si>
  <si>
    <t>James</t>
  </si>
  <si>
    <t>2012-03-18</t>
  </si>
  <si>
    <t>EMP0029</t>
  </si>
  <si>
    <t>2016-09-26</t>
  </si>
  <si>
    <t>EMP0030</t>
  </si>
  <si>
    <t>2024-06-16</t>
  </si>
  <si>
    <t>EMP0031</t>
  </si>
  <si>
    <t>2025-03-04</t>
  </si>
  <si>
    <t>EMP0032</t>
  </si>
  <si>
    <t>2022-09-13</t>
  </si>
  <si>
    <t>EMP0033</t>
  </si>
  <si>
    <t>2022-03-13</t>
  </si>
  <si>
    <t>EMP0034</t>
  </si>
  <si>
    <t>2024-02-09</t>
  </si>
  <si>
    <t>EMP0035</t>
  </si>
  <si>
    <t>2019-02-22</t>
  </si>
  <si>
    <t>EMP0036</t>
  </si>
  <si>
    <t>2024-05-15</t>
  </si>
  <si>
    <t>EMP0037</t>
  </si>
  <si>
    <t>2023-07-07</t>
  </si>
  <si>
    <t>EMP0038</t>
  </si>
  <si>
    <t>2021-03-04</t>
  </si>
  <si>
    <t>EMP0039</t>
  </si>
  <si>
    <t>2019-01-03</t>
  </si>
  <si>
    <t>EMP0040</t>
  </si>
  <si>
    <t>2022-02-01</t>
  </si>
  <si>
    <t>EMP0041</t>
  </si>
  <si>
    <t>2013-01-13</t>
  </si>
  <si>
    <t>EMP0042</t>
  </si>
  <si>
    <t>2013-12-04</t>
  </si>
  <si>
    <t>EMP0043</t>
  </si>
  <si>
    <t>2017-05-22</t>
  </si>
  <si>
    <t>EMP0044</t>
  </si>
  <si>
    <t>2016-06-18</t>
  </si>
  <si>
    <t>EMP0045</t>
  </si>
  <si>
    <t>2025-01-23</t>
  </si>
  <si>
    <t>EMP0046</t>
  </si>
  <si>
    <t>2018-10-07</t>
  </si>
  <si>
    <t>EMP0047</t>
  </si>
  <si>
    <t>2025-08-24</t>
  </si>
  <si>
    <t>EMP0048</t>
  </si>
  <si>
    <t>2015-11-08</t>
  </si>
  <si>
    <t>EMP0049</t>
  </si>
  <si>
    <t>2025-07-18</t>
  </si>
  <si>
    <t>EMP0050</t>
  </si>
  <si>
    <t>2016-03-12</t>
  </si>
  <si>
    <t>EMP0051</t>
  </si>
  <si>
    <t>2015-12-30</t>
  </si>
  <si>
    <t>EMP0052</t>
  </si>
  <si>
    <t>2025-05-28</t>
  </si>
  <si>
    <t>EMP0053</t>
  </si>
  <si>
    <t>2014-05-01</t>
  </si>
  <si>
    <t>EMP0054</t>
  </si>
  <si>
    <t>2018-01-28</t>
  </si>
  <si>
    <t>EMP0055</t>
  </si>
  <si>
    <t>2016-07-23</t>
  </si>
  <si>
    <t>EMP0056</t>
  </si>
  <si>
    <t>2020-09-02</t>
  </si>
  <si>
    <t>EMP0057</t>
  </si>
  <si>
    <t>2021-03-09</t>
  </si>
  <si>
    <t>EMP0058</t>
  </si>
  <si>
    <t>2017-04-25</t>
  </si>
  <si>
    <t>EMP0059</t>
  </si>
  <si>
    <t>2023-10-09</t>
  </si>
  <si>
    <t>EMP0060</t>
  </si>
  <si>
    <t>2014-02-21</t>
  </si>
  <si>
    <t>EMP0061</t>
  </si>
  <si>
    <t>2022-11-07</t>
  </si>
  <si>
    <t>EMP0062</t>
  </si>
  <si>
    <t>2023-11-21</t>
  </si>
  <si>
    <t>EMP0063</t>
  </si>
  <si>
    <t>2013-01-10</t>
  </si>
  <si>
    <t>EMP0064</t>
  </si>
  <si>
    <t>2017-12-03</t>
  </si>
  <si>
    <t>EMP0065</t>
  </si>
  <si>
    <t>2016-12-27</t>
  </si>
  <si>
    <t>EMP0066</t>
  </si>
  <si>
    <t>2015-04-05</t>
  </si>
  <si>
    <t>EMP0067</t>
  </si>
  <si>
    <t>2017-09-23</t>
  </si>
  <si>
    <t>EMP0068</t>
  </si>
  <si>
    <t>2022-01-22</t>
  </si>
  <si>
    <t>EMP0069</t>
  </si>
  <si>
    <t>2012-04-02</t>
  </si>
  <si>
    <t>EMP0070</t>
  </si>
  <si>
    <t>2015-08-12</t>
  </si>
  <si>
    <t>EMP0071</t>
  </si>
  <si>
    <t>2017-02-28</t>
  </si>
  <si>
    <t>EMP0072</t>
  </si>
  <si>
    <t>2023-01-31</t>
  </si>
  <si>
    <t>EMP0073</t>
  </si>
  <si>
    <t>2013-04-25</t>
  </si>
  <si>
    <t>EMP0074</t>
  </si>
  <si>
    <t>2016-10-24</t>
  </si>
  <si>
    <t>EMP0075</t>
  </si>
  <si>
    <t>2017-12-24</t>
  </si>
  <si>
    <t>EMP0076</t>
  </si>
  <si>
    <t>2018-03-16</t>
  </si>
  <si>
    <t>EMP0077</t>
  </si>
  <si>
    <t>2015-12-12</t>
  </si>
  <si>
    <t>EMP0078</t>
  </si>
  <si>
    <t>2019-07-21</t>
  </si>
  <si>
    <t>EMP0079</t>
  </si>
  <si>
    <t>2019-07-08</t>
  </si>
  <si>
    <t>EMP0080</t>
  </si>
  <si>
    <t>2014-11-04</t>
  </si>
  <si>
    <t>EMP0081</t>
  </si>
  <si>
    <t>2013-12-13</t>
  </si>
  <si>
    <t>EMP0082</t>
  </si>
  <si>
    <t>2021-12-08</t>
  </si>
  <si>
    <t>EMP0083</t>
  </si>
  <si>
    <t>2021-05-07</t>
  </si>
  <si>
    <t>EMP0084</t>
  </si>
  <si>
    <t>2013-07-27</t>
  </si>
  <si>
    <t>EMP0085</t>
  </si>
  <si>
    <t>2012-10-02</t>
  </si>
  <si>
    <t>EMP0086</t>
  </si>
  <si>
    <t>2012-03-16</t>
  </si>
  <si>
    <t>EMP0087</t>
  </si>
  <si>
    <t>2015-08-09</t>
  </si>
  <si>
    <t>EMP0088</t>
  </si>
  <si>
    <t>2014-12-13</t>
  </si>
  <si>
    <t>EMP0089</t>
  </si>
  <si>
    <t>2017-12-27</t>
  </si>
  <si>
    <t>EMP0090</t>
  </si>
  <si>
    <t>2025-03-23</t>
  </si>
  <si>
    <t>EMP0091</t>
  </si>
  <si>
    <t>2024-06-09</t>
  </si>
  <si>
    <t>EMP0092</t>
  </si>
  <si>
    <t>2022-07-18</t>
  </si>
  <si>
    <t>EMP0093</t>
  </si>
  <si>
    <t>2024-04-23</t>
  </si>
  <si>
    <t>EMP0094</t>
  </si>
  <si>
    <t>2014-06-25</t>
  </si>
  <si>
    <t>EMP0095</t>
  </si>
  <si>
    <t>2024-01-07</t>
  </si>
  <si>
    <t>EMP0096</t>
  </si>
  <si>
    <t>2012-09-23</t>
  </si>
  <si>
    <t>EMP0097</t>
  </si>
  <si>
    <t>2013-03-01</t>
  </si>
  <si>
    <t>EMP0098</t>
  </si>
  <si>
    <t>2017-05-25</t>
  </si>
  <si>
    <t>EMP0099</t>
  </si>
  <si>
    <t>2022-05-06</t>
  </si>
  <si>
    <t>EMP0100</t>
  </si>
  <si>
    <t>2014-08-26</t>
  </si>
  <si>
    <t>EMP0101</t>
  </si>
  <si>
    <t>2018-03-05</t>
  </si>
  <si>
    <t>EMP0102</t>
  </si>
  <si>
    <t>2024-07-17</t>
  </si>
  <si>
    <t>EMP0103</t>
  </si>
  <si>
    <t>2013-06-13</t>
  </si>
  <si>
    <t>EMP0104</t>
  </si>
  <si>
    <t>2022-08-23</t>
  </si>
  <si>
    <t>EMP0105</t>
  </si>
  <si>
    <t>2020-12-01</t>
  </si>
  <si>
    <t>EMP0106</t>
  </si>
  <si>
    <t>2017-02-20</t>
  </si>
  <si>
    <t>EMP0107</t>
  </si>
  <si>
    <t>2018-07-23</t>
  </si>
  <si>
    <t>EMP0108</t>
  </si>
  <si>
    <t>2017-06-14</t>
  </si>
  <si>
    <t>EMP0109</t>
  </si>
  <si>
    <t>2016-02-29</t>
  </si>
  <si>
    <t>EMP0110</t>
  </si>
  <si>
    <t>2022-05-29</t>
  </si>
  <si>
    <t>EMP0111</t>
  </si>
  <si>
    <t>2012-06-28</t>
  </si>
  <si>
    <t>EMP0112</t>
  </si>
  <si>
    <t>2014-07-03</t>
  </si>
  <si>
    <t>EMP0113</t>
  </si>
  <si>
    <t>2023-05-05</t>
  </si>
  <si>
    <t>EMP0114</t>
  </si>
  <si>
    <t>2023-03-13</t>
  </si>
  <si>
    <t>EMP0115</t>
  </si>
  <si>
    <t>2016-09-12</t>
  </si>
  <si>
    <t>EMP0116</t>
  </si>
  <si>
    <t>2022-07-07</t>
  </si>
  <si>
    <t>EMP0117</t>
  </si>
  <si>
    <t>2019-07-22</t>
  </si>
  <si>
    <t>EMP0118</t>
  </si>
  <si>
    <t>2017-06-21</t>
  </si>
  <si>
    <t>EMP0119</t>
  </si>
  <si>
    <t>2018-04-23</t>
  </si>
  <si>
    <t>EMP0120</t>
  </si>
  <si>
    <t>2024-08-11</t>
  </si>
  <si>
    <t>EMP0121</t>
  </si>
  <si>
    <t>2023-03-07</t>
  </si>
  <si>
    <t>EMP0122</t>
  </si>
  <si>
    <t>2024-12-09</t>
  </si>
  <si>
    <t>EMP0123</t>
  </si>
  <si>
    <t>2016-09-08</t>
  </si>
  <si>
    <t>EMP0124</t>
  </si>
  <si>
    <t>2016-08-13</t>
  </si>
  <si>
    <t>EMP0125</t>
  </si>
  <si>
    <t>2021-08-04</t>
  </si>
  <si>
    <t>EMP0126</t>
  </si>
  <si>
    <t>2015-03-19</t>
  </si>
  <si>
    <t>EMP0127</t>
  </si>
  <si>
    <t>2024-09-13</t>
  </si>
  <si>
    <t>EMP0128</t>
  </si>
  <si>
    <t>2017-04-30</t>
  </si>
  <si>
    <t>EMP0129</t>
  </si>
  <si>
    <t>2012-06-11</t>
  </si>
  <si>
    <t>EMP0130</t>
  </si>
  <si>
    <t>2025-05-04</t>
  </si>
  <si>
    <t>EMP0131</t>
  </si>
  <si>
    <t>2017-03-29</t>
  </si>
  <si>
    <t>EMP0132</t>
  </si>
  <si>
    <t>2016-06-15</t>
  </si>
  <si>
    <t>EMP0133</t>
  </si>
  <si>
    <t>2012-12-17</t>
  </si>
  <si>
    <t>EMP0134</t>
  </si>
  <si>
    <t>2015-07-15</t>
  </si>
  <si>
    <t>EMP0135</t>
  </si>
  <si>
    <t>2013-01-31</t>
  </si>
  <si>
    <t>EMP0136</t>
  </si>
  <si>
    <t>2022-01-31</t>
  </si>
  <si>
    <t>EMP0137</t>
  </si>
  <si>
    <t>EMP0138</t>
  </si>
  <si>
    <t>2023-11-18</t>
  </si>
  <si>
    <t>EMP0139</t>
  </si>
  <si>
    <t>2013-08-20</t>
  </si>
  <si>
    <t>EMP0140</t>
  </si>
  <si>
    <t>2021-07-14</t>
  </si>
  <si>
    <t>EMP0141</t>
  </si>
  <si>
    <t>2024-05-05</t>
  </si>
  <si>
    <t>EMP0142</t>
  </si>
  <si>
    <t>2018-06-05</t>
  </si>
  <si>
    <t>EMP0143</t>
  </si>
  <si>
    <t>2012-10-10</t>
  </si>
  <si>
    <t>EMP0144</t>
  </si>
  <si>
    <t>2017-02-12</t>
  </si>
  <si>
    <t>EMP0145</t>
  </si>
  <si>
    <t>2020-05-08</t>
  </si>
  <si>
    <t>EMP0146</t>
  </si>
  <si>
    <t>2013-09-24</t>
  </si>
  <si>
    <t>EMP0147</t>
  </si>
  <si>
    <t>2019-03-13</t>
  </si>
  <si>
    <t>EMP0148</t>
  </si>
  <si>
    <t>2021-02-14</t>
  </si>
  <si>
    <t>EMP0149</t>
  </si>
  <si>
    <t>EMP0150</t>
  </si>
  <si>
    <t>EMP0151</t>
  </si>
  <si>
    <t>2016-10-15</t>
  </si>
  <si>
    <t>EMP0152</t>
  </si>
  <si>
    <t>2014-10-16</t>
  </si>
  <si>
    <t>EMP0153</t>
  </si>
  <si>
    <t>2017-06-27</t>
  </si>
  <si>
    <t>EMP0154</t>
  </si>
  <si>
    <t>2017-09-21</t>
  </si>
  <si>
    <t>EMP0155</t>
  </si>
  <si>
    <t>2016-09-30</t>
  </si>
  <si>
    <t>EMP0156</t>
  </si>
  <si>
    <t>2016-01-26</t>
  </si>
  <si>
    <t>EMP0157</t>
  </si>
  <si>
    <t>2018-02-20</t>
  </si>
  <si>
    <t>EMP0158</t>
  </si>
  <si>
    <t>2022-03-30</t>
  </si>
  <si>
    <t>EMP0159</t>
  </si>
  <si>
    <t>2015-11-30</t>
  </si>
  <si>
    <t>EMP0160</t>
  </si>
  <si>
    <t>2018-05-08</t>
  </si>
  <si>
    <t>EMP0161</t>
  </si>
  <si>
    <t>2015-05-18</t>
  </si>
  <si>
    <t>EMP0162</t>
  </si>
  <si>
    <t>2012-12-18</t>
  </si>
  <si>
    <t>EMP0163</t>
  </si>
  <si>
    <t>2016-06-11</t>
  </si>
  <si>
    <t>EMP0164</t>
  </si>
  <si>
    <t>2020-02-07</t>
  </si>
  <si>
    <t>EMP0165</t>
  </si>
  <si>
    <t>2016-09-25</t>
  </si>
  <si>
    <t>EMP0166</t>
  </si>
  <si>
    <t>2021-09-08</t>
  </si>
  <si>
    <t>EMP0167</t>
  </si>
  <si>
    <t>2019-08-03</t>
  </si>
  <si>
    <t>EMP0168</t>
  </si>
  <si>
    <t>2021-09-24</t>
  </si>
  <si>
    <t>EMP0169</t>
  </si>
  <si>
    <t>2019-07-25</t>
  </si>
  <si>
    <t>EMP0170</t>
  </si>
  <si>
    <t>2012-09-17</t>
  </si>
  <si>
    <t>EMP0171</t>
  </si>
  <si>
    <t>2018-05-15</t>
  </si>
  <si>
    <t>EMP0172</t>
  </si>
  <si>
    <t>2018-10-10</t>
  </si>
  <si>
    <t>EMP0173</t>
  </si>
  <si>
    <t>2012-04-04</t>
  </si>
  <si>
    <t>EMP0174</t>
  </si>
  <si>
    <t>2015-07-27</t>
  </si>
  <si>
    <t>EMP0175</t>
  </si>
  <si>
    <t>2021-11-05</t>
  </si>
  <si>
    <t>EMP0176</t>
  </si>
  <si>
    <t>2015-02-15</t>
  </si>
  <si>
    <t>EMP0177</t>
  </si>
  <si>
    <t>2021-07-23</t>
  </si>
  <si>
    <t>EMP0178</t>
  </si>
  <si>
    <t>2015-12-04</t>
  </si>
  <si>
    <t>EMP0179</t>
  </si>
  <si>
    <t>2017-01-29</t>
  </si>
  <si>
    <t>EMP0180</t>
  </si>
  <si>
    <t>2020-05-29</t>
  </si>
  <si>
    <t>EMP0181</t>
  </si>
  <si>
    <t>2018-07-26</t>
  </si>
  <si>
    <t>EMP0182</t>
  </si>
  <si>
    <t>2020-01-25</t>
  </si>
  <si>
    <t>EMP0183</t>
  </si>
  <si>
    <t>2019-02-12</t>
  </si>
  <si>
    <t>EMP0184</t>
  </si>
  <si>
    <t>2023-10-07</t>
  </si>
  <si>
    <t>EMP0185</t>
  </si>
  <si>
    <t>2015-01-21</t>
  </si>
  <si>
    <t>EMP0186</t>
  </si>
  <si>
    <t>2025-01-09</t>
  </si>
  <si>
    <t>EMP0187</t>
  </si>
  <si>
    <t>2012-07-17</t>
  </si>
  <si>
    <t>EMP0188</t>
  </si>
  <si>
    <t>2015-02-28</t>
  </si>
  <si>
    <t>EMP0189</t>
  </si>
  <si>
    <t>2023-02-08</t>
  </si>
  <si>
    <t>EMP0190</t>
  </si>
  <si>
    <t>2023-04-02</t>
  </si>
  <si>
    <t>EMP0191</t>
  </si>
  <si>
    <t>2025-06-09</t>
  </si>
  <si>
    <t>EMP0192</t>
  </si>
  <si>
    <t>2016-03-09</t>
  </si>
  <si>
    <t>EMP0193</t>
  </si>
  <si>
    <t>2020-08-08</t>
  </si>
  <si>
    <t>EMP0194</t>
  </si>
  <si>
    <t>2024-12-20</t>
  </si>
  <si>
    <t>EMP0195</t>
  </si>
  <si>
    <t>2025-05-11</t>
  </si>
  <si>
    <t>EMP0196</t>
  </si>
  <si>
    <t>2014-05-17</t>
  </si>
  <si>
    <t>EMP0197</t>
  </si>
  <si>
    <t>2022-06-26</t>
  </si>
  <si>
    <t>EMP0198</t>
  </si>
  <si>
    <t>2012-07-09</t>
  </si>
  <si>
    <t>EMP0199</t>
  </si>
  <si>
    <t>2018-10-22</t>
  </si>
  <si>
    <t>EMP0200</t>
  </si>
  <si>
    <t>2016-03-04</t>
  </si>
  <si>
    <t>EMP0201</t>
  </si>
  <si>
    <t>2014-10-31</t>
  </si>
  <si>
    <t>EMP0202</t>
  </si>
  <si>
    <t>2013-07-04</t>
  </si>
  <si>
    <t>EMP0203</t>
  </si>
  <si>
    <t>2014-11-28</t>
  </si>
  <si>
    <t>EMP0204</t>
  </si>
  <si>
    <t>2020-02-09</t>
  </si>
  <si>
    <t>EMP0205</t>
  </si>
  <si>
    <t>2017-09-04</t>
  </si>
  <si>
    <t>EMP0206</t>
  </si>
  <si>
    <t>2019-05-12</t>
  </si>
  <si>
    <t>EMP0207</t>
  </si>
  <si>
    <t>2017-12-31</t>
  </si>
  <si>
    <t>EMP0208</t>
  </si>
  <si>
    <t>2016-07-29</t>
  </si>
  <si>
    <t>EMP0209</t>
  </si>
  <si>
    <t>2019-12-12</t>
  </si>
  <si>
    <t>EMP0210</t>
  </si>
  <si>
    <t>2023-07-01</t>
  </si>
  <si>
    <t>EMP0211</t>
  </si>
  <si>
    <t>2024-04-27</t>
  </si>
  <si>
    <t>EMP0212</t>
  </si>
  <si>
    <t>2023-10-28</t>
  </si>
  <si>
    <t>EMP0213</t>
  </si>
  <si>
    <t>2023-12-26</t>
  </si>
  <si>
    <t>EMP0214</t>
  </si>
  <si>
    <t>2019-01-16</t>
  </si>
  <si>
    <t>EMP0215</t>
  </si>
  <si>
    <t>2012-02-24</t>
  </si>
  <si>
    <t>EMP0216</t>
  </si>
  <si>
    <t>2014-06-18</t>
  </si>
  <si>
    <t>EMP0217</t>
  </si>
  <si>
    <t>2019-11-13</t>
  </si>
  <si>
    <t>EMP0218</t>
  </si>
  <si>
    <t>2012-01-26</t>
  </si>
  <si>
    <t>EMP0219</t>
  </si>
  <si>
    <t>2013-08-29</t>
  </si>
  <si>
    <t>EMP0220</t>
  </si>
  <si>
    <t>2013-04-16</t>
  </si>
  <si>
    <t>EMP0221</t>
  </si>
  <si>
    <t>2020-06-28</t>
  </si>
  <si>
    <t>EMP0222</t>
  </si>
  <si>
    <t>2012-03-13</t>
  </si>
  <si>
    <t>EMP0223</t>
  </si>
  <si>
    <t>2013-05-12</t>
  </si>
  <si>
    <t>EMP0224</t>
  </si>
  <si>
    <t>2021-10-08</t>
  </si>
  <si>
    <t>EMP0225</t>
  </si>
  <si>
    <t>2021-08-02</t>
  </si>
  <si>
    <t>EMP0226</t>
  </si>
  <si>
    <t>2014-09-07</t>
  </si>
  <si>
    <t>EMP0227</t>
  </si>
  <si>
    <t>2014-08-07</t>
  </si>
  <si>
    <t>EMP0228</t>
  </si>
  <si>
    <t>2012-05-31</t>
  </si>
  <si>
    <t>EMP0229</t>
  </si>
  <si>
    <t>2021-08-31</t>
  </si>
  <si>
    <t>EMP0230</t>
  </si>
  <si>
    <t>2018-11-02</t>
  </si>
  <si>
    <t>EMP0231</t>
  </si>
  <si>
    <t>2023-04-06</t>
  </si>
  <si>
    <t>EMP0232</t>
  </si>
  <si>
    <t>2022-03-31</t>
  </si>
  <si>
    <t>EMP0233</t>
  </si>
  <si>
    <t>2021-10-19</t>
  </si>
  <si>
    <t>EMP0234</t>
  </si>
  <si>
    <t>2024-06-11</t>
  </si>
  <si>
    <t>EMP0235</t>
  </si>
  <si>
    <t>2018-02-22</t>
  </si>
  <si>
    <t>EMP0236</t>
  </si>
  <si>
    <t>2022-12-24</t>
  </si>
  <si>
    <t>EMP0237</t>
  </si>
  <si>
    <t>2015-03-25</t>
  </si>
  <si>
    <t>EMP0238</t>
  </si>
  <si>
    <t>2022-04-21</t>
  </si>
  <si>
    <t>EMP0239</t>
  </si>
  <si>
    <t>2016-12-13</t>
  </si>
  <si>
    <t>EMP0240</t>
  </si>
  <si>
    <t>2014-04-15</t>
  </si>
  <si>
    <t>EMP0241</t>
  </si>
  <si>
    <t>2016-09-27</t>
  </si>
  <si>
    <t>EMP0242</t>
  </si>
  <si>
    <t>2014-10-23</t>
  </si>
  <si>
    <t>EMP0243</t>
  </si>
  <si>
    <t>2014-02-28</t>
  </si>
  <si>
    <t>EMP0244</t>
  </si>
  <si>
    <t>2021-05-22</t>
  </si>
  <si>
    <t>EMP0245</t>
  </si>
  <si>
    <t>EMP0246</t>
  </si>
  <si>
    <t>2018-06-17</t>
  </si>
  <si>
    <t>EMP0247</t>
  </si>
  <si>
    <t>2015-03-13</t>
  </si>
  <si>
    <t>EMP0248</t>
  </si>
  <si>
    <t>2015-08-27</t>
  </si>
  <si>
    <t>EMP0249</t>
  </si>
  <si>
    <t>2016-12-22</t>
  </si>
  <si>
    <t>EMP0250</t>
  </si>
  <si>
    <t>2021-03-13</t>
  </si>
  <si>
    <t>EMP0251</t>
  </si>
  <si>
    <t>2021-09-05</t>
  </si>
  <si>
    <t>EMP0252</t>
  </si>
  <si>
    <t>2014-02-08</t>
  </si>
  <si>
    <t>EMP0253</t>
  </si>
  <si>
    <t>2023-01-01</t>
  </si>
  <si>
    <t>EMP0254</t>
  </si>
  <si>
    <t>EMP0255</t>
  </si>
  <si>
    <t>2016-12-12</t>
  </si>
  <si>
    <t>EMP0256</t>
  </si>
  <si>
    <t>2017-06-09</t>
  </si>
  <si>
    <t>EMP0257</t>
  </si>
  <si>
    <t>2024-08-01</t>
  </si>
  <si>
    <t>EMP0258</t>
  </si>
  <si>
    <t>2016-06-24</t>
  </si>
  <si>
    <t>EMP0259</t>
  </si>
  <si>
    <t>2013-12-09</t>
  </si>
  <si>
    <t>EMP0260</t>
  </si>
  <si>
    <t>2022-09-10</t>
  </si>
  <si>
    <t>EMP0261</t>
  </si>
  <si>
    <t>2017-09-11</t>
  </si>
  <si>
    <t>EMP0262</t>
  </si>
  <si>
    <t>2017-12-11</t>
  </si>
  <si>
    <t>EMP0263</t>
  </si>
  <si>
    <t>2012-02-23</t>
  </si>
  <si>
    <t>EMP0264</t>
  </si>
  <si>
    <t>2025-02-02</t>
  </si>
  <si>
    <t>EMP0265</t>
  </si>
  <si>
    <t>2013-03-24</t>
  </si>
  <si>
    <t>EMP0266</t>
  </si>
  <si>
    <t>2019-04-11</t>
  </si>
  <si>
    <t>EMP0267</t>
  </si>
  <si>
    <t>EMP0268</t>
  </si>
  <si>
    <t>2014-09-05</t>
  </si>
  <si>
    <t>EMP0269</t>
  </si>
  <si>
    <t>2016-06-27</t>
  </si>
  <si>
    <t>EMP0270</t>
  </si>
  <si>
    <t>2025-03-05</t>
  </si>
  <si>
    <t>EMP0271</t>
  </si>
  <si>
    <t>2022-04-14</t>
  </si>
  <si>
    <t>EMP0272</t>
  </si>
  <si>
    <t>2019-07-17</t>
  </si>
  <si>
    <t>EMP0273</t>
  </si>
  <si>
    <t>2023-05-25</t>
  </si>
  <si>
    <t>EMP0274</t>
  </si>
  <si>
    <t>2015-10-31</t>
  </si>
  <si>
    <t>EMP0275</t>
  </si>
  <si>
    <t>2017-12-04</t>
  </si>
  <si>
    <t>EMP0276</t>
  </si>
  <si>
    <t>2024-09-01</t>
  </si>
  <si>
    <t>EMP0277</t>
  </si>
  <si>
    <t>2015-05-31</t>
  </si>
  <si>
    <t>EMP0278</t>
  </si>
  <si>
    <t>2023-07-19</t>
  </si>
  <si>
    <t>EMP0279</t>
  </si>
  <si>
    <t>2019-03-15</t>
  </si>
  <si>
    <t>EMP0280</t>
  </si>
  <si>
    <t>2025-04-21</t>
  </si>
  <si>
    <t>EMP0281</t>
  </si>
  <si>
    <t>2014-11-16</t>
  </si>
  <si>
    <t>EMP0282</t>
  </si>
  <si>
    <t>2018-05-20</t>
  </si>
  <si>
    <t>EMP0283</t>
  </si>
  <si>
    <t>2024-08-26</t>
  </si>
  <si>
    <t>EMP0284</t>
  </si>
  <si>
    <t>2014-01-28</t>
  </si>
  <si>
    <t>EMP0285</t>
  </si>
  <si>
    <t>2015-12-23</t>
  </si>
  <si>
    <t>EMP0286</t>
  </si>
  <si>
    <t>2025-01-13</t>
  </si>
  <si>
    <t>EMP0287</t>
  </si>
  <si>
    <t>2018-07-27</t>
  </si>
  <si>
    <t>EMP0288</t>
  </si>
  <si>
    <t>2025-06-27</t>
  </si>
  <si>
    <t>EMP0289</t>
  </si>
  <si>
    <t>2018-03-09</t>
  </si>
  <si>
    <t>EMP0290</t>
  </si>
  <si>
    <t>EMP0291</t>
  </si>
  <si>
    <t>2023-02-04</t>
  </si>
  <si>
    <t>EMP0292</t>
  </si>
  <si>
    <t>2020-11-12</t>
  </si>
  <si>
    <t>EMP0293</t>
  </si>
  <si>
    <t>2023-09-22</t>
  </si>
  <si>
    <t>EMP0294</t>
  </si>
  <si>
    <t>2020-02-10</t>
  </si>
  <si>
    <t>EMP0295</t>
  </si>
  <si>
    <t>2016-03-01</t>
  </si>
  <si>
    <t>EMP0296</t>
  </si>
  <si>
    <t>2016-10-22</t>
  </si>
  <si>
    <t>EMP0297</t>
  </si>
  <si>
    <t>2024-10-30</t>
  </si>
  <si>
    <t>EMP0298</t>
  </si>
  <si>
    <t>2018-10-14</t>
  </si>
  <si>
    <t>EMP0299</t>
  </si>
  <si>
    <t>2012-01-18</t>
  </si>
  <si>
    <t>EMP0300</t>
  </si>
  <si>
    <t>2017-03-14</t>
  </si>
  <si>
    <t>EMP0301</t>
  </si>
  <si>
    <t>2019-07-12</t>
  </si>
  <si>
    <t>EMP0302</t>
  </si>
  <si>
    <t>2021-07-07</t>
  </si>
  <si>
    <t>EMP0303</t>
  </si>
  <si>
    <t>2013-08-12</t>
  </si>
  <si>
    <t>EMP0304</t>
  </si>
  <si>
    <t>2015-07-08</t>
  </si>
  <si>
    <t>EMP0305</t>
  </si>
  <si>
    <t>2019-06-23</t>
  </si>
  <si>
    <t>EMP0306</t>
  </si>
  <si>
    <t>2025-05-13</t>
  </si>
  <si>
    <t>EMP0307</t>
  </si>
  <si>
    <t>2013-12-06</t>
  </si>
  <si>
    <t>EMP0308</t>
  </si>
  <si>
    <t>2013-05-20</t>
  </si>
  <si>
    <t>EMP0309</t>
  </si>
  <si>
    <t>2023-04-18</t>
  </si>
  <si>
    <t>EMP0310</t>
  </si>
  <si>
    <t>2024-11-06</t>
  </si>
  <si>
    <t>EMP0311</t>
  </si>
  <si>
    <t>2014-12-04</t>
  </si>
  <si>
    <t>EMP0312</t>
  </si>
  <si>
    <t>2014-01-18</t>
  </si>
  <si>
    <t>EMP0313</t>
  </si>
  <si>
    <t>2016-07-19</t>
  </si>
  <si>
    <t>EMP0314</t>
  </si>
  <si>
    <t>2017-12-09</t>
  </si>
  <si>
    <t>EMP0315</t>
  </si>
  <si>
    <t>2012-11-26</t>
  </si>
  <si>
    <t>EMP0316</t>
  </si>
  <si>
    <t>EMP0317</t>
  </si>
  <si>
    <t>2016-07-13</t>
  </si>
  <si>
    <t>EMP0318</t>
  </si>
  <si>
    <t>2019-06-17</t>
  </si>
  <si>
    <t>EMP0319</t>
  </si>
  <si>
    <t>EMP0320</t>
  </si>
  <si>
    <t>2016-06-23</t>
  </si>
  <si>
    <t>EMP0321</t>
  </si>
  <si>
    <t>2017-05-16</t>
  </si>
  <si>
    <t>EMP0322</t>
  </si>
  <si>
    <t>2015-06-18</t>
  </si>
  <si>
    <t>EMP0323</t>
  </si>
  <si>
    <t>2023-05-14</t>
  </si>
  <si>
    <t>EMP0324</t>
  </si>
  <si>
    <t>2025-05-06</t>
  </si>
  <si>
    <t>EMP0325</t>
  </si>
  <si>
    <t>2021-06-08</t>
  </si>
  <si>
    <t>EMP0326</t>
  </si>
  <si>
    <t>2019-11-22</t>
  </si>
  <si>
    <t>EMP0327</t>
  </si>
  <si>
    <t>2018-06-27</t>
  </si>
  <si>
    <t>EMP0328</t>
  </si>
  <si>
    <t>2023-03-12</t>
  </si>
  <si>
    <t>EMP0329</t>
  </si>
  <si>
    <t>2024-01-06</t>
  </si>
  <si>
    <t>EMP0330</t>
  </si>
  <si>
    <t>2012-08-09</t>
  </si>
  <si>
    <t>EMP0331</t>
  </si>
  <si>
    <t>2023-06-04</t>
  </si>
  <si>
    <t>EMP0332</t>
  </si>
  <si>
    <t>2016-04-20</t>
  </si>
  <si>
    <t>EMP0333</t>
  </si>
  <si>
    <t>2014-02-18</t>
  </si>
  <si>
    <t>EMP0334</t>
  </si>
  <si>
    <t>2020-02-04</t>
  </si>
  <si>
    <t>EMP0335</t>
  </si>
  <si>
    <t>2017-08-25</t>
  </si>
  <si>
    <t>EMP0336</t>
  </si>
  <si>
    <t>2019-10-19</t>
  </si>
  <si>
    <t>EMP0337</t>
  </si>
  <si>
    <t>2018-06-29</t>
  </si>
  <si>
    <t>EMP0338</t>
  </si>
  <si>
    <t>2019-08-13</t>
  </si>
  <si>
    <t>EMP0339</t>
  </si>
  <si>
    <t>2022-03-26</t>
  </si>
  <si>
    <t>EMP0340</t>
  </si>
  <si>
    <t>2024-03-06</t>
  </si>
  <si>
    <t>EMP0341</t>
  </si>
  <si>
    <t>2019-11-20</t>
  </si>
  <si>
    <t>EMP0342</t>
  </si>
  <si>
    <t>2014-05-06</t>
  </si>
  <si>
    <t>EMP0343</t>
  </si>
  <si>
    <t>2013-01-26</t>
  </si>
  <si>
    <t>EMP0344</t>
  </si>
  <si>
    <t>2015-02-16</t>
  </si>
  <si>
    <t>EMP0345</t>
  </si>
  <si>
    <t>2016-10-03</t>
  </si>
  <si>
    <t>EMP0346</t>
  </si>
  <si>
    <t>EMP0347</t>
  </si>
  <si>
    <t>2013-03-07</t>
  </si>
  <si>
    <t>EMP0348</t>
  </si>
  <si>
    <t>2020-08-06</t>
  </si>
  <si>
    <t>EMP0349</t>
  </si>
  <si>
    <t>2013-09-04</t>
  </si>
  <si>
    <t>EMP0350</t>
  </si>
  <si>
    <t>2020-12-08</t>
  </si>
  <si>
    <t>EMP0351</t>
  </si>
  <si>
    <t>2013-02-07</t>
  </si>
  <si>
    <t>EMP0352</t>
  </si>
  <si>
    <t>2017-02-16</t>
  </si>
  <si>
    <t>EMP0353</t>
  </si>
  <si>
    <t>2022-11-24</t>
  </si>
  <si>
    <t>EMP0354</t>
  </si>
  <si>
    <t>2018-11-13</t>
  </si>
  <si>
    <t>EMP0355</t>
  </si>
  <si>
    <t>2021-03-15</t>
  </si>
  <si>
    <t>EMP0356</t>
  </si>
  <si>
    <t>2015-09-08</t>
  </si>
  <si>
    <t>EMP0357</t>
  </si>
  <si>
    <t>2018-09-14</t>
  </si>
  <si>
    <t>EMP0358</t>
  </si>
  <si>
    <t>2022-07-28</t>
  </si>
  <si>
    <t>EMP0359</t>
  </si>
  <si>
    <t>2018-12-11</t>
  </si>
  <si>
    <t>EMP0360</t>
  </si>
  <si>
    <t>2024-09-05</t>
  </si>
  <si>
    <t>EMP0361</t>
  </si>
  <si>
    <t>2023-05-18</t>
  </si>
  <si>
    <t>EMP0362</t>
  </si>
  <si>
    <t>2021-10-21</t>
  </si>
  <si>
    <t>EMP0363</t>
  </si>
  <si>
    <t>2018-07-19</t>
  </si>
  <si>
    <t>EMP0364</t>
  </si>
  <si>
    <t>2012-06-06</t>
  </si>
  <si>
    <t>EMP0365</t>
  </si>
  <si>
    <t>2019-04-26</t>
  </si>
  <si>
    <t>EMP0366</t>
  </si>
  <si>
    <t>2015-01-29</t>
  </si>
  <si>
    <t>EMP0367</t>
  </si>
  <si>
    <t>2018-07-05</t>
  </si>
  <si>
    <t>EMP0368</t>
  </si>
  <si>
    <t>2024-01-21</t>
  </si>
  <si>
    <t>EMP0369</t>
  </si>
  <si>
    <t>2022-03-23</t>
  </si>
  <si>
    <t>EMP0370</t>
  </si>
  <si>
    <t>2014-09-25</t>
  </si>
  <si>
    <t>EMP0371</t>
  </si>
  <si>
    <t>EMP0372</t>
  </si>
  <si>
    <t>2012-02-22</t>
  </si>
  <si>
    <t>EMP0373</t>
  </si>
  <si>
    <t>2015-12-01</t>
  </si>
  <si>
    <t>EMP0374</t>
  </si>
  <si>
    <t>2018-04-11</t>
  </si>
  <si>
    <t>EMP0375</t>
  </si>
  <si>
    <t>2017-03-02</t>
  </si>
  <si>
    <t>EMP0376</t>
  </si>
  <si>
    <t>2020-08-25</t>
  </si>
  <si>
    <t>EMP0377</t>
  </si>
  <si>
    <t>EMP0378</t>
  </si>
  <si>
    <t>2019-05-19</t>
  </si>
  <si>
    <t>EMP0379</t>
  </si>
  <si>
    <t>EMP0380</t>
  </si>
  <si>
    <t>2018-06-01</t>
  </si>
  <si>
    <t>EMP0381</t>
  </si>
  <si>
    <t>2017-09-25</t>
  </si>
  <si>
    <t>EMP0382</t>
  </si>
  <si>
    <t>2024-10-07</t>
  </si>
  <si>
    <t>EMP0383</t>
  </si>
  <si>
    <t>EMP0384</t>
  </si>
  <si>
    <t>2022-01-03</t>
  </si>
  <si>
    <t>EMP0385</t>
  </si>
  <si>
    <t>2012-09-03</t>
  </si>
  <si>
    <t>EMP0386</t>
  </si>
  <si>
    <t>2014-04-29</t>
  </si>
  <si>
    <t>EMP0387</t>
  </si>
  <si>
    <t>2012-07-24</t>
  </si>
  <si>
    <t>EMP0388</t>
  </si>
  <si>
    <t>2019-11-10</t>
  </si>
  <si>
    <t>EMP0389</t>
  </si>
  <si>
    <t>2020-11-06</t>
  </si>
  <si>
    <t>EMP0390</t>
  </si>
  <si>
    <t>2013-11-15</t>
  </si>
  <si>
    <t>EMP0391</t>
  </si>
  <si>
    <t>2012-04-05</t>
  </si>
  <si>
    <t>EMP0392</t>
  </si>
  <si>
    <t>2018-04-25</t>
  </si>
  <si>
    <t>EMP0393</t>
  </si>
  <si>
    <t>2014-07-24</t>
  </si>
  <si>
    <t>EMP0394</t>
  </si>
  <si>
    <t>2013-01-16</t>
  </si>
  <si>
    <t>EMP0395</t>
  </si>
  <si>
    <t>2013-04-14</t>
  </si>
  <si>
    <t>EMP0396</t>
  </si>
  <si>
    <t>2016-05-04</t>
  </si>
  <si>
    <t>EMP0397</t>
  </si>
  <si>
    <t>EMP0398</t>
  </si>
  <si>
    <t>2019-04-25</t>
  </si>
  <si>
    <t>EMP0399</t>
  </si>
  <si>
    <t>2015-11-29</t>
  </si>
  <si>
    <t>EMP0400</t>
  </si>
  <si>
    <t>2018-09-23</t>
  </si>
  <si>
    <t>EMP0401</t>
  </si>
  <si>
    <t>2023-10-22</t>
  </si>
  <si>
    <t>EMP0402</t>
  </si>
  <si>
    <t>2014-10-11</t>
  </si>
  <si>
    <t>EMP0403</t>
  </si>
  <si>
    <t>2017-10-09</t>
  </si>
  <si>
    <t>EMP0404</t>
  </si>
  <si>
    <t>2023-04-21</t>
  </si>
  <si>
    <t>EMP0405</t>
  </si>
  <si>
    <t>2014-04-21</t>
  </si>
  <si>
    <t>EMP0406</t>
  </si>
  <si>
    <t>2025-01-02</t>
  </si>
  <si>
    <t>EMP0407</t>
  </si>
  <si>
    <t>2017-09-27</t>
  </si>
  <si>
    <t>EMP0408</t>
  </si>
  <si>
    <t>2013-05-07</t>
  </si>
  <si>
    <t>EMP0409</t>
  </si>
  <si>
    <t>2017-06-12</t>
  </si>
  <si>
    <t>EMP0410</t>
  </si>
  <si>
    <t>2019-10-17</t>
  </si>
  <si>
    <t>EMP0411</t>
  </si>
  <si>
    <t>2021-10-14</t>
  </si>
  <si>
    <t>EMP0412</t>
  </si>
  <si>
    <t>2014-04-09</t>
  </si>
  <si>
    <t>EMP0413</t>
  </si>
  <si>
    <t>2019-02-20</t>
  </si>
  <si>
    <t>EMP0414</t>
  </si>
  <si>
    <t>2025-06-07</t>
  </si>
  <si>
    <t>EMP0415</t>
  </si>
  <si>
    <t>2018-09-02</t>
  </si>
  <si>
    <t>EMP0416</t>
  </si>
  <si>
    <t>2025-08-23</t>
  </si>
  <si>
    <t>EMP0417</t>
  </si>
  <si>
    <t>2014-08-27</t>
  </si>
  <si>
    <t>EMP0418</t>
  </si>
  <si>
    <t>2017-11-16</t>
  </si>
  <si>
    <t>EMP0419</t>
  </si>
  <si>
    <t>2018-01-17</t>
  </si>
  <si>
    <t>EMP0420</t>
  </si>
  <si>
    <t>2016-10-21</t>
  </si>
  <si>
    <t>EMP0421</t>
  </si>
  <si>
    <t>2020-12-15</t>
  </si>
  <si>
    <t>EMP0422</t>
  </si>
  <si>
    <t>2020-09-11</t>
  </si>
  <si>
    <t>EMP0423</t>
  </si>
  <si>
    <t>2017-04-28</t>
  </si>
  <si>
    <t>EMP0424</t>
  </si>
  <si>
    <t>2022-07-17</t>
  </si>
  <si>
    <t>EMP0425</t>
  </si>
  <si>
    <t>2017-10-18</t>
  </si>
  <si>
    <t>EMP0426</t>
  </si>
  <si>
    <t>2024-11-16</t>
  </si>
  <si>
    <t>EMP0427</t>
  </si>
  <si>
    <t>2023-04-22</t>
  </si>
  <si>
    <t>EMP0428</t>
  </si>
  <si>
    <t>2018-08-13</t>
  </si>
  <si>
    <t>EMP0429</t>
  </si>
  <si>
    <t>2013-08-09</t>
  </si>
  <si>
    <t>EMP0430</t>
  </si>
  <si>
    <t>2019-06-21</t>
  </si>
  <si>
    <t>EMP0431</t>
  </si>
  <si>
    <t>2016-12-29</t>
  </si>
  <si>
    <t>EMP0432</t>
  </si>
  <si>
    <t>2023-08-11</t>
  </si>
  <si>
    <t>EMP0433</t>
  </si>
  <si>
    <t>2019-04-08</t>
  </si>
  <si>
    <t>EMP0434</t>
  </si>
  <si>
    <t>2012-02-26</t>
  </si>
  <si>
    <t>EMP0435</t>
  </si>
  <si>
    <t>2020-09-04</t>
  </si>
  <si>
    <t>EMP0436</t>
  </si>
  <si>
    <t>2016-04-08</t>
  </si>
  <si>
    <t>EMP0437</t>
  </si>
  <si>
    <t>2025-07-04</t>
  </si>
  <si>
    <t>EMP0438</t>
  </si>
  <si>
    <t>2013-10-31</t>
  </si>
  <si>
    <t>EMP0439</t>
  </si>
  <si>
    <t>2015-03-17</t>
  </si>
  <si>
    <t>EMP0440</t>
  </si>
  <si>
    <t>2018-05-31</t>
  </si>
  <si>
    <t>EMP0441</t>
  </si>
  <si>
    <t>2012-06-20</t>
  </si>
  <si>
    <t>EMP0442</t>
  </si>
  <si>
    <t>2025-07-17</t>
  </si>
  <si>
    <t>EMP0443</t>
  </si>
  <si>
    <t>2017-01-01</t>
  </si>
  <si>
    <t>EMP0444</t>
  </si>
  <si>
    <t>2017-03-22</t>
  </si>
  <si>
    <t>EMP0445</t>
  </si>
  <si>
    <t>2014-09-10</t>
  </si>
  <si>
    <t>EMP0446</t>
  </si>
  <si>
    <t>EMP0447</t>
  </si>
  <si>
    <t>2017-07-29</t>
  </si>
  <si>
    <t>EMP0448</t>
  </si>
  <si>
    <t>2024-04-26</t>
  </si>
  <si>
    <t>EMP0449</t>
  </si>
  <si>
    <t>2014-11-02</t>
  </si>
  <si>
    <t>EMP0450</t>
  </si>
  <si>
    <t>2016-11-28</t>
  </si>
  <si>
    <t>EMP0451</t>
  </si>
  <si>
    <t>2022-01-19</t>
  </si>
  <si>
    <t>EMP0452</t>
  </si>
  <si>
    <t>2022-10-28</t>
  </si>
  <si>
    <t>EMP0453</t>
  </si>
  <si>
    <t>2013-05-06</t>
  </si>
  <si>
    <t>EMP0454</t>
  </si>
  <si>
    <t>2014-08-11</t>
  </si>
  <si>
    <t>EMP0455</t>
  </si>
  <si>
    <t>2013-06-29</t>
  </si>
  <si>
    <t>EMP0456</t>
  </si>
  <si>
    <t>2017-06-11</t>
  </si>
  <si>
    <t>EMP0457</t>
  </si>
  <si>
    <t>2014-05-15</t>
  </si>
  <si>
    <t>EMP0458</t>
  </si>
  <si>
    <t>2016-04-16</t>
  </si>
  <si>
    <t>EMP0459</t>
  </si>
  <si>
    <t>2020-02-18</t>
  </si>
  <si>
    <t>EMP0460</t>
  </si>
  <si>
    <t>2014-05-22</t>
  </si>
  <si>
    <t>EMP0461</t>
  </si>
  <si>
    <t>EMP0462</t>
  </si>
  <si>
    <t>2021-08-14</t>
  </si>
  <si>
    <t>EMP0463</t>
  </si>
  <si>
    <t>2019-02-08</t>
  </si>
  <si>
    <t>EMP0464</t>
  </si>
  <si>
    <t>2020-10-20</t>
  </si>
  <si>
    <t>EMP0465</t>
  </si>
  <si>
    <t>EMP0466</t>
  </si>
  <si>
    <t>2024-07-16</t>
  </si>
  <si>
    <t>EMP0467</t>
  </si>
  <si>
    <t>2025-03-18</t>
  </si>
  <si>
    <t>EMP0468</t>
  </si>
  <si>
    <t>2017-11-28</t>
  </si>
  <si>
    <t>EMP0469</t>
  </si>
  <si>
    <t>2015-01-20</t>
  </si>
  <si>
    <t>EMP0470</t>
  </si>
  <si>
    <t>2020-03-14</t>
  </si>
  <si>
    <t>EMP0471</t>
  </si>
  <si>
    <t>2023-09-14</t>
  </si>
  <si>
    <t>EMP0472</t>
  </si>
  <si>
    <t>2014-04-20</t>
  </si>
  <si>
    <t>EMP0473</t>
  </si>
  <si>
    <t>2021-04-19</t>
  </si>
  <si>
    <t>EMP0474</t>
  </si>
  <si>
    <t>EMP0475</t>
  </si>
  <si>
    <t>2018-12-05</t>
  </si>
  <si>
    <t>EMP0476</t>
  </si>
  <si>
    <t>2024-06-01</t>
  </si>
  <si>
    <t>EMP0477</t>
  </si>
  <si>
    <t>2013-02-27</t>
  </si>
  <si>
    <t>EMP0478</t>
  </si>
  <si>
    <t>2023-12-15</t>
  </si>
  <si>
    <t>EMP0479</t>
  </si>
  <si>
    <t>2024-01-11</t>
  </si>
  <si>
    <t>EMP0480</t>
  </si>
  <si>
    <t>2022-08-26</t>
  </si>
  <si>
    <t>EMP0481</t>
  </si>
  <si>
    <t>2022-02-07</t>
  </si>
  <si>
    <t>EMP0482</t>
  </si>
  <si>
    <t>2012-10-21</t>
  </si>
  <si>
    <t>EMP0483</t>
  </si>
  <si>
    <t>2017-05-15</t>
  </si>
  <si>
    <t>EMP0484</t>
  </si>
  <si>
    <t>2012-02-01</t>
  </si>
  <si>
    <t>EMP0485</t>
  </si>
  <si>
    <t>2015-01-14</t>
  </si>
  <si>
    <t>EMP0486</t>
  </si>
  <si>
    <t>2021-04-28</t>
  </si>
  <si>
    <t>EMP0487</t>
  </si>
  <si>
    <t>2015-05-26</t>
  </si>
  <si>
    <t>EMP0488</t>
  </si>
  <si>
    <t>2022-10-03</t>
  </si>
  <si>
    <t>EMP0489</t>
  </si>
  <si>
    <t>2012-10-03</t>
  </si>
  <si>
    <t>EMP0490</t>
  </si>
  <si>
    <t>2015-05-16</t>
  </si>
  <si>
    <t>EMP0491</t>
  </si>
  <si>
    <t>2016-03-08</t>
  </si>
  <si>
    <t>EMP0492</t>
  </si>
  <si>
    <t>2014-12-17</t>
  </si>
  <si>
    <t>EMP0493</t>
  </si>
  <si>
    <t>2024-02-07</t>
  </si>
  <si>
    <t>EMP0494</t>
  </si>
  <si>
    <t>2015-04-09</t>
  </si>
  <si>
    <t>EMP0495</t>
  </si>
  <si>
    <t>2013-07-26</t>
  </si>
  <si>
    <t>EMP0496</t>
  </si>
  <si>
    <t>2020-12-22</t>
  </si>
  <si>
    <t>EMP0497</t>
  </si>
  <si>
    <t>2016-11-02</t>
  </si>
  <si>
    <t>EMP0498</t>
  </si>
  <si>
    <t>2020-03-16</t>
  </si>
  <si>
    <t>EMP0499</t>
  </si>
  <si>
    <t>2018-02-25</t>
  </si>
  <si>
    <t>EMP0500</t>
  </si>
  <si>
    <t>2023-04-24</t>
  </si>
  <si>
    <t>EMP0501</t>
  </si>
  <si>
    <t>2023-04-23</t>
  </si>
  <si>
    <t>EMP0502</t>
  </si>
  <si>
    <t>2023-05-16</t>
  </si>
  <si>
    <t>EMP0503</t>
  </si>
  <si>
    <t>2023-12-18</t>
  </si>
  <si>
    <t>EMP0504</t>
  </si>
  <si>
    <t>2020-03-25</t>
  </si>
  <si>
    <t>EMP0505</t>
  </si>
  <si>
    <t>2020-11-29</t>
  </si>
  <si>
    <t>EMP0506</t>
  </si>
  <si>
    <t>2014-07-23</t>
  </si>
  <si>
    <t>EMP0507</t>
  </si>
  <si>
    <t>2012-07-07</t>
  </si>
  <si>
    <t>EMP0508</t>
  </si>
  <si>
    <t>2017-03-05</t>
  </si>
  <si>
    <t>EMP0509</t>
  </si>
  <si>
    <t>2016-02-03</t>
  </si>
  <si>
    <t>EMP0510</t>
  </si>
  <si>
    <t>EMP0511</t>
  </si>
  <si>
    <t>2019-05-05</t>
  </si>
  <si>
    <t>EMP0512</t>
  </si>
  <si>
    <t>2012-11-06</t>
  </si>
  <si>
    <t>EMP0513</t>
  </si>
  <si>
    <t>2023-01-05</t>
  </si>
  <si>
    <t>EMP0514</t>
  </si>
  <si>
    <t>2016-02-22</t>
  </si>
  <si>
    <t>EMP0515</t>
  </si>
  <si>
    <t>2017-11-10</t>
  </si>
  <si>
    <t>EMP0516</t>
  </si>
  <si>
    <t>2021-11-29</t>
  </si>
  <si>
    <t>EMP0517</t>
  </si>
  <si>
    <t>EMP0518</t>
  </si>
  <si>
    <t>2025-07-21</t>
  </si>
  <si>
    <t>EMP0519</t>
  </si>
  <si>
    <t>2018-12-01</t>
  </si>
  <si>
    <t>EMP0520</t>
  </si>
  <si>
    <t>2018-12-29</t>
  </si>
  <si>
    <t>EMP0521</t>
  </si>
  <si>
    <t>2020-08-17</t>
  </si>
  <si>
    <t>EMP0522</t>
  </si>
  <si>
    <t>2016-03-02</t>
  </si>
  <si>
    <t>EMP0523</t>
  </si>
  <si>
    <t>2023-05-29</t>
  </si>
  <si>
    <t>EMP0524</t>
  </si>
  <si>
    <t>2017-12-20</t>
  </si>
  <si>
    <t>EMP0525</t>
  </si>
  <si>
    <t>2016-06-12</t>
  </si>
  <si>
    <t>EMP0526</t>
  </si>
  <si>
    <t>2017-11-13</t>
  </si>
  <si>
    <t>EMP0527</t>
  </si>
  <si>
    <t>EMP0528</t>
  </si>
  <si>
    <t>2018-10-23</t>
  </si>
  <si>
    <t>EMP0529</t>
  </si>
  <si>
    <t>2015-01-25</t>
  </si>
  <si>
    <t>EMP0530</t>
  </si>
  <si>
    <t>EMP0531</t>
  </si>
  <si>
    <t>2025-06-02</t>
  </si>
  <si>
    <t>EMP0532</t>
  </si>
  <si>
    <t>2020-07-27</t>
  </si>
  <si>
    <t>EMP0533</t>
  </si>
  <si>
    <t>2019-03-30</t>
  </si>
  <si>
    <t>EMP0534</t>
  </si>
  <si>
    <t>2024-10-14</t>
  </si>
  <si>
    <t>EMP0535</t>
  </si>
  <si>
    <t>2024-02-17</t>
  </si>
  <si>
    <t>EMP0536</t>
  </si>
  <si>
    <t>2020-10-31</t>
  </si>
  <si>
    <t>EMP0537</t>
  </si>
  <si>
    <t>2018-04-30</t>
  </si>
  <si>
    <t>EMP0538</t>
  </si>
  <si>
    <t>2012-12-20</t>
  </si>
  <si>
    <t>EMP0539</t>
  </si>
  <si>
    <t>2017-03-25</t>
  </si>
  <si>
    <t>EMP0540</t>
  </si>
  <si>
    <t>2023-05-17</t>
  </si>
  <si>
    <t>EMP0541</t>
  </si>
  <si>
    <t>2020-03-31</t>
  </si>
  <si>
    <t>EMP0542</t>
  </si>
  <si>
    <t>2023-09-20</t>
  </si>
  <si>
    <t>EMP0543</t>
  </si>
  <si>
    <t>2016-03-17</t>
  </si>
  <si>
    <t>EMP0544</t>
  </si>
  <si>
    <t>2014-05-07</t>
  </si>
  <si>
    <t>EMP0545</t>
  </si>
  <si>
    <t>2022-07-08</t>
  </si>
  <si>
    <t>EMP0546</t>
  </si>
  <si>
    <t>2021-04-30</t>
  </si>
  <si>
    <t>EMP0547</t>
  </si>
  <si>
    <t>EMP0548</t>
  </si>
  <si>
    <t>2012-04-13</t>
  </si>
  <si>
    <t>EMP0549</t>
  </si>
  <si>
    <t>EMP0550</t>
  </si>
  <si>
    <t>2023-07-11</t>
  </si>
  <si>
    <t>EMP0551</t>
  </si>
  <si>
    <t>2014-03-26</t>
  </si>
  <si>
    <t>EMP0552</t>
  </si>
  <si>
    <t>2025-04-02</t>
  </si>
  <si>
    <t>EMP0553</t>
  </si>
  <si>
    <t>2018-03-18</t>
  </si>
  <si>
    <t>EMP0554</t>
  </si>
  <si>
    <t>2016-12-11</t>
  </si>
  <si>
    <t>EMP0555</t>
  </si>
  <si>
    <t>2024-04-25</t>
  </si>
  <si>
    <t>EMP0556</t>
  </si>
  <si>
    <t>2015-04-13</t>
  </si>
  <si>
    <t>EMP0557</t>
  </si>
  <si>
    <t>2012-06-10</t>
  </si>
  <si>
    <t>EMP0558</t>
  </si>
  <si>
    <t>2023-04-20</t>
  </si>
  <si>
    <t>EMP0559</t>
  </si>
  <si>
    <t>2012-01-09</t>
  </si>
  <si>
    <t>EMP0560</t>
  </si>
  <si>
    <t>2016-01-05</t>
  </si>
  <si>
    <t>EMP0561</t>
  </si>
  <si>
    <t>EMP0562</t>
  </si>
  <si>
    <t>2021-08-05</t>
  </si>
  <si>
    <t>EMP0563</t>
  </si>
  <si>
    <t>2017-03-31</t>
  </si>
  <si>
    <t>EMP0564</t>
  </si>
  <si>
    <t>EMP0565</t>
  </si>
  <si>
    <t>EMP0566</t>
  </si>
  <si>
    <t>2014-09-09</t>
  </si>
  <si>
    <t>EMP0567</t>
  </si>
  <si>
    <t>2015-12-13</t>
  </si>
  <si>
    <t>EMP0568</t>
  </si>
  <si>
    <t>2013-02-10</t>
  </si>
  <si>
    <t>EMP0569</t>
  </si>
  <si>
    <t>2019-03-22</t>
  </si>
  <si>
    <t>EMP0570</t>
  </si>
  <si>
    <t>EMP0571</t>
  </si>
  <si>
    <t>EMP0572</t>
  </si>
  <si>
    <t>2024-08-27</t>
  </si>
  <si>
    <t>EMP0573</t>
  </si>
  <si>
    <t>2022-04-03</t>
  </si>
  <si>
    <t>EMP0574</t>
  </si>
  <si>
    <t>2014-07-02</t>
  </si>
  <si>
    <t>EMP0575</t>
  </si>
  <si>
    <t>EMP0576</t>
  </si>
  <si>
    <t>2023-08-21</t>
  </si>
  <si>
    <t>EMP0577</t>
  </si>
  <si>
    <t>2021-10-23</t>
  </si>
  <si>
    <t>EMP0578</t>
  </si>
  <si>
    <t>2019-04-19</t>
  </si>
  <si>
    <t>EMP0579</t>
  </si>
  <si>
    <t>2022-03-29</t>
  </si>
  <si>
    <t>EMP0580</t>
  </si>
  <si>
    <t>2019-09-21</t>
  </si>
  <si>
    <t>EMP0581</t>
  </si>
  <si>
    <t>2012-06-27</t>
  </si>
  <si>
    <t>EMP0582</t>
  </si>
  <si>
    <t>2022-12-12</t>
  </si>
  <si>
    <t>EMP0583</t>
  </si>
  <si>
    <t>2019-06-15</t>
  </si>
  <si>
    <t>EMP0584</t>
  </si>
  <si>
    <t>2013-04-01</t>
  </si>
  <si>
    <t>EMP0585</t>
  </si>
  <si>
    <t>2015-06-06</t>
  </si>
  <si>
    <t>EMP0586</t>
  </si>
  <si>
    <t>2024-05-27</t>
  </si>
  <si>
    <t>EMP0587</t>
  </si>
  <si>
    <t>2013-09-16</t>
  </si>
  <si>
    <t>EMP0588</t>
  </si>
  <si>
    <t>2021-11-24</t>
  </si>
  <si>
    <t>EMP0589</t>
  </si>
  <si>
    <t>2018-12-04</t>
  </si>
  <si>
    <t>EMP0590</t>
  </si>
  <si>
    <t>2018-02-18</t>
  </si>
  <si>
    <t>EMP0591</t>
  </si>
  <si>
    <t>2017-05-24</t>
  </si>
  <si>
    <t>EMP0592</t>
  </si>
  <si>
    <t>2019-11-23</t>
  </si>
  <si>
    <t>EMP0593</t>
  </si>
  <si>
    <t>2023-06-15</t>
  </si>
  <si>
    <t>EMP0594</t>
  </si>
  <si>
    <t>2020-10-11</t>
  </si>
  <si>
    <t>EMP0595</t>
  </si>
  <si>
    <t>EMP0596</t>
  </si>
  <si>
    <t>2022-05-04</t>
  </si>
  <si>
    <t>EMP0597</t>
  </si>
  <si>
    <t>2017-08-26</t>
  </si>
  <si>
    <t>EMP0598</t>
  </si>
  <si>
    <t>2015-10-16</t>
  </si>
  <si>
    <t>EMP0599</t>
  </si>
  <si>
    <t>2023-08-23</t>
  </si>
  <si>
    <t>EMP0600</t>
  </si>
  <si>
    <t>2012-07-23</t>
  </si>
  <si>
    <t>EMP0601</t>
  </si>
  <si>
    <t>2013-06-22</t>
  </si>
  <si>
    <t>EMP0602</t>
  </si>
  <si>
    <t>2017-05-05</t>
  </si>
  <si>
    <t>EMP0603</t>
  </si>
  <si>
    <t>2019-11-02</t>
  </si>
  <si>
    <t>EMP0604</t>
  </si>
  <si>
    <t>2023-04-15</t>
  </si>
  <si>
    <t>EMP0605</t>
  </si>
  <si>
    <t>2019-11-30</t>
  </si>
  <si>
    <t>EMP0606</t>
  </si>
  <si>
    <t>EMP0607</t>
  </si>
  <si>
    <t>2019-04-22</t>
  </si>
  <si>
    <t>EMP0608</t>
  </si>
  <si>
    <t>2013-07-14</t>
  </si>
  <si>
    <t>EMP0609</t>
  </si>
  <si>
    <t>2019-10-03</t>
  </si>
  <si>
    <t>EMP0610</t>
  </si>
  <si>
    <t>2018-04-10</t>
  </si>
  <si>
    <t>EMP0611</t>
  </si>
  <si>
    <t>2014-09-16</t>
  </si>
  <si>
    <t>EMP0612</t>
  </si>
  <si>
    <t>2019-07-10</t>
  </si>
  <si>
    <t>EMP0613</t>
  </si>
  <si>
    <t>2021-03-18</t>
  </si>
  <si>
    <t>EMP0614</t>
  </si>
  <si>
    <t>2020-04-25</t>
  </si>
  <si>
    <t>EMP0615</t>
  </si>
  <si>
    <t>2012-03-23</t>
  </si>
  <si>
    <t>EMP0616</t>
  </si>
  <si>
    <t>2017-09-01</t>
  </si>
  <si>
    <t>EMP0617</t>
  </si>
  <si>
    <t>2014-12-03</t>
  </si>
  <si>
    <t>EMP0618</t>
  </si>
  <si>
    <t>2012-07-12</t>
  </si>
  <si>
    <t>EMP0619</t>
  </si>
  <si>
    <t>2023-01-22</t>
  </si>
  <si>
    <t>EMP0620</t>
  </si>
  <si>
    <t>2015-10-18</t>
  </si>
  <si>
    <t>EMP0621</t>
  </si>
  <si>
    <t>EMP0622</t>
  </si>
  <si>
    <t>2015-03-04</t>
  </si>
  <si>
    <t>EMP0623</t>
  </si>
  <si>
    <t>2016-10-18</t>
  </si>
  <si>
    <t>EMP0624</t>
  </si>
  <si>
    <t>2025-06-19</t>
  </si>
  <si>
    <t>EMP0625</t>
  </si>
  <si>
    <t>2013-06-05</t>
  </si>
  <si>
    <t>EMP0626</t>
  </si>
  <si>
    <t>2019-02-27</t>
  </si>
  <si>
    <t>EMP0627</t>
  </si>
  <si>
    <t>EMP0628</t>
  </si>
  <si>
    <t>2020-05-01</t>
  </si>
  <si>
    <t>EMP0629</t>
  </si>
  <si>
    <t>EMP0630</t>
  </si>
  <si>
    <t>2014-12-20</t>
  </si>
  <si>
    <t>EMP0631</t>
  </si>
  <si>
    <t>2015-06-19</t>
  </si>
  <si>
    <t>EMP0632</t>
  </si>
  <si>
    <t>2020-05-26</t>
  </si>
  <si>
    <t>EMP0633</t>
  </si>
  <si>
    <t>2023-03-15</t>
  </si>
  <si>
    <t>EMP0634</t>
  </si>
  <si>
    <t>2012-09-05</t>
  </si>
  <si>
    <t>EMP0635</t>
  </si>
  <si>
    <t>2020-10-02</t>
  </si>
  <si>
    <t>EMP0636</t>
  </si>
  <si>
    <t>EMP0637</t>
  </si>
  <si>
    <t>2014-04-28</t>
  </si>
  <si>
    <t>EMP0638</t>
  </si>
  <si>
    <t>2022-11-19</t>
  </si>
  <si>
    <t>EMP0639</t>
  </si>
  <si>
    <t>2022-02-21</t>
  </si>
  <si>
    <t>EMP0640</t>
  </si>
  <si>
    <t>2017-01-18</t>
  </si>
  <si>
    <t>EMP0641</t>
  </si>
  <si>
    <t>2016-07-15</t>
  </si>
  <si>
    <t>EMP0642</t>
  </si>
  <si>
    <t>2024-07-04</t>
  </si>
  <si>
    <t>EMP0643</t>
  </si>
  <si>
    <t>2025-08-14</t>
  </si>
  <si>
    <t>EMP0644</t>
  </si>
  <si>
    <t>2017-10-02</t>
  </si>
  <si>
    <t>EMP0645</t>
  </si>
  <si>
    <t>2019-01-04</t>
  </si>
  <si>
    <t>EMP0646</t>
  </si>
  <si>
    <t>EMP0647</t>
  </si>
  <si>
    <t>EMP0648</t>
  </si>
  <si>
    <t>2023-12-03</t>
  </si>
  <si>
    <t>EMP0649</t>
  </si>
  <si>
    <t>2022-06-22</t>
  </si>
  <si>
    <t>EMP0650</t>
  </si>
  <si>
    <t>2012-11-17</t>
  </si>
  <si>
    <t>EMP0651</t>
  </si>
  <si>
    <t>2015-04-23</t>
  </si>
  <si>
    <t>EMP0652</t>
  </si>
  <si>
    <t>2018-04-13</t>
  </si>
  <si>
    <t>EMP0653</t>
  </si>
  <si>
    <t>2023-02-17</t>
  </si>
  <si>
    <t>EMP0654</t>
  </si>
  <si>
    <t>2016-04-09</t>
  </si>
  <si>
    <t>EMP0655</t>
  </si>
  <si>
    <t>2015-07-16</t>
  </si>
  <si>
    <t>EMP0656</t>
  </si>
  <si>
    <t>2025-09-05</t>
  </si>
  <si>
    <t>EMP0657</t>
  </si>
  <si>
    <t>2024-11-13</t>
  </si>
  <si>
    <t>EMP0658</t>
  </si>
  <si>
    <t>EMP0659</t>
  </si>
  <si>
    <t>2015-11-02</t>
  </si>
  <si>
    <t>EMP0660</t>
  </si>
  <si>
    <t>EMP0661</t>
  </si>
  <si>
    <t>2022-01-13</t>
  </si>
  <si>
    <t>EMP0662</t>
  </si>
  <si>
    <t>2017-10-23</t>
  </si>
  <si>
    <t>EMP0663</t>
  </si>
  <si>
    <t>EMP0664</t>
  </si>
  <si>
    <t>2020-03-10</t>
  </si>
  <si>
    <t>EMP0665</t>
  </si>
  <si>
    <t>2023-08-14</t>
  </si>
  <si>
    <t>EMP0666</t>
  </si>
  <si>
    <t>2019-03-02</t>
  </si>
  <si>
    <t>EMP0667</t>
  </si>
  <si>
    <t>2024-12-30</t>
  </si>
  <si>
    <t>EMP0668</t>
  </si>
  <si>
    <t>EMP0669</t>
  </si>
  <si>
    <t>2019-12-28</t>
  </si>
  <si>
    <t>EMP0670</t>
  </si>
  <si>
    <t>2013-02-28</t>
  </si>
  <si>
    <t>EMP0671</t>
  </si>
  <si>
    <t>2019-06-14</t>
  </si>
  <si>
    <t>EMP0672</t>
  </si>
  <si>
    <t>2016-07-04</t>
  </si>
  <si>
    <t>EMP0673</t>
  </si>
  <si>
    <t>EMP0674</t>
  </si>
  <si>
    <t>2014-12-23</t>
  </si>
  <si>
    <t>EMP0675</t>
  </si>
  <si>
    <t>2020-08-12</t>
  </si>
  <si>
    <t>EMP0676</t>
  </si>
  <si>
    <t>2013-10-11</t>
  </si>
  <si>
    <t>EMP0677</t>
  </si>
  <si>
    <t>2025-08-25</t>
  </si>
  <si>
    <t>EMP0678</t>
  </si>
  <si>
    <t>2024-06-05</t>
  </si>
  <si>
    <t>EMP0679</t>
  </si>
  <si>
    <t>2016-03-18</t>
  </si>
  <si>
    <t>EMP0680</t>
  </si>
  <si>
    <t>2018-12-16</t>
  </si>
  <si>
    <t>EMP0681</t>
  </si>
  <si>
    <t>2019-04-03</t>
  </si>
  <si>
    <t>EMP0682</t>
  </si>
  <si>
    <t>2021-04-13</t>
  </si>
  <si>
    <t>EMP0683</t>
  </si>
  <si>
    <t>2018-04-09</t>
  </si>
  <si>
    <t>EMP0684</t>
  </si>
  <si>
    <t>2013-10-06</t>
  </si>
  <si>
    <t>EMP0685</t>
  </si>
  <si>
    <t>2016-10-13</t>
  </si>
  <si>
    <t>EMP0686</t>
  </si>
  <si>
    <t>2023-06-10</t>
  </si>
  <si>
    <t>EMP0687</t>
  </si>
  <si>
    <t>2021-06-24</t>
  </si>
  <si>
    <t>EMP0688</t>
  </si>
  <si>
    <t>2025-04-24</t>
  </si>
  <si>
    <t>EMP0689</t>
  </si>
  <si>
    <t>2018-03-17</t>
  </si>
  <si>
    <t>EMP0690</t>
  </si>
  <si>
    <t>EMP0691</t>
  </si>
  <si>
    <t>2018-04-06</t>
  </si>
  <si>
    <t>EMP0692</t>
  </si>
  <si>
    <t>2017-08-07</t>
  </si>
  <si>
    <t>EMP0693</t>
  </si>
  <si>
    <t>EMP0694</t>
  </si>
  <si>
    <t>2023-09-15</t>
  </si>
  <si>
    <t>EMP0695</t>
  </si>
  <si>
    <t>2018-12-14</t>
  </si>
  <si>
    <t>EMP0696</t>
  </si>
  <si>
    <t>EMP0697</t>
  </si>
  <si>
    <t>2020-06-01</t>
  </si>
  <si>
    <t>EMP0698</t>
  </si>
  <si>
    <t>2020-05-30</t>
  </si>
  <si>
    <t>EMP0699</t>
  </si>
  <si>
    <t>2018-06-28</t>
  </si>
  <si>
    <t>EMP0700</t>
  </si>
  <si>
    <t>2020-07-06</t>
  </si>
  <si>
    <t>EMP0701</t>
  </si>
  <si>
    <t>2018-06-02</t>
  </si>
  <si>
    <t>EMP0702</t>
  </si>
  <si>
    <t>2015-06-22</t>
  </si>
  <si>
    <t>EMP0703</t>
  </si>
  <si>
    <t>2018-07-20</t>
  </si>
  <si>
    <t>EMP0704</t>
  </si>
  <si>
    <t>2023-06-27</t>
  </si>
  <si>
    <t>EMP0705</t>
  </si>
  <si>
    <t>2019-10-21</t>
  </si>
  <si>
    <t>EMP0706</t>
  </si>
  <si>
    <t>2015-05-24</t>
  </si>
  <si>
    <t>EMP0707</t>
  </si>
  <si>
    <t>2016-01-23</t>
  </si>
  <si>
    <t>EMP0708</t>
  </si>
  <si>
    <t>2023-05-22</t>
  </si>
  <si>
    <t>EMP0709</t>
  </si>
  <si>
    <t>EMP0710</t>
  </si>
  <si>
    <t>2025-03-27</t>
  </si>
  <si>
    <t>EMP0711</t>
  </si>
  <si>
    <t>2013-12-10</t>
  </si>
  <si>
    <t>EMP0712</t>
  </si>
  <si>
    <t>2020-01-28</t>
  </si>
  <si>
    <t>EMP0713</t>
  </si>
  <si>
    <t>2019-02-09</t>
  </si>
  <si>
    <t>EMP0714</t>
  </si>
  <si>
    <t>2019-12-24</t>
  </si>
  <si>
    <t>EMP0715</t>
  </si>
  <si>
    <t>2015-04-29</t>
  </si>
  <si>
    <t>EMP0716</t>
  </si>
  <si>
    <t>2017-08-06</t>
  </si>
  <si>
    <t>EMP0717</t>
  </si>
  <si>
    <t>2013-05-30</t>
  </si>
  <si>
    <t>EMP0718</t>
  </si>
  <si>
    <t>2015-06-02</t>
  </si>
  <si>
    <t>EMP0719</t>
  </si>
  <si>
    <t>2012-03-25</t>
  </si>
  <si>
    <t>EMP0720</t>
  </si>
  <si>
    <t>2017-01-24</t>
  </si>
  <si>
    <t>EMP0721</t>
  </si>
  <si>
    <t>2025-03-21</t>
  </si>
  <si>
    <t>EMP0722</t>
  </si>
  <si>
    <t>2021-09-19</t>
  </si>
  <si>
    <t>EMP0723</t>
  </si>
  <si>
    <t>2012-04-11</t>
  </si>
  <si>
    <t>EMP0724</t>
  </si>
  <si>
    <t>2013-06-19</t>
  </si>
  <si>
    <t>EMP0725</t>
  </si>
  <si>
    <t>2021-11-16</t>
  </si>
  <si>
    <t>EMP0726</t>
  </si>
  <si>
    <t>EMP0727</t>
  </si>
  <si>
    <t>2024-05-02</t>
  </si>
  <si>
    <t>EMP0728</t>
  </si>
  <si>
    <t>EMP0729</t>
  </si>
  <si>
    <t>2015-11-10</t>
  </si>
  <si>
    <t>EMP0730</t>
  </si>
  <si>
    <t>2023-11-19</t>
  </si>
  <si>
    <t>EMP0731</t>
  </si>
  <si>
    <t>2017-02-11</t>
  </si>
  <si>
    <t>EMP0732</t>
  </si>
  <si>
    <t>2016-12-30</t>
  </si>
  <si>
    <t>EMP0733</t>
  </si>
  <si>
    <t>2018-08-18</t>
  </si>
  <si>
    <t>EMP0734</t>
  </si>
  <si>
    <t>2024-11-27</t>
  </si>
  <si>
    <t>EMP0735</t>
  </si>
  <si>
    <t>2020-04-19</t>
  </si>
  <si>
    <t>EMP0736</t>
  </si>
  <si>
    <t>2016-10-11</t>
  </si>
  <si>
    <t>EMP0737</t>
  </si>
  <si>
    <t>2015-04-07</t>
  </si>
  <si>
    <t>EMP0738</t>
  </si>
  <si>
    <t>2014-09-06</t>
  </si>
  <si>
    <t>EMP0739</t>
  </si>
  <si>
    <t>2023-09-08</t>
  </si>
  <si>
    <t>EMP0740</t>
  </si>
  <si>
    <t>2023-03-18</t>
  </si>
  <si>
    <t>EMP0741</t>
  </si>
  <si>
    <t>2025-07-16</t>
  </si>
  <si>
    <t>EMP0742</t>
  </si>
  <si>
    <t>2021-11-19</t>
  </si>
  <si>
    <t>EMP0743</t>
  </si>
  <si>
    <t>2025-09-01</t>
  </si>
  <si>
    <t>EMP0744</t>
  </si>
  <si>
    <t>2021-10-13</t>
  </si>
  <si>
    <t>EMP0745</t>
  </si>
  <si>
    <t>2013-08-14</t>
  </si>
  <si>
    <t>EMP0746</t>
  </si>
  <si>
    <t>2019-06-19</t>
  </si>
  <si>
    <t>EMP0747</t>
  </si>
  <si>
    <t>2012-09-30</t>
  </si>
  <si>
    <t>EMP0748</t>
  </si>
  <si>
    <t>2023-10-15</t>
  </si>
  <si>
    <t>EMP0749</t>
  </si>
  <si>
    <t>2018-02-12</t>
  </si>
  <si>
    <t>EMP0750</t>
  </si>
  <si>
    <t>2022-06-17</t>
  </si>
  <si>
    <t>EMP0751</t>
  </si>
  <si>
    <t>2020-09-12</t>
  </si>
  <si>
    <t>EMP0752</t>
  </si>
  <si>
    <t>2019-02-10</t>
  </si>
  <si>
    <t>EMP0753</t>
  </si>
  <si>
    <t>EMP0754</t>
  </si>
  <si>
    <t>EMP0755</t>
  </si>
  <si>
    <t>2017-07-30</t>
  </si>
  <si>
    <t>EMP0756</t>
  </si>
  <si>
    <t>EMP0757</t>
  </si>
  <si>
    <t>2012-01-20</t>
  </si>
  <si>
    <t>EMP0758</t>
  </si>
  <si>
    <t>2013-01-22</t>
  </si>
  <si>
    <t>EMP0759</t>
  </si>
  <si>
    <t>2023-12-11</t>
  </si>
  <si>
    <t>EMP0760</t>
  </si>
  <si>
    <t>2018-06-09</t>
  </si>
  <si>
    <t>EMP0761</t>
  </si>
  <si>
    <t>2025-08-03</t>
  </si>
  <si>
    <t>EMP0762</t>
  </si>
  <si>
    <t>2024-10-19</t>
  </si>
  <si>
    <t>EMP0763</t>
  </si>
  <si>
    <t>2012-01-08</t>
  </si>
  <si>
    <t>EMP0764</t>
  </si>
  <si>
    <t>EMP0765</t>
  </si>
  <si>
    <t>2018-03-23</t>
  </si>
  <si>
    <t>EMP0766</t>
  </si>
  <si>
    <t>2022-01-30</t>
  </si>
  <si>
    <t>EMP0767</t>
  </si>
  <si>
    <t>EMP0768</t>
  </si>
  <si>
    <t>2014-06-11</t>
  </si>
  <si>
    <t>EMP0769</t>
  </si>
  <si>
    <t>2013-01-02</t>
  </si>
  <si>
    <t>EMP0770</t>
  </si>
  <si>
    <t>2021-04-01</t>
  </si>
  <si>
    <t>EMP0771</t>
  </si>
  <si>
    <t>2024-03-03</t>
  </si>
  <si>
    <t>EMP0772</t>
  </si>
  <si>
    <t>EMP0773</t>
  </si>
  <si>
    <t>2023-08-06</t>
  </si>
  <si>
    <t>EMP0774</t>
  </si>
  <si>
    <t>2023-10-02</t>
  </si>
  <si>
    <t>EMP0775</t>
  </si>
  <si>
    <t>2019-11-03</t>
  </si>
  <si>
    <t>EMP0776</t>
  </si>
  <si>
    <t>2024-05-14</t>
  </si>
  <si>
    <t>EMP0777</t>
  </si>
  <si>
    <t>2023-04-11</t>
  </si>
  <si>
    <t>EMP0778</t>
  </si>
  <si>
    <t>2017-02-23</t>
  </si>
  <si>
    <t>EMP0779</t>
  </si>
  <si>
    <t>2016-04-29</t>
  </si>
  <si>
    <t>EMP0780</t>
  </si>
  <si>
    <t>2012-08-26</t>
  </si>
  <si>
    <t>EMP0781</t>
  </si>
  <si>
    <t>EMP0782</t>
  </si>
  <si>
    <t>2024-06-17</t>
  </si>
  <si>
    <t>EMP0783</t>
  </si>
  <si>
    <t>2024-03-01</t>
  </si>
  <si>
    <t>EMP0784</t>
  </si>
  <si>
    <t>2012-06-08</t>
  </si>
  <si>
    <t>EMP0785</t>
  </si>
  <si>
    <t>EMP0786</t>
  </si>
  <si>
    <t>2022-03-18</t>
  </si>
  <si>
    <t>EMP0787</t>
  </si>
  <si>
    <t>2023-02-16</t>
  </si>
  <si>
    <t>EMP0788</t>
  </si>
  <si>
    <t>2013-08-24</t>
  </si>
  <si>
    <t>EMP0789</t>
  </si>
  <si>
    <t>EMP0790</t>
  </si>
  <si>
    <t>EMP0791</t>
  </si>
  <si>
    <t>2013-09-20</t>
  </si>
  <si>
    <t>EMP0792</t>
  </si>
  <si>
    <t>2021-04-15</t>
  </si>
  <si>
    <t>EMP0793</t>
  </si>
  <si>
    <t>2017-03-30</t>
  </si>
  <si>
    <t>EMP0794</t>
  </si>
  <si>
    <t>2024-12-18</t>
  </si>
  <si>
    <t>EMP0795</t>
  </si>
  <si>
    <t>2020-06-04</t>
  </si>
  <si>
    <t>EMP0796</t>
  </si>
  <si>
    <t>2021-04-05</t>
  </si>
  <si>
    <t>EMP0797</t>
  </si>
  <si>
    <t>2016-04-27</t>
  </si>
  <si>
    <t>EMP0798</t>
  </si>
  <si>
    <t>2021-02-07</t>
  </si>
  <si>
    <t>EMP0799</t>
  </si>
  <si>
    <t>2025-04-20</t>
  </si>
  <si>
    <t>EMP0800</t>
  </si>
  <si>
    <t>EMP0801</t>
  </si>
  <si>
    <t>2012-01-06</t>
  </si>
  <si>
    <t>EMP0802</t>
  </si>
  <si>
    <t>2017-03-01</t>
  </si>
  <si>
    <t>EMP0803</t>
  </si>
  <si>
    <t>2021-12-31</t>
  </si>
  <si>
    <t>EMP0804</t>
  </si>
  <si>
    <t>2025-02-26</t>
  </si>
  <si>
    <t>EMP0805</t>
  </si>
  <si>
    <t>EMP0806</t>
  </si>
  <si>
    <t>2014-08-19</t>
  </si>
  <si>
    <t>EMP0807</t>
  </si>
  <si>
    <t>2021-08-21</t>
  </si>
  <si>
    <t>EMP0808</t>
  </si>
  <si>
    <t>EMP0809</t>
  </si>
  <si>
    <t>2012-12-19</t>
  </si>
  <si>
    <t>EMP0810</t>
  </si>
  <si>
    <t>EMP0811</t>
  </si>
  <si>
    <t>EMP0812</t>
  </si>
  <si>
    <t>2023-01-09</t>
  </si>
  <si>
    <t>EMP0813</t>
  </si>
  <si>
    <t>2022-09-03</t>
  </si>
  <si>
    <t>EMP0814</t>
  </si>
  <si>
    <t>2019-10-20</t>
  </si>
  <si>
    <t>EMP0815</t>
  </si>
  <si>
    <t>2019-08-22</t>
  </si>
  <si>
    <t>EMP0816</t>
  </si>
  <si>
    <t>2015-09-03</t>
  </si>
  <si>
    <t>EMP0817</t>
  </si>
  <si>
    <t>2012-03-01</t>
  </si>
  <si>
    <t>EMP0818</t>
  </si>
  <si>
    <t>EMP0819</t>
  </si>
  <si>
    <t>2015-12-02</t>
  </si>
  <si>
    <t>EMP0820</t>
  </si>
  <si>
    <t>2012-09-08</t>
  </si>
  <si>
    <t>EMP0821</t>
  </si>
  <si>
    <t>2022-07-11</t>
  </si>
  <si>
    <t>EMP0822</t>
  </si>
  <si>
    <t>2017-10-25</t>
  </si>
  <si>
    <t>EMP0823</t>
  </si>
  <si>
    <t>2020-02-22</t>
  </si>
  <si>
    <t>EMP0824</t>
  </si>
  <si>
    <t>2020-12-09</t>
  </si>
  <si>
    <t>EMP0825</t>
  </si>
  <si>
    <t>EMP0826</t>
  </si>
  <si>
    <t>2012-06-17</t>
  </si>
  <si>
    <t>EMP0827</t>
  </si>
  <si>
    <t>2012-09-09</t>
  </si>
  <si>
    <t>EMP0828</t>
  </si>
  <si>
    <t>2012-07-03</t>
  </si>
  <si>
    <t>EMP0829</t>
  </si>
  <si>
    <t>2022-06-10</t>
  </si>
  <si>
    <t>EMP0830</t>
  </si>
  <si>
    <t>2015-01-05</t>
  </si>
  <si>
    <t>EMP0831</t>
  </si>
  <si>
    <t>EMP0832</t>
  </si>
  <si>
    <t>EMP0833</t>
  </si>
  <si>
    <t>2017-03-17</t>
  </si>
  <si>
    <t>EMP0834</t>
  </si>
  <si>
    <t>2023-04-03</t>
  </si>
  <si>
    <t>EMP0835</t>
  </si>
  <si>
    <t>2025-07-12</t>
  </si>
  <si>
    <t>EMP0836</t>
  </si>
  <si>
    <t>2017-12-05</t>
  </si>
  <si>
    <t>EMP0837</t>
  </si>
  <si>
    <t>2023-03-25</t>
  </si>
  <si>
    <t>EMP0838</t>
  </si>
  <si>
    <t>2021-10-31</t>
  </si>
  <si>
    <t>EMP0839</t>
  </si>
  <si>
    <t>2017-05-01</t>
  </si>
  <si>
    <t>EMP0840</t>
  </si>
  <si>
    <t>2023-07-02</t>
  </si>
  <si>
    <t>EMP0841</t>
  </si>
  <si>
    <t>2018-10-16</t>
  </si>
  <si>
    <t>EMP0842</t>
  </si>
  <si>
    <t>2012-04-06</t>
  </si>
  <si>
    <t>EMP0843</t>
  </si>
  <si>
    <t>2018-04-14</t>
  </si>
  <si>
    <t>EMP0844</t>
  </si>
  <si>
    <t>2018-01-20</t>
  </si>
  <si>
    <t>EMP0845</t>
  </si>
  <si>
    <t>2019-04-13</t>
  </si>
  <si>
    <t>EMP0846</t>
  </si>
  <si>
    <t>EMP0847</t>
  </si>
  <si>
    <t>2013-07-07</t>
  </si>
  <si>
    <t>EMP0848</t>
  </si>
  <si>
    <t>2021-11-30</t>
  </si>
  <si>
    <t>EMP0849</t>
  </si>
  <si>
    <t>EMP0850</t>
  </si>
  <si>
    <t>2012-05-01</t>
  </si>
  <si>
    <t>EMP0851</t>
  </si>
  <si>
    <t>2022-06-19</t>
  </si>
  <si>
    <t>EMP0852</t>
  </si>
  <si>
    <t>2014-01-01</t>
  </si>
  <si>
    <t>EMP0853</t>
  </si>
  <si>
    <t>2023-04-29</t>
  </si>
  <si>
    <t>EMP0854</t>
  </si>
  <si>
    <t>EMP0855</t>
  </si>
  <si>
    <t>EMP0856</t>
  </si>
  <si>
    <t>2016-12-14</t>
  </si>
  <si>
    <t>EMP0857</t>
  </si>
  <si>
    <t>EMP0858</t>
  </si>
  <si>
    <t>2012-03-31</t>
  </si>
  <si>
    <t>EMP0859</t>
  </si>
  <si>
    <t>EMP0860</t>
  </si>
  <si>
    <t>2020-09-13</t>
  </si>
  <si>
    <t>EMP0861</t>
  </si>
  <si>
    <t>2012-03-09</t>
  </si>
  <si>
    <t>EMP0862</t>
  </si>
  <si>
    <t>2013-08-15</t>
  </si>
  <si>
    <t>EMP0863</t>
  </si>
  <si>
    <t>2013-07-15</t>
  </si>
  <si>
    <t>EMP0864</t>
  </si>
  <si>
    <t>2018-03-19</t>
  </si>
  <si>
    <t>EMP0865</t>
  </si>
  <si>
    <t>2021-01-16</t>
  </si>
  <si>
    <t>EMP0866</t>
  </si>
  <si>
    <t>2020-06-02</t>
  </si>
  <si>
    <t>EMP0867</t>
  </si>
  <si>
    <t>2024-12-28</t>
  </si>
  <si>
    <t>EMP0868</t>
  </si>
  <si>
    <t>2021-07-26</t>
  </si>
  <si>
    <t>EMP0869</t>
  </si>
  <si>
    <t>2020-10-15</t>
  </si>
  <si>
    <t>EMP0870</t>
  </si>
  <si>
    <t>2023-06-14</t>
  </si>
  <si>
    <t>EMP0871</t>
  </si>
  <si>
    <t>2019-11-18</t>
  </si>
  <si>
    <t>EMP0872</t>
  </si>
  <si>
    <t>2020-07-18</t>
  </si>
  <si>
    <t>EMP0873</t>
  </si>
  <si>
    <t>2020-04-23</t>
  </si>
  <si>
    <t>EMP0874</t>
  </si>
  <si>
    <t>2018-08-11</t>
  </si>
  <si>
    <t>EMP0875</t>
  </si>
  <si>
    <t>2017-10-12</t>
  </si>
  <si>
    <t>EMP0876</t>
  </si>
  <si>
    <t>2015-06-26</t>
  </si>
  <si>
    <t>EMP0877</t>
  </si>
  <si>
    <t>2016-12-28</t>
  </si>
  <si>
    <t>EMP0878</t>
  </si>
  <si>
    <t>2024-04-28</t>
  </si>
  <si>
    <t>EMP0879</t>
  </si>
  <si>
    <t>2017-05-06</t>
  </si>
  <si>
    <t>EMP0880</t>
  </si>
  <si>
    <t>2024-04-17</t>
  </si>
  <si>
    <t>EMP0881</t>
  </si>
  <si>
    <t>2022-05-26</t>
  </si>
  <si>
    <t>EMP0882</t>
  </si>
  <si>
    <t>2019-04-09</t>
  </si>
  <si>
    <t>EMP0883</t>
  </si>
  <si>
    <t>2016-08-08</t>
  </si>
  <si>
    <t>EMP0884</t>
  </si>
  <si>
    <t>2019-06-09</t>
  </si>
  <si>
    <t>EMP0885</t>
  </si>
  <si>
    <t>2025-05-27</t>
  </si>
  <si>
    <t>EMP0886</t>
  </si>
  <si>
    <t>2015-12-22</t>
  </si>
  <si>
    <t>EMP0887</t>
  </si>
  <si>
    <t>2022-08-18</t>
  </si>
  <si>
    <t>EMP0888</t>
  </si>
  <si>
    <t>EMP0889</t>
  </si>
  <si>
    <t>2014-10-08</t>
  </si>
  <si>
    <t>EMP0890</t>
  </si>
  <si>
    <t>2016-08-25</t>
  </si>
  <si>
    <t>EMP0891</t>
  </si>
  <si>
    <t>2015-03-12</t>
  </si>
  <si>
    <t>EMP0892</t>
  </si>
  <si>
    <t>2012-06-26</t>
  </si>
  <si>
    <t>EMP0893</t>
  </si>
  <si>
    <t>EMP0894</t>
  </si>
  <si>
    <t>2024-02-26</t>
  </si>
  <si>
    <t>EMP0895</t>
  </si>
  <si>
    <t>2020-01-30</t>
  </si>
  <si>
    <t>EMP0896</t>
  </si>
  <si>
    <t>2015-04-08</t>
  </si>
  <si>
    <t>EMP0897</t>
  </si>
  <si>
    <t>EMP0898</t>
  </si>
  <si>
    <t>EMP0899</t>
  </si>
  <si>
    <t>2023-07-24</t>
  </si>
  <si>
    <t>EMP0900</t>
  </si>
  <si>
    <t>2022-08-31</t>
  </si>
  <si>
    <t>EMP0901</t>
  </si>
  <si>
    <t>2021-09-17</t>
  </si>
  <si>
    <t>EMP0902</t>
  </si>
  <si>
    <t>2025-03-01</t>
  </si>
  <si>
    <t>EMP0903</t>
  </si>
  <si>
    <t>2013-05-03</t>
  </si>
  <si>
    <t>EMP0904</t>
  </si>
  <si>
    <t>2017-11-23</t>
  </si>
  <si>
    <t>EMP0905</t>
  </si>
  <si>
    <t>2024-04-07</t>
  </si>
  <si>
    <t>EMP0906</t>
  </si>
  <si>
    <t>2012-06-12</t>
  </si>
  <si>
    <t>EMP0907</t>
  </si>
  <si>
    <t>2017-03-13</t>
  </si>
  <si>
    <t>EMP0908</t>
  </si>
  <si>
    <t>2024-11-03</t>
  </si>
  <si>
    <t>EMP0909</t>
  </si>
  <si>
    <t>2024-05-13</t>
  </si>
  <si>
    <t>EMP0910</t>
  </si>
  <si>
    <t>2020-05-09</t>
  </si>
  <si>
    <t>EMP0911</t>
  </si>
  <si>
    <t>2018-01-18</t>
  </si>
  <si>
    <t>EMP0912</t>
  </si>
  <si>
    <t>2023-04-14</t>
  </si>
  <si>
    <t>EMP0913</t>
  </si>
  <si>
    <t>2024-03-08</t>
  </si>
  <si>
    <t>EMP0914</t>
  </si>
  <si>
    <t>2015-11-05</t>
  </si>
  <si>
    <t>EMP0915</t>
  </si>
  <si>
    <t>2012-09-15</t>
  </si>
  <si>
    <t>EMP0916</t>
  </si>
  <si>
    <t>2021-05-15</t>
  </si>
  <si>
    <t>EMP0917</t>
  </si>
  <si>
    <t>2020-09-16</t>
  </si>
  <si>
    <t>EMP0918</t>
  </si>
  <si>
    <t>2022-12-03</t>
  </si>
  <si>
    <t>EMP0919</t>
  </si>
  <si>
    <t>2024-01-29</t>
  </si>
  <si>
    <t>EMP0920</t>
  </si>
  <si>
    <t>2013-05-22</t>
  </si>
  <si>
    <t>EMP0921</t>
  </si>
  <si>
    <t>2017-01-31</t>
  </si>
  <si>
    <t>EMP0922</t>
  </si>
  <si>
    <t>2021-06-12</t>
  </si>
  <si>
    <t>EMP0923</t>
  </si>
  <si>
    <t>2023-12-01</t>
  </si>
  <si>
    <t>EMP0924</t>
  </si>
  <si>
    <t>2014-08-01</t>
  </si>
  <si>
    <t>EMP0925</t>
  </si>
  <si>
    <t>2021-06-01</t>
  </si>
  <si>
    <t>EMP0926</t>
  </si>
  <si>
    <t>2022-09-28</t>
  </si>
  <si>
    <t>EMP0927</t>
  </si>
  <si>
    <t>EMP0928</t>
  </si>
  <si>
    <t>EMP0929</t>
  </si>
  <si>
    <t>2015-10-19</t>
  </si>
  <si>
    <t>EMP0930</t>
  </si>
  <si>
    <t>2012-11-10</t>
  </si>
  <si>
    <t>EMP0931</t>
  </si>
  <si>
    <t>2025-04-30</t>
  </si>
  <si>
    <t>EMP0932</t>
  </si>
  <si>
    <t>2014-10-27</t>
  </si>
  <si>
    <t>EMP0933</t>
  </si>
  <si>
    <t>2022-04-10</t>
  </si>
  <si>
    <t>EMP0934</t>
  </si>
  <si>
    <t>EMP0935</t>
  </si>
  <si>
    <t>2023-02-09</t>
  </si>
  <si>
    <t>EMP0936</t>
  </si>
  <si>
    <t>2013-09-12</t>
  </si>
  <si>
    <t>EMP0937</t>
  </si>
  <si>
    <t>2015-01-04</t>
  </si>
  <si>
    <t>EMP0938</t>
  </si>
  <si>
    <t>2014-01-16</t>
  </si>
  <si>
    <t>EMP0939</t>
  </si>
  <si>
    <t>EMP0940</t>
  </si>
  <si>
    <t>2020-06-30</t>
  </si>
  <si>
    <t>EMP0941</t>
  </si>
  <si>
    <t>2013-07-19</t>
  </si>
  <si>
    <t>EMP0942</t>
  </si>
  <si>
    <t>2014-10-04</t>
  </si>
  <si>
    <t>EMP0943</t>
  </si>
  <si>
    <t>2020-06-21</t>
  </si>
  <si>
    <t>EMP0944</t>
  </si>
  <si>
    <t>2013-04-19</t>
  </si>
  <si>
    <t>EMP0945</t>
  </si>
  <si>
    <t>2017-08-14</t>
  </si>
  <si>
    <t>EMP0946</t>
  </si>
  <si>
    <t>EMP0947</t>
  </si>
  <si>
    <t>2015-07-05</t>
  </si>
  <si>
    <t>EMP0948</t>
  </si>
  <si>
    <t>2022-06-18</t>
  </si>
  <si>
    <t>EMP0949</t>
  </si>
  <si>
    <t>2021-01-30</t>
  </si>
  <si>
    <t>EMP0950</t>
  </si>
  <si>
    <t>EMP0951</t>
  </si>
  <si>
    <t>2013-03-18</t>
  </si>
  <si>
    <t>EMP0952</t>
  </si>
  <si>
    <t>2023-09-23</t>
  </si>
  <si>
    <t>EMP0953</t>
  </si>
  <si>
    <t>EMP0954</t>
  </si>
  <si>
    <t>2014-08-12</t>
  </si>
  <si>
    <t>EMP0955</t>
  </si>
  <si>
    <t>2023-10-10</t>
  </si>
  <si>
    <t>EMP0956</t>
  </si>
  <si>
    <t>2022-12-01</t>
  </si>
  <si>
    <t>EMP0957</t>
  </si>
  <si>
    <t>2022-07-31</t>
  </si>
  <si>
    <t>EMP0958</t>
  </si>
  <si>
    <t>2016-04-23</t>
  </si>
  <si>
    <t>EMP0959</t>
  </si>
  <si>
    <t>2017-12-26</t>
  </si>
  <si>
    <t>EMP0960</t>
  </si>
  <si>
    <t>2018-01-06</t>
  </si>
  <si>
    <t>EMP0961</t>
  </si>
  <si>
    <t>2018-04-15</t>
  </si>
  <si>
    <t>EMP0962</t>
  </si>
  <si>
    <t>EMP0963</t>
  </si>
  <si>
    <t>2025-07-19</t>
  </si>
  <si>
    <t>EMP0964</t>
  </si>
  <si>
    <t>2024-11-04</t>
  </si>
  <si>
    <t>EMP0965</t>
  </si>
  <si>
    <t>2013-11-23</t>
  </si>
  <si>
    <t>EMP0966</t>
  </si>
  <si>
    <t>2015-05-09</t>
  </si>
  <si>
    <t>EMP0967</t>
  </si>
  <si>
    <t>2015-07-07</t>
  </si>
  <si>
    <t>EMP0968</t>
  </si>
  <si>
    <t>2012-09-04</t>
  </si>
  <si>
    <t>EMP0969</t>
  </si>
  <si>
    <t>2012-08-05</t>
  </si>
  <si>
    <t>EMP0970</t>
  </si>
  <si>
    <t>2020-04-08</t>
  </si>
  <si>
    <t>EMP0971</t>
  </si>
  <si>
    <t>2021-10-16</t>
  </si>
  <si>
    <t>EMP0972</t>
  </si>
  <si>
    <t>2017-08-30</t>
  </si>
  <si>
    <t>EMP0973</t>
  </si>
  <si>
    <t>2024-03-19</t>
  </si>
  <si>
    <t>EMP0974</t>
  </si>
  <si>
    <t>2025-02-03</t>
  </si>
  <si>
    <t>EMP0975</t>
  </si>
  <si>
    <t>2021-02-23</t>
  </si>
  <si>
    <t>EMP0976</t>
  </si>
  <si>
    <t>2015-01-18</t>
  </si>
  <si>
    <t>EMP0977</t>
  </si>
  <si>
    <t>2025-06-28</t>
  </si>
  <si>
    <t>EMP0978</t>
  </si>
  <si>
    <t>2017-10-29</t>
  </si>
  <si>
    <t>EMP0979</t>
  </si>
  <si>
    <t>2018-05-12</t>
  </si>
  <si>
    <t>EMP0980</t>
  </si>
  <si>
    <t>2013-08-31</t>
  </si>
  <si>
    <t>EMP0981</t>
  </si>
  <si>
    <t>2014-04-17</t>
  </si>
  <si>
    <t>EMP0982</t>
  </si>
  <si>
    <t>2015-07-19</t>
  </si>
  <si>
    <t>EMP0983</t>
  </si>
  <si>
    <t>EMP0984</t>
  </si>
  <si>
    <t>2016-12-10</t>
  </si>
  <si>
    <t>EMP0985</t>
  </si>
  <si>
    <t>EMP0986</t>
  </si>
  <si>
    <t>2014-08-17</t>
  </si>
  <si>
    <t>EMP0987</t>
  </si>
  <si>
    <t>2019-12-01</t>
  </si>
  <si>
    <t>EMP0988</t>
  </si>
  <si>
    <t>2023-08-19</t>
  </si>
  <si>
    <t>EMP0989</t>
  </si>
  <si>
    <t>2015-02-14</t>
  </si>
  <si>
    <t>EMP0990</t>
  </si>
  <si>
    <t>2016-04-07</t>
  </si>
  <si>
    <t>EMP0991</t>
  </si>
  <si>
    <t>2021-10-02</t>
  </si>
  <si>
    <t>EMP0992</t>
  </si>
  <si>
    <t>2014-07-19</t>
  </si>
  <si>
    <t>EMP0993</t>
  </si>
  <si>
    <t>2017-05-08</t>
  </si>
  <si>
    <t>EMP0994</t>
  </si>
  <si>
    <t>2013-11-18</t>
  </si>
  <si>
    <t>EMP0995</t>
  </si>
  <si>
    <t>2019-01-30</t>
  </si>
  <si>
    <t>EMP0996</t>
  </si>
  <si>
    <t>2016-11-05</t>
  </si>
  <si>
    <t>EMP0997</t>
  </si>
  <si>
    <t>2021-09-29</t>
  </si>
  <si>
    <t>EMP0998</t>
  </si>
  <si>
    <t>2017-07-15</t>
  </si>
  <si>
    <t>EMP0999</t>
  </si>
  <si>
    <t>2015-01-16</t>
  </si>
  <si>
    <t>EMP1000</t>
  </si>
  <si>
    <t>Total No of Employee</t>
  </si>
  <si>
    <t>Gender Male</t>
  </si>
  <si>
    <t>Gender Female</t>
  </si>
  <si>
    <t>Male %</t>
  </si>
  <si>
    <t>Female%</t>
  </si>
  <si>
    <t>Who Left Yes</t>
  </si>
  <si>
    <t>Who stayed No</t>
  </si>
  <si>
    <t>Attrition Rate Left</t>
  </si>
  <si>
    <t>Attrition Rate Stayed</t>
  </si>
  <si>
    <t>Average Experince</t>
  </si>
  <si>
    <t>Head Count Marketing</t>
  </si>
  <si>
    <t>Head Count IT</t>
  </si>
  <si>
    <t>Average Performance Marketing</t>
  </si>
  <si>
    <t>Average Performance IT</t>
  </si>
  <si>
    <t>Count of EmployeeID</t>
  </si>
  <si>
    <t>Row Labels</t>
  </si>
  <si>
    <t>Grand Total</t>
  </si>
  <si>
    <t>TOP EMPLOYEE ROLES</t>
  </si>
  <si>
    <t>Sum of TotalExperienceYears</t>
  </si>
  <si>
    <t>ATTRITION VS EXPERIENCE</t>
  </si>
  <si>
    <t>Sum of PerformanceRating</t>
  </si>
  <si>
    <t>DEPARTMENT RANKING BY PERFORMANCE</t>
  </si>
  <si>
    <t>Count of AttritionStatus</t>
  </si>
  <si>
    <t>DEPARTMENT ATTRITION</t>
  </si>
  <si>
    <t>GENDER ATTRITION</t>
  </si>
  <si>
    <t>EMPLOYEE ROLE ATTRITION</t>
  </si>
  <si>
    <t>PERFORMANCE RATING ATTRITION</t>
  </si>
  <si>
    <t>ATTRITION CODE</t>
  </si>
  <si>
    <t>Correlation Exp vsAttrition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</si>
</sst>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 CSV.xlsx]Sheet1!PivotTable5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Sheet1!$A$55:$A$62</c:f>
              <c:strCache>
                <c:ptCount val="7"/>
                <c:pt idx="0">
                  <c:v>Marketing</c:v>
                </c:pt>
                <c:pt idx="1">
                  <c:v>Admin</c:v>
                </c:pt>
                <c:pt idx="2">
                  <c:v>IT</c:v>
                </c:pt>
                <c:pt idx="3">
                  <c:v>HR</c:v>
                </c:pt>
                <c:pt idx="4">
                  <c:v>Operations</c:v>
                </c:pt>
                <c:pt idx="5">
                  <c:v>Sales</c:v>
                </c:pt>
                <c:pt idx="6">
                  <c:v>Finance</c:v>
                </c:pt>
              </c:strCache>
            </c:strRef>
          </c:cat>
          <c:val>
            <c:numRef>
              <c:f>Sheet1!$B$55:$B$62</c:f>
              <c:numCache>
                <c:formatCode>General</c:formatCode>
                <c:ptCount val="7"/>
                <c:pt idx="0">
                  <c:v>164</c:v>
                </c:pt>
                <c:pt idx="1">
                  <c:v>151</c:v>
                </c:pt>
                <c:pt idx="2">
                  <c:v>149</c:v>
                </c:pt>
                <c:pt idx="3">
                  <c:v>137</c:v>
                </c:pt>
                <c:pt idx="4">
                  <c:v>136</c:v>
                </c:pt>
                <c:pt idx="5">
                  <c:v>134</c:v>
                </c:pt>
                <c:pt idx="6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A-4811-BD52-C481E27A6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033360"/>
        <c:axId val="1425037520"/>
      </c:barChart>
      <c:catAx>
        <c:axId val="142503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37520"/>
        <c:crosses val="autoZero"/>
        <c:auto val="1"/>
        <c:lblAlgn val="ctr"/>
        <c:lblOffset val="100"/>
        <c:noMultiLvlLbl val="0"/>
      </c:catAx>
      <c:valAx>
        <c:axId val="14250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3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 CSV.xlsx]Sheet1!PivotTable6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Sheet1!$B$71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Sheet1!$A$72:$A$74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Sheet1!$B$72:$B$74</c:f>
              <c:numCache>
                <c:formatCode>General</c:formatCode>
                <c:ptCount val="2"/>
                <c:pt idx="0">
                  <c:v>503</c:v>
                </c:pt>
                <c:pt idx="1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4-4043-9702-50579A5D0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 CSV.xlsx]Sheet1!PivotTable7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Sheet1!$A$84:$A$94</c:f>
              <c:strCache>
                <c:ptCount val="10"/>
                <c:pt idx="0">
                  <c:v>Administrative Assistant</c:v>
                </c:pt>
                <c:pt idx="1">
                  <c:v>Data Analyst</c:v>
                </c:pt>
                <c:pt idx="2">
                  <c:v>Financial Analyst</c:v>
                </c:pt>
                <c:pt idx="3">
                  <c:v>HR Officer</c:v>
                </c:pt>
                <c:pt idx="4">
                  <c:v>IT Support</c:v>
                </c:pt>
                <c:pt idx="5">
                  <c:v>Marketing Specialist</c:v>
                </c:pt>
                <c:pt idx="6">
                  <c:v>Operations Manager</c:v>
                </c:pt>
                <c:pt idx="7">
                  <c:v>Project Manager</c:v>
                </c:pt>
                <c:pt idx="8">
                  <c:v>Sales Executive</c:v>
                </c:pt>
                <c:pt idx="9">
                  <c:v>Software Developer</c:v>
                </c:pt>
              </c:strCache>
            </c:strRef>
          </c:cat>
          <c:val>
            <c:numRef>
              <c:f>Sheet1!$B$84:$B$94</c:f>
              <c:numCache>
                <c:formatCode>General</c:formatCode>
                <c:ptCount val="10"/>
                <c:pt idx="0">
                  <c:v>103</c:v>
                </c:pt>
                <c:pt idx="1">
                  <c:v>95</c:v>
                </c:pt>
                <c:pt idx="2">
                  <c:v>100</c:v>
                </c:pt>
                <c:pt idx="3">
                  <c:v>114</c:v>
                </c:pt>
                <c:pt idx="4">
                  <c:v>95</c:v>
                </c:pt>
                <c:pt idx="5">
                  <c:v>103</c:v>
                </c:pt>
                <c:pt idx="6">
                  <c:v>113</c:v>
                </c:pt>
                <c:pt idx="7">
                  <c:v>102</c:v>
                </c:pt>
                <c:pt idx="8">
                  <c:v>94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D-4533-8F8E-8E88CE93C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784336"/>
        <c:axId val="1538788080"/>
      </c:barChart>
      <c:catAx>
        <c:axId val="153878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88080"/>
        <c:crosses val="autoZero"/>
        <c:auto val="1"/>
        <c:lblAlgn val="ctr"/>
        <c:lblOffset val="100"/>
        <c:noMultiLvlLbl val="0"/>
      </c:catAx>
      <c:valAx>
        <c:axId val="153878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8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 CSV.xlsx]Sheet1!PivotTable9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Sheet1!$A$103:$A$134</c:f>
              <c:strCache>
                <c:ptCount val="31"/>
                <c:pt idx="0">
                  <c:v>2</c:v>
                </c:pt>
                <c:pt idx="1">
                  <c:v>2.1</c:v>
                </c:pt>
                <c:pt idx="2">
                  <c:v>2.2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4.1</c:v>
                </c:pt>
                <c:pt idx="22">
                  <c:v>4.2</c:v>
                </c:pt>
                <c:pt idx="23">
                  <c:v>4.3</c:v>
                </c:pt>
                <c:pt idx="24">
                  <c:v>4.4</c:v>
                </c:pt>
                <c:pt idx="25">
                  <c:v>4.5</c:v>
                </c:pt>
                <c:pt idx="26">
                  <c:v>4.6</c:v>
                </c:pt>
                <c:pt idx="27">
                  <c:v>4.7</c:v>
                </c:pt>
                <c:pt idx="28">
                  <c:v>4.8</c:v>
                </c:pt>
                <c:pt idx="29">
                  <c:v>4.9</c:v>
                </c:pt>
                <c:pt idx="30">
                  <c:v>5</c:v>
                </c:pt>
              </c:strCache>
            </c:strRef>
          </c:cat>
          <c:val>
            <c:numRef>
              <c:f>Sheet1!$B$103:$B$134</c:f>
              <c:numCache>
                <c:formatCode>General</c:formatCode>
                <c:ptCount val="31"/>
                <c:pt idx="0">
                  <c:v>38</c:v>
                </c:pt>
                <c:pt idx="1">
                  <c:v>40</c:v>
                </c:pt>
                <c:pt idx="2">
                  <c:v>31</c:v>
                </c:pt>
                <c:pt idx="3">
                  <c:v>34</c:v>
                </c:pt>
                <c:pt idx="4">
                  <c:v>27</c:v>
                </c:pt>
                <c:pt idx="5">
                  <c:v>34</c:v>
                </c:pt>
                <c:pt idx="6">
                  <c:v>38</c:v>
                </c:pt>
                <c:pt idx="7">
                  <c:v>31</c:v>
                </c:pt>
                <c:pt idx="8">
                  <c:v>26</c:v>
                </c:pt>
                <c:pt idx="9">
                  <c:v>30</c:v>
                </c:pt>
                <c:pt idx="10">
                  <c:v>21</c:v>
                </c:pt>
                <c:pt idx="11">
                  <c:v>37</c:v>
                </c:pt>
                <c:pt idx="12">
                  <c:v>33</c:v>
                </c:pt>
                <c:pt idx="13">
                  <c:v>27</c:v>
                </c:pt>
                <c:pt idx="14">
                  <c:v>25</c:v>
                </c:pt>
                <c:pt idx="15">
                  <c:v>36</c:v>
                </c:pt>
                <c:pt idx="16">
                  <c:v>29</c:v>
                </c:pt>
                <c:pt idx="17">
                  <c:v>42</c:v>
                </c:pt>
                <c:pt idx="18">
                  <c:v>32</c:v>
                </c:pt>
                <c:pt idx="19">
                  <c:v>37</c:v>
                </c:pt>
                <c:pt idx="20">
                  <c:v>27</c:v>
                </c:pt>
                <c:pt idx="21">
                  <c:v>34</c:v>
                </c:pt>
                <c:pt idx="22">
                  <c:v>31</c:v>
                </c:pt>
                <c:pt idx="23">
                  <c:v>43</c:v>
                </c:pt>
                <c:pt idx="24">
                  <c:v>31</c:v>
                </c:pt>
                <c:pt idx="25">
                  <c:v>33</c:v>
                </c:pt>
                <c:pt idx="26">
                  <c:v>22</c:v>
                </c:pt>
                <c:pt idx="27">
                  <c:v>37</c:v>
                </c:pt>
                <c:pt idx="28">
                  <c:v>27</c:v>
                </c:pt>
                <c:pt idx="29">
                  <c:v>28</c:v>
                </c:pt>
                <c:pt idx="3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D-423F-B7D3-4E6411A3D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805552"/>
        <c:axId val="1538806384"/>
      </c:barChart>
      <c:catAx>
        <c:axId val="153880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06384"/>
        <c:crosses val="autoZero"/>
        <c:auto val="1"/>
        <c:lblAlgn val="ctr"/>
        <c:lblOffset val="100"/>
        <c:noMultiLvlLbl val="0"/>
      </c:catAx>
      <c:valAx>
        <c:axId val="1538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0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 CSV.xlsx]Sheet1!PivotTable4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Sheet1!$A$36:$A$43</c:f>
              <c:strCache>
                <c:ptCount val="7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Sheet1!$B$36:$B$43</c:f>
              <c:numCache>
                <c:formatCode>General</c:formatCode>
                <c:ptCount val="7"/>
                <c:pt idx="0">
                  <c:v>510.2</c:v>
                </c:pt>
                <c:pt idx="1">
                  <c:v>448.60000000000008</c:v>
                </c:pt>
                <c:pt idx="2">
                  <c:v>484.7</c:v>
                </c:pt>
                <c:pt idx="3">
                  <c:v>502.7</c:v>
                </c:pt>
                <c:pt idx="4">
                  <c:v>592.49999999999977</c:v>
                </c:pt>
                <c:pt idx="5">
                  <c:v>468.60000000000014</c:v>
                </c:pt>
                <c:pt idx="6">
                  <c:v>484.59999999999991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0-4A71-8A37-404B388E5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8330336"/>
        <c:axId val="1538332416"/>
        <c:axId val="0"/>
      </c:bar3DChart>
      <c:catAx>
        <c:axId val="153833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32416"/>
        <c:crosses val="autoZero"/>
        <c:auto val="1"/>
        <c:lblAlgn val="ctr"/>
        <c:lblOffset val="100"/>
        <c:noMultiLvlLbl val="0"/>
      </c:catAx>
      <c:valAx>
        <c:axId val="15383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3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 CSV.xlsx]Sheet1!PivotTable3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Sheet1!$A$23:$A$25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Sheet1!$B$23:$B$25</c:f>
              <c:numCache>
                <c:formatCode>General</c:formatCode>
                <c:ptCount val="2"/>
                <c:pt idx="0">
                  <c:v>7725</c:v>
                </c:pt>
                <c:pt idx="1">
                  <c:v>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A-408E-8F0D-B2A860CC2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5034192"/>
        <c:axId val="1425036272"/>
      </c:barChart>
      <c:catAx>
        <c:axId val="142503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36272"/>
        <c:crosses val="autoZero"/>
        <c:auto val="1"/>
        <c:lblAlgn val="ctr"/>
        <c:lblOffset val="100"/>
        <c:noMultiLvlLbl val="0"/>
      </c:catAx>
      <c:valAx>
        <c:axId val="142503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3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 CSV.xlsx]Sheet1!PivotTable1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HR Officer</c:v>
                </c:pt>
                <c:pt idx="1">
                  <c:v>Operations Manager</c:v>
                </c:pt>
                <c:pt idx="2">
                  <c:v>Marketing Specialist</c:v>
                </c:pt>
                <c:pt idx="3">
                  <c:v>Administrative Assistant</c:v>
                </c:pt>
                <c:pt idx="4">
                  <c:v>Project Manager</c:v>
                </c:pt>
                <c:pt idx="5">
                  <c:v>Financial Analyst</c:v>
                </c:pt>
                <c:pt idx="6">
                  <c:v>Data Analyst</c:v>
                </c:pt>
                <c:pt idx="7">
                  <c:v>IT Support</c:v>
                </c:pt>
                <c:pt idx="8">
                  <c:v>Sales Executive</c:v>
                </c:pt>
                <c:pt idx="9">
                  <c:v>Software Developer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114</c:v>
                </c:pt>
                <c:pt idx="1">
                  <c:v>113</c:v>
                </c:pt>
                <c:pt idx="2">
                  <c:v>103</c:v>
                </c:pt>
                <c:pt idx="3">
                  <c:v>103</c:v>
                </c:pt>
                <c:pt idx="4">
                  <c:v>102</c:v>
                </c:pt>
                <c:pt idx="5">
                  <c:v>100</c:v>
                </c:pt>
                <c:pt idx="6">
                  <c:v>95</c:v>
                </c:pt>
                <c:pt idx="7">
                  <c:v>95</c:v>
                </c:pt>
                <c:pt idx="8">
                  <c:v>94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F-4B02-B0EE-9B0792B0D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314528"/>
        <c:axId val="1538302880"/>
      </c:barChart>
      <c:catAx>
        <c:axId val="15383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02880"/>
        <c:crosses val="autoZero"/>
        <c:auto val="1"/>
        <c:lblAlgn val="ctr"/>
        <c:lblOffset val="100"/>
        <c:noMultiLvlLbl val="0"/>
      </c:catAx>
      <c:valAx>
        <c:axId val="15383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1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52</xdr:row>
      <xdr:rowOff>120650</xdr:rowOff>
    </xdr:from>
    <xdr:to>
      <xdr:col>9</xdr:col>
      <xdr:colOff>463550</xdr:colOff>
      <xdr:row>62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35F68-0B56-4A70-AA50-1D8E91B67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68</xdr:row>
      <xdr:rowOff>158750</xdr:rowOff>
    </xdr:from>
    <xdr:to>
      <xdr:col>8</xdr:col>
      <xdr:colOff>0</xdr:colOff>
      <xdr:row>75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CD8C7-52B9-420D-8D8E-E74160EF0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38099</xdr:colOff>
      <xdr:row>82</xdr:row>
      <xdr:rowOff>139700</xdr:rowOff>
    </xdr:from>
    <xdr:to>
      <xdr:col>10</xdr:col>
      <xdr:colOff>149224</xdr:colOff>
      <xdr:row>94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B148F1-9EB9-4CAF-914D-8BBA993D9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276225</xdr:colOff>
      <xdr:row>102</xdr:row>
      <xdr:rowOff>0</xdr:rowOff>
    </xdr:from>
    <xdr:to>
      <xdr:col>10</xdr:col>
      <xdr:colOff>581025</xdr:colOff>
      <xdr:row>116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B70617-9EBF-41E3-A89D-4A30D516F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53975</xdr:colOff>
      <xdr:row>32</xdr:row>
      <xdr:rowOff>165100</xdr:rowOff>
    </xdr:from>
    <xdr:to>
      <xdr:col>10</xdr:col>
      <xdr:colOff>358775</xdr:colOff>
      <xdr:row>45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4E76C7-CE3C-4CD9-9308-C3C32F123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577850</xdr:colOff>
      <xdr:row>19</xdr:row>
      <xdr:rowOff>25400</xdr:rowOff>
    </xdr:from>
    <xdr:to>
      <xdr:col>10</xdr:col>
      <xdr:colOff>273050</xdr:colOff>
      <xdr:row>27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ED90D4-FBDF-4B9A-BCF1-ED4FF79F2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28575</xdr:colOff>
      <xdr:row>1</xdr:row>
      <xdr:rowOff>139700</xdr:rowOff>
    </xdr:from>
    <xdr:to>
      <xdr:col>10</xdr:col>
      <xdr:colOff>333375</xdr:colOff>
      <xdr:row>14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CA0A91-5AF3-4CA5-84AB-4D477C77D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3.596135185187" createdVersion="7" refreshedVersion="7" minRefreshableVersion="3" recordCount="1000" xr:uid="{30122EF0-256B-4D0E-8F43-0E81764F2A9C}">
  <cacheSource type="worksheet">
    <worksheetSource name="Table1"/>
  </cacheSource>
  <cacheFields count="28">
    <cacheField name="EmployeeID" numFmtId="0">
      <sharedItems/>
    </cacheField>
    <cacheField name="FirstName" numFmtId="0">
      <sharedItems/>
    </cacheField>
    <cacheField name="Last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1" maxValue="60"/>
    </cacheField>
    <cacheField name="Department" numFmtId="0">
      <sharedItems count="7">
        <s v="HR"/>
        <s v="IT"/>
        <s v="Finance"/>
        <s v="Sales"/>
        <s v="Admin"/>
        <s v="Marketing"/>
        <s v="Operations"/>
      </sharedItems>
    </cacheField>
    <cacheField name="EmployeeRole" numFmtId="0">
      <sharedItems count="10">
        <s v="Administrative Assistant"/>
        <s v="Operations Manager"/>
        <s v="Software Developer"/>
        <s v="Financial Analyst"/>
        <s v="Data Analyst"/>
        <s v="Marketing Specialist"/>
        <s v="HR Officer"/>
        <s v="Sales Executive"/>
        <s v="IT Support"/>
        <s v="Project Manager"/>
      </sharedItems>
    </cacheField>
    <cacheField name="HireDate" numFmtId="0">
      <sharedItems/>
    </cacheField>
    <cacheField name="YearsAtCompany" numFmtId="0">
      <sharedItems containsSemiMixedTypes="0" containsString="0" containsNumber="1" containsInteger="1" minValue="0" maxValue="20"/>
    </cacheField>
    <cacheField name="TotalExperienceYears" numFmtId="0">
      <sharedItems containsSemiMixedTypes="0" containsString="0" containsNumber="1" containsInteger="1" minValue="0" maxValue="30"/>
    </cacheField>
    <cacheField name="Salary" numFmtId="0">
      <sharedItems containsSemiMixedTypes="0" containsString="0" containsNumber="1" containsInteger="1" minValue="50197" maxValue="499071"/>
    </cacheField>
    <cacheField name="PerformanceRating" numFmtId="0">
      <sharedItems containsSemiMixedTypes="0" containsString="0" containsNumber="1" minValue="2" maxValue="5" count="31">
        <n v="2.7"/>
        <n v="2.2000000000000002"/>
        <n v="3.7"/>
        <n v="2.5"/>
        <n v="3.8"/>
        <n v="4.9000000000000004"/>
        <n v="2.4"/>
        <n v="3.2"/>
        <n v="4.4000000000000004"/>
        <n v="4.0999999999999996"/>
        <n v="3.1"/>
        <n v="4.7"/>
        <n v="3.4"/>
        <n v="2"/>
        <n v="2.8"/>
        <n v="3.5"/>
        <n v="5"/>
        <n v="4.5"/>
        <n v="2.1"/>
        <n v="2.2999999999999998"/>
        <n v="4.5999999999999996"/>
        <n v="3.3"/>
        <n v="3.9"/>
        <n v="4.8"/>
        <n v="3.6"/>
        <n v="4"/>
        <n v="4.2"/>
        <n v="2.9"/>
        <n v="4.3"/>
        <n v="3"/>
        <n v="2.6"/>
      </sharedItems>
    </cacheField>
    <cacheField name="AttritionStatus" numFmtId="0">
      <sharedItems count="2">
        <s v="Yes"/>
        <s v="No"/>
      </sharedItems>
    </cacheField>
    <cacheField name="RetentionRatePercent" numFmtId="0">
      <sharedItems containsSemiMixedTypes="0" containsString="0" containsNumber="1" containsInteger="1" minValue="30" maxValue="100"/>
    </cacheField>
    <cacheField name="Total No of Employee" numFmtId="0">
      <sharedItems containsSemiMixedTypes="0" containsString="0" containsNumber="1" containsInteger="1" minValue="1" maxValue="1000"/>
    </cacheField>
    <cacheField name="Gender Male" numFmtId="0">
      <sharedItems containsSemiMixedTypes="0" containsString="0" containsNumber="1" containsInteger="1" minValue="1" maxValue="497"/>
    </cacheField>
    <cacheField name="Gender Female" numFmtId="0">
      <sharedItems containsSemiMixedTypes="0" containsString="0" containsNumber="1" containsInteger="1" minValue="0" maxValue="503"/>
    </cacheField>
    <cacheField name="Male %" numFmtId="0">
      <sharedItems containsSemiMixedTypes="0" containsString="0" containsNumber="1" minValue="49.650349650349654" maxValue="49.650349650349654"/>
    </cacheField>
    <cacheField name="Female%" numFmtId="0">
      <sharedItems containsSemiMixedTypes="0" containsString="0" containsNumber="1" minValue="50.24975024975025" maxValue="50.24975024975025"/>
    </cacheField>
    <cacheField name="Who Left Yes" numFmtId="0">
      <sharedItems containsSemiMixedTypes="0" containsString="0" containsNumber="1" containsInteger="1" minValue="0" maxValue="475"/>
    </cacheField>
    <cacheField name="Who stayed No" numFmtId="0">
      <sharedItems containsSemiMixedTypes="0" containsString="0" containsNumber="1" containsInteger="1" minValue="1" maxValue="525"/>
    </cacheField>
    <cacheField name="Attrition Rate Left" numFmtId="0">
      <sharedItems containsSemiMixedTypes="0" containsString="0" containsNumber="1" minValue="47.5" maxValue="47.5"/>
    </cacheField>
    <cacheField name="Attrition Rate Stayed" numFmtId="0">
      <sharedItems containsSemiMixedTypes="0" containsString="0" containsNumber="1" minValue="52.5" maxValue="52.5"/>
    </cacheField>
    <cacheField name="Average Experince" numFmtId="0">
      <sharedItems containsSemiMixedTypes="0" containsString="0" containsNumber="1" minValue="12" maxValue="18.399999999999999"/>
    </cacheField>
    <cacheField name="Head Count Marketing" numFmtId="0">
      <sharedItems containsSemiMixedTypes="0" containsString="0" containsNumber="1" containsInteger="1" minValue="0" maxValue="164"/>
    </cacheField>
    <cacheField name="Head Count IT" numFmtId="0">
      <sharedItems containsSemiMixedTypes="0" containsString="0" containsNumber="1" containsInteger="1" minValue="0" maxValue="149"/>
    </cacheField>
    <cacheField name="Average Performance Marketing" numFmtId="0">
      <sharedItems containsMixedTypes="1" containsNumber="1" minValue="2.6999999999999997" maxValue="4.0999999999999996"/>
    </cacheField>
    <cacheField name="Average Performance IT" numFmtId="0">
      <sharedItems containsMixedTypes="1" containsNumber="1" minValue="3.3148936170212768" maxValue="4.349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0001"/>
    <s v="Peter"/>
    <s v="Brown"/>
    <x v="0"/>
    <n v="22"/>
    <x v="0"/>
    <x v="0"/>
    <s v="2021-05-16"/>
    <n v="6"/>
    <n v="12"/>
    <n v="76973"/>
    <x v="0"/>
    <x v="0"/>
    <n v="59"/>
    <n v="1000"/>
    <n v="497"/>
    <n v="503"/>
    <n v="49.650349650349654"/>
    <n v="50.24975024975025"/>
    <n v="475"/>
    <n v="525"/>
    <n v="47.5"/>
    <n v="52.5"/>
    <n v="15.082000000000001"/>
    <n v="164"/>
    <n v="149"/>
    <n v="3.6128048780487791"/>
    <n v="3.3738255033557047"/>
  </r>
  <r>
    <s v="EMP0002"/>
    <s v="David"/>
    <s v="Williams"/>
    <x v="1"/>
    <n v="44"/>
    <x v="0"/>
    <x v="1"/>
    <s v="2022-06-04"/>
    <n v="1"/>
    <n v="4"/>
    <n v="322395"/>
    <x v="1"/>
    <x v="0"/>
    <n v="41"/>
    <n v="999"/>
    <n v="496"/>
    <n v="503"/>
    <n v="49.650349650349654"/>
    <n v="50.24975024975025"/>
    <n v="474"/>
    <n v="525"/>
    <n v="47.5"/>
    <n v="52.5"/>
    <n v="15.085085085085085"/>
    <n v="164"/>
    <n v="149"/>
    <n v="3.6128048780487791"/>
    <n v="3.3738255033557047"/>
  </r>
  <r>
    <s v="EMP0003"/>
    <s v="Daniel"/>
    <s v="Smith"/>
    <x v="0"/>
    <n v="26"/>
    <x v="1"/>
    <x v="2"/>
    <s v="2022-11-01"/>
    <n v="15"/>
    <n v="22"/>
    <n v="238004"/>
    <x v="2"/>
    <x v="0"/>
    <n v="59"/>
    <n v="998"/>
    <n v="496"/>
    <n v="502"/>
    <n v="49.650349650349654"/>
    <n v="50.24975024975025"/>
    <n v="473"/>
    <n v="525"/>
    <n v="47.5"/>
    <n v="52.5"/>
    <n v="15.096192384769539"/>
    <n v="164"/>
    <n v="149"/>
    <n v="3.6128048780487791"/>
    <n v="3.3738255033557047"/>
  </r>
  <r>
    <s v="EMP0004"/>
    <s v="Sarah"/>
    <s v="Ibrahim"/>
    <x v="1"/>
    <n v="45"/>
    <x v="2"/>
    <x v="1"/>
    <s v="2020-04-24"/>
    <n v="19"/>
    <n v="22"/>
    <n v="431668"/>
    <x v="3"/>
    <x v="0"/>
    <n v="58"/>
    <n v="997"/>
    <n v="495"/>
    <n v="502"/>
    <n v="49.650349650349654"/>
    <n v="50.24975024975025"/>
    <n v="472"/>
    <n v="525"/>
    <n v="47.5"/>
    <n v="52.5"/>
    <n v="15.08926780341023"/>
    <n v="164"/>
    <n v="148"/>
    <n v="3.6128048780487791"/>
    <n v="3.3716216216216215"/>
  </r>
  <r>
    <s v="EMP0005"/>
    <s v="Mary"/>
    <s v="Ibrahim"/>
    <x v="0"/>
    <n v="35"/>
    <x v="0"/>
    <x v="3"/>
    <s v="2014-02-11"/>
    <n v="6"/>
    <n v="11"/>
    <n v="413516"/>
    <x v="4"/>
    <x v="1"/>
    <n v="86"/>
    <n v="996"/>
    <n v="495"/>
    <n v="501"/>
    <n v="49.650349650349654"/>
    <n v="50.24975024975025"/>
    <n v="471"/>
    <n v="525"/>
    <n v="47.5"/>
    <n v="52.5"/>
    <n v="15.082329317269076"/>
    <n v="164"/>
    <n v="148"/>
    <n v="3.6128048780487791"/>
    <n v="3.3716216216216215"/>
  </r>
  <r>
    <s v="EMP0006"/>
    <s v="John"/>
    <s v="Smith"/>
    <x v="0"/>
    <n v="31"/>
    <x v="3"/>
    <x v="2"/>
    <s v="2024-12-24"/>
    <n v="13"/>
    <n v="13"/>
    <n v="379556"/>
    <x v="5"/>
    <x v="0"/>
    <n v="39"/>
    <n v="995"/>
    <n v="494"/>
    <n v="501"/>
    <n v="49.650349650349654"/>
    <n v="50.24975024975025"/>
    <n v="471"/>
    <n v="524"/>
    <n v="47.5"/>
    <n v="52.5"/>
    <n v="15.086432160804019"/>
    <n v="164"/>
    <n v="148"/>
    <n v="3.6128048780487791"/>
    <n v="3.3716216216216215"/>
  </r>
  <r>
    <s v="EMP0007"/>
    <s v="Daniel"/>
    <s v="Jones"/>
    <x v="0"/>
    <n v="35"/>
    <x v="0"/>
    <x v="1"/>
    <s v="2023-01-24"/>
    <n v="10"/>
    <n v="14"/>
    <n v="373482"/>
    <x v="6"/>
    <x v="0"/>
    <n v="58"/>
    <n v="994"/>
    <n v="493"/>
    <n v="501"/>
    <n v="49.650349650349654"/>
    <n v="50.24975024975025"/>
    <n v="470"/>
    <n v="524"/>
    <n v="47.5"/>
    <n v="52.5"/>
    <n v="15.088531187122737"/>
    <n v="164"/>
    <n v="148"/>
    <n v="3.6128048780487791"/>
    <n v="3.3716216216216215"/>
  </r>
  <r>
    <s v="EMP0008"/>
    <s v="Daniel"/>
    <s v="Ahmed"/>
    <x v="1"/>
    <n v="40"/>
    <x v="1"/>
    <x v="2"/>
    <s v="2019-05-01"/>
    <n v="5"/>
    <n v="11"/>
    <n v="197515"/>
    <x v="7"/>
    <x v="0"/>
    <n v="30"/>
    <n v="993"/>
    <n v="492"/>
    <n v="501"/>
    <n v="49.650349650349654"/>
    <n v="50.24975024975025"/>
    <n v="469"/>
    <n v="524"/>
    <n v="47.5"/>
    <n v="52.5"/>
    <n v="15.089627391742196"/>
    <n v="164"/>
    <n v="148"/>
    <n v="3.6128048780487791"/>
    <n v="3.3716216216216215"/>
  </r>
  <r>
    <s v="EMP0009"/>
    <s v="Grace"/>
    <s v="Okoro"/>
    <x v="0"/>
    <n v="29"/>
    <x v="2"/>
    <x v="4"/>
    <s v="2023-09-10"/>
    <n v="12"/>
    <n v="18"/>
    <n v="411948"/>
    <x v="8"/>
    <x v="1"/>
    <n v="83"/>
    <n v="992"/>
    <n v="492"/>
    <n v="500"/>
    <n v="49.650349650349654"/>
    <n v="50.24975024975025"/>
    <n v="468"/>
    <n v="524"/>
    <n v="47.5"/>
    <n v="52.5"/>
    <n v="15.09375"/>
    <n v="164"/>
    <n v="147"/>
    <n v="3.6128048780487791"/>
    <n v="3.3727891156462584"/>
  </r>
  <r>
    <s v="EMP0010"/>
    <s v="Hauwa"/>
    <s v="Brown"/>
    <x v="0"/>
    <n v="53"/>
    <x v="1"/>
    <x v="5"/>
    <s v="2020-07-26"/>
    <n v="16"/>
    <n v="22"/>
    <n v="387513"/>
    <x v="6"/>
    <x v="0"/>
    <n v="58"/>
    <n v="991"/>
    <n v="491"/>
    <n v="500"/>
    <n v="49.650349650349654"/>
    <n v="50.24975024975025"/>
    <n v="468"/>
    <n v="523"/>
    <n v="47.5"/>
    <n v="52.5"/>
    <n v="15.090817356205852"/>
    <n v="164"/>
    <n v="147"/>
    <n v="3.6128048780487791"/>
    <n v="3.3727891156462584"/>
  </r>
  <r>
    <s v="EMP0011"/>
    <s v="Hauwa"/>
    <s v="Garba"/>
    <x v="1"/>
    <n v="58"/>
    <x v="0"/>
    <x v="5"/>
    <s v="2025-04-22"/>
    <n v="19"/>
    <n v="24"/>
    <n v="355198"/>
    <x v="9"/>
    <x v="0"/>
    <n v="54"/>
    <n v="990"/>
    <n v="490"/>
    <n v="500"/>
    <n v="49.650349650349654"/>
    <n v="50.24975024975025"/>
    <n v="467"/>
    <n v="523"/>
    <n v="47.5"/>
    <n v="52.5"/>
    <n v="15.083838383838383"/>
    <n v="164"/>
    <n v="146"/>
    <n v="3.6128048780487791"/>
    <n v="3.3794520547945206"/>
  </r>
  <r>
    <s v="EMP0012"/>
    <s v="David"/>
    <s v="Jones"/>
    <x v="1"/>
    <n v="59"/>
    <x v="3"/>
    <x v="0"/>
    <s v="2022-07-20"/>
    <n v="15"/>
    <n v="17"/>
    <n v="426728"/>
    <x v="7"/>
    <x v="0"/>
    <n v="39"/>
    <n v="989"/>
    <n v="490"/>
    <n v="499"/>
    <n v="49.650349650349654"/>
    <n v="50.24975024975025"/>
    <n v="466"/>
    <n v="523"/>
    <n v="47.5"/>
    <n v="52.5"/>
    <n v="15.074823053589485"/>
    <n v="164"/>
    <n v="146"/>
    <n v="3.6128048780487791"/>
    <n v="3.3794520547945206"/>
  </r>
  <r>
    <s v="EMP0013"/>
    <s v="Fatima"/>
    <s v="Ibrahim"/>
    <x v="1"/>
    <n v="47"/>
    <x v="4"/>
    <x v="6"/>
    <s v="2014-02-15"/>
    <n v="15"/>
    <n v="18"/>
    <n v="236668"/>
    <x v="7"/>
    <x v="0"/>
    <n v="47"/>
    <n v="988"/>
    <n v="490"/>
    <n v="498"/>
    <n v="49.650349650349654"/>
    <n v="50.24975024975025"/>
    <n v="465"/>
    <n v="523"/>
    <n v="47.5"/>
    <n v="52.5"/>
    <n v="15.072874493927126"/>
    <n v="164"/>
    <n v="146"/>
    <n v="3.6128048780487791"/>
    <n v="3.3794520547945206"/>
  </r>
  <r>
    <s v="EMP0014"/>
    <s v="David"/>
    <s v="Ibrahim"/>
    <x v="0"/>
    <n v="50"/>
    <x v="5"/>
    <x v="7"/>
    <s v="2023-08-29"/>
    <n v="7"/>
    <n v="11"/>
    <n v="376538"/>
    <x v="10"/>
    <x v="1"/>
    <n v="71"/>
    <n v="987"/>
    <n v="490"/>
    <n v="497"/>
    <n v="49.650349650349654"/>
    <n v="50.24975024975025"/>
    <n v="464"/>
    <n v="523"/>
    <n v="47.5"/>
    <n v="52.5"/>
    <n v="15.069908814589665"/>
    <n v="164"/>
    <n v="146"/>
    <n v="3.6128048780487791"/>
    <n v="3.3794520547945206"/>
  </r>
  <r>
    <s v="EMP0015"/>
    <s v="Amina"/>
    <s v="Williams"/>
    <x v="0"/>
    <n v="39"/>
    <x v="6"/>
    <x v="0"/>
    <s v="2017-09-05"/>
    <n v="20"/>
    <n v="24"/>
    <n v="309955"/>
    <x v="11"/>
    <x v="0"/>
    <n v="44"/>
    <n v="986"/>
    <n v="489"/>
    <n v="497"/>
    <n v="49.650349650349654"/>
    <n v="50.24975024975025"/>
    <n v="464"/>
    <n v="522"/>
    <n v="47.5"/>
    <n v="52.5"/>
    <n v="15.074036511156187"/>
    <n v="163"/>
    <n v="146"/>
    <n v="3.6159509202453974"/>
    <n v="3.3794520547945206"/>
  </r>
  <r>
    <s v="EMP0016"/>
    <s v="Grace"/>
    <s v="Johnson"/>
    <x v="0"/>
    <n v="24"/>
    <x v="2"/>
    <x v="3"/>
    <s v="2013-11-17"/>
    <n v="2"/>
    <n v="9"/>
    <n v="284007"/>
    <x v="9"/>
    <x v="0"/>
    <n v="39"/>
    <n v="985"/>
    <n v="488"/>
    <n v="497"/>
    <n v="49.650349650349654"/>
    <n v="50.24975024975025"/>
    <n v="463"/>
    <n v="522"/>
    <n v="47.5"/>
    <n v="52.5"/>
    <n v="15.064974619289339"/>
    <n v="163"/>
    <n v="146"/>
    <n v="3.6159509202453974"/>
    <n v="3.3794520547945206"/>
  </r>
  <r>
    <s v="EMP0017"/>
    <s v="Daniel"/>
    <s v="Smith"/>
    <x v="0"/>
    <n v="30"/>
    <x v="1"/>
    <x v="8"/>
    <s v="2021-07-11"/>
    <n v="11"/>
    <n v="17"/>
    <n v="88826"/>
    <x v="12"/>
    <x v="0"/>
    <n v="46"/>
    <n v="984"/>
    <n v="487"/>
    <n v="497"/>
    <n v="49.650349650349654"/>
    <n v="50.24975024975025"/>
    <n v="462"/>
    <n v="522"/>
    <n v="47.5"/>
    <n v="52.5"/>
    <n v="15.071138211382113"/>
    <n v="163"/>
    <n v="146"/>
    <n v="3.6159509202453974"/>
    <n v="3.3794520547945206"/>
  </r>
  <r>
    <s v="EMP0018"/>
    <s v="Amina"/>
    <s v="Garba"/>
    <x v="1"/>
    <n v="59"/>
    <x v="6"/>
    <x v="9"/>
    <s v="2022-07-22"/>
    <n v="14"/>
    <n v="15"/>
    <n v="414042"/>
    <x v="13"/>
    <x v="0"/>
    <n v="52"/>
    <n v="983"/>
    <n v="486"/>
    <n v="497"/>
    <n v="49.650349650349654"/>
    <n v="50.24975024975025"/>
    <n v="461"/>
    <n v="522"/>
    <n v="47.5"/>
    <n v="52.5"/>
    <n v="15.069175991861648"/>
    <n v="163"/>
    <n v="145"/>
    <n v="3.6159509202453974"/>
    <n v="3.3793103448275863"/>
  </r>
  <r>
    <s v="EMP0019"/>
    <s v="Peter"/>
    <s v="Ibrahim"/>
    <x v="0"/>
    <n v="60"/>
    <x v="6"/>
    <x v="4"/>
    <s v="2021-12-23"/>
    <n v="0"/>
    <n v="3"/>
    <n v="98434"/>
    <x v="14"/>
    <x v="1"/>
    <n v="94"/>
    <n v="982"/>
    <n v="486"/>
    <n v="496"/>
    <n v="49.650349650349654"/>
    <n v="50.24975024975025"/>
    <n v="460"/>
    <n v="522"/>
    <n v="47.5"/>
    <n v="52.5"/>
    <n v="15.069246435845214"/>
    <n v="163"/>
    <n v="145"/>
    <n v="3.6159509202453974"/>
    <n v="3.3793103448275863"/>
  </r>
  <r>
    <s v="EMP0020"/>
    <s v="John"/>
    <s v="Musa"/>
    <x v="0"/>
    <n v="24"/>
    <x v="5"/>
    <x v="4"/>
    <s v="2014-03-14"/>
    <n v="7"/>
    <n v="7"/>
    <n v="179791"/>
    <x v="15"/>
    <x v="0"/>
    <n v="70"/>
    <n v="981"/>
    <n v="485"/>
    <n v="496"/>
    <n v="49.650349650349654"/>
    <n v="50.24975024975025"/>
    <n v="460"/>
    <n v="521"/>
    <n v="47.5"/>
    <n v="52.5"/>
    <n v="15.081549439347604"/>
    <n v="163"/>
    <n v="145"/>
    <n v="3.6159509202453974"/>
    <n v="3.3793103448275863"/>
  </r>
  <r>
    <s v="EMP0021"/>
    <s v="Michael"/>
    <s v="Ahmed"/>
    <x v="1"/>
    <n v="57"/>
    <x v="4"/>
    <x v="6"/>
    <s v="2015-01-24"/>
    <n v="14"/>
    <n v="14"/>
    <n v="320269"/>
    <x v="15"/>
    <x v="0"/>
    <n v="31"/>
    <n v="980"/>
    <n v="484"/>
    <n v="496"/>
    <n v="49.650349650349654"/>
    <n v="50.24975024975025"/>
    <n v="459"/>
    <n v="521"/>
    <n v="47.5"/>
    <n v="52.5"/>
    <n v="15.089795918367347"/>
    <n v="162"/>
    <n v="145"/>
    <n v="3.6166666666666649"/>
    <n v="3.3793103448275863"/>
  </r>
  <r>
    <s v="EMP0022"/>
    <s v="Sarah"/>
    <s v="Garba"/>
    <x v="1"/>
    <n v="30"/>
    <x v="0"/>
    <x v="0"/>
    <s v="2014-08-02"/>
    <n v="10"/>
    <n v="15"/>
    <n v="358890"/>
    <x v="0"/>
    <x v="1"/>
    <n v="86"/>
    <n v="979"/>
    <n v="484"/>
    <n v="495"/>
    <n v="49.650349650349654"/>
    <n v="50.24975024975025"/>
    <n v="458"/>
    <n v="521"/>
    <n v="47.5"/>
    <n v="52.5"/>
    <n v="15.090909090909092"/>
    <n v="162"/>
    <n v="145"/>
    <n v="3.6166666666666649"/>
    <n v="3.3793103448275863"/>
  </r>
  <r>
    <s v="EMP0023"/>
    <s v="John"/>
    <s v="Ibrahim"/>
    <x v="1"/>
    <n v="53"/>
    <x v="3"/>
    <x v="0"/>
    <s v="2017-08-28"/>
    <n v="7"/>
    <n v="11"/>
    <n v="145610"/>
    <x v="16"/>
    <x v="0"/>
    <n v="69"/>
    <n v="978"/>
    <n v="484"/>
    <n v="494"/>
    <n v="49.650349650349654"/>
    <n v="50.24975024975025"/>
    <n v="458"/>
    <n v="520"/>
    <n v="47.5"/>
    <n v="52.5"/>
    <n v="15.091002044989775"/>
    <n v="162"/>
    <n v="145"/>
    <n v="3.6166666666666649"/>
    <n v="3.3793103448275863"/>
  </r>
  <r>
    <s v="EMP0024"/>
    <s v="Michael"/>
    <s v="Ahmed"/>
    <x v="1"/>
    <n v="51"/>
    <x v="2"/>
    <x v="2"/>
    <s v="2017-09-06"/>
    <n v="7"/>
    <n v="12"/>
    <n v="373472"/>
    <x v="15"/>
    <x v="0"/>
    <n v="47"/>
    <n v="977"/>
    <n v="484"/>
    <n v="493"/>
    <n v="49.650349650349654"/>
    <n v="50.24975024975025"/>
    <n v="457"/>
    <n v="520"/>
    <n v="47.5"/>
    <n v="52.5"/>
    <n v="15.095189355168884"/>
    <n v="162"/>
    <n v="145"/>
    <n v="3.6166666666666649"/>
    <n v="3.3793103448275863"/>
  </r>
  <r>
    <s v="EMP0025"/>
    <s v="Hauwa"/>
    <s v="Musa"/>
    <x v="0"/>
    <n v="34"/>
    <x v="5"/>
    <x v="3"/>
    <s v="2015-08-26"/>
    <n v="4"/>
    <n v="9"/>
    <n v="172231"/>
    <x v="2"/>
    <x v="1"/>
    <n v="87"/>
    <n v="976"/>
    <n v="484"/>
    <n v="492"/>
    <n v="49.650349650349654"/>
    <n v="50.24975024975025"/>
    <n v="456"/>
    <n v="520"/>
    <n v="47.5"/>
    <n v="52.5"/>
    <n v="15.098360655737705"/>
    <n v="162"/>
    <n v="145"/>
    <n v="3.6166666666666649"/>
    <n v="3.3793103448275863"/>
  </r>
  <r>
    <s v="EMP0026"/>
    <s v="David"/>
    <s v="Jones"/>
    <x v="0"/>
    <n v="29"/>
    <x v="1"/>
    <x v="6"/>
    <s v="2021-02-01"/>
    <n v="18"/>
    <n v="24"/>
    <n v="201847"/>
    <x v="6"/>
    <x v="0"/>
    <n v="48"/>
    <n v="975"/>
    <n v="483"/>
    <n v="492"/>
    <n v="49.650349650349654"/>
    <n v="50.24975024975025"/>
    <n v="456"/>
    <n v="519"/>
    <n v="47.5"/>
    <n v="52.5"/>
    <n v="15.104615384615384"/>
    <n v="161"/>
    <n v="145"/>
    <n v="3.6161490683229802"/>
    <n v="3.3793103448275863"/>
  </r>
  <r>
    <s v="EMP0027"/>
    <s v="Michael"/>
    <s v="Jones"/>
    <x v="0"/>
    <n v="38"/>
    <x v="2"/>
    <x v="4"/>
    <s v="2017-04-10"/>
    <n v="13"/>
    <n v="19"/>
    <n v="341223"/>
    <x v="17"/>
    <x v="1"/>
    <n v="97"/>
    <n v="974"/>
    <n v="482"/>
    <n v="492"/>
    <n v="49.650349650349654"/>
    <n v="50.24975024975025"/>
    <n v="455"/>
    <n v="519"/>
    <n v="47.5"/>
    <n v="52.5"/>
    <n v="15.095482546201232"/>
    <n v="161"/>
    <n v="144"/>
    <n v="3.6161490683229802"/>
    <n v="3.3861111111111111"/>
  </r>
  <r>
    <s v="EMP0028"/>
    <s v="James"/>
    <s v="Ibrahim"/>
    <x v="1"/>
    <n v="58"/>
    <x v="2"/>
    <x v="1"/>
    <s v="2012-03-18"/>
    <n v="15"/>
    <n v="25"/>
    <n v="182045"/>
    <x v="16"/>
    <x v="0"/>
    <n v="45"/>
    <n v="973"/>
    <n v="481"/>
    <n v="492"/>
    <n v="49.650349650349654"/>
    <n v="50.24975024975025"/>
    <n v="455"/>
    <n v="518"/>
    <n v="47.5"/>
    <n v="52.5"/>
    <n v="15.091469681397738"/>
    <n v="161"/>
    <n v="144"/>
    <n v="3.6161490683229802"/>
    <n v="3.3861111111111111"/>
  </r>
  <r>
    <s v="EMP0029"/>
    <s v="Mary"/>
    <s v="Okoro"/>
    <x v="1"/>
    <n v="28"/>
    <x v="0"/>
    <x v="9"/>
    <s v="2016-09-26"/>
    <n v="11"/>
    <n v="21"/>
    <n v="429973"/>
    <x v="18"/>
    <x v="1"/>
    <n v="82"/>
    <n v="972"/>
    <n v="481"/>
    <n v="491"/>
    <n v="49.650349650349654"/>
    <n v="50.24975024975025"/>
    <n v="454"/>
    <n v="518"/>
    <n v="47.5"/>
    <n v="52.5"/>
    <n v="15.081275720164609"/>
    <n v="161"/>
    <n v="144"/>
    <n v="3.6161490683229802"/>
    <n v="3.3861111111111111"/>
  </r>
  <r>
    <s v="EMP0030"/>
    <s v="Michael"/>
    <s v="Ibrahim"/>
    <x v="0"/>
    <n v="29"/>
    <x v="6"/>
    <x v="1"/>
    <s v="2024-06-16"/>
    <n v="8"/>
    <n v="15"/>
    <n v="360137"/>
    <x v="19"/>
    <x v="1"/>
    <n v="99"/>
    <n v="971"/>
    <n v="481"/>
    <n v="490"/>
    <n v="49.650349650349654"/>
    <n v="50.24975024975025"/>
    <n v="454"/>
    <n v="517"/>
    <n v="47.5"/>
    <n v="52.5"/>
    <n v="15.075180226570545"/>
    <n v="161"/>
    <n v="144"/>
    <n v="3.6161490683229802"/>
    <n v="3.3861111111111111"/>
  </r>
  <r>
    <s v="EMP0031"/>
    <s v="David"/>
    <s v="Jones"/>
    <x v="1"/>
    <n v="47"/>
    <x v="3"/>
    <x v="2"/>
    <s v="2025-03-04"/>
    <n v="10"/>
    <n v="13"/>
    <n v="88669"/>
    <x v="20"/>
    <x v="1"/>
    <n v="79"/>
    <n v="970"/>
    <n v="480"/>
    <n v="490"/>
    <n v="49.650349650349654"/>
    <n v="50.24975024975025"/>
    <n v="454"/>
    <n v="516"/>
    <n v="47.5"/>
    <n v="52.5"/>
    <n v="15.075257731958763"/>
    <n v="161"/>
    <n v="144"/>
    <n v="3.6161490683229802"/>
    <n v="3.3861111111111111"/>
  </r>
  <r>
    <s v="EMP0032"/>
    <s v="Michael"/>
    <s v="Williams"/>
    <x v="1"/>
    <n v="50"/>
    <x v="1"/>
    <x v="8"/>
    <s v="2022-09-13"/>
    <n v="8"/>
    <n v="9"/>
    <n v="122281"/>
    <x v="21"/>
    <x v="0"/>
    <n v="42"/>
    <n v="969"/>
    <n v="480"/>
    <n v="489"/>
    <n v="49.650349650349654"/>
    <n v="50.24975024975025"/>
    <n v="454"/>
    <n v="515"/>
    <n v="47.5"/>
    <n v="52.5"/>
    <n v="15.077399380804954"/>
    <n v="161"/>
    <n v="144"/>
    <n v="3.6161490683229802"/>
    <n v="3.3861111111111111"/>
  </r>
  <r>
    <s v="EMP0033"/>
    <s v="Grace"/>
    <s v="Ahmed"/>
    <x v="1"/>
    <n v="26"/>
    <x v="0"/>
    <x v="5"/>
    <s v="2022-03-13"/>
    <n v="5"/>
    <n v="5"/>
    <n v="380373"/>
    <x v="5"/>
    <x v="1"/>
    <n v="73"/>
    <n v="968"/>
    <n v="480"/>
    <n v="488"/>
    <n v="49.650349650349654"/>
    <n v="50.24975024975025"/>
    <n v="453"/>
    <n v="515"/>
    <n v="47.5"/>
    <n v="52.5"/>
    <n v="15.083677685950413"/>
    <n v="161"/>
    <n v="143"/>
    <n v="3.6161490683229802"/>
    <n v="3.3867132867132863"/>
  </r>
  <r>
    <s v="EMP0034"/>
    <s v="Sarah"/>
    <s v="Williams"/>
    <x v="0"/>
    <n v="23"/>
    <x v="0"/>
    <x v="4"/>
    <s v="2024-02-09"/>
    <n v="16"/>
    <n v="26"/>
    <n v="136820"/>
    <x v="16"/>
    <x v="0"/>
    <n v="57"/>
    <n v="967"/>
    <n v="480"/>
    <n v="487"/>
    <n v="49.650349650349654"/>
    <n v="50.24975024975025"/>
    <n v="453"/>
    <n v="514"/>
    <n v="47.5"/>
    <n v="52.5"/>
    <n v="15.094105480868667"/>
    <n v="161"/>
    <n v="143"/>
    <n v="3.6161490683229802"/>
    <n v="3.3867132867132863"/>
  </r>
  <r>
    <s v="EMP0035"/>
    <s v="John"/>
    <s v="Ibrahim"/>
    <x v="0"/>
    <n v="50"/>
    <x v="4"/>
    <x v="9"/>
    <s v="2019-02-22"/>
    <n v="3"/>
    <n v="5"/>
    <n v="234541"/>
    <x v="20"/>
    <x v="0"/>
    <n v="40"/>
    <n v="966"/>
    <n v="479"/>
    <n v="487"/>
    <n v="49.650349650349654"/>
    <n v="50.24975024975025"/>
    <n v="452"/>
    <n v="514"/>
    <n v="47.5"/>
    <n v="52.5"/>
    <n v="15.082815734989648"/>
    <n v="161"/>
    <n v="143"/>
    <n v="3.6161490683229802"/>
    <n v="3.3867132867132863"/>
  </r>
  <r>
    <s v="EMP0036"/>
    <s v="Mary"/>
    <s v="Williams"/>
    <x v="1"/>
    <n v="57"/>
    <x v="0"/>
    <x v="8"/>
    <s v="2024-05-15"/>
    <n v="9"/>
    <n v="13"/>
    <n v="197341"/>
    <x v="19"/>
    <x v="1"/>
    <n v="74"/>
    <n v="965"/>
    <n v="478"/>
    <n v="487"/>
    <n v="49.650349650349654"/>
    <n v="50.24975024975025"/>
    <n v="451"/>
    <n v="514"/>
    <n v="47.5"/>
    <n v="52.5"/>
    <n v="15.093264248704664"/>
    <n v="161"/>
    <n v="143"/>
    <n v="3.6161490683229802"/>
    <n v="3.3867132867132863"/>
  </r>
  <r>
    <s v="EMP0037"/>
    <s v="Peter"/>
    <s v="Garba"/>
    <x v="0"/>
    <n v="43"/>
    <x v="3"/>
    <x v="3"/>
    <s v="2023-07-07"/>
    <n v="12"/>
    <n v="17"/>
    <n v="302053"/>
    <x v="7"/>
    <x v="1"/>
    <n v="97"/>
    <n v="964"/>
    <n v="478"/>
    <n v="486"/>
    <n v="49.650349650349654"/>
    <n v="50.24975024975025"/>
    <n v="451"/>
    <n v="513"/>
    <n v="47.5"/>
    <n v="52.5"/>
    <n v="15.095435684647303"/>
    <n v="161"/>
    <n v="143"/>
    <n v="3.6161490683229802"/>
    <n v="3.3867132867132863"/>
  </r>
  <r>
    <s v="EMP0038"/>
    <s v="Mary"/>
    <s v="Jones"/>
    <x v="1"/>
    <n v="54"/>
    <x v="4"/>
    <x v="7"/>
    <s v="2021-03-04"/>
    <n v="13"/>
    <n v="14"/>
    <n v="238478"/>
    <x v="22"/>
    <x v="1"/>
    <n v="73"/>
    <n v="963"/>
    <n v="477"/>
    <n v="486"/>
    <n v="49.650349650349654"/>
    <n v="50.24975024975025"/>
    <n v="451"/>
    <n v="512"/>
    <n v="47.5"/>
    <n v="52.5"/>
    <n v="15.093457943925234"/>
    <n v="161"/>
    <n v="143"/>
    <n v="3.6161490683229802"/>
    <n v="3.3867132867132863"/>
  </r>
  <r>
    <s v="EMP0039"/>
    <s v="John"/>
    <s v="Garba"/>
    <x v="0"/>
    <n v="29"/>
    <x v="2"/>
    <x v="9"/>
    <s v="2019-01-03"/>
    <n v="13"/>
    <n v="20"/>
    <n v="81330"/>
    <x v="9"/>
    <x v="0"/>
    <n v="32"/>
    <n v="962"/>
    <n v="477"/>
    <n v="485"/>
    <n v="49.650349650349654"/>
    <n v="50.24975024975025"/>
    <n v="451"/>
    <n v="511"/>
    <n v="47.5"/>
    <n v="52.5"/>
    <n v="15.094594594594595"/>
    <n v="161"/>
    <n v="143"/>
    <n v="3.6161490683229802"/>
    <n v="3.3867132867132863"/>
  </r>
  <r>
    <s v="EMP0040"/>
    <s v="John"/>
    <s v="Okoro"/>
    <x v="0"/>
    <n v="58"/>
    <x v="5"/>
    <x v="8"/>
    <s v="2022-02-01"/>
    <n v="7"/>
    <n v="10"/>
    <n v="421592"/>
    <x v="19"/>
    <x v="1"/>
    <n v="84"/>
    <n v="961"/>
    <n v="476"/>
    <n v="485"/>
    <n v="49.650349650349654"/>
    <n v="50.24975024975025"/>
    <n v="450"/>
    <n v="511"/>
    <n v="47.5"/>
    <n v="52.5"/>
    <n v="15.0894901144641"/>
    <n v="161"/>
    <n v="143"/>
    <n v="3.6161490683229802"/>
    <n v="3.3867132867132863"/>
  </r>
  <r>
    <s v="EMP0041"/>
    <s v="Peter"/>
    <s v="Musa"/>
    <x v="1"/>
    <n v="27"/>
    <x v="2"/>
    <x v="2"/>
    <s v="2013-01-13"/>
    <n v="3"/>
    <n v="12"/>
    <n v="111108"/>
    <x v="21"/>
    <x v="1"/>
    <n v="94"/>
    <n v="960"/>
    <n v="475"/>
    <n v="485"/>
    <n v="49.650349650349654"/>
    <n v="50.24975024975025"/>
    <n v="450"/>
    <n v="510"/>
    <n v="47.5"/>
    <n v="52.5"/>
    <n v="15.094791666666667"/>
    <n v="160"/>
    <n v="143"/>
    <n v="3.6243749999999992"/>
    <n v="3.3867132867132863"/>
  </r>
  <r>
    <s v="EMP0042"/>
    <s v="John"/>
    <s v="Johnson"/>
    <x v="0"/>
    <n v="46"/>
    <x v="4"/>
    <x v="4"/>
    <s v="2013-12-04"/>
    <n v="14"/>
    <n v="24"/>
    <n v="181880"/>
    <x v="2"/>
    <x v="0"/>
    <n v="32"/>
    <n v="959"/>
    <n v="475"/>
    <n v="484"/>
    <n v="49.650349650349654"/>
    <n v="50.24975024975025"/>
    <n v="450"/>
    <n v="509"/>
    <n v="47.5"/>
    <n v="52.5"/>
    <n v="15.098018769551617"/>
    <n v="160"/>
    <n v="143"/>
    <n v="3.6243749999999992"/>
    <n v="3.3867132867132863"/>
  </r>
  <r>
    <s v="EMP0043"/>
    <s v="James"/>
    <s v="Smith"/>
    <x v="0"/>
    <n v="42"/>
    <x v="4"/>
    <x v="8"/>
    <s v="2017-05-22"/>
    <n v="11"/>
    <n v="20"/>
    <n v="289412"/>
    <x v="8"/>
    <x v="1"/>
    <n v="88"/>
    <n v="958"/>
    <n v="474"/>
    <n v="484"/>
    <n v="49.650349650349654"/>
    <n v="50.24975024975025"/>
    <n v="449"/>
    <n v="509"/>
    <n v="47.5"/>
    <n v="52.5"/>
    <n v="15.088726513569938"/>
    <n v="160"/>
    <n v="143"/>
    <n v="3.6243749999999992"/>
    <n v="3.3867132867132863"/>
  </r>
  <r>
    <s v="EMP0044"/>
    <s v="Fatima"/>
    <s v="Ibrahim"/>
    <x v="1"/>
    <n v="27"/>
    <x v="0"/>
    <x v="8"/>
    <s v="2016-06-18"/>
    <n v="11"/>
    <n v="12"/>
    <n v="105033"/>
    <x v="5"/>
    <x v="0"/>
    <n v="64"/>
    <n v="957"/>
    <n v="473"/>
    <n v="484"/>
    <n v="49.650349650349654"/>
    <n v="50.24975024975025"/>
    <n v="449"/>
    <n v="508"/>
    <n v="47.5"/>
    <n v="52.5"/>
    <n v="15.083594566353186"/>
    <n v="160"/>
    <n v="143"/>
    <n v="3.6243749999999992"/>
    <n v="3.3867132867132863"/>
  </r>
  <r>
    <s v="EMP0045"/>
    <s v="Hauwa"/>
    <s v="Jones"/>
    <x v="1"/>
    <n v="25"/>
    <x v="5"/>
    <x v="1"/>
    <s v="2025-01-23"/>
    <n v="1"/>
    <n v="2"/>
    <n v="117159"/>
    <x v="15"/>
    <x v="1"/>
    <n v="84"/>
    <n v="956"/>
    <n v="473"/>
    <n v="483"/>
    <n v="49.650349650349654"/>
    <n v="50.24975024975025"/>
    <n v="448"/>
    <n v="508"/>
    <n v="47.5"/>
    <n v="52.5"/>
    <n v="15.086820083682008"/>
    <n v="160"/>
    <n v="143"/>
    <n v="3.6243749999999992"/>
    <n v="3.3867132867132863"/>
  </r>
  <r>
    <s v="EMP0046"/>
    <s v="Hauwa"/>
    <s v="Jones"/>
    <x v="1"/>
    <n v="23"/>
    <x v="3"/>
    <x v="3"/>
    <s v="2018-10-07"/>
    <n v="15"/>
    <n v="18"/>
    <n v="102693"/>
    <x v="17"/>
    <x v="0"/>
    <n v="30"/>
    <n v="955"/>
    <n v="473"/>
    <n v="482"/>
    <n v="49.650349650349654"/>
    <n v="50.24975024975025"/>
    <n v="448"/>
    <n v="507"/>
    <n v="47.5"/>
    <n v="52.5"/>
    <n v="15.100523560209425"/>
    <n v="159"/>
    <n v="143"/>
    <n v="3.6251572327044022"/>
    <n v="3.3867132867132863"/>
  </r>
  <r>
    <s v="EMP0047"/>
    <s v="Sarah"/>
    <s v="Ibrahim"/>
    <x v="0"/>
    <n v="60"/>
    <x v="5"/>
    <x v="8"/>
    <s v="2025-08-24"/>
    <n v="5"/>
    <n v="10"/>
    <n v="120596"/>
    <x v="19"/>
    <x v="1"/>
    <n v="93"/>
    <n v="954"/>
    <n v="473"/>
    <n v="481"/>
    <n v="49.650349650349654"/>
    <n v="50.24975024975025"/>
    <n v="447"/>
    <n v="507"/>
    <n v="47.5"/>
    <n v="52.5"/>
    <n v="15.09748427672956"/>
    <n v="159"/>
    <n v="143"/>
    <n v="3.6251572327044022"/>
    <n v="3.3867132867132863"/>
  </r>
  <r>
    <s v="EMP0048"/>
    <s v="Sarah"/>
    <s v="Williams"/>
    <x v="0"/>
    <n v="37"/>
    <x v="4"/>
    <x v="7"/>
    <s v="2015-11-08"/>
    <n v="8"/>
    <n v="17"/>
    <n v="311750"/>
    <x v="23"/>
    <x v="1"/>
    <n v="95"/>
    <n v="953"/>
    <n v="472"/>
    <n v="481"/>
    <n v="49.650349650349654"/>
    <n v="50.24975024975025"/>
    <n v="447"/>
    <n v="506"/>
    <n v="47.5"/>
    <n v="52.5"/>
    <n v="15.102833158447009"/>
    <n v="158"/>
    <n v="143"/>
    <n v="3.6335443037974677"/>
    <n v="3.3867132867132863"/>
  </r>
  <r>
    <s v="EMP0049"/>
    <s v="Daniel"/>
    <s v="Brown"/>
    <x v="1"/>
    <n v="50"/>
    <x v="4"/>
    <x v="5"/>
    <s v="2025-07-18"/>
    <n v="17"/>
    <n v="18"/>
    <n v="464305"/>
    <x v="13"/>
    <x v="1"/>
    <n v="100"/>
    <n v="952"/>
    <n v="471"/>
    <n v="481"/>
    <n v="49.650349650349654"/>
    <n v="50.24975024975025"/>
    <n v="447"/>
    <n v="505"/>
    <n v="47.5"/>
    <n v="52.5"/>
    <n v="15.100840336134453"/>
    <n v="158"/>
    <n v="143"/>
    <n v="3.6335443037974677"/>
    <n v="3.3867132867132863"/>
  </r>
  <r>
    <s v="EMP0050"/>
    <s v="Grace"/>
    <s v="Williams"/>
    <x v="0"/>
    <n v="25"/>
    <x v="3"/>
    <x v="6"/>
    <s v="2016-03-12"/>
    <n v="16"/>
    <n v="21"/>
    <n v="436779"/>
    <x v="12"/>
    <x v="1"/>
    <n v="99"/>
    <n v="951"/>
    <n v="471"/>
    <n v="480"/>
    <n v="49.650349650349654"/>
    <n v="50.24975024975025"/>
    <n v="447"/>
    <n v="504"/>
    <n v="47.5"/>
    <n v="52.5"/>
    <n v="15.097791798107256"/>
    <n v="158"/>
    <n v="143"/>
    <n v="3.6335443037974677"/>
    <n v="3.3867132867132863"/>
  </r>
  <r>
    <s v="EMP0051"/>
    <s v="Amina"/>
    <s v="Musa"/>
    <x v="1"/>
    <n v="34"/>
    <x v="6"/>
    <x v="1"/>
    <s v="2015-12-30"/>
    <n v="0"/>
    <n v="2"/>
    <n v="297577"/>
    <x v="24"/>
    <x v="1"/>
    <n v="100"/>
    <n v="950"/>
    <n v="470"/>
    <n v="480"/>
    <n v="49.650349650349654"/>
    <n v="50.24975024975025"/>
    <n v="447"/>
    <n v="503"/>
    <n v="47.5"/>
    <n v="52.5"/>
    <n v="15.09157894736842"/>
    <n v="158"/>
    <n v="143"/>
    <n v="3.6335443037974677"/>
    <n v="3.3867132867132863"/>
  </r>
  <r>
    <s v="EMP0052"/>
    <s v="David"/>
    <s v="Garba"/>
    <x v="1"/>
    <n v="55"/>
    <x v="0"/>
    <x v="4"/>
    <s v="2025-05-28"/>
    <n v="13"/>
    <n v="14"/>
    <n v="383983"/>
    <x v="23"/>
    <x v="0"/>
    <n v="67"/>
    <n v="949"/>
    <n v="470"/>
    <n v="479"/>
    <n v="49.650349650349654"/>
    <n v="50.24975024975025"/>
    <n v="447"/>
    <n v="502"/>
    <n v="47.5"/>
    <n v="52.5"/>
    <n v="15.105374077976817"/>
    <n v="158"/>
    <n v="143"/>
    <n v="3.6335443037974677"/>
    <n v="3.3867132867132863"/>
  </r>
  <r>
    <s v="EMP0053"/>
    <s v="Hauwa"/>
    <s v="Smith"/>
    <x v="0"/>
    <n v="46"/>
    <x v="4"/>
    <x v="2"/>
    <s v="2014-05-01"/>
    <n v="4"/>
    <n v="5"/>
    <n v="324413"/>
    <x v="13"/>
    <x v="0"/>
    <n v="61"/>
    <n v="948"/>
    <n v="470"/>
    <n v="478"/>
    <n v="49.650349650349654"/>
    <n v="50.24975024975025"/>
    <n v="446"/>
    <n v="502"/>
    <n v="47.5"/>
    <n v="52.5"/>
    <n v="15.106540084388186"/>
    <n v="158"/>
    <n v="143"/>
    <n v="3.6335443037974677"/>
    <n v="3.3867132867132863"/>
  </r>
  <r>
    <s v="EMP0054"/>
    <s v="Amina"/>
    <s v="Williams"/>
    <x v="1"/>
    <n v="32"/>
    <x v="5"/>
    <x v="7"/>
    <s v="2018-01-28"/>
    <n v="8"/>
    <n v="16"/>
    <n v="269874"/>
    <x v="23"/>
    <x v="0"/>
    <n v="47"/>
    <n v="947"/>
    <n v="469"/>
    <n v="478"/>
    <n v="49.650349650349654"/>
    <n v="50.24975024975025"/>
    <n v="445"/>
    <n v="502"/>
    <n v="47.5"/>
    <n v="52.5"/>
    <n v="15.117212249208025"/>
    <n v="158"/>
    <n v="143"/>
    <n v="3.6335443037974677"/>
    <n v="3.3867132867132863"/>
  </r>
  <r>
    <s v="EMP0055"/>
    <s v="Sarah"/>
    <s v="Jones"/>
    <x v="0"/>
    <n v="26"/>
    <x v="6"/>
    <x v="5"/>
    <s v="2016-07-23"/>
    <n v="18"/>
    <n v="28"/>
    <n v="462622"/>
    <x v="2"/>
    <x v="0"/>
    <n v="65"/>
    <n v="946"/>
    <n v="469"/>
    <n v="477"/>
    <n v="49.650349650349654"/>
    <n v="50.24975024975025"/>
    <n v="444"/>
    <n v="502"/>
    <n v="47.5"/>
    <n v="52.5"/>
    <n v="15.116279069767442"/>
    <n v="157"/>
    <n v="143"/>
    <n v="3.6261146496815284"/>
    <n v="3.3867132867132863"/>
  </r>
  <r>
    <s v="EMP0056"/>
    <s v="Sarah"/>
    <s v="Brown"/>
    <x v="1"/>
    <n v="28"/>
    <x v="5"/>
    <x v="7"/>
    <s v="2020-09-02"/>
    <n v="2"/>
    <n v="2"/>
    <n v="236596"/>
    <x v="23"/>
    <x v="1"/>
    <n v="75"/>
    <n v="945"/>
    <n v="468"/>
    <n v="477"/>
    <n v="49.650349650349654"/>
    <n v="50.24975024975025"/>
    <n v="443"/>
    <n v="502"/>
    <n v="47.5"/>
    <n v="52.5"/>
    <n v="15.102645502645503"/>
    <n v="157"/>
    <n v="143"/>
    <n v="3.6261146496815284"/>
    <n v="3.3867132867132863"/>
  </r>
  <r>
    <s v="EMP0057"/>
    <s v="Michael"/>
    <s v="Okoro"/>
    <x v="1"/>
    <n v="32"/>
    <x v="3"/>
    <x v="8"/>
    <s v="2021-03-09"/>
    <n v="14"/>
    <n v="21"/>
    <n v="157410"/>
    <x v="10"/>
    <x v="0"/>
    <n v="34"/>
    <n v="944"/>
    <n v="468"/>
    <n v="476"/>
    <n v="49.650349650349654"/>
    <n v="50.24975024975025"/>
    <n v="443"/>
    <n v="501"/>
    <n v="47.5"/>
    <n v="52.5"/>
    <n v="15.116525423728813"/>
    <n v="156"/>
    <n v="143"/>
    <n v="3.6185897435897436"/>
    <n v="3.3867132867132863"/>
  </r>
  <r>
    <s v="EMP0058"/>
    <s v="Peter"/>
    <s v="Ibrahim"/>
    <x v="0"/>
    <n v="60"/>
    <x v="5"/>
    <x v="0"/>
    <s v="2017-04-25"/>
    <n v="2"/>
    <n v="2"/>
    <n v="484433"/>
    <x v="16"/>
    <x v="1"/>
    <n v="84"/>
    <n v="943"/>
    <n v="468"/>
    <n v="475"/>
    <n v="49.650349650349654"/>
    <n v="50.24975024975025"/>
    <n v="442"/>
    <n v="501"/>
    <n v="47.5"/>
    <n v="52.5"/>
    <n v="15.110286320254508"/>
    <n v="156"/>
    <n v="143"/>
    <n v="3.6185897435897436"/>
    <n v="3.3867132867132863"/>
  </r>
  <r>
    <s v="EMP0059"/>
    <s v="Daniel"/>
    <s v="Ahmed"/>
    <x v="0"/>
    <n v="26"/>
    <x v="0"/>
    <x v="0"/>
    <s v="2023-10-09"/>
    <n v="6"/>
    <n v="7"/>
    <n v="432516"/>
    <x v="15"/>
    <x v="1"/>
    <n v="76"/>
    <n v="942"/>
    <n v="467"/>
    <n v="475"/>
    <n v="49.650349650349654"/>
    <n v="50.24975024975025"/>
    <n v="442"/>
    <n v="500"/>
    <n v="47.5"/>
    <n v="52.5"/>
    <n v="15.124203821656051"/>
    <n v="155"/>
    <n v="143"/>
    <n v="3.6096774193548389"/>
    <n v="3.3867132867132863"/>
  </r>
  <r>
    <s v="EMP0060"/>
    <s v="Peter"/>
    <s v="Ibrahim"/>
    <x v="0"/>
    <n v="31"/>
    <x v="4"/>
    <x v="3"/>
    <s v="2014-02-21"/>
    <n v="3"/>
    <n v="5"/>
    <n v="420100"/>
    <x v="15"/>
    <x v="1"/>
    <n v="72"/>
    <n v="941"/>
    <n v="466"/>
    <n v="475"/>
    <n v="49.650349650349654"/>
    <n v="50.24975024975025"/>
    <n v="442"/>
    <n v="499"/>
    <n v="47.5"/>
    <n v="52.5"/>
    <n v="15.132837407013815"/>
    <n v="155"/>
    <n v="143"/>
    <n v="3.6096774193548389"/>
    <n v="3.3867132867132863"/>
  </r>
  <r>
    <s v="EMP0061"/>
    <s v="Daniel"/>
    <s v="Okoro"/>
    <x v="1"/>
    <n v="40"/>
    <x v="1"/>
    <x v="6"/>
    <s v="2022-11-07"/>
    <n v="14"/>
    <n v="19"/>
    <n v="348308"/>
    <x v="7"/>
    <x v="1"/>
    <n v="85"/>
    <n v="940"/>
    <n v="465"/>
    <n v="475"/>
    <n v="49.650349650349654"/>
    <n v="50.24975024975025"/>
    <n v="442"/>
    <n v="498"/>
    <n v="47.5"/>
    <n v="52.5"/>
    <n v="15.143617021276595"/>
    <n v="155"/>
    <n v="143"/>
    <n v="3.6096774193548389"/>
    <n v="3.3867132867132863"/>
  </r>
  <r>
    <s v="EMP0062"/>
    <s v="Mary"/>
    <s v="Brown"/>
    <x v="1"/>
    <n v="44"/>
    <x v="6"/>
    <x v="1"/>
    <s v="2023-11-21"/>
    <n v="1"/>
    <n v="1"/>
    <n v="392671"/>
    <x v="25"/>
    <x v="0"/>
    <n v="54"/>
    <n v="939"/>
    <n v="465"/>
    <n v="474"/>
    <n v="49.650349650349654"/>
    <n v="50.24975024975025"/>
    <n v="442"/>
    <n v="497"/>
    <n v="47.5"/>
    <n v="52.5"/>
    <n v="15.1395101171459"/>
    <n v="155"/>
    <n v="142"/>
    <n v="3.6096774193548389"/>
    <n v="3.3880281690140843"/>
  </r>
  <r>
    <s v="EMP0063"/>
    <s v="Peter"/>
    <s v="Ibrahim"/>
    <x v="1"/>
    <n v="59"/>
    <x v="6"/>
    <x v="8"/>
    <s v="2013-01-10"/>
    <n v="15"/>
    <n v="17"/>
    <n v="162271"/>
    <x v="25"/>
    <x v="0"/>
    <n v="32"/>
    <n v="938"/>
    <n v="465"/>
    <n v="473"/>
    <n v="49.650349650349654"/>
    <n v="50.24975024975025"/>
    <n v="441"/>
    <n v="497"/>
    <n v="47.5"/>
    <n v="52.5"/>
    <n v="15.154584221748401"/>
    <n v="155"/>
    <n v="142"/>
    <n v="3.6096774193548389"/>
    <n v="3.3880281690140843"/>
  </r>
  <r>
    <s v="EMP0064"/>
    <s v="Mary"/>
    <s v="Johnson"/>
    <x v="0"/>
    <n v="39"/>
    <x v="5"/>
    <x v="7"/>
    <s v="2017-12-03"/>
    <n v="10"/>
    <n v="14"/>
    <n v="335115"/>
    <x v="18"/>
    <x v="1"/>
    <n v="83"/>
    <n v="937"/>
    <n v="465"/>
    <n v="472"/>
    <n v="49.650349650349654"/>
    <n v="50.24975024975025"/>
    <n v="440"/>
    <n v="497"/>
    <n v="47.5"/>
    <n v="52.5"/>
    <n v="15.152614727854855"/>
    <n v="155"/>
    <n v="142"/>
    <n v="3.6096774193548389"/>
    <n v="3.3880281690140843"/>
  </r>
  <r>
    <s v="EMP0065"/>
    <s v="Peter"/>
    <s v="Musa"/>
    <x v="0"/>
    <n v="40"/>
    <x v="5"/>
    <x v="4"/>
    <s v="2016-12-27"/>
    <n v="6"/>
    <n v="6"/>
    <n v="298322"/>
    <x v="21"/>
    <x v="0"/>
    <n v="41"/>
    <n v="936"/>
    <n v="464"/>
    <n v="472"/>
    <n v="49.650349650349654"/>
    <n v="50.24975024975025"/>
    <n v="440"/>
    <n v="496"/>
    <n v="47.5"/>
    <n v="52.5"/>
    <n v="15.153846153846153"/>
    <n v="154"/>
    <n v="142"/>
    <n v="3.6194805194805193"/>
    <n v="3.3880281690140843"/>
  </r>
  <r>
    <s v="EMP0066"/>
    <s v="Grace"/>
    <s v="Brown"/>
    <x v="1"/>
    <n v="31"/>
    <x v="3"/>
    <x v="9"/>
    <s v="2015-04-05"/>
    <n v="12"/>
    <n v="18"/>
    <n v="384071"/>
    <x v="26"/>
    <x v="1"/>
    <n v="74"/>
    <n v="935"/>
    <n v="463"/>
    <n v="472"/>
    <n v="49.650349650349654"/>
    <n v="50.24975024975025"/>
    <n v="439"/>
    <n v="496"/>
    <n v="47.5"/>
    <n v="52.5"/>
    <n v="15.163636363636364"/>
    <n v="153"/>
    <n v="142"/>
    <n v="3.6215686274509804"/>
    <n v="3.3880281690140843"/>
  </r>
  <r>
    <s v="EMP0067"/>
    <s v="James"/>
    <s v="Ibrahim"/>
    <x v="1"/>
    <n v="23"/>
    <x v="4"/>
    <x v="6"/>
    <s v="2017-09-23"/>
    <n v="17"/>
    <n v="20"/>
    <n v="102615"/>
    <x v="24"/>
    <x v="1"/>
    <n v="85"/>
    <n v="934"/>
    <n v="463"/>
    <n v="471"/>
    <n v="49.650349650349654"/>
    <n v="50.24975024975025"/>
    <n v="439"/>
    <n v="495"/>
    <n v="47.5"/>
    <n v="52.5"/>
    <n v="15.160599571734476"/>
    <n v="153"/>
    <n v="142"/>
    <n v="3.6215686274509804"/>
    <n v="3.3880281690140843"/>
  </r>
  <r>
    <s v="EMP0068"/>
    <s v="Hauwa"/>
    <s v="Jones"/>
    <x v="1"/>
    <n v="25"/>
    <x v="5"/>
    <x v="2"/>
    <s v="2022-01-22"/>
    <n v="8"/>
    <n v="15"/>
    <n v="97272"/>
    <x v="6"/>
    <x v="0"/>
    <n v="59"/>
    <n v="933"/>
    <n v="463"/>
    <n v="470"/>
    <n v="49.650349650349654"/>
    <n v="50.24975024975025"/>
    <n v="439"/>
    <n v="494"/>
    <n v="47.5"/>
    <n v="52.5"/>
    <n v="15.155412647374062"/>
    <n v="153"/>
    <n v="142"/>
    <n v="3.6215686274509804"/>
    <n v="3.3880281690140843"/>
  </r>
  <r>
    <s v="EMP0069"/>
    <s v="Amina"/>
    <s v="Ibrahim"/>
    <x v="1"/>
    <n v="46"/>
    <x v="5"/>
    <x v="3"/>
    <s v="2012-04-02"/>
    <n v="8"/>
    <n v="8"/>
    <n v="258370"/>
    <x v="15"/>
    <x v="1"/>
    <n v="94"/>
    <n v="932"/>
    <n v="463"/>
    <n v="469"/>
    <n v="49.650349650349654"/>
    <n v="50.24975024975025"/>
    <n v="438"/>
    <n v="494"/>
    <n v="47.5"/>
    <n v="52.5"/>
    <n v="15.155579399141631"/>
    <n v="152"/>
    <n v="142"/>
    <n v="3.6296052631578943"/>
    <n v="3.3880281690140843"/>
  </r>
  <r>
    <s v="EMP0070"/>
    <s v="James"/>
    <s v="Williams"/>
    <x v="0"/>
    <n v="45"/>
    <x v="4"/>
    <x v="6"/>
    <s v="2015-08-12"/>
    <n v="17"/>
    <n v="20"/>
    <n v="234383"/>
    <x v="3"/>
    <x v="1"/>
    <n v="81"/>
    <n v="931"/>
    <n v="463"/>
    <n v="468"/>
    <n v="49.650349650349654"/>
    <n v="50.24975024975025"/>
    <n v="438"/>
    <n v="493"/>
    <n v="47.5"/>
    <n v="52.5"/>
    <n v="15.163265306122449"/>
    <n v="151"/>
    <n v="142"/>
    <n v="3.6304635761589408"/>
    <n v="3.3880281690140843"/>
  </r>
  <r>
    <s v="EMP0071"/>
    <s v="James"/>
    <s v="Smith"/>
    <x v="0"/>
    <n v="30"/>
    <x v="2"/>
    <x v="6"/>
    <s v="2017-02-28"/>
    <n v="15"/>
    <n v="25"/>
    <n v="156521"/>
    <x v="9"/>
    <x v="1"/>
    <n v="75"/>
    <n v="930"/>
    <n v="462"/>
    <n v="468"/>
    <n v="49.650349650349654"/>
    <n v="50.24975024975025"/>
    <n v="438"/>
    <n v="492"/>
    <n v="47.5"/>
    <n v="52.5"/>
    <n v="15.158064516129032"/>
    <n v="151"/>
    <n v="142"/>
    <n v="3.6304635761589408"/>
    <n v="3.3880281690140843"/>
  </r>
  <r>
    <s v="EMP0072"/>
    <s v="James"/>
    <s v="Jones"/>
    <x v="1"/>
    <n v="31"/>
    <x v="5"/>
    <x v="4"/>
    <s v="2023-01-31"/>
    <n v="20"/>
    <n v="22"/>
    <n v="261854"/>
    <x v="4"/>
    <x v="0"/>
    <n v="63"/>
    <n v="929"/>
    <n v="461"/>
    <n v="468"/>
    <n v="49.650349650349654"/>
    <n v="50.24975024975025"/>
    <n v="438"/>
    <n v="491"/>
    <n v="47.5"/>
    <n v="52.5"/>
    <n v="15.147470398277719"/>
    <n v="151"/>
    <n v="142"/>
    <n v="3.6304635761589408"/>
    <n v="3.3880281690140843"/>
  </r>
  <r>
    <s v="EMP0073"/>
    <s v="Fatima"/>
    <s v="Garba"/>
    <x v="1"/>
    <n v="50"/>
    <x v="0"/>
    <x v="5"/>
    <s v="2013-04-25"/>
    <n v="17"/>
    <n v="19"/>
    <n v="449379"/>
    <x v="27"/>
    <x v="0"/>
    <n v="69"/>
    <n v="928"/>
    <n v="461"/>
    <n v="467"/>
    <n v="49.650349650349654"/>
    <n v="50.24975024975025"/>
    <n v="437"/>
    <n v="491"/>
    <n v="47.5"/>
    <n v="52.5"/>
    <n v="15.140086206896552"/>
    <n v="150"/>
    <n v="142"/>
    <n v="3.6293333333333333"/>
    <n v="3.3880281690140843"/>
  </r>
  <r>
    <s v="EMP0074"/>
    <s v="Amina"/>
    <s v="Smith"/>
    <x v="1"/>
    <n v="35"/>
    <x v="6"/>
    <x v="7"/>
    <s v="2016-10-24"/>
    <n v="9"/>
    <n v="13"/>
    <n v="122714"/>
    <x v="25"/>
    <x v="0"/>
    <n v="59"/>
    <n v="927"/>
    <n v="461"/>
    <n v="466"/>
    <n v="49.650349650349654"/>
    <n v="50.24975024975025"/>
    <n v="436"/>
    <n v="491"/>
    <n v="47.5"/>
    <n v="52.5"/>
    <n v="15.135922330097088"/>
    <n v="150"/>
    <n v="142"/>
    <n v="3.6293333333333333"/>
    <n v="3.3880281690140843"/>
  </r>
  <r>
    <s v="EMP0075"/>
    <s v="James"/>
    <s v="Okoro"/>
    <x v="0"/>
    <n v="56"/>
    <x v="2"/>
    <x v="2"/>
    <s v="2017-12-24"/>
    <n v="3"/>
    <n v="9"/>
    <n v="230173"/>
    <x v="19"/>
    <x v="0"/>
    <n v="51"/>
    <n v="926"/>
    <n v="461"/>
    <n v="465"/>
    <n v="49.650349650349654"/>
    <n v="50.24975024975025"/>
    <n v="435"/>
    <n v="491"/>
    <n v="47.5"/>
    <n v="52.5"/>
    <n v="15.138228941684666"/>
    <n v="150"/>
    <n v="142"/>
    <n v="3.6293333333333333"/>
    <n v="3.3880281690140843"/>
  </r>
  <r>
    <s v="EMP0076"/>
    <s v="Michael"/>
    <s v="Johnson"/>
    <x v="1"/>
    <n v="38"/>
    <x v="0"/>
    <x v="2"/>
    <s v="2018-03-16"/>
    <n v="2"/>
    <n v="5"/>
    <n v="137600"/>
    <x v="22"/>
    <x v="0"/>
    <n v="32"/>
    <n v="925"/>
    <n v="460"/>
    <n v="465"/>
    <n v="49.650349650349654"/>
    <n v="50.24975024975025"/>
    <n v="434"/>
    <n v="491"/>
    <n v="47.5"/>
    <n v="52.5"/>
    <n v="15.144864864864864"/>
    <n v="150"/>
    <n v="142"/>
    <n v="3.6293333333333333"/>
    <n v="3.3880281690140843"/>
  </r>
  <r>
    <s v="EMP0077"/>
    <s v="Michael"/>
    <s v="Jones"/>
    <x v="0"/>
    <n v="49"/>
    <x v="0"/>
    <x v="5"/>
    <s v="2015-12-12"/>
    <n v="17"/>
    <n v="23"/>
    <n v="297678"/>
    <x v="0"/>
    <x v="0"/>
    <n v="61"/>
    <n v="924"/>
    <n v="460"/>
    <n v="464"/>
    <n v="49.650349650349654"/>
    <n v="50.24975024975025"/>
    <n v="433"/>
    <n v="491"/>
    <n v="47.5"/>
    <n v="52.5"/>
    <n v="15.155844155844155"/>
    <n v="150"/>
    <n v="142"/>
    <n v="3.6293333333333333"/>
    <n v="3.3880281690140843"/>
  </r>
  <r>
    <s v="EMP0078"/>
    <s v="Daniel"/>
    <s v="Okoro"/>
    <x v="1"/>
    <n v="54"/>
    <x v="0"/>
    <x v="2"/>
    <s v="2019-07-21"/>
    <n v="0"/>
    <n v="7"/>
    <n v="196114"/>
    <x v="17"/>
    <x v="1"/>
    <n v="71"/>
    <n v="923"/>
    <n v="459"/>
    <n v="464"/>
    <n v="49.650349650349654"/>
    <n v="50.24975024975025"/>
    <n v="432"/>
    <n v="491"/>
    <n v="47.5"/>
    <n v="52.5"/>
    <n v="15.147345612134345"/>
    <n v="150"/>
    <n v="142"/>
    <n v="3.6293333333333333"/>
    <n v="3.3880281690140843"/>
  </r>
  <r>
    <s v="EMP0079"/>
    <s v="Amina"/>
    <s v="Brown"/>
    <x v="0"/>
    <n v="21"/>
    <x v="0"/>
    <x v="1"/>
    <s v="2019-07-08"/>
    <n v="15"/>
    <n v="20"/>
    <n v="134390"/>
    <x v="21"/>
    <x v="0"/>
    <n v="35"/>
    <n v="922"/>
    <n v="459"/>
    <n v="463"/>
    <n v="49.650349650349654"/>
    <n v="50.24975024975025"/>
    <n v="432"/>
    <n v="490"/>
    <n v="47.5"/>
    <n v="52.5"/>
    <n v="15.156182212581346"/>
    <n v="150"/>
    <n v="142"/>
    <n v="3.6293333333333333"/>
    <n v="3.3880281690140843"/>
  </r>
  <r>
    <s v="EMP0080"/>
    <s v="Peter"/>
    <s v="Johnson"/>
    <x v="1"/>
    <n v="30"/>
    <x v="1"/>
    <x v="6"/>
    <s v="2014-11-04"/>
    <n v="12"/>
    <n v="18"/>
    <n v="78003"/>
    <x v="15"/>
    <x v="0"/>
    <n v="66"/>
    <n v="921"/>
    <n v="458"/>
    <n v="463"/>
    <n v="49.650349650349654"/>
    <n v="50.24975024975025"/>
    <n v="431"/>
    <n v="490"/>
    <n v="47.5"/>
    <n v="52.5"/>
    <n v="15.150922909880565"/>
    <n v="150"/>
    <n v="142"/>
    <n v="3.6293333333333333"/>
    <n v="3.3880281690140843"/>
  </r>
  <r>
    <s v="EMP0081"/>
    <s v="Michael"/>
    <s v="Ahmed"/>
    <x v="1"/>
    <n v="30"/>
    <x v="0"/>
    <x v="9"/>
    <s v="2013-12-13"/>
    <n v="2"/>
    <n v="9"/>
    <n v="156663"/>
    <x v="14"/>
    <x v="1"/>
    <n v="89"/>
    <n v="920"/>
    <n v="458"/>
    <n v="462"/>
    <n v="49.650349650349654"/>
    <n v="50.24975024975025"/>
    <n v="430"/>
    <n v="490"/>
    <n v="47.5"/>
    <n v="52.5"/>
    <n v="15.147826086956522"/>
    <n v="150"/>
    <n v="141"/>
    <n v="3.6293333333333333"/>
    <n v="3.387234042553191"/>
  </r>
  <r>
    <s v="EMP0082"/>
    <s v="David"/>
    <s v="Smith"/>
    <x v="0"/>
    <n v="59"/>
    <x v="5"/>
    <x v="9"/>
    <s v="2021-12-08"/>
    <n v="1"/>
    <n v="10"/>
    <n v="109379"/>
    <x v="6"/>
    <x v="0"/>
    <n v="48"/>
    <n v="919"/>
    <n v="458"/>
    <n v="461"/>
    <n v="49.650349650349654"/>
    <n v="50.24975024975025"/>
    <n v="430"/>
    <n v="489"/>
    <n v="47.5"/>
    <n v="52.5"/>
    <n v="15.154515778019586"/>
    <n v="150"/>
    <n v="141"/>
    <n v="3.6293333333333333"/>
    <n v="3.387234042553191"/>
  </r>
  <r>
    <s v="EMP0083"/>
    <s v="John"/>
    <s v="Okoro"/>
    <x v="0"/>
    <n v="25"/>
    <x v="3"/>
    <x v="9"/>
    <s v="2021-05-07"/>
    <n v="10"/>
    <n v="13"/>
    <n v="312094"/>
    <x v="17"/>
    <x v="1"/>
    <n v="97"/>
    <n v="918"/>
    <n v="457"/>
    <n v="461"/>
    <n v="49.650349650349654"/>
    <n v="50.24975024975025"/>
    <n v="429"/>
    <n v="489"/>
    <n v="47.5"/>
    <n v="52.5"/>
    <n v="15.160130718954248"/>
    <n v="149"/>
    <n v="141"/>
    <n v="3.6375838926174495"/>
    <n v="3.387234042553191"/>
  </r>
  <r>
    <s v="EMP0084"/>
    <s v="John"/>
    <s v="Musa"/>
    <x v="1"/>
    <n v="38"/>
    <x v="4"/>
    <x v="1"/>
    <s v="2013-07-27"/>
    <n v="17"/>
    <n v="20"/>
    <n v="124028"/>
    <x v="3"/>
    <x v="0"/>
    <n v="68"/>
    <n v="917"/>
    <n v="456"/>
    <n v="461"/>
    <n v="49.650349650349654"/>
    <n v="50.24975024975025"/>
    <n v="429"/>
    <n v="488"/>
    <n v="47.5"/>
    <n v="52.5"/>
    <n v="15.162486368593239"/>
    <n v="149"/>
    <n v="141"/>
    <n v="3.6375838926174495"/>
    <n v="3.387234042553191"/>
  </r>
  <r>
    <s v="EMP0085"/>
    <s v="John"/>
    <s v="Williams"/>
    <x v="1"/>
    <n v="34"/>
    <x v="1"/>
    <x v="1"/>
    <s v="2012-10-02"/>
    <n v="12"/>
    <n v="14"/>
    <n v="261065"/>
    <x v="17"/>
    <x v="1"/>
    <n v="100"/>
    <n v="916"/>
    <n v="456"/>
    <n v="460"/>
    <n v="49.650349650349654"/>
    <n v="50.24975024975025"/>
    <n v="428"/>
    <n v="488"/>
    <n v="47.5"/>
    <n v="52.5"/>
    <n v="15.157205240174672"/>
    <n v="149"/>
    <n v="141"/>
    <n v="3.6375838926174495"/>
    <n v="3.387234042553191"/>
  </r>
  <r>
    <s v="EMP0086"/>
    <s v="Michael"/>
    <s v="Ibrahim"/>
    <x v="1"/>
    <n v="59"/>
    <x v="4"/>
    <x v="1"/>
    <s v="2012-03-16"/>
    <n v="17"/>
    <n v="21"/>
    <n v="486099"/>
    <x v="25"/>
    <x v="1"/>
    <n v="75"/>
    <n v="915"/>
    <n v="456"/>
    <n v="459"/>
    <n v="49.650349650349654"/>
    <n v="50.24975024975025"/>
    <n v="428"/>
    <n v="487"/>
    <n v="47.5"/>
    <n v="52.5"/>
    <n v="15.158469945355192"/>
    <n v="149"/>
    <n v="140"/>
    <n v="3.6375838926174495"/>
    <n v="3.379285714285714"/>
  </r>
  <r>
    <s v="EMP0087"/>
    <s v="Peter"/>
    <s v="Musa"/>
    <x v="1"/>
    <n v="31"/>
    <x v="6"/>
    <x v="6"/>
    <s v="2015-08-09"/>
    <n v="0"/>
    <n v="10"/>
    <n v="364886"/>
    <x v="19"/>
    <x v="1"/>
    <n v="75"/>
    <n v="914"/>
    <n v="456"/>
    <n v="458"/>
    <n v="49.650349650349654"/>
    <n v="50.24975024975025"/>
    <n v="428"/>
    <n v="486"/>
    <n v="47.5"/>
    <n v="52.5"/>
    <n v="15.152078774617069"/>
    <n v="149"/>
    <n v="140"/>
    <n v="3.6375838926174495"/>
    <n v="3.379285714285714"/>
  </r>
  <r>
    <s v="EMP0088"/>
    <s v="Peter"/>
    <s v="Ahmed"/>
    <x v="1"/>
    <n v="25"/>
    <x v="2"/>
    <x v="1"/>
    <s v="2014-12-13"/>
    <n v="11"/>
    <n v="14"/>
    <n v="313310"/>
    <x v="3"/>
    <x v="1"/>
    <n v="75"/>
    <n v="913"/>
    <n v="456"/>
    <n v="457"/>
    <n v="49.650349650349654"/>
    <n v="50.24975024975025"/>
    <n v="428"/>
    <n v="485"/>
    <n v="47.5"/>
    <n v="52.5"/>
    <n v="15.157721796276013"/>
    <n v="149"/>
    <n v="140"/>
    <n v="3.6375838926174495"/>
    <n v="3.379285714285714"/>
  </r>
  <r>
    <s v="EMP0089"/>
    <s v="Peter"/>
    <s v="Musa"/>
    <x v="1"/>
    <n v="39"/>
    <x v="0"/>
    <x v="0"/>
    <s v="2017-12-27"/>
    <n v="16"/>
    <n v="24"/>
    <n v="199525"/>
    <x v="8"/>
    <x v="1"/>
    <n v="83"/>
    <n v="912"/>
    <n v="456"/>
    <n v="456"/>
    <n v="49.650349650349654"/>
    <n v="50.24975024975025"/>
    <n v="428"/>
    <n v="484"/>
    <n v="47.5"/>
    <n v="52.5"/>
    <n v="15.158991228070175"/>
    <n v="149"/>
    <n v="140"/>
    <n v="3.6375838926174495"/>
    <n v="3.379285714285714"/>
  </r>
  <r>
    <s v="EMP0090"/>
    <s v="David"/>
    <s v="Okoro"/>
    <x v="0"/>
    <n v="23"/>
    <x v="4"/>
    <x v="6"/>
    <s v="2025-03-23"/>
    <n v="20"/>
    <n v="28"/>
    <n v="90266"/>
    <x v="2"/>
    <x v="0"/>
    <n v="67"/>
    <n v="911"/>
    <n v="456"/>
    <n v="455"/>
    <n v="49.650349650349654"/>
    <n v="50.24975024975025"/>
    <n v="428"/>
    <n v="483"/>
    <n v="47.5"/>
    <n v="52.5"/>
    <n v="15.149286498353458"/>
    <n v="149"/>
    <n v="140"/>
    <n v="3.6375838926174495"/>
    <n v="3.379285714285714"/>
  </r>
  <r>
    <s v="EMP0091"/>
    <s v="Michael"/>
    <s v="Smith"/>
    <x v="1"/>
    <n v="38"/>
    <x v="4"/>
    <x v="0"/>
    <s v="2024-06-09"/>
    <n v="19"/>
    <n v="26"/>
    <n v="385805"/>
    <x v="16"/>
    <x v="0"/>
    <n v="30"/>
    <n v="910"/>
    <n v="455"/>
    <n v="455"/>
    <n v="49.650349650349654"/>
    <n v="50.24975024975025"/>
    <n v="427"/>
    <n v="483"/>
    <n v="47.5"/>
    <n v="52.5"/>
    <n v="15.135164835164835"/>
    <n v="149"/>
    <n v="140"/>
    <n v="3.6375838926174495"/>
    <n v="3.379285714285714"/>
  </r>
  <r>
    <s v="EMP0092"/>
    <s v="Grace"/>
    <s v="Ahmed"/>
    <x v="0"/>
    <n v="60"/>
    <x v="5"/>
    <x v="5"/>
    <s v="2022-07-18"/>
    <n v="20"/>
    <n v="22"/>
    <n v="268925"/>
    <x v="11"/>
    <x v="1"/>
    <n v="82"/>
    <n v="909"/>
    <n v="455"/>
    <n v="454"/>
    <n v="49.650349650349654"/>
    <n v="50.24975024975025"/>
    <n v="426"/>
    <n v="483"/>
    <n v="47.5"/>
    <n v="52.5"/>
    <n v="15.123212321232122"/>
    <n v="149"/>
    <n v="140"/>
    <n v="3.6375838926174495"/>
    <n v="3.379285714285714"/>
  </r>
  <r>
    <s v="EMP0093"/>
    <s v="Mary"/>
    <s v="Ibrahim"/>
    <x v="0"/>
    <n v="52"/>
    <x v="2"/>
    <x v="1"/>
    <s v="2024-04-23"/>
    <n v="4"/>
    <n v="9"/>
    <n v="98609"/>
    <x v="1"/>
    <x v="0"/>
    <n v="63"/>
    <n v="908"/>
    <n v="454"/>
    <n v="454"/>
    <n v="49.650349650349654"/>
    <n v="50.24975024975025"/>
    <n v="426"/>
    <n v="482"/>
    <n v="47.5"/>
    <n v="52.5"/>
    <n v="15.115638766519824"/>
    <n v="148"/>
    <n v="140"/>
    <n v="3.6304054054054049"/>
    <n v="3.379285714285714"/>
  </r>
  <r>
    <s v="EMP0094"/>
    <s v="Mary"/>
    <s v="Johnson"/>
    <x v="0"/>
    <n v="60"/>
    <x v="1"/>
    <x v="2"/>
    <s v="2014-06-25"/>
    <n v="19"/>
    <n v="20"/>
    <n v="327080"/>
    <x v="12"/>
    <x v="1"/>
    <n v="77"/>
    <n v="907"/>
    <n v="453"/>
    <n v="454"/>
    <n v="49.650349650349654"/>
    <n v="50.24975024975025"/>
    <n v="425"/>
    <n v="482"/>
    <n v="47.5"/>
    <n v="52.5"/>
    <n v="15.122381477398015"/>
    <n v="148"/>
    <n v="140"/>
    <n v="3.6304054054054049"/>
    <n v="3.379285714285714"/>
  </r>
  <r>
    <s v="EMP0095"/>
    <s v="Hauwa"/>
    <s v="Jones"/>
    <x v="1"/>
    <n v="46"/>
    <x v="2"/>
    <x v="2"/>
    <s v="2024-01-07"/>
    <n v="3"/>
    <n v="11"/>
    <n v="322762"/>
    <x v="23"/>
    <x v="1"/>
    <n v="73"/>
    <n v="906"/>
    <n v="452"/>
    <n v="454"/>
    <n v="49.650349650349654"/>
    <n v="50.24975024975025"/>
    <n v="425"/>
    <n v="481"/>
    <n v="47.5"/>
    <n v="52.5"/>
    <n v="15.116997792494482"/>
    <n v="148"/>
    <n v="139"/>
    <n v="3.6304054054054049"/>
    <n v="3.3791366906474813"/>
  </r>
  <r>
    <s v="EMP0096"/>
    <s v="Michael"/>
    <s v="Brown"/>
    <x v="0"/>
    <n v="21"/>
    <x v="5"/>
    <x v="3"/>
    <s v="2012-09-23"/>
    <n v="5"/>
    <n v="13"/>
    <n v="194943"/>
    <x v="17"/>
    <x v="0"/>
    <n v="66"/>
    <n v="905"/>
    <n v="452"/>
    <n v="453"/>
    <n v="49.650349650349654"/>
    <n v="50.24975024975025"/>
    <n v="425"/>
    <n v="480"/>
    <n v="47.5"/>
    <n v="52.5"/>
    <n v="15.121546961325967"/>
    <n v="148"/>
    <n v="139"/>
    <n v="3.6304054054054049"/>
    <n v="3.3791366906474813"/>
  </r>
  <r>
    <s v="EMP0097"/>
    <s v="Hauwa"/>
    <s v="Okoro"/>
    <x v="1"/>
    <n v="32"/>
    <x v="0"/>
    <x v="8"/>
    <s v="2013-03-01"/>
    <n v="20"/>
    <n v="22"/>
    <n v="297786"/>
    <x v="11"/>
    <x v="1"/>
    <n v="90"/>
    <n v="904"/>
    <n v="451"/>
    <n v="453"/>
    <n v="49.650349650349654"/>
    <n v="50.24975024975025"/>
    <n v="424"/>
    <n v="480"/>
    <n v="47.5"/>
    <n v="52.5"/>
    <n v="15.123893805309734"/>
    <n v="147"/>
    <n v="139"/>
    <n v="3.6244897959183668"/>
    <n v="3.3791366906474813"/>
  </r>
  <r>
    <s v="EMP0098"/>
    <s v="Peter"/>
    <s v="Ibrahim"/>
    <x v="0"/>
    <n v="56"/>
    <x v="2"/>
    <x v="0"/>
    <s v="2017-05-25"/>
    <n v="12"/>
    <n v="20"/>
    <n v="268495"/>
    <x v="28"/>
    <x v="1"/>
    <n v="87"/>
    <n v="903"/>
    <n v="451"/>
    <n v="452"/>
    <n v="49.650349650349654"/>
    <n v="50.24975024975025"/>
    <n v="424"/>
    <n v="479"/>
    <n v="47.5"/>
    <n v="52.5"/>
    <n v="15.116279069767442"/>
    <n v="147"/>
    <n v="139"/>
    <n v="3.6244897959183668"/>
    <n v="3.3791366906474813"/>
  </r>
  <r>
    <s v="EMP0099"/>
    <s v="Daniel"/>
    <s v="Jones"/>
    <x v="0"/>
    <n v="52"/>
    <x v="1"/>
    <x v="6"/>
    <s v="2022-05-06"/>
    <n v="8"/>
    <n v="18"/>
    <n v="174766"/>
    <x v="25"/>
    <x v="0"/>
    <n v="50"/>
    <n v="902"/>
    <n v="450"/>
    <n v="452"/>
    <n v="49.650349650349654"/>
    <n v="50.24975024975025"/>
    <n v="424"/>
    <n v="478"/>
    <n v="47.5"/>
    <n v="52.5"/>
    <n v="15.110864745011087"/>
    <n v="147"/>
    <n v="139"/>
    <n v="3.6244897959183668"/>
    <n v="3.3791366906474813"/>
  </r>
  <r>
    <s v="EMP0100"/>
    <s v="Michael"/>
    <s v="Johnson"/>
    <x v="0"/>
    <n v="23"/>
    <x v="2"/>
    <x v="1"/>
    <s v="2014-08-26"/>
    <n v="18"/>
    <n v="26"/>
    <n v="169828"/>
    <x v="27"/>
    <x v="0"/>
    <n v="34"/>
    <n v="901"/>
    <n v="449"/>
    <n v="452"/>
    <n v="49.650349650349654"/>
    <n v="50.24975024975025"/>
    <n v="423"/>
    <n v="478"/>
    <n v="47.5"/>
    <n v="52.5"/>
    <n v="15.107658157602664"/>
    <n v="147"/>
    <n v="138"/>
    <n v="3.6244897959183668"/>
    <n v="3.3746376811594199"/>
  </r>
  <r>
    <s v="EMP0101"/>
    <s v="Sarah"/>
    <s v="Williams"/>
    <x v="1"/>
    <n v="49"/>
    <x v="3"/>
    <x v="0"/>
    <s v="2018-03-05"/>
    <n v="8"/>
    <n v="10"/>
    <n v="448239"/>
    <x v="23"/>
    <x v="0"/>
    <n v="62"/>
    <n v="900"/>
    <n v="448"/>
    <n v="452"/>
    <n v="49.650349650349654"/>
    <n v="50.24975024975025"/>
    <n v="422"/>
    <n v="478"/>
    <n v="47.5"/>
    <n v="52.5"/>
    <n v="15.095555555555556"/>
    <n v="147"/>
    <n v="138"/>
    <n v="3.6244897959183668"/>
    <n v="3.3746376811594199"/>
  </r>
  <r>
    <s v="EMP0102"/>
    <s v="Sarah"/>
    <s v="Johnson"/>
    <x v="1"/>
    <n v="33"/>
    <x v="3"/>
    <x v="6"/>
    <s v="2024-07-17"/>
    <n v="10"/>
    <n v="13"/>
    <n v="452076"/>
    <x v="2"/>
    <x v="0"/>
    <n v="49"/>
    <n v="899"/>
    <n v="448"/>
    <n v="451"/>
    <n v="49.650349650349654"/>
    <n v="50.24975024975025"/>
    <n v="421"/>
    <n v="478"/>
    <n v="47.5"/>
    <n v="52.5"/>
    <n v="15.101223581757509"/>
    <n v="147"/>
    <n v="138"/>
    <n v="3.6244897959183668"/>
    <n v="3.3746376811594199"/>
  </r>
  <r>
    <s v="EMP0103"/>
    <s v="Sarah"/>
    <s v="Jones"/>
    <x v="1"/>
    <n v="23"/>
    <x v="5"/>
    <x v="8"/>
    <s v="2013-06-13"/>
    <n v="12"/>
    <n v="14"/>
    <n v="239767"/>
    <x v="26"/>
    <x v="1"/>
    <n v="98"/>
    <n v="898"/>
    <n v="448"/>
    <n v="450"/>
    <n v="49.650349650349654"/>
    <n v="50.24975024975025"/>
    <n v="420"/>
    <n v="478"/>
    <n v="47.5"/>
    <n v="52.5"/>
    <n v="15.103563474387528"/>
    <n v="147"/>
    <n v="138"/>
    <n v="3.6244897959183668"/>
    <n v="3.3746376811594199"/>
  </r>
  <r>
    <s v="EMP0104"/>
    <s v="Daniel"/>
    <s v="Okoro"/>
    <x v="0"/>
    <n v="23"/>
    <x v="3"/>
    <x v="0"/>
    <s v="2022-08-23"/>
    <n v="2"/>
    <n v="2"/>
    <n v="214708"/>
    <x v="5"/>
    <x v="1"/>
    <n v="87"/>
    <n v="897"/>
    <n v="448"/>
    <n v="449"/>
    <n v="49.650349650349654"/>
    <n v="50.24975024975025"/>
    <n v="420"/>
    <n v="477"/>
    <n v="47.5"/>
    <n v="52.5"/>
    <n v="15.10479375696767"/>
    <n v="146"/>
    <n v="138"/>
    <n v="3.6205479452054794"/>
    <n v="3.3746376811594199"/>
  </r>
  <r>
    <s v="EMP0105"/>
    <s v="Michael"/>
    <s v="Johnson"/>
    <x v="0"/>
    <n v="60"/>
    <x v="1"/>
    <x v="0"/>
    <s v="2020-12-01"/>
    <n v="0"/>
    <n v="2"/>
    <n v="139046"/>
    <x v="2"/>
    <x v="1"/>
    <n v="73"/>
    <n v="896"/>
    <n v="447"/>
    <n v="449"/>
    <n v="49.650349650349654"/>
    <n v="50.24975024975025"/>
    <n v="420"/>
    <n v="476"/>
    <n v="47.5"/>
    <n v="52.5"/>
    <n v="15.119419642857142"/>
    <n v="146"/>
    <n v="138"/>
    <n v="3.6205479452054794"/>
    <n v="3.3746376811594199"/>
  </r>
  <r>
    <s v="EMP0106"/>
    <s v="Grace"/>
    <s v="Garba"/>
    <x v="1"/>
    <n v="24"/>
    <x v="3"/>
    <x v="1"/>
    <s v="2017-02-20"/>
    <n v="2"/>
    <n v="4"/>
    <n v="433508"/>
    <x v="20"/>
    <x v="0"/>
    <n v="63"/>
    <n v="895"/>
    <n v="446"/>
    <n v="449"/>
    <n v="49.650349650349654"/>
    <n v="50.24975024975025"/>
    <n v="420"/>
    <n v="475"/>
    <n v="47.5"/>
    <n v="52.5"/>
    <n v="15.134078212290502"/>
    <n v="146"/>
    <n v="137"/>
    <n v="3.6205479452054794"/>
    <n v="3.3722627737226274"/>
  </r>
  <r>
    <s v="EMP0107"/>
    <s v="Mary"/>
    <s v="Okoro"/>
    <x v="1"/>
    <n v="23"/>
    <x v="3"/>
    <x v="9"/>
    <s v="2018-07-23"/>
    <n v="16"/>
    <n v="25"/>
    <n v="74469"/>
    <x v="5"/>
    <x v="0"/>
    <n v="41"/>
    <n v="894"/>
    <n v="446"/>
    <n v="448"/>
    <n v="49.650349650349654"/>
    <n v="50.24975024975025"/>
    <n v="419"/>
    <n v="475"/>
    <n v="47.5"/>
    <n v="52.5"/>
    <n v="15.146532438478747"/>
    <n v="146"/>
    <n v="137"/>
    <n v="3.6205479452054794"/>
    <n v="3.3722627737226274"/>
  </r>
  <r>
    <s v="EMP0108"/>
    <s v="Fatima"/>
    <s v="Smith"/>
    <x v="1"/>
    <n v="56"/>
    <x v="5"/>
    <x v="5"/>
    <s v="2017-06-14"/>
    <n v="4"/>
    <n v="8"/>
    <n v="343107"/>
    <x v="7"/>
    <x v="1"/>
    <n v="91"/>
    <n v="893"/>
    <n v="446"/>
    <n v="447"/>
    <n v="49.650349650349654"/>
    <n v="50.24975024975025"/>
    <n v="418"/>
    <n v="475"/>
    <n v="47.5"/>
    <n v="52.5"/>
    <n v="15.135498320268757"/>
    <n v="146"/>
    <n v="137"/>
    <n v="3.6205479452054794"/>
    <n v="3.3722627737226274"/>
  </r>
  <r>
    <s v="EMP0109"/>
    <s v="Daniel"/>
    <s v="Williams"/>
    <x v="1"/>
    <n v="35"/>
    <x v="0"/>
    <x v="4"/>
    <s v="2016-02-29"/>
    <n v="19"/>
    <n v="28"/>
    <n v="322139"/>
    <x v="23"/>
    <x v="1"/>
    <n v="79"/>
    <n v="892"/>
    <n v="446"/>
    <n v="446"/>
    <n v="49.650349650349654"/>
    <n v="50.24975024975025"/>
    <n v="418"/>
    <n v="474"/>
    <n v="47.5"/>
    <n v="52.5"/>
    <n v="15.143497757847534"/>
    <n v="145"/>
    <n v="137"/>
    <n v="3.623448275862069"/>
    <n v="3.3722627737226274"/>
  </r>
  <r>
    <s v="EMP0110"/>
    <s v="David"/>
    <s v="Ahmed"/>
    <x v="0"/>
    <n v="31"/>
    <x v="1"/>
    <x v="0"/>
    <s v="2022-05-29"/>
    <n v="3"/>
    <n v="9"/>
    <n v="314669"/>
    <x v="23"/>
    <x v="1"/>
    <n v="87"/>
    <n v="891"/>
    <n v="446"/>
    <n v="445"/>
    <n v="49.650349650349654"/>
    <n v="50.24975024975025"/>
    <n v="418"/>
    <n v="473"/>
    <n v="47.5"/>
    <n v="52.5"/>
    <n v="15.129068462401795"/>
    <n v="145"/>
    <n v="137"/>
    <n v="3.623448275862069"/>
    <n v="3.3722627737226274"/>
  </r>
  <r>
    <s v="EMP0111"/>
    <s v="John"/>
    <s v="Johnson"/>
    <x v="0"/>
    <n v="46"/>
    <x v="5"/>
    <x v="1"/>
    <s v="2012-06-28"/>
    <n v="11"/>
    <n v="18"/>
    <n v="282370"/>
    <x v="5"/>
    <x v="1"/>
    <n v="88"/>
    <n v="890"/>
    <n v="445"/>
    <n v="445"/>
    <n v="49.650349650349654"/>
    <n v="50.24975024975025"/>
    <n v="418"/>
    <n v="472"/>
    <n v="47.5"/>
    <n v="52.5"/>
    <n v="15.135955056179775"/>
    <n v="145"/>
    <n v="136"/>
    <n v="3.623448275862069"/>
    <n v="3.3617647058823525"/>
  </r>
  <r>
    <s v="EMP0112"/>
    <s v="James"/>
    <s v="Garba"/>
    <x v="1"/>
    <n v="55"/>
    <x v="5"/>
    <x v="9"/>
    <s v="2014-07-03"/>
    <n v="20"/>
    <n v="27"/>
    <n v="100801"/>
    <x v="0"/>
    <x v="1"/>
    <n v="84"/>
    <n v="889"/>
    <n v="444"/>
    <n v="445"/>
    <n v="49.650349650349654"/>
    <n v="50.24975024975025"/>
    <n v="418"/>
    <n v="471"/>
    <n v="47.5"/>
    <n v="52.5"/>
    <n v="15.13273340832396"/>
    <n v="144"/>
    <n v="136"/>
    <n v="3.6145833333333335"/>
    <n v="3.3617647058823525"/>
  </r>
  <r>
    <s v="EMP0113"/>
    <s v="Hauwa"/>
    <s v="Garba"/>
    <x v="0"/>
    <n v="48"/>
    <x v="1"/>
    <x v="0"/>
    <s v="2023-05-05"/>
    <n v="8"/>
    <n v="10"/>
    <n v="395431"/>
    <x v="15"/>
    <x v="1"/>
    <n v="89"/>
    <n v="888"/>
    <n v="444"/>
    <n v="444"/>
    <n v="49.650349650349654"/>
    <n v="50.24975024975025"/>
    <n v="418"/>
    <n v="470"/>
    <n v="47.5"/>
    <n v="52.5"/>
    <n v="15.11936936936937"/>
    <n v="143"/>
    <n v="136"/>
    <n v="3.6209790209790214"/>
    <n v="3.3617647058823525"/>
  </r>
  <r>
    <s v="EMP0114"/>
    <s v="David"/>
    <s v="Jones"/>
    <x v="0"/>
    <n v="56"/>
    <x v="4"/>
    <x v="2"/>
    <s v="2023-03-13"/>
    <n v="0"/>
    <n v="10"/>
    <n v="72629"/>
    <x v="24"/>
    <x v="1"/>
    <n v="93"/>
    <n v="887"/>
    <n v="443"/>
    <n v="444"/>
    <n v="49.650349650349654"/>
    <n v="50.24975024975025"/>
    <n v="418"/>
    <n v="469"/>
    <n v="47.5"/>
    <n v="52.5"/>
    <n v="15.125140924464487"/>
    <n v="143"/>
    <n v="135"/>
    <n v="3.6209790209790214"/>
    <n v="3.3607407407407397"/>
  </r>
  <r>
    <s v="EMP0115"/>
    <s v="Sarah"/>
    <s v="Okoro"/>
    <x v="1"/>
    <n v="60"/>
    <x v="6"/>
    <x v="8"/>
    <s v="2016-09-12"/>
    <n v="5"/>
    <n v="5"/>
    <n v="407326"/>
    <x v="28"/>
    <x v="1"/>
    <n v="79"/>
    <n v="886"/>
    <n v="442"/>
    <n v="444"/>
    <n v="49.650349650349654"/>
    <n v="50.24975024975025"/>
    <n v="418"/>
    <n v="468"/>
    <n v="47.5"/>
    <n v="52.5"/>
    <n v="15.130925507900677"/>
    <n v="143"/>
    <n v="135"/>
    <n v="3.6209790209790214"/>
    <n v="3.3607407407407397"/>
  </r>
  <r>
    <s v="EMP0116"/>
    <s v="Amina"/>
    <s v="Williams"/>
    <x v="1"/>
    <n v="58"/>
    <x v="0"/>
    <x v="6"/>
    <s v="2022-07-07"/>
    <n v="17"/>
    <n v="21"/>
    <n v="60301"/>
    <x v="22"/>
    <x v="0"/>
    <n v="40"/>
    <n v="885"/>
    <n v="442"/>
    <n v="443"/>
    <n v="49.650349650349654"/>
    <n v="50.24975024975025"/>
    <n v="418"/>
    <n v="467"/>
    <n v="47.5"/>
    <n v="52.5"/>
    <n v="15.142372881355932"/>
    <n v="143"/>
    <n v="135"/>
    <n v="3.6209790209790214"/>
    <n v="3.3607407407407397"/>
  </r>
  <r>
    <s v="EMP0117"/>
    <s v="James"/>
    <s v="Williams"/>
    <x v="1"/>
    <n v="24"/>
    <x v="2"/>
    <x v="9"/>
    <s v="2019-07-22"/>
    <n v="9"/>
    <n v="10"/>
    <n v="173529"/>
    <x v="0"/>
    <x v="1"/>
    <n v="73"/>
    <n v="884"/>
    <n v="442"/>
    <n v="442"/>
    <n v="49.650349650349654"/>
    <n v="50.24975024975025"/>
    <n v="417"/>
    <n v="467"/>
    <n v="47.5"/>
    <n v="52.5"/>
    <n v="15.135746606334841"/>
    <n v="143"/>
    <n v="135"/>
    <n v="3.6209790209790214"/>
    <n v="3.3607407407407397"/>
  </r>
  <r>
    <s v="EMP0118"/>
    <s v="Grace"/>
    <s v="Musa"/>
    <x v="1"/>
    <n v="56"/>
    <x v="4"/>
    <x v="5"/>
    <s v="2017-06-21"/>
    <n v="4"/>
    <n v="14"/>
    <n v="324161"/>
    <x v="7"/>
    <x v="1"/>
    <n v="100"/>
    <n v="883"/>
    <n v="442"/>
    <n v="441"/>
    <n v="49.650349650349654"/>
    <n v="50.24975024975025"/>
    <n v="417"/>
    <n v="466"/>
    <n v="47.5"/>
    <n v="52.5"/>
    <n v="15.141562853907136"/>
    <n v="143"/>
    <n v="135"/>
    <n v="3.6209790209790214"/>
    <n v="3.3607407407407397"/>
  </r>
  <r>
    <s v="EMP0119"/>
    <s v="Mary"/>
    <s v="Ahmed"/>
    <x v="1"/>
    <n v="48"/>
    <x v="1"/>
    <x v="7"/>
    <s v="2018-04-23"/>
    <n v="12"/>
    <n v="14"/>
    <n v="410033"/>
    <x v="27"/>
    <x v="1"/>
    <n v="83"/>
    <n v="882"/>
    <n v="442"/>
    <n v="440"/>
    <n v="49.650349650349654"/>
    <n v="50.24975024975025"/>
    <n v="417"/>
    <n v="465"/>
    <n v="47.5"/>
    <n v="52.5"/>
    <n v="15.142857142857142"/>
    <n v="143"/>
    <n v="135"/>
    <n v="3.6209790209790214"/>
    <n v="3.3607407407407397"/>
  </r>
  <r>
    <s v="EMP0120"/>
    <s v="Mary"/>
    <s v="Musa"/>
    <x v="1"/>
    <n v="34"/>
    <x v="1"/>
    <x v="3"/>
    <s v="2024-08-11"/>
    <n v="5"/>
    <n v="11"/>
    <n v="126058"/>
    <x v="26"/>
    <x v="0"/>
    <n v="69"/>
    <n v="881"/>
    <n v="442"/>
    <n v="439"/>
    <n v="49.650349650349654"/>
    <n v="50.24975024975025"/>
    <n v="417"/>
    <n v="464"/>
    <n v="47.5"/>
    <n v="52.5"/>
    <n v="15.144154370034052"/>
    <n v="143"/>
    <n v="134"/>
    <n v="3.6209790209790214"/>
    <n v="3.364179104477611"/>
  </r>
  <r>
    <s v="EMP0121"/>
    <s v="Hauwa"/>
    <s v="Ahmed"/>
    <x v="0"/>
    <n v="28"/>
    <x v="6"/>
    <x v="1"/>
    <s v="2023-03-07"/>
    <n v="5"/>
    <n v="8"/>
    <n v="280540"/>
    <x v="21"/>
    <x v="0"/>
    <n v="46"/>
    <n v="880"/>
    <n v="442"/>
    <n v="438"/>
    <n v="49.650349650349654"/>
    <n v="50.24975024975025"/>
    <n v="416"/>
    <n v="464"/>
    <n v="47.5"/>
    <n v="52.5"/>
    <n v="15.148863636363636"/>
    <n v="143"/>
    <n v="133"/>
    <n v="3.6209790209790214"/>
    <n v="3.3578947368421046"/>
  </r>
  <r>
    <s v="EMP0122"/>
    <s v="Daniel"/>
    <s v="Garba"/>
    <x v="1"/>
    <n v="22"/>
    <x v="4"/>
    <x v="7"/>
    <s v="2024-12-09"/>
    <n v="10"/>
    <n v="16"/>
    <n v="122324"/>
    <x v="2"/>
    <x v="0"/>
    <n v="67"/>
    <n v="879"/>
    <n v="441"/>
    <n v="438"/>
    <n v="49.650349650349654"/>
    <n v="50.24975024975025"/>
    <n v="415"/>
    <n v="464"/>
    <n v="47.5"/>
    <n v="52.5"/>
    <n v="15.156996587030717"/>
    <n v="143"/>
    <n v="133"/>
    <n v="3.6209790209790214"/>
    <n v="3.3578947368421046"/>
  </r>
  <r>
    <s v="EMP0123"/>
    <s v="Grace"/>
    <s v="Jones"/>
    <x v="0"/>
    <n v="28"/>
    <x v="4"/>
    <x v="1"/>
    <s v="2016-09-08"/>
    <n v="2"/>
    <n v="7"/>
    <n v="473741"/>
    <x v="13"/>
    <x v="1"/>
    <n v="79"/>
    <n v="878"/>
    <n v="441"/>
    <n v="437"/>
    <n v="49.650349650349654"/>
    <n v="50.24975024975025"/>
    <n v="414"/>
    <n v="464"/>
    <n v="47.5"/>
    <n v="52.5"/>
    <n v="15.156036446469248"/>
    <n v="143"/>
    <n v="133"/>
    <n v="3.6209790209790214"/>
    <n v="3.3578947368421046"/>
  </r>
  <r>
    <s v="EMP0124"/>
    <s v="Amina"/>
    <s v="Jones"/>
    <x v="1"/>
    <n v="43"/>
    <x v="1"/>
    <x v="7"/>
    <s v="2016-08-13"/>
    <n v="6"/>
    <n v="12"/>
    <n v="77723"/>
    <x v="28"/>
    <x v="1"/>
    <n v="73"/>
    <n v="877"/>
    <n v="440"/>
    <n v="437"/>
    <n v="49.650349650349654"/>
    <n v="50.24975024975025"/>
    <n v="414"/>
    <n v="463"/>
    <n v="47.5"/>
    <n v="52.5"/>
    <n v="15.16533637400228"/>
    <n v="143"/>
    <n v="133"/>
    <n v="3.6209790209790214"/>
    <n v="3.3578947368421046"/>
  </r>
  <r>
    <s v="EMP0125"/>
    <s v="Mary"/>
    <s v="Ahmed"/>
    <x v="0"/>
    <n v="46"/>
    <x v="4"/>
    <x v="4"/>
    <s v="2021-08-04"/>
    <n v="8"/>
    <n v="14"/>
    <n v="406545"/>
    <x v="11"/>
    <x v="0"/>
    <n v="54"/>
    <n v="876"/>
    <n v="440"/>
    <n v="436"/>
    <n v="49.650349650349654"/>
    <n v="50.24975024975025"/>
    <n v="414"/>
    <n v="462"/>
    <n v="47.5"/>
    <n v="52.5"/>
    <n v="15.168949771689498"/>
    <n v="143"/>
    <n v="132"/>
    <n v="3.6209790209790214"/>
    <n v="3.3507575757575752"/>
  </r>
  <r>
    <s v="EMP0126"/>
    <s v="Fatima"/>
    <s v="Johnson"/>
    <x v="1"/>
    <n v="43"/>
    <x v="4"/>
    <x v="8"/>
    <s v="2015-03-19"/>
    <n v="9"/>
    <n v="16"/>
    <n v="440473"/>
    <x v="27"/>
    <x v="1"/>
    <n v="87"/>
    <n v="875"/>
    <n v="439"/>
    <n v="436"/>
    <n v="49.650349650349654"/>
    <n v="50.24975024975025"/>
    <n v="413"/>
    <n v="462"/>
    <n v="47.5"/>
    <n v="52.5"/>
    <n v="15.170285714285715"/>
    <n v="143"/>
    <n v="132"/>
    <n v="3.6209790209790214"/>
    <n v="3.3507575757575752"/>
  </r>
  <r>
    <s v="EMP0127"/>
    <s v="Amina"/>
    <s v="Jones"/>
    <x v="0"/>
    <n v="44"/>
    <x v="3"/>
    <x v="9"/>
    <s v="2024-09-13"/>
    <n v="5"/>
    <n v="5"/>
    <n v="174361"/>
    <x v="29"/>
    <x v="0"/>
    <n v="48"/>
    <n v="874"/>
    <n v="439"/>
    <n v="435"/>
    <n v="49.650349650349654"/>
    <n v="50.24975024975025"/>
    <n v="413"/>
    <n v="461"/>
    <n v="47.5"/>
    <n v="52.5"/>
    <n v="15.16933638443936"/>
    <n v="143"/>
    <n v="132"/>
    <n v="3.6209790209790214"/>
    <n v="3.3507575757575752"/>
  </r>
  <r>
    <s v="EMP0128"/>
    <s v="John"/>
    <s v="Smith"/>
    <x v="1"/>
    <n v="27"/>
    <x v="2"/>
    <x v="9"/>
    <s v="2017-04-30"/>
    <n v="5"/>
    <n v="15"/>
    <n v="257300"/>
    <x v="0"/>
    <x v="0"/>
    <n v="49"/>
    <n v="873"/>
    <n v="438"/>
    <n v="435"/>
    <n v="49.650349650349654"/>
    <n v="50.24975024975025"/>
    <n v="412"/>
    <n v="461"/>
    <n v="47.5"/>
    <n v="52.5"/>
    <n v="15.18098510882016"/>
    <n v="143"/>
    <n v="132"/>
    <n v="3.6209790209790214"/>
    <n v="3.3507575757575752"/>
  </r>
  <r>
    <s v="EMP0129"/>
    <s v="Michael"/>
    <s v="Williams"/>
    <x v="0"/>
    <n v="39"/>
    <x v="1"/>
    <x v="3"/>
    <s v="2012-06-11"/>
    <n v="17"/>
    <n v="23"/>
    <n v="134971"/>
    <x v="15"/>
    <x v="0"/>
    <n v="65"/>
    <n v="872"/>
    <n v="438"/>
    <n v="434"/>
    <n v="49.650349650349654"/>
    <n v="50.24975024975025"/>
    <n v="411"/>
    <n v="461"/>
    <n v="47.5"/>
    <n v="52.5"/>
    <n v="15.181192660550458"/>
    <n v="143"/>
    <n v="132"/>
    <n v="3.6209790209790214"/>
    <n v="3.3507575757575752"/>
  </r>
  <r>
    <s v="EMP0130"/>
    <s v="Mary"/>
    <s v="Williams"/>
    <x v="0"/>
    <n v="32"/>
    <x v="2"/>
    <x v="0"/>
    <s v="2025-05-04"/>
    <n v="6"/>
    <n v="8"/>
    <n v="370785"/>
    <x v="2"/>
    <x v="1"/>
    <n v="92"/>
    <n v="871"/>
    <n v="437"/>
    <n v="434"/>
    <n v="49.650349650349654"/>
    <n v="50.24975024975025"/>
    <n v="410"/>
    <n v="461"/>
    <n v="47.5"/>
    <n v="52.5"/>
    <n v="15.172215843857636"/>
    <n v="143"/>
    <n v="131"/>
    <n v="3.6209790209790214"/>
    <n v="3.3496183206106864"/>
  </r>
  <r>
    <s v="EMP0131"/>
    <s v="Amina"/>
    <s v="Jones"/>
    <x v="0"/>
    <n v="23"/>
    <x v="6"/>
    <x v="4"/>
    <s v="2017-03-29"/>
    <n v="0"/>
    <n v="2"/>
    <n v="248799"/>
    <x v="10"/>
    <x v="1"/>
    <n v="72"/>
    <n v="870"/>
    <n v="436"/>
    <n v="434"/>
    <n v="49.650349650349654"/>
    <n v="50.24975024975025"/>
    <n v="410"/>
    <n v="460"/>
    <n v="47.5"/>
    <n v="52.5"/>
    <n v="15.180459770114943"/>
    <n v="143"/>
    <n v="131"/>
    <n v="3.6209790209790214"/>
    <n v="3.3496183206106864"/>
  </r>
  <r>
    <s v="EMP0132"/>
    <s v="John"/>
    <s v="Brown"/>
    <x v="0"/>
    <n v="60"/>
    <x v="1"/>
    <x v="9"/>
    <s v="2016-06-15"/>
    <n v="11"/>
    <n v="12"/>
    <n v="356582"/>
    <x v="3"/>
    <x v="1"/>
    <n v="90"/>
    <n v="869"/>
    <n v="435"/>
    <n v="434"/>
    <n v="49.650349650349654"/>
    <n v="50.24975024975025"/>
    <n v="410"/>
    <n v="459"/>
    <n v="47.5"/>
    <n v="52.5"/>
    <n v="15.195627157652474"/>
    <n v="143"/>
    <n v="131"/>
    <n v="3.6209790209790214"/>
    <n v="3.3496183206106864"/>
  </r>
  <r>
    <s v="EMP0133"/>
    <s v="Hauwa"/>
    <s v="Okoro"/>
    <x v="1"/>
    <n v="32"/>
    <x v="3"/>
    <x v="9"/>
    <s v="2012-12-17"/>
    <n v="2"/>
    <n v="6"/>
    <n v="287978"/>
    <x v="26"/>
    <x v="1"/>
    <n v="96"/>
    <n v="868"/>
    <n v="434"/>
    <n v="434"/>
    <n v="49.650349650349654"/>
    <n v="50.24975024975025"/>
    <n v="410"/>
    <n v="458"/>
    <n v="47.5"/>
    <n v="52.5"/>
    <n v="15.199308755760368"/>
    <n v="143"/>
    <n v="130"/>
    <n v="3.6209790209790214"/>
    <n v="3.3561538461538452"/>
  </r>
  <r>
    <s v="EMP0134"/>
    <s v="Fatima"/>
    <s v="Ahmed"/>
    <x v="0"/>
    <n v="38"/>
    <x v="5"/>
    <x v="4"/>
    <s v="2015-07-15"/>
    <n v="1"/>
    <n v="4"/>
    <n v="487746"/>
    <x v="11"/>
    <x v="0"/>
    <n v="70"/>
    <n v="867"/>
    <n v="434"/>
    <n v="433"/>
    <n v="49.650349650349654"/>
    <n v="50.24975024975025"/>
    <n v="410"/>
    <n v="457"/>
    <n v="47.5"/>
    <n v="52.5"/>
    <n v="15.209919261822376"/>
    <n v="143"/>
    <n v="130"/>
    <n v="3.6209790209790214"/>
    <n v="3.3561538461538452"/>
  </r>
  <r>
    <s v="EMP0135"/>
    <s v="Daniel"/>
    <s v="Ibrahim"/>
    <x v="0"/>
    <n v="44"/>
    <x v="4"/>
    <x v="2"/>
    <s v="2013-01-31"/>
    <n v="7"/>
    <n v="9"/>
    <n v="87553"/>
    <x v="9"/>
    <x v="1"/>
    <n v="91"/>
    <n v="866"/>
    <n v="433"/>
    <n v="433"/>
    <n v="49.650349650349654"/>
    <n v="50.24975024975025"/>
    <n v="409"/>
    <n v="457"/>
    <n v="47.5"/>
    <n v="52.5"/>
    <n v="15.222863741339491"/>
    <n v="142"/>
    <n v="130"/>
    <n v="3.6133802816901408"/>
    <n v="3.3561538461538452"/>
  </r>
  <r>
    <s v="EMP0136"/>
    <s v="Daniel"/>
    <s v="Garba"/>
    <x v="1"/>
    <n v="37"/>
    <x v="0"/>
    <x v="6"/>
    <s v="2022-01-31"/>
    <n v="6"/>
    <n v="7"/>
    <n v="65399"/>
    <x v="30"/>
    <x v="0"/>
    <n v="43"/>
    <n v="865"/>
    <n v="432"/>
    <n v="433"/>
    <n v="49.650349650349654"/>
    <n v="50.24975024975025"/>
    <n v="409"/>
    <n v="456"/>
    <n v="47.5"/>
    <n v="52.5"/>
    <n v="15.230057803468208"/>
    <n v="142"/>
    <n v="130"/>
    <n v="3.6133802816901408"/>
    <n v="3.3561538461538452"/>
  </r>
  <r>
    <s v="EMP0137"/>
    <s v="Mary"/>
    <s v="Jones"/>
    <x v="1"/>
    <n v="33"/>
    <x v="2"/>
    <x v="2"/>
    <s v="2021-03-09"/>
    <n v="3"/>
    <n v="10"/>
    <n v="286873"/>
    <x v="20"/>
    <x v="1"/>
    <n v="93"/>
    <n v="864"/>
    <n v="432"/>
    <n v="432"/>
    <n v="49.650349650349654"/>
    <n v="50.24975024975025"/>
    <n v="408"/>
    <n v="456"/>
    <n v="47.5"/>
    <n v="52.5"/>
    <n v="15.239583333333334"/>
    <n v="142"/>
    <n v="130"/>
    <n v="3.6133802816901408"/>
    <n v="3.3561538461538452"/>
  </r>
  <r>
    <s v="EMP0138"/>
    <s v="Sarah"/>
    <s v="Brown"/>
    <x v="1"/>
    <n v="58"/>
    <x v="3"/>
    <x v="5"/>
    <s v="2023-11-18"/>
    <n v="9"/>
    <n v="13"/>
    <n v="274637"/>
    <x v="24"/>
    <x v="1"/>
    <n v="75"/>
    <n v="863"/>
    <n v="432"/>
    <n v="431"/>
    <n v="49.650349650349654"/>
    <n v="50.24975024975025"/>
    <n v="408"/>
    <n v="455"/>
    <n v="47.5"/>
    <n v="52.5"/>
    <n v="15.245654692931634"/>
    <n v="142"/>
    <n v="130"/>
    <n v="3.6133802816901408"/>
    <n v="3.3561538461538452"/>
  </r>
  <r>
    <s v="EMP0139"/>
    <s v="Hauwa"/>
    <s v="Garba"/>
    <x v="0"/>
    <n v="41"/>
    <x v="1"/>
    <x v="4"/>
    <s v="2013-08-20"/>
    <n v="13"/>
    <n v="23"/>
    <n v="83181"/>
    <x v="1"/>
    <x v="0"/>
    <n v="61"/>
    <n v="862"/>
    <n v="432"/>
    <n v="430"/>
    <n v="49.650349650349654"/>
    <n v="50.24975024975025"/>
    <n v="408"/>
    <n v="454"/>
    <n v="47.5"/>
    <n v="52.5"/>
    <n v="15.248259860788863"/>
    <n v="142"/>
    <n v="130"/>
    <n v="3.6133802816901408"/>
    <n v="3.3561538461538452"/>
  </r>
  <r>
    <s v="EMP0140"/>
    <s v="Amina"/>
    <s v="Jones"/>
    <x v="0"/>
    <n v="32"/>
    <x v="3"/>
    <x v="2"/>
    <s v="2021-07-14"/>
    <n v="9"/>
    <n v="12"/>
    <n v="259328"/>
    <x v="24"/>
    <x v="1"/>
    <n v="84"/>
    <n v="861"/>
    <n v="431"/>
    <n v="430"/>
    <n v="49.650349650349654"/>
    <n v="50.24975024975025"/>
    <n v="407"/>
    <n v="454"/>
    <n v="47.5"/>
    <n v="52.5"/>
    <n v="15.239256678281068"/>
    <n v="142"/>
    <n v="129"/>
    <n v="3.6133802816901408"/>
    <n v="3.3651162790697668"/>
  </r>
  <r>
    <s v="EMP0141"/>
    <s v="Sarah"/>
    <s v="Williams"/>
    <x v="0"/>
    <n v="53"/>
    <x v="2"/>
    <x v="7"/>
    <s v="2024-05-05"/>
    <n v="8"/>
    <n v="9"/>
    <n v="293565"/>
    <x v="2"/>
    <x v="0"/>
    <n v="51"/>
    <n v="860"/>
    <n v="430"/>
    <n v="430"/>
    <n v="49.650349650349654"/>
    <n v="50.24975024975025"/>
    <n v="407"/>
    <n v="453"/>
    <n v="47.5"/>
    <n v="52.5"/>
    <n v="15.243023255813954"/>
    <n v="142"/>
    <n v="129"/>
    <n v="3.6133802816901408"/>
    <n v="3.3651162790697668"/>
  </r>
  <r>
    <s v="EMP0142"/>
    <s v="Peter"/>
    <s v="Jones"/>
    <x v="0"/>
    <n v="21"/>
    <x v="1"/>
    <x v="9"/>
    <s v="2018-06-05"/>
    <n v="9"/>
    <n v="17"/>
    <n v="185261"/>
    <x v="13"/>
    <x v="1"/>
    <n v="100"/>
    <n v="859"/>
    <n v="429"/>
    <n v="430"/>
    <n v="49.650349650349654"/>
    <n v="50.24975024975025"/>
    <n v="406"/>
    <n v="453"/>
    <n v="47.5"/>
    <n v="52.5"/>
    <n v="15.250291036088475"/>
    <n v="142"/>
    <n v="129"/>
    <n v="3.6133802816901408"/>
    <n v="3.3651162790697668"/>
  </r>
  <r>
    <s v="EMP0143"/>
    <s v="Fatima"/>
    <s v="Jones"/>
    <x v="0"/>
    <n v="56"/>
    <x v="5"/>
    <x v="1"/>
    <s v="2012-10-10"/>
    <n v="11"/>
    <n v="13"/>
    <n v="175804"/>
    <x v="6"/>
    <x v="0"/>
    <n v="50"/>
    <n v="858"/>
    <n v="428"/>
    <n v="430"/>
    <n v="49.650349650349654"/>
    <n v="50.24975024975025"/>
    <n v="406"/>
    <n v="452"/>
    <n v="47.5"/>
    <n v="52.5"/>
    <n v="15.248251748251748"/>
    <n v="142"/>
    <n v="128"/>
    <n v="3.6133802816901408"/>
    <n v="3.3757812499999993"/>
  </r>
  <r>
    <s v="EMP0144"/>
    <s v="James"/>
    <s v="Brown"/>
    <x v="1"/>
    <n v="52"/>
    <x v="6"/>
    <x v="1"/>
    <s v="2017-02-12"/>
    <n v="7"/>
    <n v="16"/>
    <n v="356182"/>
    <x v="15"/>
    <x v="0"/>
    <n v="67"/>
    <n v="857"/>
    <n v="427"/>
    <n v="430"/>
    <n v="49.650349650349654"/>
    <n v="50.24975024975025"/>
    <n v="405"/>
    <n v="452"/>
    <n v="47.5"/>
    <n v="52.5"/>
    <n v="15.250875145857643"/>
    <n v="141"/>
    <n v="128"/>
    <n v="3.6219858156028373"/>
    <n v="3.3757812499999993"/>
  </r>
  <r>
    <s v="EMP0145"/>
    <s v="Grace"/>
    <s v="Brown"/>
    <x v="0"/>
    <n v="33"/>
    <x v="5"/>
    <x v="4"/>
    <s v="2020-05-08"/>
    <n v="8"/>
    <n v="17"/>
    <n v="327792"/>
    <x v="15"/>
    <x v="1"/>
    <n v="90"/>
    <n v="856"/>
    <n v="427"/>
    <n v="429"/>
    <n v="49.650349650349654"/>
    <n v="50.24975024975025"/>
    <n v="404"/>
    <n v="452"/>
    <n v="47.5"/>
    <n v="52.5"/>
    <n v="15.25"/>
    <n v="141"/>
    <n v="128"/>
    <n v="3.6219858156028373"/>
    <n v="3.3757812499999993"/>
  </r>
  <r>
    <s v="EMP0146"/>
    <s v="Fatima"/>
    <s v="Ahmed"/>
    <x v="1"/>
    <n v="41"/>
    <x v="3"/>
    <x v="2"/>
    <s v="2013-09-24"/>
    <n v="2"/>
    <n v="11"/>
    <n v="233506"/>
    <x v="10"/>
    <x v="0"/>
    <n v="63"/>
    <n v="855"/>
    <n v="426"/>
    <n v="429"/>
    <n v="49.650349650349654"/>
    <n v="50.24975024975025"/>
    <n v="404"/>
    <n v="451"/>
    <n v="47.5"/>
    <n v="52.5"/>
    <n v="15.247953216374269"/>
    <n v="140"/>
    <n v="128"/>
    <n v="3.6228571428571432"/>
    <n v="3.3757812499999993"/>
  </r>
  <r>
    <s v="EMP0147"/>
    <s v="Grace"/>
    <s v="Williams"/>
    <x v="0"/>
    <n v="40"/>
    <x v="5"/>
    <x v="8"/>
    <s v="2019-03-13"/>
    <n v="15"/>
    <n v="22"/>
    <n v="413492"/>
    <x v="15"/>
    <x v="1"/>
    <n v="88"/>
    <n v="854"/>
    <n v="426"/>
    <n v="428"/>
    <n v="49.650349650349654"/>
    <n v="50.24975024975025"/>
    <n v="403"/>
    <n v="451"/>
    <n v="47.5"/>
    <n v="52.5"/>
    <n v="15.252927400468383"/>
    <n v="140"/>
    <n v="128"/>
    <n v="3.6228571428571432"/>
    <n v="3.3757812499999993"/>
  </r>
  <r>
    <s v="EMP0148"/>
    <s v="Daniel"/>
    <s v="Jones"/>
    <x v="1"/>
    <n v="50"/>
    <x v="4"/>
    <x v="3"/>
    <s v="2021-02-14"/>
    <n v="9"/>
    <n v="10"/>
    <n v="198871"/>
    <x v="0"/>
    <x v="1"/>
    <n v="96"/>
    <n v="853"/>
    <n v="425"/>
    <n v="428"/>
    <n v="49.650349650349654"/>
    <n v="50.24975024975025"/>
    <n v="403"/>
    <n v="450"/>
    <n v="47.5"/>
    <n v="52.5"/>
    <n v="15.245017584994139"/>
    <n v="139"/>
    <n v="128"/>
    <n v="3.6237410071942451"/>
    <n v="3.3757812499999993"/>
  </r>
  <r>
    <s v="EMP0149"/>
    <s v="James"/>
    <s v="Okoro"/>
    <x v="1"/>
    <n v="59"/>
    <x v="3"/>
    <x v="7"/>
    <s v="2023-10-09"/>
    <n v="12"/>
    <n v="16"/>
    <n v="215296"/>
    <x v="24"/>
    <x v="1"/>
    <n v="79"/>
    <n v="852"/>
    <n v="425"/>
    <n v="427"/>
    <n v="49.650349650349654"/>
    <n v="50.24975024975025"/>
    <n v="403"/>
    <n v="449"/>
    <n v="47.5"/>
    <n v="52.5"/>
    <n v="15.251173708920188"/>
    <n v="139"/>
    <n v="128"/>
    <n v="3.6237410071942451"/>
    <n v="3.3757812499999993"/>
  </r>
  <r>
    <s v="EMP0150"/>
    <s v="James"/>
    <s v="Brown"/>
    <x v="1"/>
    <n v="22"/>
    <x v="5"/>
    <x v="3"/>
    <s v="2019-07-22"/>
    <n v="15"/>
    <n v="24"/>
    <n v="199342"/>
    <x v="7"/>
    <x v="1"/>
    <n v="94"/>
    <n v="851"/>
    <n v="425"/>
    <n v="426"/>
    <n v="49.650349650349654"/>
    <n v="50.24975024975025"/>
    <n v="403"/>
    <n v="448"/>
    <n v="47.5"/>
    <n v="52.5"/>
    <n v="15.250293772032903"/>
    <n v="139"/>
    <n v="128"/>
    <n v="3.6237410071942451"/>
    <n v="3.3757812499999993"/>
  </r>
  <r>
    <s v="EMP0151"/>
    <s v="Grace"/>
    <s v="Garba"/>
    <x v="0"/>
    <n v="52"/>
    <x v="3"/>
    <x v="5"/>
    <s v="2016-10-15"/>
    <n v="13"/>
    <n v="23"/>
    <n v="59175"/>
    <x v="2"/>
    <x v="0"/>
    <n v="36"/>
    <n v="850"/>
    <n v="425"/>
    <n v="425"/>
    <n v="49.650349650349654"/>
    <n v="50.24975024975025"/>
    <n v="403"/>
    <n v="447"/>
    <n v="47.5"/>
    <n v="52.5"/>
    <n v="15.24"/>
    <n v="138"/>
    <n v="128"/>
    <n v="3.6268115942028989"/>
    <n v="3.3757812499999993"/>
  </r>
  <r>
    <s v="EMP0152"/>
    <s v="Michael"/>
    <s v="Smith"/>
    <x v="1"/>
    <n v="52"/>
    <x v="2"/>
    <x v="1"/>
    <s v="2014-10-16"/>
    <n v="15"/>
    <n v="25"/>
    <n v="435623"/>
    <x v="3"/>
    <x v="1"/>
    <n v="76"/>
    <n v="849"/>
    <n v="424"/>
    <n v="425"/>
    <n v="49.650349650349654"/>
    <n v="50.24975024975025"/>
    <n v="402"/>
    <n v="447"/>
    <n v="47.5"/>
    <n v="52.5"/>
    <n v="15.230859835100118"/>
    <n v="138"/>
    <n v="128"/>
    <n v="3.6268115942028989"/>
    <n v="3.3757812499999993"/>
  </r>
  <r>
    <s v="EMP0153"/>
    <s v="Hauwa"/>
    <s v="Brown"/>
    <x v="0"/>
    <n v="48"/>
    <x v="0"/>
    <x v="0"/>
    <s v="2017-06-27"/>
    <n v="12"/>
    <n v="13"/>
    <n v="287199"/>
    <x v="22"/>
    <x v="0"/>
    <n v="42"/>
    <n v="848"/>
    <n v="424"/>
    <n v="424"/>
    <n v="49.650349650349654"/>
    <n v="50.24975024975025"/>
    <n v="402"/>
    <n v="446"/>
    <n v="47.5"/>
    <n v="52.5"/>
    <n v="15.21933962264151"/>
    <n v="138"/>
    <n v="128"/>
    <n v="3.6268115942028989"/>
    <n v="3.3757812499999993"/>
  </r>
  <r>
    <s v="EMP0154"/>
    <s v="David"/>
    <s v="Okoro"/>
    <x v="0"/>
    <n v="56"/>
    <x v="4"/>
    <x v="1"/>
    <s v="2017-09-21"/>
    <n v="4"/>
    <n v="5"/>
    <n v="380710"/>
    <x v="26"/>
    <x v="1"/>
    <n v="92"/>
    <n v="847"/>
    <n v="423"/>
    <n v="424"/>
    <n v="49.650349650349654"/>
    <n v="50.24975024975025"/>
    <n v="401"/>
    <n v="446"/>
    <n v="47.5"/>
    <n v="52.5"/>
    <n v="15.221959858323494"/>
    <n v="138"/>
    <n v="128"/>
    <n v="3.6268115942028989"/>
    <n v="3.3757812499999993"/>
  </r>
  <r>
    <s v="EMP0155"/>
    <s v="Grace"/>
    <s v="Williams"/>
    <x v="1"/>
    <n v="56"/>
    <x v="2"/>
    <x v="0"/>
    <s v="2016-09-30"/>
    <n v="10"/>
    <n v="16"/>
    <n v="292969"/>
    <x v="24"/>
    <x v="1"/>
    <n v="79"/>
    <n v="846"/>
    <n v="422"/>
    <n v="424"/>
    <n v="49.650349650349654"/>
    <n v="50.24975024975025"/>
    <n v="401"/>
    <n v="445"/>
    <n v="47.5"/>
    <n v="52.5"/>
    <n v="15.23404255319149"/>
    <n v="138"/>
    <n v="128"/>
    <n v="3.6268115942028989"/>
    <n v="3.3757812499999993"/>
  </r>
  <r>
    <s v="EMP0156"/>
    <s v="Daniel"/>
    <s v="Williams"/>
    <x v="0"/>
    <n v="46"/>
    <x v="3"/>
    <x v="1"/>
    <s v="2016-01-26"/>
    <n v="2"/>
    <n v="4"/>
    <n v="301717"/>
    <x v="3"/>
    <x v="0"/>
    <n v="37"/>
    <n v="845"/>
    <n v="422"/>
    <n v="423"/>
    <n v="49.650349650349654"/>
    <n v="50.24975024975025"/>
    <n v="401"/>
    <n v="444"/>
    <n v="47.5"/>
    <n v="52.5"/>
    <n v="15.233136094674556"/>
    <n v="138"/>
    <n v="128"/>
    <n v="3.6268115942028989"/>
    <n v="3.3757812499999993"/>
  </r>
  <r>
    <s v="EMP0157"/>
    <s v="James"/>
    <s v="Musa"/>
    <x v="1"/>
    <n v="32"/>
    <x v="0"/>
    <x v="6"/>
    <s v="2018-02-20"/>
    <n v="4"/>
    <n v="4"/>
    <n v="344611"/>
    <x v="1"/>
    <x v="1"/>
    <n v="98"/>
    <n v="844"/>
    <n v="421"/>
    <n v="423"/>
    <n v="49.650349650349654"/>
    <n v="50.24975024975025"/>
    <n v="400"/>
    <n v="444"/>
    <n v="47.5"/>
    <n v="52.5"/>
    <n v="15.246445497630331"/>
    <n v="138"/>
    <n v="128"/>
    <n v="3.6268115942028989"/>
    <n v="3.3757812499999993"/>
  </r>
  <r>
    <s v="EMP0158"/>
    <s v="Michael"/>
    <s v="Musa"/>
    <x v="1"/>
    <n v="50"/>
    <x v="4"/>
    <x v="3"/>
    <s v="2022-03-30"/>
    <n v="20"/>
    <n v="24"/>
    <n v="316054"/>
    <x v="13"/>
    <x v="0"/>
    <n v="70"/>
    <n v="843"/>
    <n v="421"/>
    <n v="422"/>
    <n v="49.650349650349654"/>
    <n v="50.24975024975025"/>
    <n v="400"/>
    <n v="443"/>
    <n v="47.5"/>
    <n v="52.5"/>
    <n v="15.259786476868328"/>
    <n v="138"/>
    <n v="128"/>
    <n v="3.6268115942028989"/>
    <n v="3.3757812499999993"/>
  </r>
  <r>
    <s v="EMP0159"/>
    <s v="Amina"/>
    <s v="Ibrahim"/>
    <x v="1"/>
    <n v="25"/>
    <x v="4"/>
    <x v="6"/>
    <s v="2015-11-30"/>
    <n v="15"/>
    <n v="23"/>
    <n v="154472"/>
    <x v="3"/>
    <x v="1"/>
    <n v="92"/>
    <n v="842"/>
    <n v="421"/>
    <n v="421"/>
    <n v="49.650349650349654"/>
    <n v="50.24975024975025"/>
    <n v="399"/>
    <n v="443"/>
    <n v="47.5"/>
    <n v="52.5"/>
    <n v="15.249406175771972"/>
    <n v="138"/>
    <n v="128"/>
    <n v="3.6268115942028989"/>
    <n v="3.3757812499999993"/>
  </r>
  <r>
    <s v="EMP0160"/>
    <s v="Fatima"/>
    <s v="Smith"/>
    <x v="1"/>
    <n v="43"/>
    <x v="1"/>
    <x v="3"/>
    <s v="2018-05-08"/>
    <n v="5"/>
    <n v="5"/>
    <n v="50749"/>
    <x v="17"/>
    <x v="0"/>
    <n v="53"/>
    <n v="841"/>
    <n v="421"/>
    <n v="420"/>
    <n v="49.650349650349654"/>
    <n v="50.24975024975025"/>
    <n v="399"/>
    <n v="442"/>
    <n v="47.5"/>
    <n v="52.5"/>
    <n v="15.240190249702735"/>
    <n v="138"/>
    <n v="128"/>
    <n v="3.6268115942028989"/>
    <n v="3.3757812499999993"/>
  </r>
  <r>
    <s v="EMP0161"/>
    <s v="David"/>
    <s v="Smith"/>
    <x v="1"/>
    <n v="45"/>
    <x v="0"/>
    <x v="9"/>
    <s v="2015-05-18"/>
    <n v="1"/>
    <n v="4"/>
    <n v="146100"/>
    <x v="10"/>
    <x v="1"/>
    <n v="73"/>
    <n v="840"/>
    <n v="421"/>
    <n v="419"/>
    <n v="49.650349650349654"/>
    <n v="50.24975024975025"/>
    <n v="398"/>
    <n v="442"/>
    <n v="47.5"/>
    <n v="52.5"/>
    <n v="15.252380952380953"/>
    <n v="138"/>
    <n v="127"/>
    <n v="3.6268115942028989"/>
    <n v="3.366929133858267"/>
  </r>
  <r>
    <s v="EMP0162"/>
    <s v="Sarah"/>
    <s v="Jones"/>
    <x v="0"/>
    <n v="24"/>
    <x v="6"/>
    <x v="3"/>
    <s v="2012-12-18"/>
    <n v="5"/>
    <n v="12"/>
    <n v="286083"/>
    <x v="21"/>
    <x v="0"/>
    <n v="61"/>
    <n v="839"/>
    <n v="421"/>
    <n v="418"/>
    <n v="49.650349650349654"/>
    <n v="50.24975024975025"/>
    <n v="398"/>
    <n v="441"/>
    <n v="47.5"/>
    <n v="52.5"/>
    <n v="15.265792610250298"/>
    <n v="138"/>
    <n v="127"/>
    <n v="3.6268115942028989"/>
    <n v="3.366929133858267"/>
  </r>
  <r>
    <s v="EMP0163"/>
    <s v="Michael"/>
    <s v="Musa"/>
    <x v="0"/>
    <n v="58"/>
    <x v="2"/>
    <x v="0"/>
    <s v="2016-06-11"/>
    <n v="17"/>
    <n v="18"/>
    <n v="370574"/>
    <x v="19"/>
    <x v="1"/>
    <n v="83"/>
    <n v="838"/>
    <n v="420"/>
    <n v="418"/>
    <n v="49.650349650349654"/>
    <n v="50.24975024975025"/>
    <n v="397"/>
    <n v="441"/>
    <n v="47.5"/>
    <n v="52.5"/>
    <n v="15.269689737470166"/>
    <n v="138"/>
    <n v="127"/>
    <n v="3.6268115942028989"/>
    <n v="3.366929133858267"/>
  </r>
  <r>
    <s v="EMP0164"/>
    <s v="John"/>
    <s v="Johnson"/>
    <x v="1"/>
    <n v="29"/>
    <x v="1"/>
    <x v="6"/>
    <s v="2020-02-07"/>
    <n v="5"/>
    <n v="9"/>
    <n v="219527"/>
    <x v="7"/>
    <x v="0"/>
    <n v="30"/>
    <n v="837"/>
    <n v="419"/>
    <n v="418"/>
    <n v="49.650349650349654"/>
    <n v="50.24975024975025"/>
    <n v="397"/>
    <n v="440"/>
    <n v="47.5"/>
    <n v="52.5"/>
    <n v="15.266427718040621"/>
    <n v="138"/>
    <n v="127"/>
    <n v="3.6268115942028989"/>
    <n v="3.366929133858267"/>
  </r>
  <r>
    <s v="EMP0165"/>
    <s v="John"/>
    <s v="Johnson"/>
    <x v="1"/>
    <n v="39"/>
    <x v="6"/>
    <x v="4"/>
    <s v="2016-09-25"/>
    <n v="9"/>
    <n v="9"/>
    <n v="351906"/>
    <x v="10"/>
    <x v="0"/>
    <n v="51"/>
    <n v="836"/>
    <n v="419"/>
    <n v="417"/>
    <n v="49.650349650349654"/>
    <n v="50.24975024975025"/>
    <n v="396"/>
    <n v="440"/>
    <n v="47.5"/>
    <n v="52.5"/>
    <n v="15.273923444976077"/>
    <n v="138"/>
    <n v="126"/>
    <n v="3.6268115942028989"/>
    <n v="3.3682539682539678"/>
  </r>
  <r>
    <s v="EMP0166"/>
    <s v="David"/>
    <s v="Okoro"/>
    <x v="0"/>
    <n v="38"/>
    <x v="0"/>
    <x v="7"/>
    <s v="2021-09-08"/>
    <n v="1"/>
    <n v="11"/>
    <n v="415668"/>
    <x v="0"/>
    <x v="1"/>
    <n v="72"/>
    <n v="835"/>
    <n v="419"/>
    <n v="416"/>
    <n v="49.650349650349654"/>
    <n v="50.24975024975025"/>
    <n v="395"/>
    <n v="440"/>
    <n v="47.5"/>
    <n v="52.5"/>
    <n v="15.281437125748504"/>
    <n v="138"/>
    <n v="126"/>
    <n v="3.6268115942028989"/>
    <n v="3.3682539682539678"/>
  </r>
  <r>
    <s v="EMP0167"/>
    <s v="Sarah"/>
    <s v="Garba"/>
    <x v="1"/>
    <n v="31"/>
    <x v="1"/>
    <x v="1"/>
    <s v="2019-08-03"/>
    <n v="16"/>
    <n v="20"/>
    <n v="252095"/>
    <x v="25"/>
    <x v="0"/>
    <n v="61"/>
    <n v="834"/>
    <n v="418"/>
    <n v="416"/>
    <n v="49.650349650349654"/>
    <n v="50.24975024975025"/>
    <n v="395"/>
    <n v="439"/>
    <n v="47.5"/>
    <n v="52.5"/>
    <n v="15.286570743405276"/>
    <n v="138"/>
    <n v="126"/>
    <n v="3.6268115942028989"/>
    <n v="3.3682539682539678"/>
  </r>
  <r>
    <s v="EMP0168"/>
    <s v="Mary"/>
    <s v="Okoro"/>
    <x v="1"/>
    <n v="22"/>
    <x v="4"/>
    <x v="2"/>
    <s v="2021-09-24"/>
    <n v="17"/>
    <n v="27"/>
    <n v="265805"/>
    <x v="8"/>
    <x v="0"/>
    <n v="53"/>
    <n v="833"/>
    <n v="418"/>
    <n v="415"/>
    <n v="49.650349650349654"/>
    <n v="50.24975024975025"/>
    <n v="394"/>
    <n v="439"/>
    <n v="47.5"/>
    <n v="52.5"/>
    <n v="15.280912364945978"/>
    <n v="138"/>
    <n v="125"/>
    <n v="3.6268115942028989"/>
    <n v="3.3631999999999995"/>
  </r>
  <r>
    <s v="EMP0169"/>
    <s v="Amina"/>
    <s v="Jones"/>
    <x v="1"/>
    <n v="60"/>
    <x v="3"/>
    <x v="2"/>
    <s v="2019-07-25"/>
    <n v="5"/>
    <n v="13"/>
    <n v="198814"/>
    <x v="11"/>
    <x v="0"/>
    <n v="47"/>
    <n v="832"/>
    <n v="418"/>
    <n v="414"/>
    <n v="49.650349650349654"/>
    <n v="50.24975024975025"/>
    <n v="393"/>
    <n v="439"/>
    <n v="47.5"/>
    <n v="52.5"/>
    <n v="15.266826923076923"/>
    <n v="138"/>
    <n v="125"/>
    <n v="3.6268115942028989"/>
    <n v="3.3631999999999995"/>
  </r>
  <r>
    <s v="EMP0170"/>
    <s v="Hauwa"/>
    <s v="Garba"/>
    <x v="0"/>
    <n v="49"/>
    <x v="2"/>
    <x v="0"/>
    <s v="2012-09-17"/>
    <n v="5"/>
    <n v="11"/>
    <n v="368572"/>
    <x v="29"/>
    <x v="1"/>
    <n v="97"/>
    <n v="831"/>
    <n v="418"/>
    <n v="413"/>
    <n v="49.650349650349654"/>
    <n v="50.24975024975025"/>
    <n v="392"/>
    <n v="439"/>
    <n v="47.5"/>
    <n v="52.5"/>
    <n v="15.269554753309267"/>
    <n v="138"/>
    <n v="125"/>
    <n v="3.6268115942028989"/>
    <n v="3.3631999999999995"/>
  </r>
  <r>
    <s v="EMP0171"/>
    <s v="Fatima"/>
    <s v="Brown"/>
    <x v="1"/>
    <n v="47"/>
    <x v="4"/>
    <x v="8"/>
    <s v="2018-05-15"/>
    <n v="4"/>
    <n v="5"/>
    <n v="105911"/>
    <x v="6"/>
    <x v="1"/>
    <n v="92"/>
    <n v="830"/>
    <n v="417"/>
    <n v="413"/>
    <n v="49.650349650349654"/>
    <n v="50.24975024975025"/>
    <n v="392"/>
    <n v="438"/>
    <n v="47.5"/>
    <n v="52.5"/>
    <n v="15.274698795180722"/>
    <n v="138"/>
    <n v="125"/>
    <n v="3.6268115942028989"/>
    <n v="3.3631999999999995"/>
  </r>
  <r>
    <s v="EMP0172"/>
    <s v="Amina"/>
    <s v="Johnson"/>
    <x v="0"/>
    <n v="31"/>
    <x v="0"/>
    <x v="4"/>
    <s v="2018-10-10"/>
    <n v="6"/>
    <n v="14"/>
    <n v="169650"/>
    <x v="15"/>
    <x v="0"/>
    <n v="57"/>
    <n v="829"/>
    <n v="417"/>
    <n v="412"/>
    <n v="49.650349650349654"/>
    <n v="50.24975024975025"/>
    <n v="392"/>
    <n v="437"/>
    <n v="47.5"/>
    <n v="52.5"/>
    <n v="15.287092882991557"/>
    <n v="138"/>
    <n v="125"/>
    <n v="3.6268115942028989"/>
    <n v="3.3631999999999995"/>
  </r>
  <r>
    <s v="EMP0173"/>
    <s v="David"/>
    <s v="Williams"/>
    <x v="1"/>
    <n v="27"/>
    <x v="3"/>
    <x v="8"/>
    <s v="2012-04-04"/>
    <n v="17"/>
    <n v="26"/>
    <n v="293265"/>
    <x v="0"/>
    <x v="1"/>
    <n v="96"/>
    <n v="828"/>
    <n v="416"/>
    <n v="412"/>
    <n v="49.650349650349654"/>
    <n v="50.24975024975025"/>
    <n v="391"/>
    <n v="437"/>
    <n v="47.5"/>
    <n v="52.5"/>
    <n v="15.288647342995169"/>
    <n v="138"/>
    <n v="125"/>
    <n v="3.6268115942028989"/>
    <n v="3.3631999999999995"/>
  </r>
  <r>
    <s v="EMP0174"/>
    <s v="James"/>
    <s v="Garba"/>
    <x v="0"/>
    <n v="21"/>
    <x v="5"/>
    <x v="5"/>
    <s v="2015-07-27"/>
    <n v="18"/>
    <n v="22"/>
    <n v="383133"/>
    <x v="15"/>
    <x v="0"/>
    <n v="34"/>
    <n v="827"/>
    <n v="416"/>
    <n v="411"/>
    <n v="49.650349650349654"/>
    <n v="50.24975024975025"/>
    <n v="391"/>
    <n v="436"/>
    <n v="47.5"/>
    <n v="52.5"/>
    <n v="15.275695284159614"/>
    <n v="138"/>
    <n v="125"/>
    <n v="3.6268115942028989"/>
    <n v="3.3631999999999995"/>
  </r>
  <r>
    <s v="EMP0175"/>
    <s v="Amina"/>
    <s v="Ahmed"/>
    <x v="0"/>
    <n v="57"/>
    <x v="0"/>
    <x v="9"/>
    <s v="2021-11-05"/>
    <n v="16"/>
    <n v="19"/>
    <n v="492104"/>
    <x v="28"/>
    <x v="0"/>
    <n v="57"/>
    <n v="826"/>
    <n v="415"/>
    <n v="411"/>
    <n v="49.650349650349654"/>
    <n v="50.24975024975025"/>
    <n v="390"/>
    <n v="436"/>
    <n v="47.5"/>
    <n v="52.5"/>
    <n v="15.267554479418886"/>
    <n v="137"/>
    <n v="125"/>
    <n v="3.6277372262773726"/>
    <n v="3.3631999999999995"/>
  </r>
  <r>
    <s v="EMP0176"/>
    <s v="Michael"/>
    <s v="Ibrahim"/>
    <x v="0"/>
    <n v="30"/>
    <x v="4"/>
    <x v="8"/>
    <s v="2015-02-15"/>
    <n v="1"/>
    <n v="1"/>
    <n v="310529"/>
    <x v="4"/>
    <x v="0"/>
    <n v="63"/>
    <n v="825"/>
    <n v="414"/>
    <n v="411"/>
    <n v="49.650349650349654"/>
    <n v="50.24975024975025"/>
    <n v="389"/>
    <n v="436"/>
    <n v="47.5"/>
    <n v="52.5"/>
    <n v="15.263030303030304"/>
    <n v="137"/>
    <n v="125"/>
    <n v="3.6277372262773726"/>
    <n v="3.3631999999999995"/>
  </r>
  <r>
    <s v="EMP0177"/>
    <s v="Amina"/>
    <s v="Jones"/>
    <x v="1"/>
    <n v="56"/>
    <x v="5"/>
    <x v="1"/>
    <s v="2021-07-23"/>
    <n v="14"/>
    <n v="20"/>
    <n v="240648"/>
    <x v="28"/>
    <x v="1"/>
    <n v="80"/>
    <n v="824"/>
    <n v="413"/>
    <n v="411"/>
    <n v="49.650349650349654"/>
    <n v="50.24975024975025"/>
    <n v="388"/>
    <n v="436"/>
    <n v="47.5"/>
    <n v="52.5"/>
    <n v="15.280339805825243"/>
    <n v="137"/>
    <n v="125"/>
    <n v="3.6277372262773726"/>
    <n v="3.3631999999999995"/>
  </r>
  <r>
    <s v="EMP0178"/>
    <s v="Amina"/>
    <s v="Okoro"/>
    <x v="1"/>
    <n v="55"/>
    <x v="6"/>
    <x v="9"/>
    <s v="2015-12-04"/>
    <n v="1"/>
    <n v="8"/>
    <n v="461560"/>
    <x v="1"/>
    <x v="1"/>
    <n v="75"/>
    <n v="823"/>
    <n v="413"/>
    <n v="410"/>
    <n v="49.650349650349654"/>
    <n v="50.24975024975025"/>
    <n v="388"/>
    <n v="435"/>
    <n v="47.5"/>
    <n v="52.5"/>
    <n v="15.274605103280681"/>
    <n v="136"/>
    <n v="125"/>
    <n v="3.6227941176470595"/>
    <n v="3.3631999999999995"/>
  </r>
  <r>
    <s v="EMP0179"/>
    <s v="Grace"/>
    <s v="Brown"/>
    <x v="1"/>
    <n v="50"/>
    <x v="4"/>
    <x v="9"/>
    <s v="2017-01-29"/>
    <n v="10"/>
    <n v="15"/>
    <n v="92956"/>
    <x v="14"/>
    <x v="1"/>
    <n v="95"/>
    <n v="822"/>
    <n v="413"/>
    <n v="409"/>
    <n v="49.650349650349654"/>
    <n v="50.24975024975025"/>
    <n v="388"/>
    <n v="434"/>
    <n v="47.5"/>
    <n v="52.5"/>
    <n v="15.283454987834549"/>
    <n v="136"/>
    <n v="125"/>
    <n v="3.6227941176470595"/>
    <n v="3.3631999999999995"/>
  </r>
  <r>
    <s v="EMP0180"/>
    <s v="John"/>
    <s v="Johnson"/>
    <x v="1"/>
    <n v="26"/>
    <x v="0"/>
    <x v="0"/>
    <s v="2020-05-29"/>
    <n v="4"/>
    <n v="6"/>
    <n v="495004"/>
    <x v="13"/>
    <x v="1"/>
    <n v="84"/>
    <n v="821"/>
    <n v="413"/>
    <n v="408"/>
    <n v="49.650349650349654"/>
    <n v="50.24975024975025"/>
    <n v="388"/>
    <n v="433"/>
    <n v="47.5"/>
    <n v="52.5"/>
    <n v="15.283800243605359"/>
    <n v="136"/>
    <n v="125"/>
    <n v="3.6227941176470595"/>
    <n v="3.3631999999999995"/>
  </r>
  <r>
    <s v="EMP0181"/>
    <s v="Fatima"/>
    <s v="Ahmed"/>
    <x v="0"/>
    <n v="54"/>
    <x v="6"/>
    <x v="6"/>
    <s v="2018-07-26"/>
    <n v="14"/>
    <n v="23"/>
    <n v="350092"/>
    <x v="30"/>
    <x v="1"/>
    <n v="72"/>
    <n v="820"/>
    <n v="413"/>
    <n v="407"/>
    <n v="49.650349650349654"/>
    <n v="50.24975024975025"/>
    <n v="388"/>
    <n v="432"/>
    <n v="47.5"/>
    <n v="52.5"/>
    <n v="15.295121951219512"/>
    <n v="136"/>
    <n v="125"/>
    <n v="3.6227941176470595"/>
    <n v="3.3631999999999995"/>
  </r>
  <r>
    <s v="EMP0182"/>
    <s v="Mary"/>
    <s v="Johnson"/>
    <x v="0"/>
    <n v="30"/>
    <x v="5"/>
    <x v="5"/>
    <s v="2020-01-25"/>
    <n v="1"/>
    <n v="9"/>
    <n v="412115"/>
    <x v="9"/>
    <x v="0"/>
    <n v="61"/>
    <n v="819"/>
    <n v="412"/>
    <n v="407"/>
    <n v="49.650349650349654"/>
    <n v="50.24975024975025"/>
    <n v="388"/>
    <n v="431"/>
    <n v="47.5"/>
    <n v="52.5"/>
    <n v="15.285714285714286"/>
    <n v="136"/>
    <n v="125"/>
    <n v="3.6227941176470595"/>
    <n v="3.3631999999999995"/>
  </r>
  <r>
    <s v="EMP0183"/>
    <s v="Amina"/>
    <s v="Smith"/>
    <x v="0"/>
    <n v="29"/>
    <x v="4"/>
    <x v="4"/>
    <s v="2019-02-12"/>
    <n v="16"/>
    <n v="17"/>
    <n v="406967"/>
    <x v="14"/>
    <x v="1"/>
    <n v="84"/>
    <n v="818"/>
    <n v="411"/>
    <n v="407"/>
    <n v="49.650349650349654"/>
    <n v="50.24975024975025"/>
    <n v="387"/>
    <n v="431"/>
    <n v="47.5"/>
    <n v="52.5"/>
    <n v="15.293398533007334"/>
    <n v="135"/>
    <n v="125"/>
    <n v="3.6192592592592598"/>
    <n v="3.3631999999999995"/>
  </r>
  <r>
    <s v="EMP0184"/>
    <s v="John"/>
    <s v="Ahmed"/>
    <x v="0"/>
    <n v="40"/>
    <x v="6"/>
    <x v="1"/>
    <s v="2023-10-07"/>
    <n v="9"/>
    <n v="15"/>
    <n v="274038"/>
    <x v="3"/>
    <x v="0"/>
    <n v="44"/>
    <n v="817"/>
    <n v="410"/>
    <n v="407"/>
    <n v="49.650349650349654"/>
    <n v="50.24975024975025"/>
    <n v="387"/>
    <n v="430"/>
    <n v="47.5"/>
    <n v="52.5"/>
    <n v="15.291309669522644"/>
    <n v="135"/>
    <n v="125"/>
    <n v="3.6192592592592598"/>
    <n v="3.3631999999999995"/>
  </r>
  <r>
    <s v="EMP0185"/>
    <s v="David"/>
    <s v="Garba"/>
    <x v="1"/>
    <n v="36"/>
    <x v="2"/>
    <x v="8"/>
    <s v="2015-01-21"/>
    <n v="8"/>
    <n v="10"/>
    <n v="165132"/>
    <x v="6"/>
    <x v="0"/>
    <n v="44"/>
    <n v="816"/>
    <n v="409"/>
    <n v="407"/>
    <n v="49.650349650349654"/>
    <n v="50.24975024975025"/>
    <n v="386"/>
    <n v="430"/>
    <n v="47.5"/>
    <n v="52.5"/>
    <n v="15.291666666666666"/>
    <n v="135"/>
    <n v="125"/>
    <n v="3.6192592592592598"/>
    <n v="3.3631999999999995"/>
  </r>
  <r>
    <s v="EMP0186"/>
    <s v="Hauwa"/>
    <s v="Jones"/>
    <x v="0"/>
    <n v="26"/>
    <x v="5"/>
    <x v="7"/>
    <s v="2025-01-09"/>
    <n v="19"/>
    <n v="28"/>
    <n v="479080"/>
    <x v="8"/>
    <x v="0"/>
    <n v="67"/>
    <n v="815"/>
    <n v="409"/>
    <n v="406"/>
    <n v="49.650349650349654"/>
    <n v="50.24975024975025"/>
    <n v="385"/>
    <n v="430"/>
    <n v="47.5"/>
    <n v="52.5"/>
    <n v="15.298159509202454"/>
    <n v="135"/>
    <n v="125"/>
    <n v="3.6192592592592598"/>
    <n v="3.3631999999999995"/>
  </r>
  <r>
    <s v="EMP0187"/>
    <s v="David"/>
    <s v="Musa"/>
    <x v="1"/>
    <n v="36"/>
    <x v="2"/>
    <x v="3"/>
    <s v="2012-07-17"/>
    <n v="20"/>
    <n v="21"/>
    <n v="169391"/>
    <x v="15"/>
    <x v="0"/>
    <n v="49"/>
    <n v="814"/>
    <n v="408"/>
    <n v="406"/>
    <n v="49.650349650349654"/>
    <n v="50.24975024975025"/>
    <n v="384"/>
    <n v="430"/>
    <n v="47.5"/>
    <n v="52.5"/>
    <n v="15.282555282555283"/>
    <n v="134"/>
    <n v="125"/>
    <n v="3.6134328358208965"/>
    <n v="3.3631999999999995"/>
  </r>
  <r>
    <s v="EMP0188"/>
    <s v="Mary"/>
    <s v="Okoro"/>
    <x v="1"/>
    <n v="55"/>
    <x v="5"/>
    <x v="5"/>
    <s v="2015-02-28"/>
    <n v="17"/>
    <n v="27"/>
    <n v="145653"/>
    <x v="28"/>
    <x v="0"/>
    <n v="42"/>
    <n v="813"/>
    <n v="408"/>
    <n v="405"/>
    <n v="49.650349650349654"/>
    <n v="50.24975024975025"/>
    <n v="383"/>
    <n v="430"/>
    <n v="47.5"/>
    <n v="52.5"/>
    <n v="15.275522755227552"/>
    <n v="134"/>
    <n v="125"/>
    <n v="3.6134328358208965"/>
    <n v="3.3631999999999995"/>
  </r>
  <r>
    <s v="EMP0189"/>
    <s v="Michael"/>
    <s v="Musa"/>
    <x v="1"/>
    <n v="37"/>
    <x v="0"/>
    <x v="8"/>
    <s v="2023-02-08"/>
    <n v="17"/>
    <n v="19"/>
    <n v="429648"/>
    <x v="20"/>
    <x v="1"/>
    <n v="78"/>
    <n v="812"/>
    <n v="408"/>
    <n v="404"/>
    <n v="49.650349650349654"/>
    <n v="50.24975024975025"/>
    <n v="382"/>
    <n v="430"/>
    <n v="47.5"/>
    <n v="52.5"/>
    <n v="15.261083743842365"/>
    <n v="133"/>
    <n v="125"/>
    <n v="3.6082706766917294"/>
    <n v="3.3631999999999995"/>
  </r>
  <r>
    <s v="EMP0190"/>
    <s v="Amina"/>
    <s v="Smith"/>
    <x v="0"/>
    <n v="34"/>
    <x v="5"/>
    <x v="6"/>
    <s v="2023-04-02"/>
    <n v="16"/>
    <n v="16"/>
    <n v="324813"/>
    <x v="18"/>
    <x v="1"/>
    <n v="96"/>
    <n v="811"/>
    <n v="408"/>
    <n v="403"/>
    <n v="49.650349650349654"/>
    <n v="50.24975024975025"/>
    <n v="382"/>
    <n v="429"/>
    <n v="47.5"/>
    <n v="52.5"/>
    <n v="15.256473489519113"/>
    <n v="133"/>
    <n v="125"/>
    <n v="3.6082706766917294"/>
    <n v="3.3631999999999995"/>
  </r>
  <r>
    <s v="EMP0191"/>
    <s v="David"/>
    <s v="Ahmed"/>
    <x v="1"/>
    <n v="26"/>
    <x v="3"/>
    <x v="9"/>
    <s v="2025-06-09"/>
    <n v="11"/>
    <n v="16"/>
    <n v="185697"/>
    <x v="13"/>
    <x v="1"/>
    <n v="97"/>
    <n v="810"/>
    <n v="407"/>
    <n v="403"/>
    <n v="49.650349650349654"/>
    <n v="50.24975024975025"/>
    <n v="382"/>
    <n v="428"/>
    <n v="47.5"/>
    <n v="52.5"/>
    <n v="15.255555555555556"/>
    <n v="132"/>
    <n v="125"/>
    <n v="3.6196969696969696"/>
    <n v="3.3631999999999995"/>
  </r>
  <r>
    <s v="EMP0192"/>
    <s v="Mary"/>
    <s v="Ahmed"/>
    <x v="1"/>
    <n v="30"/>
    <x v="1"/>
    <x v="1"/>
    <s v="2016-03-09"/>
    <n v="11"/>
    <n v="19"/>
    <n v="325418"/>
    <x v="23"/>
    <x v="0"/>
    <n v="62"/>
    <n v="809"/>
    <n v="407"/>
    <n v="402"/>
    <n v="49.650349650349654"/>
    <n v="50.24975024975025"/>
    <n v="382"/>
    <n v="427"/>
    <n v="47.5"/>
    <n v="52.5"/>
    <n v="15.254635352286774"/>
    <n v="132"/>
    <n v="125"/>
    <n v="3.6196969696969696"/>
    <n v="3.3631999999999995"/>
  </r>
  <r>
    <s v="EMP0193"/>
    <s v="Sarah"/>
    <s v="Jones"/>
    <x v="0"/>
    <n v="54"/>
    <x v="3"/>
    <x v="1"/>
    <s v="2020-08-08"/>
    <n v="16"/>
    <n v="19"/>
    <n v="278814"/>
    <x v="23"/>
    <x v="0"/>
    <n v="51"/>
    <n v="808"/>
    <n v="407"/>
    <n v="401"/>
    <n v="49.650349650349654"/>
    <n v="50.24975024975025"/>
    <n v="381"/>
    <n v="427"/>
    <n v="47.5"/>
    <n v="52.5"/>
    <n v="15.25"/>
    <n v="132"/>
    <n v="124"/>
    <n v="3.6196969696969696"/>
    <n v="3.351612903225806"/>
  </r>
  <r>
    <s v="EMP0194"/>
    <s v="Fatima"/>
    <s v="Garba"/>
    <x v="1"/>
    <n v="25"/>
    <x v="4"/>
    <x v="6"/>
    <s v="2024-12-20"/>
    <n v="11"/>
    <n v="21"/>
    <n v="394513"/>
    <x v="28"/>
    <x v="0"/>
    <n v="44"/>
    <n v="807"/>
    <n v="406"/>
    <n v="401"/>
    <n v="49.650349650349654"/>
    <n v="50.24975024975025"/>
    <n v="380"/>
    <n v="427"/>
    <n v="47.5"/>
    <n v="52.5"/>
    <n v="15.245353159851302"/>
    <n v="132"/>
    <n v="124"/>
    <n v="3.6196969696969696"/>
    <n v="3.351612903225806"/>
  </r>
  <r>
    <s v="EMP0195"/>
    <s v="John"/>
    <s v="Jones"/>
    <x v="1"/>
    <n v="50"/>
    <x v="4"/>
    <x v="6"/>
    <s v="2025-05-11"/>
    <n v="12"/>
    <n v="12"/>
    <n v="371414"/>
    <x v="12"/>
    <x v="0"/>
    <n v="69"/>
    <n v="806"/>
    <n v="406"/>
    <n v="400"/>
    <n v="49.650349650349654"/>
    <n v="50.24975024975025"/>
    <n v="379"/>
    <n v="427"/>
    <n v="47.5"/>
    <n v="52.5"/>
    <n v="15.238213399503723"/>
    <n v="132"/>
    <n v="124"/>
    <n v="3.6196969696969696"/>
    <n v="3.351612903225806"/>
  </r>
  <r>
    <s v="EMP0196"/>
    <s v="Sarah"/>
    <s v="Johnson"/>
    <x v="0"/>
    <n v="36"/>
    <x v="5"/>
    <x v="7"/>
    <s v="2014-05-17"/>
    <n v="7"/>
    <n v="16"/>
    <n v="464517"/>
    <x v="28"/>
    <x v="1"/>
    <n v="93"/>
    <n v="805"/>
    <n v="406"/>
    <n v="399"/>
    <n v="49.650349650349654"/>
    <n v="50.24975024975025"/>
    <n v="378"/>
    <n v="427"/>
    <n v="47.5"/>
    <n v="52.5"/>
    <n v="15.24223602484472"/>
    <n v="132"/>
    <n v="124"/>
    <n v="3.6196969696969696"/>
    <n v="3.351612903225806"/>
  </r>
  <r>
    <s v="EMP0197"/>
    <s v="Grace"/>
    <s v="Smith"/>
    <x v="0"/>
    <n v="29"/>
    <x v="2"/>
    <x v="1"/>
    <s v="2022-06-26"/>
    <n v="3"/>
    <n v="5"/>
    <n v="496562"/>
    <x v="11"/>
    <x v="1"/>
    <n v="74"/>
    <n v="804"/>
    <n v="405"/>
    <n v="399"/>
    <n v="49.650349650349654"/>
    <n v="50.24975024975025"/>
    <n v="378"/>
    <n v="426"/>
    <n v="47.5"/>
    <n v="52.5"/>
    <n v="15.241293532338309"/>
    <n v="131"/>
    <n v="124"/>
    <n v="3.6145038167938934"/>
    <n v="3.351612903225806"/>
  </r>
  <r>
    <s v="EMP0198"/>
    <s v="Peter"/>
    <s v="Musa"/>
    <x v="0"/>
    <n v="58"/>
    <x v="1"/>
    <x v="9"/>
    <s v="2012-07-09"/>
    <n v="3"/>
    <n v="3"/>
    <n v="239271"/>
    <x v="13"/>
    <x v="0"/>
    <n v="30"/>
    <n v="803"/>
    <n v="404"/>
    <n v="399"/>
    <n v="49.650349650349654"/>
    <n v="50.24975024975025"/>
    <n v="378"/>
    <n v="425"/>
    <n v="47.5"/>
    <n v="52.5"/>
    <n v="15.254047322540472"/>
    <n v="131"/>
    <n v="124"/>
    <n v="3.6145038167938934"/>
    <n v="3.351612903225806"/>
  </r>
  <r>
    <s v="EMP0199"/>
    <s v="Daniel"/>
    <s v="Ahmed"/>
    <x v="0"/>
    <n v="25"/>
    <x v="2"/>
    <x v="4"/>
    <s v="2018-10-22"/>
    <n v="4"/>
    <n v="8"/>
    <n v="369622"/>
    <x v="16"/>
    <x v="1"/>
    <n v="96"/>
    <n v="802"/>
    <n v="403"/>
    <n v="399"/>
    <n v="49.650349650349654"/>
    <n v="50.24975024975025"/>
    <n v="377"/>
    <n v="425"/>
    <n v="47.5"/>
    <n v="52.5"/>
    <n v="15.269326683291771"/>
    <n v="131"/>
    <n v="123"/>
    <n v="3.6145038167938934"/>
    <n v="3.3626016260162599"/>
  </r>
  <r>
    <s v="EMP0200"/>
    <s v="Peter"/>
    <s v="Ibrahim"/>
    <x v="1"/>
    <n v="36"/>
    <x v="0"/>
    <x v="9"/>
    <s v="2016-03-04"/>
    <n v="9"/>
    <n v="14"/>
    <n v="289651"/>
    <x v="6"/>
    <x v="0"/>
    <n v="44"/>
    <n v="801"/>
    <n v="402"/>
    <n v="399"/>
    <n v="49.650349650349654"/>
    <n v="50.24975024975025"/>
    <n v="377"/>
    <n v="424"/>
    <n v="47.5"/>
    <n v="52.5"/>
    <n v="15.278401997503121"/>
    <n v="131"/>
    <n v="123"/>
    <n v="3.6145038167938934"/>
    <n v="3.3626016260162599"/>
  </r>
  <r>
    <s v="EMP0201"/>
    <s v="Michael"/>
    <s v="Ibrahim"/>
    <x v="0"/>
    <n v="34"/>
    <x v="5"/>
    <x v="3"/>
    <s v="2014-10-31"/>
    <n v="3"/>
    <n v="12"/>
    <n v="213487"/>
    <x v="27"/>
    <x v="1"/>
    <n v="87"/>
    <n v="800"/>
    <n v="402"/>
    <n v="398"/>
    <n v="49.650349650349654"/>
    <n v="50.24975024975025"/>
    <n v="376"/>
    <n v="424"/>
    <n v="47.5"/>
    <n v="52.5"/>
    <n v="15.28"/>
    <n v="131"/>
    <n v="123"/>
    <n v="3.6145038167938934"/>
    <n v="3.3626016260162599"/>
  </r>
  <r>
    <s v="EMP0202"/>
    <s v="Amina"/>
    <s v="Williams"/>
    <x v="0"/>
    <n v="26"/>
    <x v="1"/>
    <x v="1"/>
    <s v="2013-07-04"/>
    <n v="7"/>
    <n v="16"/>
    <n v="243433"/>
    <x v="29"/>
    <x v="0"/>
    <n v="65"/>
    <n v="799"/>
    <n v="401"/>
    <n v="398"/>
    <n v="49.650349650349654"/>
    <n v="50.24975024975025"/>
    <n v="376"/>
    <n v="423"/>
    <n v="47.5"/>
    <n v="52.5"/>
    <n v="15.284105131414268"/>
    <n v="130"/>
    <n v="123"/>
    <n v="3.62"/>
    <n v="3.3626016260162599"/>
  </r>
  <r>
    <s v="EMP0203"/>
    <s v="Amina"/>
    <s v="Williams"/>
    <x v="0"/>
    <n v="42"/>
    <x v="3"/>
    <x v="5"/>
    <s v="2014-11-28"/>
    <n v="13"/>
    <n v="22"/>
    <n v="69819"/>
    <x v="0"/>
    <x v="1"/>
    <n v="86"/>
    <n v="798"/>
    <n v="400"/>
    <n v="398"/>
    <n v="49.650349650349654"/>
    <n v="50.24975024975025"/>
    <n v="375"/>
    <n v="423"/>
    <n v="47.5"/>
    <n v="52.5"/>
    <n v="15.283208020050125"/>
    <n v="130"/>
    <n v="122"/>
    <n v="3.62"/>
    <n v="3.3655737704918032"/>
  </r>
  <r>
    <s v="EMP0204"/>
    <s v="James"/>
    <s v="Garba"/>
    <x v="1"/>
    <n v="48"/>
    <x v="5"/>
    <x v="6"/>
    <s v="2020-02-09"/>
    <n v="16"/>
    <n v="26"/>
    <n v="345296"/>
    <x v="3"/>
    <x v="0"/>
    <n v="70"/>
    <n v="797"/>
    <n v="399"/>
    <n v="398"/>
    <n v="49.650349650349654"/>
    <n v="50.24975024975025"/>
    <n v="375"/>
    <n v="422"/>
    <n v="47.5"/>
    <n v="52.5"/>
    <n v="15.274780426599749"/>
    <n v="130"/>
    <n v="122"/>
    <n v="3.62"/>
    <n v="3.3655737704918032"/>
  </r>
  <r>
    <s v="EMP0205"/>
    <s v="Hauwa"/>
    <s v="Brown"/>
    <x v="1"/>
    <n v="47"/>
    <x v="1"/>
    <x v="1"/>
    <s v="2017-09-04"/>
    <n v="11"/>
    <n v="11"/>
    <n v="225755"/>
    <x v="0"/>
    <x v="1"/>
    <n v="86"/>
    <n v="796"/>
    <n v="399"/>
    <n v="397"/>
    <n v="49.650349650349654"/>
    <n v="50.24975024975025"/>
    <n v="374"/>
    <n v="422"/>
    <n v="47.5"/>
    <n v="52.5"/>
    <n v="15.261306532663317"/>
    <n v="129"/>
    <n v="122"/>
    <n v="3.6286821705426364"/>
    <n v="3.3655737704918032"/>
  </r>
  <r>
    <s v="EMP0206"/>
    <s v="Hauwa"/>
    <s v="Johnson"/>
    <x v="1"/>
    <n v="56"/>
    <x v="0"/>
    <x v="1"/>
    <s v="2019-05-12"/>
    <n v="1"/>
    <n v="9"/>
    <n v="90183"/>
    <x v="30"/>
    <x v="0"/>
    <n v="55"/>
    <n v="795"/>
    <n v="399"/>
    <n v="396"/>
    <n v="49.650349650349654"/>
    <n v="50.24975024975025"/>
    <n v="374"/>
    <n v="421"/>
    <n v="47.5"/>
    <n v="52.5"/>
    <n v="15.266666666666667"/>
    <n v="129"/>
    <n v="121"/>
    <n v="3.6286821705426364"/>
    <n v="3.3710743801652892"/>
  </r>
  <r>
    <s v="EMP0207"/>
    <s v="Mary"/>
    <s v="Okoro"/>
    <x v="0"/>
    <n v="40"/>
    <x v="0"/>
    <x v="5"/>
    <s v="2017-12-31"/>
    <n v="12"/>
    <n v="22"/>
    <n v="85049"/>
    <x v="13"/>
    <x v="0"/>
    <n v="37"/>
    <n v="794"/>
    <n v="399"/>
    <n v="395"/>
    <n v="49.650349650349654"/>
    <n v="50.24975024975025"/>
    <n v="373"/>
    <n v="421"/>
    <n v="47.5"/>
    <n v="52.5"/>
    <n v="15.27455919395466"/>
    <n v="129"/>
    <n v="121"/>
    <n v="3.6286821705426364"/>
    <n v="3.3710743801652892"/>
  </r>
  <r>
    <s v="EMP0208"/>
    <s v="John"/>
    <s v="Ibrahim"/>
    <x v="0"/>
    <n v="43"/>
    <x v="5"/>
    <x v="4"/>
    <s v="2016-07-29"/>
    <n v="7"/>
    <n v="15"/>
    <n v="495497"/>
    <x v="4"/>
    <x v="0"/>
    <n v="56"/>
    <n v="793"/>
    <n v="398"/>
    <n v="395"/>
    <n v="49.650349650349654"/>
    <n v="50.24975024975025"/>
    <n v="372"/>
    <n v="421"/>
    <n v="47.5"/>
    <n v="52.5"/>
    <n v="15.26607818411097"/>
    <n v="129"/>
    <n v="121"/>
    <n v="3.6286821705426364"/>
    <n v="3.3710743801652892"/>
  </r>
  <r>
    <s v="EMP0209"/>
    <s v="Mary"/>
    <s v="Okoro"/>
    <x v="1"/>
    <n v="56"/>
    <x v="5"/>
    <x v="6"/>
    <s v="2019-12-12"/>
    <n v="17"/>
    <n v="25"/>
    <n v="199402"/>
    <x v="22"/>
    <x v="0"/>
    <n v="58"/>
    <n v="792"/>
    <n v="397"/>
    <n v="395"/>
    <n v="49.650349650349654"/>
    <n v="50.24975024975025"/>
    <n v="371"/>
    <n v="421"/>
    <n v="47.5"/>
    <n v="52.5"/>
    <n v="15.266414141414142"/>
    <n v="128"/>
    <n v="121"/>
    <n v="3.6273437500000005"/>
    <n v="3.3710743801652892"/>
  </r>
  <r>
    <s v="EMP0210"/>
    <s v="Mary"/>
    <s v="Okoro"/>
    <x v="0"/>
    <n v="40"/>
    <x v="0"/>
    <x v="0"/>
    <s v="2023-07-01"/>
    <n v="8"/>
    <n v="12"/>
    <n v="184208"/>
    <x v="27"/>
    <x v="1"/>
    <n v="79"/>
    <n v="791"/>
    <n v="397"/>
    <n v="394"/>
    <n v="49.650349650349654"/>
    <n v="50.24975024975025"/>
    <n v="370"/>
    <n v="421"/>
    <n v="47.5"/>
    <n v="52.5"/>
    <n v="15.254108723135271"/>
    <n v="127"/>
    <n v="121"/>
    <n v="3.6251968503937011"/>
    <n v="3.3710743801652892"/>
  </r>
  <r>
    <s v="EMP0211"/>
    <s v="James"/>
    <s v="Williams"/>
    <x v="0"/>
    <n v="25"/>
    <x v="1"/>
    <x v="4"/>
    <s v="2024-04-27"/>
    <n v="9"/>
    <n v="14"/>
    <n v="111719"/>
    <x v="24"/>
    <x v="1"/>
    <n v="78"/>
    <n v="790"/>
    <n v="396"/>
    <n v="394"/>
    <n v="49.650349650349654"/>
    <n v="50.24975024975025"/>
    <n v="370"/>
    <n v="420"/>
    <n v="47.5"/>
    <n v="52.5"/>
    <n v="15.258227848101265"/>
    <n v="127"/>
    <n v="121"/>
    <n v="3.6251968503937011"/>
    <n v="3.3710743801652892"/>
  </r>
  <r>
    <s v="EMP0212"/>
    <s v="Grace"/>
    <s v="Ahmed"/>
    <x v="0"/>
    <n v="51"/>
    <x v="4"/>
    <x v="6"/>
    <s v="2023-10-28"/>
    <n v="13"/>
    <n v="18"/>
    <n v="84892"/>
    <x v="11"/>
    <x v="1"/>
    <n v="78"/>
    <n v="789"/>
    <n v="395"/>
    <n v="394"/>
    <n v="49.650349650349654"/>
    <n v="50.24975024975025"/>
    <n v="370"/>
    <n v="419"/>
    <n v="47.5"/>
    <n v="52.5"/>
    <n v="15.259822560202789"/>
    <n v="127"/>
    <n v="120"/>
    <n v="3.6251968503937011"/>
    <n v="3.3691666666666662"/>
  </r>
  <r>
    <s v="EMP0213"/>
    <s v="James"/>
    <s v="Smith"/>
    <x v="0"/>
    <n v="51"/>
    <x v="3"/>
    <x v="8"/>
    <s v="2023-12-26"/>
    <n v="11"/>
    <n v="20"/>
    <n v="132345"/>
    <x v="28"/>
    <x v="0"/>
    <n v="69"/>
    <n v="788"/>
    <n v="394"/>
    <n v="394"/>
    <n v="49.650349650349654"/>
    <n v="50.24975024975025"/>
    <n v="370"/>
    <n v="418"/>
    <n v="47.5"/>
    <n v="52.5"/>
    <n v="15.256345177664974"/>
    <n v="127"/>
    <n v="120"/>
    <n v="3.6251968503937011"/>
    <n v="3.3691666666666662"/>
  </r>
  <r>
    <s v="EMP0214"/>
    <s v="Sarah"/>
    <s v="Ahmed"/>
    <x v="1"/>
    <n v="24"/>
    <x v="0"/>
    <x v="1"/>
    <s v="2019-01-16"/>
    <n v="19"/>
    <n v="23"/>
    <n v="74602"/>
    <x v="10"/>
    <x v="0"/>
    <n v="30"/>
    <n v="787"/>
    <n v="393"/>
    <n v="394"/>
    <n v="49.650349650349654"/>
    <n v="50.24975024975025"/>
    <n v="369"/>
    <n v="418"/>
    <n v="47.5"/>
    <n v="52.5"/>
    <n v="15.250317662007625"/>
    <n v="127"/>
    <n v="120"/>
    <n v="3.6251968503937011"/>
    <n v="3.3691666666666662"/>
  </r>
  <r>
    <s v="EMP0215"/>
    <s v="Daniel"/>
    <s v="Ahmed"/>
    <x v="1"/>
    <n v="25"/>
    <x v="6"/>
    <x v="6"/>
    <s v="2012-02-24"/>
    <n v="6"/>
    <n v="9"/>
    <n v="467079"/>
    <x v="1"/>
    <x v="0"/>
    <n v="38"/>
    <n v="786"/>
    <n v="393"/>
    <n v="393"/>
    <n v="49.650349650349654"/>
    <n v="50.24975024975025"/>
    <n v="368"/>
    <n v="418"/>
    <n v="47.5"/>
    <n v="52.5"/>
    <n v="15.240458015267176"/>
    <n v="127"/>
    <n v="120"/>
    <n v="3.6251968503937011"/>
    <n v="3.3691666666666662"/>
  </r>
  <r>
    <s v="EMP0216"/>
    <s v="James"/>
    <s v="Smith"/>
    <x v="1"/>
    <n v="30"/>
    <x v="6"/>
    <x v="0"/>
    <s v="2014-06-18"/>
    <n v="3"/>
    <n v="11"/>
    <n v="380431"/>
    <x v="2"/>
    <x v="0"/>
    <n v="56"/>
    <n v="785"/>
    <n v="393"/>
    <n v="392"/>
    <n v="49.650349650349654"/>
    <n v="50.24975024975025"/>
    <n v="367"/>
    <n v="418"/>
    <n v="47.5"/>
    <n v="52.5"/>
    <n v="15.248407643312103"/>
    <n v="127"/>
    <n v="120"/>
    <n v="3.6251968503937011"/>
    <n v="3.3691666666666662"/>
  </r>
  <r>
    <s v="EMP0217"/>
    <s v="Daniel"/>
    <s v="Ahmed"/>
    <x v="1"/>
    <n v="30"/>
    <x v="3"/>
    <x v="0"/>
    <s v="2019-11-13"/>
    <n v="7"/>
    <n v="8"/>
    <n v="89668"/>
    <x v="3"/>
    <x v="0"/>
    <n v="44"/>
    <n v="784"/>
    <n v="393"/>
    <n v="391"/>
    <n v="49.650349650349654"/>
    <n v="50.24975024975025"/>
    <n v="366"/>
    <n v="418"/>
    <n v="47.5"/>
    <n v="52.5"/>
    <n v="15.253826530612244"/>
    <n v="127"/>
    <n v="120"/>
    <n v="3.6251968503937011"/>
    <n v="3.3691666666666662"/>
  </r>
  <r>
    <s v="EMP0218"/>
    <s v="Grace"/>
    <s v="Smith"/>
    <x v="1"/>
    <n v="52"/>
    <x v="0"/>
    <x v="9"/>
    <s v="2012-01-26"/>
    <n v="7"/>
    <n v="8"/>
    <n v="405260"/>
    <x v="23"/>
    <x v="0"/>
    <n v="39"/>
    <n v="783"/>
    <n v="393"/>
    <n v="390"/>
    <n v="49.650349650349654"/>
    <n v="50.24975024975025"/>
    <n v="365"/>
    <n v="418"/>
    <n v="47.5"/>
    <n v="52.5"/>
    <n v="15.263090676883781"/>
    <n v="127"/>
    <n v="120"/>
    <n v="3.6251968503937011"/>
    <n v="3.3691666666666662"/>
  </r>
  <r>
    <s v="EMP0219"/>
    <s v="John"/>
    <s v="Garba"/>
    <x v="1"/>
    <n v="28"/>
    <x v="1"/>
    <x v="7"/>
    <s v="2013-08-29"/>
    <n v="3"/>
    <n v="6"/>
    <n v="481392"/>
    <x v="18"/>
    <x v="1"/>
    <n v="97"/>
    <n v="782"/>
    <n v="393"/>
    <n v="389"/>
    <n v="49.650349650349654"/>
    <n v="50.24975024975025"/>
    <n v="364"/>
    <n v="418"/>
    <n v="47.5"/>
    <n v="52.5"/>
    <n v="15.272378516624041"/>
    <n v="127"/>
    <n v="120"/>
    <n v="3.6251968503937011"/>
    <n v="3.3691666666666662"/>
  </r>
  <r>
    <s v="EMP0220"/>
    <s v="Mary"/>
    <s v="Williams"/>
    <x v="0"/>
    <n v="54"/>
    <x v="2"/>
    <x v="8"/>
    <s v="2013-04-16"/>
    <n v="11"/>
    <n v="19"/>
    <n v="413082"/>
    <x v="22"/>
    <x v="0"/>
    <n v="70"/>
    <n v="781"/>
    <n v="393"/>
    <n v="388"/>
    <n v="49.650349650349654"/>
    <n v="50.24975024975025"/>
    <n v="364"/>
    <n v="417"/>
    <n v="47.5"/>
    <n v="52.5"/>
    <n v="15.284250960307299"/>
    <n v="127"/>
    <n v="119"/>
    <n v="3.6251968503937011"/>
    <n v="3.3798319327731092"/>
  </r>
  <r>
    <s v="EMP0221"/>
    <s v="Fatima"/>
    <s v="Ibrahim"/>
    <x v="0"/>
    <n v="48"/>
    <x v="2"/>
    <x v="1"/>
    <s v="2020-06-28"/>
    <n v="16"/>
    <n v="18"/>
    <n v="384675"/>
    <x v="13"/>
    <x v="0"/>
    <n v="34"/>
    <n v="780"/>
    <n v="392"/>
    <n v="388"/>
    <n v="49.650349650349654"/>
    <n v="50.24975024975025"/>
    <n v="363"/>
    <n v="417"/>
    <n v="47.5"/>
    <n v="52.5"/>
    <n v="15.27948717948718"/>
    <n v="127"/>
    <n v="119"/>
    <n v="3.6251968503937011"/>
    <n v="3.3798319327731092"/>
  </r>
  <r>
    <s v="EMP0222"/>
    <s v="Mary"/>
    <s v="Garba"/>
    <x v="1"/>
    <n v="24"/>
    <x v="2"/>
    <x v="2"/>
    <s v="2012-03-13"/>
    <n v="3"/>
    <n v="13"/>
    <n v="169010"/>
    <x v="3"/>
    <x v="1"/>
    <n v="79"/>
    <n v="779"/>
    <n v="391"/>
    <n v="388"/>
    <n v="49.650349650349654"/>
    <n v="50.24975024975025"/>
    <n v="362"/>
    <n v="417"/>
    <n v="47.5"/>
    <n v="52.5"/>
    <n v="15.27599486521181"/>
    <n v="127"/>
    <n v="119"/>
    <n v="3.6251968503937011"/>
    <n v="3.3798319327731092"/>
  </r>
  <r>
    <s v="EMP0223"/>
    <s v="John"/>
    <s v="Musa"/>
    <x v="0"/>
    <n v="30"/>
    <x v="5"/>
    <x v="8"/>
    <s v="2013-05-12"/>
    <n v="20"/>
    <n v="30"/>
    <n v="90085"/>
    <x v="28"/>
    <x v="0"/>
    <n v="53"/>
    <n v="778"/>
    <n v="391"/>
    <n v="387"/>
    <n v="49.650349650349654"/>
    <n v="50.24975024975025"/>
    <n v="362"/>
    <n v="416"/>
    <n v="47.5"/>
    <n v="52.5"/>
    <n v="15.27892030848329"/>
    <n v="127"/>
    <n v="119"/>
    <n v="3.6251968503937011"/>
    <n v="3.3798319327731092"/>
  </r>
  <r>
    <s v="EMP0224"/>
    <s v="Michael"/>
    <s v="Johnson"/>
    <x v="1"/>
    <n v="60"/>
    <x v="6"/>
    <x v="5"/>
    <s v="2021-10-08"/>
    <n v="19"/>
    <n v="27"/>
    <n v="318837"/>
    <x v="11"/>
    <x v="0"/>
    <n v="39"/>
    <n v="777"/>
    <n v="390"/>
    <n v="387"/>
    <n v="49.650349650349654"/>
    <n v="50.24975024975025"/>
    <n v="361"/>
    <n v="416"/>
    <n v="47.5"/>
    <n v="52.5"/>
    <n v="15.25997425997426"/>
    <n v="126"/>
    <n v="119"/>
    <n v="3.6198412698412703"/>
    <n v="3.3798319327731092"/>
  </r>
  <r>
    <s v="EMP0225"/>
    <s v="Peter"/>
    <s v="Ahmed"/>
    <x v="1"/>
    <n v="56"/>
    <x v="4"/>
    <x v="6"/>
    <s v="2021-08-02"/>
    <n v="8"/>
    <n v="17"/>
    <n v="94842"/>
    <x v="26"/>
    <x v="0"/>
    <n v="37"/>
    <n v="776"/>
    <n v="390"/>
    <n v="386"/>
    <n v="49.650349650349654"/>
    <n v="50.24975024975025"/>
    <n v="360"/>
    <n v="416"/>
    <n v="47.5"/>
    <n v="52.5"/>
    <n v="15.244845360824742"/>
    <n v="126"/>
    <n v="119"/>
    <n v="3.6198412698412703"/>
    <n v="3.3798319327731092"/>
  </r>
  <r>
    <s v="EMP0226"/>
    <s v="Grace"/>
    <s v="Ahmed"/>
    <x v="0"/>
    <n v="23"/>
    <x v="0"/>
    <x v="3"/>
    <s v="2014-09-07"/>
    <n v="0"/>
    <n v="3"/>
    <n v="121074"/>
    <x v="4"/>
    <x v="1"/>
    <n v="84"/>
    <n v="775"/>
    <n v="390"/>
    <n v="385"/>
    <n v="49.650349650349654"/>
    <n v="50.24975024975025"/>
    <n v="359"/>
    <n v="416"/>
    <n v="47.5"/>
    <n v="52.5"/>
    <n v="15.24258064516129"/>
    <n v="126"/>
    <n v="119"/>
    <n v="3.6198412698412703"/>
    <n v="3.3798319327731092"/>
  </r>
  <r>
    <s v="EMP0227"/>
    <s v="David"/>
    <s v="Williams"/>
    <x v="1"/>
    <n v="30"/>
    <x v="2"/>
    <x v="6"/>
    <s v="2014-08-07"/>
    <n v="16"/>
    <n v="23"/>
    <n v="365350"/>
    <x v="22"/>
    <x v="0"/>
    <n v="42"/>
    <n v="774"/>
    <n v="389"/>
    <n v="385"/>
    <n v="49.650349650349654"/>
    <n v="50.24975024975025"/>
    <n v="359"/>
    <n v="415"/>
    <n v="47.5"/>
    <n v="52.5"/>
    <n v="15.258397932816537"/>
    <n v="126"/>
    <n v="119"/>
    <n v="3.6198412698412703"/>
    <n v="3.3798319327731092"/>
  </r>
  <r>
    <s v="EMP0228"/>
    <s v="Daniel"/>
    <s v="Jones"/>
    <x v="1"/>
    <n v="30"/>
    <x v="3"/>
    <x v="4"/>
    <s v="2012-05-31"/>
    <n v="16"/>
    <n v="20"/>
    <n v="172225"/>
    <x v="30"/>
    <x v="1"/>
    <n v="72"/>
    <n v="773"/>
    <n v="389"/>
    <n v="384"/>
    <n v="49.650349650349654"/>
    <n v="50.24975024975025"/>
    <n v="358"/>
    <n v="415"/>
    <n v="47.5"/>
    <n v="52.5"/>
    <n v="15.248382923673997"/>
    <n v="126"/>
    <n v="119"/>
    <n v="3.6198412698412703"/>
    <n v="3.3798319327731092"/>
  </r>
  <r>
    <s v="EMP0229"/>
    <s v="Hauwa"/>
    <s v="Jones"/>
    <x v="0"/>
    <n v="33"/>
    <x v="4"/>
    <x v="6"/>
    <s v="2021-08-31"/>
    <n v="5"/>
    <n v="15"/>
    <n v="157891"/>
    <x v="6"/>
    <x v="0"/>
    <n v="59"/>
    <n v="772"/>
    <n v="389"/>
    <n v="383"/>
    <n v="49.650349650349654"/>
    <n v="50.24975024975025"/>
    <n v="358"/>
    <n v="414"/>
    <n v="47.5"/>
    <n v="52.5"/>
    <n v="15.242227979274611"/>
    <n v="126"/>
    <n v="119"/>
    <n v="3.6198412698412703"/>
    <n v="3.3798319327731092"/>
  </r>
  <r>
    <s v="EMP0230"/>
    <s v="David"/>
    <s v="Ahmed"/>
    <x v="1"/>
    <n v="50"/>
    <x v="3"/>
    <x v="0"/>
    <s v="2018-11-02"/>
    <n v="16"/>
    <n v="16"/>
    <n v="250938"/>
    <x v="23"/>
    <x v="0"/>
    <n v="52"/>
    <n v="771"/>
    <n v="388"/>
    <n v="383"/>
    <n v="49.650349650349654"/>
    <n v="50.24975024975025"/>
    <n v="357"/>
    <n v="414"/>
    <n v="47.5"/>
    <n v="52.5"/>
    <n v="15.242542153047989"/>
    <n v="126"/>
    <n v="119"/>
    <n v="3.6198412698412703"/>
    <n v="3.3798319327731092"/>
  </r>
  <r>
    <s v="EMP0231"/>
    <s v="James"/>
    <s v="Williams"/>
    <x v="0"/>
    <n v="25"/>
    <x v="3"/>
    <x v="2"/>
    <s v="2023-04-06"/>
    <n v="18"/>
    <n v="27"/>
    <n v="178646"/>
    <x v="16"/>
    <x v="0"/>
    <n v="35"/>
    <n v="770"/>
    <n v="388"/>
    <n v="382"/>
    <n v="49.650349650349654"/>
    <n v="50.24975024975025"/>
    <n v="356"/>
    <n v="414"/>
    <n v="47.5"/>
    <n v="52.5"/>
    <n v="15.241558441558441"/>
    <n v="126"/>
    <n v="119"/>
    <n v="3.6198412698412703"/>
    <n v="3.3798319327731092"/>
  </r>
  <r>
    <s v="EMP0232"/>
    <s v="James"/>
    <s v="Garba"/>
    <x v="0"/>
    <n v="43"/>
    <x v="5"/>
    <x v="8"/>
    <s v="2022-03-31"/>
    <n v="1"/>
    <n v="11"/>
    <n v="470879"/>
    <x v="11"/>
    <x v="1"/>
    <n v="89"/>
    <n v="769"/>
    <n v="387"/>
    <n v="382"/>
    <n v="49.650349650349654"/>
    <n v="50.24975024975025"/>
    <n v="355"/>
    <n v="414"/>
    <n v="47.5"/>
    <n v="52.5"/>
    <n v="15.226267880364109"/>
    <n v="126"/>
    <n v="119"/>
    <n v="3.6198412698412703"/>
    <n v="3.3798319327731092"/>
  </r>
  <r>
    <s v="EMP0233"/>
    <s v="John"/>
    <s v="Williams"/>
    <x v="1"/>
    <n v="38"/>
    <x v="2"/>
    <x v="9"/>
    <s v="2021-10-19"/>
    <n v="9"/>
    <n v="14"/>
    <n v="173756"/>
    <x v="28"/>
    <x v="0"/>
    <n v="49"/>
    <n v="768"/>
    <n v="386"/>
    <n v="382"/>
    <n v="49.650349650349654"/>
    <n v="50.24975024975025"/>
    <n v="355"/>
    <n v="413"/>
    <n v="47.5"/>
    <n v="52.5"/>
    <n v="15.231770833333334"/>
    <n v="125"/>
    <n v="119"/>
    <n v="3.6112000000000006"/>
    <n v="3.3798319327731092"/>
  </r>
  <r>
    <s v="EMP0234"/>
    <s v="John"/>
    <s v="Johnson"/>
    <x v="0"/>
    <n v="34"/>
    <x v="2"/>
    <x v="8"/>
    <s v="2024-06-11"/>
    <n v="20"/>
    <n v="22"/>
    <n v="447434"/>
    <x v="11"/>
    <x v="1"/>
    <n v="89"/>
    <n v="767"/>
    <n v="386"/>
    <n v="381"/>
    <n v="49.650349650349654"/>
    <n v="50.24975024975025"/>
    <n v="354"/>
    <n v="413"/>
    <n v="47.5"/>
    <n v="52.5"/>
    <n v="15.233376792698827"/>
    <n v="125"/>
    <n v="119"/>
    <n v="3.6112000000000006"/>
    <n v="3.3798319327731092"/>
  </r>
  <r>
    <s v="EMP0235"/>
    <s v="Sarah"/>
    <s v="Williams"/>
    <x v="1"/>
    <n v="57"/>
    <x v="5"/>
    <x v="4"/>
    <s v="2018-02-22"/>
    <n v="5"/>
    <n v="7"/>
    <n v="268108"/>
    <x v="8"/>
    <x v="1"/>
    <n v="99"/>
    <n v="766"/>
    <n v="385"/>
    <n v="381"/>
    <n v="49.650349650349654"/>
    <n v="50.24975024975025"/>
    <n v="354"/>
    <n v="412"/>
    <n v="47.5"/>
    <n v="52.5"/>
    <n v="15.224543080939947"/>
    <n v="125"/>
    <n v="119"/>
    <n v="3.6112000000000006"/>
    <n v="3.3798319327731092"/>
  </r>
  <r>
    <s v="EMP0236"/>
    <s v="Grace"/>
    <s v="Williams"/>
    <x v="1"/>
    <n v="37"/>
    <x v="3"/>
    <x v="2"/>
    <s v="2022-12-24"/>
    <n v="13"/>
    <n v="13"/>
    <n v="416192"/>
    <x v="10"/>
    <x v="0"/>
    <n v="53"/>
    <n v="765"/>
    <n v="385"/>
    <n v="380"/>
    <n v="49.650349650349654"/>
    <n v="50.24975024975025"/>
    <n v="354"/>
    <n v="411"/>
    <n v="47.5"/>
    <n v="52.5"/>
    <n v="15.235294117647058"/>
    <n v="124"/>
    <n v="119"/>
    <n v="3.6048387096774204"/>
    <n v="3.3798319327731092"/>
  </r>
  <r>
    <s v="EMP0237"/>
    <s v="Fatima"/>
    <s v="Smith"/>
    <x v="1"/>
    <n v="30"/>
    <x v="5"/>
    <x v="3"/>
    <s v="2015-03-25"/>
    <n v="14"/>
    <n v="19"/>
    <n v="213092"/>
    <x v="19"/>
    <x v="1"/>
    <n v="81"/>
    <n v="764"/>
    <n v="385"/>
    <n v="379"/>
    <n v="49.650349650349654"/>
    <n v="50.24975024975025"/>
    <n v="353"/>
    <n v="411"/>
    <n v="47.5"/>
    <n v="52.5"/>
    <n v="15.238219895287958"/>
    <n v="124"/>
    <n v="119"/>
    <n v="3.6048387096774204"/>
    <n v="3.3798319327731092"/>
  </r>
  <r>
    <s v="EMP0238"/>
    <s v="David"/>
    <s v="Ahmed"/>
    <x v="1"/>
    <n v="57"/>
    <x v="1"/>
    <x v="7"/>
    <s v="2022-04-21"/>
    <n v="16"/>
    <n v="16"/>
    <n v="386177"/>
    <x v="14"/>
    <x v="1"/>
    <n v="81"/>
    <n v="763"/>
    <n v="385"/>
    <n v="378"/>
    <n v="49.650349650349654"/>
    <n v="50.24975024975025"/>
    <n v="353"/>
    <n v="410"/>
    <n v="47.5"/>
    <n v="52.5"/>
    <n v="15.233289646133683"/>
    <n v="123"/>
    <n v="119"/>
    <n v="3.6154471544715459"/>
    <n v="3.3798319327731092"/>
  </r>
  <r>
    <s v="EMP0239"/>
    <s v="Daniel"/>
    <s v="Okoro"/>
    <x v="0"/>
    <n v="52"/>
    <x v="0"/>
    <x v="7"/>
    <s v="2016-12-13"/>
    <n v="16"/>
    <n v="16"/>
    <n v="488732"/>
    <x v="29"/>
    <x v="1"/>
    <n v="84"/>
    <n v="762"/>
    <n v="385"/>
    <n v="377"/>
    <n v="49.650349650349654"/>
    <n v="50.24975024975025"/>
    <n v="353"/>
    <n v="409"/>
    <n v="47.5"/>
    <n v="52.5"/>
    <n v="15.23228346456693"/>
    <n v="123"/>
    <n v="118"/>
    <n v="3.6154471544715459"/>
    <n v="3.3847457627118636"/>
  </r>
  <r>
    <s v="EMP0240"/>
    <s v="Hauwa"/>
    <s v="Okoro"/>
    <x v="1"/>
    <n v="43"/>
    <x v="3"/>
    <x v="3"/>
    <s v="2014-04-15"/>
    <n v="15"/>
    <n v="21"/>
    <n v="477551"/>
    <x v="28"/>
    <x v="0"/>
    <n v="65"/>
    <n v="761"/>
    <n v="384"/>
    <n v="377"/>
    <n v="49.650349650349654"/>
    <n v="50.24975024975025"/>
    <n v="353"/>
    <n v="408"/>
    <n v="47.5"/>
    <n v="52.5"/>
    <n v="15.231274638633376"/>
    <n v="123"/>
    <n v="118"/>
    <n v="3.6154471544715459"/>
    <n v="3.3847457627118636"/>
  </r>
  <r>
    <s v="EMP0241"/>
    <s v="Mary"/>
    <s v="Williams"/>
    <x v="0"/>
    <n v="50"/>
    <x v="2"/>
    <x v="5"/>
    <s v="2016-09-27"/>
    <n v="2"/>
    <n v="4"/>
    <n v="271443"/>
    <x v="28"/>
    <x v="0"/>
    <n v="55"/>
    <n v="760"/>
    <n v="384"/>
    <n v="376"/>
    <n v="49.650349650349654"/>
    <n v="50.24975024975025"/>
    <n v="352"/>
    <n v="408"/>
    <n v="47.5"/>
    <n v="52.5"/>
    <n v="15.223684210526315"/>
    <n v="123"/>
    <n v="118"/>
    <n v="3.6154471544715459"/>
    <n v="3.3847457627118636"/>
  </r>
  <r>
    <s v="EMP0242"/>
    <s v="Sarah"/>
    <s v="Smith"/>
    <x v="1"/>
    <n v="50"/>
    <x v="4"/>
    <x v="9"/>
    <s v="2014-10-23"/>
    <n v="18"/>
    <n v="20"/>
    <n v="95361"/>
    <x v="3"/>
    <x v="1"/>
    <n v="81"/>
    <n v="759"/>
    <n v="383"/>
    <n v="376"/>
    <n v="49.650349650349654"/>
    <n v="50.24975024975025"/>
    <n v="351"/>
    <n v="408"/>
    <n v="47.5"/>
    <n v="52.5"/>
    <n v="15.238471673254281"/>
    <n v="123"/>
    <n v="118"/>
    <n v="3.6154471544715459"/>
    <n v="3.3847457627118636"/>
  </r>
  <r>
    <s v="EMP0243"/>
    <s v="Sarah"/>
    <s v="Ibrahim"/>
    <x v="1"/>
    <n v="44"/>
    <x v="0"/>
    <x v="6"/>
    <s v="2014-02-28"/>
    <n v="7"/>
    <n v="16"/>
    <n v="80175"/>
    <x v="5"/>
    <x v="1"/>
    <n v="74"/>
    <n v="758"/>
    <n v="383"/>
    <n v="375"/>
    <n v="49.650349650349654"/>
    <n v="50.24975024975025"/>
    <n v="351"/>
    <n v="407"/>
    <n v="47.5"/>
    <n v="52.5"/>
    <n v="15.232189973614776"/>
    <n v="123"/>
    <n v="118"/>
    <n v="3.6154471544715459"/>
    <n v="3.3847457627118636"/>
  </r>
  <r>
    <s v="EMP0244"/>
    <s v="James"/>
    <s v="Johnson"/>
    <x v="1"/>
    <n v="53"/>
    <x v="4"/>
    <x v="0"/>
    <s v="2021-05-22"/>
    <n v="16"/>
    <n v="23"/>
    <n v="195851"/>
    <x v="29"/>
    <x v="0"/>
    <n v="55"/>
    <n v="757"/>
    <n v="383"/>
    <n v="374"/>
    <n v="49.650349650349654"/>
    <n v="50.24975024975025"/>
    <n v="351"/>
    <n v="406"/>
    <n v="47.5"/>
    <n v="52.5"/>
    <n v="15.231175693527081"/>
    <n v="123"/>
    <n v="118"/>
    <n v="3.6154471544715459"/>
    <n v="3.3847457627118636"/>
  </r>
  <r>
    <s v="EMP0245"/>
    <s v="David"/>
    <s v="Williams"/>
    <x v="1"/>
    <n v="45"/>
    <x v="2"/>
    <x v="5"/>
    <s v="2018-02-22"/>
    <n v="12"/>
    <n v="18"/>
    <n v="473985"/>
    <x v="10"/>
    <x v="0"/>
    <n v="44"/>
    <n v="756"/>
    <n v="383"/>
    <n v="373"/>
    <n v="49.650349650349654"/>
    <n v="50.24975024975025"/>
    <n v="350"/>
    <n v="406"/>
    <n v="47.5"/>
    <n v="52.5"/>
    <n v="15.220899470899472"/>
    <n v="123"/>
    <n v="118"/>
    <n v="3.6154471544715459"/>
    <n v="3.3847457627118636"/>
  </r>
  <r>
    <s v="EMP0246"/>
    <s v="Daniel"/>
    <s v="Ahmed"/>
    <x v="1"/>
    <n v="32"/>
    <x v="2"/>
    <x v="9"/>
    <s v="2018-06-17"/>
    <n v="16"/>
    <n v="20"/>
    <n v="107212"/>
    <x v="13"/>
    <x v="1"/>
    <n v="95"/>
    <n v="755"/>
    <n v="383"/>
    <n v="372"/>
    <n v="49.650349650349654"/>
    <n v="50.24975024975025"/>
    <n v="349"/>
    <n v="406"/>
    <n v="47.5"/>
    <n v="52.5"/>
    <n v="15.217218543046357"/>
    <n v="123"/>
    <n v="118"/>
    <n v="3.6154471544715459"/>
    <n v="3.3847457627118636"/>
  </r>
  <r>
    <s v="EMP0247"/>
    <s v="John"/>
    <s v="Okoro"/>
    <x v="0"/>
    <n v="53"/>
    <x v="6"/>
    <x v="6"/>
    <s v="2015-03-13"/>
    <n v="3"/>
    <n v="9"/>
    <n v="194317"/>
    <x v="21"/>
    <x v="0"/>
    <n v="48"/>
    <n v="754"/>
    <n v="383"/>
    <n v="371"/>
    <n v="49.650349650349654"/>
    <n v="50.24975024975025"/>
    <n v="349"/>
    <n v="405"/>
    <n v="47.5"/>
    <n v="52.5"/>
    <n v="15.210875331564987"/>
    <n v="123"/>
    <n v="118"/>
    <n v="3.6154471544715459"/>
    <n v="3.3847457627118636"/>
  </r>
  <r>
    <s v="EMP0248"/>
    <s v="Mary"/>
    <s v="Okoro"/>
    <x v="1"/>
    <n v="56"/>
    <x v="6"/>
    <x v="8"/>
    <s v="2015-08-27"/>
    <n v="12"/>
    <n v="14"/>
    <n v="221610"/>
    <x v="17"/>
    <x v="1"/>
    <n v="75"/>
    <n v="753"/>
    <n v="382"/>
    <n v="371"/>
    <n v="49.650349650349654"/>
    <n v="50.24975024975025"/>
    <n v="348"/>
    <n v="405"/>
    <n v="47.5"/>
    <n v="52.5"/>
    <n v="15.219123505976096"/>
    <n v="123"/>
    <n v="118"/>
    <n v="3.6154471544715459"/>
    <n v="3.3847457627118636"/>
  </r>
  <r>
    <s v="EMP0249"/>
    <s v="Sarah"/>
    <s v="Ibrahim"/>
    <x v="0"/>
    <n v="44"/>
    <x v="2"/>
    <x v="9"/>
    <s v="2016-12-22"/>
    <n v="10"/>
    <n v="12"/>
    <n v="178456"/>
    <x v="20"/>
    <x v="0"/>
    <n v="35"/>
    <n v="752"/>
    <n v="382"/>
    <n v="370"/>
    <n v="49.650349650349654"/>
    <n v="50.24975024975025"/>
    <n v="348"/>
    <n v="404"/>
    <n v="47.5"/>
    <n v="52.5"/>
    <n v="15.220744680851064"/>
    <n v="123"/>
    <n v="118"/>
    <n v="3.6154471544715459"/>
    <n v="3.3847457627118636"/>
  </r>
  <r>
    <s v="EMP0250"/>
    <s v="Peter"/>
    <s v="Smith"/>
    <x v="0"/>
    <n v="56"/>
    <x v="2"/>
    <x v="8"/>
    <s v="2021-03-13"/>
    <n v="12"/>
    <n v="15"/>
    <n v="257247"/>
    <x v="27"/>
    <x v="1"/>
    <n v="85"/>
    <n v="751"/>
    <n v="381"/>
    <n v="370"/>
    <n v="49.650349650349654"/>
    <n v="50.24975024975025"/>
    <n v="347"/>
    <n v="404"/>
    <n v="47.5"/>
    <n v="52.5"/>
    <n v="15.225033288948069"/>
    <n v="123"/>
    <n v="118"/>
    <n v="3.6154471544715459"/>
    <n v="3.3847457627118636"/>
  </r>
  <r>
    <s v="EMP0251"/>
    <s v="Daniel"/>
    <s v="Smith"/>
    <x v="0"/>
    <n v="22"/>
    <x v="1"/>
    <x v="5"/>
    <s v="2021-09-05"/>
    <n v="0"/>
    <n v="4"/>
    <n v="360079"/>
    <x v="10"/>
    <x v="0"/>
    <n v="57"/>
    <n v="750"/>
    <n v="380"/>
    <n v="370"/>
    <n v="49.650349650349654"/>
    <n v="50.24975024975025"/>
    <n v="347"/>
    <n v="403"/>
    <n v="47.5"/>
    <n v="52.5"/>
    <n v="15.225333333333333"/>
    <n v="123"/>
    <n v="118"/>
    <n v="3.6154471544715459"/>
    <n v="3.3847457627118636"/>
  </r>
  <r>
    <s v="EMP0252"/>
    <s v="Mary"/>
    <s v="Garba"/>
    <x v="0"/>
    <n v="54"/>
    <x v="5"/>
    <x v="9"/>
    <s v="2014-02-08"/>
    <n v="5"/>
    <n v="15"/>
    <n v="244183"/>
    <x v="2"/>
    <x v="1"/>
    <n v="94"/>
    <n v="749"/>
    <n v="379"/>
    <n v="370"/>
    <n v="49.650349650349654"/>
    <n v="50.24975024975025"/>
    <n v="346"/>
    <n v="403"/>
    <n v="47.5"/>
    <n v="52.5"/>
    <n v="15.240320427236314"/>
    <n v="123"/>
    <n v="117"/>
    <n v="3.6154471544715459"/>
    <n v="3.3871794871794862"/>
  </r>
  <r>
    <s v="EMP0253"/>
    <s v="Peter"/>
    <s v="Jones"/>
    <x v="0"/>
    <n v="39"/>
    <x v="6"/>
    <x v="9"/>
    <s v="2023-01-01"/>
    <n v="16"/>
    <n v="16"/>
    <n v="102583"/>
    <x v="30"/>
    <x v="1"/>
    <n v="83"/>
    <n v="748"/>
    <n v="378"/>
    <n v="370"/>
    <n v="49.650349650349654"/>
    <n v="50.24975024975025"/>
    <n v="346"/>
    <n v="402"/>
    <n v="47.5"/>
    <n v="52.5"/>
    <n v="15.240641711229946"/>
    <n v="122"/>
    <n v="117"/>
    <n v="3.6147540983606565"/>
    <n v="3.3871794871794862"/>
  </r>
  <r>
    <s v="EMP0254"/>
    <s v="Mary"/>
    <s v="Garba"/>
    <x v="0"/>
    <n v="41"/>
    <x v="6"/>
    <x v="3"/>
    <s v="2014-06-25"/>
    <n v="13"/>
    <n v="21"/>
    <n v="154380"/>
    <x v="19"/>
    <x v="1"/>
    <n v="84"/>
    <n v="747"/>
    <n v="377"/>
    <n v="370"/>
    <n v="49.650349650349654"/>
    <n v="50.24975024975025"/>
    <n v="346"/>
    <n v="401"/>
    <n v="47.5"/>
    <n v="52.5"/>
    <n v="15.23962516733601"/>
    <n v="122"/>
    <n v="117"/>
    <n v="3.6147540983606565"/>
    <n v="3.3871794871794862"/>
  </r>
  <r>
    <s v="EMP0255"/>
    <s v="Grace"/>
    <s v="Musa"/>
    <x v="1"/>
    <n v="42"/>
    <x v="3"/>
    <x v="3"/>
    <s v="2016-12-12"/>
    <n v="3"/>
    <n v="12"/>
    <n v="499066"/>
    <x v="30"/>
    <x v="0"/>
    <n v="58"/>
    <n v="746"/>
    <n v="376"/>
    <n v="370"/>
    <n v="49.650349650349654"/>
    <n v="50.24975024975025"/>
    <n v="346"/>
    <n v="400"/>
    <n v="47.5"/>
    <n v="52.5"/>
    <n v="15.231903485254692"/>
    <n v="122"/>
    <n v="117"/>
    <n v="3.6147540983606565"/>
    <n v="3.3871794871794862"/>
  </r>
  <r>
    <s v="EMP0256"/>
    <s v="Michael"/>
    <s v="Williams"/>
    <x v="0"/>
    <n v="54"/>
    <x v="4"/>
    <x v="2"/>
    <s v="2017-06-09"/>
    <n v="7"/>
    <n v="12"/>
    <n v="471826"/>
    <x v="30"/>
    <x v="1"/>
    <n v="88"/>
    <n v="745"/>
    <n v="376"/>
    <n v="369"/>
    <n v="49.650349650349654"/>
    <n v="50.24975024975025"/>
    <n v="345"/>
    <n v="400"/>
    <n v="47.5"/>
    <n v="52.5"/>
    <n v="15.236241610738254"/>
    <n v="122"/>
    <n v="117"/>
    <n v="3.6147540983606565"/>
    <n v="3.3871794871794862"/>
  </r>
  <r>
    <s v="EMP0257"/>
    <s v="Mary"/>
    <s v="Garba"/>
    <x v="0"/>
    <n v="57"/>
    <x v="5"/>
    <x v="7"/>
    <s v="2024-08-01"/>
    <n v="15"/>
    <n v="17"/>
    <n v="339354"/>
    <x v="5"/>
    <x v="0"/>
    <n v="65"/>
    <n v="744"/>
    <n v="375"/>
    <n v="369"/>
    <n v="49.650349650349654"/>
    <n v="50.24975024975025"/>
    <n v="345"/>
    <n v="399"/>
    <n v="47.5"/>
    <n v="52.5"/>
    <n v="15.240591397849462"/>
    <n v="122"/>
    <n v="117"/>
    <n v="3.6147540983606565"/>
    <n v="3.3871794871794862"/>
  </r>
  <r>
    <s v="EMP0258"/>
    <s v="Mary"/>
    <s v="Brown"/>
    <x v="0"/>
    <n v="25"/>
    <x v="1"/>
    <x v="8"/>
    <s v="2016-06-24"/>
    <n v="5"/>
    <n v="10"/>
    <n v="73142"/>
    <x v="30"/>
    <x v="0"/>
    <n v="67"/>
    <n v="743"/>
    <n v="374"/>
    <n v="369"/>
    <n v="49.650349650349654"/>
    <n v="50.24975024975025"/>
    <n v="344"/>
    <n v="399"/>
    <n v="47.5"/>
    <n v="52.5"/>
    <n v="15.238223418573352"/>
    <n v="121"/>
    <n v="117"/>
    <n v="3.60413223140496"/>
    <n v="3.3871794871794862"/>
  </r>
  <r>
    <s v="EMP0259"/>
    <s v="Grace"/>
    <s v="Jones"/>
    <x v="1"/>
    <n v="52"/>
    <x v="2"/>
    <x v="5"/>
    <s v="2013-12-09"/>
    <n v="14"/>
    <n v="22"/>
    <n v="261418"/>
    <x v="17"/>
    <x v="1"/>
    <n v="71"/>
    <n v="742"/>
    <n v="373"/>
    <n v="369"/>
    <n v="49.650349650349654"/>
    <n v="50.24975024975025"/>
    <n v="343"/>
    <n v="399"/>
    <n v="47.5"/>
    <n v="52.5"/>
    <n v="15.245283018867925"/>
    <n v="121"/>
    <n v="116"/>
    <n v="3.60413223140496"/>
    <n v="3.3939655172413787"/>
  </r>
  <r>
    <s v="EMP0260"/>
    <s v="Sarah"/>
    <s v="Jones"/>
    <x v="0"/>
    <n v="36"/>
    <x v="5"/>
    <x v="8"/>
    <s v="2022-09-10"/>
    <n v="12"/>
    <n v="17"/>
    <n v="428494"/>
    <x v="10"/>
    <x v="1"/>
    <n v="98"/>
    <n v="741"/>
    <n v="373"/>
    <n v="368"/>
    <n v="49.650349650349654"/>
    <n v="50.24975024975025"/>
    <n v="343"/>
    <n v="398"/>
    <n v="47.5"/>
    <n v="52.5"/>
    <n v="15.2361673414305"/>
    <n v="121"/>
    <n v="116"/>
    <n v="3.60413223140496"/>
    <n v="3.3939655172413787"/>
  </r>
  <r>
    <s v="EMP0261"/>
    <s v="David"/>
    <s v="Brown"/>
    <x v="0"/>
    <n v="40"/>
    <x v="3"/>
    <x v="1"/>
    <s v="2017-09-11"/>
    <n v="5"/>
    <n v="9"/>
    <n v="342956"/>
    <x v="11"/>
    <x v="0"/>
    <n v="41"/>
    <n v="740"/>
    <n v="372"/>
    <n v="368"/>
    <n v="49.650349650349654"/>
    <n v="50.24975024975025"/>
    <n v="343"/>
    <n v="397"/>
    <n v="47.5"/>
    <n v="52.5"/>
    <n v="15.233783783783784"/>
    <n v="120"/>
    <n v="116"/>
    <n v="3.6083333333333347"/>
    <n v="3.3939655172413787"/>
  </r>
  <r>
    <s v="EMP0262"/>
    <s v="Amina"/>
    <s v="Garba"/>
    <x v="0"/>
    <n v="52"/>
    <x v="4"/>
    <x v="9"/>
    <s v="2017-12-11"/>
    <n v="10"/>
    <n v="14"/>
    <n v="407511"/>
    <x v="26"/>
    <x v="1"/>
    <n v="96"/>
    <n v="739"/>
    <n v="371"/>
    <n v="368"/>
    <n v="49.650349650349654"/>
    <n v="50.24975024975025"/>
    <n v="342"/>
    <n v="397"/>
    <n v="47.5"/>
    <n v="52.5"/>
    <n v="15.242219215155616"/>
    <n v="120"/>
    <n v="116"/>
    <n v="3.6083333333333347"/>
    <n v="3.3939655172413787"/>
  </r>
  <r>
    <s v="EMP0263"/>
    <s v="David"/>
    <s v="Brown"/>
    <x v="0"/>
    <n v="28"/>
    <x v="0"/>
    <x v="1"/>
    <s v="2012-02-23"/>
    <n v="15"/>
    <n v="23"/>
    <n v="259542"/>
    <x v="24"/>
    <x v="1"/>
    <n v="79"/>
    <n v="738"/>
    <n v="370"/>
    <n v="368"/>
    <n v="49.650349650349654"/>
    <n v="50.24975024975025"/>
    <n v="342"/>
    <n v="396"/>
    <n v="47.5"/>
    <n v="52.5"/>
    <n v="15.24390243902439"/>
    <n v="120"/>
    <n v="116"/>
    <n v="3.6083333333333347"/>
    <n v="3.3939655172413787"/>
  </r>
  <r>
    <s v="EMP0264"/>
    <s v="Mary"/>
    <s v="Garba"/>
    <x v="0"/>
    <n v="38"/>
    <x v="3"/>
    <x v="2"/>
    <s v="2025-02-02"/>
    <n v="10"/>
    <n v="13"/>
    <n v="229798"/>
    <x v="2"/>
    <x v="0"/>
    <n v="63"/>
    <n v="737"/>
    <n v="369"/>
    <n v="368"/>
    <n v="49.650349650349654"/>
    <n v="50.24975024975025"/>
    <n v="342"/>
    <n v="395"/>
    <n v="47.5"/>
    <n v="52.5"/>
    <n v="15.233378561736771"/>
    <n v="120"/>
    <n v="116"/>
    <n v="3.6083333333333347"/>
    <n v="3.3939655172413787"/>
  </r>
  <r>
    <s v="EMP0265"/>
    <s v="Fatima"/>
    <s v="Garba"/>
    <x v="0"/>
    <n v="55"/>
    <x v="1"/>
    <x v="7"/>
    <s v="2013-03-24"/>
    <n v="3"/>
    <n v="10"/>
    <n v="395645"/>
    <x v="27"/>
    <x v="0"/>
    <n v="32"/>
    <n v="736"/>
    <n v="368"/>
    <n v="368"/>
    <n v="49.650349650349654"/>
    <n v="50.24975024975025"/>
    <n v="341"/>
    <n v="395"/>
    <n v="47.5"/>
    <n v="52.5"/>
    <n v="15.236413043478262"/>
    <n v="120"/>
    <n v="116"/>
    <n v="3.6083333333333347"/>
    <n v="3.3939655172413787"/>
  </r>
  <r>
    <s v="EMP0266"/>
    <s v="Grace"/>
    <s v="Williams"/>
    <x v="0"/>
    <n v="21"/>
    <x v="5"/>
    <x v="4"/>
    <s v="2019-04-11"/>
    <n v="9"/>
    <n v="10"/>
    <n v="325323"/>
    <x v="16"/>
    <x v="1"/>
    <n v="91"/>
    <n v="735"/>
    <n v="367"/>
    <n v="368"/>
    <n v="49.650349650349654"/>
    <n v="50.24975024975025"/>
    <n v="340"/>
    <n v="395"/>
    <n v="47.5"/>
    <n v="52.5"/>
    <n v="15.243537414965987"/>
    <n v="120"/>
    <n v="115"/>
    <n v="3.6083333333333347"/>
    <n v="3.3982608695652168"/>
  </r>
  <r>
    <s v="EMP0267"/>
    <s v="John"/>
    <s v="Jones"/>
    <x v="0"/>
    <n v="41"/>
    <x v="4"/>
    <x v="4"/>
    <s v="2018-11-02"/>
    <n v="18"/>
    <n v="28"/>
    <n v="167456"/>
    <x v="5"/>
    <x v="0"/>
    <n v="30"/>
    <n v="734"/>
    <n v="366"/>
    <n v="368"/>
    <n v="49.650349650349654"/>
    <n v="50.24975024975025"/>
    <n v="340"/>
    <n v="394"/>
    <n v="47.5"/>
    <n v="52.5"/>
    <n v="15.250681198910081"/>
    <n v="119"/>
    <n v="115"/>
    <n v="3.5966386554621863"/>
    <n v="3.3982608695652168"/>
  </r>
  <r>
    <s v="EMP0268"/>
    <s v="David"/>
    <s v="Garba"/>
    <x v="0"/>
    <n v="43"/>
    <x v="2"/>
    <x v="8"/>
    <s v="2014-09-05"/>
    <n v="4"/>
    <n v="6"/>
    <n v="74824"/>
    <x v="8"/>
    <x v="1"/>
    <n v="78"/>
    <n v="733"/>
    <n v="365"/>
    <n v="368"/>
    <n v="49.650349650349654"/>
    <n v="50.24975024975025"/>
    <n v="339"/>
    <n v="394"/>
    <n v="47.5"/>
    <n v="52.5"/>
    <n v="15.233287858117325"/>
    <n v="119"/>
    <n v="115"/>
    <n v="3.5966386554621863"/>
    <n v="3.3982608695652168"/>
  </r>
  <r>
    <s v="EMP0269"/>
    <s v="Peter"/>
    <s v="Johnson"/>
    <x v="1"/>
    <n v="30"/>
    <x v="4"/>
    <x v="1"/>
    <s v="2016-06-27"/>
    <n v="9"/>
    <n v="17"/>
    <n v="404204"/>
    <x v="14"/>
    <x v="0"/>
    <n v="46"/>
    <n v="732"/>
    <n v="364"/>
    <n v="368"/>
    <n v="49.650349650349654"/>
    <n v="50.24975024975025"/>
    <n v="339"/>
    <n v="393"/>
    <n v="47.5"/>
    <n v="52.5"/>
    <n v="15.245901639344263"/>
    <n v="119"/>
    <n v="115"/>
    <n v="3.5966386554621863"/>
    <n v="3.3982608695652168"/>
  </r>
  <r>
    <s v="EMP0270"/>
    <s v="Hauwa"/>
    <s v="Brown"/>
    <x v="1"/>
    <n v="21"/>
    <x v="0"/>
    <x v="0"/>
    <s v="2025-03-05"/>
    <n v="1"/>
    <n v="1"/>
    <n v="272233"/>
    <x v="16"/>
    <x v="0"/>
    <n v="42"/>
    <n v="731"/>
    <n v="364"/>
    <n v="367"/>
    <n v="49.650349650349654"/>
    <n v="50.24975024975025"/>
    <n v="338"/>
    <n v="393"/>
    <n v="47.5"/>
    <n v="52.5"/>
    <n v="15.243502051983585"/>
    <n v="119"/>
    <n v="115"/>
    <n v="3.5966386554621863"/>
    <n v="3.3982608695652168"/>
  </r>
  <r>
    <s v="EMP0271"/>
    <s v="Sarah"/>
    <s v="Ibrahim"/>
    <x v="0"/>
    <n v="49"/>
    <x v="6"/>
    <x v="5"/>
    <s v="2022-04-14"/>
    <n v="11"/>
    <n v="19"/>
    <n v="344278"/>
    <x v="29"/>
    <x v="1"/>
    <n v="85"/>
    <n v="730"/>
    <n v="364"/>
    <n v="366"/>
    <n v="49.650349650349654"/>
    <n v="50.24975024975025"/>
    <n v="337"/>
    <n v="393"/>
    <n v="47.5"/>
    <n v="52.5"/>
    <n v="15.263013698630138"/>
    <n v="119"/>
    <n v="115"/>
    <n v="3.5966386554621863"/>
    <n v="3.3982608695652168"/>
  </r>
  <r>
    <s v="EMP0272"/>
    <s v="David"/>
    <s v="Ahmed"/>
    <x v="0"/>
    <n v="50"/>
    <x v="3"/>
    <x v="4"/>
    <s v="2019-07-17"/>
    <n v="19"/>
    <n v="27"/>
    <n v="74707"/>
    <x v="18"/>
    <x v="0"/>
    <n v="67"/>
    <n v="729"/>
    <n v="363"/>
    <n v="366"/>
    <n v="49.650349650349654"/>
    <n v="50.24975024975025"/>
    <n v="337"/>
    <n v="392"/>
    <n v="47.5"/>
    <n v="52.5"/>
    <n v="15.257887517146777"/>
    <n v="119"/>
    <n v="115"/>
    <n v="3.5966386554621863"/>
    <n v="3.3982608695652168"/>
  </r>
  <r>
    <s v="EMP0273"/>
    <s v="Peter"/>
    <s v="Ahmed"/>
    <x v="1"/>
    <n v="58"/>
    <x v="5"/>
    <x v="4"/>
    <s v="2023-05-25"/>
    <n v="2"/>
    <n v="9"/>
    <n v="147733"/>
    <x v="11"/>
    <x v="1"/>
    <n v="98"/>
    <n v="728"/>
    <n v="362"/>
    <n v="366"/>
    <n v="49.650349650349654"/>
    <n v="50.24975024975025"/>
    <n v="336"/>
    <n v="392"/>
    <n v="47.5"/>
    <n v="52.5"/>
    <n v="15.241758241758241"/>
    <n v="119"/>
    <n v="115"/>
    <n v="3.5966386554621863"/>
    <n v="3.3982608695652168"/>
  </r>
  <r>
    <s v="EMP0274"/>
    <s v="Amina"/>
    <s v="Musa"/>
    <x v="1"/>
    <n v="56"/>
    <x v="3"/>
    <x v="7"/>
    <s v="2015-10-31"/>
    <n v="15"/>
    <n v="23"/>
    <n v="130387"/>
    <x v="3"/>
    <x v="1"/>
    <n v="95"/>
    <n v="727"/>
    <n v="362"/>
    <n v="365"/>
    <n v="49.650349650349654"/>
    <n v="50.24975024975025"/>
    <n v="336"/>
    <n v="391"/>
    <n v="47.5"/>
    <n v="52.5"/>
    <n v="15.250343878954608"/>
    <n v="118"/>
    <n v="115"/>
    <n v="3.5872881355932216"/>
    <n v="3.3982608695652168"/>
  </r>
  <r>
    <s v="EMP0275"/>
    <s v="John"/>
    <s v="Williams"/>
    <x v="1"/>
    <n v="54"/>
    <x v="1"/>
    <x v="4"/>
    <s v="2017-12-04"/>
    <n v="11"/>
    <n v="19"/>
    <n v="126904"/>
    <x v="15"/>
    <x v="1"/>
    <n v="74"/>
    <n v="726"/>
    <n v="362"/>
    <n v="364"/>
    <n v="49.650349650349654"/>
    <n v="50.24975024975025"/>
    <n v="336"/>
    <n v="390"/>
    <n v="47.5"/>
    <n v="52.5"/>
    <n v="15.239669421487603"/>
    <n v="118"/>
    <n v="115"/>
    <n v="3.5872881355932216"/>
    <n v="3.3982608695652168"/>
  </r>
  <r>
    <s v="EMP0276"/>
    <s v="Daniel"/>
    <s v="Okoro"/>
    <x v="1"/>
    <n v="37"/>
    <x v="1"/>
    <x v="0"/>
    <s v="2024-09-01"/>
    <n v="12"/>
    <n v="19"/>
    <n v="214600"/>
    <x v="2"/>
    <x v="0"/>
    <n v="48"/>
    <n v="725"/>
    <n v="362"/>
    <n v="363"/>
    <n v="49.650349650349654"/>
    <n v="50.24975024975025"/>
    <n v="336"/>
    <n v="389"/>
    <n v="47.5"/>
    <n v="52.5"/>
    <n v="15.23448275862069"/>
    <n v="118"/>
    <n v="114"/>
    <n v="3.5872881355932216"/>
    <n v="3.3973684210526307"/>
  </r>
  <r>
    <s v="EMP0277"/>
    <s v="John"/>
    <s v="Smith"/>
    <x v="0"/>
    <n v="26"/>
    <x v="0"/>
    <x v="0"/>
    <s v="2015-05-31"/>
    <n v="17"/>
    <n v="26"/>
    <n v="151705"/>
    <x v="6"/>
    <x v="0"/>
    <n v="59"/>
    <n v="724"/>
    <n v="362"/>
    <n v="362"/>
    <n v="49.650349650349654"/>
    <n v="50.24975024975025"/>
    <n v="335"/>
    <n v="389"/>
    <n v="47.5"/>
    <n v="52.5"/>
    <n v="15.229281767955801"/>
    <n v="118"/>
    <n v="113"/>
    <n v="3.5872881355932216"/>
    <n v="3.3946902654867248"/>
  </r>
  <r>
    <s v="EMP0278"/>
    <s v="Michael"/>
    <s v="Smith"/>
    <x v="0"/>
    <n v="29"/>
    <x v="4"/>
    <x v="4"/>
    <s v="2023-07-19"/>
    <n v="14"/>
    <n v="21"/>
    <n v="478549"/>
    <x v="17"/>
    <x v="1"/>
    <n v="86"/>
    <n v="723"/>
    <n v="361"/>
    <n v="362"/>
    <n v="49.650349650349654"/>
    <n v="50.24975024975025"/>
    <n v="334"/>
    <n v="389"/>
    <n v="47.5"/>
    <n v="52.5"/>
    <n v="15.214384508990317"/>
    <n v="118"/>
    <n v="113"/>
    <n v="3.5872881355932216"/>
    <n v="3.3946902654867248"/>
  </r>
  <r>
    <s v="EMP0279"/>
    <s v="John"/>
    <s v="Jones"/>
    <x v="0"/>
    <n v="33"/>
    <x v="5"/>
    <x v="0"/>
    <s v="2019-03-15"/>
    <n v="17"/>
    <n v="24"/>
    <n v="101315"/>
    <x v="18"/>
    <x v="1"/>
    <n v="96"/>
    <n v="722"/>
    <n v="360"/>
    <n v="362"/>
    <n v="49.650349650349654"/>
    <n v="50.24975024975025"/>
    <n v="334"/>
    <n v="388"/>
    <n v="47.5"/>
    <n v="52.5"/>
    <n v="15.206371191135734"/>
    <n v="118"/>
    <n v="113"/>
    <n v="3.5872881355932216"/>
    <n v="3.3946902654867248"/>
  </r>
  <r>
    <s v="EMP0280"/>
    <s v="Sarah"/>
    <s v="Ibrahim"/>
    <x v="0"/>
    <n v="33"/>
    <x v="2"/>
    <x v="5"/>
    <s v="2025-04-21"/>
    <n v="3"/>
    <n v="5"/>
    <n v="354825"/>
    <x v="27"/>
    <x v="1"/>
    <n v="79"/>
    <n v="721"/>
    <n v="359"/>
    <n v="362"/>
    <n v="49.650349650349654"/>
    <n v="50.24975024975025"/>
    <n v="334"/>
    <n v="387"/>
    <n v="47.5"/>
    <n v="52.5"/>
    <n v="15.194174757281553"/>
    <n v="117"/>
    <n v="113"/>
    <n v="3.6000000000000014"/>
    <n v="3.3946902654867248"/>
  </r>
  <r>
    <s v="EMP0281"/>
    <s v="James"/>
    <s v="Brown"/>
    <x v="0"/>
    <n v="42"/>
    <x v="5"/>
    <x v="1"/>
    <s v="2014-11-16"/>
    <n v="0"/>
    <n v="6"/>
    <n v="221410"/>
    <x v="17"/>
    <x v="1"/>
    <n v="84"/>
    <n v="720"/>
    <n v="358"/>
    <n v="362"/>
    <n v="49.650349650349654"/>
    <n v="50.24975024975025"/>
    <n v="334"/>
    <n v="386"/>
    <n v="47.5"/>
    <n v="52.5"/>
    <n v="15.208333333333334"/>
    <n v="117"/>
    <n v="113"/>
    <n v="3.6000000000000014"/>
    <n v="3.3946902654867248"/>
  </r>
  <r>
    <s v="EMP0282"/>
    <s v="Peter"/>
    <s v="Garba"/>
    <x v="0"/>
    <n v="30"/>
    <x v="1"/>
    <x v="1"/>
    <s v="2018-05-20"/>
    <n v="7"/>
    <n v="15"/>
    <n v="174428"/>
    <x v="13"/>
    <x v="0"/>
    <n v="39"/>
    <n v="719"/>
    <n v="357"/>
    <n v="362"/>
    <n v="49.650349650349654"/>
    <n v="50.24975024975025"/>
    <n v="334"/>
    <n v="385"/>
    <n v="47.5"/>
    <n v="52.5"/>
    <n v="15.221140472878998"/>
    <n v="116"/>
    <n v="113"/>
    <n v="3.5922413793103458"/>
    <n v="3.3946902654867248"/>
  </r>
  <r>
    <s v="EMP0283"/>
    <s v="Mary"/>
    <s v="Johnson"/>
    <x v="0"/>
    <n v="34"/>
    <x v="4"/>
    <x v="4"/>
    <s v="2024-08-26"/>
    <n v="18"/>
    <n v="28"/>
    <n v="368537"/>
    <x v="3"/>
    <x v="1"/>
    <n v="74"/>
    <n v="718"/>
    <n v="356"/>
    <n v="362"/>
    <n v="49.650349650349654"/>
    <n v="50.24975024975025"/>
    <n v="333"/>
    <n v="385"/>
    <n v="47.5"/>
    <n v="52.5"/>
    <n v="15.221448467966574"/>
    <n v="116"/>
    <n v="112"/>
    <n v="3.5922413793103458"/>
    <n v="3.4071428571428561"/>
  </r>
  <r>
    <s v="EMP0284"/>
    <s v="Grace"/>
    <s v="Brown"/>
    <x v="0"/>
    <n v="59"/>
    <x v="5"/>
    <x v="2"/>
    <s v="2014-01-28"/>
    <n v="0"/>
    <n v="5"/>
    <n v="186228"/>
    <x v="17"/>
    <x v="0"/>
    <n v="36"/>
    <n v="717"/>
    <n v="355"/>
    <n v="362"/>
    <n v="49.650349650349654"/>
    <n v="50.24975024975025"/>
    <n v="333"/>
    <n v="384"/>
    <n v="47.5"/>
    <n v="52.5"/>
    <n v="15.203626220362622"/>
    <n v="116"/>
    <n v="112"/>
    <n v="3.5922413793103458"/>
    <n v="3.4071428571428561"/>
  </r>
  <r>
    <s v="EMP0285"/>
    <s v="Hauwa"/>
    <s v="Smith"/>
    <x v="0"/>
    <n v="27"/>
    <x v="1"/>
    <x v="8"/>
    <s v="2015-12-23"/>
    <n v="5"/>
    <n v="14"/>
    <n v="334687"/>
    <x v="7"/>
    <x v="1"/>
    <n v="99"/>
    <n v="716"/>
    <n v="354"/>
    <n v="362"/>
    <n v="49.650349650349654"/>
    <n v="50.24975024975025"/>
    <n v="332"/>
    <n v="384"/>
    <n v="47.5"/>
    <n v="52.5"/>
    <n v="15.217877094972067"/>
    <n v="115"/>
    <n v="112"/>
    <n v="3.5843478260869568"/>
    <n v="3.4071428571428561"/>
  </r>
  <r>
    <s v="EMP0286"/>
    <s v="Daniel"/>
    <s v="Smith"/>
    <x v="0"/>
    <n v="39"/>
    <x v="2"/>
    <x v="0"/>
    <s v="2025-01-13"/>
    <n v="16"/>
    <n v="19"/>
    <n v="387850"/>
    <x v="26"/>
    <x v="0"/>
    <n v="37"/>
    <n v="715"/>
    <n v="353"/>
    <n v="362"/>
    <n v="49.650349650349654"/>
    <n v="50.24975024975025"/>
    <n v="332"/>
    <n v="383"/>
    <n v="47.5"/>
    <n v="52.5"/>
    <n v="15.219580419580419"/>
    <n v="115"/>
    <n v="111"/>
    <n v="3.5843478260869568"/>
    <n v="3.4090090090090084"/>
  </r>
  <r>
    <s v="EMP0287"/>
    <s v="Grace"/>
    <s v="Ahmed"/>
    <x v="0"/>
    <n v="38"/>
    <x v="0"/>
    <x v="7"/>
    <s v="2018-07-27"/>
    <n v="19"/>
    <n v="22"/>
    <n v="79721"/>
    <x v="28"/>
    <x v="1"/>
    <n v="83"/>
    <n v="714"/>
    <n v="352"/>
    <n v="362"/>
    <n v="49.650349650349654"/>
    <n v="50.24975024975025"/>
    <n v="331"/>
    <n v="383"/>
    <n v="47.5"/>
    <n v="52.5"/>
    <n v="15.214285714285714"/>
    <n v="115"/>
    <n v="111"/>
    <n v="3.5843478260869568"/>
    <n v="3.4090090090090084"/>
  </r>
  <r>
    <s v="EMP0288"/>
    <s v="Hauwa"/>
    <s v="Williams"/>
    <x v="0"/>
    <n v="35"/>
    <x v="2"/>
    <x v="4"/>
    <s v="2025-06-27"/>
    <n v="14"/>
    <n v="19"/>
    <n v="390415"/>
    <x v="14"/>
    <x v="1"/>
    <n v="92"/>
    <n v="713"/>
    <n v="351"/>
    <n v="362"/>
    <n v="49.650349650349654"/>
    <n v="50.24975024975025"/>
    <n v="331"/>
    <n v="382"/>
    <n v="47.5"/>
    <n v="52.5"/>
    <n v="15.20476858345021"/>
    <n v="115"/>
    <n v="111"/>
    <n v="3.5843478260869568"/>
    <n v="3.4090090090090084"/>
  </r>
  <r>
    <s v="EMP0289"/>
    <s v="Peter"/>
    <s v="Williams"/>
    <x v="1"/>
    <n v="24"/>
    <x v="3"/>
    <x v="2"/>
    <s v="2018-03-09"/>
    <n v="16"/>
    <n v="21"/>
    <n v="482545"/>
    <x v="23"/>
    <x v="0"/>
    <n v="57"/>
    <n v="712"/>
    <n v="350"/>
    <n v="362"/>
    <n v="49.650349650349654"/>
    <n v="50.24975024975025"/>
    <n v="331"/>
    <n v="381"/>
    <n v="47.5"/>
    <n v="52.5"/>
    <n v="15.19943820224719"/>
    <n v="115"/>
    <n v="111"/>
    <n v="3.5843478260869568"/>
    <n v="3.4090090090090084"/>
  </r>
  <r>
    <s v="EMP0290"/>
    <s v="Mary"/>
    <s v="Garba"/>
    <x v="0"/>
    <n v="40"/>
    <x v="0"/>
    <x v="0"/>
    <s v="2013-11-17"/>
    <n v="7"/>
    <n v="13"/>
    <n v="100045"/>
    <x v="4"/>
    <x v="1"/>
    <n v="90"/>
    <n v="711"/>
    <n v="350"/>
    <n v="361"/>
    <n v="49.650349650349654"/>
    <n v="50.24975024975025"/>
    <n v="330"/>
    <n v="381"/>
    <n v="47.5"/>
    <n v="52.5"/>
    <n v="15.19127988748242"/>
    <n v="115"/>
    <n v="111"/>
    <n v="3.5843478260869568"/>
    <n v="3.4090090090090084"/>
  </r>
  <r>
    <s v="EMP0291"/>
    <s v="Grace"/>
    <s v="Garba"/>
    <x v="0"/>
    <n v="26"/>
    <x v="4"/>
    <x v="3"/>
    <s v="2023-02-04"/>
    <n v="17"/>
    <n v="27"/>
    <n v="321525"/>
    <x v="24"/>
    <x v="0"/>
    <n v="37"/>
    <n v="710"/>
    <n v="349"/>
    <n v="361"/>
    <n v="49.650349650349654"/>
    <n v="50.24975024975025"/>
    <n v="330"/>
    <n v="380"/>
    <n v="47.5"/>
    <n v="52.5"/>
    <n v="15.194366197183099"/>
    <n v="115"/>
    <n v="111"/>
    <n v="3.5843478260869568"/>
    <n v="3.4090090090090084"/>
  </r>
  <r>
    <s v="EMP0292"/>
    <s v="Amina"/>
    <s v="Brown"/>
    <x v="0"/>
    <n v="32"/>
    <x v="0"/>
    <x v="9"/>
    <s v="2020-11-12"/>
    <n v="4"/>
    <n v="14"/>
    <n v="365125"/>
    <x v="26"/>
    <x v="1"/>
    <n v="83"/>
    <n v="709"/>
    <n v="348"/>
    <n v="361"/>
    <n v="49.650349650349654"/>
    <n v="50.24975024975025"/>
    <n v="329"/>
    <n v="380"/>
    <n v="47.5"/>
    <n v="52.5"/>
    <n v="15.17771509167842"/>
    <n v="115"/>
    <n v="111"/>
    <n v="3.5843478260869568"/>
    <n v="3.4090090090090084"/>
  </r>
  <r>
    <s v="EMP0293"/>
    <s v="Mary"/>
    <s v="Jones"/>
    <x v="0"/>
    <n v="45"/>
    <x v="5"/>
    <x v="8"/>
    <s v="2023-09-22"/>
    <n v="19"/>
    <n v="26"/>
    <n v="472587"/>
    <x v="30"/>
    <x v="1"/>
    <n v="80"/>
    <n v="708"/>
    <n v="347"/>
    <n v="361"/>
    <n v="49.650349650349654"/>
    <n v="50.24975024975025"/>
    <n v="329"/>
    <n v="379"/>
    <n v="47.5"/>
    <n v="52.5"/>
    <n v="15.179378531073446"/>
    <n v="115"/>
    <n v="111"/>
    <n v="3.5843478260869568"/>
    <n v="3.4090090090090084"/>
  </r>
  <r>
    <s v="EMP0294"/>
    <s v="Amina"/>
    <s v="Ibrahim"/>
    <x v="1"/>
    <n v="35"/>
    <x v="5"/>
    <x v="6"/>
    <s v="2020-02-10"/>
    <n v="19"/>
    <n v="29"/>
    <n v="187079"/>
    <x v="17"/>
    <x v="1"/>
    <n v="89"/>
    <n v="707"/>
    <n v="346"/>
    <n v="361"/>
    <n v="49.650349650349654"/>
    <n v="50.24975024975025"/>
    <n v="329"/>
    <n v="378"/>
    <n v="47.5"/>
    <n v="52.5"/>
    <n v="15.164073550212164"/>
    <n v="114"/>
    <n v="111"/>
    <n v="3.5929824561403523"/>
    <n v="3.4090090090090084"/>
  </r>
  <r>
    <s v="EMP0295"/>
    <s v="Sarah"/>
    <s v="Ibrahim"/>
    <x v="1"/>
    <n v="58"/>
    <x v="1"/>
    <x v="7"/>
    <s v="2016-03-01"/>
    <n v="8"/>
    <n v="11"/>
    <n v="484933"/>
    <x v="16"/>
    <x v="0"/>
    <n v="70"/>
    <n v="706"/>
    <n v="346"/>
    <n v="360"/>
    <n v="49.650349650349654"/>
    <n v="50.24975024975025"/>
    <n v="329"/>
    <n v="377"/>
    <n v="47.5"/>
    <n v="52.5"/>
    <n v="15.144475920679886"/>
    <n v="113"/>
    <n v="111"/>
    <n v="3.58495575221239"/>
    <n v="3.4090090090090084"/>
  </r>
  <r>
    <s v="EMP0296"/>
    <s v="Daniel"/>
    <s v="Jones"/>
    <x v="0"/>
    <n v="54"/>
    <x v="6"/>
    <x v="6"/>
    <s v="2016-10-22"/>
    <n v="19"/>
    <n v="21"/>
    <n v="82135"/>
    <x v="15"/>
    <x v="1"/>
    <n v="85"/>
    <n v="705"/>
    <n v="346"/>
    <n v="359"/>
    <n v="49.650349650349654"/>
    <n v="50.24975024975025"/>
    <n v="328"/>
    <n v="377"/>
    <n v="47.5"/>
    <n v="52.5"/>
    <n v="15.150354609929078"/>
    <n v="113"/>
    <n v="110"/>
    <n v="3.58495575221239"/>
    <n v="3.3945454545454532"/>
  </r>
  <r>
    <s v="EMP0297"/>
    <s v="Grace"/>
    <s v="Garba"/>
    <x v="1"/>
    <n v="50"/>
    <x v="2"/>
    <x v="6"/>
    <s v="2024-10-30"/>
    <n v="5"/>
    <n v="15"/>
    <n v="258812"/>
    <x v="7"/>
    <x v="1"/>
    <n v="87"/>
    <n v="704"/>
    <n v="345"/>
    <n v="359"/>
    <n v="49.650349650349654"/>
    <n v="50.24975024975025"/>
    <n v="328"/>
    <n v="376"/>
    <n v="47.5"/>
    <n v="52.5"/>
    <n v="15.142045454545455"/>
    <n v="113"/>
    <n v="110"/>
    <n v="3.58495575221239"/>
    <n v="3.3945454545454532"/>
  </r>
  <r>
    <s v="EMP0298"/>
    <s v="Daniel"/>
    <s v="Williams"/>
    <x v="1"/>
    <n v="53"/>
    <x v="3"/>
    <x v="6"/>
    <s v="2018-10-14"/>
    <n v="8"/>
    <n v="14"/>
    <n v="421051"/>
    <x v="26"/>
    <x v="1"/>
    <n v="87"/>
    <n v="703"/>
    <n v="345"/>
    <n v="358"/>
    <n v="49.650349650349654"/>
    <n v="50.24975024975025"/>
    <n v="328"/>
    <n v="375"/>
    <n v="47.5"/>
    <n v="52.5"/>
    <n v="15.142247510668563"/>
    <n v="113"/>
    <n v="110"/>
    <n v="3.58495575221239"/>
    <n v="3.3945454545454532"/>
  </r>
  <r>
    <s v="EMP0299"/>
    <s v="Hauwa"/>
    <s v="Okoro"/>
    <x v="1"/>
    <n v="53"/>
    <x v="6"/>
    <x v="5"/>
    <s v="2012-01-18"/>
    <n v="8"/>
    <n v="15"/>
    <n v="267685"/>
    <x v="20"/>
    <x v="1"/>
    <n v="94"/>
    <n v="702"/>
    <n v="345"/>
    <n v="357"/>
    <n v="49.650349650349654"/>
    <n v="50.24975024975025"/>
    <n v="328"/>
    <n v="374"/>
    <n v="47.5"/>
    <n v="52.5"/>
    <n v="15.143874643874645"/>
    <n v="113"/>
    <n v="110"/>
    <n v="3.58495575221239"/>
    <n v="3.3945454545454532"/>
  </r>
  <r>
    <s v="EMP0300"/>
    <s v="James"/>
    <s v="Williams"/>
    <x v="0"/>
    <n v="38"/>
    <x v="5"/>
    <x v="3"/>
    <s v="2017-03-14"/>
    <n v="10"/>
    <n v="10"/>
    <n v="83430"/>
    <x v="18"/>
    <x v="1"/>
    <n v="72"/>
    <n v="701"/>
    <n v="345"/>
    <n v="356"/>
    <n v="49.650349650349654"/>
    <n v="50.24975024975025"/>
    <n v="328"/>
    <n v="373"/>
    <n v="47.5"/>
    <n v="52.5"/>
    <n v="15.144079885877318"/>
    <n v="113"/>
    <n v="110"/>
    <n v="3.58495575221239"/>
    <n v="3.3945454545454532"/>
  </r>
  <r>
    <s v="EMP0301"/>
    <s v="Sarah"/>
    <s v="Musa"/>
    <x v="1"/>
    <n v="57"/>
    <x v="1"/>
    <x v="3"/>
    <s v="2019-07-12"/>
    <n v="13"/>
    <n v="22"/>
    <n v="145372"/>
    <x v="20"/>
    <x v="0"/>
    <n v="62"/>
    <n v="700"/>
    <n v="344"/>
    <n v="356"/>
    <n v="49.650349650349654"/>
    <n v="50.24975024975025"/>
    <n v="328"/>
    <n v="372"/>
    <n v="47.5"/>
    <n v="52.5"/>
    <n v="15.151428571428571"/>
    <n v="112"/>
    <n v="110"/>
    <n v="3.598214285714286"/>
    <n v="3.3945454545454532"/>
  </r>
  <r>
    <s v="EMP0302"/>
    <s v="Fatima"/>
    <s v="Musa"/>
    <x v="0"/>
    <n v="29"/>
    <x v="3"/>
    <x v="7"/>
    <s v="2021-07-07"/>
    <n v="1"/>
    <n v="7"/>
    <n v="313362"/>
    <x v="19"/>
    <x v="0"/>
    <n v="69"/>
    <n v="699"/>
    <n v="344"/>
    <n v="355"/>
    <n v="49.650349650349654"/>
    <n v="50.24975024975025"/>
    <n v="327"/>
    <n v="372"/>
    <n v="47.5"/>
    <n v="52.5"/>
    <n v="15.141630901287554"/>
    <n v="112"/>
    <n v="109"/>
    <n v="3.598214285714286"/>
    <n v="3.3834862385321092"/>
  </r>
  <r>
    <s v="EMP0303"/>
    <s v="Sarah"/>
    <s v="Williams"/>
    <x v="0"/>
    <n v="47"/>
    <x v="4"/>
    <x v="1"/>
    <s v="2013-08-12"/>
    <n v="14"/>
    <n v="14"/>
    <n v="317628"/>
    <x v="25"/>
    <x v="0"/>
    <n v="47"/>
    <n v="698"/>
    <n v="343"/>
    <n v="355"/>
    <n v="49.650349650349654"/>
    <n v="50.24975024975025"/>
    <n v="326"/>
    <n v="372"/>
    <n v="47.5"/>
    <n v="52.5"/>
    <n v="15.153295128939828"/>
    <n v="112"/>
    <n v="109"/>
    <n v="3.598214285714286"/>
    <n v="3.3834862385321092"/>
  </r>
  <r>
    <s v="EMP0304"/>
    <s v="Hauwa"/>
    <s v="Garba"/>
    <x v="0"/>
    <n v="41"/>
    <x v="3"/>
    <x v="5"/>
    <s v="2015-07-08"/>
    <n v="16"/>
    <n v="25"/>
    <n v="122109"/>
    <x v="30"/>
    <x v="1"/>
    <n v="79"/>
    <n v="697"/>
    <n v="342"/>
    <n v="355"/>
    <n v="49.650349650349654"/>
    <n v="50.24975024975025"/>
    <n v="325"/>
    <n v="372"/>
    <n v="47.5"/>
    <n v="52.5"/>
    <n v="15.154949784791965"/>
    <n v="112"/>
    <n v="109"/>
    <n v="3.598214285714286"/>
    <n v="3.3834862385321092"/>
  </r>
  <r>
    <s v="EMP0305"/>
    <s v="John"/>
    <s v="Okoro"/>
    <x v="1"/>
    <n v="42"/>
    <x v="2"/>
    <x v="6"/>
    <s v="2019-06-23"/>
    <n v="12"/>
    <n v="18"/>
    <n v="491117"/>
    <x v="15"/>
    <x v="1"/>
    <n v="81"/>
    <n v="696"/>
    <n v="341"/>
    <n v="355"/>
    <n v="49.650349650349654"/>
    <n v="50.24975024975025"/>
    <n v="325"/>
    <n v="371"/>
    <n v="47.5"/>
    <n v="52.5"/>
    <n v="15.14080459770115"/>
    <n v="112"/>
    <n v="109"/>
    <n v="3.598214285714286"/>
    <n v="3.3834862385321092"/>
  </r>
  <r>
    <s v="EMP0306"/>
    <s v="Fatima"/>
    <s v="Johnson"/>
    <x v="1"/>
    <n v="36"/>
    <x v="6"/>
    <x v="3"/>
    <s v="2025-05-13"/>
    <n v="2"/>
    <n v="8"/>
    <n v="494703"/>
    <x v="2"/>
    <x v="0"/>
    <n v="52"/>
    <n v="695"/>
    <n v="341"/>
    <n v="354"/>
    <n v="49.650349650349654"/>
    <n v="50.24975024975025"/>
    <n v="325"/>
    <n v="370"/>
    <n v="47.5"/>
    <n v="52.5"/>
    <n v="15.136690647482014"/>
    <n v="112"/>
    <n v="109"/>
    <n v="3.598214285714286"/>
    <n v="3.3834862385321092"/>
  </r>
  <r>
    <s v="EMP0307"/>
    <s v="Grace"/>
    <s v="Brown"/>
    <x v="1"/>
    <n v="41"/>
    <x v="2"/>
    <x v="6"/>
    <s v="2013-12-06"/>
    <n v="20"/>
    <n v="24"/>
    <n v="90946"/>
    <x v="9"/>
    <x v="1"/>
    <n v="76"/>
    <n v="694"/>
    <n v="341"/>
    <n v="353"/>
    <n v="49.650349650349654"/>
    <n v="50.24975024975025"/>
    <n v="324"/>
    <n v="370"/>
    <n v="47.5"/>
    <n v="52.5"/>
    <n v="15.146974063400576"/>
    <n v="112"/>
    <n v="109"/>
    <n v="3.598214285714286"/>
    <n v="3.3834862385321092"/>
  </r>
  <r>
    <s v="EMP0308"/>
    <s v="Peter"/>
    <s v="Okoro"/>
    <x v="0"/>
    <n v="49"/>
    <x v="0"/>
    <x v="4"/>
    <s v="2013-05-20"/>
    <n v="18"/>
    <n v="19"/>
    <n v="209054"/>
    <x v="4"/>
    <x v="0"/>
    <n v="32"/>
    <n v="693"/>
    <n v="341"/>
    <n v="352"/>
    <n v="49.650349650349654"/>
    <n v="50.24975024975025"/>
    <n v="324"/>
    <n v="369"/>
    <n v="47.5"/>
    <n v="52.5"/>
    <n v="15.134199134199134"/>
    <n v="112"/>
    <n v="109"/>
    <n v="3.598214285714286"/>
    <n v="3.3834862385321092"/>
  </r>
  <r>
    <s v="EMP0309"/>
    <s v="Mary"/>
    <s v="Musa"/>
    <x v="1"/>
    <n v="23"/>
    <x v="3"/>
    <x v="0"/>
    <s v="2023-04-18"/>
    <n v="11"/>
    <n v="18"/>
    <n v="279786"/>
    <x v="23"/>
    <x v="0"/>
    <n v="52"/>
    <n v="692"/>
    <n v="340"/>
    <n v="352"/>
    <n v="49.650349650349654"/>
    <n v="50.24975024975025"/>
    <n v="323"/>
    <n v="369"/>
    <n v="47.5"/>
    <n v="52.5"/>
    <n v="15.128612716763005"/>
    <n v="112"/>
    <n v="109"/>
    <n v="3.598214285714286"/>
    <n v="3.3834862385321092"/>
  </r>
  <r>
    <s v="EMP0310"/>
    <s v="Hauwa"/>
    <s v="Okoro"/>
    <x v="1"/>
    <n v="54"/>
    <x v="3"/>
    <x v="7"/>
    <s v="2024-11-06"/>
    <n v="11"/>
    <n v="14"/>
    <n v="87949"/>
    <x v="22"/>
    <x v="0"/>
    <n v="46"/>
    <n v="691"/>
    <n v="340"/>
    <n v="351"/>
    <n v="49.650349650349654"/>
    <n v="50.24975024975025"/>
    <n v="322"/>
    <n v="369"/>
    <n v="47.5"/>
    <n v="52.5"/>
    <n v="15.124457308248914"/>
    <n v="112"/>
    <n v="109"/>
    <n v="3.598214285714286"/>
    <n v="3.3834862385321092"/>
  </r>
  <r>
    <s v="EMP0311"/>
    <s v="Michael"/>
    <s v="Ibrahim"/>
    <x v="1"/>
    <n v="31"/>
    <x v="0"/>
    <x v="4"/>
    <s v="2014-12-04"/>
    <n v="20"/>
    <n v="29"/>
    <n v="436490"/>
    <x v="13"/>
    <x v="0"/>
    <n v="33"/>
    <n v="690"/>
    <n v="340"/>
    <n v="350"/>
    <n v="49.650349650349654"/>
    <n v="50.24975024975025"/>
    <n v="321"/>
    <n v="369"/>
    <n v="47.5"/>
    <n v="52.5"/>
    <n v="15.126086956521739"/>
    <n v="112"/>
    <n v="109"/>
    <n v="3.598214285714286"/>
    <n v="3.3834862385321092"/>
  </r>
  <r>
    <s v="EMP0312"/>
    <s v="John"/>
    <s v="Jones"/>
    <x v="0"/>
    <n v="28"/>
    <x v="6"/>
    <x v="4"/>
    <s v="2014-01-18"/>
    <n v="17"/>
    <n v="26"/>
    <n v="457839"/>
    <x v="29"/>
    <x v="1"/>
    <n v="73"/>
    <n v="689"/>
    <n v="340"/>
    <n v="349"/>
    <n v="49.650349650349654"/>
    <n v="50.24975024975025"/>
    <n v="320"/>
    <n v="369"/>
    <n v="47.5"/>
    <n v="52.5"/>
    <n v="15.105950653120464"/>
    <n v="112"/>
    <n v="109"/>
    <n v="3.598214285714286"/>
    <n v="3.3834862385321092"/>
  </r>
  <r>
    <s v="EMP0313"/>
    <s v="Grace"/>
    <s v="Garba"/>
    <x v="0"/>
    <n v="33"/>
    <x v="2"/>
    <x v="4"/>
    <s v="2016-07-19"/>
    <n v="18"/>
    <n v="21"/>
    <n v="212934"/>
    <x v="18"/>
    <x v="0"/>
    <n v="32"/>
    <n v="688"/>
    <n v="339"/>
    <n v="349"/>
    <n v="49.650349650349654"/>
    <n v="50.24975024975025"/>
    <n v="320"/>
    <n v="368"/>
    <n v="47.5"/>
    <n v="52.5"/>
    <n v="15.090116279069768"/>
    <n v="112"/>
    <n v="109"/>
    <n v="3.598214285714286"/>
    <n v="3.3834862385321092"/>
  </r>
  <r>
    <s v="EMP0314"/>
    <s v="Daniel"/>
    <s v="Smith"/>
    <x v="1"/>
    <n v="21"/>
    <x v="0"/>
    <x v="5"/>
    <s v="2017-12-09"/>
    <n v="18"/>
    <n v="23"/>
    <n v="359467"/>
    <x v="5"/>
    <x v="0"/>
    <n v="52"/>
    <n v="687"/>
    <n v="338"/>
    <n v="349"/>
    <n v="49.650349650349654"/>
    <n v="50.24975024975025"/>
    <n v="319"/>
    <n v="368"/>
    <n v="47.5"/>
    <n v="52.5"/>
    <n v="15.08151382823872"/>
    <n v="112"/>
    <n v="109"/>
    <n v="3.598214285714286"/>
    <n v="3.3834862385321092"/>
  </r>
  <r>
    <s v="EMP0315"/>
    <s v="Michael"/>
    <s v="Williams"/>
    <x v="1"/>
    <n v="29"/>
    <x v="5"/>
    <x v="7"/>
    <s v="2012-11-26"/>
    <n v="2"/>
    <n v="8"/>
    <n v="285361"/>
    <x v="27"/>
    <x v="1"/>
    <n v="75"/>
    <n v="686"/>
    <n v="338"/>
    <n v="348"/>
    <n v="49.650349650349654"/>
    <n v="50.24975024975025"/>
    <n v="318"/>
    <n v="368"/>
    <n v="47.5"/>
    <n v="52.5"/>
    <n v="15.06997084548105"/>
    <n v="112"/>
    <n v="109"/>
    <n v="3.598214285714286"/>
    <n v="3.3834862385321092"/>
  </r>
  <r>
    <s v="EMP0316"/>
    <s v="David"/>
    <s v="Brown"/>
    <x v="1"/>
    <n v="25"/>
    <x v="3"/>
    <x v="5"/>
    <s v="2015-10-31"/>
    <n v="4"/>
    <n v="13"/>
    <n v="115042"/>
    <x v="5"/>
    <x v="1"/>
    <n v="80"/>
    <n v="685"/>
    <n v="338"/>
    <n v="347"/>
    <n v="49.650349650349654"/>
    <n v="50.24975024975025"/>
    <n v="318"/>
    <n v="367"/>
    <n v="47.5"/>
    <n v="52.5"/>
    <n v="15.08029197080292"/>
    <n v="111"/>
    <n v="109"/>
    <n v="3.6045045045045052"/>
    <n v="3.3834862385321092"/>
  </r>
  <r>
    <s v="EMP0317"/>
    <s v="Hauwa"/>
    <s v="Ahmed"/>
    <x v="1"/>
    <n v="48"/>
    <x v="5"/>
    <x v="5"/>
    <s v="2016-07-13"/>
    <n v="6"/>
    <n v="8"/>
    <n v="173115"/>
    <x v="21"/>
    <x v="0"/>
    <n v="64"/>
    <n v="684"/>
    <n v="338"/>
    <n v="346"/>
    <n v="49.650349650349654"/>
    <n v="50.24975024975025"/>
    <n v="318"/>
    <n v="366"/>
    <n v="47.5"/>
    <n v="52.5"/>
    <n v="15.083333333333334"/>
    <n v="111"/>
    <n v="109"/>
    <n v="3.6045045045045052"/>
    <n v="3.3834862385321092"/>
  </r>
  <r>
    <s v="EMP0318"/>
    <s v="Daniel"/>
    <s v="Brown"/>
    <x v="0"/>
    <n v="57"/>
    <x v="5"/>
    <x v="2"/>
    <s v="2019-06-17"/>
    <n v="6"/>
    <n v="7"/>
    <n v="222500"/>
    <x v="30"/>
    <x v="0"/>
    <n v="33"/>
    <n v="683"/>
    <n v="338"/>
    <n v="345"/>
    <n v="49.650349650349654"/>
    <n v="50.24975024975025"/>
    <n v="317"/>
    <n v="366"/>
    <n v="47.5"/>
    <n v="52.5"/>
    <n v="15.093704245973646"/>
    <n v="110"/>
    <n v="109"/>
    <n v="3.6072727272727274"/>
    <n v="3.3834862385321092"/>
  </r>
  <r>
    <s v="EMP0319"/>
    <s v="David"/>
    <s v="Ibrahim"/>
    <x v="0"/>
    <n v="56"/>
    <x v="4"/>
    <x v="9"/>
    <s v="2019-05-01"/>
    <n v="14"/>
    <n v="19"/>
    <n v="337112"/>
    <x v="21"/>
    <x v="1"/>
    <n v="78"/>
    <n v="682"/>
    <n v="337"/>
    <n v="345"/>
    <n v="49.650349650349654"/>
    <n v="50.24975024975025"/>
    <n v="316"/>
    <n v="366"/>
    <n v="47.5"/>
    <n v="52.5"/>
    <n v="15.105571847507331"/>
    <n v="109"/>
    <n v="109"/>
    <n v="3.6165137614678904"/>
    <n v="3.3834862385321092"/>
  </r>
  <r>
    <s v="EMP0320"/>
    <s v="Grace"/>
    <s v="Jones"/>
    <x v="1"/>
    <n v="58"/>
    <x v="3"/>
    <x v="6"/>
    <s v="2016-06-23"/>
    <n v="12"/>
    <n v="16"/>
    <n v="390502"/>
    <x v="20"/>
    <x v="0"/>
    <n v="61"/>
    <n v="681"/>
    <n v="336"/>
    <n v="345"/>
    <n v="49.650349650349654"/>
    <n v="50.24975024975025"/>
    <n v="316"/>
    <n v="365"/>
    <n v="47.5"/>
    <n v="52.5"/>
    <n v="15.099853157121879"/>
    <n v="109"/>
    <n v="109"/>
    <n v="3.6165137614678904"/>
    <n v="3.3834862385321092"/>
  </r>
  <r>
    <s v="EMP0321"/>
    <s v="Sarah"/>
    <s v="Jones"/>
    <x v="0"/>
    <n v="52"/>
    <x v="2"/>
    <x v="9"/>
    <s v="2017-05-16"/>
    <n v="19"/>
    <n v="24"/>
    <n v="480663"/>
    <x v="10"/>
    <x v="0"/>
    <n v="41"/>
    <n v="680"/>
    <n v="336"/>
    <n v="344"/>
    <n v="49.650349650349654"/>
    <n v="50.24975024975025"/>
    <n v="315"/>
    <n v="365"/>
    <n v="47.5"/>
    <n v="52.5"/>
    <n v="15.098529411764705"/>
    <n v="109"/>
    <n v="109"/>
    <n v="3.6165137614678904"/>
    <n v="3.3834862385321092"/>
  </r>
  <r>
    <s v="EMP0322"/>
    <s v="Amina"/>
    <s v="Johnson"/>
    <x v="1"/>
    <n v="35"/>
    <x v="1"/>
    <x v="6"/>
    <s v="2015-06-18"/>
    <n v="6"/>
    <n v="7"/>
    <n v="85232"/>
    <x v="13"/>
    <x v="1"/>
    <n v="79"/>
    <n v="679"/>
    <n v="335"/>
    <n v="344"/>
    <n v="49.650349650349654"/>
    <n v="50.24975024975025"/>
    <n v="314"/>
    <n v="365"/>
    <n v="47.5"/>
    <n v="52.5"/>
    <n v="15.085419734904271"/>
    <n v="109"/>
    <n v="109"/>
    <n v="3.6165137614678904"/>
    <n v="3.3834862385321092"/>
  </r>
  <r>
    <s v="EMP0323"/>
    <s v="Peter"/>
    <s v="Johnson"/>
    <x v="0"/>
    <n v="34"/>
    <x v="5"/>
    <x v="6"/>
    <s v="2023-05-14"/>
    <n v="6"/>
    <n v="12"/>
    <n v="258563"/>
    <x v="7"/>
    <x v="0"/>
    <n v="63"/>
    <n v="678"/>
    <n v="335"/>
    <n v="343"/>
    <n v="49.650349650349654"/>
    <n v="50.24975024975025"/>
    <n v="314"/>
    <n v="364"/>
    <n v="47.5"/>
    <n v="52.5"/>
    <n v="15.097345132743364"/>
    <n v="109"/>
    <n v="108"/>
    <n v="3.6165137614678904"/>
    <n v="3.3962962962962955"/>
  </r>
  <r>
    <s v="EMP0324"/>
    <s v="Daniel"/>
    <s v="Garba"/>
    <x v="0"/>
    <n v="22"/>
    <x v="6"/>
    <x v="2"/>
    <s v="2025-05-06"/>
    <n v="18"/>
    <n v="24"/>
    <n v="257419"/>
    <x v="16"/>
    <x v="0"/>
    <n v="60"/>
    <n v="677"/>
    <n v="334"/>
    <n v="343"/>
    <n v="49.650349650349654"/>
    <n v="50.24975024975025"/>
    <n v="313"/>
    <n v="364"/>
    <n v="47.5"/>
    <n v="52.5"/>
    <n v="15.101920236336779"/>
    <n v="108"/>
    <n v="108"/>
    <n v="3.6203703703703702"/>
    <n v="3.3962962962962955"/>
  </r>
  <r>
    <s v="EMP0325"/>
    <s v="Grace"/>
    <s v="Ahmed"/>
    <x v="1"/>
    <n v="39"/>
    <x v="4"/>
    <x v="8"/>
    <s v="2021-06-08"/>
    <n v="10"/>
    <n v="10"/>
    <n v="118644"/>
    <x v="27"/>
    <x v="1"/>
    <n v="94"/>
    <n v="676"/>
    <n v="333"/>
    <n v="343"/>
    <n v="49.650349650349654"/>
    <n v="50.24975024975025"/>
    <n v="312"/>
    <n v="364"/>
    <n v="47.5"/>
    <n v="52.5"/>
    <n v="15.088757396449704"/>
    <n v="108"/>
    <n v="108"/>
    <n v="3.6203703703703702"/>
    <n v="3.3962962962962955"/>
  </r>
  <r>
    <s v="EMP0326"/>
    <s v="Fatima"/>
    <s v="Brown"/>
    <x v="1"/>
    <n v="49"/>
    <x v="1"/>
    <x v="5"/>
    <s v="2019-11-22"/>
    <n v="18"/>
    <n v="28"/>
    <n v="251916"/>
    <x v="21"/>
    <x v="1"/>
    <n v="76"/>
    <n v="675"/>
    <n v="333"/>
    <n v="342"/>
    <n v="49.650349650349654"/>
    <n v="50.24975024975025"/>
    <n v="312"/>
    <n v="363"/>
    <n v="47.5"/>
    <n v="52.5"/>
    <n v="15.096296296296297"/>
    <n v="108"/>
    <n v="108"/>
    <n v="3.6203703703703702"/>
    <n v="3.3962962962962955"/>
  </r>
  <r>
    <s v="EMP0327"/>
    <s v="Peter"/>
    <s v="Ahmed"/>
    <x v="1"/>
    <n v="38"/>
    <x v="6"/>
    <x v="6"/>
    <s v="2018-06-27"/>
    <n v="11"/>
    <n v="15"/>
    <n v="69945"/>
    <x v="13"/>
    <x v="1"/>
    <n v="89"/>
    <n v="674"/>
    <n v="333"/>
    <n v="341"/>
    <n v="49.650349650349654"/>
    <n v="50.24975024975025"/>
    <n v="312"/>
    <n v="362"/>
    <n v="47.5"/>
    <n v="52.5"/>
    <n v="15.077151335311573"/>
    <n v="108"/>
    <n v="107"/>
    <n v="3.6203703703703702"/>
    <n v="3.3971962616822426"/>
  </r>
  <r>
    <s v="EMP0328"/>
    <s v="Daniel"/>
    <s v="Johnson"/>
    <x v="0"/>
    <n v="55"/>
    <x v="1"/>
    <x v="1"/>
    <s v="2023-03-12"/>
    <n v="17"/>
    <n v="25"/>
    <n v="476587"/>
    <x v="23"/>
    <x v="0"/>
    <n v="49"/>
    <n v="673"/>
    <n v="333"/>
    <n v="340"/>
    <n v="49.650349650349654"/>
    <n v="50.24975024975025"/>
    <n v="312"/>
    <n v="361"/>
    <n v="47.5"/>
    <n v="52.5"/>
    <n v="15.077265973254086"/>
    <n v="108"/>
    <n v="107"/>
    <n v="3.6203703703703702"/>
    <n v="3.3971962616822426"/>
  </r>
  <r>
    <s v="EMP0329"/>
    <s v="David"/>
    <s v="Johnson"/>
    <x v="0"/>
    <n v="41"/>
    <x v="0"/>
    <x v="1"/>
    <s v="2024-01-06"/>
    <n v="0"/>
    <n v="6"/>
    <n v="79922"/>
    <x v="22"/>
    <x v="0"/>
    <n v="33"/>
    <n v="672"/>
    <n v="332"/>
    <n v="340"/>
    <n v="49.650349650349654"/>
    <n v="50.24975024975025"/>
    <n v="311"/>
    <n v="361"/>
    <n v="47.5"/>
    <n v="52.5"/>
    <n v="15.0625"/>
    <n v="108"/>
    <n v="106"/>
    <n v="3.6203703703703702"/>
    <n v="3.3839622641509428"/>
  </r>
  <r>
    <s v="EMP0330"/>
    <s v="Grace"/>
    <s v="Garba"/>
    <x v="0"/>
    <n v="27"/>
    <x v="2"/>
    <x v="7"/>
    <s v="2012-08-09"/>
    <n v="14"/>
    <n v="14"/>
    <n v="170448"/>
    <x v="4"/>
    <x v="0"/>
    <n v="63"/>
    <n v="671"/>
    <n v="331"/>
    <n v="340"/>
    <n v="49.650349650349654"/>
    <n v="50.24975024975025"/>
    <n v="310"/>
    <n v="361"/>
    <n v="47.5"/>
    <n v="52.5"/>
    <n v="15.076005961251862"/>
    <n v="108"/>
    <n v="106"/>
    <n v="3.6203703703703702"/>
    <n v="3.3839622641509428"/>
  </r>
  <r>
    <s v="EMP0331"/>
    <s v="David"/>
    <s v="Williams"/>
    <x v="1"/>
    <n v="38"/>
    <x v="4"/>
    <x v="0"/>
    <s v="2023-06-04"/>
    <n v="15"/>
    <n v="25"/>
    <n v="258107"/>
    <x v="7"/>
    <x v="0"/>
    <n v="37"/>
    <n v="670"/>
    <n v="330"/>
    <n v="340"/>
    <n v="49.650349650349654"/>
    <n v="50.24975024975025"/>
    <n v="309"/>
    <n v="361"/>
    <n v="47.5"/>
    <n v="52.5"/>
    <n v="15.077611940298507"/>
    <n v="108"/>
    <n v="106"/>
    <n v="3.6203703703703702"/>
    <n v="3.3839622641509428"/>
  </r>
  <r>
    <s v="EMP0332"/>
    <s v="Sarah"/>
    <s v="Ahmed"/>
    <x v="1"/>
    <n v="30"/>
    <x v="0"/>
    <x v="5"/>
    <s v="2016-04-20"/>
    <n v="19"/>
    <n v="22"/>
    <n v="246077"/>
    <x v="20"/>
    <x v="1"/>
    <n v="78"/>
    <n v="669"/>
    <n v="330"/>
    <n v="339"/>
    <n v="49.650349650349654"/>
    <n v="50.24975024975025"/>
    <n v="308"/>
    <n v="361"/>
    <n v="47.5"/>
    <n v="52.5"/>
    <n v="15.062780269058296"/>
    <n v="108"/>
    <n v="106"/>
    <n v="3.6203703703703702"/>
    <n v="3.3839622641509428"/>
  </r>
  <r>
    <s v="EMP0333"/>
    <s v="Fatima"/>
    <s v="Smith"/>
    <x v="0"/>
    <n v="36"/>
    <x v="5"/>
    <x v="5"/>
    <s v="2014-02-18"/>
    <n v="14"/>
    <n v="23"/>
    <n v="222681"/>
    <x v="9"/>
    <x v="1"/>
    <n v="93"/>
    <n v="668"/>
    <n v="330"/>
    <n v="338"/>
    <n v="49.650349650349654"/>
    <n v="50.24975024975025"/>
    <n v="308"/>
    <n v="360"/>
    <n v="47.5"/>
    <n v="52.5"/>
    <n v="15.052395209580839"/>
    <n v="108"/>
    <n v="106"/>
    <n v="3.6203703703703702"/>
    <n v="3.3839622641509428"/>
  </r>
  <r>
    <s v="EMP0334"/>
    <s v="Michael"/>
    <s v="Okoro"/>
    <x v="0"/>
    <n v="35"/>
    <x v="6"/>
    <x v="1"/>
    <s v="2020-02-04"/>
    <n v="14"/>
    <n v="14"/>
    <n v="496314"/>
    <x v="18"/>
    <x v="0"/>
    <n v="57"/>
    <n v="667"/>
    <n v="329"/>
    <n v="338"/>
    <n v="49.650349650349654"/>
    <n v="50.24975024975025"/>
    <n v="308"/>
    <n v="359"/>
    <n v="47.5"/>
    <n v="52.5"/>
    <n v="15.04047976011994"/>
    <n v="107"/>
    <n v="106"/>
    <n v="3.6158878504672893"/>
    <n v="3.3839622641509428"/>
  </r>
  <r>
    <s v="EMP0335"/>
    <s v="Sarah"/>
    <s v="Okoro"/>
    <x v="1"/>
    <n v="48"/>
    <x v="4"/>
    <x v="6"/>
    <s v="2017-08-25"/>
    <n v="17"/>
    <n v="22"/>
    <n v="456728"/>
    <x v="1"/>
    <x v="0"/>
    <n v="41"/>
    <n v="666"/>
    <n v="328"/>
    <n v="338"/>
    <n v="49.650349650349654"/>
    <n v="50.24975024975025"/>
    <n v="307"/>
    <n v="359"/>
    <n v="47.5"/>
    <n v="52.5"/>
    <n v="15.042042042042041"/>
    <n v="107"/>
    <n v="106"/>
    <n v="3.6158878504672893"/>
    <n v="3.3839622641509428"/>
  </r>
  <r>
    <s v="EMP0336"/>
    <s v="James"/>
    <s v="Garba"/>
    <x v="0"/>
    <n v="40"/>
    <x v="0"/>
    <x v="6"/>
    <s v="2019-10-19"/>
    <n v="1"/>
    <n v="5"/>
    <n v="469609"/>
    <x v="17"/>
    <x v="1"/>
    <n v="71"/>
    <n v="665"/>
    <n v="328"/>
    <n v="337"/>
    <n v="49.650349650349654"/>
    <n v="50.24975024975025"/>
    <n v="306"/>
    <n v="359"/>
    <n v="47.5"/>
    <n v="52.5"/>
    <n v="15.031578947368422"/>
    <n v="107"/>
    <n v="106"/>
    <n v="3.6158878504672893"/>
    <n v="3.3839622641509428"/>
  </r>
  <r>
    <s v="EMP0337"/>
    <s v="Daniel"/>
    <s v="Johnson"/>
    <x v="0"/>
    <n v="30"/>
    <x v="5"/>
    <x v="3"/>
    <s v="2018-06-29"/>
    <n v="12"/>
    <n v="15"/>
    <n v="220594"/>
    <x v="3"/>
    <x v="1"/>
    <n v="72"/>
    <n v="664"/>
    <n v="327"/>
    <n v="337"/>
    <n v="49.650349650349654"/>
    <n v="50.24975024975025"/>
    <n v="306"/>
    <n v="358"/>
    <n v="47.5"/>
    <n v="52.5"/>
    <n v="15.046686746987952"/>
    <n v="107"/>
    <n v="106"/>
    <n v="3.6158878504672893"/>
    <n v="3.3839622641509428"/>
  </r>
  <r>
    <s v="EMP0338"/>
    <s v="John"/>
    <s v="Williams"/>
    <x v="1"/>
    <n v="57"/>
    <x v="3"/>
    <x v="0"/>
    <s v="2019-08-13"/>
    <n v="6"/>
    <n v="10"/>
    <n v="322940"/>
    <x v="8"/>
    <x v="0"/>
    <n v="38"/>
    <n v="663"/>
    <n v="326"/>
    <n v="337"/>
    <n v="49.650349650349654"/>
    <n v="50.24975024975025"/>
    <n v="306"/>
    <n v="357"/>
    <n v="47.5"/>
    <n v="52.5"/>
    <n v="15.046757164404223"/>
    <n v="106"/>
    <n v="106"/>
    <n v="3.6264150943396225"/>
    <n v="3.3839622641509428"/>
  </r>
  <r>
    <s v="EMP0339"/>
    <s v="Hauwa"/>
    <s v="Johnson"/>
    <x v="1"/>
    <n v="40"/>
    <x v="0"/>
    <x v="4"/>
    <s v="2022-03-26"/>
    <n v="7"/>
    <n v="13"/>
    <n v="162786"/>
    <x v="26"/>
    <x v="0"/>
    <n v="37"/>
    <n v="662"/>
    <n v="326"/>
    <n v="336"/>
    <n v="49.650349650349654"/>
    <n v="50.24975024975025"/>
    <n v="305"/>
    <n v="357"/>
    <n v="47.5"/>
    <n v="52.5"/>
    <n v="15.054380664652568"/>
    <n v="106"/>
    <n v="106"/>
    <n v="3.6264150943396225"/>
    <n v="3.3839622641509428"/>
  </r>
  <r>
    <s v="EMP0340"/>
    <s v="John"/>
    <s v="Johnson"/>
    <x v="1"/>
    <n v="30"/>
    <x v="5"/>
    <x v="7"/>
    <s v="2024-03-06"/>
    <n v="1"/>
    <n v="5"/>
    <n v="313234"/>
    <x v="10"/>
    <x v="1"/>
    <n v="84"/>
    <n v="661"/>
    <n v="326"/>
    <n v="335"/>
    <n v="49.650349650349654"/>
    <n v="50.24975024975025"/>
    <n v="304"/>
    <n v="357"/>
    <n v="47.5"/>
    <n v="52.5"/>
    <n v="15.05748865355522"/>
    <n v="106"/>
    <n v="106"/>
    <n v="3.6264150943396225"/>
    <n v="3.3839622641509428"/>
  </r>
  <r>
    <s v="EMP0341"/>
    <s v="James"/>
    <s v="Ibrahim"/>
    <x v="0"/>
    <n v="34"/>
    <x v="4"/>
    <x v="9"/>
    <s v="2019-11-20"/>
    <n v="12"/>
    <n v="18"/>
    <n v="202928"/>
    <x v="13"/>
    <x v="0"/>
    <n v="39"/>
    <n v="660"/>
    <n v="326"/>
    <n v="334"/>
    <n v="49.650349650349654"/>
    <n v="50.24975024975025"/>
    <n v="304"/>
    <n v="356"/>
    <n v="47.5"/>
    <n v="52.5"/>
    <n v="15.072727272727272"/>
    <n v="105"/>
    <n v="106"/>
    <n v="3.6314285714285708"/>
    <n v="3.3839622641509428"/>
  </r>
  <r>
    <s v="EMP0342"/>
    <s v="Grace"/>
    <s v="Smith"/>
    <x v="1"/>
    <n v="25"/>
    <x v="5"/>
    <x v="8"/>
    <s v="2014-05-06"/>
    <n v="2"/>
    <n v="6"/>
    <n v="199406"/>
    <x v="1"/>
    <x v="1"/>
    <n v="88"/>
    <n v="659"/>
    <n v="325"/>
    <n v="334"/>
    <n v="49.650349650349654"/>
    <n v="50.24975024975025"/>
    <n v="303"/>
    <n v="356"/>
    <n v="47.5"/>
    <n v="52.5"/>
    <n v="15.068285280728377"/>
    <n v="105"/>
    <n v="106"/>
    <n v="3.6314285714285708"/>
    <n v="3.3839622641509428"/>
  </r>
  <r>
    <s v="EMP0343"/>
    <s v="Daniel"/>
    <s v="Brown"/>
    <x v="0"/>
    <n v="38"/>
    <x v="0"/>
    <x v="5"/>
    <s v="2013-01-26"/>
    <n v="5"/>
    <n v="7"/>
    <n v="135277"/>
    <x v="13"/>
    <x v="1"/>
    <n v="90"/>
    <n v="658"/>
    <n v="325"/>
    <n v="333"/>
    <n v="49.650349650349654"/>
    <n v="50.24975024975025"/>
    <n v="303"/>
    <n v="355"/>
    <n v="47.5"/>
    <n v="52.5"/>
    <n v="15.082066869300911"/>
    <n v="104"/>
    <n v="106"/>
    <n v="3.6451923076923074"/>
    <n v="3.3839622641509428"/>
  </r>
  <r>
    <s v="EMP0344"/>
    <s v="David"/>
    <s v="Jones"/>
    <x v="1"/>
    <n v="41"/>
    <x v="6"/>
    <x v="0"/>
    <s v="2015-02-16"/>
    <n v="19"/>
    <n v="25"/>
    <n v="439228"/>
    <x v="6"/>
    <x v="0"/>
    <n v="53"/>
    <n v="657"/>
    <n v="324"/>
    <n v="333"/>
    <n v="49.650349650349654"/>
    <n v="50.24975024975025"/>
    <n v="303"/>
    <n v="354"/>
    <n v="47.5"/>
    <n v="52.5"/>
    <n v="15.094368340943683"/>
    <n v="104"/>
    <n v="106"/>
    <n v="3.6451923076923074"/>
    <n v="3.3839622641509428"/>
  </r>
  <r>
    <s v="EMP0345"/>
    <s v="Grace"/>
    <s v="Smith"/>
    <x v="1"/>
    <n v="22"/>
    <x v="4"/>
    <x v="3"/>
    <s v="2016-10-03"/>
    <n v="5"/>
    <n v="13"/>
    <n v="264262"/>
    <x v="26"/>
    <x v="1"/>
    <n v="77"/>
    <n v="656"/>
    <n v="324"/>
    <n v="332"/>
    <n v="49.650349650349654"/>
    <n v="50.24975024975025"/>
    <n v="302"/>
    <n v="354"/>
    <n v="47.5"/>
    <n v="52.5"/>
    <n v="15.079268292682928"/>
    <n v="104"/>
    <n v="106"/>
    <n v="3.6451923076923074"/>
    <n v="3.3839622641509428"/>
  </r>
  <r>
    <s v="EMP0346"/>
    <s v="Mary"/>
    <s v="Smith"/>
    <x v="0"/>
    <n v="40"/>
    <x v="3"/>
    <x v="8"/>
    <s v="2022-04-21"/>
    <n v="9"/>
    <n v="18"/>
    <n v="314852"/>
    <x v="17"/>
    <x v="1"/>
    <n v="80"/>
    <n v="655"/>
    <n v="324"/>
    <n v="331"/>
    <n v="49.650349650349654"/>
    <n v="50.24975024975025"/>
    <n v="302"/>
    <n v="353"/>
    <n v="47.5"/>
    <n v="52.5"/>
    <n v="15.082442748091603"/>
    <n v="104"/>
    <n v="106"/>
    <n v="3.6451923076923074"/>
    <n v="3.3839622641509428"/>
  </r>
  <r>
    <s v="EMP0347"/>
    <s v="Mary"/>
    <s v="Smith"/>
    <x v="1"/>
    <n v="55"/>
    <x v="4"/>
    <x v="0"/>
    <s v="2013-03-07"/>
    <n v="7"/>
    <n v="13"/>
    <n v="307252"/>
    <x v="21"/>
    <x v="1"/>
    <n v="97"/>
    <n v="654"/>
    <n v="323"/>
    <n v="331"/>
    <n v="49.650349650349654"/>
    <n v="50.24975024975025"/>
    <n v="302"/>
    <n v="352"/>
    <n v="47.5"/>
    <n v="52.5"/>
    <n v="15.077981651376147"/>
    <n v="104"/>
    <n v="106"/>
    <n v="3.6451923076923074"/>
    <n v="3.3839622641509428"/>
  </r>
  <r>
    <s v="EMP0348"/>
    <s v="James"/>
    <s v="Musa"/>
    <x v="1"/>
    <n v="23"/>
    <x v="2"/>
    <x v="4"/>
    <s v="2020-08-06"/>
    <n v="16"/>
    <n v="21"/>
    <n v="434784"/>
    <x v="28"/>
    <x v="1"/>
    <n v="97"/>
    <n v="653"/>
    <n v="323"/>
    <n v="330"/>
    <n v="49.650349650349654"/>
    <n v="50.24975024975025"/>
    <n v="302"/>
    <n v="351"/>
    <n v="47.5"/>
    <n v="52.5"/>
    <n v="15.081163859111792"/>
    <n v="104"/>
    <n v="106"/>
    <n v="3.6451923076923074"/>
    <n v="3.3839622641509428"/>
  </r>
  <r>
    <s v="EMP0349"/>
    <s v="Fatima"/>
    <s v="Smith"/>
    <x v="0"/>
    <n v="50"/>
    <x v="6"/>
    <x v="6"/>
    <s v="2013-09-04"/>
    <n v="16"/>
    <n v="23"/>
    <n v="216807"/>
    <x v="16"/>
    <x v="0"/>
    <n v="35"/>
    <n v="652"/>
    <n v="323"/>
    <n v="329"/>
    <n v="49.650349650349654"/>
    <n v="50.24975024975025"/>
    <n v="302"/>
    <n v="350"/>
    <n v="47.5"/>
    <n v="52.5"/>
    <n v="15.072085889570552"/>
    <n v="104"/>
    <n v="106"/>
    <n v="3.6451923076923074"/>
    <n v="3.3839622641509428"/>
  </r>
  <r>
    <s v="EMP0350"/>
    <s v="Peter"/>
    <s v="Musa"/>
    <x v="0"/>
    <n v="45"/>
    <x v="0"/>
    <x v="5"/>
    <s v="2020-12-08"/>
    <n v="14"/>
    <n v="17"/>
    <n v="446662"/>
    <x v="19"/>
    <x v="0"/>
    <n v="44"/>
    <n v="651"/>
    <n v="322"/>
    <n v="329"/>
    <n v="49.650349650349654"/>
    <n v="50.24975024975025"/>
    <n v="301"/>
    <n v="350"/>
    <n v="47.5"/>
    <n v="52.5"/>
    <n v="15.059907834101383"/>
    <n v="104"/>
    <n v="106"/>
    <n v="3.6451923076923074"/>
    <n v="3.3839622641509428"/>
  </r>
  <r>
    <s v="EMP0351"/>
    <s v="James"/>
    <s v="Ibrahim"/>
    <x v="0"/>
    <n v="24"/>
    <x v="5"/>
    <x v="3"/>
    <s v="2013-02-07"/>
    <n v="8"/>
    <n v="13"/>
    <n v="98648"/>
    <x v="16"/>
    <x v="1"/>
    <n v="76"/>
    <n v="650"/>
    <n v="321"/>
    <n v="329"/>
    <n v="49.650349650349654"/>
    <n v="50.24975024975025"/>
    <n v="300"/>
    <n v="350"/>
    <n v="47.5"/>
    <n v="52.5"/>
    <n v="15.056923076923077"/>
    <n v="104"/>
    <n v="106"/>
    <n v="3.6451923076923074"/>
    <n v="3.3839622641509428"/>
  </r>
  <r>
    <s v="EMP0352"/>
    <s v="Hauwa"/>
    <s v="Williams"/>
    <x v="0"/>
    <n v="44"/>
    <x v="1"/>
    <x v="9"/>
    <s v="2017-02-16"/>
    <n v="4"/>
    <n v="4"/>
    <n v="348808"/>
    <x v="29"/>
    <x v="0"/>
    <n v="60"/>
    <n v="649"/>
    <n v="320"/>
    <n v="329"/>
    <n v="49.650349650349654"/>
    <n v="50.24975024975025"/>
    <n v="300"/>
    <n v="349"/>
    <n v="47.5"/>
    <n v="52.5"/>
    <n v="15.060092449922958"/>
    <n v="103"/>
    <n v="106"/>
    <n v="3.6320388349514561"/>
    <n v="3.3839622641509428"/>
  </r>
  <r>
    <s v="EMP0353"/>
    <s v="David"/>
    <s v="Okoro"/>
    <x v="1"/>
    <n v="25"/>
    <x v="6"/>
    <x v="1"/>
    <s v="2022-11-24"/>
    <n v="4"/>
    <n v="12"/>
    <n v="278403"/>
    <x v="24"/>
    <x v="1"/>
    <n v="87"/>
    <n v="648"/>
    <n v="319"/>
    <n v="329"/>
    <n v="49.650349650349654"/>
    <n v="50.24975024975025"/>
    <n v="299"/>
    <n v="349"/>
    <n v="47.5"/>
    <n v="52.5"/>
    <n v="15.07716049382716"/>
    <n v="103"/>
    <n v="105"/>
    <n v="3.6320388349514561"/>
    <n v="3.3876190476190469"/>
  </r>
  <r>
    <s v="EMP0354"/>
    <s v="Amina"/>
    <s v="Smith"/>
    <x v="0"/>
    <n v="28"/>
    <x v="3"/>
    <x v="3"/>
    <s v="2018-11-13"/>
    <n v="4"/>
    <n v="4"/>
    <n v="484165"/>
    <x v="10"/>
    <x v="0"/>
    <n v="43"/>
    <n v="647"/>
    <n v="319"/>
    <n v="328"/>
    <n v="49.650349650349654"/>
    <n v="50.24975024975025"/>
    <n v="299"/>
    <n v="348"/>
    <n v="47.5"/>
    <n v="52.5"/>
    <n v="15.081916537867079"/>
    <n v="103"/>
    <n v="105"/>
    <n v="3.6320388349514561"/>
    <n v="3.3876190476190469"/>
  </r>
  <r>
    <s v="EMP0355"/>
    <s v="David"/>
    <s v="Johnson"/>
    <x v="1"/>
    <n v="38"/>
    <x v="4"/>
    <x v="5"/>
    <s v="2021-03-15"/>
    <n v="18"/>
    <n v="22"/>
    <n v="210401"/>
    <x v="23"/>
    <x v="1"/>
    <n v="90"/>
    <n v="646"/>
    <n v="318"/>
    <n v="328"/>
    <n v="49.650349650349654"/>
    <n v="50.24975024975025"/>
    <n v="298"/>
    <n v="348"/>
    <n v="47.5"/>
    <n v="52.5"/>
    <n v="15.09907120743034"/>
    <n v="103"/>
    <n v="105"/>
    <n v="3.6320388349514561"/>
    <n v="3.3876190476190469"/>
  </r>
  <r>
    <s v="EMP0356"/>
    <s v="Fatima"/>
    <s v="Johnson"/>
    <x v="0"/>
    <n v="24"/>
    <x v="2"/>
    <x v="3"/>
    <s v="2015-09-08"/>
    <n v="6"/>
    <n v="14"/>
    <n v="473803"/>
    <x v="25"/>
    <x v="1"/>
    <n v="78"/>
    <n v="645"/>
    <n v="318"/>
    <n v="327"/>
    <n v="49.650349650349654"/>
    <n v="50.24975024975025"/>
    <n v="298"/>
    <n v="347"/>
    <n v="47.5"/>
    <n v="52.5"/>
    <n v="15.088372093023256"/>
    <n v="103"/>
    <n v="105"/>
    <n v="3.6320388349514561"/>
    <n v="3.3876190476190469"/>
  </r>
  <r>
    <s v="EMP0357"/>
    <s v="James"/>
    <s v="Musa"/>
    <x v="0"/>
    <n v="41"/>
    <x v="5"/>
    <x v="1"/>
    <s v="2018-09-14"/>
    <n v="4"/>
    <n v="7"/>
    <n v="64613"/>
    <x v="24"/>
    <x v="1"/>
    <n v="92"/>
    <n v="644"/>
    <n v="317"/>
    <n v="327"/>
    <n v="49.650349650349654"/>
    <n v="50.24975024975025"/>
    <n v="298"/>
    <n v="346"/>
    <n v="47.5"/>
    <n v="52.5"/>
    <n v="15.090062111801242"/>
    <n v="103"/>
    <n v="105"/>
    <n v="3.6320388349514561"/>
    <n v="3.3876190476190469"/>
  </r>
  <r>
    <s v="EMP0358"/>
    <s v="John"/>
    <s v="Jones"/>
    <x v="1"/>
    <n v="41"/>
    <x v="6"/>
    <x v="8"/>
    <s v="2022-07-28"/>
    <n v="0"/>
    <n v="9"/>
    <n v="421441"/>
    <x v="11"/>
    <x v="0"/>
    <n v="52"/>
    <n v="643"/>
    <n v="316"/>
    <n v="327"/>
    <n v="49.650349650349654"/>
    <n v="50.24975024975025"/>
    <n v="298"/>
    <n v="345"/>
    <n v="47.5"/>
    <n v="52.5"/>
    <n v="15.102643856920684"/>
    <n v="102"/>
    <n v="105"/>
    <n v="3.6323529411764706"/>
    <n v="3.3876190476190469"/>
  </r>
  <r>
    <s v="EMP0359"/>
    <s v="Grace"/>
    <s v="Ibrahim"/>
    <x v="0"/>
    <n v="28"/>
    <x v="5"/>
    <x v="1"/>
    <s v="2018-12-11"/>
    <n v="18"/>
    <n v="28"/>
    <n v="250080"/>
    <x v="18"/>
    <x v="0"/>
    <n v="45"/>
    <n v="642"/>
    <n v="316"/>
    <n v="326"/>
    <n v="49.650349650349654"/>
    <n v="50.24975024975025"/>
    <n v="297"/>
    <n v="345"/>
    <n v="47.5"/>
    <n v="52.5"/>
    <n v="15.11214953271028"/>
    <n v="102"/>
    <n v="105"/>
    <n v="3.6323529411764706"/>
    <n v="3.3876190476190469"/>
  </r>
  <r>
    <s v="EMP0360"/>
    <s v="John"/>
    <s v="Ahmed"/>
    <x v="1"/>
    <n v="49"/>
    <x v="3"/>
    <x v="6"/>
    <s v="2024-09-05"/>
    <n v="6"/>
    <n v="16"/>
    <n v="487786"/>
    <x v="24"/>
    <x v="1"/>
    <n v="98"/>
    <n v="641"/>
    <n v="315"/>
    <n v="326"/>
    <n v="49.650349650349654"/>
    <n v="50.24975024975025"/>
    <n v="296"/>
    <n v="345"/>
    <n v="47.5"/>
    <n v="52.5"/>
    <n v="15.092043681747271"/>
    <n v="101"/>
    <n v="105"/>
    <n v="3.6475247524752472"/>
    <n v="3.3876190476190469"/>
  </r>
  <r>
    <s v="EMP0361"/>
    <s v="Grace"/>
    <s v="Musa"/>
    <x v="1"/>
    <n v="31"/>
    <x v="1"/>
    <x v="0"/>
    <s v="2023-05-18"/>
    <n v="20"/>
    <n v="20"/>
    <n v="195096"/>
    <x v="30"/>
    <x v="0"/>
    <n v="35"/>
    <n v="640"/>
    <n v="315"/>
    <n v="325"/>
    <n v="49.650349650349654"/>
    <n v="50.24975024975025"/>
    <n v="296"/>
    <n v="344"/>
    <n v="47.5"/>
    <n v="52.5"/>
    <n v="15.090624999999999"/>
    <n v="101"/>
    <n v="105"/>
    <n v="3.6475247524752472"/>
    <n v="3.3876190476190469"/>
  </r>
  <r>
    <s v="EMP0362"/>
    <s v="Amina"/>
    <s v="Brown"/>
    <x v="0"/>
    <n v="33"/>
    <x v="4"/>
    <x v="6"/>
    <s v="2021-10-21"/>
    <n v="19"/>
    <n v="27"/>
    <n v="312750"/>
    <x v="8"/>
    <x v="0"/>
    <n v="67"/>
    <n v="639"/>
    <n v="315"/>
    <n v="324"/>
    <n v="49.650349650349654"/>
    <n v="50.24975024975025"/>
    <n v="295"/>
    <n v="344"/>
    <n v="47.5"/>
    <n v="52.5"/>
    <n v="15.082942097026605"/>
    <n v="101"/>
    <n v="104"/>
    <n v="3.6475247524752472"/>
    <n v="3.3951923076923074"/>
  </r>
  <r>
    <s v="EMP0363"/>
    <s v="John"/>
    <s v="Garba"/>
    <x v="0"/>
    <n v="56"/>
    <x v="1"/>
    <x v="4"/>
    <s v="2018-07-19"/>
    <n v="3"/>
    <n v="12"/>
    <n v="180018"/>
    <x v="22"/>
    <x v="1"/>
    <n v="100"/>
    <n v="638"/>
    <n v="314"/>
    <n v="324"/>
    <n v="49.650349650349654"/>
    <n v="50.24975024975025"/>
    <n v="294"/>
    <n v="344"/>
    <n v="47.5"/>
    <n v="52.5"/>
    <n v="15.064263322884013"/>
    <n v="101"/>
    <n v="104"/>
    <n v="3.6475247524752472"/>
    <n v="3.3951923076923074"/>
  </r>
  <r>
    <s v="EMP0364"/>
    <s v="David"/>
    <s v="Jones"/>
    <x v="1"/>
    <n v="23"/>
    <x v="0"/>
    <x v="9"/>
    <s v="2012-06-06"/>
    <n v="9"/>
    <n v="14"/>
    <n v="242016"/>
    <x v="19"/>
    <x v="1"/>
    <n v="94"/>
    <n v="637"/>
    <n v="313"/>
    <n v="324"/>
    <n v="49.650349650349654"/>
    <n v="50.24975024975025"/>
    <n v="294"/>
    <n v="343"/>
    <n v="47.5"/>
    <n v="52.5"/>
    <n v="15.069073783359498"/>
    <n v="101"/>
    <n v="103"/>
    <n v="3.6475247524752472"/>
    <n v="3.3902912621359222"/>
  </r>
  <r>
    <s v="EMP0365"/>
    <s v="Fatima"/>
    <s v="Williams"/>
    <x v="0"/>
    <n v="41"/>
    <x v="5"/>
    <x v="6"/>
    <s v="2019-04-26"/>
    <n v="17"/>
    <n v="26"/>
    <n v="173004"/>
    <x v="20"/>
    <x v="0"/>
    <n v="40"/>
    <n v="636"/>
    <n v="313"/>
    <n v="323"/>
    <n v="49.650349650349654"/>
    <n v="50.24975024975025"/>
    <n v="294"/>
    <n v="342"/>
    <n v="47.5"/>
    <n v="52.5"/>
    <n v="15.070754716981131"/>
    <n v="101"/>
    <n v="103"/>
    <n v="3.6475247524752472"/>
    <n v="3.3902912621359222"/>
  </r>
  <r>
    <s v="EMP0366"/>
    <s v="Mary"/>
    <s v="Williams"/>
    <x v="1"/>
    <n v="50"/>
    <x v="0"/>
    <x v="9"/>
    <s v="2015-01-29"/>
    <n v="12"/>
    <n v="14"/>
    <n v="176633"/>
    <x v="29"/>
    <x v="1"/>
    <n v="82"/>
    <n v="635"/>
    <n v="312"/>
    <n v="323"/>
    <n v="49.650349650349654"/>
    <n v="50.24975024975025"/>
    <n v="293"/>
    <n v="342"/>
    <n v="47.5"/>
    <n v="52.5"/>
    <n v="15.053543307086613"/>
    <n v="100"/>
    <n v="103"/>
    <n v="3.6379999999999999"/>
    <n v="3.3902912621359222"/>
  </r>
  <r>
    <s v="EMP0367"/>
    <s v="Michael"/>
    <s v="Jones"/>
    <x v="0"/>
    <n v="34"/>
    <x v="6"/>
    <x v="9"/>
    <s v="2018-07-05"/>
    <n v="1"/>
    <n v="9"/>
    <n v="57168"/>
    <x v="21"/>
    <x v="1"/>
    <n v="79"/>
    <n v="634"/>
    <n v="312"/>
    <n v="322"/>
    <n v="49.650349650349654"/>
    <n v="50.24975024975025"/>
    <n v="293"/>
    <n v="341"/>
    <n v="47.5"/>
    <n v="52.5"/>
    <n v="15.055205047318612"/>
    <n v="100"/>
    <n v="103"/>
    <n v="3.6379999999999999"/>
    <n v="3.3902912621359222"/>
  </r>
  <r>
    <s v="EMP0368"/>
    <s v="Michael"/>
    <s v="Ibrahim"/>
    <x v="0"/>
    <n v="39"/>
    <x v="3"/>
    <x v="3"/>
    <s v="2024-01-21"/>
    <n v="14"/>
    <n v="19"/>
    <n v="59339"/>
    <x v="17"/>
    <x v="1"/>
    <n v="92"/>
    <n v="633"/>
    <n v="311"/>
    <n v="322"/>
    <n v="49.650349650349654"/>
    <n v="50.24975024975025"/>
    <n v="293"/>
    <n v="340"/>
    <n v="47.5"/>
    <n v="52.5"/>
    <n v="15.064770932069511"/>
    <n v="100"/>
    <n v="103"/>
    <n v="3.6379999999999999"/>
    <n v="3.3902912621359222"/>
  </r>
  <r>
    <s v="EMP0369"/>
    <s v="Peter"/>
    <s v="Musa"/>
    <x v="1"/>
    <n v="53"/>
    <x v="6"/>
    <x v="1"/>
    <s v="2022-03-23"/>
    <n v="19"/>
    <n v="20"/>
    <n v="124713"/>
    <x v="22"/>
    <x v="0"/>
    <n v="30"/>
    <n v="632"/>
    <n v="310"/>
    <n v="322"/>
    <n v="49.650349650349654"/>
    <n v="50.24975024975025"/>
    <n v="293"/>
    <n v="339"/>
    <n v="47.5"/>
    <n v="52.5"/>
    <n v="15.058544303797468"/>
    <n v="100"/>
    <n v="103"/>
    <n v="3.6379999999999999"/>
    <n v="3.3902912621359222"/>
  </r>
  <r>
    <s v="EMP0370"/>
    <s v="Sarah"/>
    <s v="Musa"/>
    <x v="1"/>
    <n v="22"/>
    <x v="5"/>
    <x v="8"/>
    <s v="2014-09-25"/>
    <n v="19"/>
    <n v="28"/>
    <n v="218939"/>
    <x v="20"/>
    <x v="0"/>
    <n v="57"/>
    <n v="631"/>
    <n v="310"/>
    <n v="321"/>
    <n v="49.650349650349654"/>
    <n v="50.24975024975025"/>
    <n v="292"/>
    <n v="339"/>
    <n v="47.5"/>
    <n v="52.5"/>
    <n v="15.050713153724248"/>
    <n v="100"/>
    <n v="103"/>
    <n v="3.6379999999999999"/>
    <n v="3.3902912621359222"/>
  </r>
  <r>
    <s v="EMP0371"/>
    <s v="Michael"/>
    <s v="Smith"/>
    <x v="1"/>
    <n v="42"/>
    <x v="5"/>
    <x v="6"/>
    <s v="2025-06-09"/>
    <n v="11"/>
    <n v="16"/>
    <n v="420524"/>
    <x v="27"/>
    <x v="1"/>
    <n v="89"/>
    <n v="630"/>
    <n v="310"/>
    <n v="320"/>
    <n v="49.650349650349654"/>
    <n v="50.24975024975025"/>
    <n v="291"/>
    <n v="339"/>
    <n v="47.5"/>
    <n v="52.5"/>
    <n v="15.03015873015873"/>
    <n v="99"/>
    <n v="103"/>
    <n v="3.6282828282828286"/>
    <n v="3.3902912621359222"/>
  </r>
  <r>
    <s v="EMP0372"/>
    <s v="Amina"/>
    <s v="Jones"/>
    <x v="0"/>
    <n v="29"/>
    <x v="4"/>
    <x v="4"/>
    <s v="2012-02-22"/>
    <n v="3"/>
    <n v="13"/>
    <n v="340238"/>
    <x v="22"/>
    <x v="1"/>
    <n v="100"/>
    <n v="629"/>
    <n v="310"/>
    <n v="319"/>
    <n v="49.650349650349654"/>
    <n v="50.24975024975025"/>
    <n v="291"/>
    <n v="338"/>
    <n v="47.5"/>
    <n v="52.5"/>
    <n v="15.028616852146264"/>
    <n v="98"/>
    <n v="103"/>
    <n v="3.6357142857142866"/>
    <n v="3.3902912621359222"/>
  </r>
  <r>
    <s v="EMP0373"/>
    <s v="John"/>
    <s v="Ibrahim"/>
    <x v="1"/>
    <n v="56"/>
    <x v="5"/>
    <x v="1"/>
    <s v="2015-12-01"/>
    <n v="11"/>
    <n v="19"/>
    <n v="116850"/>
    <x v="24"/>
    <x v="0"/>
    <n v="57"/>
    <n v="628"/>
    <n v="309"/>
    <n v="319"/>
    <n v="49.650349650349654"/>
    <n v="50.24975024975025"/>
    <n v="291"/>
    <n v="337"/>
    <n v="47.5"/>
    <n v="52.5"/>
    <n v="15.031847133757962"/>
    <n v="98"/>
    <n v="103"/>
    <n v="3.6357142857142866"/>
    <n v="3.3902912621359222"/>
  </r>
  <r>
    <s v="EMP0374"/>
    <s v="James"/>
    <s v="Ibrahim"/>
    <x v="1"/>
    <n v="52"/>
    <x v="5"/>
    <x v="3"/>
    <s v="2018-04-11"/>
    <n v="0"/>
    <n v="7"/>
    <n v="187630"/>
    <x v="17"/>
    <x v="1"/>
    <n v="78"/>
    <n v="627"/>
    <n v="309"/>
    <n v="318"/>
    <n v="49.650349650349654"/>
    <n v="50.24975024975025"/>
    <n v="290"/>
    <n v="337"/>
    <n v="47.5"/>
    <n v="52.5"/>
    <n v="15.025518341307816"/>
    <n v="97"/>
    <n v="103"/>
    <n v="3.6360824742268045"/>
    <n v="3.3902912621359222"/>
  </r>
  <r>
    <s v="EMP0375"/>
    <s v="David"/>
    <s v="Johnson"/>
    <x v="0"/>
    <n v="21"/>
    <x v="2"/>
    <x v="3"/>
    <s v="2017-03-02"/>
    <n v="13"/>
    <n v="22"/>
    <n v="262238"/>
    <x v="26"/>
    <x v="1"/>
    <n v="74"/>
    <n v="626"/>
    <n v="309"/>
    <n v="317"/>
    <n v="49.650349650349654"/>
    <n v="50.24975024975025"/>
    <n v="290"/>
    <n v="336"/>
    <n v="47.5"/>
    <n v="52.5"/>
    <n v="15.038338658146964"/>
    <n v="96"/>
    <n v="103"/>
    <n v="3.6270833333333337"/>
    <n v="3.3902912621359222"/>
  </r>
  <r>
    <s v="EMP0376"/>
    <s v="Amina"/>
    <s v="Ahmed"/>
    <x v="1"/>
    <n v="31"/>
    <x v="4"/>
    <x v="9"/>
    <s v="2020-08-25"/>
    <n v="15"/>
    <n v="22"/>
    <n v="267642"/>
    <x v="13"/>
    <x v="0"/>
    <n v="54"/>
    <n v="625"/>
    <n v="308"/>
    <n v="317"/>
    <n v="49.650349650349654"/>
    <n v="50.24975024975025"/>
    <n v="290"/>
    <n v="335"/>
    <n v="47.5"/>
    <n v="52.5"/>
    <n v="15.027200000000001"/>
    <n v="96"/>
    <n v="103"/>
    <n v="3.6270833333333337"/>
    <n v="3.3902912621359222"/>
  </r>
  <r>
    <s v="EMP0377"/>
    <s v="Daniel"/>
    <s v="Musa"/>
    <x v="1"/>
    <n v="35"/>
    <x v="4"/>
    <x v="4"/>
    <s v="2022-06-04"/>
    <n v="6"/>
    <n v="13"/>
    <n v="75564"/>
    <x v="8"/>
    <x v="1"/>
    <n v="96"/>
    <n v="624"/>
    <n v="308"/>
    <n v="316"/>
    <n v="49.650349650349654"/>
    <n v="50.24975024975025"/>
    <n v="289"/>
    <n v="335"/>
    <n v="47.5"/>
    <n v="52.5"/>
    <n v="15.016025641025641"/>
    <n v="96"/>
    <n v="103"/>
    <n v="3.6270833333333337"/>
    <n v="3.3902912621359222"/>
  </r>
  <r>
    <s v="EMP0378"/>
    <s v="John"/>
    <s v="Smith"/>
    <x v="1"/>
    <n v="23"/>
    <x v="1"/>
    <x v="4"/>
    <s v="2019-05-19"/>
    <n v="11"/>
    <n v="11"/>
    <n v="239993"/>
    <x v="10"/>
    <x v="1"/>
    <n v="73"/>
    <n v="623"/>
    <n v="308"/>
    <n v="315"/>
    <n v="49.650349650349654"/>
    <n v="50.24975024975025"/>
    <n v="289"/>
    <n v="334"/>
    <n v="47.5"/>
    <n v="52.5"/>
    <n v="15.019261637239165"/>
    <n v="96"/>
    <n v="103"/>
    <n v="3.6270833333333337"/>
    <n v="3.3902912621359222"/>
  </r>
  <r>
    <s v="EMP0379"/>
    <s v="John"/>
    <s v="Okoro"/>
    <x v="1"/>
    <n v="36"/>
    <x v="5"/>
    <x v="5"/>
    <s v="2017-04-10"/>
    <n v="9"/>
    <n v="13"/>
    <n v="121365"/>
    <x v="24"/>
    <x v="1"/>
    <n v="78"/>
    <n v="622"/>
    <n v="308"/>
    <n v="314"/>
    <n v="49.650349650349654"/>
    <n v="50.24975024975025"/>
    <n v="289"/>
    <n v="333"/>
    <n v="47.5"/>
    <n v="52.5"/>
    <n v="15.02572347266881"/>
    <n v="96"/>
    <n v="102"/>
    <n v="3.6270833333333337"/>
    <n v="3.3931372549019612"/>
  </r>
  <r>
    <s v="EMP0380"/>
    <s v="James"/>
    <s v="Ibrahim"/>
    <x v="1"/>
    <n v="40"/>
    <x v="4"/>
    <x v="3"/>
    <s v="2018-06-01"/>
    <n v="10"/>
    <n v="20"/>
    <n v="187153"/>
    <x v="18"/>
    <x v="0"/>
    <n v="53"/>
    <n v="621"/>
    <n v="308"/>
    <n v="313"/>
    <n v="49.650349650349654"/>
    <n v="50.24975024975025"/>
    <n v="289"/>
    <n v="332"/>
    <n v="47.5"/>
    <n v="52.5"/>
    <n v="15.028985507246377"/>
    <n v="95"/>
    <n v="102"/>
    <n v="3.6273684210526325"/>
    <n v="3.3931372549019612"/>
  </r>
  <r>
    <s v="EMP0381"/>
    <s v="John"/>
    <s v="Garba"/>
    <x v="1"/>
    <n v="21"/>
    <x v="1"/>
    <x v="8"/>
    <s v="2017-09-25"/>
    <n v="12"/>
    <n v="21"/>
    <n v="177964"/>
    <x v="28"/>
    <x v="1"/>
    <n v="77"/>
    <n v="620"/>
    <n v="308"/>
    <n v="312"/>
    <n v="49.650349650349654"/>
    <n v="50.24975024975025"/>
    <n v="288"/>
    <n v="332"/>
    <n v="47.5"/>
    <n v="52.5"/>
    <n v="15.020967741935484"/>
    <n v="95"/>
    <n v="102"/>
    <n v="3.6273684210526325"/>
    <n v="3.3931372549019612"/>
  </r>
  <r>
    <s v="EMP0382"/>
    <s v="David"/>
    <s v="Musa"/>
    <x v="1"/>
    <n v="22"/>
    <x v="0"/>
    <x v="5"/>
    <s v="2024-10-07"/>
    <n v="5"/>
    <n v="14"/>
    <n v="313360"/>
    <x v="8"/>
    <x v="1"/>
    <n v="90"/>
    <n v="619"/>
    <n v="308"/>
    <n v="311"/>
    <n v="49.650349650349654"/>
    <n v="50.24975024975025"/>
    <n v="288"/>
    <n v="331"/>
    <n v="47.5"/>
    <n v="52.5"/>
    <n v="15.011308562197092"/>
    <n v="95"/>
    <n v="101"/>
    <n v="3.6273684210526325"/>
    <n v="3.3841584158415841"/>
  </r>
  <r>
    <s v="EMP0383"/>
    <s v="Fatima"/>
    <s v="Okoro"/>
    <x v="1"/>
    <n v="51"/>
    <x v="5"/>
    <x v="5"/>
    <s v="2016-01-26"/>
    <n v="11"/>
    <n v="14"/>
    <n v="375467"/>
    <x v="13"/>
    <x v="1"/>
    <n v="99"/>
    <n v="618"/>
    <n v="308"/>
    <n v="310"/>
    <n v="49.650349650349654"/>
    <n v="50.24975024975025"/>
    <n v="288"/>
    <n v="330"/>
    <n v="47.5"/>
    <n v="52.5"/>
    <n v="15.01294498381877"/>
    <n v="95"/>
    <n v="101"/>
    <n v="3.6273684210526325"/>
    <n v="3.3841584158415841"/>
  </r>
  <r>
    <s v="EMP0384"/>
    <s v="Amina"/>
    <s v="Ibrahim"/>
    <x v="0"/>
    <n v="39"/>
    <x v="6"/>
    <x v="9"/>
    <s v="2022-01-03"/>
    <n v="16"/>
    <n v="23"/>
    <n v="336615"/>
    <x v="26"/>
    <x v="1"/>
    <n v="88"/>
    <n v="617"/>
    <n v="308"/>
    <n v="309"/>
    <n v="49.650349650349654"/>
    <n v="50.24975024975025"/>
    <n v="288"/>
    <n v="329"/>
    <n v="47.5"/>
    <n v="52.5"/>
    <n v="15.014586709886547"/>
    <n v="94"/>
    <n v="101"/>
    <n v="3.6446808510638307"/>
    <n v="3.3841584158415841"/>
  </r>
  <r>
    <s v="EMP0385"/>
    <s v="Mary"/>
    <s v="Brown"/>
    <x v="1"/>
    <n v="29"/>
    <x v="3"/>
    <x v="4"/>
    <s v="2012-09-03"/>
    <n v="14"/>
    <n v="23"/>
    <n v="450071"/>
    <x v="10"/>
    <x v="1"/>
    <n v="96"/>
    <n v="616"/>
    <n v="307"/>
    <n v="309"/>
    <n v="49.650349650349654"/>
    <n v="50.24975024975025"/>
    <n v="288"/>
    <n v="328"/>
    <n v="47.5"/>
    <n v="52.5"/>
    <n v="15.001623376623376"/>
    <n v="94"/>
    <n v="101"/>
    <n v="3.6446808510638307"/>
    <n v="3.3841584158415841"/>
  </r>
  <r>
    <s v="EMP0386"/>
    <s v="John"/>
    <s v="Okoro"/>
    <x v="0"/>
    <n v="30"/>
    <x v="5"/>
    <x v="2"/>
    <s v="2014-04-29"/>
    <n v="10"/>
    <n v="12"/>
    <n v="128248"/>
    <x v="29"/>
    <x v="1"/>
    <n v="93"/>
    <n v="615"/>
    <n v="307"/>
    <n v="308"/>
    <n v="49.650349650349654"/>
    <n v="50.24975024975025"/>
    <n v="288"/>
    <n v="327"/>
    <n v="47.5"/>
    <n v="52.5"/>
    <n v="14.988617886178861"/>
    <n v="94"/>
    <n v="101"/>
    <n v="3.6446808510638307"/>
    <n v="3.3841584158415841"/>
  </r>
  <r>
    <s v="EMP0387"/>
    <s v="James"/>
    <s v="Johnson"/>
    <x v="1"/>
    <n v="27"/>
    <x v="4"/>
    <x v="1"/>
    <s v="2012-07-24"/>
    <n v="19"/>
    <n v="23"/>
    <n v="116102"/>
    <x v="8"/>
    <x v="0"/>
    <n v="62"/>
    <n v="614"/>
    <n v="306"/>
    <n v="308"/>
    <n v="49.650349650349654"/>
    <n v="50.24975024975025"/>
    <n v="288"/>
    <n v="326"/>
    <n v="47.5"/>
    <n v="52.5"/>
    <n v="14.993485342019545"/>
    <n v="93"/>
    <n v="101"/>
    <n v="3.6516129032258071"/>
    <n v="3.3841584158415841"/>
  </r>
  <r>
    <s v="EMP0388"/>
    <s v="Fatima"/>
    <s v="Jones"/>
    <x v="0"/>
    <n v="47"/>
    <x v="3"/>
    <x v="1"/>
    <s v="2019-11-10"/>
    <n v="7"/>
    <n v="17"/>
    <n v="72998"/>
    <x v="3"/>
    <x v="1"/>
    <n v="93"/>
    <n v="613"/>
    <n v="306"/>
    <n v="307"/>
    <n v="49.650349650349654"/>
    <n v="50.24975024975025"/>
    <n v="287"/>
    <n v="326"/>
    <n v="47.5"/>
    <n v="52.5"/>
    <n v="14.980424143556281"/>
    <n v="93"/>
    <n v="101"/>
    <n v="3.6516129032258071"/>
    <n v="3.3841584158415841"/>
  </r>
  <r>
    <s v="EMP0389"/>
    <s v="Michael"/>
    <s v="Smith"/>
    <x v="0"/>
    <n v="22"/>
    <x v="0"/>
    <x v="6"/>
    <s v="2020-11-06"/>
    <n v="8"/>
    <n v="8"/>
    <n v="377730"/>
    <x v="15"/>
    <x v="0"/>
    <n v="37"/>
    <n v="612"/>
    <n v="305"/>
    <n v="307"/>
    <n v="49.650349650349654"/>
    <n v="50.24975024975025"/>
    <n v="287"/>
    <n v="325"/>
    <n v="47.5"/>
    <n v="52.5"/>
    <n v="14.977124183006536"/>
    <n v="93"/>
    <n v="101"/>
    <n v="3.6516129032258071"/>
    <n v="3.3841584158415841"/>
  </r>
  <r>
    <s v="EMP0390"/>
    <s v="Grace"/>
    <s v="Okoro"/>
    <x v="1"/>
    <n v="30"/>
    <x v="0"/>
    <x v="3"/>
    <s v="2013-11-15"/>
    <n v="1"/>
    <n v="10"/>
    <n v="370016"/>
    <x v="15"/>
    <x v="0"/>
    <n v="31"/>
    <n v="611"/>
    <n v="304"/>
    <n v="307"/>
    <n v="49.650349650349654"/>
    <n v="50.24975024975025"/>
    <n v="286"/>
    <n v="325"/>
    <n v="47.5"/>
    <n v="52.5"/>
    <n v="14.988543371522095"/>
    <n v="93"/>
    <n v="101"/>
    <n v="3.6516129032258071"/>
    <n v="3.3841584158415841"/>
  </r>
  <r>
    <s v="EMP0391"/>
    <s v="Mary"/>
    <s v="Williams"/>
    <x v="0"/>
    <n v="41"/>
    <x v="3"/>
    <x v="0"/>
    <s v="2012-04-05"/>
    <n v="12"/>
    <n v="15"/>
    <n v="155281"/>
    <x v="27"/>
    <x v="1"/>
    <n v="73"/>
    <n v="610"/>
    <n v="304"/>
    <n v="306"/>
    <n v="49.650349650349654"/>
    <n v="50.24975024975025"/>
    <n v="285"/>
    <n v="325"/>
    <n v="47.5"/>
    <n v="52.5"/>
    <n v="14.99672131147541"/>
    <n v="93"/>
    <n v="101"/>
    <n v="3.6516129032258071"/>
    <n v="3.3841584158415841"/>
  </r>
  <r>
    <s v="EMP0392"/>
    <s v="Hauwa"/>
    <s v="Brown"/>
    <x v="1"/>
    <n v="60"/>
    <x v="3"/>
    <x v="5"/>
    <s v="2018-04-25"/>
    <n v="8"/>
    <n v="12"/>
    <n v="200962"/>
    <x v="5"/>
    <x v="1"/>
    <n v="86"/>
    <n v="609"/>
    <n v="303"/>
    <n v="306"/>
    <n v="49.650349650349654"/>
    <n v="50.24975024975025"/>
    <n v="285"/>
    <n v="324"/>
    <n v="47.5"/>
    <n v="52.5"/>
    <n v="14.99671592775041"/>
    <n v="93"/>
    <n v="101"/>
    <n v="3.6516129032258071"/>
    <n v="3.3841584158415841"/>
  </r>
  <r>
    <s v="EMP0393"/>
    <s v="Hauwa"/>
    <s v="Johnson"/>
    <x v="1"/>
    <n v="21"/>
    <x v="2"/>
    <x v="5"/>
    <s v="2014-07-24"/>
    <n v="6"/>
    <n v="10"/>
    <n v="362651"/>
    <x v="30"/>
    <x v="1"/>
    <n v="85"/>
    <n v="608"/>
    <n v="303"/>
    <n v="305"/>
    <n v="49.650349650349654"/>
    <n v="50.24975024975025"/>
    <n v="285"/>
    <n v="323"/>
    <n v="47.5"/>
    <n v="52.5"/>
    <n v="15.001644736842104"/>
    <n v="93"/>
    <n v="101"/>
    <n v="3.6516129032258071"/>
    <n v="3.3841584158415841"/>
  </r>
  <r>
    <s v="EMP0394"/>
    <s v="John"/>
    <s v="Johnson"/>
    <x v="1"/>
    <n v="33"/>
    <x v="4"/>
    <x v="8"/>
    <s v="2013-01-16"/>
    <n v="4"/>
    <n v="14"/>
    <n v="284087"/>
    <x v="23"/>
    <x v="1"/>
    <n v="78"/>
    <n v="607"/>
    <n v="303"/>
    <n v="304"/>
    <n v="49.650349650349654"/>
    <n v="50.24975024975025"/>
    <n v="285"/>
    <n v="322"/>
    <n v="47.5"/>
    <n v="52.5"/>
    <n v="15.009884678747941"/>
    <n v="93"/>
    <n v="101"/>
    <n v="3.6516129032258071"/>
    <n v="3.3841584158415841"/>
  </r>
  <r>
    <s v="EMP0395"/>
    <s v="David"/>
    <s v="Smith"/>
    <x v="1"/>
    <n v="50"/>
    <x v="5"/>
    <x v="2"/>
    <s v="2013-04-14"/>
    <n v="6"/>
    <n v="8"/>
    <n v="186479"/>
    <x v="28"/>
    <x v="1"/>
    <n v="86"/>
    <n v="606"/>
    <n v="303"/>
    <n v="303"/>
    <n v="49.650349650349654"/>
    <n v="50.24975024975025"/>
    <n v="285"/>
    <n v="321"/>
    <n v="47.5"/>
    <n v="52.5"/>
    <n v="15.011551155115512"/>
    <n v="93"/>
    <n v="101"/>
    <n v="3.6516129032258071"/>
    <n v="3.3841584158415841"/>
  </r>
  <r>
    <s v="EMP0396"/>
    <s v="David"/>
    <s v="Garba"/>
    <x v="1"/>
    <n v="33"/>
    <x v="2"/>
    <x v="5"/>
    <s v="2016-05-04"/>
    <n v="15"/>
    <n v="17"/>
    <n v="245867"/>
    <x v="8"/>
    <x v="1"/>
    <n v="91"/>
    <n v="605"/>
    <n v="303"/>
    <n v="302"/>
    <n v="49.650349650349654"/>
    <n v="50.24975024975025"/>
    <n v="285"/>
    <n v="320"/>
    <n v="47.5"/>
    <n v="52.5"/>
    <n v="15.023140495867768"/>
    <n v="92"/>
    <n v="101"/>
    <n v="3.6445652173913046"/>
    <n v="3.3841584158415841"/>
  </r>
  <r>
    <s v="EMP0397"/>
    <s v="David"/>
    <s v="Jones"/>
    <x v="1"/>
    <n v="49"/>
    <x v="6"/>
    <x v="1"/>
    <s v="2012-02-23"/>
    <n v="19"/>
    <n v="21"/>
    <n v="468031"/>
    <x v="22"/>
    <x v="1"/>
    <n v="80"/>
    <n v="604"/>
    <n v="303"/>
    <n v="301"/>
    <n v="49.650349650349654"/>
    <n v="50.24975024975025"/>
    <n v="285"/>
    <n v="319"/>
    <n v="47.5"/>
    <n v="52.5"/>
    <n v="15.019867549668874"/>
    <n v="92"/>
    <n v="101"/>
    <n v="3.6445652173913046"/>
    <n v="3.3841584158415841"/>
  </r>
  <r>
    <s v="EMP0398"/>
    <s v="John"/>
    <s v="Ibrahim"/>
    <x v="0"/>
    <n v="38"/>
    <x v="2"/>
    <x v="4"/>
    <s v="2019-04-25"/>
    <n v="5"/>
    <n v="10"/>
    <n v="57121"/>
    <x v="9"/>
    <x v="1"/>
    <n v="85"/>
    <n v="603"/>
    <n v="303"/>
    <n v="300"/>
    <n v="49.650349650349654"/>
    <n v="50.24975024975025"/>
    <n v="285"/>
    <n v="318"/>
    <n v="47.5"/>
    <n v="52.5"/>
    <n v="15.009950248756219"/>
    <n v="92"/>
    <n v="101"/>
    <n v="3.6445652173913046"/>
    <n v="3.3841584158415841"/>
  </r>
  <r>
    <s v="EMP0399"/>
    <s v="James"/>
    <s v="Garba"/>
    <x v="1"/>
    <n v="51"/>
    <x v="2"/>
    <x v="8"/>
    <s v="2015-11-29"/>
    <n v="12"/>
    <n v="20"/>
    <n v="479894"/>
    <x v="4"/>
    <x v="1"/>
    <n v="74"/>
    <n v="602"/>
    <n v="302"/>
    <n v="300"/>
    <n v="49.650349650349654"/>
    <n v="50.24975024975025"/>
    <n v="285"/>
    <n v="317"/>
    <n v="47.5"/>
    <n v="52.5"/>
    <n v="15.018272425249169"/>
    <n v="92"/>
    <n v="101"/>
    <n v="3.6445652173913046"/>
    <n v="3.3841584158415841"/>
  </r>
  <r>
    <s v="EMP0400"/>
    <s v="Peter"/>
    <s v="Brown"/>
    <x v="0"/>
    <n v="37"/>
    <x v="1"/>
    <x v="0"/>
    <s v="2018-09-23"/>
    <n v="15"/>
    <n v="21"/>
    <n v="242776"/>
    <x v="16"/>
    <x v="0"/>
    <n v="30"/>
    <n v="601"/>
    <n v="302"/>
    <n v="299"/>
    <n v="49.650349650349654"/>
    <n v="50.24975024975025"/>
    <n v="285"/>
    <n v="316"/>
    <n v="47.5"/>
    <n v="52.5"/>
    <n v="15.009983361064892"/>
    <n v="92"/>
    <n v="101"/>
    <n v="3.6445652173913046"/>
    <n v="3.3841584158415841"/>
  </r>
  <r>
    <s v="EMP0401"/>
    <s v="Grace"/>
    <s v="Garba"/>
    <x v="0"/>
    <n v="31"/>
    <x v="0"/>
    <x v="0"/>
    <s v="2023-10-22"/>
    <n v="15"/>
    <n v="19"/>
    <n v="378538"/>
    <x v="24"/>
    <x v="0"/>
    <n v="38"/>
    <n v="600"/>
    <n v="301"/>
    <n v="299"/>
    <n v="49.650349650349654"/>
    <n v="50.24975024975025"/>
    <n v="284"/>
    <n v="316"/>
    <n v="47.5"/>
    <n v="52.5"/>
    <n v="15"/>
    <n v="92"/>
    <n v="100"/>
    <n v="3.6445652173913046"/>
    <n v="3.3680000000000003"/>
  </r>
  <r>
    <s v="EMP0402"/>
    <s v="Mary"/>
    <s v="Smith"/>
    <x v="1"/>
    <n v="41"/>
    <x v="2"/>
    <x v="6"/>
    <s v="2014-10-11"/>
    <n v="5"/>
    <n v="10"/>
    <n v="448236"/>
    <x v="28"/>
    <x v="0"/>
    <n v="70"/>
    <n v="599"/>
    <n v="300"/>
    <n v="299"/>
    <n v="49.650349650349654"/>
    <n v="50.24975024975025"/>
    <n v="283"/>
    <n v="316"/>
    <n v="47.5"/>
    <n v="52.5"/>
    <n v="14.993322203672788"/>
    <n v="92"/>
    <n v="100"/>
    <n v="3.6445652173913046"/>
    <n v="3.3680000000000003"/>
  </r>
  <r>
    <s v="EMP0403"/>
    <s v="Hauwa"/>
    <s v="Williams"/>
    <x v="0"/>
    <n v="31"/>
    <x v="4"/>
    <x v="3"/>
    <s v="2017-10-09"/>
    <n v="8"/>
    <n v="14"/>
    <n v="54922"/>
    <x v="27"/>
    <x v="0"/>
    <n v="54"/>
    <n v="598"/>
    <n v="300"/>
    <n v="298"/>
    <n v="49.650349650349654"/>
    <n v="50.24975024975025"/>
    <n v="282"/>
    <n v="316"/>
    <n v="47.5"/>
    <n v="52.5"/>
    <n v="15.001672240802675"/>
    <n v="92"/>
    <n v="100"/>
    <n v="3.6445652173913046"/>
    <n v="3.3680000000000003"/>
  </r>
  <r>
    <s v="EMP0404"/>
    <s v="Michael"/>
    <s v="Ahmed"/>
    <x v="0"/>
    <n v="51"/>
    <x v="4"/>
    <x v="5"/>
    <s v="2023-04-21"/>
    <n v="1"/>
    <n v="5"/>
    <n v="341723"/>
    <x v="1"/>
    <x v="0"/>
    <n v="51"/>
    <n v="597"/>
    <n v="299"/>
    <n v="298"/>
    <n v="49.650349650349654"/>
    <n v="50.24975024975025"/>
    <n v="281"/>
    <n v="316"/>
    <n v="47.5"/>
    <n v="52.5"/>
    <n v="15.003350083752094"/>
    <n v="92"/>
    <n v="100"/>
    <n v="3.6445652173913046"/>
    <n v="3.3680000000000003"/>
  </r>
  <r>
    <s v="EMP0405"/>
    <s v="James"/>
    <s v="Williams"/>
    <x v="0"/>
    <n v="49"/>
    <x v="6"/>
    <x v="5"/>
    <s v="2014-04-21"/>
    <n v="7"/>
    <n v="9"/>
    <n v="195702"/>
    <x v="17"/>
    <x v="1"/>
    <n v="92"/>
    <n v="596"/>
    <n v="298"/>
    <n v="298"/>
    <n v="49.650349650349654"/>
    <n v="50.24975024975025"/>
    <n v="280"/>
    <n v="316"/>
    <n v="47.5"/>
    <n v="52.5"/>
    <n v="15.020134228187919"/>
    <n v="92"/>
    <n v="100"/>
    <n v="3.6445652173913046"/>
    <n v="3.3680000000000003"/>
  </r>
  <r>
    <s v="EMP0406"/>
    <s v="Daniel"/>
    <s v="Musa"/>
    <x v="1"/>
    <n v="24"/>
    <x v="4"/>
    <x v="8"/>
    <s v="2025-01-02"/>
    <n v="4"/>
    <n v="7"/>
    <n v="452835"/>
    <x v="7"/>
    <x v="1"/>
    <n v="75"/>
    <n v="595"/>
    <n v="297"/>
    <n v="298"/>
    <n v="49.650349650349654"/>
    <n v="50.24975024975025"/>
    <n v="280"/>
    <n v="315"/>
    <n v="47.5"/>
    <n v="52.5"/>
    <n v="15.030252100840336"/>
    <n v="92"/>
    <n v="100"/>
    <n v="3.6445652173913046"/>
    <n v="3.3680000000000003"/>
  </r>
  <r>
    <s v="EMP0407"/>
    <s v="Mary"/>
    <s v="Williams"/>
    <x v="0"/>
    <n v="34"/>
    <x v="4"/>
    <x v="2"/>
    <s v="2017-09-27"/>
    <n v="13"/>
    <n v="16"/>
    <n v="300647"/>
    <x v="12"/>
    <x v="1"/>
    <n v="79"/>
    <n v="594"/>
    <n v="297"/>
    <n v="297"/>
    <n v="49.650349650349654"/>
    <n v="50.24975024975025"/>
    <n v="280"/>
    <n v="314"/>
    <n v="47.5"/>
    <n v="52.5"/>
    <n v="15.043771043771043"/>
    <n v="92"/>
    <n v="100"/>
    <n v="3.6445652173913046"/>
    <n v="3.3680000000000003"/>
  </r>
  <r>
    <s v="EMP0408"/>
    <s v="Hauwa"/>
    <s v="Ibrahim"/>
    <x v="1"/>
    <n v="58"/>
    <x v="6"/>
    <x v="8"/>
    <s v="2013-05-07"/>
    <n v="4"/>
    <n v="5"/>
    <n v="296546"/>
    <x v="25"/>
    <x v="0"/>
    <n v="45"/>
    <n v="593"/>
    <n v="296"/>
    <n v="297"/>
    <n v="49.650349650349654"/>
    <n v="50.24975024975025"/>
    <n v="280"/>
    <n v="313"/>
    <n v="47.5"/>
    <n v="52.5"/>
    <n v="15.042158516020237"/>
    <n v="92"/>
    <n v="100"/>
    <n v="3.6445652173913046"/>
    <n v="3.3680000000000003"/>
  </r>
  <r>
    <s v="EMP0409"/>
    <s v="Hauwa"/>
    <s v="Garba"/>
    <x v="1"/>
    <n v="35"/>
    <x v="5"/>
    <x v="1"/>
    <s v="2017-06-12"/>
    <n v="11"/>
    <n v="20"/>
    <n v="358712"/>
    <x v="13"/>
    <x v="0"/>
    <n v="62"/>
    <n v="592"/>
    <n v="296"/>
    <n v="296"/>
    <n v="49.650349650349654"/>
    <n v="50.24975024975025"/>
    <n v="279"/>
    <n v="313"/>
    <n v="47.5"/>
    <n v="52.5"/>
    <n v="15.059121621621621"/>
    <n v="92"/>
    <n v="100"/>
    <n v="3.6445652173913046"/>
    <n v="3.3680000000000003"/>
  </r>
  <r>
    <s v="EMP0410"/>
    <s v="Fatima"/>
    <s v="Johnson"/>
    <x v="1"/>
    <n v="30"/>
    <x v="4"/>
    <x v="9"/>
    <s v="2019-10-17"/>
    <n v="19"/>
    <n v="23"/>
    <n v="82691"/>
    <x v="1"/>
    <x v="1"/>
    <n v="84"/>
    <n v="591"/>
    <n v="296"/>
    <n v="295"/>
    <n v="49.650349650349654"/>
    <n v="50.24975024975025"/>
    <n v="278"/>
    <n v="313"/>
    <n v="47.5"/>
    <n v="52.5"/>
    <n v="15.050761421319796"/>
    <n v="91"/>
    <n v="100"/>
    <n v="3.6626373626373629"/>
    <n v="3.3680000000000003"/>
  </r>
  <r>
    <s v="EMP0411"/>
    <s v="Daniel"/>
    <s v="Brown"/>
    <x v="0"/>
    <n v="27"/>
    <x v="6"/>
    <x v="1"/>
    <s v="2021-10-14"/>
    <n v="3"/>
    <n v="8"/>
    <n v="348345"/>
    <x v="21"/>
    <x v="0"/>
    <n v="43"/>
    <n v="590"/>
    <n v="296"/>
    <n v="294"/>
    <n v="49.650349650349654"/>
    <n v="50.24975024975025"/>
    <n v="278"/>
    <n v="312"/>
    <n v="47.5"/>
    <n v="52.5"/>
    <n v="15.03728813559322"/>
    <n v="91"/>
    <n v="100"/>
    <n v="3.6626373626373629"/>
    <n v="3.3680000000000003"/>
  </r>
  <r>
    <s v="EMP0412"/>
    <s v="Daniel"/>
    <s v="Johnson"/>
    <x v="0"/>
    <n v="55"/>
    <x v="0"/>
    <x v="1"/>
    <s v="2014-04-09"/>
    <n v="1"/>
    <n v="3"/>
    <n v="113893"/>
    <x v="26"/>
    <x v="1"/>
    <n v="83"/>
    <n v="589"/>
    <n v="295"/>
    <n v="294"/>
    <n v="49.650349650349654"/>
    <n v="50.24975024975025"/>
    <n v="277"/>
    <n v="312"/>
    <n v="47.5"/>
    <n v="52.5"/>
    <n v="15.049235993208828"/>
    <n v="91"/>
    <n v="100"/>
    <n v="3.6626373626373629"/>
    <n v="3.3680000000000003"/>
  </r>
  <r>
    <s v="EMP0413"/>
    <s v="Hauwa"/>
    <s v="Ibrahim"/>
    <x v="0"/>
    <n v="58"/>
    <x v="6"/>
    <x v="2"/>
    <s v="2019-02-20"/>
    <n v="5"/>
    <n v="14"/>
    <n v="487132"/>
    <x v="10"/>
    <x v="0"/>
    <n v="31"/>
    <n v="588"/>
    <n v="294"/>
    <n v="294"/>
    <n v="49.650349650349654"/>
    <n v="50.24975024975025"/>
    <n v="277"/>
    <n v="311"/>
    <n v="47.5"/>
    <n v="52.5"/>
    <n v="15.069727891156463"/>
    <n v="91"/>
    <n v="100"/>
    <n v="3.6626373626373629"/>
    <n v="3.3680000000000003"/>
  </r>
  <r>
    <s v="EMP0414"/>
    <s v="Hauwa"/>
    <s v="Johnson"/>
    <x v="0"/>
    <n v="59"/>
    <x v="1"/>
    <x v="1"/>
    <s v="2025-06-07"/>
    <n v="16"/>
    <n v="20"/>
    <n v="322169"/>
    <x v="24"/>
    <x v="0"/>
    <n v="38"/>
    <n v="587"/>
    <n v="293"/>
    <n v="294"/>
    <n v="49.650349650349654"/>
    <n v="50.24975024975025"/>
    <n v="276"/>
    <n v="311"/>
    <n v="47.5"/>
    <n v="52.5"/>
    <n v="15.071550255536627"/>
    <n v="91"/>
    <n v="100"/>
    <n v="3.6626373626373629"/>
    <n v="3.3680000000000003"/>
  </r>
  <r>
    <s v="EMP0415"/>
    <s v="James"/>
    <s v="Garba"/>
    <x v="1"/>
    <n v="25"/>
    <x v="3"/>
    <x v="8"/>
    <s v="2018-09-02"/>
    <n v="13"/>
    <n v="13"/>
    <n v="200065"/>
    <x v="22"/>
    <x v="0"/>
    <n v="63"/>
    <n v="586"/>
    <n v="292"/>
    <n v="294"/>
    <n v="49.650349650349654"/>
    <n v="50.24975024975025"/>
    <n v="275"/>
    <n v="311"/>
    <n v="47.5"/>
    <n v="52.5"/>
    <n v="15.063139931740615"/>
    <n v="91"/>
    <n v="99"/>
    <n v="3.6626373626373629"/>
    <n v="3.3656565656565656"/>
  </r>
  <r>
    <s v="EMP0416"/>
    <s v="Michael"/>
    <s v="Ahmed"/>
    <x v="0"/>
    <n v="43"/>
    <x v="2"/>
    <x v="5"/>
    <s v="2025-08-23"/>
    <n v="20"/>
    <n v="21"/>
    <n v="338471"/>
    <x v="8"/>
    <x v="0"/>
    <n v="60"/>
    <n v="585"/>
    <n v="292"/>
    <n v="293"/>
    <n v="49.650349650349654"/>
    <n v="50.24975024975025"/>
    <n v="274"/>
    <n v="311"/>
    <n v="47.5"/>
    <n v="52.5"/>
    <n v="15.066666666666666"/>
    <n v="91"/>
    <n v="99"/>
    <n v="3.6626373626373629"/>
    <n v="3.3656565656565656"/>
  </r>
  <r>
    <s v="EMP0417"/>
    <s v="Fatima"/>
    <s v="Johnson"/>
    <x v="1"/>
    <n v="52"/>
    <x v="6"/>
    <x v="3"/>
    <s v="2014-08-27"/>
    <n v="20"/>
    <n v="22"/>
    <n v="477463"/>
    <x v="13"/>
    <x v="1"/>
    <n v="91"/>
    <n v="584"/>
    <n v="291"/>
    <n v="293"/>
    <n v="49.650349650349654"/>
    <n v="50.24975024975025"/>
    <n v="273"/>
    <n v="311"/>
    <n v="47.5"/>
    <n v="52.5"/>
    <n v="15.056506849315069"/>
    <n v="91"/>
    <n v="99"/>
    <n v="3.6626373626373629"/>
    <n v="3.3656565656565656"/>
  </r>
  <r>
    <s v="EMP0418"/>
    <s v="Grace"/>
    <s v="Johnson"/>
    <x v="0"/>
    <n v="58"/>
    <x v="5"/>
    <x v="9"/>
    <s v="2017-11-16"/>
    <n v="6"/>
    <n v="12"/>
    <n v="145277"/>
    <x v="22"/>
    <x v="0"/>
    <n v="64"/>
    <n v="583"/>
    <n v="291"/>
    <n v="292"/>
    <n v="49.650349650349654"/>
    <n v="50.24975024975025"/>
    <n v="273"/>
    <n v="310"/>
    <n v="47.5"/>
    <n v="52.5"/>
    <n v="15.04459691252144"/>
    <n v="91"/>
    <n v="99"/>
    <n v="3.6626373626373629"/>
    <n v="3.3656565656565656"/>
  </r>
  <r>
    <s v="EMP0419"/>
    <s v="Peter"/>
    <s v="Ibrahim"/>
    <x v="0"/>
    <n v="26"/>
    <x v="5"/>
    <x v="8"/>
    <s v="2018-01-17"/>
    <n v="8"/>
    <n v="8"/>
    <n v="99325"/>
    <x v="17"/>
    <x v="1"/>
    <n v="72"/>
    <n v="582"/>
    <n v="290"/>
    <n v="292"/>
    <n v="49.650349650349654"/>
    <n v="50.24975024975025"/>
    <n v="272"/>
    <n v="310"/>
    <n v="47.5"/>
    <n v="52.5"/>
    <n v="15.049828178694158"/>
    <n v="90"/>
    <n v="99"/>
    <n v="3.6600000000000006"/>
    <n v="3.3656565656565656"/>
  </r>
  <r>
    <s v="EMP0420"/>
    <s v="Mary"/>
    <s v="Brown"/>
    <x v="1"/>
    <n v="46"/>
    <x v="2"/>
    <x v="9"/>
    <s v="2016-10-21"/>
    <n v="8"/>
    <n v="9"/>
    <n v="169422"/>
    <x v="4"/>
    <x v="1"/>
    <n v="77"/>
    <n v="581"/>
    <n v="289"/>
    <n v="292"/>
    <n v="49.650349650349654"/>
    <n v="50.24975024975025"/>
    <n v="272"/>
    <n v="309"/>
    <n v="47.5"/>
    <n v="52.5"/>
    <n v="15.06196213425129"/>
    <n v="89"/>
    <n v="99"/>
    <n v="3.6505617977528093"/>
    <n v="3.3656565656565656"/>
  </r>
  <r>
    <s v="EMP0421"/>
    <s v="Peter"/>
    <s v="Jones"/>
    <x v="0"/>
    <n v="35"/>
    <x v="3"/>
    <x v="6"/>
    <s v="2020-12-15"/>
    <n v="2"/>
    <n v="9"/>
    <n v="213991"/>
    <x v="9"/>
    <x v="1"/>
    <n v="71"/>
    <n v="580"/>
    <n v="289"/>
    <n v="291"/>
    <n v="49.650349650349654"/>
    <n v="50.24975024975025"/>
    <n v="272"/>
    <n v="308"/>
    <n v="47.5"/>
    <n v="52.5"/>
    <n v="15.072413793103449"/>
    <n v="89"/>
    <n v="99"/>
    <n v="3.6505617977528093"/>
    <n v="3.3656565656565656"/>
  </r>
  <r>
    <s v="EMP0422"/>
    <s v="Hauwa"/>
    <s v="Jones"/>
    <x v="0"/>
    <n v="34"/>
    <x v="4"/>
    <x v="2"/>
    <s v="2020-09-11"/>
    <n v="9"/>
    <n v="19"/>
    <n v="396030"/>
    <x v="1"/>
    <x v="0"/>
    <n v="31"/>
    <n v="579"/>
    <n v="288"/>
    <n v="291"/>
    <n v="49.650349650349654"/>
    <n v="50.24975024975025"/>
    <n v="272"/>
    <n v="307"/>
    <n v="47.5"/>
    <n v="52.5"/>
    <n v="15.082901554404145"/>
    <n v="89"/>
    <n v="99"/>
    <n v="3.6505617977528093"/>
    <n v="3.3656565656565656"/>
  </r>
  <r>
    <s v="EMP0423"/>
    <s v="Amina"/>
    <s v="Garba"/>
    <x v="1"/>
    <n v="37"/>
    <x v="3"/>
    <x v="8"/>
    <s v="2017-04-28"/>
    <n v="13"/>
    <n v="19"/>
    <n v="330783"/>
    <x v="3"/>
    <x v="0"/>
    <n v="65"/>
    <n v="578"/>
    <n v="287"/>
    <n v="291"/>
    <n v="49.650349650349654"/>
    <n v="50.24975024975025"/>
    <n v="271"/>
    <n v="307"/>
    <n v="47.5"/>
    <n v="52.5"/>
    <n v="15.076124567474048"/>
    <n v="89"/>
    <n v="99"/>
    <n v="3.6505617977528093"/>
    <n v="3.3656565656565656"/>
  </r>
  <r>
    <s v="EMP0424"/>
    <s v="Peter"/>
    <s v="Garba"/>
    <x v="1"/>
    <n v="33"/>
    <x v="1"/>
    <x v="0"/>
    <s v="2022-07-17"/>
    <n v="12"/>
    <n v="21"/>
    <n v="280337"/>
    <x v="5"/>
    <x v="0"/>
    <n v="56"/>
    <n v="577"/>
    <n v="287"/>
    <n v="290"/>
    <n v="49.650349650349654"/>
    <n v="50.24975024975025"/>
    <n v="270"/>
    <n v="307"/>
    <n v="47.5"/>
    <n v="52.5"/>
    <n v="15.069324090121317"/>
    <n v="89"/>
    <n v="99"/>
    <n v="3.6505617977528093"/>
    <n v="3.3656565656565656"/>
  </r>
  <r>
    <s v="EMP0425"/>
    <s v="Peter"/>
    <s v="Smith"/>
    <x v="1"/>
    <n v="56"/>
    <x v="4"/>
    <x v="3"/>
    <s v="2017-10-18"/>
    <n v="0"/>
    <n v="10"/>
    <n v="482314"/>
    <x v="6"/>
    <x v="0"/>
    <n v="55"/>
    <n v="576"/>
    <n v="287"/>
    <n v="289"/>
    <n v="49.650349650349654"/>
    <n v="50.24975024975025"/>
    <n v="269"/>
    <n v="307"/>
    <n v="47.5"/>
    <n v="52.5"/>
    <n v="15.059027777777779"/>
    <n v="89"/>
    <n v="98"/>
    <n v="3.6505617977528093"/>
    <n v="3.35"/>
  </r>
  <r>
    <s v="EMP0426"/>
    <s v="Grace"/>
    <s v="Musa"/>
    <x v="0"/>
    <n v="23"/>
    <x v="2"/>
    <x v="0"/>
    <s v="2024-11-16"/>
    <n v="17"/>
    <n v="26"/>
    <n v="288405"/>
    <x v="18"/>
    <x v="1"/>
    <n v="96"/>
    <n v="575"/>
    <n v="287"/>
    <n v="288"/>
    <n v="49.650349650349654"/>
    <n v="50.24975024975025"/>
    <n v="268"/>
    <n v="307"/>
    <n v="47.5"/>
    <n v="52.5"/>
    <n v="15.067826086956522"/>
    <n v="89"/>
    <n v="98"/>
    <n v="3.6505617977528093"/>
    <n v="3.35"/>
  </r>
  <r>
    <s v="EMP0427"/>
    <s v="Amina"/>
    <s v="Johnson"/>
    <x v="1"/>
    <n v="50"/>
    <x v="3"/>
    <x v="0"/>
    <s v="2023-04-22"/>
    <n v="5"/>
    <n v="7"/>
    <n v="281759"/>
    <x v="13"/>
    <x v="0"/>
    <n v="40"/>
    <n v="574"/>
    <n v="286"/>
    <n v="288"/>
    <n v="49.650349650349654"/>
    <n v="50.24975024975025"/>
    <n v="268"/>
    <n v="306"/>
    <n v="47.5"/>
    <n v="52.5"/>
    <n v="15.048780487804878"/>
    <n v="89"/>
    <n v="98"/>
    <n v="3.6505617977528093"/>
    <n v="3.35"/>
  </r>
  <r>
    <s v="EMP0428"/>
    <s v="James"/>
    <s v="Okoro"/>
    <x v="1"/>
    <n v="33"/>
    <x v="1"/>
    <x v="9"/>
    <s v="2018-08-13"/>
    <n v="6"/>
    <n v="6"/>
    <n v="52014"/>
    <x v="12"/>
    <x v="0"/>
    <n v="59"/>
    <n v="573"/>
    <n v="286"/>
    <n v="287"/>
    <n v="49.650349650349654"/>
    <n v="50.24975024975025"/>
    <n v="267"/>
    <n v="306"/>
    <n v="47.5"/>
    <n v="52.5"/>
    <n v="15.06282722513089"/>
    <n v="89"/>
    <n v="98"/>
    <n v="3.6505617977528093"/>
    <n v="3.35"/>
  </r>
  <r>
    <s v="EMP0429"/>
    <s v="Amina"/>
    <s v="Jones"/>
    <x v="1"/>
    <n v="30"/>
    <x v="6"/>
    <x v="7"/>
    <s v="2013-08-09"/>
    <n v="9"/>
    <n v="10"/>
    <n v="320843"/>
    <x v="4"/>
    <x v="0"/>
    <n v="43"/>
    <n v="572"/>
    <n v="286"/>
    <n v="286"/>
    <n v="49.650349650349654"/>
    <n v="50.24975024975025"/>
    <n v="266"/>
    <n v="306"/>
    <n v="47.5"/>
    <n v="52.5"/>
    <n v="15.078671328671328"/>
    <n v="89"/>
    <n v="97"/>
    <n v="3.6505617977528093"/>
    <n v="3.3494845360824748"/>
  </r>
  <r>
    <s v="EMP0430"/>
    <s v="Mary"/>
    <s v="Johnson"/>
    <x v="1"/>
    <n v="41"/>
    <x v="3"/>
    <x v="4"/>
    <s v="2019-06-21"/>
    <n v="11"/>
    <n v="12"/>
    <n v="167377"/>
    <x v="26"/>
    <x v="0"/>
    <n v="44"/>
    <n v="571"/>
    <n v="286"/>
    <n v="285"/>
    <n v="49.650349650349654"/>
    <n v="50.24975024975025"/>
    <n v="265"/>
    <n v="306"/>
    <n v="47.5"/>
    <n v="52.5"/>
    <n v="15.087565674255691"/>
    <n v="89"/>
    <n v="97"/>
    <n v="3.6505617977528093"/>
    <n v="3.3494845360824748"/>
  </r>
  <r>
    <s v="EMP0431"/>
    <s v="Peter"/>
    <s v="Williams"/>
    <x v="1"/>
    <n v="36"/>
    <x v="1"/>
    <x v="9"/>
    <s v="2016-12-29"/>
    <n v="7"/>
    <n v="12"/>
    <n v="401688"/>
    <x v="26"/>
    <x v="1"/>
    <n v="74"/>
    <n v="570"/>
    <n v="286"/>
    <n v="284"/>
    <n v="49.650349650349654"/>
    <n v="50.24975024975025"/>
    <n v="264"/>
    <n v="306"/>
    <n v="47.5"/>
    <n v="52.5"/>
    <n v="15.092982456140351"/>
    <n v="89"/>
    <n v="97"/>
    <n v="3.6505617977528093"/>
    <n v="3.3494845360824748"/>
  </r>
  <r>
    <s v="EMP0432"/>
    <s v="John"/>
    <s v="Smith"/>
    <x v="0"/>
    <n v="26"/>
    <x v="5"/>
    <x v="2"/>
    <s v="2023-08-11"/>
    <n v="6"/>
    <n v="8"/>
    <n v="197673"/>
    <x v="22"/>
    <x v="0"/>
    <n v="65"/>
    <n v="569"/>
    <n v="286"/>
    <n v="283"/>
    <n v="49.650349650349654"/>
    <n v="50.24975024975025"/>
    <n v="264"/>
    <n v="305"/>
    <n v="47.5"/>
    <n v="52.5"/>
    <n v="15.098418277680141"/>
    <n v="89"/>
    <n v="96"/>
    <n v="3.6505617977528093"/>
    <n v="3.3406249999999997"/>
  </r>
  <r>
    <s v="EMP0433"/>
    <s v="Hauwa"/>
    <s v="Smith"/>
    <x v="0"/>
    <n v="24"/>
    <x v="0"/>
    <x v="9"/>
    <s v="2019-04-08"/>
    <n v="20"/>
    <n v="21"/>
    <n v="69990"/>
    <x v="2"/>
    <x v="1"/>
    <n v="100"/>
    <n v="568"/>
    <n v="285"/>
    <n v="283"/>
    <n v="49.650349650349654"/>
    <n v="50.24975024975025"/>
    <n v="263"/>
    <n v="305"/>
    <n v="47.5"/>
    <n v="52.5"/>
    <n v="15.110915492957746"/>
    <n v="88"/>
    <n v="96"/>
    <n v="3.6477272727272734"/>
    <n v="3.3406249999999997"/>
  </r>
  <r>
    <s v="EMP0434"/>
    <s v="David"/>
    <s v="Jones"/>
    <x v="1"/>
    <n v="60"/>
    <x v="3"/>
    <x v="3"/>
    <s v="2012-02-26"/>
    <n v="6"/>
    <n v="14"/>
    <n v="425478"/>
    <x v="17"/>
    <x v="1"/>
    <n v="92"/>
    <n v="567"/>
    <n v="284"/>
    <n v="283"/>
    <n v="49.650349650349654"/>
    <n v="50.24975024975025"/>
    <n v="263"/>
    <n v="304"/>
    <n v="47.5"/>
    <n v="52.5"/>
    <n v="15.100529100529101"/>
    <n v="88"/>
    <n v="96"/>
    <n v="3.6477272727272734"/>
    <n v="3.3406249999999997"/>
  </r>
  <r>
    <s v="EMP0435"/>
    <s v="Sarah"/>
    <s v="Ibrahim"/>
    <x v="0"/>
    <n v="37"/>
    <x v="1"/>
    <x v="3"/>
    <s v="2020-09-04"/>
    <n v="11"/>
    <n v="21"/>
    <n v="433363"/>
    <x v="11"/>
    <x v="1"/>
    <n v="94"/>
    <n v="566"/>
    <n v="284"/>
    <n v="282"/>
    <n v="49.650349650349654"/>
    <n v="50.24975024975025"/>
    <n v="263"/>
    <n v="303"/>
    <n v="47.5"/>
    <n v="52.5"/>
    <n v="15.102473498233216"/>
    <n v="88"/>
    <n v="96"/>
    <n v="3.6477272727272734"/>
    <n v="3.3406249999999997"/>
  </r>
  <r>
    <s v="EMP0436"/>
    <s v="Grace"/>
    <s v="Jones"/>
    <x v="1"/>
    <n v="26"/>
    <x v="4"/>
    <x v="6"/>
    <s v="2016-04-08"/>
    <n v="13"/>
    <n v="21"/>
    <n v="415354"/>
    <x v="18"/>
    <x v="1"/>
    <n v="74"/>
    <n v="565"/>
    <n v="283"/>
    <n v="282"/>
    <n v="49.650349650349654"/>
    <n v="50.24975024975025"/>
    <n v="263"/>
    <n v="302"/>
    <n v="47.5"/>
    <n v="52.5"/>
    <n v="15.092035398230088"/>
    <n v="88"/>
    <n v="95"/>
    <n v="3.6477272727272734"/>
    <n v="3.3263157894736834"/>
  </r>
  <r>
    <s v="EMP0437"/>
    <s v="Grace"/>
    <s v="Jones"/>
    <x v="1"/>
    <n v="50"/>
    <x v="2"/>
    <x v="7"/>
    <s v="2025-07-04"/>
    <n v="8"/>
    <n v="15"/>
    <n v="392545"/>
    <x v="1"/>
    <x v="1"/>
    <n v="89"/>
    <n v="564"/>
    <n v="283"/>
    <n v="281"/>
    <n v="49.650349650349654"/>
    <n v="50.24975024975025"/>
    <n v="263"/>
    <n v="301"/>
    <n v="47.5"/>
    <n v="52.5"/>
    <n v="15.081560283687944"/>
    <n v="88"/>
    <n v="95"/>
    <n v="3.6477272727272734"/>
    <n v="3.3263157894736834"/>
  </r>
  <r>
    <s v="EMP0438"/>
    <s v="Michael"/>
    <s v="Garba"/>
    <x v="1"/>
    <n v="28"/>
    <x v="0"/>
    <x v="2"/>
    <s v="2013-10-31"/>
    <n v="9"/>
    <n v="18"/>
    <n v="473115"/>
    <x v="10"/>
    <x v="1"/>
    <n v="81"/>
    <n v="563"/>
    <n v="283"/>
    <n v="280"/>
    <n v="49.650349650349654"/>
    <n v="50.24975024975025"/>
    <n v="263"/>
    <n v="300"/>
    <n v="47.5"/>
    <n v="52.5"/>
    <n v="15.081705150976909"/>
    <n v="88"/>
    <n v="95"/>
    <n v="3.6477272727272734"/>
    <n v="3.3263157894736834"/>
  </r>
  <r>
    <s v="EMP0439"/>
    <s v="Hauwa"/>
    <s v="Garba"/>
    <x v="1"/>
    <n v="32"/>
    <x v="5"/>
    <x v="3"/>
    <s v="2015-03-17"/>
    <n v="19"/>
    <n v="21"/>
    <n v="200092"/>
    <x v="18"/>
    <x v="0"/>
    <n v="53"/>
    <n v="562"/>
    <n v="283"/>
    <n v="279"/>
    <n v="49.650349650349654"/>
    <n v="50.24975024975025"/>
    <n v="263"/>
    <n v="299"/>
    <n v="47.5"/>
    <n v="52.5"/>
    <n v="15.076512455516013"/>
    <n v="88"/>
    <n v="95"/>
    <n v="3.6477272727272734"/>
    <n v="3.3263157894736834"/>
  </r>
  <r>
    <s v="EMP0440"/>
    <s v="Michael"/>
    <s v="Williams"/>
    <x v="0"/>
    <n v="54"/>
    <x v="0"/>
    <x v="7"/>
    <s v="2018-05-31"/>
    <n v="12"/>
    <n v="18"/>
    <n v="361860"/>
    <x v="28"/>
    <x v="0"/>
    <n v="62"/>
    <n v="561"/>
    <n v="283"/>
    <n v="278"/>
    <n v="49.650349650349654"/>
    <n v="50.24975024975025"/>
    <n v="262"/>
    <n v="299"/>
    <n v="47.5"/>
    <n v="52.5"/>
    <n v="15.065953654188949"/>
    <n v="87"/>
    <n v="95"/>
    <n v="3.6655172413793107"/>
    <n v="3.3263157894736834"/>
  </r>
  <r>
    <s v="EMP0441"/>
    <s v="John"/>
    <s v="Ahmed"/>
    <x v="0"/>
    <n v="51"/>
    <x v="3"/>
    <x v="0"/>
    <s v="2012-06-20"/>
    <n v="2"/>
    <n v="6"/>
    <n v="443796"/>
    <x v="2"/>
    <x v="1"/>
    <n v="89"/>
    <n v="560"/>
    <n v="282"/>
    <n v="278"/>
    <n v="49.650349650349654"/>
    <n v="50.24975024975025"/>
    <n v="261"/>
    <n v="299"/>
    <n v="47.5"/>
    <n v="52.5"/>
    <n v="15.060714285714285"/>
    <n v="87"/>
    <n v="95"/>
    <n v="3.6655172413793107"/>
    <n v="3.3263157894736834"/>
  </r>
  <r>
    <s v="EMP0442"/>
    <s v="Daniel"/>
    <s v="Okoro"/>
    <x v="1"/>
    <n v="58"/>
    <x v="6"/>
    <x v="3"/>
    <s v="2025-07-17"/>
    <n v="3"/>
    <n v="9"/>
    <n v="330281"/>
    <x v="29"/>
    <x v="1"/>
    <n v="90"/>
    <n v="559"/>
    <n v="281"/>
    <n v="278"/>
    <n v="49.650349650349654"/>
    <n v="50.24975024975025"/>
    <n v="261"/>
    <n v="298"/>
    <n v="47.5"/>
    <n v="52.5"/>
    <n v="15.076923076923077"/>
    <n v="87"/>
    <n v="95"/>
    <n v="3.6655172413793107"/>
    <n v="3.3263157894736834"/>
  </r>
  <r>
    <s v="EMP0443"/>
    <s v="Hauwa"/>
    <s v="Jones"/>
    <x v="0"/>
    <n v="33"/>
    <x v="6"/>
    <x v="6"/>
    <s v="2017-01-01"/>
    <n v="17"/>
    <n v="19"/>
    <n v="425338"/>
    <x v="9"/>
    <x v="0"/>
    <n v="68"/>
    <n v="558"/>
    <n v="281"/>
    <n v="277"/>
    <n v="49.650349650349654"/>
    <n v="50.24975024975025"/>
    <n v="261"/>
    <n v="297"/>
    <n v="47.5"/>
    <n v="52.5"/>
    <n v="15.087813620071685"/>
    <n v="87"/>
    <n v="95"/>
    <n v="3.6655172413793107"/>
    <n v="3.3263157894736834"/>
  </r>
  <r>
    <s v="EMP0444"/>
    <s v="John"/>
    <s v="Johnson"/>
    <x v="0"/>
    <n v="37"/>
    <x v="4"/>
    <x v="6"/>
    <s v="2017-03-22"/>
    <n v="0"/>
    <n v="6"/>
    <n v="70202"/>
    <x v="7"/>
    <x v="0"/>
    <n v="38"/>
    <n v="557"/>
    <n v="280"/>
    <n v="277"/>
    <n v="49.650349650349654"/>
    <n v="50.24975024975025"/>
    <n v="260"/>
    <n v="297"/>
    <n v="47.5"/>
    <n v="52.5"/>
    <n v="15.080789946140037"/>
    <n v="87"/>
    <n v="95"/>
    <n v="3.6655172413793107"/>
    <n v="3.3263157894736834"/>
  </r>
  <r>
    <s v="EMP0445"/>
    <s v="Grace"/>
    <s v="Williams"/>
    <x v="1"/>
    <n v="24"/>
    <x v="5"/>
    <x v="9"/>
    <s v="2014-09-10"/>
    <n v="2"/>
    <n v="3"/>
    <n v="361807"/>
    <x v="14"/>
    <x v="0"/>
    <n v="61"/>
    <n v="556"/>
    <n v="279"/>
    <n v="277"/>
    <n v="49.650349650349654"/>
    <n v="50.24975024975025"/>
    <n v="259"/>
    <n v="297"/>
    <n v="47.5"/>
    <n v="52.5"/>
    <n v="15.097122302158274"/>
    <n v="87"/>
    <n v="95"/>
    <n v="3.6655172413793107"/>
    <n v="3.3263157894736834"/>
  </r>
  <r>
    <s v="EMP0446"/>
    <s v="Amina"/>
    <s v="Ibrahim"/>
    <x v="0"/>
    <n v="24"/>
    <x v="0"/>
    <x v="4"/>
    <s v="2021-09-24"/>
    <n v="0"/>
    <n v="2"/>
    <n v="421290"/>
    <x v="7"/>
    <x v="1"/>
    <n v="96"/>
    <n v="555"/>
    <n v="279"/>
    <n v="276"/>
    <n v="49.650349650349654"/>
    <n v="50.24975024975025"/>
    <n v="258"/>
    <n v="297"/>
    <n v="47.5"/>
    <n v="52.5"/>
    <n v="15.118918918918919"/>
    <n v="86"/>
    <n v="95"/>
    <n v="3.6755813953488374"/>
    <n v="3.3263157894736834"/>
  </r>
  <r>
    <s v="EMP0447"/>
    <s v="Amina"/>
    <s v="Ahmed"/>
    <x v="1"/>
    <n v="55"/>
    <x v="0"/>
    <x v="5"/>
    <s v="2017-07-29"/>
    <n v="19"/>
    <n v="19"/>
    <n v="317561"/>
    <x v="16"/>
    <x v="0"/>
    <n v="60"/>
    <n v="554"/>
    <n v="278"/>
    <n v="276"/>
    <n v="49.650349650349654"/>
    <n v="50.24975024975025"/>
    <n v="258"/>
    <n v="296"/>
    <n v="47.5"/>
    <n v="52.5"/>
    <n v="15.14259927797834"/>
    <n v="86"/>
    <n v="95"/>
    <n v="3.6755813953488374"/>
    <n v="3.3263157894736834"/>
  </r>
  <r>
    <s v="EMP0448"/>
    <s v="Sarah"/>
    <s v="Garba"/>
    <x v="0"/>
    <n v="41"/>
    <x v="3"/>
    <x v="6"/>
    <s v="2024-04-26"/>
    <n v="6"/>
    <n v="15"/>
    <n v="439492"/>
    <x v="22"/>
    <x v="1"/>
    <n v="89"/>
    <n v="553"/>
    <n v="278"/>
    <n v="275"/>
    <n v="49.650349650349654"/>
    <n v="50.24975024975025"/>
    <n v="257"/>
    <n v="296"/>
    <n v="47.5"/>
    <n v="52.5"/>
    <n v="15.135623869801085"/>
    <n v="86"/>
    <n v="95"/>
    <n v="3.6755813953488374"/>
    <n v="3.3263157894736834"/>
  </r>
  <r>
    <s v="EMP0449"/>
    <s v="Michael"/>
    <s v="Brown"/>
    <x v="0"/>
    <n v="21"/>
    <x v="2"/>
    <x v="8"/>
    <s v="2014-11-02"/>
    <n v="20"/>
    <n v="20"/>
    <n v="75497"/>
    <x v="30"/>
    <x v="1"/>
    <n v="83"/>
    <n v="552"/>
    <n v="277"/>
    <n v="275"/>
    <n v="49.650349650349654"/>
    <n v="50.24975024975025"/>
    <n v="257"/>
    <n v="295"/>
    <n v="47.5"/>
    <n v="52.5"/>
    <n v="15.135869565217391"/>
    <n v="86"/>
    <n v="95"/>
    <n v="3.6755813953488374"/>
    <n v="3.3263157894736834"/>
  </r>
  <r>
    <s v="EMP0450"/>
    <s v="John"/>
    <s v="Musa"/>
    <x v="0"/>
    <n v="47"/>
    <x v="6"/>
    <x v="0"/>
    <s v="2016-11-28"/>
    <n v="10"/>
    <n v="11"/>
    <n v="169753"/>
    <x v="10"/>
    <x v="1"/>
    <n v="90"/>
    <n v="551"/>
    <n v="276"/>
    <n v="275"/>
    <n v="49.650349650349654"/>
    <n v="50.24975024975025"/>
    <n v="257"/>
    <n v="294"/>
    <n v="47.5"/>
    <n v="52.5"/>
    <n v="15.127041742286751"/>
    <n v="86"/>
    <n v="95"/>
    <n v="3.6755813953488374"/>
    <n v="3.3263157894736834"/>
  </r>
  <r>
    <s v="EMP0451"/>
    <s v="Sarah"/>
    <s v="Brown"/>
    <x v="0"/>
    <n v="24"/>
    <x v="5"/>
    <x v="7"/>
    <s v="2022-01-19"/>
    <n v="16"/>
    <n v="25"/>
    <n v="140114"/>
    <x v="16"/>
    <x v="0"/>
    <n v="43"/>
    <n v="550"/>
    <n v="275"/>
    <n v="275"/>
    <n v="49.650349650349654"/>
    <n v="50.24975024975025"/>
    <n v="257"/>
    <n v="293"/>
    <n v="47.5"/>
    <n v="52.5"/>
    <n v="15.134545454545455"/>
    <n v="86"/>
    <n v="95"/>
    <n v="3.6755813953488374"/>
    <n v="3.3263157894736834"/>
  </r>
  <r>
    <s v="EMP0452"/>
    <s v="Peter"/>
    <s v="Ahmed"/>
    <x v="1"/>
    <n v="49"/>
    <x v="0"/>
    <x v="4"/>
    <s v="2022-10-28"/>
    <n v="11"/>
    <n v="17"/>
    <n v="219556"/>
    <x v="27"/>
    <x v="1"/>
    <n v="77"/>
    <n v="549"/>
    <n v="274"/>
    <n v="275"/>
    <n v="49.650349650349654"/>
    <n v="50.24975024975025"/>
    <n v="256"/>
    <n v="293"/>
    <n v="47.5"/>
    <n v="52.5"/>
    <n v="15.116575591985429"/>
    <n v="85"/>
    <n v="95"/>
    <n v="3.660000000000001"/>
    <n v="3.3263157894736834"/>
  </r>
  <r>
    <s v="EMP0453"/>
    <s v="Michael"/>
    <s v="Johnson"/>
    <x v="1"/>
    <n v="57"/>
    <x v="4"/>
    <x v="9"/>
    <s v="2013-05-06"/>
    <n v="2"/>
    <n v="3"/>
    <n v="490962"/>
    <x v="28"/>
    <x v="1"/>
    <n v="83"/>
    <n v="548"/>
    <n v="274"/>
    <n v="274"/>
    <n v="49.650349650349654"/>
    <n v="50.24975024975025"/>
    <n v="256"/>
    <n v="292"/>
    <n v="47.5"/>
    <n v="52.5"/>
    <n v="15.113138686131387"/>
    <n v="85"/>
    <n v="95"/>
    <n v="3.660000000000001"/>
    <n v="3.3263157894736834"/>
  </r>
  <r>
    <s v="EMP0454"/>
    <s v="David"/>
    <s v="Ahmed"/>
    <x v="1"/>
    <n v="29"/>
    <x v="2"/>
    <x v="8"/>
    <s v="2014-08-11"/>
    <n v="15"/>
    <n v="17"/>
    <n v="188706"/>
    <x v="13"/>
    <x v="0"/>
    <n v="51"/>
    <n v="547"/>
    <n v="274"/>
    <n v="273"/>
    <n v="49.650349650349654"/>
    <n v="50.24975024975025"/>
    <n v="256"/>
    <n v="291"/>
    <n v="47.5"/>
    <n v="52.5"/>
    <n v="15.135283363802559"/>
    <n v="85"/>
    <n v="95"/>
    <n v="3.660000000000001"/>
    <n v="3.3263157894736834"/>
  </r>
  <r>
    <s v="EMP0455"/>
    <s v="Hauwa"/>
    <s v="Jones"/>
    <x v="1"/>
    <n v="51"/>
    <x v="3"/>
    <x v="1"/>
    <s v="2013-06-29"/>
    <n v="8"/>
    <n v="15"/>
    <n v="218354"/>
    <x v="13"/>
    <x v="1"/>
    <n v="81"/>
    <n v="546"/>
    <n v="274"/>
    <n v="272"/>
    <n v="49.650349650349654"/>
    <n v="50.24975024975025"/>
    <n v="255"/>
    <n v="291"/>
    <n v="47.5"/>
    <n v="52.5"/>
    <n v="15.131868131868131"/>
    <n v="85"/>
    <n v="95"/>
    <n v="3.660000000000001"/>
    <n v="3.3263157894736834"/>
  </r>
  <r>
    <s v="EMP0456"/>
    <s v="David"/>
    <s v="Ibrahim"/>
    <x v="0"/>
    <n v="33"/>
    <x v="5"/>
    <x v="6"/>
    <s v="2017-06-11"/>
    <n v="0"/>
    <n v="2"/>
    <n v="143020"/>
    <x v="9"/>
    <x v="1"/>
    <n v="88"/>
    <n v="545"/>
    <n v="274"/>
    <n v="271"/>
    <n v="49.650349650349654"/>
    <n v="50.24975024975025"/>
    <n v="255"/>
    <n v="290"/>
    <n v="47.5"/>
    <n v="52.5"/>
    <n v="15.132110091743119"/>
    <n v="85"/>
    <n v="95"/>
    <n v="3.660000000000001"/>
    <n v="3.3263157894736834"/>
  </r>
  <r>
    <s v="EMP0457"/>
    <s v="Sarah"/>
    <s v="Ahmed"/>
    <x v="1"/>
    <n v="36"/>
    <x v="4"/>
    <x v="7"/>
    <s v="2014-05-15"/>
    <n v="13"/>
    <n v="17"/>
    <n v="326732"/>
    <x v="18"/>
    <x v="0"/>
    <n v="66"/>
    <n v="544"/>
    <n v="273"/>
    <n v="271"/>
    <n v="49.650349650349654"/>
    <n v="50.24975024975025"/>
    <n v="255"/>
    <n v="289"/>
    <n v="47.5"/>
    <n v="52.5"/>
    <n v="15.15625"/>
    <n v="84"/>
    <n v="95"/>
    <n v="3.654761904761906"/>
    <n v="3.3263157894736834"/>
  </r>
  <r>
    <s v="EMP0458"/>
    <s v="Grace"/>
    <s v="Williams"/>
    <x v="0"/>
    <n v="34"/>
    <x v="3"/>
    <x v="3"/>
    <s v="2016-04-16"/>
    <n v="11"/>
    <n v="16"/>
    <n v="107237"/>
    <x v="27"/>
    <x v="0"/>
    <n v="40"/>
    <n v="543"/>
    <n v="273"/>
    <n v="270"/>
    <n v="49.650349650349654"/>
    <n v="50.24975024975025"/>
    <n v="254"/>
    <n v="289"/>
    <n v="47.5"/>
    <n v="52.5"/>
    <n v="15.152854511970535"/>
    <n v="84"/>
    <n v="95"/>
    <n v="3.654761904761906"/>
    <n v="3.3263157894736834"/>
  </r>
  <r>
    <s v="EMP0459"/>
    <s v="Fatima"/>
    <s v="Jones"/>
    <x v="1"/>
    <n v="54"/>
    <x v="2"/>
    <x v="4"/>
    <s v="2020-02-18"/>
    <n v="11"/>
    <n v="20"/>
    <n v="117011"/>
    <x v="19"/>
    <x v="1"/>
    <n v="89"/>
    <n v="542"/>
    <n v="272"/>
    <n v="270"/>
    <n v="49.650349650349654"/>
    <n v="50.24975024975025"/>
    <n v="253"/>
    <n v="289"/>
    <n v="47.5"/>
    <n v="52.5"/>
    <n v="15.15129151291513"/>
    <n v="84"/>
    <n v="95"/>
    <n v="3.654761904761906"/>
    <n v="3.3263157894736834"/>
  </r>
  <r>
    <s v="EMP0460"/>
    <s v="James"/>
    <s v="Musa"/>
    <x v="0"/>
    <n v="25"/>
    <x v="6"/>
    <x v="0"/>
    <s v="2014-05-22"/>
    <n v="20"/>
    <n v="21"/>
    <n v="458521"/>
    <x v="13"/>
    <x v="1"/>
    <n v="74"/>
    <n v="541"/>
    <n v="272"/>
    <n v="269"/>
    <n v="49.650349650349654"/>
    <n v="50.24975024975025"/>
    <n v="253"/>
    <n v="288"/>
    <n v="47.5"/>
    <n v="52.5"/>
    <n v="15.142329020332717"/>
    <n v="84"/>
    <n v="95"/>
    <n v="3.654761904761906"/>
    <n v="3.3263157894736834"/>
  </r>
  <r>
    <s v="EMP0461"/>
    <s v="Grace"/>
    <s v="Ibrahim"/>
    <x v="1"/>
    <n v="24"/>
    <x v="5"/>
    <x v="7"/>
    <s v="2021-09-05"/>
    <n v="17"/>
    <n v="26"/>
    <n v="92068"/>
    <x v="3"/>
    <x v="1"/>
    <n v="76"/>
    <n v="540"/>
    <n v="271"/>
    <n v="269"/>
    <n v="49.650349650349654"/>
    <n v="50.24975024975025"/>
    <n v="253"/>
    <n v="287"/>
    <n v="47.5"/>
    <n v="52.5"/>
    <n v="15.131481481481481"/>
    <n v="84"/>
    <n v="95"/>
    <n v="3.654761904761906"/>
    <n v="3.3263157894736834"/>
  </r>
  <r>
    <s v="EMP0462"/>
    <s v="John"/>
    <s v="Jones"/>
    <x v="0"/>
    <n v="52"/>
    <x v="1"/>
    <x v="6"/>
    <s v="2021-08-14"/>
    <n v="18"/>
    <n v="27"/>
    <n v="471361"/>
    <x v="8"/>
    <x v="1"/>
    <n v="79"/>
    <n v="539"/>
    <n v="271"/>
    <n v="268"/>
    <n v="49.650349650349654"/>
    <n v="50.24975024975025"/>
    <n v="253"/>
    <n v="286"/>
    <n v="47.5"/>
    <n v="52.5"/>
    <n v="15.111317254174397"/>
    <n v="83"/>
    <n v="95"/>
    <n v="3.6686746987951815"/>
    <n v="3.3263157894736834"/>
  </r>
  <r>
    <s v="EMP0463"/>
    <s v="John"/>
    <s v="Musa"/>
    <x v="0"/>
    <n v="48"/>
    <x v="1"/>
    <x v="7"/>
    <s v="2019-02-08"/>
    <n v="19"/>
    <n v="29"/>
    <n v="399396"/>
    <x v="3"/>
    <x v="0"/>
    <n v="36"/>
    <n v="538"/>
    <n v="270"/>
    <n v="268"/>
    <n v="49.650349650349654"/>
    <n v="50.24975024975025"/>
    <n v="253"/>
    <n v="285"/>
    <n v="47.5"/>
    <n v="52.5"/>
    <n v="15.089219330855018"/>
    <n v="83"/>
    <n v="94"/>
    <n v="3.6686746987951815"/>
    <n v="3.3148936170212768"/>
  </r>
  <r>
    <s v="EMP0464"/>
    <s v="Fatima"/>
    <s v="Okoro"/>
    <x v="1"/>
    <n v="51"/>
    <x v="6"/>
    <x v="2"/>
    <s v="2020-10-20"/>
    <n v="7"/>
    <n v="8"/>
    <n v="236287"/>
    <x v="14"/>
    <x v="0"/>
    <n v="66"/>
    <n v="537"/>
    <n v="269"/>
    <n v="268"/>
    <n v="49.650349650349654"/>
    <n v="50.24975024975025"/>
    <n v="252"/>
    <n v="285"/>
    <n v="47.5"/>
    <n v="52.5"/>
    <n v="15.063314711359403"/>
    <n v="83"/>
    <n v="93"/>
    <n v="3.6686746987951815"/>
    <n v="3.3236559139784942"/>
  </r>
  <r>
    <s v="EMP0465"/>
    <s v="Grace"/>
    <s v="Smith"/>
    <x v="1"/>
    <n v="48"/>
    <x v="4"/>
    <x v="4"/>
    <s v="2016-09-25"/>
    <n v="12"/>
    <n v="14"/>
    <n v="497709"/>
    <x v="16"/>
    <x v="0"/>
    <n v="62"/>
    <n v="536"/>
    <n v="269"/>
    <n v="267"/>
    <n v="49.650349650349654"/>
    <n v="50.24975024975025"/>
    <n v="251"/>
    <n v="285"/>
    <n v="47.5"/>
    <n v="52.5"/>
    <n v="15.076492537313433"/>
    <n v="83"/>
    <n v="93"/>
    <n v="3.6686746987951815"/>
    <n v="3.3236559139784942"/>
  </r>
  <r>
    <s v="EMP0466"/>
    <s v="Fatima"/>
    <s v="Williams"/>
    <x v="0"/>
    <n v="43"/>
    <x v="4"/>
    <x v="9"/>
    <s v="2024-07-16"/>
    <n v="20"/>
    <n v="20"/>
    <n v="50457"/>
    <x v="0"/>
    <x v="0"/>
    <n v="70"/>
    <n v="535"/>
    <n v="269"/>
    <n v="266"/>
    <n v="49.650349650349654"/>
    <n v="50.24975024975025"/>
    <n v="250"/>
    <n v="285"/>
    <n v="47.5"/>
    <n v="52.5"/>
    <n v="15.078504672897196"/>
    <n v="83"/>
    <n v="93"/>
    <n v="3.6686746987951815"/>
    <n v="3.3236559139784942"/>
  </r>
  <r>
    <s v="EMP0467"/>
    <s v="Michael"/>
    <s v="Ahmed"/>
    <x v="0"/>
    <n v="45"/>
    <x v="5"/>
    <x v="1"/>
    <s v="2025-03-18"/>
    <n v="6"/>
    <n v="11"/>
    <n v="99937"/>
    <x v="23"/>
    <x v="0"/>
    <n v="58"/>
    <n v="534"/>
    <n v="268"/>
    <n v="266"/>
    <n v="49.650349650349654"/>
    <n v="50.24975024975025"/>
    <n v="249"/>
    <n v="285"/>
    <n v="47.5"/>
    <n v="52.5"/>
    <n v="15.069288389513108"/>
    <n v="83"/>
    <n v="93"/>
    <n v="3.6686746987951815"/>
    <n v="3.3236559139784942"/>
  </r>
  <r>
    <s v="EMP0468"/>
    <s v="Sarah"/>
    <s v="Jones"/>
    <x v="0"/>
    <n v="51"/>
    <x v="3"/>
    <x v="7"/>
    <s v="2017-11-28"/>
    <n v="12"/>
    <n v="15"/>
    <n v="355755"/>
    <x v="15"/>
    <x v="1"/>
    <n v="94"/>
    <n v="533"/>
    <n v="267"/>
    <n v="266"/>
    <n v="49.650349650349654"/>
    <n v="50.24975024975025"/>
    <n v="248"/>
    <n v="285"/>
    <n v="47.5"/>
    <n v="52.5"/>
    <n v="15.076923076923077"/>
    <n v="82"/>
    <n v="93"/>
    <n v="3.6548780487804891"/>
    <n v="3.3236559139784942"/>
  </r>
  <r>
    <s v="EMP0469"/>
    <s v="John"/>
    <s v="Okoro"/>
    <x v="0"/>
    <n v="23"/>
    <x v="2"/>
    <x v="8"/>
    <s v="2015-01-20"/>
    <n v="11"/>
    <n v="18"/>
    <n v="96417"/>
    <x v="21"/>
    <x v="0"/>
    <n v="63"/>
    <n v="532"/>
    <n v="266"/>
    <n v="266"/>
    <n v="49.650349650349654"/>
    <n v="50.24975024975025"/>
    <n v="248"/>
    <n v="284"/>
    <n v="47.5"/>
    <n v="52.5"/>
    <n v="15.077067669172932"/>
    <n v="82"/>
    <n v="93"/>
    <n v="3.6548780487804891"/>
    <n v="3.3236559139784942"/>
  </r>
  <r>
    <s v="EMP0470"/>
    <s v="John"/>
    <s v="Brown"/>
    <x v="0"/>
    <n v="49"/>
    <x v="6"/>
    <x v="9"/>
    <s v="2020-03-14"/>
    <n v="2"/>
    <n v="5"/>
    <n v="199454"/>
    <x v="2"/>
    <x v="0"/>
    <n v="57"/>
    <n v="531"/>
    <n v="265"/>
    <n v="266"/>
    <n v="49.650349650349654"/>
    <n v="50.24975024975025"/>
    <n v="247"/>
    <n v="284"/>
    <n v="47.5"/>
    <n v="52.5"/>
    <n v="15.07156308851224"/>
    <n v="82"/>
    <n v="93"/>
    <n v="3.6548780487804891"/>
    <n v="3.3236559139784942"/>
  </r>
  <r>
    <s v="EMP0471"/>
    <s v="Mary"/>
    <s v="Smith"/>
    <x v="1"/>
    <n v="55"/>
    <x v="6"/>
    <x v="6"/>
    <s v="2023-09-14"/>
    <n v="8"/>
    <n v="11"/>
    <n v="83072"/>
    <x v="4"/>
    <x v="1"/>
    <n v="81"/>
    <n v="530"/>
    <n v="264"/>
    <n v="266"/>
    <n v="49.650349650349654"/>
    <n v="50.24975024975025"/>
    <n v="246"/>
    <n v="284"/>
    <n v="47.5"/>
    <n v="52.5"/>
    <n v="15.090566037735849"/>
    <n v="82"/>
    <n v="93"/>
    <n v="3.6548780487804891"/>
    <n v="3.3236559139784942"/>
  </r>
  <r>
    <s v="EMP0472"/>
    <s v="John"/>
    <s v="Garba"/>
    <x v="0"/>
    <n v="29"/>
    <x v="2"/>
    <x v="1"/>
    <s v="2014-04-20"/>
    <n v="8"/>
    <n v="16"/>
    <n v="73430"/>
    <x v="14"/>
    <x v="1"/>
    <n v="74"/>
    <n v="529"/>
    <n v="264"/>
    <n v="265"/>
    <n v="49.650349650349654"/>
    <n v="50.24975024975025"/>
    <n v="246"/>
    <n v="283"/>
    <n v="47.5"/>
    <n v="52.5"/>
    <n v="15.098298676748582"/>
    <n v="82"/>
    <n v="93"/>
    <n v="3.6548780487804891"/>
    <n v="3.3236559139784942"/>
  </r>
  <r>
    <s v="EMP0473"/>
    <s v="Peter"/>
    <s v="Musa"/>
    <x v="1"/>
    <n v="29"/>
    <x v="2"/>
    <x v="5"/>
    <s v="2021-04-19"/>
    <n v="3"/>
    <n v="10"/>
    <n v="73037"/>
    <x v="1"/>
    <x v="0"/>
    <n v="33"/>
    <n v="528"/>
    <n v="263"/>
    <n v="265"/>
    <n v="49.650349650349654"/>
    <n v="50.24975024975025"/>
    <n v="246"/>
    <n v="282"/>
    <n v="47.5"/>
    <n v="52.5"/>
    <n v="15.096590909090908"/>
    <n v="82"/>
    <n v="93"/>
    <n v="3.6548780487804891"/>
    <n v="3.3236559139784942"/>
  </r>
  <r>
    <s v="EMP0474"/>
    <s v="Grace"/>
    <s v="Ibrahim"/>
    <x v="0"/>
    <n v="50"/>
    <x v="2"/>
    <x v="8"/>
    <s v="2024-01-07"/>
    <n v="6"/>
    <n v="16"/>
    <n v="207169"/>
    <x v="17"/>
    <x v="0"/>
    <n v="46"/>
    <n v="527"/>
    <n v="263"/>
    <n v="264"/>
    <n v="49.650349650349654"/>
    <n v="50.24975024975025"/>
    <n v="245"/>
    <n v="282"/>
    <n v="47.5"/>
    <n v="52.5"/>
    <n v="15.106261859582542"/>
    <n v="82"/>
    <n v="93"/>
    <n v="3.6548780487804891"/>
    <n v="3.3236559139784942"/>
  </r>
  <r>
    <s v="EMP0475"/>
    <s v="Amina"/>
    <s v="Jones"/>
    <x v="1"/>
    <n v="37"/>
    <x v="4"/>
    <x v="4"/>
    <s v="2018-12-05"/>
    <n v="8"/>
    <n v="16"/>
    <n v="193341"/>
    <x v="0"/>
    <x v="0"/>
    <n v="55"/>
    <n v="526"/>
    <n v="262"/>
    <n v="264"/>
    <n v="49.650349650349654"/>
    <n v="50.24975024975025"/>
    <n v="244"/>
    <n v="282"/>
    <n v="47.5"/>
    <n v="52.5"/>
    <n v="15.104562737642585"/>
    <n v="82"/>
    <n v="93"/>
    <n v="3.6548780487804891"/>
    <n v="3.3236559139784942"/>
  </r>
  <r>
    <s v="EMP0476"/>
    <s v="John"/>
    <s v="Brown"/>
    <x v="0"/>
    <n v="38"/>
    <x v="2"/>
    <x v="2"/>
    <s v="2024-06-01"/>
    <n v="12"/>
    <n v="13"/>
    <n v="153939"/>
    <x v="13"/>
    <x v="0"/>
    <n v="40"/>
    <n v="525"/>
    <n v="262"/>
    <n v="263"/>
    <n v="49.650349650349654"/>
    <n v="50.24975024975025"/>
    <n v="243"/>
    <n v="282"/>
    <n v="47.5"/>
    <n v="52.5"/>
    <n v="15.102857142857143"/>
    <n v="82"/>
    <n v="93"/>
    <n v="3.6548780487804891"/>
    <n v="3.3236559139784942"/>
  </r>
  <r>
    <s v="EMP0477"/>
    <s v="Michael"/>
    <s v="Smith"/>
    <x v="0"/>
    <n v="40"/>
    <x v="3"/>
    <x v="7"/>
    <s v="2013-02-27"/>
    <n v="5"/>
    <n v="5"/>
    <n v="312549"/>
    <x v="2"/>
    <x v="0"/>
    <n v="33"/>
    <n v="524"/>
    <n v="261"/>
    <n v="263"/>
    <n v="49.650349650349654"/>
    <n v="50.24975024975025"/>
    <n v="242"/>
    <n v="282"/>
    <n v="47.5"/>
    <n v="52.5"/>
    <n v="15.106870229007633"/>
    <n v="82"/>
    <n v="93"/>
    <n v="3.6548780487804891"/>
    <n v="3.3236559139784942"/>
  </r>
  <r>
    <s v="EMP0478"/>
    <s v="Fatima"/>
    <s v="Jones"/>
    <x v="0"/>
    <n v="34"/>
    <x v="5"/>
    <x v="7"/>
    <s v="2023-12-15"/>
    <n v="2"/>
    <n v="3"/>
    <n v="80086"/>
    <x v="9"/>
    <x v="1"/>
    <n v="76"/>
    <n v="523"/>
    <n v="260"/>
    <n v="263"/>
    <n v="49.650349650349654"/>
    <n v="50.24975024975025"/>
    <n v="241"/>
    <n v="282"/>
    <n v="47.5"/>
    <n v="52.5"/>
    <n v="15.126195028680689"/>
    <n v="82"/>
    <n v="93"/>
    <n v="3.6548780487804891"/>
    <n v="3.3236559139784942"/>
  </r>
  <r>
    <s v="EMP0479"/>
    <s v="Grace"/>
    <s v="Johnson"/>
    <x v="0"/>
    <n v="30"/>
    <x v="6"/>
    <x v="7"/>
    <s v="2024-01-11"/>
    <n v="12"/>
    <n v="18"/>
    <n v="235991"/>
    <x v="16"/>
    <x v="1"/>
    <n v="91"/>
    <n v="522"/>
    <n v="259"/>
    <n v="263"/>
    <n v="49.650349650349654"/>
    <n v="50.24975024975025"/>
    <n v="241"/>
    <n v="281"/>
    <n v="47.5"/>
    <n v="52.5"/>
    <n v="15.149425287356323"/>
    <n v="81"/>
    <n v="93"/>
    <n v="3.6493827160493839"/>
    <n v="3.3236559139784942"/>
  </r>
  <r>
    <s v="EMP0480"/>
    <s v="David"/>
    <s v="Ahmed"/>
    <x v="1"/>
    <n v="57"/>
    <x v="1"/>
    <x v="3"/>
    <s v="2022-08-26"/>
    <n v="20"/>
    <n v="29"/>
    <n v="133512"/>
    <x v="3"/>
    <x v="0"/>
    <n v="52"/>
    <n v="521"/>
    <n v="258"/>
    <n v="263"/>
    <n v="49.650349650349654"/>
    <n v="50.24975024975025"/>
    <n v="241"/>
    <n v="280"/>
    <n v="47.5"/>
    <n v="52.5"/>
    <n v="15.143953934740884"/>
    <n v="81"/>
    <n v="93"/>
    <n v="3.6493827160493839"/>
    <n v="3.3236559139784942"/>
  </r>
  <r>
    <s v="EMP0481"/>
    <s v="James"/>
    <s v="Jones"/>
    <x v="1"/>
    <n v="35"/>
    <x v="1"/>
    <x v="7"/>
    <s v="2022-02-07"/>
    <n v="4"/>
    <n v="8"/>
    <n v="160698"/>
    <x v="12"/>
    <x v="0"/>
    <n v="60"/>
    <n v="520"/>
    <n v="258"/>
    <n v="262"/>
    <n v="49.650349650349654"/>
    <n v="50.24975024975025"/>
    <n v="240"/>
    <n v="280"/>
    <n v="47.5"/>
    <n v="52.5"/>
    <n v="15.117307692307692"/>
    <n v="81"/>
    <n v="92"/>
    <n v="3.6493827160493839"/>
    <n v="3.3326086956521741"/>
  </r>
  <r>
    <s v="EMP0482"/>
    <s v="Amina"/>
    <s v="Jones"/>
    <x v="1"/>
    <n v="46"/>
    <x v="1"/>
    <x v="7"/>
    <s v="2012-10-21"/>
    <n v="12"/>
    <n v="13"/>
    <n v="257346"/>
    <x v="1"/>
    <x v="1"/>
    <n v="97"/>
    <n v="519"/>
    <n v="258"/>
    <n v="261"/>
    <n v="49.650349650349654"/>
    <n v="50.24975024975025"/>
    <n v="239"/>
    <n v="280"/>
    <n v="47.5"/>
    <n v="52.5"/>
    <n v="15.13102119460501"/>
    <n v="81"/>
    <n v="91"/>
    <n v="3.6493827160493839"/>
    <n v="3.3318681318681325"/>
  </r>
  <r>
    <s v="EMP0483"/>
    <s v="James"/>
    <s v="Ibrahim"/>
    <x v="1"/>
    <n v="49"/>
    <x v="1"/>
    <x v="9"/>
    <s v="2017-05-15"/>
    <n v="17"/>
    <n v="21"/>
    <n v="168809"/>
    <x v="19"/>
    <x v="0"/>
    <n v="32"/>
    <n v="518"/>
    <n v="258"/>
    <n v="260"/>
    <n v="49.650349650349654"/>
    <n v="50.24975024975025"/>
    <n v="239"/>
    <n v="279"/>
    <n v="47.5"/>
    <n v="52.5"/>
    <n v="15.135135135135135"/>
    <n v="81"/>
    <n v="90"/>
    <n v="3.6493827160493839"/>
    <n v="3.3444444444444446"/>
  </r>
  <r>
    <s v="EMP0484"/>
    <s v="Michael"/>
    <s v="Okoro"/>
    <x v="1"/>
    <n v="48"/>
    <x v="5"/>
    <x v="4"/>
    <s v="2012-02-01"/>
    <n v="9"/>
    <n v="10"/>
    <n v="192410"/>
    <x v="8"/>
    <x v="0"/>
    <n v="43"/>
    <n v="517"/>
    <n v="258"/>
    <n v="259"/>
    <n v="49.650349650349654"/>
    <n v="50.24975024975025"/>
    <n v="238"/>
    <n v="279"/>
    <n v="47.5"/>
    <n v="52.5"/>
    <n v="15.123791102514506"/>
    <n v="81"/>
    <n v="89"/>
    <n v="3.6493827160493839"/>
    <n v="3.3561797752808986"/>
  </r>
  <r>
    <s v="EMP0485"/>
    <s v="Fatima"/>
    <s v="Johnson"/>
    <x v="1"/>
    <n v="53"/>
    <x v="2"/>
    <x v="2"/>
    <s v="2015-01-14"/>
    <n v="7"/>
    <n v="14"/>
    <n v="56588"/>
    <x v="18"/>
    <x v="1"/>
    <n v="77"/>
    <n v="516"/>
    <n v="258"/>
    <n v="258"/>
    <n v="49.650349650349654"/>
    <n v="50.24975024975025"/>
    <n v="237"/>
    <n v="279"/>
    <n v="47.5"/>
    <n v="52.5"/>
    <n v="15.133720930232558"/>
    <n v="80"/>
    <n v="89"/>
    <n v="3.6400000000000019"/>
    <n v="3.3561797752808986"/>
  </r>
  <r>
    <s v="EMP0486"/>
    <s v="Michael"/>
    <s v="Johnson"/>
    <x v="0"/>
    <n v="24"/>
    <x v="3"/>
    <x v="5"/>
    <s v="2021-04-28"/>
    <n v="0"/>
    <n v="0"/>
    <n v="213751"/>
    <x v="27"/>
    <x v="1"/>
    <n v="72"/>
    <n v="515"/>
    <n v="258"/>
    <n v="257"/>
    <n v="49.650349650349654"/>
    <n v="50.24975024975025"/>
    <n v="237"/>
    <n v="278"/>
    <n v="47.5"/>
    <n v="52.5"/>
    <n v="15.135922330097088"/>
    <n v="80"/>
    <n v="89"/>
    <n v="3.6400000000000019"/>
    <n v="3.3561797752808986"/>
  </r>
  <r>
    <s v="EMP0487"/>
    <s v="Amina"/>
    <s v="Johnson"/>
    <x v="0"/>
    <n v="24"/>
    <x v="5"/>
    <x v="9"/>
    <s v="2015-05-26"/>
    <n v="5"/>
    <n v="15"/>
    <n v="294215"/>
    <x v="24"/>
    <x v="0"/>
    <n v="67"/>
    <n v="514"/>
    <n v="257"/>
    <n v="257"/>
    <n v="49.650349650349654"/>
    <n v="50.24975024975025"/>
    <n v="237"/>
    <n v="277"/>
    <n v="47.5"/>
    <n v="52.5"/>
    <n v="15.165369649805447"/>
    <n v="80"/>
    <n v="89"/>
    <n v="3.6400000000000019"/>
    <n v="3.3561797752808986"/>
  </r>
  <r>
    <s v="EMP0488"/>
    <s v="David"/>
    <s v="Musa"/>
    <x v="1"/>
    <n v="39"/>
    <x v="0"/>
    <x v="0"/>
    <s v="2022-10-03"/>
    <n v="17"/>
    <n v="18"/>
    <n v="313062"/>
    <x v="7"/>
    <x v="0"/>
    <n v="39"/>
    <n v="513"/>
    <n v="256"/>
    <n v="257"/>
    <n v="49.650349650349654"/>
    <n v="50.24975024975025"/>
    <n v="236"/>
    <n v="277"/>
    <n v="47.5"/>
    <n v="52.5"/>
    <n v="15.16569200779727"/>
    <n v="79"/>
    <n v="89"/>
    <n v="3.6405063291139257"/>
    <n v="3.3561797752808986"/>
  </r>
  <r>
    <s v="EMP0489"/>
    <s v="Mary"/>
    <s v="Okoro"/>
    <x v="1"/>
    <n v="39"/>
    <x v="1"/>
    <x v="0"/>
    <s v="2012-10-03"/>
    <n v="0"/>
    <n v="2"/>
    <n v="485986"/>
    <x v="1"/>
    <x v="0"/>
    <n v="34"/>
    <n v="512"/>
    <n v="256"/>
    <n v="256"/>
    <n v="49.650349650349654"/>
    <n v="50.24975024975025"/>
    <n v="235"/>
    <n v="277"/>
    <n v="47.5"/>
    <n v="52.5"/>
    <n v="15.16015625"/>
    <n v="79"/>
    <n v="89"/>
    <n v="3.6405063291139257"/>
    <n v="3.3561797752808986"/>
  </r>
  <r>
    <s v="EMP0490"/>
    <s v="Mary"/>
    <s v="Musa"/>
    <x v="0"/>
    <n v="51"/>
    <x v="1"/>
    <x v="7"/>
    <s v="2015-05-16"/>
    <n v="13"/>
    <n v="15"/>
    <n v="326267"/>
    <x v="3"/>
    <x v="1"/>
    <n v="84"/>
    <n v="511"/>
    <n v="256"/>
    <n v="255"/>
    <n v="49.650349650349654"/>
    <n v="50.24975024975025"/>
    <n v="234"/>
    <n v="277"/>
    <n v="47.5"/>
    <n v="52.5"/>
    <n v="15.185909980430528"/>
    <n v="79"/>
    <n v="88"/>
    <n v="3.6405063291139257"/>
    <n v="3.3693181818181817"/>
  </r>
  <r>
    <s v="EMP0491"/>
    <s v="Michael"/>
    <s v="Ahmed"/>
    <x v="1"/>
    <n v="38"/>
    <x v="3"/>
    <x v="2"/>
    <s v="2016-03-08"/>
    <n v="3"/>
    <n v="7"/>
    <n v="170495"/>
    <x v="29"/>
    <x v="1"/>
    <n v="99"/>
    <n v="510"/>
    <n v="255"/>
    <n v="255"/>
    <n v="49.650349650349654"/>
    <n v="50.24975024975025"/>
    <n v="234"/>
    <n v="276"/>
    <n v="47.5"/>
    <n v="52.5"/>
    <n v="15.186274509803921"/>
    <n v="79"/>
    <n v="87"/>
    <n v="3.6405063291139257"/>
    <n v="3.3793103448275863"/>
  </r>
  <r>
    <s v="EMP0492"/>
    <s v="Michael"/>
    <s v="Okoro"/>
    <x v="1"/>
    <n v="25"/>
    <x v="5"/>
    <x v="8"/>
    <s v="2014-12-17"/>
    <n v="6"/>
    <n v="9"/>
    <n v="327405"/>
    <x v="22"/>
    <x v="0"/>
    <n v="68"/>
    <n v="509"/>
    <n v="255"/>
    <n v="254"/>
    <n v="49.650349650349654"/>
    <n v="50.24975024975025"/>
    <n v="234"/>
    <n v="275"/>
    <n v="47.5"/>
    <n v="52.5"/>
    <n v="15.202357563850688"/>
    <n v="79"/>
    <n v="87"/>
    <n v="3.6405063291139257"/>
    <n v="3.3793103448275863"/>
  </r>
  <r>
    <s v="EMP0493"/>
    <s v="Michael"/>
    <s v="Musa"/>
    <x v="1"/>
    <n v="37"/>
    <x v="0"/>
    <x v="0"/>
    <s v="2024-02-07"/>
    <n v="15"/>
    <n v="24"/>
    <n v="95807"/>
    <x v="11"/>
    <x v="1"/>
    <n v="84"/>
    <n v="508"/>
    <n v="255"/>
    <n v="253"/>
    <n v="49.650349650349654"/>
    <n v="50.24975024975025"/>
    <n v="233"/>
    <n v="275"/>
    <n v="47.5"/>
    <n v="52.5"/>
    <n v="15.214566929133857"/>
    <n v="78"/>
    <n v="87"/>
    <n v="3.6371794871794894"/>
    <n v="3.3793103448275863"/>
  </r>
  <r>
    <s v="EMP0494"/>
    <s v="Michael"/>
    <s v="Ahmed"/>
    <x v="1"/>
    <n v="34"/>
    <x v="2"/>
    <x v="3"/>
    <s v="2015-04-09"/>
    <n v="12"/>
    <n v="16"/>
    <n v="435928"/>
    <x v="5"/>
    <x v="0"/>
    <n v="61"/>
    <n v="507"/>
    <n v="255"/>
    <n v="252"/>
    <n v="49.650349650349654"/>
    <n v="50.24975024975025"/>
    <n v="233"/>
    <n v="274"/>
    <n v="47.5"/>
    <n v="52.5"/>
    <n v="15.19723865877712"/>
    <n v="78"/>
    <n v="87"/>
    <n v="3.6371794871794894"/>
    <n v="3.3793103448275863"/>
  </r>
  <r>
    <s v="EMP0495"/>
    <s v="David"/>
    <s v="Brown"/>
    <x v="1"/>
    <n v="48"/>
    <x v="1"/>
    <x v="9"/>
    <s v="2013-07-26"/>
    <n v="10"/>
    <n v="18"/>
    <n v="483750"/>
    <x v="3"/>
    <x v="0"/>
    <n v="30"/>
    <n v="506"/>
    <n v="255"/>
    <n v="251"/>
    <n v="49.650349650349654"/>
    <n v="50.24975024975025"/>
    <n v="232"/>
    <n v="274"/>
    <n v="47.5"/>
    <n v="52.5"/>
    <n v="15.195652173913043"/>
    <n v="78"/>
    <n v="87"/>
    <n v="3.6371794871794894"/>
    <n v="3.3793103448275863"/>
  </r>
  <r>
    <s v="EMP0496"/>
    <s v="Daniel"/>
    <s v="Ibrahim"/>
    <x v="0"/>
    <n v="59"/>
    <x v="3"/>
    <x v="3"/>
    <s v="2020-12-22"/>
    <n v="17"/>
    <n v="21"/>
    <n v="423481"/>
    <x v="12"/>
    <x v="0"/>
    <n v="48"/>
    <n v="505"/>
    <n v="255"/>
    <n v="250"/>
    <n v="49.650349650349654"/>
    <n v="50.24975024975025"/>
    <n v="231"/>
    <n v="274"/>
    <n v="47.5"/>
    <n v="52.5"/>
    <n v="15.19009900990099"/>
    <n v="78"/>
    <n v="86"/>
    <n v="3.6371794871794894"/>
    <n v="3.3895348837209309"/>
  </r>
  <r>
    <s v="EMP0497"/>
    <s v="David"/>
    <s v="Williams"/>
    <x v="1"/>
    <n v="32"/>
    <x v="6"/>
    <x v="2"/>
    <s v="2016-11-02"/>
    <n v="20"/>
    <n v="30"/>
    <n v="430939"/>
    <x v="30"/>
    <x v="1"/>
    <n v="95"/>
    <n v="504"/>
    <n v="254"/>
    <n v="250"/>
    <n v="49.650349650349654"/>
    <n v="50.24975024975025"/>
    <n v="230"/>
    <n v="274"/>
    <n v="47.5"/>
    <n v="52.5"/>
    <n v="15.178571428571429"/>
    <n v="78"/>
    <n v="86"/>
    <n v="3.6371794871794894"/>
    <n v="3.3895348837209309"/>
  </r>
  <r>
    <s v="EMP0498"/>
    <s v="Sarah"/>
    <s v="Jones"/>
    <x v="1"/>
    <n v="43"/>
    <x v="0"/>
    <x v="3"/>
    <s v="2020-03-16"/>
    <n v="0"/>
    <n v="10"/>
    <n v="308738"/>
    <x v="28"/>
    <x v="1"/>
    <n v="84"/>
    <n v="503"/>
    <n v="254"/>
    <n v="249"/>
    <n v="49.650349650349654"/>
    <n v="50.24975024975025"/>
    <n v="230"/>
    <n v="273"/>
    <n v="47.5"/>
    <n v="52.5"/>
    <n v="15.14910536779324"/>
    <n v="78"/>
    <n v="86"/>
    <n v="3.6371794871794894"/>
    <n v="3.3895348837209309"/>
  </r>
  <r>
    <s v="EMP0499"/>
    <s v="Fatima"/>
    <s v="Brown"/>
    <x v="0"/>
    <n v="34"/>
    <x v="3"/>
    <x v="6"/>
    <s v="2018-02-25"/>
    <n v="13"/>
    <n v="23"/>
    <n v="69772"/>
    <x v="12"/>
    <x v="1"/>
    <n v="95"/>
    <n v="502"/>
    <n v="254"/>
    <n v="248"/>
    <n v="49.650349650349654"/>
    <n v="50.24975024975025"/>
    <n v="230"/>
    <n v="272"/>
    <n v="47.5"/>
    <n v="52.5"/>
    <n v="15.159362549800797"/>
    <n v="78"/>
    <n v="86"/>
    <n v="3.6371794871794894"/>
    <n v="3.3895348837209309"/>
  </r>
  <r>
    <s v="EMP0500"/>
    <s v="James"/>
    <s v="Okoro"/>
    <x v="1"/>
    <n v="48"/>
    <x v="0"/>
    <x v="8"/>
    <s v="2023-04-24"/>
    <n v="9"/>
    <n v="11"/>
    <n v="88531"/>
    <x v="30"/>
    <x v="1"/>
    <n v="83"/>
    <n v="501"/>
    <n v="253"/>
    <n v="248"/>
    <n v="49.650349650349654"/>
    <n v="50.24975024975025"/>
    <n v="230"/>
    <n v="271"/>
    <n v="47.5"/>
    <n v="52.5"/>
    <n v="15.1437125748503"/>
    <n v="78"/>
    <n v="86"/>
    <n v="3.6371794871794894"/>
    <n v="3.3895348837209309"/>
  </r>
  <r>
    <s v="EMP0501"/>
    <s v="Amina"/>
    <s v="Williams"/>
    <x v="1"/>
    <n v="49"/>
    <x v="4"/>
    <x v="0"/>
    <s v="2023-04-23"/>
    <n v="11"/>
    <n v="18"/>
    <n v="363090"/>
    <x v="27"/>
    <x v="0"/>
    <n v="33"/>
    <n v="500"/>
    <n v="253"/>
    <n v="247"/>
    <n v="49.650349650349654"/>
    <n v="50.24975024975025"/>
    <n v="230"/>
    <n v="270"/>
    <n v="47.5"/>
    <n v="52.5"/>
    <n v="15.151999999999999"/>
    <n v="78"/>
    <n v="86"/>
    <n v="3.6371794871794894"/>
    <n v="3.3895348837209309"/>
  </r>
  <r>
    <s v="EMP0502"/>
    <s v="Michael"/>
    <s v="Garba"/>
    <x v="0"/>
    <n v="35"/>
    <x v="4"/>
    <x v="5"/>
    <s v="2023-05-16"/>
    <n v="20"/>
    <n v="21"/>
    <n v="317518"/>
    <x v="2"/>
    <x v="0"/>
    <n v="32"/>
    <n v="499"/>
    <n v="253"/>
    <n v="246"/>
    <n v="49.650349650349654"/>
    <n v="50.24975024975025"/>
    <n v="229"/>
    <n v="270"/>
    <n v="47.5"/>
    <n v="52.5"/>
    <n v="15.146292585170341"/>
    <n v="78"/>
    <n v="86"/>
    <n v="3.6371794871794894"/>
    <n v="3.3895348837209309"/>
  </r>
  <r>
    <s v="EMP0503"/>
    <s v="Grace"/>
    <s v="Johnson"/>
    <x v="0"/>
    <n v="28"/>
    <x v="1"/>
    <x v="7"/>
    <s v="2023-12-18"/>
    <n v="12"/>
    <n v="22"/>
    <n v="261618"/>
    <x v="1"/>
    <x v="0"/>
    <n v="64"/>
    <n v="498"/>
    <n v="252"/>
    <n v="246"/>
    <n v="49.650349650349654"/>
    <n v="50.24975024975025"/>
    <n v="228"/>
    <n v="270"/>
    <n v="47.5"/>
    <n v="52.5"/>
    <n v="15.134538152610443"/>
    <n v="78"/>
    <n v="86"/>
    <n v="3.6371794871794894"/>
    <n v="3.3895348837209309"/>
  </r>
  <r>
    <s v="EMP0504"/>
    <s v="Hauwa"/>
    <s v="Musa"/>
    <x v="1"/>
    <n v="37"/>
    <x v="1"/>
    <x v="4"/>
    <s v="2020-03-25"/>
    <n v="6"/>
    <n v="12"/>
    <n v="66070"/>
    <x v="17"/>
    <x v="0"/>
    <n v="54"/>
    <n v="497"/>
    <n v="251"/>
    <n v="246"/>
    <n v="49.650349650349654"/>
    <n v="50.24975024975025"/>
    <n v="227"/>
    <n v="270"/>
    <n v="47.5"/>
    <n v="52.5"/>
    <n v="15.120724346076459"/>
    <n v="78"/>
    <n v="85"/>
    <n v="3.6371794871794894"/>
    <n v="3.4035294117647061"/>
  </r>
  <r>
    <s v="EMP0505"/>
    <s v="David"/>
    <s v="Smith"/>
    <x v="1"/>
    <n v="52"/>
    <x v="5"/>
    <x v="0"/>
    <s v="2020-11-29"/>
    <n v="5"/>
    <n v="10"/>
    <n v="206692"/>
    <x v="30"/>
    <x v="1"/>
    <n v="71"/>
    <n v="496"/>
    <n v="251"/>
    <n v="245"/>
    <n v="49.650349650349654"/>
    <n v="50.24975024975025"/>
    <n v="226"/>
    <n v="270"/>
    <n v="47.5"/>
    <n v="52.5"/>
    <n v="15.127016129032258"/>
    <n v="78"/>
    <n v="84"/>
    <n v="3.6371794871794894"/>
    <n v="3.3904761904761904"/>
  </r>
  <r>
    <s v="EMP0506"/>
    <s v="Amina"/>
    <s v="Williams"/>
    <x v="0"/>
    <n v="31"/>
    <x v="3"/>
    <x v="9"/>
    <s v="2014-07-23"/>
    <n v="3"/>
    <n v="13"/>
    <n v="114116"/>
    <x v="3"/>
    <x v="1"/>
    <n v="73"/>
    <n v="495"/>
    <n v="251"/>
    <n v="244"/>
    <n v="49.650349650349654"/>
    <n v="50.24975024975025"/>
    <n v="226"/>
    <n v="269"/>
    <n v="47.5"/>
    <n v="52.5"/>
    <n v="15.137373737373737"/>
    <n v="77"/>
    <n v="84"/>
    <n v="3.6506493506493523"/>
    <n v="3.3904761904761904"/>
  </r>
  <r>
    <s v="EMP0507"/>
    <s v="Peter"/>
    <s v="Ibrahim"/>
    <x v="1"/>
    <n v="23"/>
    <x v="6"/>
    <x v="3"/>
    <s v="2012-07-07"/>
    <n v="15"/>
    <n v="15"/>
    <n v="400012"/>
    <x v="8"/>
    <x v="0"/>
    <n v="46"/>
    <n v="494"/>
    <n v="250"/>
    <n v="244"/>
    <n v="49.650349650349654"/>
    <n v="50.24975024975025"/>
    <n v="226"/>
    <n v="268"/>
    <n v="47.5"/>
    <n v="52.5"/>
    <n v="15.1417004048583"/>
    <n v="77"/>
    <n v="84"/>
    <n v="3.6506493506493523"/>
    <n v="3.3904761904761904"/>
  </r>
  <r>
    <s v="EMP0508"/>
    <s v="Michael"/>
    <s v="Williams"/>
    <x v="0"/>
    <n v="37"/>
    <x v="5"/>
    <x v="6"/>
    <s v="2017-03-05"/>
    <n v="12"/>
    <n v="12"/>
    <n v="487796"/>
    <x v="0"/>
    <x v="1"/>
    <n v="74"/>
    <n v="493"/>
    <n v="250"/>
    <n v="243"/>
    <n v="49.650349650349654"/>
    <n v="50.24975024975025"/>
    <n v="225"/>
    <n v="268"/>
    <n v="47.5"/>
    <n v="52.5"/>
    <n v="15.141987829614605"/>
    <n v="77"/>
    <n v="84"/>
    <n v="3.6506493506493523"/>
    <n v="3.3904761904761904"/>
  </r>
  <r>
    <s v="EMP0509"/>
    <s v="Sarah"/>
    <s v="Jones"/>
    <x v="1"/>
    <n v="58"/>
    <x v="4"/>
    <x v="3"/>
    <s v="2016-02-03"/>
    <n v="7"/>
    <n v="16"/>
    <n v="212846"/>
    <x v="14"/>
    <x v="0"/>
    <n v="65"/>
    <n v="492"/>
    <n v="249"/>
    <n v="243"/>
    <n v="49.650349650349654"/>
    <n v="50.24975024975025"/>
    <n v="225"/>
    <n v="267"/>
    <n v="47.5"/>
    <n v="52.5"/>
    <n v="15.148373983739837"/>
    <n v="76"/>
    <n v="84"/>
    <n v="3.6631578947368442"/>
    <n v="3.3904761904761904"/>
  </r>
  <r>
    <s v="EMP0510"/>
    <s v="Mary"/>
    <s v="Garba"/>
    <x v="1"/>
    <n v="47"/>
    <x v="6"/>
    <x v="5"/>
    <s v="2014-11-16"/>
    <n v="16"/>
    <n v="16"/>
    <n v="292923"/>
    <x v="18"/>
    <x v="1"/>
    <n v="72"/>
    <n v="491"/>
    <n v="249"/>
    <n v="242"/>
    <n v="49.650349650349654"/>
    <n v="50.24975024975025"/>
    <n v="224"/>
    <n v="267"/>
    <n v="47.5"/>
    <n v="52.5"/>
    <n v="15.146639511201629"/>
    <n v="76"/>
    <n v="84"/>
    <n v="3.6631578947368442"/>
    <n v="3.3904761904761904"/>
  </r>
  <r>
    <s v="EMP0511"/>
    <s v="Mary"/>
    <s v="Ahmed"/>
    <x v="1"/>
    <n v="32"/>
    <x v="2"/>
    <x v="2"/>
    <s v="2019-05-05"/>
    <n v="0"/>
    <n v="0"/>
    <n v="432028"/>
    <x v="12"/>
    <x v="1"/>
    <n v="83"/>
    <n v="490"/>
    <n v="249"/>
    <n v="241"/>
    <n v="49.650349650349654"/>
    <n v="50.24975024975025"/>
    <n v="224"/>
    <n v="266"/>
    <n v="47.5"/>
    <n v="52.5"/>
    <n v="15.144897959183673"/>
    <n v="76"/>
    <n v="84"/>
    <n v="3.6631578947368442"/>
    <n v="3.3904761904761904"/>
  </r>
  <r>
    <s v="EMP0512"/>
    <s v="Michael"/>
    <s v="Jones"/>
    <x v="1"/>
    <n v="37"/>
    <x v="6"/>
    <x v="1"/>
    <s v="2012-11-06"/>
    <n v="18"/>
    <n v="19"/>
    <n v="327846"/>
    <x v="28"/>
    <x v="1"/>
    <n v="81"/>
    <n v="489"/>
    <n v="249"/>
    <n v="240"/>
    <n v="49.650349650349654"/>
    <n v="50.24975024975025"/>
    <n v="224"/>
    <n v="265"/>
    <n v="47.5"/>
    <n v="52.5"/>
    <n v="15.175869120654397"/>
    <n v="76"/>
    <n v="84"/>
    <n v="3.6631578947368442"/>
    <n v="3.3904761904761904"/>
  </r>
  <r>
    <s v="EMP0513"/>
    <s v="Hauwa"/>
    <s v="Jones"/>
    <x v="0"/>
    <n v="28"/>
    <x v="1"/>
    <x v="4"/>
    <s v="2023-01-05"/>
    <n v="18"/>
    <n v="20"/>
    <n v="231884"/>
    <x v="10"/>
    <x v="1"/>
    <n v="96"/>
    <n v="488"/>
    <n v="249"/>
    <n v="239"/>
    <n v="49.650349650349654"/>
    <n v="50.24975024975025"/>
    <n v="224"/>
    <n v="264"/>
    <n v="47.5"/>
    <n v="52.5"/>
    <n v="15.168032786885245"/>
    <n v="76"/>
    <n v="84"/>
    <n v="3.6631578947368442"/>
    <n v="3.3904761904761904"/>
  </r>
  <r>
    <s v="EMP0514"/>
    <s v="John"/>
    <s v="Garba"/>
    <x v="1"/>
    <n v="32"/>
    <x v="6"/>
    <x v="6"/>
    <s v="2016-02-22"/>
    <n v="13"/>
    <n v="17"/>
    <n v="460546"/>
    <x v="29"/>
    <x v="1"/>
    <n v="85"/>
    <n v="487"/>
    <n v="248"/>
    <n v="239"/>
    <n v="49.650349650349654"/>
    <n v="50.24975024975025"/>
    <n v="224"/>
    <n v="263"/>
    <n v="47.5"/>
    <n v="52.5"/>
    <n v="15.158110882956878"/>
    <n v="76"/>
    <n v="83"/>
    <n v="3.6631578947368442"/>
    <n v="3.3939759036144577"/>
  </r>
  <r>
    <s v="EMP0515"/>
    <s v="John"/>
    <s v="Johnson"/>
    <x v="0"/>
    <n v="44"/>
    <x v="1"/>
    <x v="7"/>
    <s v="2017-11-10"/>
    <n v="7"/>
    <n v="8"/>
    <n v="387211"/>
    <x v="6"/>
    <x v="0"/>
    <n v="63"/>
    <n v="486"/>
    <n v="248"/>
    <n v="238"/>
    <n v="49.650349650349654"/>
    <n v="50.24975024975025"/>
    <n v="224"/>
    <n v="262"/>
    <n v="47.5"/>
    <n v="52.5"/>
    <n v="15.154320987654321"/>
    <n v="76"/>
    <n v="83"/>
    <n v="3.6631578947368442"/>
    <n v="3.3939759036144577"/>
  </r>
  <r>
    <s v="EMP0516"/>
    <s v="Fatima"/>
    <s v="Williams"/>
    <x v="0"/>
    <n v="56"/>
    <x v="0"/>
    <x v="8"/>
    <s v="2021-11-29"/>
    <n v="1"/>
    <n v="11"/>
    <n v="242855"/>
    <x v="18"/>
    <x v="1"/>
    <n v="75"/>
    <n v="485"/>
    <n v="247"/>
    <n v="238"/>
    <n v="49.650349650349654"/>
    <n v="50.24975024975025"/>
    <n v="223"/>
    <n v="262"/>
    <n v="47.5"/>
    <n v="52.5"/>
    <n v="15.169072164948453"/>
    <n v="76"/>
    <n v="82"/>
    <n v="3.6631578947368442"/>
    <n v="3.4060975609756099"/>
  </r>
  <r>
    <s v="EMP0517"/>
    <s v="John"/>
    <s v="Musa"/>
    <x v="0"/>
    <n v="25"/>
    <x v="6"/>
    <x v="0"/>
    <s v="2025-01-02"/>
    <n v="2"/>
    <n v="4"/>
    <n v="175968"/>
    <x v="16"/>
    <x v="1"/>
    <n v="83"/>
    <n v="484"/>
    <n v="246"/>
    <n v="238"/>
    <n v="49.650349650349654"/>
    <n v="50.24975024975025"/>
    <n v="223"/>
    <n v="261"/>
    <n v="47.5"/>
    <n v="52.5"/>
    <n v="15.177685950413224"/>
    <n v="76"/>
    <n v="82"/>
    <n v="3.6631578947368442"/>
    <n v="3.4060975609756099"/>
  </r>
  <r>
    <s v="EMP0518"/>
    <s v="Michael"/>
    <s v="Okoro"/>
    <x v="1"/>
    <n v="24"/>
    <x v="6"/>
    <x v="4"/>
    <s v="2025-07-21"/>
    <n v="12"/>
    <n v="16"/>
    <n v="407075"/>
    <x v="28"/>
    <x v="0"/>
    <n v="60"/>
    <n v="483"/>
    <n v="245"/>
    <n v="238"/>
    <n v="49.650349650349654"/>
    <n v="50.24975024975025"/>
    <n v="223"/>
    <n v="260"/>
    <n v="47.5"/>
    <n v="52.5"/>
    <n v="15.200828157349896"/>
    <n v="76"/>
    <n v="82"/>
    <n v="3.6631578947368442"/>
    <n v="3.4060975609756099"/>
  </r>
  <r>
    <s v="EMP0519"/>
    <s v="Daniel"/>
    <s v="Ahmed"/>
    <x v="1"/>
    <n v="38"/>
    <x v="4"/>
    <x v="8"/>
    <s v="2018-12-01"/>
    <n v="10"/>
    <n v="16"/>
    <n v="62024"/>
    <x v="4"/>
    <x v="1"/>
    <n v="75"/>
    <n v="482"/>
    <n v="245"/>
    <n v="237"/>
    <n v="49.650349650349654"/>
    <n v="50.24975024975025"/>
    <n v="222"/>
    <n v="260"/>
    <n v="47.5"/>
    <n v="52.5"/>
    <n v="15.199170124481327"/>
    <n v="76"/>
    <n v="82"/>
    <n v="3.6631578947368442"/>
    <n v="3.4060975609756099"/>
  </r>
  <r>
    <s v="EMP0520"/>
    <s v="Peter"/>
    <s v="Brown"/>
    <x v="0"/>
    <n v="24"/>
    <x v="5"/>
    <x v="9"/>
    <s v="2018-12-29"/>
    <n v="0"/>
    <n v="0"/>
    <n v="148817"/>
    <x v="8"/>
    <x v="1"/>
    <n v="87"/>
    <n v="481"/>
    <n v="245"/>
    <n v="236"/>
    <n v="49.650349650349654"/>
    <n v="50.24975024975025"/>
    <n v="222"/>
    <n v="259"/>
    <n v="47.5"/>
    <n v="52.5"/>
    <n v="15.197505197505198"/>
    <n v="76"/>
    <n v="82"/>
    <n v="3.6631578947368442"/>
    <n v="3.4060975609756099"/>
  </r>
  <r>
    <s v="EMP0521"/>
    <s v="Hauwa"/>
    <s v="Okoro"/>
    <x v="0"/>
    <n v="58"/>
    <x v="1"/>
    <x v="1"/>
    <s v="2020-08-17"/>
    <n v="19"/>
    <n v="24"/>
    <n v="376783"/>
    <x v="16"/>
    <x v="0"/>
    <n v="31"/>
    <n v="480"/>
    <n v="244"/>
    <n v="236"/>
    <n v="49.650349650349654"/>
    <n v="50.24975024975025"/>
    <n v="222"/>
    <n v="258"/>
    <n v="47.5"/>
    <n v="52.5"/>
    <n v="15.229166666666666"/>
    <n v="75"/>
    <n v="82"/>
    <n v="3.6533333333333355"/>
    <n v="3.4060975609756099"/>
  </r>
  <r>
    <s v="EMP0522"/>
    <s v="Mary"/>
    <s v="Smith"/>
    <x v="0"/>
    <n v="22"/>
    <x v="4"/>
    <x v="3"/>
    <s v="2016-03-02"/>
    <n v="19"/>
    <n v="27"/>
    <n v="372721"/>
    <x v="15"/>
    <x v="0"/>
    <n v="36"/>
    <n v="479"/>
    <n v="243"/>
    <n v="236"/>
    <n v="49.650349650349654"/>
    <n v="50.24975024975025"/>
    <n v="221"/>
    <n v="258"/>
    <n v="47.5"/>
    <n v="52.5"/>
    <n v="15.210855949895615"/>
    <n v="75"/>
    <n v="81"/>
    <n v="3.6533333333333355"/>
    <n v="3.38641975308642"/>
  </r>
  <r>
    <s v="EMP0523"/>
    <s v="Amina"/>
    <s v="Brown"/>
    <x v="0"/>
    <n v="51"/>
    <x v="4"/>
    <x v="2"/>
    <s v="2023-05-29"/>
    <n v="15"/>
    <n v="15"/>
    <n v="207557"/>
    <x v="30"/>
    <x v="1"/>
    <n v="94"/>
    <n v="478"/>
    <n v="242"/>
    <n v="236"/>
    <n v="49.650349650349654"/>
    <n v="50.24975024975025"/>
    <n v="220"/>
    <n v="258"/>
    <n v="47.5"/>
    <n v="52.5"/>
    <n v="15.186192468619247"/>
    <n v="75"/>
    <n v="81"/>
    <n v="3.6533333333333355"/>
    <n v="3.38641975308642"/>
  </r>
  <r>
    <s v="EMP0524"/>
    <s v="Michael"/>
    <s v="Musa"/>
    <x v="1"/>
    <n v="40"/>
    <x v="6"/>
    <x v="6"/>
    <s v="2017-12-20"/>
    <n v="12"/>
    <n v="13"/>
    <n v="305645"/>
    <x v="2"/>
    <x v="1"/>
    <n v="91"/>
    <n v="477"/>
    <n v="241"/>
    <n v="236"/>
    <n v="49.650349650349654"/>
    <n v="50.24975024975025"/>
    <n v="220"/>
    <n v="257"/>
    <n v="47.5"/>
    <n v="52.5"/>
    <n v="15.186582809224319"/>
    <n v="75"/>
    <n v="81"/>
    <n v="3.6533333333333355"/>
    <n v="3.38641975308642"/>
  </r>
  <r>
    <s v="EMP0525"/>
    <s v="John"/>
    <s v="Garba"/>
    <x v="1"/>
    <n v="21"/>
    <x v="3"/>
    <x v="1"/>
    <s v="2016-06-12"/>
    <n v="20"/>
    <n v="29"/>
    <n v="236624"/>
    <x v="16"/>
    <x v="1"/>
    <n v="89"/>
    <n v="476"/>
    <n v="241"/>
    <n v="235"/>
    <n v="49.650349650349654"/>
    <n v="50.24975024975025"/>
    <n v="220"/>
    <n v="256"/>
    <n v="47.5"/>
    <n v="52.5"/>
    <n v="15.191176470588236"/>
    <n v="75"/>
    <n v="81"/>
    <n v="3.6533333333333355"/>
    <n v="3.38641975308642"/>
  </r>
  <r>
    <s v="EMP0526"/>
    <s v="Hauwa"/>
    <s v="Ahmed"/>
    <x v="0"/>
    <n v="35"/>
    <x v="5"/>
    <x v="5"/>
    <s v="2017-11-13"/>
    <n v="8"/>
    <n v="9"/>
    <n v="277749"/>
    <x v="9"/>
    <x v="0"/>
    <n v="64"/>
    <n v="475"/>
    <n v="241"/>
    <n v="234"/>
    <n v="49.650349650349654"/>
    <n v="50.24975024975025"/>
    <n v="220"/>
    <n v="255"/>
    <n v="47.5"/>
    <n v="52.5"/>
    <n v="15.162105263157894"/>
    <n v="75"/>
    <n v="81"/>
    <n v="3.6533333333333355"/>
    <n v="3.38641975308642"/>
  </r>
  <r>
    <s v="EMP0527"/>
    <s v="Amina"/>
    <s v="Williams"/>
    <x v="1"/>
    <n v="51"/>
    <x v="2"/>
    <x v="3"/>
    <s v="2016-06-27"/>
    <n v="12"/>
    <n v="19"/>
    <n v="324931"/>
    <x v="4"/>
    <x v="1"/>
    <n v="79"/>
    <n v="474"/>
    <n v="240"/>
    <n v="234"/>
    <n v="49.650349650349654"/>
    <n v="50.24975024975025"/>
    <n v="219"/>
    <n v="255"/>
    <n v="47.5"/>
    <n v="52.5"/>
    <n v="15.175105485232068"/>
    <n v="74"/>
    <n v="81"/>
    <n v="3.6472972972972983"/>
    <n v="3.38641975308642"/>
  </r>
  <r>
    <s v="EMP0528"/>
    <s v="Fatima"/>
    <s v="Ahmed"/>
    <x v="1"/>
    <n v="55"/>
    <x v="4"/>
    <x v="6"/>
    <s v="2018-10-23"/>
    <n v="6"/>
    <n v="8"/>
    <n v="492960"/>
    <x v="25"/>
    <x v="1"/>
    <n v="84"/>
    <n v="473"/>
    <n v="240"/>
    <n v="233"/>
    <n v="49.650349650349654"/>
    <n v="50.24975024975025"/>
    <n v="219"/>
    <n v="254"/>
    <n v="47.5"/>
    <n v="52.5"/>
    <n v="15.167019027484145"/>
    <n v="74"/>
    <n v="81"/>
    <n v="3.6472972972972983"/>
    <n v="3.38641975308642"/>
  </r>
  <r>
    <s v="EMP0529"/>
    <s v="Mary"/>
    <s v="Jones"/>
    <x v="1"/>
    <n v="53"/>
    <x v="0"/>
    <x v="2"/>
    <s v="2015-01-25"/>
    <n v="16"/>
    <n v="26"/>
    <n v="84151"/>
    <x v="24"/>
    <x v="1"/>
    <n v="98"/>
    <n v="472"/>
    <n v="240"/>
    <n v="232"/>
    <n v="49.650349650349654"/>
    <n v="50.24975024975025"/>
    <n v="219"/>
    <n v="253"/>
    <n v="47.5"/>
    <n v="52.5"/>
    <n v="15.182203389830509"/>
    <n v="74"/>
    <n v="81"/>
    <n v="3.6472972972972983"/>
    <n v="3.38641975308642"/>
  </r>
  <r>
    <s v="EMP0530"/>
    <s v="Sarah"/>
    <s v="Ibrahim"/>
    <x v="0"/>
    <n v="49"/>
    <x v="0"/>
    <x v="2"/>
    <s v="2012-02-24"/>
    <n v="0"/>
    <n v="4"/>
    <n v="291208"/>
    <x v="7"/>
    <x v="1"/>
    <n v="92"/>
    <n v="471"/>
    <n v="240"/>
    <n v="231"/>
    <n v="49.650349650349654"/>
    <n v="50.24975024975025"/>
    <n v="219"/>
    <n v="252"/>
    <n v="47.5"/>
    <n v="52.5"/>
    <n v="15.159235668789808"/>
    <n v="74"/>
    <n v="81"/>
    <n v="3.6472972972972983"/>
    <n v="3.38641975308642"/>
  </r>
  <r>
    <s v="EMP0531"/>
    <s v="Grace"/>
    <s v="Smith"/>
    <x v="1"/>
    <n v="26"/>
    <x v="6"/>
    <x v="3"/>
    <s v="2025-06-02"/>
    <n v="18"/>
    <n v="21"/>
    <n v="211298"/>
    <x v="17"/>
    <x v="1"/>
    <n v="84"/>
    <n v="470"/>
    <n v="239"/>
    <n v="231"/>
    <n v="49.650349650349654"/>
    <n v="50.24975024975025"/>
    <n v="219"/>
    <n v="251"/>
    <n v="47.5"/>
    <n v="52.5"/>
    <n v="15.182978723404256"/>
    <n v="74"/>
    <n v="81"/>
    <n v="3.6472972972972983"/>
    <n v="3.38641975308642"/>
  </r>
  <r>
    <s v="EMP0532"/>
    <s v="Peter"/>
    <s v="Ahmed"/>
    <x v="1"/>
    <n v="60"/>
    <x v="3"/>
    <x v="8"/>
    <s v="2020-07-27"/>
    <n v="3"/>
    <n v="3"/>
    <n v="212577"/>
    <x v="28"/>
    <x v="1"/>
    <n v="90"/>
    <n v="469"/>
    <n v="239"/>
    <n v="230"/>
    <n v="49.650349650349654"/>
    <n v="50.24975024975025"/>
    <n v="219"/>
    <n v="250"/>
    <n v="47.5"/>
    <n v="52.5"/>
    <n v="15.170575692963753"/>
    <n v="74"/>
    <n v="81"/>
    <n v="3.6472972972972983"/>
    <n v="3.38641975308642"/>
  </r>
  <r>
    <s v="EMP0533"/>
    <s v="Grace"/>
    <s v="Musa"/>
    <x v="1"/>
    <n v="50"/>
    <x v="3"/>
    <x v="3"/>
    <s v="2019-03-30"/>
    <n v="5"/>
    <n v="6"/>
    <n v="223676"/>
    <x v="0"/>
    <x v="1"/>
    <n v="78"/>
    <n v="468"/>
    <n v="239"/>
    <n v="229"/>
    <n v="49.650349650349654"/>
    <n v="50.24975024975025"/>
    <n v="219"/>
    <n v="249"/>
    <n v="47.5"/>
    <n v="52.5"/>
    <n v="15.196581196581196"/>
    <n v="74"/>
    <n v="81"/>
    <n v="3.6472972972972983"/>
    <n v="3.38641975308642"/>
  </r>
  <r>
    <s v="EMP0534"/>
    <s v="Michael"/>
    <s v="Williams"/>
    <x v="1"/>
    <n v="40"/>
    <x v="4"/>
    <x v="1"/>
    <s v="2024-10-14"/>
    <n v="0"/>
    <n v="7"/>
    <n v="117297"/>
    <x v="6"/>
    <x v="0"/>
    <n v="68"/>
    <n v="467"/>
    <n v="239"/>
    <n v="228"/>
    <n v="49.650349650349654"/>
    <n v="50.24975024975025"/>
    <n v="219"/>
    <n v="248"/>
    <n v="47.5"/>
    <n v="52.5"/>
    <n v="15.21627408993576"/>
    <n v="74"/>
    <n v="81"/>
    <n v="3.6472972972972983"/>
    <n v="3.38641975308642"/>
  </r>
  <r>
    <s v="EMP0535"/>
    <s v="Michael"/>
    <s v="Ibrahim"/>
    <x v="1"/>
    <n v="48"/>
    <x v="1"/>
    <x v="1"/>
    <s v="2024-02-17"/>
    <n v="9"/>
    <n v="18"/>
    <n v="99112"/>
    <x v="25"/>
    <x v="0"/>
    <n v="50"/>
    <n v="466"/>
    <n v="239"/>
    <n v="227"/>
    <n v="49.650349650349654"/>
    <n v="50.24975024975025"/>
    <n v="218"/>
    <n v="248"/>
    <n v="47.5"/>
    <n v="52.5"/>
    <n v="15.233905579399142"/>
    <n v="74"/>
    <n v="81"/>
    <n v="3.6472972972972983"/>
    <n v="3.38641975308642"/>
  </r>
  <r>
    <s v="EMP0536"/>
    <s v="Sarah"/>
    <s v="Garba"/>
    <x v="0"/>
    <n v="43"/>
    <x v="0"/>
    <x v="6"/>
    <s v="2020-10-31"/>
    <n v="10"/>
    <n v="15"/>
    <n v="272668"/>
    <x v="8"/>
    <x v="1"/>
    <n v="78"/>
    <n v="465"/>
    <n v="239"/>
    <n v="226"/>
    <n v="49.650349650349654"/>
    <n v="50.24975024975025"/>
    <n v="217"/>
    <n v="248"/>
    <n v="47.5"/>
    <n v="52.5"/>
    <n v="15.227956989247312"/>
    <n v="74"/>
    <n v="80"/>
    <n v="3.6472972972972983"/>
    <n v="3.3787499999999993"/>
  </r>
  <r>
    <s v="EMP0537"/>
    <s v="Mary"/>
    <s v="Williams"/>
    <x v="0"/>
    <n v="44"/>
    <x v="1"/>
    <x v="1"/>
    <s v="2018-04-30"/>
    <n v="5"/>
    <n v="6"/>
    <n v="106306"/>
    <x v="1"/>
    <x v="0"/>
    <n v="32"/>
    <n v="464"/>
    <n v="238"/>
    <n v="226"/>
    <n v="49.650349650349654"/>
    <n v="50.24975024975025"/>
    <n v="217"/>
    <n v="247"/>
    <n v="47.5"/>
    <n v="52.5"/>
    <n v="15.228448275862069"/>
    <n v="74"/>
    <n v="80"/>
    <n v="3.6472972972972983"/>
    <n v="3.3787499999999993"/>
  </r>
  <r>
    <s v="EMP0538"/>
    <s v="Amina"/>
    <s v="Williams"/>
    <x v="0"/>
    <n v="42"/>
    <x v="5"/>
    <x v="9"/>
    <s v="2012-12-20"/>
    <n v="14"/>
    <n v="21"/>
    <n v="391926"/>
    <x v="19"/>
    <x v="0"/>
    <n v="62"/>
    <n v="463"/>
    <n v="237"/>
    <n v="226"/>
    <n v="49.650349650349654"/>
    <n v="50.24975024975025"/>
    <n v="216"/>
    <n v="247"/>
    <n v="47.5"/>
    <n v="52.5"/>
    <n v="15.248380129589632"/>
    <n v="74"/>
    <n v="79"/>
    <n v="3.6472972972972983"/>
    <n v="3.3936708860759488"/>
  </r>
  <r>
    <s v="EMP0539"/>
    <s v="Michael"/>
    <s v="Garba"/>
    <x v="1"/>
    <n v="49"/>
    <x v="6"/>
    <x v="2"/>
    <s v="2017-03-25"/>
    <n v="12"/>
    <n v="21"/>
    <n v="146070"/>
    <x v="4"/>
    <x v="0"/>
    <n v="52"/>
    <n v="462"/>
    <n v="236"/>
    <n v="226"/>
    <n v="49.650349650349654"/>
    <n v="50.24975024975025"/>
    <n v="215"/>
    <n v="247"/>
    <n v="47.5"/>
    <n v="52.5"/>
    <n v="15.235930735930737"/>
    <n v="73"/>
    <n v="79"/>
    <n v="3.6657534246575354"/>
    <n v="3.3936708860759488"/>
  </r>
  <r>
    <s v="EMP0540"/>
    <s v="Amina"/>
    <s v="Williams"/>
    <x v="0"/>
    <n v="31"/>
    <x v="4"/>
    <x v="7"/>
    <s v="2023-05-17"/>
    <n v="19"/>
    <n v="23"/>
    <n v="498748"/>
    <x v="11"/>
    <x v="1"/>
    <n v="97"/>
    <n v="461"/>
    <n v="236"/>
    <n v="225"/>
    <n v="49.650349650349654"/>
    <n v="50.24975024975025"/>
    <n v="214"/>
    <n v="247"/>
    <n v="47.5"/>
    <n v="52.5"/>
    <n v="15.223427331887201"/>
    <n v="73"/>
    <n v="79"/>
    <n v="3.6657534246575354"/>
    <n v="3.3936708860759488"/>
  </r>
  <r>
    <s v="EMP0541"/>
    <s v="Grace"/>
    <s v="Okoro"/>
    <x v="1"/>
    <n v="31"/>
    <x v="0"/>
    <x v="7"/>
    <s v="2020-03-31"/>
    <n v="15"/>
    <n v="24"/>
    <n v="379556"/>
    <x v="28"/>
    <x v="0"/>
    <n v="62"/>
    <n v="460"/>
    <n v="235"/>
    <n v="225"/>
    <n v="49.650349650349654"/>
    <n v="50.24975024975025"/>
    <n v="214"/>
    <n v="246"/>
    <n v="47.5"/>
    <n v="52.5"/>
    <n v="15.206521739130435"/>
    <n v="73"/>
    <n v="79"/>
    <n v="3.6657534246575354"/>
    <n v="3.3936708860759488"/>
  </r>
  <r>
    <s v="EMP0542"/>
    <s v="David"/>
    <s v="Jones"/>
    <x v="0"/>
    <n v="23"/>
    <x v="4"/>
    <x v="3"/>
    <s v="2023-09-20"/>
    <n v="7"/>
    <n v="17"/>
    <n v="159328"/>
    <x v="1"/>
    <x v="0"/>
    <n v="32"/>
    <n v="459"/>
    <n v="235"/>
    <n v="224"/>
    <n v="49.650349650349654"/>
    <n v="50.24975024975025"/>
    <n v="213"/>
    <n v="246"/>
    <n v="47.5"/>
    <n v="52.5"/>
    <n v="15.187363834422658"/>
    <n v="73"/>
    <n v="79"/>
    <n v="3.6657534246575354"/>
    <n v="3.3936708860759488"/>
  </r>
  <r>
    <s v="EMP0543"/>
    <s v="Daniel"/>
    <s v="Musa"/>
    <x v="1"/>
    <n v="60"/>
    <x v="1"/>
    <x v="3"/>
    <s v="2016-03-17"/>
    <n v="10"/>
    <n v="19"/>
    <n v="108747"/>
    <x v="18"/>
    <x v="1"/>
    <n v="90"/>
    <n v="458"/>
    <n v="234"/>
    <n v="224"/>
    <n v="49.650349650349654"/>
    <n v="50.24975024975025"/>
    <n v="212"/>
    <n v="246"/>
    <n v="47.5"/>
    <n v="52.5"/>
    <n v="15.183406113537117"/>
    <n v="73"/>
    <n v="79"/>
    <n v="3.6657534246575354"/>
    <n v="3.3936708860759488"/>
  </r>
  <r>
    <s v="EMP0544"/>
    <s v="David"/>
    <s v="Jones"/>
    <x v="1"/>
    <n v="53"/>
    <x v="2"/>
    <x v="6"/>
    <s v="2014-05-07"/>
    <n v="12"/>
    <n v="14"/>
    <n v="322770"/>
    <x v="16"/>
    <x v="1"/>
    <n v="73"/>
    <n v="457"/>
    <n v="234"/>
    <n v="223"/>
    <n v="49.650349650349654"/>
    <n v="50.24975024975025"/>
    <n v="212"/>
    <n v="245"/>
    <n v="47.5"/>
    <n v="52.5"/>
    <n v="15.175054704595185"/>
    <n v="73"/>
    <n v="78"/>
    <n v="3.6657534246575354"/>
    <n v="3.4102564102564097"/>
  </r>
  <r>
    <s v="EMP0545"/>
    <s v="Mary"/>
    <s v="Williams"/>
    <x v="1"/>
    <n v="50"/>
    <x v="3"/>
    <x v="3"/>
    <s v="2022-07-08"/>
    <n v="1"/>
    <n v="5"/>
    <n v="67470"/>
    <x v="4"/>
    <x v="1"/>
    <n v="74"/>
    <n v="456"/>
    <n v="234"/>
    <n v="222"/>
    <n v="49.650349650349654"/>
    <n v="50.24975024975025"/>
    <n v="212"/>
    <n v="244"/>
    <n v="47.5"/>
    <n v="52.5"/>
    <n v="15.177631578947368"/>
    <n v="73"/>
    <n v="78"/>
    <n v="3.6657534246575354"/>
    <n v="3.4102564102564097"/>
  </r>
  <r>
    <s v="EMP0546"/>
    <s v="Sarah"/>
    <s v="Ibrahim"/>
    <x v="0"/>
    <n v="25"/>
    <x v="1"/>
    <x v="0"/>
    <s v="2021-04-30"/>
    <n v="2"/>
    <n v="3"/>
    <n v="344685"/>
    <x v="1"/>
    <x v="0"/>
    <n v="43"/>
    <n v="455"/>
    <n v="234"/>
    <n v="221"/>
    <n v="49.650349650349654"/>
    <n v="50.24975024975025"/>
    <n v="212"/>
    <n v="243"/>
    <n v="47.5"/>
    <n v="52.5"/>
    <n v="15.2"/>
    <n v="73"/>
    <n v="78"/>
    <n v="3.6657534246575354"/>
    <n v="3.4102564102564097"/>
  </r>
  <r>
    <s v="EMP0547"/>
    <s v="Grace"/>
    <s v="Okoro"/>
    <x v="0"/>
    <n v="54"/>
    <x v="3"/>
    <x v="9"/>
    <s v="2022-07-28"/>
    <n v="18"/>
    <n v="20"/>
    <n v="372511"/>
    <x v="21"/>
    <x v="0"/>
    <n v="39"/>
    <n v="454"/>
    <n v="233"/>
    <n v="221"/>
    <n v="49.650349650349654"/>
    <n v="50.24975024975025"/>
    <n v="211"/>
    <n v="243"/>
    <n v="47.5"/>
    <n v="52.5"/>
    <n v="15.226872246696034"/>
    <n v="73"/>
    <n v="77"/>
    <n v="3.6657534246575354"/>
    <n v="3.4259740259740261"/>
  </r>
  <r>
    <s v="EMP0548"/>
    <s v="Fatima"/>
    <s v="Brown"/>
    <x v="0"/>
    <n v="33"/>
    <x v="6"/>
    <x v="2"/>
    <s v="2012-04-13"/>
    <n v="11"/>
    <n v="12"/>
    <n v="379727"/>
    <x v="18"/>
    <x v="1"/>
    <n v="71"/>
    <n v="453"/>
    <n v="232"/>
    <n v="221"/>
    <n v="49.650349650349654"/>
    <n v="50.24975024975025"/>
    <n v="210"/>
    <n v="243"/>
    <n v="47.5"/>
    <n v="52.5"/>
    <n v="15.216335540838852"/>
    <n v="73"/>
    <n v="77"/>
    <n v="3.6657534246575354"/>
    <n v="3.4259740259740261"/>
  </r>
  <r>
    <s v="EMP0549"/>
    <s v="Mary"/>
    <s v="Garba"/>
    <x v="0"/>
    <n v="31"/>
    <x v="4"/>
    <x v="9"/>
    <s v="2017-05-22"/>
    <n v="13"/>
    <n v="20"/>
    <n v="223010"/>
    <x v="6"/>
    <x v="0"/>
    <n v="47"/>
    <n v="452"/>
    <n v="231"/>
    <n v="221"/>
    <n v="49.650349650349654"/>
    <n v="50.24975024975025"/>
    <n v="210"/>
    <n v="242"/>
    <n v="47.5"/>
    <n v="52.5"/>
    <n v="15.223451327433628"/>
    <n v="73"/>
    <n v="77"/>
    <n v="3.6657534246575354"/>
    <n v="3.4259740259740261"/>
  </r>
  <r>
    <s v="EMP0550"/>
    <s v="Sarah"/>
    <s v="Jones"/>
    <x v="0"/>
    <n v="41"/>
    <x v="1"/>
    <x v="2"/>
    <s v="2023-07-11"/>
    <n v="7"/>
    <n v="17"/>
    <n v="180044"/>
    <x v="18"/>
    <x v="1"/>
    <n v="89"/>
    <n v="451"/>
    <n v="230"/>
    <n v="221"/>
    <n v="49.650349650349654"/>
    <n v="50.24975024975025"/>
    <n v="209"/>
    <n v="242"/>
    <n v="47.5"/>
    <n v="52.5"/>
    <n v="15.212860310421286"/>
    <n v="73"/>
    <n v="77"/>
    <n v="3.6657534246575354"/>
    <n v="3.4259740259740261"/>
  </r>
  <r>
    <s v="EMP0551"/>
    <s v="David"/>
    <s v="Garba"/>
    <x v="0"/>
    <n v="33"/>
    <x v="0"/>
    <x v="6"/>
    <s v="2014-03-26"/>
    <n v="12"/>
    <n v="19"/>
    <n v="365659"/>
    <x v="10"/>
    <x v="1"/>
    <n v="82"/>
    <n v="450"/>
    <n v="229"/>
    <n v="221"/>
    <n v="49.650349650349654"/>
    <n v="50.24975024975025"/>
    <n v="209"/>
    <n v="241"/>
    <n v="47.5"/>
    <n v="52.5"/>
    <n v="15.20888888888889"/>
    <n v="73"/>
    <n v="76"/>
    <n v="3.6657534246575354"/>
    <n v="3.4434210526315789"/>
  </r>
  <r>
    <s v="EMP0552"/>
    <s v="David"/>
    <s v="Jones"/>
    <x v="0"/>
    <n v="43"/>
    <x v="4"/>
    <x v="0"/>
    <s v="2025-04-02"/>
    <n v="4"/>
    <n v="6"/>
    <n v="119310"/>
    <x v="5"/>
    <x v="0"/>
    <n v="64"/>
    <n v="449"/>
    <n v="228"/>
    <n v="221"/>
    <n v="49.650349650349654"/>
    <n v="50.24975024975025"/>
    <n v="209"/>
    <n v="240"/>
    <n v="47.5"/>
    <n v="52.5"/>
    <n v="15.200445434298441"/>
    <n v="73"/>
    <n v="76"/>
    <n v="3.6657534246575354"/>
    <n v="3.4434210526315789"/>
  </r>
  <r>
    <s v="EMP0553"/>
    <s v="James"/>
    <s v="Musa"/>
    <x v="1"/>
    <n v="26"/>
    <x v="1"/>
    <x v="9"/>
    <s v="2018-03-18"/>
    <n v="10"/>
    <n v="20"/>
    <n v="426466"/>
    <x v="4"/>
    <x v="1"/>
    <n v="98"/>
    <n v="448"/>
    <n v="227"/>
    <n v="221"/>
    <n v="49.650349650349654"/>
    <n v="50.24975024975025"/>
    <n v="208"/>
    <n v="240"/>
    <n v="47.5"/>
    <n v="52.5"/>
    <n v="15.220982142857142"/>
    <n v="73"/>
    <n v="76"/>
    <n v="3.6657534246575354"/>
    <n v="3.4434210526315789"/>
  </r>
  <r>
    <s v="EMP0554"/>
    <s v="Fatima"/>
    <s v="Jones"/>
    <x v="0"/>
    <n v="22"/>
    <x v="0"/>
    <x v="1"/>
    <s v="2016-12-11"/>
    <n v="13"/>
    <n v="20"/>
    <n v="209909"/>
    <x v="22"/>
    <x v="1"/>
    <n v="99"/>
    <n v="447"/>
    <n v="227"/>
    <n v="220"/>
    <n v="49.650349650349654"/>
    <n v="50.24975024975025"/>
    <n v="208"/>
    <n v="239"/>
    <n v="47.5"/>
    <n v="52.5"/>
    <n v="15.210290827740492"/>
    <n v="73"/>
    <n v="75"/>
    <n v="3.6657534246575354"/>
    <n v="3.4386666666666663"/>
  </r>
  <r>
    <s v="EMP0555"/>
    <s v="Fatima"/>
    <s v="Jones"/>
    <x v="0"/>
    <n v="49"/>
    <x v="0"/>
    <x v="5"/>
    <s v="2024-04-25"/>
    <n v="11"/>
    <n v="14"/>
    <n v="83634"/>
    <x v="20"/>
    <x v="0"/>
    <n v="47"/>
    <n v="446"/>
    <n v="226"/>
    <n v="220"/>
    <n v="49.650349650349654"/>
    <n v="50.24975024975025"/>
    <n v="208"/>
    <n v="238"/>
    <n v="47.5"/>
    <n v="52.5"/>
    <n v="15.199551569506726"/>
    <n v="73"/>
    <n v="75"/>
    <n v="3.6657534246575354"/>
    <n v="3.4386666666666663"/>
  </r>
  <r>
    <s v="EMP0556"/>
    <s v="Fatima"/>
    <s v="Ahmed"/>
    <x v="1"/>
    <n v="21"/>
    <x v="4"/>
    <x v="6"/>
    <s v="2015-04-13"/>
    <n v="16"/>
    <n v="18"/>
    <n v="114996"/>
    <x v="2"/>
    <x v="1"/>
    <n v="91"/>
    <n v="445"/>
    <n v="225"/>
    <n v="220"/>
    <n v="49.650349650349654"/>
    <n v="50.24975024975025"/>
    <n v="207"/>
    <n v="238"/>
    <n v="47.5"/>
    <n v="52.5"/>
    <n v="15.202247191011235"/>
    <n v="73"/>
    <n v="75"/>
    <n v="3.6657534246575354"/>
    <n v="3.4386666666666663"/>
  </r>
  <r>
    <s v="EMP0557"/>
    <s v="David"/>
    <s v="Okoro"/>
    <x v="0"/>
    <n v="42"/>
    <x v="0"/>
    <x v="6"/>
    <s v="2012-06-10"/>
    <n v="9"/>
    <n v="12"/>
    <n v="108284"/>
    <x v="23"/>
    <x v="1"/>
    <n v="100"/>
    <n v="444"/>
    <n v="225"/>
    <n v="219"/>
    <n v="49.650349650349654"/>
    <n v="50.24975024975025"/>
    <n v="207"/>
    <n v="237"/>
    <n v="47.5"/>
    <n v="52.5"/>
    <n v="15.195945945945946"/>
    <n v="73"/>
    <n v="75"/>
    <n v="3.6657534246575354"/>
    <n v="3.4386666666666663"/>
  </r>
  <r>
    <s v="EMP0558"/>
    <s v="Fatima"/>
    <s v="Jones"/>
    <x v="1"/>
    <n v="56"/>
    <x v="2"/>
    <x v="2"/>
    <s v="2023-04-20"/>
    <n v="17"/>
    <n v="22"/>
    <n v="111998"/>
    <x v="7"/>
    <x v="1"/>
    <n v="98"/>
    <n v="443"/>
    <n v="224"/>
    <n v="219"/>
    <n v="49.650349650349654"/>
    <n v="50.24975024975025"/>
    <n v="207"/>
    <n v="236"/>
    <n v="47.5"/>
    <n v="52.5"/>
    <n v="15.20316027088036"/>
    <n v="73"/>
    <n v="75"/>
    <n v="3.6657534246575354"/>
    <n v="3.4386666666666663"/>
  </r>
  <r>
    <s v="EMP0559"/>
    <s v="Fatima"/>
    <s v="Musa"/>
    <x v="1"/>
    <n v="44"/>
    <x v="1"/>
    <x v="1"/>
    <s v="2012-01-09"/>
    <n v="18"/>
    <n v="24"/>
    <n v="297476"/>
    <x v="0"/>
    <x v="1"/>
    <n v="77"/>
    <n v="442"/>
    <n v="224"/>
    <n v="218"/>
    <n v="49.650349650349654"/>
    <n v="50.24975024975025"/>
    <n v="207"/>
    <n v="235"/>
    <n v="47.5"/>
    <n v="52.5"/>
    <n v="15.187782805429864"/>
    <n v="73"/>
    <n v="75"/>
    <n v="3.6657534246575354"/>
    <n v="3.4386666666666663"/>
  </r>
  <r>
    <s v="EMP0560"/>
    <s v="James"/>
    <s v="Johnson"/>
    <x v="0"/>
    <n v="27"/>
    <x v="5"/>
    <x v="7"/>
    <s v="2016-01-05"/>
    <n v="6"/>
    <n v="9"/>
    <n v="277350"/>
    <x v="28"/>
    <x v="1"/>
    <n v="98"/>
    <n v="441"/>
    <n v="224"/>
    <n v="217"/>
    <n v="49.650349650349654"/>
    <n v="50.24975024975025"/>
    <n v="207"/>
    <n v="234"/>
    <n v="47.5"/>
    <n v="52.5"/>
    <n v="15.167800453514738"/>
    <n v="73"/>
    <n v="74"/>
    <n v="3.6657534246575354"/>
    <n v="3.4486486486486481"/>
  </r>
  <r>
    <s v="EMP0561"/>
    <s v="Grace"/>
    <s v="Brown"/>
    <x v="1"/>
    <n v="35"/>
    <x v="6"/>
    <x v="8"/>
    <s v="2018-05-15"/>
    <n v="11"/>
    <n v="20"/>
    <n v="488045"/>
    <x v="2"/>
    <x v="1"/>
    <n v="96"/>
    <n v="440"/>
    <n v="223"/>
    <n v="217"/>
    <n v="49.650349650349654"/>
    <n v="50.24975024975025"/>
    <n v="207"/>
    <n v="233"/>
    <n v="47.5"/>
    <n v="52.5"/>
    <n v="15.181818181818182"/>
    <n v="72"/>
    <n v="74"/>
    <n v="3.6569444444444454"/>
    <n v="3.4486486486486481"/>
  </r>
  <r>
    <s v="EMP0562"/>
    <s v="Daniel"/>
    <s v="Brown"/>
    <x v="1"/>
    <n v="41"/>
    <x v="5"/>
    <x v="1"/>
    <s v="2021-08-05"/>
    <n v="20"/>
    <n v="24"/>
    <n v="308582"/>
    <x v="5"/>
    <x v="1"/>
    <n v="92"/>
    <n v="439"/>
    <n v="223"/>
    <n v="216"/>
    <n v="49.650349650349654"/>
    <n v="50.24975024975025"/>
    <n v="207"/>
    <n v="232"/>
    <n v="47.5"/>
    <n v="52.5"/>
    <n v="15.170842824601367"/>
    <n v="72"/>
    <n v="74"/>
    <n v="3.6569444444444454"/>
    <n v="3.4486486486486481"/>
  </r>
  <r>
    <s v="EMP0563"/>
    <s v="Fatima"/>
    <s v="Johnson"/>
    <x v="0"/>
    <n v="53"/>
    <x v="4"/>
    <x v="0"/>
    <s v="2017-03-31"/>
    <n v="9"/>
    <n v="18"/>
    <n v="398445"/>
    <x v="18"/>
    <x v="0"/>
    <n v="66"/>
    <n v="438"/>
    <n v="223"/>
    <n v="215"/>
    <n v="49.650349650349654"/>
    <n v="50.24975024975025"/>
    <n v="207"/>
    <n v="231"/>
    <n v="47.5"/>
    <n v="52.5"/>
    <n v="15.150684931506849"/>
    <n v="71"/>
    <n v="74"/>
    <n v="3.6394366197183112"/>
    <n v="3.4486486486486481"/>
  </r>
  <r>
    <s v="EMP0564"/>
    <s v="Daniel"/>
    <s v="Williams"/>
    <x v="1"/>
    <n v="22"/>
    <x v="2"/>
    <x v="2"/>
    <s v="2018-10-14"/>
    <n v="15"/>
    <n v="18"/>
    <n v="413785"/>
    <x v="25"/>
    <x v="0"/>
    <n v="53"/>
    <n v="437"/>
    <n v="222"/>
    <n v="215"/>
    <n v="49.650349650349654"/>
    <n v="50.24975024975025"/>
    <n v="206"/>
    <n v="231"/>
    <n v="47.5"/>
    <n v="52.5"/>
    <n v="15.144164759725401"/>
    <n v="71"/>
    <n v="74"/>
    <n v="3.6394366197183112"/>
    <n v="3.4486486486486481"/>
  </r>
  <r>
    <s v="EMP0565"/>
    <s v="Peter"/>
    <s v="Ahmed"/>
    <x v="0"/>
    <n v="45"/>
    <x v="3"/>
    <x v="0"/>
    <s v="2015-01-24"/>
    <n v="17"/>
    <n v="24"/>
    <n v="363811"/>
    <x v="1"/>
    <x v="0"/>
    <n v="70"/>
    <n v="436"/>
    <n v="222"/>
    <n v="214"/>
    <n v="49.650349650349654"/>
    <n v="50.24975024975025"/>
    <n v="205"/>
    <n v="231"/>
    <n v="47.5"/>
    <n v="52.5"/>
    <n v="15.137614678899082"/>
    <n v="71"/>
    <n v="74"/>
    <n v="3.6394366197183112"/>
    <n v="3.4486486486486481"/>
  </r>
  <r>
    <s v="EMP0566"/>
    <s v="Daniel"/>
    <s v="Smith"/>
    <x v="1"/>
    <n v="56"/>
    <x v="4"/>
    <x v="3"/>
    <s v="2014-09-09"/>
    <n v="12"/>
    <n v="18"/>
    <n v="261638"/>
    <x v="26"/>
    <x v="1"/>
    <n v="74"/>
    <n v="435"/>
    <n v="221"/>
    <n v="214"/>
    <n v="49.650349650349654"/>
    <n v="50.24975024975025"/>
    <n v="204"/>
    <n v="231"/>
    <n v="47.5"/>
    <n v="52.5"/>
    <n v="15.117241379310345"/>
    <n v="71"/>
    <n v="74"/>
    <n v="3.6394366197183112"/>
    <n v="3.4486486486486481"/>
  </r>
  <r>
    <s v="EMP0567"/>
    <s v="Fatima"/>
    <s v="Johnson"/>
    <x v="0"/>
    <n v="30"/>
    <x v="1"/>
    <x v="0"/>
    <s v="2015-12-13"/>
    <n v="15"/>
    <n v="16"/>
    <n v="50197"/>
    <x v="4"/>
    <x v="1"/>
    <n v="97"/>
    <n v="434"/>
    <n v="221"/>
    <n v="213"/>
    <n v="49.650349650349654"/>
    <n v="50.24975024975025"/>
    <n v="204"/>
    <n v="230"/>
    <n v="47.5"/>
    <n v="52.5"/>
    <n v="15.110599078341014"/>
    <n v="71"/>
    <n v="74"/>
    <n v="3.6394366197183112"/>
    <n v="3.4486486486486481"/>
  </r>
  <r>
    <s v="EMP0568"/>
    <s v="David"/>
    <s v="Jones"/>
    <x v="0"/>
    <n v="42"/>
    <x v="3"/>
    <x v="6"/>
    <s v="2013-02-10"/>
    <n v="8"/>
    <n v="10"/>
    <n v="221813"/>
    <x v="7"/>
    <x v="0"/>
    <n v="58"/>
    <n v="433"/>
    <n v="220"/>
    <n v="213"/>
    <n v="49.650349650349654"/>
    <n v="50.24975024975025"/>
    <n v="204"/>
    <n v="229"/>
    <n v="47.5"/>
    <n v="52.5"/>
    <n v="15.108545034642033"/>
    <n v="71"/>
    <n v="73"/>
    <n v="3.6394366197183112"/>
    <n v="3.4438356164383555"/>
  </r>
  <r>
    <s v="EMP0569"/>
    <s v="Daniel"/>
    <s v="Williams"/>
    <x v="0"/>
    <n v="48"/>
    <x v="3"/>
    <x v="9"/>
    <s v="2019-03-22"/>
    <n v="14"/>
    <n v="15"/>
    <n v="459960"/>
    <x v="1"/>
    <x v="0"/>
    <n v="42"/>
    <n v="432"/>
    <n v="219"/>
    <n v="213"/>
    <n v="49.650349650349654"/>
    <n v="50.24975024975025"/>
    <n v="203"/>
    <n v="229"/>
    <n v="47.5"/>
    <n v="52.5"/>
    <n v="15.12037037037037"/>
    <n v="71"/>
    <n v="73"/>
    <n v="3.6394366197183112"/>
    <n v="3.4438356164383555"/>
  </r>
  <r>
    <s v="EMP0570"/>
    <s v="Daniel"/>
    <s v="Okoro"/>
    <x v="1"/>
    <n v="39"/>
    <x v="0"/>
    <x v="9"/>
    <s v="2017-11-28"/>
    <n v="15"/>
    <n v="25"/>
    <n v="311872"/>
    <x v="4"/>
    <x v="0"/>
    <n v="63"/>
    <n v="431"/>
    <n v="218"/>
    <n v="213"/>
    <n v="49.650349650349654"/>
    <n v="50.24975024975025"/>
    <n v="202"/>
    <n v="229"/>
    <n v="47.5"/>
    <n v="52.5"/>
    <n v="15.120649651972158"/>
    <n v="71"/>
    <n v="73"/>
    <n v="3.6394366197183112"/>
    <n v="3.4438356164383555"/>
  </r>
  <r>
    <s v="EMP0571"/>
    <s v="Mary"/>
    <s v="Brown"/>
    <x v="0"/>
    <n v="39"/>
    <x v="1"/>
    <x v="8"/>
    <s v="2019-01-03"/>
    <n v="8"/>
    <n v="15"/>
    <n v="474971"/>
    <x v="30"/>
    <x v="1"/>
    <n v="83"/>
    <n v="430"/>
    <n v="218"/>
    <n v="212"/>
    <n v="49.650349650349654"/>
    <n v="50.24975024975025"/>
    <n v="201"/>
    <n v="229"/>
    <n v="47.5"/>
    <n v="52.5"/>
    <n v="15.097674418604651"/>
    <n v="71"/>
    <n v="73"/>
    <n v="3.6394366197183112"/>
    <n v="3.4438356164383555"/>
  </r>
  <r>
    <s v="EMP0572"/>
    <s v="Michael"/>
    <s v="Jones"/>
    <x v="1"/>
    <n v="32"/>
    <x v="3"/>
    <x v="8"/>
    <s v="2024-08-27"/>
    <n v="12"/>
    <n v="18"/>
    <n v="175827"/>
    <x v="14"/>
    <x v="1"/>
    <n v="86"/>
    <n v="429"/>
    <n v="217"/>
    <n v="212"/>
    <n v="49.650349650349654"/>
    <n v="50.24975024975025"/>
    <n v="201"/>
    <n v="228"/>
    <n v="47.5"/>
    <n v="52.5"/>
    <n v="15.097902097902098"/>
    <n v="71"/>
    <n v="72"/>
    <n v="3.6394366197183112"/>
    <n v="3.4555555555555548"/>
  </r>
  <r>
    <s v="EMP0573"/>
    <s v="Michael"/>
    <s v="Jones"/>
    <x v="1"/>
    <n v="25"/>
    <x v="6"/>
    <x v="8"/>
    <s v="2022-04-03"/>
    <n v="9"/>
    <n v="11"/>
    <n v="69426"/>
    <x v="13"/>
    <x v="0"/>
    <n v="56"/>
    <n v="428"/>
    <n v="217"/>
    <n v="211"/>
    <n v="49.650349650349654"/>
    <n v="50.24975024975025"/>
    <n v="201"/>
    <n v="227"/>
    <n v="47.5"/>
    <n v="52.5"/>
    <n v="15.091121495327103"/>
    <n v="71"/>
    <n v="72"/>
    <n v="3.6394366197183112"/>
    <n v="3.4555555555555548"/>
  </r>
  <r>
    <s v="EMP0574"/>
    <s v="Daniel"/>
    <s v="Ahmed"/>
    <x v="1"/>
    <n v="36"/>
    <x v="0"/>
    <x v="6"/>
    <s v="2014-07-02"/>
    <n v="9"/>
    <n v="19"/>
    <n v="57882"/>
    <x v="14"/>
    <x v="0"/>
    <n v="53"/>
    <n v="427"/>
    <n v="217"/>
    <n v="210"/>
    <n v="49.650349650349654"/>
    <n v="50.24975024975025"/>
    <n v="200"/>
    <n v="227"/>
    <n v="47.5"/>
    <n v="52.5"/>
    <n v="15.100702576112413"/>
    <n v="71"/>
    <n v="72"/>
    <n v="3.6394366197183112"/>
    <n v="3.4555555555555548"/>
  </r>
  <r>
    <s v="EMP0575"/>
    <s v="Peter"/>
    <s v="Smith"/>
    <x v="0"/>
    <n v="31"/>
    <x v="2"/>
    <x v="9"/>
    <s v="2013-08-09"/>
    <n v="12"/>
    <n v="21"/>
    <n v="221097"/>
    <x v="19"/>
    <x v="0"/>
    <n v="42"/>
    <n v="426"/>
    <n v="217"/>
    <n v="209"/>
    <n v="49.650349650349654"/>
    <n v="50.24975024975025"/>
    <n v="199"/>
    <n v="227"/>
    <n v="47.5"/>
    <n v="52.5"/>
    <n v="15.091549295774648"/>
    <n v="71"/>
    <n v="72"/>
    <n v="3.6394366197183112"/>
    <n v="3.4555555555555548"/>
  </r>
  <r>
    <s v="EMP0576"/>
    <s v="James"/>
    <s v="Johnson"/>
    <x v="0"/>
    <n v="28"/>
    <x v="5"/>
    <x v="8"/>
    <s v="2023-08-21"/>
    <n v="15"/>
    <n v="21"/>
    <n v="492654"/>
    <x v="9"/>
    <x v="0"/>
    <n v="68"/>
    <n v="425"/>
    <n v="216"/>
    <n v="209"/>
    <n v="49.650349650349654"/>
    <n v="50.24975024975025"/>
    <n v="198"/>
    <n v="227"/>
    <n v="47.5"/>
    <n v="52.5"/>
    <n v="15.07764705882353"/>
    <n v="71"/>
    <n v="72"/>
    <n v="3.6394366197183112"/>
    <n v="3.4555555555555548"/>
  </r>
  <r>
    <s v="EMP0577"/>
    <s v="James"/>
    <s v="Musa"/>
    <x v="1"/>
    <n v="39"/>
    <x v="2"/>
    <x v="1"/>
    <s v="2021-10-23"/>
    <n v="15"/>
    <n v="18"/>
    <n v="51744"/>
    <x v="22"/>
    <x v="0"/>
    <n v="32"/>
    <n v="424"/>
    <n v="215"/>
    <n v="209"/>
    <n v="49.650349650349654"/>
    <n v="50.24975024975025"/>
    <n v="197"/>
    <n v="227"/>
    <n v="47.5"/>
    <n v="52.5"/>
    <n v="15.063679245283019"/>
    <n v="70"/>
    <n v="72"/>
    <n v="3.6328571428571435"/>
    <n v="3.4555555555555548"/>
  </r>
  <r>
    <s v="EMP0578"/>
    <s v="John"/>
    <s v="Musa"/>
    <x v="1"/>
    <n v="27"/>
    <x v="4"/>
    <x v="7"/>
    <s v="2019-04-19"/>
    <n v="0"/>
    <n v="5"/>
    <n v="423968"/>
    <x v="6"/>
    <x v="0"/>
    <n v="46"/>
    <n v="423"/>
    <n v="215"/>
    <n v="208"/>
    <n v="49.650349650349654"/>
    <n v="50.24975024975025"/>
    <n v="196"/>
    <n v="227"/>
    <n v="47.5"/>
    <n v="52.5"/>
    <n v="15.056737588652481"/>
    <n v="70"/>
    <n v="72"/>
    <n v="3.6328571428571435"/>
    <n v="3.4555555555555548"/>
  </r>
  <r>
    <s v="EMP0579"/>
    <s v="Daniel"/>
    <s v="Jones"/>
    <x v="1"/>
    <n v="55"/>
    <x v="3"/>
    <x v="5"/>
    <s v="2022-03-29"/>
    <n v="14"/>
    <n v="17"/>
    <n v="195989"/>
    <x v="27"/>
    <x v="0"/>
    <n v="58"/>
    <n v="422"/>
    <n v="215"/>
    <n v="207"/>
    <n v="49.650349650349654"/>
    <n v="50.24975024975025"/>
    <n v="195"/>
    <n v="227"/>
    <n v="47.5"/>
    <n v="52.5"/>
    <n v="15.080568720379146"/>
    <n v="70"/>
    <n v="72"/>
    <n v="3.6328571428571435"/>
    <n v="3.4555555555555548"/>
  </r>
  <r>
    <s v="EMP0580"/>
    <s v="David"/>
    <s v="Jones"/>
    <x v="0"/>
    <n v="59"/>
    <x v="6"/>
    <x v="0"/>
    <s v="2019-09-21"/>
    <n v="14"/>
    <n v="23"/>
    <n v="88504"/>
    <x v="17"/>
    <x v="1"/>
    <n v="86"/>
    <n v="421"/>
    <n v="215"/>
    <n v="206"/>
    <n v="49.650349650349654"/>
    <n v="50.24975024975025"/>
    <n v="194"/>
    <n v="227"/>
    <n v="47.5"/>
    <n v="52.5"/>
    <n v="15.076009501187649"/>
    <n v="70"/>
    <n v="72"/>
    <n v="3.6328571428571435"/>
    <n v="3.4555555555555548"/>
  </r>
  <r>
    <s v="EMP0581"/>
    <s v="James"/>
    <s v="Musa"/>
    <x v="0"/>
    <n v="37"/>
    <x v="2"/>
    <x v="3"/>
    <s v="2012-06-27"/>
    <n v="5"/>
    <n v="6"/>
    <n v="396359"/>
    <x v="18"/>
    <x v="1"/>
    <n v="92"/>
    <n v="420"/>
    <n v="214"/>
    <n v="206"/>
    <n v="49.650349650349654"/>
    <n v="50.24975024975025"/>
    <n v="194"/>
    <n v="226"/>
    <n v="47.5"/>
    <n v="52.5"/>
    <n v="15.057142857142857"/>
    <n v="70"/>
    <n v="72"/>
    <n v="3.6328571428571435"/>
    <n v="3.4555555555555548"/>
  </r>
  <r>
    <s v="EMP0582"/>
    <s v="Amina"/>
    <s v="Johnson"/>
    <x v="1"/>
    <n v="44"/>
    <x v="5"/>
    <x v="8"/>
    <s v="2022-12-12"/>
    <n v="8"/>
    <n v="11"/>
    <n v="489298"/>
    <x v="27"/>
    <x v="0"/>
    <n v="40"/>
    <n v="419"/>
    <n v="213"/>
    <n v="206"/>
    <n v="49.650349650349654"/>
    <n v="50.24975024975025"/>
    <n v="194"/>
    <n v="225"/>
    <n v="47.5"/>
    <n v="52.5"/>
    <n v="15.078758949880669"/>
    <n v="70"/>
    <n v="72"/>
    <n v="3.6328571428571435"/>
    <n v="3.4555555555555548"/>
  </r>
  <r>
    <s v="EMP0583"/>
    <s v="Michael"/>
    <s v="Okoro"/>
    <x v="1"/>
    <n v="56"/>
    <x v="1"/>
    <x v="0"/>
    <s v="2019-06-15"/>
    <n v="3"/>
    <n v="8"/>
    <n v="395432"/>
    <x v="12"/>
    <x v="1"/>
    <n v="91"/>
    <n v="418"/>
    <n v="213"/>
    <n v="205"/>
    <n v="49.650349650349654"/>
    <n v="50.24975024975025"/>
    <n v="193"/>
    <n v="225"/>
    <n v="47.5"/>
    <n v="52.5"/>
    <n v="15.088516746411484"/>
    <n v="69"/>
    <n v="72"/>
    <n v="3.6434782608695655"/>
    <n v="3.4555555555555548"/>
  </r>
  <r>
    <s v="EMP0584"/>
    <s v="Sarah"/>
    <s v="Smith"/>
    <x v="0"/>
    <n v="38"/>
    <x v="0"/>
    <x v="0"/>
    <s v="2013-04-01"/>
    <n v="19"/>
    <n v="19"/>
    <n v="53422"/>
    <x v="28"/>
    <x v="0"/>
    <n v="54"/>
    <n v="417"/>
    <n v="213"/>
    <n v="204"/>
    <n v="49.650349650349654"/>
    <n v="50.24975024975025"/>
    <n v="193"/>
    <n v="224"/>
    <n v="47.5"/>
    <n v="52.5"/>
    <n v="15.105515587529975"/>
    <n v="69"/>
    <n v="71"/>
    <n v="3.6434782608695655"/>
    <n v="3.4563380281690139"/>
  </r>
  <r>
    <s v="EMP0585"/>
    <s v="Mary"/>
    <s v="Okoro"/>
    <x v="0"/>
    <n v="33"/>
    <x v="5"/>
    <x v="2"/>
    <s v="2015-06-06"/>
    <n v="6"/>
    <n v="7"/>
    <n v="299489"/>
    <x v="10"/>
    <x v="0"/>
    <n v="60"/>
    <n v="416"/>
    <n v="212"/>
    <n v="204"/>
    <n v="49.650349650349654"/>
    <n v="50.24975024975025"/>
    <n v="192"/>
    <n v="224"/>
    <n v="47.5"/>
    <n v="52.5"/>
    <n v="15.096153846153847"/>
    <n v="69"/>
    <n v="71"/>
    <n v="3.6434782608695655"/>
    <n v="3.4563380281690139"/>
  </r>
  <r>
    <s v="EMP0586"/>
    <s v="Hauwa"/>
    <s v="Musa"/>
    <x v="1"/>
    <n v="46"/>
    <x v="3"/>
    <x v="1"/>
    <s v="2024-05-27"/>
    <n v="1"/>
    <n v="2"/>
    <n v="260301"/>
    <x v="11"/>
    <x v="0"/>
    <n v="67"/>
    <n v="415"/>
    <n v="211"/>
    <n v="204"/>
    <n v="49.650349650349654"/>
    <n v="50.24975024975025"/>
    <n v="191"/>
    <n v="224"/>
    <n v="47.5"/>
    <n v="52.5"/>
    <n v="15.11566265060241"/>
    <n v="68"/>
    <n v="71"/>
    <n v="3.6514705882352949"/>
    <n v="3.4563380281690139"/>
  </r>
  <r>
    <s v="EMP0587"/>
    <s v="Fatima"/>
    <s v="Brown"/>
    <x v="1"/>
    <n v="28"/>
    <x v="2"/>
    <x v="4"/>
    <s v="2013-09-16"/>
    <n v="19"/>
    <n v="24"/>
    <n v="244632"/>
    <x v="22"/>
    <x v="1"/>
    <n v="84"/>
    <n v="414"/>
    <n v="211"/>
    <n v="203"/>
    <n v="49.650349650349654"/>
    <n v="50.24975024975025"/>
    <n v="190"/>
    <n v="224"/>
    <n v="47.5"/>
    <n v="52.5"/>
    <n v="15.147342995169081"/>
    <n v="68"/>
    <n v="71"/>
    <n v="3.6514705882352949"/>
    <n v="3.4563380281690139"/>
  </r>
  <r>
    <s v="EMP0588"/>
    <s v="Fatima"/>
    <s v="Johnson"/>
    <x v="0"/>
    <n v="45"/>
    <x v="1"/>
    <x v="4"/>
    <s v="2021-11-24"/>
    <n v="18"/>
    <n v="19"/>
    <n v="385042"/>
    <x v="23"/>
    <x v="0"/>
    <n v="32"/>
    <n v="413"/>
    <n v="211"/>
    <n v="202"/>
    <n v="49.650349650349654"/>
    <n v="50.24975024975025"/>
    <n v="190"/>
    <n v="223"/>
    <n v="47.5"/>
    <n v="52.5"/>
    <n v="15.12590799031477"/>
    <n v="68"/>
    <n v="71"/>
    <n v="3.6514705882352949"/>
    <n v="3.4563380281690139"/>
  </r>
  <r>
    <s v="EMP0589"/>
    <s v="Hauwa"/>
    <s v="Williams"/>
    <x v="0"/>
    <n v="49"/>
    <x v="3"/>
    <x v="2"/>
    <s v="2018-12-04"/>
    <n v="9"/>
    <n v="19"/>
    <n v="343931"/>
    <x v="26"/>
    <x v="1"/>
    <n v="99"/>
    <n v="412"/>
    <n v="210"/>
    <n v="202"/>
    <n v="49.650349650349654"/>
    <n v="50.24975024975025"/>
    <n v="189"/>
    <n v="223"/>
    <n v="47.5"/>
    <n v="52.5"/>
    <n v="15.116504854368932"/>
    <n v="68"/>
    <n v="70"/>
    <n v="3.6514705882352949"/>
    <n v="3.4371428571428568"/>
  </r>
  <r>
    <s v="EMP0590"/>
    <s v="James"/>
    <s v="Okoro"/>
    <x v="1"/>
    <n v="25"/>
    <x v="1"/>
    <x v="6"/>
    <s v="2018-02-18"/>
    <n v="19"/>
    <n v="26"/>
    <n v="451305"/>
    <x v="2"/>
    <x v="0"/>
    <n v="51"/>
    <n v="411"/>
    <n v="209"/>
    <n v="202"/>
    <n v="49.650349650349654"/>
    <n v="50.24975024975025"/>
    <n v="189"/>
    <n v="222"/>
    <n v="47.5"/>
    <n v="52.5"/>
    <n v="15.107055961070559"/>
    <n v="68"/>
    <n v="70"/>
    <n v="3.6514705882352949"/>
    <n v="3.4371428571428568"/>
  </r>
  <r>
    <s v="EMP0591"/>
    <s v="James"/>
    <s v="Ahmed"/>
    <x v="0"/>
    <n v="36"/>
    <x v="5"/>
    <x v="7"/>
    <s v="2017-05-24"/>
    <n v="11"/>
    <n v="12"/>
    <n v="104352"/>
    <x v="14"/>
    <x v="1"/>
    <n v="87"/>
    <n v="410"/>
    <n v="209"/>
    <n v="201"/>
    <n v="49.650349650349654"/>
    <n v="50.24975024975025"/>
    <n v="188"/>
    <n v="222"/>
    <n v="47.5"/>
    <n v="52.5"/>
    <n v="15.080487804878048"/>
    <n v="68"/>
    <n v="69"/>
    <n v="3.6514705882352949"/>
    <n v="3.4333333333333331"/>
  </r>
  <r>
    <s v="EMP0592"/>
    <s v="Mary"/>
    <s v="Musa"/>
    <x v="0"/>
    <n v="29"/>
    <x v="4"/>
    <x v="4"/>
    <s v="2019-11-23"/>
    <n v="6"/>
    <n v="6"/>
    <n v="231773"/>
    <x v="7"/>
    <x v="1"/>
    <n v="89"/>
    <n v="409"/>
    <n v="208"/>
    <n v="201"/>
    <n v="49.650349650349654"/>
    <n v="50.24975024975025"/>
    <n v="188"/>
    <n v="221"/>
    <n v="47.5"/>
    <n v="52.5"/>
    <n v="15.0880195599022"/>
    <n v="67"/>
    <n v="69"/>
    <n v="3.6641791044776126"/>
    <n v="3.4333333333333331"/>
  </r>
  <r>
    <s v="EMP0593"/>
    <s v="Grace"/>
    <s v="Brown"/>
    <x v="0"/>
    <n v="30"/>
    <x v="0"/>
    <x v="0"/>
    <s v="2023-06-15"/>
    <n v="4"/>
    <n v="11"/>
    <n v="310400"/>
    <x v="10"/>
    <x v="0"/>
    <n v="66"/>
    <n v="408"/>
    <n v="207"/>
    <n v="201"/>
    <n v="49.650349650349654"/>
    <n v="50.24975024975025"/>
    <n v="188"/>
    <n v="220"/>
    <n v="47.5"/>
    <n v="52.5"/>
    <n v="15.110294117647058"/>
    <n v="67"/>
    <n v="69"/>
    <n v="3.6641791044776126"/>
    <n v="3.4333333333333331"/>
  </r>
  <r>
    <s v="EMP0594"/>
    <s v="Daniel"/>
    <s v="Ibrahim"/>
    <x v="1"/>
    <n v="49"/>
    <x v="2"/>
    <x v="0"/>
    <s v="2020-10-11"/>
    <n v="16"/>
    <n v="23"/>
    <n v="427991"/>
    <x v="22"/>
    <x v="1"/>
    <n v="100"/>
    <n v="407"/>
    <n v="206"/>
    <n v="201"/>
    <n v="49.650349650349654"/>
    <n v="50.24975024975025"/>
    <n v="187"/>
    <n v="220"/>
    <n v="47.5"/>
    <n v="52.5"/>
    <n v="15.120393120393121"/>
    <n v="67"/>
    <n v="69"/>
    <n v="3.6641791044776126"/>
    <n v="3.4333333333333331"/>
  </r>
  <r>
    <s v="EMP0595"/>
    <s v="Mary"/>
    <s v="Ahmed"/>
    <x v="1"/>
    <n v="56"/>
    <x v="4"/>
    <x v="6"/>
    <s v="2019-02-20"/>
    <n v="7"/>
    <n v="7"/>
    <n v="154190"/>
    <x v="6"/>
    <x v="0"/>
    <n v="44"/>
    <n v="406"/>
    <n v="206"/>
    <n v="200"/>
    <n v="49.650349650349654"/>
    <n v="50.24975024975025"/>
    <n v="187"/>
    <n v="219"/>
    <n v="47.5"/>
    <n v="52.5"/>
    <n v="15.100985221674877"/>
    <n v="67"/>
    <n v="69"/>
    <n v="3.6641791044776126"/>
    <n v="3.4333333333333331"/>
  </r>
  <r>
    <s v="EMP0596"/>
    <s v="Amina"/>
    <s v="Musa"/>
    <x v="0"/>
    <n v="60"/>
    <x v="5"/>
    <x v="6"/>
    <s v="2022-05-04"/>
    <n v="4"/>
    <n v="12"/>
    <n v="157925"/>
    <x v="25"/>
    <x v="1"/>
    <n v="93"/>
    <n v="405"/>
    <n v="206"/>
    <n v="199"/>
    <n v="49.650349650349654"/>
    <n v="50.24975024975025"/>
    <n v="186"/>
    <n v="219"/>
    <n v="47.5"/>
    <n v="52.5"/>
    <n v="15.120987654320988"/>
    <n v="67"/>
    <n v="69"/>
    <n v="3.6641791044776126"/>
    <n v="3.4333333333333331"/>
  </r>
  <r>
    <s v="EMP0597"/>
    <s v="John"/>
    <s v="Jones"/>
    <x v="1"/>
    <n v="48"/>
    <x v="0"/>
    <x v="4"/>
    <s v="2017-08-26"/>
    <n v="17"/>
    <n v="27"/>
    <n v="343580"/>
    <x v="7"/>
    <x v="0"/>
    <n v="61"/>
    <n v="404"/>
    <n v="205"/>
    <n v="199"/>
    <n v="49.650349650349654"/>
    <n v="50.24975024975025"/>
    <n v="186"/>
    <n v="218"/>
    <n v="47.5"/>
    <n v="52.5"/>
    <n v="15.128712871287128"/>
    <n v="66"/>
    <n v="69"/>
    <n v="3.6590909090909096"/>
    <n v="3.4333333333333331"/>
  </r>
  <r>
    <s v="EMP0598"/>
    <s v="John"/>
    <s v="Ibrahim"/>
    <x v="1"/>
    <n v="28"/>
    <x v="5"/>
    <x v="7"/>
    <s v="2015-10-16"/>
    <n v="6"/>
    <n v="15"/>
    <n v="118719"/>
    <x v="8"/>
    <x v="0"/>
    <n v="70"/>
    <n v="403"/>
    <n v="205"/>
    <n v="198"/>
    <n v="49.650349650349654"/>
    <n v="50.24975024975025"/>
    <n v="185"/>
    <n v="218"/>
    <n v="47.5"/>
    <n v="52.5"/>
    <n v="15.099255583126551"/>
    <n v="66"/>
    <n v="69"/>
    <n v="3.6590909090909096"/>
    <n v="3.4333333333333331"/>
  </r>
  <r>
    <s v="EMP0599"/>
    <s v="Grace"/>
    <s v="Ahmed"/>
    <x v="1"/>
    <n v="34"/>
    <x v="3"/>
    <x v="8"/>
    <s v="2023-08-23"/>
    <n v="0"/>
    <n v="4"/>
    <n v="456622"/>
    <x v="30"/>
    <x v="0"/>
    <n v="46"/>
    <n v="402"/>
    <n v="205"/>
    <n v="197"/>
    <n v="49.650349650349654"/>
    <n v="50.24975024975025"/>
    <n v="184"/>
    <n v="218"/>
    <n v="47.5"/>
    <n v="52.5"/>
    <n v="15.099502487562189"/>
    <n v="65"/>
    <n v="69"/>
    <n v="3.6476923076923087"/>
    <n v="3.4333333333333331"/>
  </r>
  <r>
    <s v="EMP0600"/>
    <s v="Daniel"/>
    <s v="Johnson"/>
    <x v="1"/>
    <n v="48"/>
    <x v="4"/>
    <x v="9"/>
    <s v="2012-07-23"/>
    <n v="14"/>
    <n v="21"/>
    <n v="468356"/>
    <x v="6"/>
    <x v="1"/>
    <n v="72"/>
    <n v="401"/>
    <n v="205"/>
    <n v="196"/>
    <n v="49.650349650349654"/>
    <n v="50.24975024975025"/>
    <n v="183"/>
    <n v="218"/>
    <n v="47.5"/>
    <n v="52.5"/>
    <n v="15.12718204488778"/>
    <n v="65"/>
    <n v="69"/>
    <n v="3.6476923076923087"/>
    <n v="3.4333333333333331"/>
  </r>
  <r>
    <s v="EMP0601"/>
    <s v="Mary"/>
    <s v="Garba"/>
    <x v="0"/>
    <n v="32"/>
    <x v="0"/>
    <x v="0"/>
    <s v="2013-06-22"/>
    <n v="4"/>
    <n v="14"/>
    <n v="332652"/>
    <x v="24"/>
    <x v="0"/>
    <n v="44"/>
    <n v="400"/>
    <n v="205"/>
    <n v="195"/>
    <n v="49.650349650349654"/>
    <n v="50.24975024975025"/>
    <n v="183"/>
    <n v="217"/>
    <n v="47.5"/>
    <n v="52.5"/>
    <n v="15.112500000000001"/>
    <n v="65"/>
    <n v="69"/>
    <n v="3.6476923076923087"/>
    <n v="3.4333333333333331"/>
  </r>
  <r>
    <s v="EMP0602"/>
    <s v="Sarah"/>
    <s v="Brown"/>
    <x v="1"/>
    <n v="42"/>
    <x v="6"/>
    <x v="6"/>
    <s v="2017-05-05"/>
    <n v="1"/>
    <n v="6"/>
    <n v="455476"/>
    <x v="11"/>
    <x v="1"/>
    <n v="78"/>
    <n v="399"/>
    <n v="204"/>
    <n v="195"/>
    <n v="49.650349650349654"/>
    <n v="50.24975024975025"/>
    <n v="182"/>
    <n v="217"/>
    <n v="47.5"/>
    <n v="52.5"/>
    <n v="15.115288220551378"/>
    <n v="65"/>
    <n v="69"/>
    <n v="3.6476923076923087"/>
    <n v="3.4333333333333331"/>
  </r>
  <r>
    <s v="EMP0603"/>
    <s v="Sarah"/>
    <s v="Musa"/>
    <x v="0"/>
    <n v="34"/>
    <x v="5"/>
    <x v="1"/>
    <s v="2019-11-02"/>
    <n v="20"/>
    <n v="27"/>
    <n v="54017"/>
    <x v="16"/>
    <x v="0"/>
    <n v="33"/>
    <n v="398"/>
    <n v="204"/>
    <n v="194"/>
    <n v="49.650349650349654"/>
    <n v="50.24975024975025"/>
    <n v="182"/>
    <n v="216"/>
    <n v="47.5"/>
    <n v="52.5"/>
    <n v="15.138190954773869"/>
    <n v="65"/>
    <n v="69"/>
    <n v="3.6476923076923087"/>
    <n v="3.4333333333333331"/>
  </r>
  <r>
    <s v="EMP0604"/>
    <s v="Sarah"/>
    <s v="Garba"/>
    <x v="0"/>
    <n v="31"/>
    <x v="0"/>
    <x v="0"/>
    <s v="2023-04-15"/>
    <n v="12"/>
    <n v="15"/>
    <n v="491206"/>
    <x v="11"/>
    <x v="1"/>
    <n v="88"/>
    <n v="397"/>
    <n v="203"/>
    <n v="194"/>
    <n v="49.650349650349654"/>
    <n v="50.24975024975025"/>
    <n v="181"/>
    <n v="216"/>
    <n v="47.5"/>
    <n v="52.5"/>
    <n v="15.108312342569269"/>
    <n v="64"/>
    <n v="69"/>
    <n v="3.6265625000000008"/>
    <n v="3.4333333333333331"/>
  </r>
  <r>
    <s v="EMP0605"/>
    <s v="Hauwa"/>
    <s v="Ibrahim"/>
    <x v="1"/>
    <n v="48"/>
    <x v="2"/>
    <x v="6"/>
    <s v="2019-11-30"/>
    <n v="19"/>
    <n v="26"/>
    <n v="186180"/>
    <x v="0"/>
    <x v="0"/>
    <n v="44"/>
    <n v="396"/>
    <n v="202"/>
    <n v="194"/>
    <n v="49.650349650349654"/>
    <n v="50.24975024975025"/>
    <n v="181"/>
    <n v="215"/>
    <n v="47.5"/>
    <n v="52.5"/>
    <n v="15.108585858585858"/>
    <n v="64"/>
    <n v="69"/>
    <n v="3.6265625000000008"/>
    <n v="3.4333333333333331"/>
  </r>
  <r>
    <s v="EMP0606"/>
    <s v="Sarah"/>
    <s v="Musa"/>
    <x v="0"/>
    <n v="44"/>
    <x v="1"/>
    <x v="6"/>
    <s v="2019-11-20"/>
    <n v="10"/>
    <n v="14"/>
    <n v="235788"/>
    <x v="26"/>
    <x v="0"/>
    <n v="58"/>
    <n v="395"/>
    <n v="202"/>
    <n v="193"/>
    <n v="49.650349650349654"/>
    <n v="50.24975024975025"/>
    <n v="180"/>
    <n v="215"/>
    <n v="47.5"/>
    <n v="52.5"/>
    <n v="15.081012658227849"/>
    <n v="64"/>
    <n v="69"/>
    <n v="3.6265625000000008"/>
    <n v="3.4333333333333331"/>
  </r>
  <r>
    <s v="EMP0607"/>
    <s v="John"/>
    <s v="Okoro"/>
    <x v="0"/>
    <n v="30"/>
    <x v="2"/>
    <x v="9"/>
    <s v="2019-04-22"/>
    <n v="13"/>
    <n v="16"/>
    <n v="451992"/>
    <x v="3"/>
    <x v="1"/>
    <n v="74"/>
    <n v="394"/>
    <n v="201"/>
    <n v="193"/>
    <n v="49.650349650349654"/>
    <n v="50.24975024975025"/>
    <n v="179"/>
    <n v="215"/>
    <n v="47.5"/>
    <n v="52.5"/>
    <n v="15.083756345177665"/>
    <n v="64"/>
    <n v="68"/>
    <n v="3.6265625000000008"/>
    <n v="3.4220588235294112"/>
  </r>
  <r>
    <s v="EMP0608"/>
    <s v="Amina"/>
    <s v="Smith"/>
    <x v="0"/>
    <n v="50"/>
    <x v="2"/>
    <x v="0"/>
    <s v="2013-07-14"/>
    <n v="20"/>
    <n v="26"/>
    <n v="124701"/>
    <x v="25"/>
    <x v="0"/>
    <n v="69"/>
    <n v="393"/>
    <n v="200"/>
    <n v="193"/>
    <n v="49.650349650349654"/>
    <n v="50.24975024975025"/>
    <n v="179"/>
    <n v="214"/>
    <n v="47.5"/>
    <n v="52.5"/>
    <n v="15.081424936386769"/>
    <n v="64"/>
    <n v="68"/>
    <n v="3.6265625000000008"/>
    <n v="3.4220588235294112"/>
  </r>
  <r>
    <s v="EMP0609"/>
    <s v="Michael"/>
    <s v="Garba"/>
    <x v="1"/>
    <n v="43"/>
    <x v="5"/>
    <x v="1"/>
    <s v="2019-10-03"/>
    <n v="10"/>
    <n v="19"/>
    <n v="200287"/>
    <x v="20"/>
    <x v="0"/>
    <n v="40"/>
    <n v="392"/>
    <n v="199"/>
    <n v="193"/>
    <n v="49.650349650349654"/>
    <n v="50.24975024975025"/>
    <n v="178"/>
    <n v="214"/>
    <n v="47.5"/>
    <n v="52.5"/>
    <n v="15.053571428571429"/>
    <n v="64"/>
    <n v="68"/>
    <n v="3.6265625000000008"/>
    <n v="3.4220588235294112"/>
  </r>
  <r>
    <s v="EMP0610"/>
    <s v="Peter"/>
    <s v="Okoro"/>
    <x v="1"/>
    <n v="46"/>
    <x v="3"/>
    <x v="6"/>
    <s v="2018-04-10"/>
    <n v="12"/>
    <n v="18"/>
    <n v="106416"/>
    <x v="23"/>
    <x v="1"/>
    <n v="99"/>
    <n v="391"/>
    <n v="199"/>
    <n v="192"/>
    <n v="49.650349650349654"/>
    <n v="50.24975024975025"/>
    <n v="177"/>
    <n v="214"/>
    <n v="47.5"/>
    <n v="52.5"/>
    <n v="15.043478260869565"/>
    <n v="63"/>
    <n v="68"/>
    <n v="3.611111111111112"/>
    <n v="3.4220588235294112"/>
  </r>
  <r>
    <s v="EMP0611"/>
    <s v="David"/>
    <s v="Ibrahim"/>
    <x v="0"/>
    <n v="41"/>
    <x v="0"/>
    <x v="1"/>
    <s v="2014-09-16"/>
    <n v="16"/>
    <n v="17"/>
    <n v="235318"/>
    <x v="0"/>
    <x v="1"/>
    <n v="85"/>
    <n v="390"/>
    <n v="199"/>
    <n v="191"/>
    <n v="49.650349650349654"/>
    <n v="50.24975024975025"/>
    <n v="177"/>
    <n v="213"/>
    <n v="47.5"/>
    <n v="52.5"/>
    <n v="15.035897435897436"/>
    <n v="63"/>
    <n v="68"/>
    <n v="3.611111111111112"/>
    <n v="3.4220588235294112"/>
  </r>
  <r>
    <s v="EMP0612"/>
    <s v="Fatima"/>
    <s v="Garba"/>
    <x v="1"/>
    <n v="41"/>
    <x v="6"/>
    <x v="0"/>
    <s v="2019-07-10"/>
    <n v="9"/>
    <n v="19"/>
    <n v="301095"/>
    <x v="10"/>
    <x v="0"/>
    <n v="67"/>
    <n v="389"/>
    <n v="198"/>
    <n v="191"/>
    <n v="49.650349650349654"/>
    <n v="50.24975024975025"/>
    <n v="177"/>
    <n v="212"/>
    <n v="47.5"/>
    <n v="52.5"/>
    <n v="15.030848329048844"/>
    <n v="63"/>
    <n v="68"/>
    <n v="3.611111111111112"/>
    <n v="3.4220588235294112"/>
  </r>
  <r>
    <s v="EMP0613"/>
    <s v="Daniel"/>
    <s v="Smith"/>
    <x v="0"/>
    <n v="47"/>
    <x v="5"/>
    <x v="9"/>
    <s v="2021-03-18"/>
    <n v="11"/>
    <n v="12"/>
    <n v="179347"/>
    <x v="10"/>
    <x v="1"/>
    <n v="81"/>
    <n v="388"/>
    <n v="198"/>
    <n v="190"/>
    <n v="49.650349650349654"/>
    <n v="50.24975024975025"/>
    <n v="176"/>
    <n v="212"/>
    <n v="47.5"/>
    <n v="52.5"/>
    <n v="15.020618556701031"/>
    <n v="63"/>
    <n v="68"/>
    <n v="3.611111111111112"/>
    <n v="3.4220588235294112"/>
  </r>
  <r>
    <s v="EMP0614"/>
    <s v="Grace"/>
    <s v="Okoro"/>
    <x v="0"/>
    <n v="27"/>
    <x v="1"/>
    <x v="9"/>
    <s v="2020-04-25"/>
    <n v="19"/>
    <n v="26"/>
    <n v="210017"/>
    <x v="0"/>
    <x v="1"/>
    <n v="76"/>
    <n v="387"/>
    <n v="197"/>
    <n v="190"/>
    <n v="49.650349650349654"/>
    <n v="50.24975024975025"/>
    <n v="176"/>
    <n v="211"/>
    <n v="47.5"/>
    <n v="52.5"/>
    <n v="15.02842377260982"/>
    <n v="62"/>
    <n v="68"/>
    <n v="3.6193548387096786"/>
    <n v="3.4220588235294112"/>
  </r>
  <r>
    <s v="EMP0615"/>
    <s v="Fatima"/>
    <s v="Okoro"/>
    <x v="0"/>
    <n v="60"/>
    <x v="1"/>
    <x v="8"/>
    <s v="2012-03-23"/>
    <n v="19"/>
    <n v="27"/>
    <n v="258895"/>
    <x v="11"/>
    <x v="1"/>
    <n v="86"/>
    <n v="386"/>
    <n v="196"/>
    <n v="190"/>
    <n v="49.650349650349654"/>
    <n v="50.24975024975025"/>
    <n v="176"/>
    <n v="210"/>
    <n v="47.5"/>
    <n v="52.5"/>
    <n v="15"/>
    <n v="62"/>
    <n v="67"/>
    <n v="3.6193548387096786"/>
    <n v="3.4328358208955221"/>
  </r>
  <r>
    <s v="EMP0616"/>
    <s v="Sarah"/>
    <s v="Ibrahim"/>
    <x v="1"/>
    <n v="46"/>
    <x v="3"/>
    <x v="7"/>
    <s v="2017-09-01"/>
    <n v="17"/>
    <n v="18"/>
    <n v="329694"/>
    <x v="28"/>
    <x v="1"/>
    <n v="77"/>
    <n v="385"/>
    <n v="195"/>
    <n v="190"/>
    <n v="49.650349650349654"/>
    <n v="50.24975024975025"/>
    <n v="176"/>
    <n v="209"/>
    <n v="47.5"/>
    <n v="52.5"/>
    <n v="14.968831168831169"/>
    <n v="62"/>
    <n v="66"/>
    <n v="3.6193548387096786"/>
    <n v="3.4136363636363636"/>
  </r>
  <r>
    <s v="EMP0617"/>
    <s v="John"/>
    <s v="Musa"/>
    <x v="1"/>
    <n v="36"/>
    <x v="1"/>
    <x v="5"/>
    <s v="2014-12-03"/>
    <n v="4"/>
    <n v="12"/>
    <n v="433092"/>
    <x v="0"/>
    <x v="1"/>
    <n v="97"/>
    <n v="384"/>
    <n v="195"/>
    <n v="189"/>
    <n v="49.650349650349654"/>
    <n v="50.24975024975025"/>
    <n v="176"/>
    <n v="208"/>
    <n v="47.5"/>
    <n v="52.5"/>
    <n v="14.9609375"/>
    <n v="62"/>
    <n v="66"/>
    <n v="3.6193548387096786"/>
    <n v="3.4136363636363636"/>
  </r>
  <r>
    <s v="EMP0618"/>
    <s v="James"/>
    <s v="Jones"/>
    <x v="0"/>
    <n v="32"/>
    <x v="6"/>
    <x v="1"/>
    <s v="2012-07-12"/>
    <n v="5"/>
    <n v="8"/>
    <n v="461363"/>
    <x v="8"/>
    <x v="1"/>
    <n v="85"/>
    <n v="383"/>
    <n v="195"/>
    <n v="188"/>
    <n v="49.650349650349654"/>
    <n v="50.24975024975025"/>
    <n v="176"/>
    <n v="207"/>
    <n v="47.5"/>
    <n v="52.5"/>
    <n v="14.968668407310705"/>
    <n v="62"/>
    <n v="65"/>
    <n v="3.6193548387096786"/>
    <n v="3.4246153846153842"/>
  </r>
  <r>
    <s v="EMP0619"/>
    <s v="Hauwa"/>
    <s v="Okoro"/>
    <x v="1"/>
    <n v="45"/>
    <x v="1"/>
    <x v="4"/>
    <s v="2023-01-22"/>
    <n v="20"/>
    <n v="22"/>
    <n v="411956"/>
    <x v="0"/>
    <x v="0"/>
    <n v="51"/>
    <n v="382"/>
    <n v="194"/>
    <n v="188"/>
    <n v="49.650349650349654"/>
    <n v="50.24975024975025"/>
    <n v="176"/>
    <n v="206"/>
    <n v="47.5"/>
    <n v="52.5"/>
    <n v="14.986910994764397"/>
    <n v="62"/>
    <n v="65"/>
    <n v="3.6193548387096786"/>
    <n v="3.4246153846153842"/>
  </r>
  <r>
    <s v="EMP0620"/>
    <s v="John"/>
    <s v="Okoro"/>
    <x v="1"/>
    <n v="32"/>
    <x v="5"/>
    <x v="6"/>
    <s v="2015-10-18"/>
    <n v="20"/>
    <n v="29"/>
    <n v="151245"/>
    <x v="13"/>
    <x v="1"/>
    <n v="90"/>
    <n v="381"/>
    <n v="194"/>
    <n v="187"/>
    <n v="49.650349650349654"/>
    <n v="50.24975024975025"/>
    <n v="175"/>
    <n v="206"/>
    <n v="47.5"/>
    <n v="52.5"/>
    <n v="14.968503937007874"/>
    <n v="62"/>
    <n v="64"/>
    <n v="3.6193548387096786"/>
    <n v="3.4359374999999996"/>
  </r>
  <r>
    <s v="EMP0621"/>
    <s v="Daniel"/>
    <s v="Ahmed"/>
    <x v="0"/>
    <n v="35"/>
    <x v="5"/>
    <x v="8"/>
    <s v="2015-04-09"/>
    <n v="18"/>
    <n v="28"/>
    <n v="178441"/>
    <x v="19"/>
    <x v="0"/>
    <n v="38"/>
    <n v="380"/>
    <n v="194"/>
    <n v="186"/>
    <n v="49.650349650349654"/>
    <n v="50.24975024975025"/>
    <n v="175"/>
    <n v="205"/>
    <n v="47.5"/>
    <n v="52.5"/>
    <n v="14.93157894736842"/>
    <n v="61"/>
    <n v="64"/>
    <n v="3.6459016393442631"/>
    <n v="3.4359374999999996"/>
  </r>
  <r>
    <s v="EMP0622"/>
    <s v="Amina"/>
    <s v="Brown"/>
    <x v="1"/>
    <n v="38"/>
    <x v="6"/>
    <x v="7"/>
    <s v="2015-03-04"/>
    <n v="2"/>
    <n v="8"/>
    <n v="182608"/>
    <x v="18"/>
    <x v="1"/>
    <n v="84"/>
    <n v="379"/>
    <n v="193"/>
    <n v="186"/>
    <n v="49.650349650349654"/>
    <n v="50.24975024975025"/>
    <n v="174"/>
    <n v="205"/>
    <n v="47.5"/>
    <n v="52.5"/>
    <n v="14.897097625329815"/>
    <n v="60"/>
    <n v="64"/>
    <n v="3.6683333333333343"/>
    <n v="3.4359374999999996"/>
  </r>
  <r>
    <s v="EMP0623"/>
    <s v="Grace"/>
    <s v="Brown"/>
    <x v="1"/>
    <n v="40"/>
    <x v="1"/>
    <x v="7"/>
    <s v="2016-10-18"/>
    <n v="18"/>
    <n v="21"/>
    <n v="377644"/>
    <x v="16"/>
    <x v="0"/>
    <n v="58"/>
    <n v="378"/>
    <n v="193"/>
    <n v="185"/>
    <n v="49.650349650349654"/>
    <n v="50.24975024975025"/>
    <n v="174"/>
    <n v="204"/>
    <n v="47.5"/>
    <n v="52.5"/>
    <n v="14.915343915343914"/>
    <n v="60"/>
    <n v="64"/>
    <n v="3.6683333333333343"/>
    <n v="3.4359374999999996"/>
  </r>
  <r>
    <s v="EMP0624"/>
    <s v="Amina"/>
    <s v="Brown"/>
    <x v="1"/>
    <n v="31"/>
    <x v="5"/>
    <x v="8"/>
    <s v="2025-06-19"/>
    <n v="11"/>
    <n v="14"/>
    <n v="62133"/>
    <x v="15"/>
    <x v="1"/>
    <n v="88"/>
    <n v="377"/>
    <n v="193"/>
    <n v="184"/>
    <n v="49.650349650349654"/>
    <n v="50.24975024975025"/>
    <n v="173"/>
    <n v="204"/>
    <n v="47.5"/>
    <n v="52.5"/>
    <n v="14.89920424403183"/>
    <n v="60"/>
    <n v="63"/>
    <n v="3.6683333333333343"/>
    <n v="3.4111111111111105"/>
  </r>
  <r>
    <s v="EMP0625"/>
    <s v="Daniel"/>
    <s v="Smith"/>
    <x v="0"/>
    <n v="32"/>
    <x v="2"/>
    <x v="6"/>
    <s v="2013-06-05"/>
    <n v="18"/>
    <n v="18"/>
    <n v="432338"/>
    <x v="12"/>
    <x v="1"/>
    <n v="72"/>
    <n v="376"/>
    <n v="193"/>
    <n v="183"/>
    <n v="49.650349650349654"/>
    <n v="50.24975024975025"/>
    <n v="173"/>
    <n v="203"/>
    <n v="47.5"/>
    <n v="52.5"/>
    <n v="14.901595744680851"/>
    <n v="59"/>
    <n v="63"/>
    <n v="3.6711864406779671"/>
    <n v="3.4111111111111105"/>
  </r>
  <r>
    <s v="EMP0626"/>
    <s v="Sarah"/>
    <s v="Williams"/>
    <x v="0"/>
    <n v="41"/>
    <x v="4"/>
    <x v="0"/>
    <s v="2019-02-27"/>
    <n v="13"/>
    <n v="16"/>
    <n v="353249"/>
    <x v="3"/>
    <x v="0"/>
    <n v="36"/>
    <n v="375"/>
    <n v="192"/>
    <n v="183"/>
    <n v="49.650349650349654"/>
    <n v="50.24975024975025"/>
    <n v="173"/>
    <n v="202"/>
    <n v="47.5"/>
    <n v="52.5"/>
    <n v="14.893333333333333"/>
    <n v="59"/>
    <n v="63"/>
    <n v="3.6711864406779671"/>
    <n v="3.4111111111111105"/>
  </r>
  <r>
    <s v="EMP0627"/>
    <s v="Peter"/>
    <s v="Williams"/>
    <x v="1"/>
    <n v="28"/>
    <x v="6"/>
    <x v="4"/>
    <s v="2017-07-29"/>
    <n v="5"/>
    <n v="10"/>
    <n v="307230"/>
    <x v="9"/>
    <x v="1"/>
    <n v="86"/>
    <n v="374"/>
    <n v="191"/>
    <n v="183"/>
    <n v="49.650349650349654"/>
    <n v="50.24975024975025"/>
    <n v="172"/>
    <n v="202"/>
    <n v="47.5"/>
    <n v="52.5"/>
    <n v="14.890374331550802"/>
    <n v="59"/>
    <n v="63"/>
    <n v="3.6711864406779671"/>
    <n v="3.4111111111111105"/>
  </r>
  <r>
    <s v="EMP0628"/>
    <s v="Amina"/>
    <s v="Smith"/>
    <x v="1"/>
    <n v="51"/>
    <x v="6"/>
    <x v="7"/>
    <s v="2020-05-01"/>
    <n v="8"/>
    <n v="8"/>
    <n v="90301"/>
    <x v="19"/>
    <x v="0"/>
    <n v="51"/>
    <n v="373"/>
    <n v="191"/>
    <n v="182"/>
    <n v="49.650349650349654"/>
    <n v="50.24975024975025"/>
    <n v="172"/>
    <n v="201"/>
    <n v="47.5"/>
    <n v="52.5"/>
    <n v="14.90348525469169"/>
    <n v="59"/>
    <n v="63"/>
    <n v="3.6711864406779671"/>
    <n v="3.4111111111111105"/>
  </r>
  <r>
    <s v="EMP0629"/>
    <s v="Fatima"/>
    <s v="Jones"/>
    <x v="1"/>
    <n v="55"/>
    <x v="2"/>
    <x v="5"/>
    <s v="2022-07-28"/>
    <n v="10"/>
    <n v="17"/>
    <n v="50808"/>
    <x v="12"/>
    <x v="1"/>
    <n v="93"/>
    <n v="372"/>
    <n v="191"/>
    <n v="181"/>
    <n v="49.650349650349654"/>
    <n v="50.24975024975025"/>
    <n v="171"/>
    <n v="201"/>
    <n v="47.5"/>
    <n v="52.5"/>
    <n v="14.922043010752688"/>
    <n v="59"/>
    <n v="63"/>
    <n v="3.6711864406779671"/>
    <n v="3.4111111111111105"/>
  </r>
  <r>
    <s v="EMP0630"/>
    <s v="John"/>
    <s v="Brown"/>
    <x v="0"/>
    <n v="53"/>
    <x v="6"/>
    <x v="2"/>
    <s v="2014-12-20"/>
    <n v="4"/>
    <n v="4"/>
    <n v="84786"/>
    <x v="5"/>
    <x v="1"/>
    <n v="90"/>
    <n v="371"/>
    <n v="191"/>
    <n v="180"/>
    <n v="49.650349650349654"/>
    <n v="50.24975024975025"/>
    <n v="171"/>
    <n v="200"/>
    <n v="47.5"/>
    <n v="52.5"/>
    <n v="14.916442048517521"/>
    <n v="59"/>
    <n v="63"/>
    <n v="3.6711864406779671"/>
    <n v="3.4111111111111105"/>
  </r>
  <r>
    <s v="EMP0631"/>
    <s v="Mary"/>
    <s v="Musa"/>
    <x v="1"/>
    <n v="36"/>
    <x v="6"/>
    <x v="0"/>
    <s v="2015-06-19"/>
    <n v="20"/>
    <n v="27"/>
    <n v="188549"/>
    <x v="3"/>
    <x v="0"/>
    <n v="57"/>
    <n v="370"/>
    <n v="190"/>
    <n v="180"/>
    <n v="49.650349650349654"/>
    <n v="50.24975024975025"/>
    <n v="171"/>
    <n v="199"/>
    <n v="47.5"/>
    <n v="52.5"/>
    <n v="14.945945945945946"/>
    <n v="59"/>
    <n v="63"/>
    <n v="3.6711864406779671"/>
    <n v="3.4111111111111105"/>
  </r>
  <r>
    <s v="EMP0632"/>
    <s v="Peter"/>
    <s v="Brown"/>
    <x v="1"/>
    <n v="58"/>
    <x v="1"/>
    <x v="7"/>
    <s v="2020-05-26"/>
    <n v="20"/>
    <n v="23"/>
    <n v="122112"/>
    <x v="25"/>
    <x v="1"/>
    <n v="83"/>
    <n v="369"/>
    <n v="190"/>
    <n v="179"/>
    <n v="49.650349650349654"/>
    <n v="50.24975024975025"/>
    <n v="170"/>
    <n v="199"/>
    <n v="47.5"/>
    <n v="52.5"/>
    <n v="14.913279132791327"/>
    <n v="59"/>
    <n v="63"/>
    <n v="3.6711864406779671"/>
    <n v="3.4111111111111105"/>
  </r>
  <r>
    <s v="EMP0633"/>
    <s v="Grace"/>
    <s v="Ahmed"/>
    <x v="1"/>
    <n v="32"/>
    <x v="2"/>
    <x v="3"/>
    <s v="2023-03-15"/>
    <n v="17"/>
    <n v="19"/>
    <n v="262626"/>
    <x v="5"/>
    <x v="1"/>
    <n v="93"/>
    <n v="368"/>
    <n v="190"/>
    <n v="178"/>
    <n v="49.650349650349654"/>
    <n v="50.24975024975025"/>
    <n v="170"/>
    <n v="198"/>
    <n v="47.5"/>
    <n v="52.5"/>
    <n v="14.891304347826088"/>
    <n v="59"/>
    <n v="62"/>
    <n v="3.6711864406779671"/>
    <n v="3.4016129032258062"/>
  </r>
  <r>
    <s v="EMP0634"/>
    <s v="Grace"/>
    <s v="Musa"/>
    <x v="0"/>
    <n v="54"/>
    <x v="0"/>
    <x v="2"/>
    <s v="2012-09-05"/>
    <n v="17"/>
    <n v="19"/>
    <n v="333365"/>
    <x v="14"/>
    <x v="0"/>
    <n v="62"/>
    <n v="367"/>
    <n v="190"/>
    <n v="177"/>
    <n v="49.650349650349654"/>
    <n v="50.24975024975025"/>
    <n v="170"/>
    <n v="197"/>
    <n v="47.5"/>
    <n v="52.5"/>
    <n v="14.880108991825614"/>
    <n v="59"/>
    <n v="62"/>
    <n v="3.6711864406779671"/>
    <n v="3.4016129032258062"/>
  </r>
  <r>
    <s v="EMP0635"/>
    <s v="Peter"/>
    <s v="Williams"/>
    <x v="1"/>
    <n v="47"/>
    <x v="0"/>
    <x v="6"/>
    <s v="2020-10-02"/>
    <n v="5"/>
    <n v="7"/>
    <n v="52648"/>
    <x v="15"/>
    <x v="1"/>
    <n v="86"/>
    <n v="366"/>
    <n v="189"/>
    <n v="177"/>
    <n v="49.650349650349654"/>
    <n v="50.24975024975025"/>
    <n v="169"/>
    <n v="197"/>
    <n v="47.5"/>
    <n v="52.5"/>
    <n v="14.868852459016393"/>
    <n v="59"/>
    <n v="62"/>
    <n v="3.6711864406779671"/>
    <n v="3.4016129032258062"/>
  </r>
  <r>
    <s v="EMP0636"/>
    <s v="James"/>
    <s v="Brown"/>
    <x v="1"/>
    <n v="33"/>
    <x v="2"/>
    <x v="7"/>
    <s v="2022-01-22"/>
    <n v="12"/>
    <n v="21"/>
    <n v="155859"/>
    <x v="23"/>
    <x v="1"/>
    <n v="100"/>
    <n v="365"/>
    <n v="189"/>
    <n v="176"/>
    <n v="49.650349650349654"/>
    <n v="50.24975024975025"/>
    <n v="169"/>
    <n v="196"/>
    <n v="47.5"/>
    <n v="52.5"/>
    <n v="14.890410958904109"/>
    <n v="59"/>
    <n v="62"/>
    <n v="3.6711864406779671"/>
    <n v="3.4016129032258062"/>
  </r>
  <r>
    <s v="EMP0637"/>
    <s v="Mary"/>
    <s v="Williams"/>
    <x v="1"/>
    <n v="53"/>
    <x v="6"/>
    <x v="8"/>
    <s v="2014-04-28"/>
    <n v="11"/>
    <n v="20"/>
    <n v="367541"/>
    <x v="25"/>
    <x v="1"/>
    <n v="94"/>
    <n v="364"/>
    <n v="189"/>
    <n v="175"/>
    <n v="49.650349650349654"/>
    <n v="50.24975024975025"/>
    <n v="169"/>
    <n v="195"/>
    <n v="47.5"/>
    <n v="52.5"/>
    <n v="14.873626373626374"/>
    <n v="59"/>
    <n v="62"/>
    <n v="3.6711864406779671"/>
    <n v="3.4016129032258062"/>
  </r>
  <r>
    <s v="EMP0638"/>
    <s v="John"/>
    <s v="Ibrahim"/>
    <x v="0"/>
    <n v="32"/>
    <x v="6"/>
    <x v="3"/>
    <s v="2022-11-19"/>
    <n v="14"/>
    <n v="15"/>
    <n v="440436"/>
    <x v="26"/>
    <x v="0"/>
    <n v="39"/>
    <n v="363"/>
    <n v="189"/>
    <n v="174"/>
    <n v="49.650349650349654"/>
    <n v="50.24975024975025"/>
    <n v="169"/>
    <n v="194"/>
    <n v="47.5"/>
    <n v="52.5"/>
    <n v="14.859504132231406"/>
    <n v="59"/>
    <n v="62"/>
    <n v="3.6711864406779671"/>
    <n v="3.4016129032258062"/>
  </r>
  <r>
    <s v="EMP0639"/>
    <s v="Hauwa"/>
    <s v="Johnson"/>
    <x v="0"/>
    <n v="43"/>
    <x v="1"/>
    <x v="9"/>
    <s v="2022-02-21"/>
    <n v="18"/>
    <n v="22"/>
    <n v="189796"/>
    <x v="19"/>
    <x v="1"/>
    <n v="77"/>
    <n v="362"/>
    <n v="188"/>
    <n v="174"/>
    <n v="49.650349650349654"/>
    <n v="50.24975024975025"/>
    <n v="168"/>
    <n v="194"/>
    <n v="47.5"/>
    <n v="52.5"/>
    <n v="14.859116022099448"/>
    <n v="59"/>
    <n v="62"/>
    <n v="3.6711864406779671"/>
    <n v="3.4016129032258062"/>
  </r>
  <r>
    <s v="EMP0640"/>
    <s v="Grace"/>
    <s v="Ibrahim"/>
    <x v="0"/>
    <n v="50"/>
    <x v="1"/>
    <x v="0"/>
    <s v="2017-01-18"/>
    <n v="10"/>
    <n v="13"/>
    <n v="297713"/>
    <x v="10"/>
    <x v="1"/>
    <n v="96"/>
    <n v="361"/>
    <n v="187"/>
    <n v="174"/>
    <n v="49.650349650349654"/>
    <n v="50.24975024975025"/>
    <n v="168"/>
    <n v="193"/>
    <n v="47.5"/>
    <n v="52.5"/>
    <n v="14.839335180055402"/>
    <n v="59"/>
    <n v="61"/>
    <n v="3.6711864406779671"/>
    <n v="3.4196721311475411"/>
  </r>
  <r>
    <s v="EMP0641"/>
    <s v="Sarah"/>
    <s v="Okoro"/>
    <x v="1"/>
    <n v="43"/>
    <x v="1"/>
    <x v="8"/>
    <s v="2016-07-15"/>
    <n v="16"/>
    <n v="25"/>
    <n v="111417"/>
    <x v="20"/>
    <x v="1"/>
    <n v="85"/>
    <n v="360"/>
    <n v="186"/>
    <n v="174"/>
    <n v="49.650349650349654"/>
    <n v="50.24975024975025"/>
    <n v="168"/>
    <n v="192"/>
    <n v="47.5"/>
    <n v="52.5"/>
    <n v="14.844444444444445"/>
    <n v="59"/>
    <n v="60"/>
    <n v="3.6711864406779671"/>
    <n v="3.4249999999999998"/>
  </r>
  <r>
    <s v="EMP0642"/>
    <s v="Fatima"/>
    <s v="Garba"/>
    <x v="1"/>
    <n v="45"/>
    <x v="3"/>
    <x v="9"/>
    <s v="2024-07-04"/>
    <n v="4"/>
    <n v="11"/>
    <n v="86522"/>
    <x v="0"/>
    <x v="0"/>
    <n v="43"/>
    <n v="359"/>
    <n v="186"/>
    <n v="173"/>
    <n v="49.650349650349654"/>
    <n v="50.24975024975025"/>
    <n v="168"/>
    <n v="191"/>
    <n v="47.5"/>
    <n v="52.5"/>
    <n v="14.816155988857938"/>
    <n v="59"/>
    <n v="59"/>
    <n v="3.6711864406779671"/>
    <n v="3.405084745762712"/>
  </r>
  <r>
    <s v="EMP0643"/>
    <s v="Peter"/>
    <s v="Brown"/>
    <x v="0"/>
    <n v="38"/>
    <x v="3"/>
    <x v="1"/>
    <s v="2025-08-14"/>
    <n v="13"/>
    <n v="18"/>
    <n v="163987"/>
    <x v="17"/>
    <x v="0"/>
    <n v="54"/>
    <n v="358"/>
    <n v="186"/>
    <n v="172"/>
    <n v="49.650349650349654"/>
    <n v="50.24975024975025"/>
    <n v="167"/>
    <n v="191"/>
    <n v="47.5"/>
    <n v="52.5"/>
    <n v="14.826815642458101"/>
    <n v="59"/>
    <n v="59"/>
    <n v="3.6711864406779671"/>
    <n v="3.405084745762712"/>
  </r>
  <r>
    <s v="EMP0644"/>
    <s v="Michael"/>
    <s v="Johnson"/>
    <x v="0"/>
    <n v="28"/>
    <x v="5"/>
    <x v="5"/>
    <s v="2017-10-02"/>
    <n v="12"/>
    <n v="16"/>
    <n v="66000"/>
    <x v="4"/>
    <x v="1"/>
    <n v="94"/>
    <n v="357"/>
    <n v="185"/>
    <n v="172"/>
    <n v="49.650349650349654"/>
    <n v="50.24975024975025"/>
    <n v="166"/>
    <n v="191"/>
    <n v="47.5"/>
    <n v="52.5"/>
    <n v="14.817927170868348"/>
    <n v="59"/>
    <n v="59"/>
    <n v="3.6711864406779671"/>
    <n v="3.405084745762712"/>
  </r>
  <r>
    <s v="EMP0645"/>
    <s v="John"/>
    <s v="Johnson"/>
    <x v="1"/>
    <n v="49"/>
    <x v="1"/>
    <x v="0"/>
    <s v="2019-01-04"/>
    <n v="5"/>
    <n v="15"/>
    <n v="284933"/>
    <x v="9"/>
    <x v="1"/>
    <n v="99"/>
    <n v="356"/>
    <n v="184"/>
    <n v="172"/>
    <n v="49.650349650349654"/>
    <n v="50.24975024975025"/>
    <n v="166"/>
    <n v="190"/>
    <n v="47.5"/>
    <n v="52.5"/>
    <n v="14.814606741573034"/>
    <n v="58"/>
    <n v="59"/>
    <n v="3.6689655172413804"/>
    <n v="3.405084745762712"/>
  </r>
  <r>
    <s v="EMP0646"/>
    <s v="Peter"/>
    <s v="Ahmed"/>
    <x v="0"/>
    <n v="55"/>
    <x v="6"/>
    <x v="3"/>
    <s v="2017-12-04"/>
    <n v="13"/>
    <n v="18"/>
    <n v="496951"/>
    <x v="9"/>
    <x v="1"/>
    <n v="97"/>
    <n v="355"/>
    <n v="184"/>
    <n v="171"/>
    <n v="49.650349650349654"/>
    <n v="50.24975024975025"/>
    <n v="166"/>
    <n v="189"/>
    <n v="47.5"/>
    <n v="52.5"/>
    <n v="14.814084507042253"/>
    <n v="58"/>
    <n v="58"/>
    <n v="3.6689655172413804"/>
    <n v="3.3931034482758626"/>
  </r>
  <r>
    <s v="EMP0647"/>
    <s v="Amina"/>
    <s v="Williams"/>
    <x v="1"/>
    <n v="34"/>
    <x v="1"/>
    <x v="7"/>
    <s v="2024-09-13"/>
    <n v="5"/>
    <n v="7"/>
    <n v="169945"/>
    <x v="14"/>
    <x v="1"/>
    <n v="100"/>
    <n v="354"/>
    <n v="183"/>
    <n v="171"/>
    <n v="49.650349650349654"/>
    <n v="50.24975024975025"/>
    <n v="166"/>
    <n v="188"/>
    <n v="47.5"/>
    <n v="52.5"/>
    <n v="14.805084745762711"/>
    <n v="58"/>
    <n v="58"/>
    <n v="3.6689655172413804"/>
    <n v="3.3931034482758626"/>
  </r>
  <r>
    <s v="EMP0648"/>
    <s v="James"/>
    <s v="Musa"/>
    <x v="1"/>
    <n v="38"/>
    <x v="6"/>
    <x v="0"/>
    <s v="2023-12-03"/>
    <n v="2"/>
    <n v="5"/>
    <n v="88213"/>
    <x v="24"/>
    <x v="0"/>
    <n v="42"/>
    <n v="353"/>
    <n v="183"/>
    <n v="170"/>
    <n v="49.650349650349654"/>
    <n v="50.24975024975025"/>
    <n v="166"/>
    <n v="187"/>
    <n v="47.5"/>
    <n v="52.5"/>
    <n v="14.827195467422097"/>
    <n v="58"/>
    <n v="57"/>
    <n v="3.6689655172413804"/>
    <n v="3.4035087719298249"/>
  </r>
  <r>
    <s v="EMP0649"/>
    <s v="Mary"/>
    <s v="Brown"/>
    <x v="0"/>
    <n v="32"/>
    <x v="6"/>
    <x v="5"/>
    <s v="2022-06-22"/>
    <n v="15"/>
    <n v="22"/>
    <n v="333973"/>
    <x v="19"/>
    <x v="0"/>
    <n v="51"/>
    <n v="352"/>
    <n v="183"/>
    <n v="169"/>
    <n v="49.650349650349654"/>
    <n v="50.24975024975025"/>
    <n v="165"/>
    <n v="187"/>
    <n v="47.5"/>
    <n v="52.5"/>
    <n v="14.855113636363637"/>
    <n v="58"/>
    <n v="57"/>
    <n v="3.6689655172413804"/>
    <n v="3.4035087719298249"/>
  </r>
  <r>
    <s v="EMP0650"/>
    <s v="Daniel"/>
    <s v="Musa"/>
    <x v="0"/>
    <n v="50"/>
    <x v="3"/>
    <x v="3"/>
    <s v="2012-11-17"/>
    <n v="7"/>
    <n v="15"/>
    <n v="252942"/>
    <x v="19"/>
    <x v="1"/>
    <n v="84"/>
    <n v="351"/>
    <n v="182"/>
    <n v="169"/>
    <n v="49.650349650349654"/>
    <n v="50.24975024975025"/>
    <n v="164"/>
    <n v="187"/>
    <n v="47.5"/>
    <n v="52.5"/>
    <n v="14.834757834757834"/>
    <n v="58"/>
    <n v="57"/>
    <n v="3.6689655172413804"/>
    <n v="3.4035087719298249"/>
  </r>
  <r>
    <s v="EMP0651"/>
    <s v="Grace"/>
    <s v="Johnson"/>
    <x v="1"/>
    <n v="23"/>
    <x v="2"/>
    <x v="5"/>
    <s v="2015-04-23"/>
    <n v="10"/>
    <n v="15"/>
    <n v="464007"/>
    <x v="11"/>
    <x v="1"/>
    <n v="96"/>
    <n v="350"/>
    <n v="181"/>
    <n v="169"/>
    <n v="49.650349650349654"/>
    <n v="50.24975024975025"/>
    <n v="164"/>
    <n v="186"/>
    <n v="47.5"/>
    <n v="52.5"/>
    <n v="14.834285714285715"/>
    <n v="58"/>
    <n v="57"/>
    <n v="3.6689655172413804"/>
    <n v="3.4035087719298249"/>
  </r>
  <r>
    <s v="EMP0652"/>
    <s v="Daniel"/>
    <s v="Smith"/>
    <x v="0"/>
    <n v="45"/>
    <x v="2"/>
    <x v="7"/>
    <s v="2018-04-13"/>
    <n v="17"/>
    <n v="24"/>
    <n v="177143"/>
    <x v="3"/>
    <x v="1"/>
    <n v="84"/>
    <n v="349"/>
    <n v="181"/>
    <n v="168"/>
    <n v="49.650349650349654"/>
    <n v="50.24975024975025"/>
    <n v="164"/>
    <n v="185"/>
    <n v="47.5"/>
    <n v="52.5"/>
    <n v="14.833810888252149"/>
    <n v="58"/>
    <n v="57"/>
    <n v="3.6689655172413804"/>
    <n v="3.4035087719298249"/>
  </r>
  <r>
    <s v="EMP0653"/>
    <s v="Michael"/>
    <s v="Smith"/>
    <x v="0"/>
    <n v="56"/>
    <x v="2"/>
    <x v="8"/>
    <s v="2023-02-17"/>
    <n v="7"/>
    <n v="16"/>
    <n v="197937"/>
    <x v="2"/>
    <x v="0"/>
    <n v="60"/>
    <n v="348"/>
    <n v="180"/>
    <n v="168"/>
    <n v="49.650349650349654"/>
    <n v="50.24975024975025"/>
    <n v="164"/>
    <n v="184"/>
    <n v="47.5"/>
    <n v="52.5"/>
    <n v="14.807471264367816"/>
    <n v="58"/>
    <n v="57"/>
    <n v="3.6689655172413804"/>
    <n v="3.4035087719298249"/>
  </r>
  <r>
    <s v="EMP0654"/>
    <s v="Sarah"/>
    <s v="Ibrahim"/>
    <x v="1"/>
    <n v="39"/>
    <x v="1"/>
    <x v="9"/>
    <s v="2016-04-09"/>
    <n v="9"/>
    <n v="11"/>
    <n v="209928"/>
    <x v="0"/>
    <x v="0"/>
    <n v="48"/>
    <n v="347"/>
    <n v="179"/>
    <n v="168"/>
    <n v="49.650349650349654"/>
    <n v="50.24975024975025"/>
    <n v="163"/>
    <n v="184"/>
    <n v="47.5"/>
    <n v="52.5"/>
    <n v="14.804034582132564"/>
    <n v="58"/>
    <n v="57"/>
    <n v="3.6689655172413804"/>
    <n v="3.4035087719298249"/>
  </r>
  <r>
    <s v="EMP0655"/>
    <s v="John"/>
    <s v="Musa"/>
    <x v="0"/>
    <n v="59"/>
    <x v="5"/>
    <x v="4"/>
    <s v="2015-07-16"/>
    <n v="13"/>
    <n v="15"/>
    <n v="125859"/>
    <x v="8"/>
    <x v="0"/>
    <n v="58"/>
    <n v="346"/>
    <n v="179"/>
    <n v="167"/>
    <n v="49.650349650349654"/>
    <n v="50.24975024975025"/>
    <n v="162"/>
    <n v="184"/>
    <n v="47.5"/>
    <n v="52.5"/>
    <n v="14.815028901734104"/>
    <n v="58"/>
    <n v="56"/>
    <n v="3.6689655172413804"/>
    <n v="3.4160714285714291"/>
  </r>
  <r>
    <s v="EMP0656"/>
    <s v="David"/>
    <s v="Okoro"/>
    <x v="0"/>
    <n v="44"/>
    <x v="0"/>
    <x v="9"/>
    <s v="2025-09-05"/>
    <n v="18"/>
    <n v="21"/>
    <n v="128181"/>
    <x v="9"/>
    <x v="0"/>
    <n v="34"/>
    <n v="345"/>
    <n v="178"/>
    <n v="167"/>
    <n v="49.650349650349654"/>
    <n v="50.24975024975025"/>
    <n v="161"/>
    <n v="184"/>
    <n v="47.5"/>
    <n v="52.5"/>
    <n v="14.814492753623188"/>
    <n v="57"/>
    <n v="56"/>
    <n v="3.6561403508771941"/>
    <n v="3.4160714285714291"/>
  </r>
  <r>
    <s v="EMP0657"/>
    <s v="Michael"/>
    <s v="Okoro"/>
    <x v="0"/>
    <n v="40"/>
    <x v="5"/>
    <x v="3"/>
    <s v="2024-11-13"/>
    <n v="8"/>
    <n v="17"/>
    <n v="469178"/>
    <x v="25"/>
    <x v="0"/>
    <n v="34"/>
    <n v="344"/>
    <n v="177"/>
    <n v="167"/>
    <n v="49.650349650349654"/>
    <n v="50.24975024975025"/>
    <n v="160"/>
    <n v="184"/>
    <n v="47.5"/>
    <n v="52.5"/>
    <n v="14.796511627906977"/>
    <n v="57"/>
    <n v="56"/>
    <n v="3.6561403508771941"/>
    <n v="3.4160714285714291"/>
  </r>
  <r>
    <s v="EMP0658"/>
    <s v="Fatima"/>
    <s v="Smith"/>
    <x v="0"/>
    <n v="54"/>
    <x v="3"/>
    <x v="3"/>
    <s v="2018-09-02"/>
    <n v="17"/>
    <n v="17"/>
    <n v="492113"/>
    <x v="22"/>
    <x v="0"/>
    <n v="62"/>
    <n v="343"/>
    <n v="176"/>
    <n v="167"/>
    <n v="49.650349650349654"/>
    <n v="50.24975024975025"/>
    <n v="159"/>
    <n v="184"/>
    <n v="47.5"/>
    <n v="52.5"/>
    <n v="14.790087463556851"/>
    <n v="56"/>
    <n v="56"/>
    <n v="3.6500000000000012"/>
    <n v="3.4160714285714291"/>
  </r>
  <r>
    <s v="EMP0659"/>
    <s v="David"/>
    <s v="Jones"/>
    <x v="1"/>
    <n v="47"/>
    <x v="4"/>
    <x v="0"/>
    <s v="2015-11-02"/>
    <n v="4"/>
    <n v="14"/>
    <n v="459312"/>
    <x v="16"/>
    <x v="1"/>
    <n v="75"/>
    <n v="342"/>
    <n v="175"/>
    <n v="167"/>
    <n v="49.650349650349654"/>
    <n v="50.24975024975025"/>
    <n v="158"/>
    <n v="184"/>
    <n v="47.5"/>
    <n v="52.5"/>
    <n v="14.783625730994151"/>
    <n v="56"/>
    <n v="56"/>
    <n v="3.6500000000000012"/>
    <n v="3.4160714285714291"/>
  </r>
  <r>
    <s v="EMP0660"/>
    <s v="Peter"/>
    <s v="Ibrahim"/>
    <x v="0"/>
    <n v="59"/>
    <x v="5"/>
    <x v="3"/>
    <s v="2022-03-30"/>
    <n v="10"/>
    <n v="11"/>
    <n v="202212"/>
    <x v="26"/>
    <x v="0"/>
    <n v="44"/>
    <n v="341"/>
    <n v="175"/>
    <n v="166"/>
    <n v="49.650349650349654"/>
    <n v="50.24975024975025"/>
    <n v="158"/>
    <n v="183"/>
    <n v="47.5"/>
    <n v="52.5"/>
    <n v="14.785923753665688"/>
    <n v="56"/>
    <n v="56"/>
    <n v="3.6500000000000012"/>
    <n v="3.4160714285714291"/>
  </r>
  <r>
    <s v="EMP0661"/>
    <s v="Grace"/>
    <s v="Johnson"/>
    <x v="1"/>
    <n v="26"/>
    <x v="2"/>
    <x v="6"/>
    <s v="2022-01-13"/>
    <n v="17"/>
    <n v="22"/>
    <n v="239216"/>
    <x v="18"/>
    <x v="1"/>
    <n v="77"/>
    <n v="340"/>
    <n v="174"/>
    <n v="166"/>
    <n v="49.650349650349654"/>
    <n v="50.24975024975025"/>
    <n v="157"/>
    <n v="183"/>
    <n v="47.5"/>
    <n v="52.5"/>
    <n v="14.797058823529412"/>
    <n v="55"/>
    <n v="56"/>
    <n v="3.6400000000000015"/>
    <n v="3.4160714285714291"/>
  </r>
  <r>
    <s v="EMP0662"/>
    <s v="David"/>
    <s v="Williams"/>
    <x v="0"/>
    <n v="35"/>
    <x v="5"/>
    <x v="7"/>
    <s v="2017-10-23"/>
    <n v="8"/>
    <n v="11"/>
    <n v="231139"/>
    <x v="8"/>
    <x v="1"/>
    <n v="84"/>
    <n v="339"/>
    <n v="174"/>
    <n v="165"/>
    <n v="49.650349650349654"/>
    <n v="50.24975024975025"/>
    <n v="157"/>
    <n v="182"/>
    <n v="47.5"/>
    <n v="52.5"/>
    <n v="14.775811209439528"/>
    <n v="55"/>
    <n v="56"/>
    <n v="3.6400000000000015"/>
    <n v="3.4160714285714291"/>
  </r>
  <r>
    <s v="EMP0663"/>
    <s v="Mary"/>
    <s v="Ibrahim"/>
    <x v="1"/>
    <n v="45"/>
    <x v="4"/>
    <x v="8"/>
    <s v="2014-07-03"/>
    <n v="17"/>
    <n v="23"/>
    <n v="441913"/>
    <x v="9"/>
    <x v="0"/>
    <n v="32"/>
    <n v="338"/>
    <n v="173"/>
    <n v="165"/>
    <n v="49.650349650349654"/>
    <n v="50.24975024975025"/>
    <n v="157"/>
    <n v="181"/>
    <n v="47.5"/>
    <n v="52.5"/>
    <n v="14.78698224852071"/>
    <n v="54"/>
    <n v="56"/>
    <n v="3.6259259259259267"/>
    <n v="3.4160714285714291"/>
  </r>
  <r>
    <s v="EMP0664"/>
    <s v="Sarah"/>
    <s v="Garba"/>
    <x v="0"/>
    <n v="57"/>
    <x v="1"/>
    <x v="6"/>
    <s v="2020-03-10"/>
    <n v="17"/>
    <n v="25"/>
    <n v="90588"/>
    <x v="25"/>
    <x v="1"/>
    <n v="100"/>
    <n v="337"/>
    <n v="173"/>
    <n v="164"/>
    <n v="49.650349650349654"/>
    <n v="50.24975024975025"/>
    <n v="156"/>
    <n v="181"/>
    <n v="47.5"/>
    <n v="52.5"/>
    <n v="14.762611275964392"/>
    <n v="54"/>
    <n v="56"/>
    <n v="3.6259259259259267"/>
    <n v="3.4160714285714291"/>
  </r>
  <r>
    <s v="EMP0665"/>
    <s v="Grace"/>
    <s v="Musa"/>
    <x v="0"/>
    <n v="36"/>
    <x v="0"/>
    <x v="7"/>
    <s v="2023-08-14"/>
    <n v="20"/>
    <n v="25"/>
    <n v="168678"/>
    <x v="22"/>
    <x v="1"/>
    <n v="93"/>
    <n v="336"/>
    <n v="172"/>
    <n v="164"/>
    <n v="49.650349650349654"/>
    <n v="50.24975024975025"/>
    <n v="156"/>
    <n v="180"/>
    <n v="47.5"/>
    <n v="52.5"/>
    <n v="14.732142857142858"/>
    <n v="54"/>
    <n v="55"/>
    <n v="3.6259259259259267"/>
    <n v="3.4054545454545462"/>
  </r>
  <r>
    <s v="EMP0666"/>
    <s v="Michael"/>
    <s v="Jones"/>
    <x v="0"/>
    <n v="36"/>
    <x v="3"/>
    <x v="8"/>
    <s v="2019-03-02"/>
    <n v="15"/>
    <n v="15"/>
    <n v="61188"/>
    <x v="21"/>
    <x v="0"/>
    <n v="40"/>
    <n v="335"/>
    <n v="171"/>
    <n v="164"/>
    <n v="49.650349650349654"/>
    <n v="50.24975024975025"/>
    <n v="156"/>
    <n v="179"/>
    <n v="47.5"/>
    <n v="52.5"/>
    <n v="14.701492537313433"/>
    <n v="54"/>
    <n v="55"/>
    <n v="3.6259259259259267"/>
    <n v="3.4054545454545462"/>
  </r>
  <r>
    <s v="EMP0667"/>
    <s v="Grace"/>
    <s v="Jones"/>
    <x v="0"/>
    <n v="31"/>
    <x v="5"/>
    <x v="5"/>
    <s v="2024-12-30"/>
    <n v="12"/>
    <n v="14"/>
    <n v="168000"/>
    <x v="5"/>
    <x v="1"/>
    <n v="74"/>
    <n v="334"/>
    <n v="170"/>
    <n v="164"/>
    <n v="49.650349650349654"/>
    <n v="50.24975024975025"/>
    <n v="155"/>
    <n v="179"/>
    <n v="47.5"/>
    <n v="52.5"/>
    <n v="14.700598802395209"/>
    <n v="54"/>
    <n v="55"/>
    <n v="3.6259259259259267"/>
    <n v="3.4054545454545462"/>
  </r>
  <r>
    <s v="EMP0668"/>
    <s v="John"/>
    <s v="Williams"/>
    <x v="1"/>
    <n v="51"/>
    <x v="5"/>
    <x v="5"/>
    <s v="2015-01-14"/>
    <n v="14"/>
    <n v="21"/>
    <n v="371907"/>
    <x v="27"/>
    <x v="0"/>
    <n v="50"/>
    <n v="333"/>
    <n v="169"/>
    <n v="164"/>
    <n v="49.650349650349654"/>
    <n v="50.24975024975025"/>
    <n v="155"/>
    <n v="178"/>
    <n v="47.5"/>
    <n v="52.5"/>
    <n v="14.702702702702704"/>
    <n v="53"/>
    <n v="55"/>
    <n v="3.6018867924528308"/>
    <n v="3.4054545454545462"/>
  </r>
  <r>
    <s v="EMP0669"/>
    <s v="Hauwa"/>
    <s v="Jones"/>
    <x v="0"/>
    <n v="22"/>
    <x v="4"/>
    <x v="5"/>
    <s v="2019-12-28"/>
    <n v="3"/>
    <n v="13"/>
    <n v="69711"/>
    <x v="16"/>
    <x v="1"/>
    <n v="90"/>
    <n v="332"/>
    <n v="169"/>
    <n v="163"/>
    <n v="49.650349650349654"/>
    <n v="50.24975024975025"/>
    <n v="154"/>
    <n v="178"/>
    <n v="47.5"/>
    <n v="52.5"/>
    <n v="14.683734939759036"/>
    <n v="52"/>
    <n v="55"/>
    <n v="3.6153846153846159"/>
    <n v="3.4054545454545462"/>
  </r>
  <r>
    <s v="EMP0670"/>
    <s v="Sarah"/>
    <s v="Jones"/>
    <x v="0"/>
    <n v="48"/>
    <x v="4"/>
    <x v="0"/>
    <s v="2013-02-28"/>
    <n v="15"/>
    <n v="16"/>
    <n v="268976"/>
    <x v="14"/>
    <x v="1"/>
    <n v="82"/>
    <n v="331"/>
    <n v="168"/>
    <n v="163"/>
    <n v="49.650349650349654"/>
    <n v="50.24975024975025"/>
    <n v="154"/>
    <n v="177"/>
    <n v="47.5"/>
    <n v="52.5"/>
    <n v="14.688821752265861"/>
    <n v="52"/>
    <n v="55"/>
    <n v="3.6153846153846159"/>
    <n v="3.4054545454545462"/>
  </r>
  <r>
    <s v="EMP0671"/>
    <s v="Daniel"/>
    <s v="Ahmed"/>
    <x v="0"/>
    <n v="59"/>
    <x v="0"/>
    <x v="4"/>
    <s v="2019-06-14"/>
    <n v="2"/>
    <n v="2"/>
    <n v="90074"/>
    <x v="12"/>
    <x v="0"/>
    <n v="49"/>
    <n v="330"/>
    <n v="167"/>
    <n v="163"/>
    <n v="49.650349650349654"/>
    <n v="50.24975024975025"/>
    <n v="154"/>
    <n v="176"/>
    <n v="47.5"/>
    <n v="52.5"/>
    <n v="14.684848484848485"/>
    <n v="52"/>
    <n v="55"/>
    <n v="3.6153846153846159"/>
    <n v="3.4054545454545462"/>
  </r>
  <r>
    <s v="EMP0672"/>
    <s v="Peter"/>
    <s v="Smith"/>
    <x v="0"/>
    <n v="33"/>
    <x v="5"/>
    <x v="4"/>
    <s v="2016-07-04"/>
    <n v="13"/>
    <n v="19"/>
    <n v="119633"/>
    <x v="20"/>
    <x v="0"/>
    <n v="35"/>
    <n v="329"/>
    <n v="166"/>
    <n v="163"/>
    <n v="49.650349650349654"/>
    <n v="50.24975024975025"/>
    <n v="153"/>
    <n v="176"/>
    <n v="47.5"/>
    <n v="52.5"/>
    <n v="14.723404255319149"/>
    <n v="52"/>
    <n v="55"/>
    <n v="3.6153846153846159"/>
    <n v="3.4054545454545462"/>
  </r>
  <r>
    <s v="EMP0673"/>
    <s v="David"/>
    <s v="Williams"/>
    <x v="0"/>
    <n v="35"/>
    <x v="0"/>
    <x v="5"/>
    <s v="2025-05-11"/>
    <n v="6"/>
    <n v="13"/>
    <n v="98089"/>
    <x v="19"/>
    <x v="0"/>
    <n v="37"/>
    <n v="328"/>
    <n v="165"/>
    <n v="163"/>
    <n v="49.650349650349654"/>
    <n v="50.24975024975025"/>
    <n v="152"/>
    <n v="176"/>
    <n v="47.5"/>
    <n v="52.5"/>
    <n v="14.710365853658537"/>
    <n v="51"/>
    <n v="55"/>
    <n v="3.5960784313725496"/>
    <n v="3.4054545454545462"/>
  </r>
  <r>
    <s v="EMP0674"/>
    <s v="Michael"/>
    <s v="Smith"/>
    <x v="0"/>
    <n v="48"/>
    <x v="0"/>
    <x v="7"/>
    <s v="2014-12-23"/>
    <n v="15"/>
    <n v="24"/>
    <n v="378386"/>
    <x v="30"/>
    <x v="0"/>
    <n v="47"/>
    <n v="327"/>
    <n v="164"/>
    <n v="163"/>
    <n v="49.650349650349654"/>
    <n v="50.24975024975025"/>
    <n v="151"/>
    <n v="176"/>
    <n v="47.5"/>
    <n v="52.5"/>
    <n v="14.715596330275229"/>
    <n v="51"/>
    <n v="55"/>
    <n v="3.5960784313725496"/>
    <n v="3.4054545454545462"/>
  </r>
  <r>
    <s v="EMP0675"/>
    <s v="John"/>
    <s v="Garba"/>
    <x v="1"/>
    <n v="58"/>
    <x v="4"/>
    <x v="1"/>
    <s v="2020-08-12"/>
    <n v="9"/>
    <n v="19"/>
    <n v="329349"/>
    <x v="20"/>
    <x v="1"/>
    <n v="84"/>
    <n v="326"/>
    <n v="163"/>
    <n v="163"/>
    <n v="49.650349650349654"/>
    <n v="50.24975024975025"/>
    <n v="150"/>
    <n v="176"/>
    <n v="47.5"/>
    <n v="52.5"/>
    <n v="14.687116564417177"/>
    <n v="51"/>
    <n v="55"/>
    <n v="3.5960784313725496"/>
    <n v="3.4054545454545462"/>
  </r>
  <r>
    <s v="EMP0676"/>
    <s v="Amina"/>
    <s v="Smith"/>
    <x v="0"/>
    <n v="52"/>
    <x v="5"/>
    <x v="9"/>
    <s v="2013-10-11"/>
    <n v="4"/>
    <n v="6"/>
    <n v="318546"/>
    <x v="15"/>
    <x v="1"/>
    <n v="74"/>
    <n v="325"/>
    <n v="163"/>
    <n v="162"/>
    <n v="49.650349650349654"/>
    <n v="50.24975024975025"/>
    <n v="150"/>
    <n v="175"/>
    <n v="47.5"/>
    <n v="52.5"/>
    <n v="14.673846153846155"/>
    <n v="51"/>
    <n v="55"/>
    <n v="3.5960784313725496"/>
    <n v="3.4054545454545462"/>
  </r>
  <r>
    <s v="EMP0677"/>
    <s v="Sarah"/>
    <s v="Ibrahim"/>
    <x v="0"/>
    <n v="34"/>
    <x v="6"/>
    <x v="0"/>
    <s v="2025-08-25"/>
    <n v="6"/>
    <n v="12"/>
    <n v="178048"/>
    <x v="7"/>
    <x v="0"/>
    <n v="61"/>
    <n v="324"/>
    <n v="162"/>
    <n v="162"/>
    <n v="49.650349650349654"/>
    <n v="50.24975024975025"/>
    <n v="150"/>
    <n v="174"/>
    <n v="47.5"/>
    <n v="52.5"/>
    <n v="14.700617283950617"/>
    <n v="50"/>
    <n v="55"/>
    <n v="3.5980000000000003"/>
    <n v="3.4054545454545462"/>
  </r>
  <r>
    <s v="EMP0678"/>
    <s v="Grace"/>
    <s v="Jones"/>
    <x v="0"/>
    <n v="36"/>
    <x v="5"/>
    <x v="2"/>
    <s v="2024-06-05"/>
    <n v="15"/>
    <n v="23"/>
    <n v="256850"/>
    <x v="11"/>
    <x v="0"/>
    <n v="61"/>
    <n v="323"/>
    <n v="161"/>
    <n v="162"/>
    <n v="49.650349650349654"/>
    <n v="50.24975024975025"/>
    <n v="149"/>
    <n v="174"/>
    <n v="47.5"/>
    <n v="52.5"/>
    <n v="14.708978328173375"/>
    <n v="50"/>
    <n v="55"/>
    <n v="3.5980000000000003"/>
    <n v="3.4054545454545462"/>
  </r>
  <r>
    <s v="EMP0679"/>
    <s v="Peter"/>
    <s v="Garba"/>
    <x v="1"/>
    <n v="43"/>
    <x v="6"/>
    <x v="3"/>
    <s v="2016-03-18"/>
    <n v="18"/>
    <n v="25"/>
    <n v="256797"/>
    <x v="15"/>
    <x v="1"/>
    <n v="98"/>
    <n v="322"/>
    <n v="160"/>
    <n v="162"/>
    <n v="49.650349650349654"/>
    <n v="50.24975024975025"/>
    <n v="148"/>
    <n v="174"/>
    <n v="47.5"/>
    <n v="52.5"/>
    <n v="14.683229813664596"/>
    <n v="49"/>
    <n v="55"/>
    <n v="3.5755102040816324"/>
    <n v="3.4054545454545462"/>
  </r>
  <r>
    <s v="EMP0680"/>
    <s v="Peter"/>
    <s v="Williams"/>
    <x v="1"/>
    <n v="24"/>
    <x v="4"/>
    <x v="7"/>
    <s v="2018-12-16"/>
    <n v="13"/>
    <n v="17"/>
    <n v="485676"/>
    <x v="30"/>
    <x v="0"/>
    <n v="39"/>
    <n v="321"/>
    <n v="160"/>
    <n v="161"/>
    <n v="49.650349650349654"/>
    <n v="50.24975024975025"/>
    <n v="148"/>
    <n v="173"/>
    <n v="47.5"/>
    <n v="52.5"/>
    <n v="14.651090342679128"/>
    <n v="49"/>
    <n v="55"/>
    <n v="3.5755102040816324"/>
    <n v="3.4054545454545462"/>
  </r>
  <r>
    <s v="EMP0681"/>
    <s v="Hauwa"/>
    <s v="Okoro"/>
    <x v="1"/>
    <n v="24"/>
    <x v="1"/>
    <x v="7"/>
    <s v="2019-04-03"/>
    <n v="8"/>
    <n v="10"/>
    <n v="158039"/>
    <x v="1"/>
    <x v="1"/>
    <n v="73"/>
    <n v="320"/>
    <n v="160"/>
    <n v="160"/>
    <n v="49.650349650349654"/>
    <n v="50.24975024975025"/>
    <n v="147"/>
    <n v="173"/>
    <n v="47.5"/>
    <n v="52.5"/>
    <n v="14.643750000000001"/>
    <n v="49"/>
    <n v="55"/>
    <n v="3.5755102040816324"/>
    <n v="3.4054545454545462"/>
  </r>
  <r>
    <s v="EMP0682"/>
    <s v="Daniel"/>
    <s v="Garba"/>
    <x v="1"/>
    <n v="55"/>
    <x v="3"/>
    <x v="6"/>
    <s v="2021-04-13"/>
    <n v="1"/>
    <n v="8"/>
    <n v="337321"/>
    <x v="20"/>
    <x v="1"/>
    <n v="77"/>
    <n v="319"/>
    <n v="160"/>
    <n v="159"/>
    <n v="49.650349650349654"/>
    <n v="50.24975024975025"/>
    <n v="147"/>
    <n v="172"/>
    <n v="47.5"/>
    <n v="52.5"/>
    <n v="14.658307210031348"/>
    <n v="49"/>
    <n v="54"/>
    <n v="3.5755102040816324"/>
    <n v="3.4277777777777789"/>
  </r>
  <r>
    <s v="EMP0683"/>
    <s v="James"/>
    <s v="Smith"/>
    <x v="1"/>
    <n v="50"/>
    <x v="5"/>
    <x v="7"/>
    <s v="2018-04-09"/>
    <n v="14"/>
    <n v="24"/>
    <n v="132244"/>
    <x v="22"/>
    <x v="1"/>
    <n v="86"/>
    <n v="318"/>
    <n v="160"/>
    <n v="158"/>
    <n v="49.650349650349654"/>
    <n v="50.24975024975025"/>
    <n v="147"/>
    <n v="171"/>
    <n v="47.5"/>
    <n v="52.5"/>
    <n v="14.679245283018869"/>
    <n v="49"/>
    <n v="54"/>
    <n v="3.5755102040816324"/>
    <n v="3.4277777777777789"/>
  </r>
  <r>
    <s v="EMP0684"/>
    <s v="Peter"/>
    <s v="Johnson"/>
    <x v="0"/>
    <n v="37"/>
    <x v="3"/>
    <x v="5"/>
    <s v="2013-10-06"/>
    <n v="9"/>
    <n v="16"/>
    <n v="375804"/>
    <x v="0"/>
    <x v="1"/>
    <n v="82"/>
    <n v="317"/>
    <n v="160"/>
    <n v="157"/>
    <n v="49.650349650349654"/>
    <n v="50.24975024975025"/>
    <n v="147"/>
    <n v="170"/>
    <n v="47.5"/>
    <n v="52.5"/>
    <n v="14.649842271293375"/>
    <n v="48"/>
    <n v="54"/>
    <n v="3.5687500000000001"/>
    <n v="3.4277777777777789"/>
  </r>
  <r>
    <s v="EMP0685"/>
    <s v="Michael"/>
    <s v="Smith"/>
    <x v="0"/>
    <n v="50"/>
    <x v="0"/>
    <x v="4"/>
    <s v="2016-10-13"/>
    <n v="13"/>
    <n v="14"/>
    <n v="278689"/>
    <x v="0"/>
    <x v="0"/>
    <n v="36"/>
    <n v="316"/>
    <n v="159"/>
    <n v="157"/>
    <n v="49.650349650349654"/>
    <n v="50.24975024975025"/>
    <n v="147"/>
    <n v="169"/>
    <n v="47.5"/>
    <n v="52.5"/>
    <n v="14.645569620253164"/>
    <n v="48"/>
    <n v="54"/>
    <n v="3.5687500000000001"/>
    <n v="3.4277777777777789"/>
  </r>
  <r>
    <s v="EMP0686"/>
    <s v="Sarah"/>
    <s v="Garba"/>
    <x v="1"/>
    <n v="60"/>
    <x v="5"/>
    <x v="7"/>
    <s v="2023-06-10"/>
    <n v="16"/>
    <n v="23"/>
    <n v="353762"/>
    <x v="18"/>
    <x v="0"/>
    <n v="52"/>
    <n v="315"/>
    <n v="158"/>
    <n v="157"/>
    <n v="49.650349650349654"/>
    <n v="50.24975024975025"/>
    <n v="146"/>
    <n v="169"/>
    <n v="47.5"/>
    <n v="52.5"/>
    <n v="14.647619047619047"/>
    <n v="48"/>
    <n v="54"/>
    <n v="3.5687500000000001"/>
    <n v="3.4277777777777789"/>
  </r>
  <r>
    <s v="EMP0687"/>
    <s v="Michael"/>
    <s v="Johnson"/>
    <x v="1"/>
    <n v="26"/>
    <x v="4"/>
    <x v="7"/>
    <s v="2021-06-24"/>
    <n v="19"/>
    <n v="20"/>
    <n v="248428"/>
    <x v="15"/>
    <x v="0"/>
    <n v="32"/>
    <n v="314"/>
    <n v="158"/>
    <n v="156"/>
    <n v="49.650349650349654"/>
    <n v="50.24975024975025"/>
    <n v="145"/>
    <n v="169"/>
    <n v="47.5"/>
    <n v="52.5"/>
    <n v="14.621019108280255"/>
    <n v="47"/>
    <n v="54"/>
    <n v="3.5999999999999996"/>
    <n v="3.4277777777777789"/>
  </r>
  <r>
    <s v="EMP0688"/>
    <s v="Michael"/>
    <s v="Ahmed"/>
    <x v="0"/>
    <n v="48"/>
    <x v="3"/>
    <x v="8"/>
    <s v="2025-04-24"/>
    <n v="17"/>
    <n v="21"/>
    <n v="259539"/>
    <x v="14"/>
    <x v="0"/>
    <n v="46"/>
    <n v="313"/>
    <n v="158"/>
    <n v="155"/>
    <n v="49.650349650349654"/>
    <n v="50.24975024975025"/>
    <n v="144"/>
    <n v="169"/>
    <n v="47.5"/>
    <n v="52.5"/>
    <n v="14.603833865814696"/>
    <n v="47"/>
    <n v="54"/>
    <n v="3.5999999999999996"/>
    <n v="3.4277777777777789"/>
  </r>
  <r>
    <s v="EMP0689"/>
    <s v="Grace"/>
    <s v="Williams"/>
    <x v="0"/>
    <n v="43"/>
    <x v="6"/>
    <x v="5"/>
    <s v="2018-03-17"/>
    <n v="4"/>
    <n v="12"/>
    <n v="62727"/>
    <x v="10"/>
    <x v="1"/>
    <n v="82"/>
    <n v="312"/>
    <n v="157"/>
    <n v="155"/>
    <n v="49.650349650349654"/>
    <n v="50.24975024975025"/>
    <n v="143"/>
    <n v="169"/>
    <n v="47.5"/>
    <n v="52.5"/>
    <n v="14.583333333333334"/>
    <n v="47"/>
    <n v="54"/>
    <n v="3.5999999999999996"/>
    <n v="3.4277777777777789"/>
  </r>
  <r>
    <s v="EMP0690"/>
    <s v="Hauwa"/>
    <s v="Ahmed"/>
    <x v="0"/>
    <n v="54"/>
    <x v="3"/>
    <x v="4"/>
    <s v="2015-08-09"/>
    <n v="8"/>
    <n v="13"/>
    <n v="483715"/>
    <x v="7"/>
    <x v="0"/>
    <n v="51"/>
    <n v="311"/>
    <n v="156"/>
    <n v="155"/>
    <n v="49.650349650349654"/>
    <n v="50.24975024975025"/>
    <n v="143"/>
    <n v="168"/>
    <n v="47.5"/>
    <n v="52.5"/>
    <n v="14.591639871382636"/>
    <n v="47"/>
    <n v="54"/>
    <n v="3.5999999999999996"/>
    <n v="3.4277777777777789"/>
  </r>
  <r>
    <s v="EMP0691"/>
    <s v="Fatima"/>
    <s v="Musa"/>
    <x v="0"/>
    <n v="36"/>
    <x v="6"/>
    <x v="9"/>
    <s v="2018-04-06"/>
    <n v="14"/>
    <n v="18"/>
    <n v="172718"/>
    <x v="6"/>
    <x v="1"/>
    <n v="71"/>
    <n v="310"/>
    <n v="155"/>
    <n v="155"/>
    <n v="49.650349650349654"/>
    <n v="50.24975024975025"/>
    <n v="142"/>
    <n v="168"/>
    <n v="47.5"/>
    <n v="52.5"/>
    <n v="14.596774193548388"/>
    <n v="47"/>
    <n v="54"/>
    <n v="3.5999999999999996"/>
    <n v="3.4277777777777789"/>
  </r>
  <r>
    <s v="EMP0692"/>
    <s v="James"/>
    <s v="Jones"/>
    <x v="0"/>
    <n v="54"/>
    <x v="5"/>
    <x v="7"/>
    <s v="2017-08-07"/>
    <n v="16"/>
    <n v="16"/>
    <n v="464521"/>
    <x v="7"/>
    <x v="1"/>
    <n v="71"/>
    <n v="309"/>
    <n v="154"/>
    <n v="155"/>
    <n v="49.650349650349654"/>
    <n v="50.24975024975025"/>
    <n v="142"/>
    <n v="167"/>
    <n v="47.5"/>
    <n v="52.5"/>
    <n v="14.585760517799352"/>
    <n v="47"/>
    <n v="54"/>
    <n v="3.5999999999999996"/>
    <n v="3.4277777777777789"/>
  </r>
  <r>
    <s v="EMP0693"/>
    <s v="Grace"/>
    <s v="Williams"/>
    <x v="0"/>
    <n v="41"/>
    <x v="6"/>
    <x v="1"/>
    <s v="2017-01-18"/>
    <n v="4"/>
    <n v="8"/>
    <n v="462265"/>
    <x v="6"/>
    <x v="0"/>
    <n v="64"/>
    <n v="308"/>
    <n v="153"/>
    <n v="155"/>
    <n v="49.650349650349654"/>
    <n v="50.24975024975025"/>
    <n v="142"/>
    <n v="166"/>
    <n v="47.5"/>
    <n v="52.5"/>
    <n v="14.581168831168831"/>
    <n v="46"/>
    <n v="54"/>
    <n v="3.6086956521739126"/>
    <n v="3.4277777777777789"/>
  </r>
  <r>
    <s v="EMP0694"/>
    <s v="Sarah"/>
    <s v="Johnson"/>
    <x v="0"/>
    <n v="39"/>
    <x v="0"/>
    <x v="8"/>
    <s v="2023-09-15"/>
    <n v="11"/>
    <n v="16"/>
    <n v="230221"/>
    <x v="16"/>
    <x v="1"/>
    <n v="75"/>
    <n v="307"/>
    <n v="152"/>
    <n v="155"/>
    <n v="49.650349650349654"/>
    <n v="50.24975024975025"/>
    <n v="141"/>
    <n v="166"/>
    <n v="47.5"/>
    <n v="52.5"/>
    <n v="14.602605863192183"/>
    <n v="46"/>
    <n v="54"/>
    <n v="3.6086956521739126"/>
    <n v="3.4277777777777789"/>
  </r>
  <r>
    <s v="EMP0695"/>
    <s v="John"/>
    <s v="Ahmed"/>
    <x v="0"/>
    <n v="57"/>
    <x v="0"/>
    <x v="3"/>
    <s v="2018-12-14"/>
    <n v="2"/>
    <n v="3"/>
    <n v="466489"/>
    <x v="5"/>
    <x v="1"/>
    <n v="77"/>
    <n v="306"/>
    <n v="151"/>
    <n v="155"/>
    <n v="49.650349650349654"/>
    <n v="50.24975024975025"/>
    <n v="141"/>
    <n v="165"/>
    <n v="47.5"/>
    <n v="52.5"/>
    <n v="14.598039215686274"/>
    <n v="46"/>
    <n v="54"/>
    <n v="3.6086956521739126"/>
    <n v="3.4277777777777789"/>
  </r>
  <r>
    <s v="EMP0696"/>
    <s v="Amina"/>
    <s v="Ibrahim"/>
    <x v="0"/>
    <n v="52"/>
    <x v="0"/>
    <x v="5"/>
    <s v="2024-09-01"/>
    <n v="0"/>
    <n v="4"/>
    <n v="324730"/>
    <x v="12"/>
    <x v="0"/>
    <n v="30"/>
    <n v="305"/>
    <n v="150"/>
    <n v="155"/>
    <n v="49.650349650349654"/>
    <n v="50.24975024975025"/>
    <n v="141"/>
    <n v="164"/>
    <n v="47.5"/>
    <n v="52.5"/>
    <n v="14.636065573770491"/>
    <n v="46"/>
    <n v="54"/>
    <n v="3.6086956521739126"/>
    <n v="3.4277777777777789"/>
  </r>
  <r>
    <s v="EMP0697"/>
    <s v="Peter"/>
    <s v="Smith"/>
    <x v="0"/>
    <n v="55"/>
    <x v="4"/>
    <x v="9"/>
    <s v="2020-06-01"/>
    <n v="2"/>
    <n v="7"/>
    <n v="239140"/>
    <x v="21"/>
    <x v="0"/>
    <n v="43"/>
    <n v="304"/>
    <n v="149"/>
    <n v="155"/>
    <n v="49.650349650349654"/>
    <n v="50.24975024975025"/>
    <n v="140"/>
    <n v="164"/>
    <n v="47.5"/>
    <n v="52.5"/>
    <n v="14.671052631578947"/>
    <n v="46"/>
    <n v="54"/>
    <n v="3.6086956521739126"/>
    <n v="3.4277777777777789"/>
  </r>
  <r>
    <s v="EMP0698"/>
    <s v="John"/>
    <s v="Brown"/>
    <x v="1"/>
    <n v="25"/>
    <x v="5"/>
    <x v="9"/>
    <s v="2020-05-30"/>
    <n v="1"/>
    <n v="7"/>
    <n v="83294"/>
    <x v="16"/>
    <x v="0"/>
    <n v="32"/>
    <n v="303"/>
    <n v="148"/>
    <n v="155"/>
    <n v="49.650349650349654"/>
    <n v="50.24975024975025"/>
    <n v="139"/>
    <n v="164"/>
    <n v="47.5"/>
    <n v="52.5"/>
    <n v="14.696369636963697"/>
    <n v="46"/>
    <n v="54"/>
    <n v="3.6086956521739126"/>
    <n v="3.4277777777777789"/>
  </r>
  <r>
    <s v="EMP0699"/>
    <s v="Michael"/>
    <s v="Johnson"/>
    <x v="1"/>
    <n v="29"/>
    <x v="2"/>
    <x v="3"/>
    <s v="2018-06-28"/>
    <n v="12"/>
    <n v="17"/>
    <n v="343608"/>
    <x v="22"/>
    <x v="1"/>
    <n v="88"/>
    <n v="302"/>
    <n v="148"/>
    <n v="154"/>
    <n v="49.650349650349654"/>
    <n v="50.24975024975025"/>
    <n v="138"/>
    <n v="164"/>
    <n v="47.5"/>
    <n v="52.5"/>
    <n v="14.721854304635762"/>
    <n v="45"/>
    <n v="54"/>
    <n v="3.5777777777777779"/>
    <n v="3.4277777777777789"/>
  </r>
  <r>
    <s v="EMP0700"/>
    <s v="James"/>
    <s v="Musa"/>
    <x v="0"/>
    <n v="59"/>
    <x v="5"/>
    <x v="5"/>
    <s v="2020-07-06"/>
    <n v="13"/>
    <n v="22"/>
    <n v="355355"/>
    <x v="24"/>
    <x v="0"/>
    <n v="62"/>
    <n v="301"/>
    <n v="148"/>
    <n v="153"/>
    <n v="49.650349650349654"/>
    <n v="50.24975024975025"/>
    <n v="138"/>
    <n v="163"/>
    <n v="47.5"/>
    <n v="52.5"/>
    <n v="14.714285714285714"/>
    <n v="45"/>
    <n v="54"/>
    <n v="3.5777777777777779"/>
    <n v="3.4277777777777789"/>
  </r>
  <r>
    <s v="EMP0701"/>
    <s v="Michael"/>
    <s v="Ibrahim"/>
    <x v="1"/>
    <n v="54"/>
    <x v="0"/>
    <x v="5"/>
    <s v="2018-06-02"/>
    <n v="20"/>
    <n v="26"/>
    <n v="284777"/>
    <x v="2"/>
    <x v="0"/>
    <n v="32"/>
    <n v="300"/>
    <n v="147"/>
    <n v="153"/>
    <n v="49.650349650349654"/>
    <n v="50.24975024975025"/>
    <n v="137"/>
    <n v="163"/>
    <n v="47.5"/>
    <n v="52.5"/>
    <n v="14.69"/>
    <n v="44"/>
    <n v="54"/>
    <n v="3.5772727272727276"/>
    <n v="3.4277777777777789"/>
  </r>
  <r>
    <s v="EMP0702"/>
    <s v="Grace"/>
    <s v="Smith"/>
    <x v="0"/>
    <n v="60"/>
    <x v="1"/>
    <x v="1"/>
    <s v="2015-06-22"/>
    <n v="2"/>
    <n v="4"/>
    <n v="499071"/>
    <x v="18"/>
    <x v="0"/>
    <n v="43"/>
    <n v="299"/>
    <n v="147"/>
    <n v="152"/>
    <n v="49.650349650349654"/>
    <n v="50.24975024975025"/>
    <n v="136"/>
    <n v="163"/>
    <n v="47.5"/>
    <n v="52.5"/>
    <n v="14.652173913043478"/>
    <n v="44"/>
    <n v="54"/>
    <n v="3.5772727272727276"/>
    <n v="3.4277777777777789"/>
  </r>
  <r>
    <s v="EMP0703"/>
    <s v="Michael"/>
    <s v="Musa"/>
    <x v="1"/>
    <n v="45"/>
    <x v="6"/>
    <x v="1"/>
    <s v="2018-07-20"/>
    <n v="3"/>
    <n v="10"/>
    <n v="393943"/>
    <x v="14"/>
    <x v="0"/>
    <n v="36"/>
    <n v="298"/>
    <n v="146"/>
    <n v="152"/>
    <n v="49.650349650349654"/>
    <n v="50.24975024975025"/>
    <n v="135"/>
    <n v="163"/>
    <n v="47.5"/>
    <n v="52.5"/>
    <n v="14.687919463087248"/>
    <n v="44"/>
    <n v="53"/>
    <n v="3.5772727272727276"/>
    <n v="3.4528301886792456"/>
  </r>
  <r>
    <s v="EMP0704"/>
    <s v="Daniel"/>
    <s v="Smith"/>
    <x v="0"/>
    <n v="53"/>
    <x v="2"/>
    <x v="6"/>
    <s v="2023-06-27"/>
    <n v="20"/>
    <n v="23"/>
    <n v="286731"/>
    <x v="16"/>
    <x v="1"/>
    <n v="100"/>
    <n v="297"/>
    <n v="146"/>
    <n v="151"/>
    <n v="49.650349650349654"/>
    <n v="50.24975024975025"/>
    <n v="134"/>
    <n v="163"/>
    <n v="47.5"/>
    <n v="52.5"/>
    <n v="14.703703703703704"/>
    <n v="44"/>
    <n v="53"/>
    <n v="3.5772727272727276"/>
    <n v="3.4528301886792456"/>
  </r>
  <r>
    <s v="EMP0705"/>
    <s v="Grace"/>
    <s v="Smith"/>
    <x v="1"/>
    <n v="29"/>
    <x v="5"/>
    <x v="7"/>
    <s v="2019-10-21"/>
    <n v="10"/>
    <n v="18"/>
    <n v="93617"/>
    <x v="17"/>
    <x v="1"/>
    <n v="87"/>
    <n v="296"/>
    <n v="145"/>
    <n v="151"/>
    <n v="49.650349650349654"/>
    <n v="50.24975024975025"/>
    <n v="134"/>
    <n v="162"/>
    <n v="47.5"/>
    <n v="52.5"/>
    <n v="14.675675675675675"/>
    <n v="44"/>
    <n v="53"/>
    <n v="3.5772727272727276"/>
    <n v="3.4528301886792456"/>
  </r>
  <r>
    <s v="EMP0706"/>
    <s v="Grace"/>
    <s v="Ibrahim"/>
    <x v="0"/>
    <n v="44"/>
    <x v="3"/>
    <x v="6"/>
    <s v="2015-05-24"/>
    <n v="1"/>
    <n v="11"/>
    <n v="450551"/>
    <x v="22"/>
    <x v="1"/>
    <n v="97"/>
    <n v="295"/>
    <n v="145"/>
    <n v="150"/>
    <n v="49.650349650349654"/>
    <n v="50.24975024975025"/>
    <n v="134"/>
    <n v="161"/>
    <n v="47.5"/>
    <n v="52.5"/>
    <n v="14.664406779661016"/>
    <n v="43"/>
    <n v="53"/>
    <n v="3.5558139534883724"/>
    <n v="3.4528301886792456"/>
  </r>
  <r>
    <s v="EMP0707"/>
    <s v="Michael"/>
    <s v="Williams"/>
    <x v="1"/>
    <n v="26"/>
    <x v="4"/>
    <x v="7"/>
    <s v="2016-01-23"/>
    <n v="7"/>
    <n v="8"/>
    <n v="80406"/>
    <x v="10"/>
    <x v="1"/>
    <n v="79"/>
    <n v="294"/>
    <n v="144"/>
    <n v="150"/>
    <n v="49.650349650349654"/>
    <n v="50.24975024975025"/>
    <n v="134"/>
    <n v="160"/>
    <n v="47.5"/>
    <n v="52.5"/>
    <n v="14.67687074829932"/>
    <n v="43"/>
    <n v="53"/>
    <n v="3.5558139534883724"/>
    <n v="3.4528301886792456"/>
  </r>
  <r>
    <s v="EMP0708"/>
    <s v="Amina"/>
    <s v="Musa"/>
    <x v="0"/>
    <n v="35"/>
    <x v="0"/>
    <x v="5"/>
    <s v="2023-05-22"/>
    <n v="8"/>
    <n v="18"/>
    <n v="168988"/>
    <x v="16"/>
    <x v="0"/>
    <n v="68"/>
    <n v="293"/>
    <n v="144"/>
    <n v="149"/>
    <n v="49.650349650349654"/>
    <n v="50.24975024975025"/>
    <n v="134"/>
    <n v="159"/>
    <n v="47.5"/>
    <n v="52.5"/>
    <n v="14.699658703071673"/>
    <n v="43"/>
    <n v="53"/>
    <n v="3.5558139534883724"/>
    <n v="3.4528301886792456"/>
  </r>
  <r>
    <s v="EMP0709"/>
    <s v="Peter"/>
    <s v="Garba"/>
    <x v="1"/>
    <n v="37"/>
    <x v="5"/>
    <x v="4"/>
    <s v="2014-05-15"/>
    <n v="11"/>
    <n v="12"/>
    <n v="424228"/>
    <x v="10"/>
    <x v="1"/>
    <n v="97"/>
    <n v="292"/>
    <n v="143"/>
    <n v="149"/>
    <n v="49.650349650349654"/>
    <n v="50.24975024975025"/>
    <n v="133"/>
    <n v="159"/>
    <n v="47.5"/>
    <n v="52.5"/>
    <n v="14.688356164383562"/>
    <n v="43"/>
    <n v="53"/>
    <n v="3.5558139534883724"/>
    <n v="3.4528301886792456"/>
  </r>
  <r>
    <s v="EMP0710"/>
    <s v="Sarah"/>
    <s v="Johnson"/>
    <x v="1"/>
    <n v="33"/>
    <x v="4"/>
    <x v="4"/>
    <s v="2025-03-27"/>
    <n v="17"/>
    <n v="26"/>
    <n v="351310"/>
    <x v="10"/>
    <x v="1"/>
    <n v="91"/>
    <n v="291"/>
    <n v="143"/>
    <n v="148"/>
    <n v="49.650349650349654"/>
    <n v="50.24975024975025"/>
    <n v="133"/>
    <n v="158"/>
    <n v="47.5"/>
    <n v="52.5"/>
    <n v="14.697594501718212"/>
    <n v="42"/>
    <n v="53"/>
    <n v="3.5666666666666664"/>
    <n v="3.4528301886792456"/>
  </r>
  <r>
    <s v="EMP0711"/>
    <s v="Daniel"/>
    <s v="Johnson"/>
    <x v="0"/>
    <n v="24"/>
    <x v="2"/>
    <x v="1"/>
    <s v="2013-12-10"/>
    <n v="17"/>
    <n v="20"/>
    <n v="497271"/>
    <x v="19"/>
    <x v="0"/>
    <n v="40"/>
    <n v="290"/>
    <n v="143"/>
    <n v="147"/>
    <n v="49.650349650349654"/>
    <n v="50.24975024975025"/>
    <n v="133"/>
    <n v="157"/>
    <n v="47.5"/>
    <n v="52.5"/>
    <n v="14.658620689655173"/>
    <n v="42"/>
    <n v="53"/>
    <n v="3.5666666666666664"/>
    <n v="3.4528301886792456"/>
  </r>
  <r>
    <s v="EMP0712"/>
    <s v="John"/>
    <s v="Johnson"/>
    <x v="1"/>
    <n v="39"/>
    <x v="1"/>
    <x v="9"/>
    <s v="2020-01-28"/>
    <n v="16"/>
    <n v="21"/>
    <n v="461680"/>
    <x v="5"/>
    <x v="0"/>
    <n v="32"/>
    <n v="289"/>
    <n v="142"/>
    <n v="147"/>
    <n v="49.650349650349654"/>
    <n v="50.24975024975025"/>
    <n v="132"/>
    <n v="157"/>
    <n v="47.5"/>
    <n v="52.5"/>
    <n v="14.640138408304498"/>
    <n v="42"/>
    <n v="53"/>
    <n v="3.5666666666666664"/>
    <n v="3.4528301886792456"/>
  </r>
  <r>
    <s v="EMP0713"/>
    <s v="Daniel"/>
    <s v="Smith"/>
    <x v="1"/>
    <n v="30"/>
    <x v="1"/>
    <x v="1"/>
    <s v="2019-02-09"/>
    <n v="1"/>
    <n v="9"/>
    <n v="205159"/>
    <x v="18"/>
    <x v="0"/>
    <n v="69"/>
    <n v="288"/>
    <n v="142"/>
    <n v="146"/>
    <n v="49.650349650349654"/>
    <n v="50.24975024975025"/>
    <n v="131"/>
    <n v="157"/>
    <n v="47.5"/>
    <n v="52.5"/>
    <n v="14.618055555555555"/>
    <n v="42"/>
    <n v="52"/>
    <n v="3.5666666666666664"/>
    <n v="3.4250000000000003"/>
  </r>
  <r>
    <s v="EMP0714"/>
    <s v="Sarah"/>
    <s v="Garba"/>
    <x v="1"/>
    <n v="58"/>
    <x v="6"/>
    <x v="2"/>
    <s v="2019-12-24"/>
    <n v="0"/>
    <n v="3"/>
    <n v="158452"/>
    <x v="16"/>
    <x v="1"/>
    <n v="76"/>
    <n v="287"/>
    <n v="142"/>
    <n v="145"/>
    <n v="49.650349650349654"/>
    <n v="50.24975024975025"/>
    <n v="130"/>
    <n v="157"/>
    <n v="47.5"/>
    <n v="52.5"/>
    <n v="14.637630662020905"/>
    <n v="42"/>
    <n v="51"/>
    <n v="3.5666666666666664"/>
    <n v="3.4509803921568634"/>
  </r>
  <r>
    <s v="EMP0715"/>
    <s v="Amina"/>
    <s v="Ibrahim"/>
    <x v="1"/>
    <n v="50"/>
    <x v="2"/>
    <x v="6"/>
    <s v="2015-04-29"/>
    <n v="0"/>
    <n v="8"/>
    <n v="90696"/>
    <x v="16"/>
    <x v="0"/>
    <n v="65"/>
    <n v="286"/>
    <n v="142"/>
    <n v="144"/>
    <n v="49.650349650349654"/>
    <n v="50.24975024975025"/>
    <n v="130"/>
    <n v="156"/>
    <n v="47.5"/>
    <n v="52.5"/>
    <n v="14.678321678321678"/>
    <n v="42"/>
    <n v="51"/>
    <n v="3.5666666666666664"/>
    <n v="3.4509803921568634"/>
  </r>
  <r>
    <s v="EMP0716"/>
    <s v="Amina"/>
    <s v="Ahmed"/>
    <x v="1"/>
    <n v="22"/>
    <x v="1"/>
    <x v="5"/>
    <s v="2017-08-06"/>
    <n v="13"/>
    <n v="22"/>
    <n v="442738"/>
    <x v="28"/>
    <x v="1"/>
    <n v="99"/>
    <n v="285"/>
    <n v="142"/>
    <n v="143"/>
    <n v="49.650349650349654"/>
    <n v="50.24975024975025"/>
    <n v="129"/>
    <n v="156"/>
    <n v="47.5"/>
    <n v="52.5"/>
    <n v="14.701754385964913"/>
    <n v="42"/>
    <n v="51"/>
    <n v="3.5666666666666664"/>
    <n v="3.4509803921568634"/>
  </r>
  <r>
    <s v="EMP0717"/>
    <s v="James"/>
    <s v="Johnson"/>
    <x v="1"/>
    <n v="36"/>
    <x v="4"/>
    <x v="2"/>
    <s v="2013-05-30"/>
    <n v="15"/>
    <n v="23"/>
    <n v="490457"/>
    <x v="26"/>
    <x v="1"/>
    <n v="79"/>
    <n v="284"/>
    <n v="142"/>
    <n v="142"/>
    <n v="49.650349650349654"/>
    <n v="50.24975024975025"/>
    <n v="129"/>
    <n v="155"/>
    <n v="47.5"/>
    <n v="52.5"/>
    <n v="14.67605633802817"/>
    <n v="42"/>
    <n v="50"/>
    <n v="3.5666666666666664"/>
    <n v="3.4340000000000002"/>
  </r>
  <r>
    <s v="EMP0718"/>
    <s v="David"/>
    <s v="Smith"/>
    <x v="1"/>
    <n v="48"/>
    <x v="1"/>
    <x v="0"/>
    <s v="2015-06-02"/>
    <n v="19"/>
    <n v="23"/>
    <n v="141739"/>
    <x v="0"/>
    <x v="1"/>
    <n v="71"/>
    <n v="283"/>
    <n v="142"/>
    <n v="141"/>
    <n v="49.650349650349654"/>
    <n v="50.24975024975025"/>
    <n v="129"/>
    <n v="154"/>
    <n v="47.5"/>
    <n v="52.5"/>
    <n v="14.646643109540635"/>
    <n v="42"/>
    <n v="50"/>
    <n v="3.5666666666666664"/>
    <n v="3.4340000000000002"/>
  </r>
  <r>
    <s v="EMP0719"/>
    <s v="James"/>
    <s v="Brown"/>
    <x v="1"/>
    <n v="59"/>
    <x v="4"/>
    <x v="5"/>
    <s v="2012-03-25"/>
    <n v="4"/>
    <n v="13"/>
    <n v="297609"/>
    <x v="5"/>
    <x v="0"/>
    <n v="58"/>
    <n v="282"/>
    <n v="142"/>
    <n v="140"/>
    <n v="49.650349650349654"/>
    <n v="50.24975024975025"/>
    <n v="129"/>
    <n v="153"/>
    <n v="47.5"/>
    <n v="52.5"/>
    <n v="14.617021276595745"/>
    <n v="42"/>
    <n v="49"/>
    <n v="3.5666666666666664"/>
    <n v="3.4489795918367352"/>
  </r>
  <r>
    <s v="EMP0720"/>
    <s v="James"/>
    <s v="Musa"/>
    <x v="1"/>
    <n v="43"/>
    <x v="1"/>
    <x v="0"/>
    <s v="2017-01-24"/>
    <n v="19"/>
    <n v="28"/>
    <n v="346534"/>
    <x v="5"/>
    <x v="0"/>
    <n v="38"/>
    <n v="281"/>
    <n v="142"/>
    <n v="139"/>
    <n v="49.650349650349654"/>
    <n v="50.24975024975025"/>
    <n v="128"/>
    <n v="153"/>
    <n v="47.5"/>
    <n v="52.5"/>
    <n v="14.622775800711743"/>
    <n v="42"/>
    <n v="49"/>
    <n v="3.5666666666666664"/>
    <n v="3.4489795918367352"/>
  </r>
  <r>
    <s v="EMP0721"/>
    <s v="Sarah"/>
    <s v="Brown"/>
    <x v="1"/>
    <n v="40"/>
    <x v="5"/>
    <x v="5"/>
    <s v="2025-03-21"/>
    <n v="0"/>
    <n v="9"/>
    <n v="119525"/>
    <x v="9"/>
    <x v="1"/>
    <n v="81"/>
    <n v="280"/>
    <n v="142"/>
    <n v="138"/>
    <n v="49.650349650349654"/>
    <n v="50.24975024975025"/>
    <n v="127"/>
    <n v="153"/>
    <n v="47.5"/>
    <n v="52.5"/>
    <n v="14.574999999999999"/>
    <n v="42"/>
    <n v="48"/>
    <n v="3.5666666666666664"/>
    <n v="3.4187500000000006"/>
  </r>
  <r>
    <s v="EMP0722"/>
    <s v="Grace"/>
    <s v="Smith"/>
    <x v="0"/>
    <n v="30"/>
    <x v="1"/>
    <x v="3"/>
    <s v="2021-09-19"/>
    <n v="20"/>
    <n v="20"/>
    <n v="85141"/>
    <x v="1"/>
    <x v="1"/>
    <n v="97"/>
    <n v="279"/>
    <n v="142"/>
    <n v="137"/>
    <n v="49.650349650349654"/>
    <n v="50.24975024975025"/>
    <n v="127"/>
    <n v="152"/>
    <n v="47.5"/>
    <n v="52.5"/>
    <n v="14.594982078853047"/>
    <n v="41"/>
    <n v="48"/>
    <n v="3.5536585365853655"/>
    <n v="3.4187500000000006"/>
  </r>
  <r>
    <s v="EMP0723"/>
    <s v="Sarah"/>
    <s v="Johnson"/>
    <x v="0"/>
    <n v="36"/>
    <x v="5"/>
    <x v="4"/>
    <s v="2012-04-11"/>
    <n v="19"/>
    <n v="22"/>
    <n v="112816"/>
    <x v="7"/>
    <x v="1"/>
    <n v="75"/>
    <n v="278"/>
    <n v="141"/>
    <n v="137"/>
    <n v="49.650349650349654"/>
    <n v="50.24975024975025"/>
    <n v="127"/>
    <n v="151"/>
    <n v="47.5"/>
    <n v="52.5"/>
    <n v="14.575539568345324"/>
    <n v="41"/>
    <n v="47"/>
    <n v="3.5536585365853655"/>
    <n v="3.4446808510638305"/>
  </r>
  <r>
    <s v="EMP0724"/>
    <s v="Peter"/>
    <s v="Williams"/>
    <x v="1"/>
    <n v="52"/>
    <x v="6"/>
    <x v="0"/>
    <s v="2013-06-19"/>
    <n v="1"/>
    <n v="6"/>
    <n v="107088"/>
    <x v="26"/>
    <x v="1"/>
    <n v="80"/>
    <n v="277"/>
    <n v="140"/>
    <n v="137"/>
    <n v="49.650349650349654"/>
    <n v="50.24975024975025"/>
    <n v="127"/>
    <n v="150"/>
    <n v="47.5"/>
    <n v="52.5"/>
    <n v="14.548736462093864"/>
    <n v="40"/>
    <n v="47"/>
    <n v="3.5625"/>
    <n v="3.4446808510638305"/>
  </r>
  <r>
    <s v="EMP0725"/>
    <s v="Mary"/>
    <s v="Garba"/>
    <x v="1"/>
    <n v="49"/>
    <x v="3"/>
    <x v="6"/>
    <s v="2021-11-16"/>
    <n v="13"/>
    <n v="16"/>
    <n v="85398"/>
    <x v="1"/>
    <x v="1"/>
    <n v="82"/>
    <n v="276"/>
    <n v="140"/>
    <n v="136"/>
    <n v="49.650349650349654"/>
    <n v="50.24975024975025"/>
    <n v="127"/>
    <n v="149"/>
    <n v="47.5"/>
    <n v="52.5"/>
    <n v="14.579710144927537"/>
    <n v="40"/>
    <n v="47"/>
    <n v="3.5625"/>
    <n v="3.4446808510638305"/>
  </r>
  <r>
    <s v="EMP0726"/>
    <s v="Daniel"/>
    <s v="Ibrahim"/>
    <x v="0"/>
    <n v="45"/>
    <x v="4"/>
    <x v="6"/>
    <s v="2016-04-09"/>
    <n v="8"/>
    <n v="9"/>
    <n v="498104"/>
    <x v="12"/>
    <x v="0"/>
    <n v="63"/>
    <n v="275"/>
    <n v="140"/>
    <n v="135"/>
    <n v="49.650349650349654"/>
    <n v="50.24975024975025"/>
    <n v="127"/>
    <n v="148"/>
    <n v="47.5"/>
    <n v="52.5"/>
    <n v="14.574545454545454"/>
    <n v="40"/>
    <n v="47"/>
    <n v="3.5625"/>
    <n v="3.4446808510638305"/>
  </r>
  <r>
    <s v="EMP0727"/>
    <s v="Mary"/>
    <s v="Jones"/>
    <x v="0"/>
    <n v="22"/>
    <x v="6"/>
    <x v="6"/>
    <s v="2024-05-02"/>
    <n v="9"/>
    <n v="9"/>
    <n v="108344"/>
    <x v="9"/>
    <x v="1"/>
    <n v="76"/>
    <n v="274"/>
    <n v="139"/>
    <n v="135"/>
    <n v="49.650349650349654"/>
    <n v="50.24975024975025"/>
    <n v="126"/>
    <n v="148"/>
    <n v="47.5"/>
    <n v="52.5"/>
    <n v="14.594890510948906"/>
    <n v="40"/>
    <n v="47"/>
    <n v="3.5625"/>
    <n v="3.4446808510638305"/>
  </r>
  <r>
    <s v="EMP0728"/>
    <s v="David"/>
    <s v="Ibrahim"/>
    <x v="1"/>
    <n v="28"/>
    <x v="1"/>
    <x v="3"/>
    <s v="2022-10-03"/>
    <n v="0"/>
    <n v="0"/>
    <n v="80482"/>
    <x v="12"/>
    <x v="0"/>
    <n v="62"/>
    <n v="273"/>
    <n v="138"/>
    <n v="135"/>
    <n v="49.650349650349654"/>
    <n v="50.24975024975025"/>
    <n v="126"/>
    <n v="147"/>
    <n v="47.5"/>
    <n v="52.5"/>
    <n v="14.615384615384615"/>
    <n v="40"/>
    <n v="47"/>
    <n v="3.5625"/>
    <n v="3.4446808510638305"/>
  </r>
  <r>
    <s v="EMP0729"/>
    <s v="Sarah"/>
    <s v="Musa"/>
    <x v="0"/>
    <n v="24"/>
    <x v="0"/>
    <x v="2"/>
    <s v="2015-11-10"/>
    <n v="6"/>
    <n v="13"/>
    <n v="373395"/>
    <x v="21"/>
    <x v="0"/>
    <n v="34"/>
    <n v="272"/>
    <n v="138"/>
    <n v="134"/>
    <n v="49.650349650349654"/>
    <n v="50.24975024975025"/>
    <n v="125"/>
    <n v="147"/>
    <n v="47.5"/>
    <n v="52.5"/>
    <n v="14.669117647058824"/>
    <n v="40"/>
    <n v="46"/>
    <n v="3.5625"/>
    <n v="3.4456521739130439"/>
  </r>
  <r>
    <s v="EMP0730"/>
    <s v="Mary"/>
    <s v="Musa"/>
    <x v="1"/>
    <n v="34"/>
    <x v="3"/>
    <x v="5"/>
    <s v="2023-11-19"/>
    <n v="13"/>
    <n v="13"/>
    <n v="397760"/>
    <x v="18"/>
    <x v="0"/>
    <n v="30"/>
    <n v="271"/>
    <n v="137"/>
    <n v="134"/>
    <n v="49.650349650349654"/>
    <n v="50.24975024975025"/>
    <n v="124"/>
    <n v="147"/>
    <n v="47.5"/>
    <n v="52.5"/>
    <n v="14.675276752767529"/>
    <n v="40"/>
    <n v="46"/>
    <n v="3.5625"/>
    <n v="3.4456521739130439"/>
  </r>
  <r>
    <s v="EMP0731"/>
    <s v="Michael"/>
    <s v="Williams"/>
    <x v="1"/>
    <n v="50"/>
    <x v="4"/>
    <x v="6"/>
    <s v="2017-02-11"/>
    <n v="19"/>
    <n v="24"/>
    <n v="434269"/>
    <x v="21"/>
    <x v="1"/>
    <n v="84"/>
    <n v="270"/>
    <n v="137"/>
    <n v="133"/>
    <n v="49.650349650349654"/>
    <n v="50.24975024975025"/>
    <n v="123"/>
    <n v="147"/>
    <n v="47.5"/>
    <n v="52.5"/>
    <n v="14.681481481481482"/>
    <n v="40"/>
    <n v="46"/>
    <n v="3.5625"/>
    <n v="3.4456521739130439"/>
  </r>
  <r>
    <s v="EMP0732"/>
    <s v="James"/>
    <s v="Johnson"/>
    <x v="0"/>
    <n v="35"/>
    <x v="1"/>
    <x v="3"/>
    <s v="2016-12-30"/>
    <n v="10"/>
    <n v="12"/>
    <n v="450082"/>
    <x v="19"/>
    <x v="1"/>
    <n v="86"/>
    <n v="269"/>
    <n v="137"/>
    <n v="132"/>
    <n v="49.650349650349654"/>
    <n v="50.24975024975025"/>
    <n v="123"/>
    <n v="146"/>
    <n v="47.5"/>
    <n v="52.5"/>
    <n v="14.646840148698885"/>
    <n v="40"/>
    <n v="46"/>
    <n v="3.5625"/>
    <n v="3.4456521739130439"/>
  </r>
  <r>
    <s v="EMP0733"/>
    <s v="Michael"/>
    <s v="Johnson"/>
    <x v="1"/>
    <n v="29"/>
    <x v="5"/>
    <x v="5"/>
    <s v="2018-08-18"/>
    <n v="10"/>
    <n v="20"/>
    <n v="124399"/>
    <x v="23"/>
    <x v="0"/>
    <n v="52"/>
    <n v="268"/>
    <n v="136"/>
    <n v="132"/>
    <n v="49.650349650349654"/>
    <n v="50.24975024975025"/>
    <n v="123"/>
    <n v="145"/>
    <n v="47.5"/>
    <n v="52.5"/>
    <n v="14.656716417910447"/>
    <n v="40"/>
    <n v="45"/>
    <n v="3.5625"/>
    <n v="3.4711111111111115"/>
  </r>
  <r>
    <s v="EMP0734"/>
    <s v="Peter"/>
    <s v="Brown"/>
    <x v="1"/>
    <n v="44"/>
    <x v="4"/>
    <x v="1"/>
    <s v="2024-11-27"/>
    <n v="8"/>
    <n v="11"/>
    <n v="279960"/>
    <x v="13"/>
    <x v="1"/>
    <n v="81"/>
    <n v="267"/>
    <n v="136"/>
    <n v="131"/>
    <n v="49.650349650349654"/>
    <n v="50.24975024975025"/>
    <n v="122"/>
    <n v="145"/>
    <n v="47.5"/>
    <n v="52.5"/>
    <n v="14.636704119850187"/>
    <n v="39"/>
    <n v="45"/>
    <n v="3.5307692307692307"/>
    <n v="3.4711111111111115"/>
  </r>
  <r>
    <s v="EMP0735"/>
    <s v="Fatima"/>
    <s v="Ahmed"/>
    <x v="0"/>
    <n v="33"/>
    <x v="3"/>
    <x v="4"/>
    <s v="2020-04-19"/>
    <n v="20"/>
    <n v="20"/>
    <n v="73911"/>
    <x v="5"/>
    <x v="1"/>
    <n v="84"/>
    <n v="266"/>
    <n v="136"/>
    <n v="130"/>
    <n v="49.650349650349654"/>
    <n v="50.24975024975025"/>
    <n v="122"/>
    <n v="144"/>
    <n v="47.5"/>
    <n v="52.5"/>
    <n v="14.650375939849624"/>
    <n v="39"/>
    <n v="45"/>
    <n v="3.5307692307692307"/>
    <n v="3.4711111111111115"/>
  </r>
  <r>
    <s v="EMP0736"/>
    <s v="Hauwa"/>
    <s v="Ahmed"/>
    <x v="0"/>
    <n v="34"/>
    <x v="3"/>
    <x v="1"/>
    <s v="2016-10-11"/>
    <n v="4"/>
    <n v="9"/>
    <n v="154371"/>
    <x v="25"/>
    <x v="1"/>
    <n v="93"/>
    <n v="265"/>
    <n v="135"/>
    <n v="130"/>
    <n v="49.650349650349654"/>
    <n v="50.24975024975025"/>
    <n v="122"/>
    <n v="143"/>
    <n v="47.5"/>
    <n v="52.5"/>
    <n v="14.630188679245283"/>
    <n v="39"/>
    <n v="45"/>
    <n v="3.5307692307692307"/>
    <n v="3.4711111111111115"/>
  </r>
  <r>
    <s v="EMP0737"/>
    <s v="James"/>
    <s v="Jones"/>
    <x v="0"/>
    <n v="41"/>
    <x v="0"/>
    <x v="2"/>
    <s v="2015-04-07"/>
    <n v="18"/>
    <n v="28"/>
    <n v="491409"/>
    <x v="11"/>
    <x v="0"/>
    <n v="51"/>
    <n v="264"/>
    <n v="134"/>
    <n v="130"/>
    <n v="49.650349650349654"/>
    <n v="50.24975024975025"/>
    <n v="122"/>
    <n v="142"/>
    <n v="47.5"/>
    <n v="52.5"/>
    <n v="14.651515151515152"/>
    <n v="39"/>
    <n v="45"/>
    <n v="3.5307692307692307"/>
    <n v="3.4711111111111115"/>
  </r>
  <r>
    <s v="EMP0738"/>
    <s v="John"/>
    <s v="Williams"/>
    <x v="0"/>
    <n v="22"/>
    <x v="1"/>
    <x v="0"/>
    <s v="2014-09-06"/>
    <n v="15"/>
    <n v="23"/>
    <n v="188493"/>
    <x v="29"/>
    <x v="0"/>
    <n v="32"/>
    <n v="263"/>
    <n v="133"/>
    <n v="130"/>
    <n v="49.650349650349654"/>
    <n v="50.24975024975025"/>
    <n v="121"/>
    <n v="142"/>
    <n v="47.5"/>
    <n v="52.5"/>
    <n v="14.600760456273765"/>
    <n v="39"/>
    <n v="45"/>
    <n v="3.5307692307692307"/>
    <n v="3.4711111111111115"/>
  </r>
  <r>
    <s v="EMP0739"/>
    <s v="John"/>
    <s v="Musa"/>
    <x v="1"/>
    <n v="58"/>
    <x v="6"/>
    <x v="4"/>
    <s v="2023-09-08"/>
    <n v="10"/>
    <n v="13"/>
    <n v="264935"/>
    <x v="6"/>
    <x v="0"/>
    <n v="54"/>
    <n v="262"/>
    <n v="132"/>
    <n v="130"/>
    <n v="49.650349650349654"/>
    <n v="50.24975024975025"/>
    <n v="120"/>
    <n v="142"/>
    <n v="47.5"/>
    <n v="52.5"/>
    <n v="14.568702290076336"/>
    <n v="39"/>
    <n v="44"/>
    <n v="3.5307692307692307"/>
    <n v="3.4818181818181824"/>
  </r>
  <r>
    <s v="EMP0740"/>
    <s v="Fatima"/>
    <s v="Williams"/>
    <x v="0"/>
    <n v="57"/>
    <x v="0"/>
    <x v="4"/>
    <s v="2023-03-18"/>
    <n v="0"/>
    <n v="3"/>
    <n v="298783"/>
    <x v="21"/>
    <x v="0"/>
    <n v="54"/>
    <n v="261"/>
    <n v="132"/>
    <n v="129"/>
    <n v="49.650349650349654"/>
    <n v="50.24975024975025"/>
    <n v="119"/>
    <n v="142"/>
    <n v="47.5"/>
    <n v="52.5"/>
    <n v="14.574712643678161"/>
    <n v="39"/>
    <n v="44"/>
    <n v="3.5307692307692307"/>
    <n v="3.4818181818181824"/>
  </r>
  <r>
    <s v="EMP0741"/>
    <s v="James"/>
    <s v="Okoro"/>
    <x v="0"/>
    <n v="50"/>
    <x v="6"/>
    <x v="2"/>
    <s v="2025-07-16"/>
    <n v="8"/>
    <n v="13"/>
    <n v="96787"/>
    <x v="30"/>
    <x v="0"/>
    <n v="50"/>
    <n v="260"/>
    <n v="131"/>
    <n v="129"/>
    <n v="49.650349650349654"/>
    <n v="50.24975024975025"/>
    <n v="118"/>
    <n v="142"/>
    <n v="47.5"/>
    <n v="52.5"/>
    <n v="14.61923076923077"/>
    <n v="39"/>
    <n v="44"/>
    <n v="3.5307692307692307"/>
    <n v="3.4818181818181824"/>
  </r>
  <r>
    <s v="EMP0742"/>
    <s v="Amina"/>
    <s v="Johnson"/>
    <x v="1"/>
    <n v="54"/>
    <x v="5"/>
    <x v="4"/>
    <s v="2021-11-19"/>
    <n v="7"/>
    <n v="17"/>
    <n v="348862"/>
    <x v="24"/>
    <x v="0"/>
    <n v="61"/>
    <n v="259"/>
    <n v="130"/>
    <n v="129"/>
    <n v="49.650349650349654"/>
    <n v="50.24975024975025"/>
    <n v="117"/>
    <n v="142"/>
    <n v="47.5"/>
    <n v="52.5"/>
    <n v="14.625482625482626"/>
    <n v="39"/>
    <n v="44"/>
    <n v="3.5307692307692307"/>
    <n v="3.4818181818181824"/>
  </r>
  <r>
    <s v="EMP0743"/>
    <s v="Daniel"/>
    <s v="Williams"/>
    <x v="0"/>
    <n v="39"/>
    <x v="2"/>
    <x v="2"/>
    <s v="2025-09-01"/>
    <n v="0"/>
    <n v="4"/>
    <n v="406301"/>
    <x v="14"/>
    <x v="0"/>
    <n v="44"/>
    <n v="258"/>
    <n v="130"/>
    <n v="128"/>
    <n v="49.650349650349654"/>
    <n v="50.24975024975025"/>
    <n v="116"/>
    <n v="142"/>
    <n v="47.5"/>
    <n v="52.5"/>
    <n v="14.616279069767442"/>
    <n v="38"/>
    <n v="44"/>
    <n v="3.5289473684210519"/>
    <n v="3.4818181818181824"/>
  </r>
  <r>
    <s v="EMP0744"/>
    <s v="Fatima"/>
    <s v="Jones"/>
    <x v="0"/>
    <n v="24"/>
    <x v="1"/>
    <x v="6"/>
    <s v="2021-10-13"/>
    <n v="15"/>
    <n v="19"/>
    <n v="86404"/>
    <x v="29"/>
    <x v="0"/>
    <n v="70"/>
    <n v="257"/>
    <n v="129"/>
    <n v="128"/>
    <n v="49.650349650349654"/>
    <n v="50.24975024975025"/>
    <n v="115"/>
    <n v="142"/>
    <n v="47.5"/>
    <n v="52.5"/>
    <n v="14.657587548638132"/>
    <n v="38"/>
    <n v="44"/>
    <n v="3.5289473684210519"/>
    <n v="3.4818181818181824"/>
  </r>
  <r>
    <s v="EMP0745"/>
    <s v="Michael"/>
    <s v="Smith"/>
    <x v="0"/>
    <n v="47"/>
    <x v="2"/>
    <x v="6"/>
    <s v="2013-08-14"/>
    <n v="14"/>
    <n v="24"/>
    <n v="494164"/>
    <x v="30"/>
    <x v="1"/>
    <n v="79"/>
    <n v="256"/>
    <n v="128"/>
    <n v="128"/>
    <n v="49.650349650349654"/>
    <n v="50.24975024975025"/>
    <n v="114"/>
    <n v="142"/>
    <n v="47.5"/>
    <n v="52.5"/>
    <n v="14.640625"/>
    <n v="38"/>
    <n v="43"/>
    <n v="3.5289473684210519"/>
    <n v="3.493023255813954"/>
  </r>
  <r>
    <s v="EMP0746"/>
    <s v="Michael"/>
    <s v="Smith"/>
    <x v="1"/>
    <n v="50"/>
    <x v="4"/>
    <x v="4"/>
    <s v="2019-06-19"/>
    <n v="0"/>
    <n v="9"/>
    <n v="287258"/>
    <x v="24"/>
    <x v="1"/>
    <n v="76"/>
    <n v="255"/>
    <n v="127"/>
    <n v="128"/>
    <n v="49.650349650349654"/>
    <n v="50.24975024975025"/>
    <n v="114"/>
    <n v="141"/>
    <n v="47.5"/>
    <n v="52.5"/>
    <n v="14.603921568627451"/>
    <n v="38"/>
    <n v="43"/>
    <n v="3.5289473684210519"/>
    <n v="3.493023255813954"/>
  </r>
  <r>
    <s v="EMP0747"/>
    <s v="John"/>
    <s v="Okoro"/>
    <x v="1"/>
    <n v="29"/>
    <x v="3"/>
    <x v="9"/>
    <s v="2012-09-30"/>
    <n v="2"/>
    <n v="11"/>
    <n v="91627"/>
    <x v="11"/>
    <x v="1"/>
    <n v="83"/>
    <n v="254"/>
    <n v="127"/>
    <n v="127"/>
    <n v="49.650349650349654"/>
    <n v="50.24975024975025"/>
    <n v="114"/>
    <n v="140"/>
    <n v="47.5"/>
    <n v="52.5"/>
    <n v="14.625984251968504"/>
    <n v="38"/>
    <n v="43"/>
    <n v="3.5289473684210519"/>
    <n v="3.493023255813954"/>
  </r>
  <r>
    <s v="EMP0748"/>
    <s v="Fatima"/>
    <s v="Johnson"/>
    <x v="1"/>
    <n v="31"/>
    <x v="3"/>
    <x v="1"/>
    <s v="2023-10-15"/>
    <n v="4"/>
    <n v="12"/>
    <n v="178945"/>
    <x v="28"/>
    <x v="1"/>
    <n v="100"/>
    <n v="253"/>
    <n v="127"/>
    <n v="126"/>
    <n v="49.650349650349654"/>
    <n v="50.24975024975025"/>
    <n v="114"/>
    <n v="139"/>
    <n v="47.5"/>
    <n v="52.5"/>
    <n v="14.640316205533598"/>
    <n v="38"/>
    <n v="43"/>
    <n v="3.5289473684210519"/>
    <n v="3.493023255813954"/>
  </r>
  <r>
    <s v="EMP0749"/>
    <s v="Fatima"/>
    <s v="Jones"/>
    <x v="0"/>
    <n v="50"/>
    <x v="5"/>
    <x v="7"/>
    <s v="2018-02-12"/>
    <n v="7"/>
    <n v="16"/>
    <n v="320140"/>
    <x v="4"/>
    <x v="0"/>
    <n v="41"/>
    <n v="252"/>
    <n v="127"/>
    <n v="125"/>
    <n v="49.650349650349654"/>
    <n v="50.24975024975025"/>
    <n v="114"/>
    <n v="138"/>
    <n v="47.5"/>
    <n v="52.5"/>
    <n v="14.65079365079365"/>
    <n v="38"/>
    <n v="43"/>
    <n v="3.5289473684210519"/>
    <n v="3.493023255813954"/>
  </r>
  <r>
    <s v="EMP0750"/>
    <s v="Grace"/>
    <s v="Ibrahim"/>
    <x v="0"/>
    <n v="27"/>
    <x v="0"/>
    <x v="5"/>
    <s v="2022-06-17"/>
    <n v="3"/>
    <n v="4"/>
    <n v="442156"/>
    <x v="22"/>
    <x v="0"/>
    <n v="43"/>
    <n v="251"/>
    <n v="126"/>
    <n v="125"/>
    <n v="49.650349650349654"/>
    <n v="50.24975024975025"/>
    <n v="113"/>
    <n v="138"/>
    <n v="47.5"/>
    <n v="52.5"/>
    <n v="14.645418326693227"/>
    <n v="37"/>
    <n v="43"/>
    <n v="3.521621621621621"/>
    <n v="3.493023255813954"/>
  </r>
  <r>
    <s v="EMP0751"/>
    <s v="David"/>
    <s v="Garba"/>
    <x v="1"/>
    <n v="51"/>
    <x v="6"/>
    <x v="7"/>
    <s v="2020-09-12"/>
    <n v="18"/>
    <n v="18"/>
    <n v="495832"/>
    <x v="30"/>
    <x v="1"/>
    <n v="74"/>
    <n v="250"/>
    <n v="125"/>
    <n v="125"/>
    <n v="49.650349650349654"/>
    <n v="50.24975024975025"/>
    <n v="112"/>
    <n v="138"/>
    <n v="47.5"/>
    <n v="52.5"/>
    <n v="14.688000000000001"/>
    <n v="37"/>
    <n v="43"/>
    <n v="3.521621621621621"/>
    <n v="3.493023255813954"/>
  </r>
  <r>
    <s v="EMP0752"/>
    <s v="Hauwa"/>
    <s v="Jones"/>
    <x v="1"/>
    <n v="30"/>
    <x v="6"/>
    <x v="2"/>
    <s v="2019-02-10"/>
    <n v="9"/>
    <n v="19"/>
    <n v="341833"/>
    <x v="8"/>
    <x v="0"/>
    <n v="33"/>
    <n v="249"/>
    <n v="125"/>
    <n v="124"/>
    <n v="49.650349650349654"/>
    <n v="50.24975024975025"/>
    <n v="112"/>
    <n v="137"/>
    <n v="47.5"/>
    <n v="52.5"/>
    <n v="14.674698795180722"/>
    <n v="37"/>
    <n v="43"/>
    <n v="3.521621621621621"/>
    <n v="3.493023255813954"/>
  </r>
  <r>
    <s v="EMP0753"/>
    <s v="Sarah"/>
    <s v="Johnson"/>
    <x v="0"/>
    <n v="27"/>
    <x v="6"/>
    <x v="2"/>
    <s v="2020-03-10"/>
    <n v="1"/>
    <n v="1"/>
    <n v="154613"/>
    <x v="19"/>
    <x v="1"/>
    <n v="100"/>
    <n v="248"/>
    <n v="125"/>
    <n v="123"/>
    <n v="49.650349650349654"/>
    <n v="50.24975024975025"/>
    <n v="111"/>
    <n v="137"/>
    <n v="47.5"/>
    <n v="52.5"/>
    <n v="14.65725806451613"/>
    <n v="37"/>
    <n v="43"/>
    <n v="3.521621621621621"/>
    <n v="3.493023255813954"/>
  </r>
  <r>
    <s v="EMP0754"/>
    <s v="James"/>
    <s v="Brown"/>
    <x v="1"/>
    <n v="41"/>
    <x v="1"/>
    <x v="2"/>
    <s v="2020-02-09"/>
    <n v="10"/>
    <n v="16"/>
    <n v="432793"/>
    <x v="9"/>
    <x v="0"/>
    <n v="42"/>
    <n v="247"/>
    <n v="124"/>
    <n v="123"/>
    <n v="49.650349650349654"/>
    <n v="50.24975024975025"/>
    <n v="111"/>
    <n v="136"/>
    <n v="47.5"/>
    <n v="52.5"/>
    <n v="14.712550607287449"/>
    <n v="37"/>
    <n v="43"/>
    <n v="3.521621621621621"/>
    <n v="3.493023255813954"/>
  </r>
  <r>
    <s v="EMP0755"/>
    <s v="Sarah"/>
    <s v="Smith"/>
    <x v="0"/>
    <n v="21"/>
    <x v="1"/>
    <x v="3"/>
    <s v="2017-07-30"/>
    <n v="10"/>
    <n v="10"/>
    <n v="153123"/>
    <x v="10"/>
    <x v="1"/>
    <n v="71"/>
    <n v="246"/>
    <n v="124"/>
    <n v="122"/>
    <n v="49.650349650349654"/>
    <n v="50.24975024975025"/>
    <n v="110"/>
    <n v="136"/>
    <n v="47.5"/>
    <n v="52.5"/>
    <n v="14.707317073170731"/>
    <n v="37"/>
    <n v="42"/>
    <n v="3.521621621621621"/>
    <n v="3.4785714285714291"/>
  </r>
  <r>
    <s v="EMP0756"/>
    <s v="Daniel"/>
    <s v="Brown"/>
    <x v="1"/>
    <n v="47"/>
    <x v="2"/>
    <x v="8"/>
    <s v="2017-12-03"/>
    <n v="12"/>
    <n v="18"/>
    <n v="263154"/>
    <x v="4"/>
    <x v="1"/>
    <n v="99"/>
    <n v="245"/>
    <n v="123"/>
    <n v="122"/>
    <n v="49.650349650349654"/>
    <n v="50.24975024975025"/>
    <n v="110"/>
    <n v="135"/>
    <n v="47.5"/>
    <n v="52.5"/>
    <n v="14.726530612244899"/>
    <n v="37"/>
    <n v="41"/>
    <n v="3.521621621621621"/>
    <n v="3.4878048780487814"/>
  </r>
  <r>
    <s v="EMP0757"/>
    <s v="David"/>
    <s v="Jones"/>
    <x v="1"/>
    <n v="46"/>
    <x v="2"/>
    <x v="4"/>
    <s v="2012-01-20"/>
    <n v="5"/>
    <n v="5"/>
    <n v="401897"/>
    <x v="4"/>
    <x v="1"/>
    <n v="96"/>
    <n v="244"/>
    <n v="123"/>
    <n v="121"/>
    <n v="49.650349650349654"/>
    <n v="50.24975024975025"/>
    <n v="110"/>
    <n v="134"/>
    <n v="47.5"/>
    <n v="52.5"/>
    <n v="14.71311475409836"/>
    <n v="37"/>
    <n v="41"/>
    <n v="3.521621621621621"/>
    <n v="3.4878048780487814"/>
  </r>
  <r>
    <s v="EMP0758"/>
    <s v="Daniel"/>
    <s v="Smith"/>
    <x v="1"/>
    <n v="36"/>
    <x v="5"/>
    <x v="6"/>
    <s v="2013-01-22"/>
    <n v="16"/>
    <n v="25"/>
    <n v="240648"/>
    <x v="9"/>
    <x v="1"/>
    <n v="72"/>
    <n v="243"/>
    <n v="123"/>
    <n v="120"/>
    <n v="49.650349650349654"/>
    <n v="50.24975024975025"/>
    <n v="110"/>
    <n v="133"/>
    <n v="47.5"/>
    <n v="52.5"/>
    <n v="14.753086419753087"/>
    <n v="37"/>
    <n v="41"/>
    <n v="3.521621621621621"/>
    <n v="3.4878048780487814"/>
  </r>
  <r>
    <s v="EMP0759"/>
    <s v="Daniel"/>
    <s v="Brown"/>
    <x v="0"/>
    <n v="38"/>
    <x v="0"/>
    <x v="5"/>
    <s v="2023-12-11"/>
    <n v="5"/>
    <n v="10"/>
    <n v="276879"/>
    <x v="28"/>
    <x v="1"/>
    <n v="94"/>
    <n v="242"/>
    <n v="123"/>
    <n v="119"/>
    <n v="49.650349650349654"/>
    <n v="50.24975024975025"/>
    <n v="110"/>
    <n v="132"/>
    <n v="47.5"/>
    <n v="52.5"/>
    <n v="14.710743801652892"/>
    <n v="36"/>
    <n v="41"/>
    <n v="3.5055555555555546"/>
    <n v="3.4878048780487814"/>
  </r>
  <r>
    <s v="EMP0760"/>
    <s v="Hauwa"/>
    <s v="Okoro"/>
    <x v="0"/>
    <n v="45"/>
    <x v="0"/>
    <x v="4"/>
    <s v="2018-06-09"/>
    <n v="7"/>
    <n v="16"/>
    <n v="483978"/>
    <x v="11"/>
    <x v="1"/>
    <n v="76"/>
    <n v="241"/>
    <n v="122"/>
    <n v="119"/>
    <n v="49.650349650349654"/>
    <n v="50.24975024975025"/>
    <n v="110"/>
    <n v="131"/>
    <n v="47.5"/>
    <n v="52.5"/>
    <n v="14.730290456431534"/>
    <n v="36"/>
    <n v="41"/>
    <n v="3.5055555555555546"/>
    <n v="3.4878048780487814"/>
  </r>
  <r>
    <s v="EMP0761"/>
    <s v="Sarah"/>
    <s v="Musa"/>
    <x v="0"/>
    <n v="44"/>
    <x v="1"/>
    <x v="3"/>
    <s v="2025-08-03"/>
    <n v="19"/>
    <n v="20"/>
    <n v="282312"/>
    <x v="30"/>
    <x v="1"/>
    <n v="84"/>
    <n v="240"/>
    <n v="121"/>
    <n v="119"/>
    <n v="49.650349650349654"/>
    <n v="50.24975024975025"/>
    <n v="110"/>
    <n v="130"/>
    <n v="47.5"/>
    <n v="52.5"/>
    <n v="14.725"/>
    <n v="36"/>
    <n v="41"/>
    <n v="3.5055555555555546"/>
    <n v="3.4878048780487814"/>
  </r>
  <r>
    <s v="EMP0762"/>
    <s v="Daniel"/>
    <s v="Williams"/>
    <x v="0"/>
    <n v="50"/>
    <x v="6"/>
    <x v="6"/>
    <s v="2024-10-19"/>
    <n v="12"/>
    <n v="21"/>
    <n v="128821"/>
    <x v="27"/>
    <x v="1"/>
    <n v="92"/>
    <n v="239"/>
    <n v="120"/>
    <n v="119"/>
    <n v="49.650349650349654"/>
    <n v="50.24975024975025"/>
    <n v="110"/>
    <n v="129"/>
    <n v="47.5"/>
    <n v="52.5"/>
    <n v="14.702928870292887"/>
    <n v="36"/>
    <n v="40"/>
    <n v="3.5055555555555546"/>
    <n v="3.5100000000000002"/>
  </r>
  <r>
    <s v="EMP0763"/>
    <s v="John"/>
    <s v="Williams"/>
    <x v="1"/>
    <n v="49"/>
    <x v="4"/>
    <x v="4"/>
    <s v="2012-01-08"/>
    <n v="0"/>
    <n v="4"/>
    <n v="299489"/>
    <x v="24"/>
    <x v="1"/>
    <n v="86"/>
    <n v="238"/>
    <n v="119"/>
    <n v="119"/>
    <n v="49.650349650349654"/>
    <n v="50.24975024975025"/>
    <n v="110"/>
    <n v="128"/>
    <n v="47.5"/>
    <n v="52.5"/>
    <n v="14.676470588235293"/>
    <n v="36"/>
    <n v="40"/>
    <n v="3.5055555555555546"/>
    <n v="3.5100000000000002"/>
  </r>
  <r>
    <s v="EMP0764"/>
    <s v="James"/>
    <s v="Williams"/>
    <x v="0"/>
    <n v="43"/>
    <x v="6"/>
    <x v="4"/>
    <s v="2015-02-16"/>
    <n v="4"/>
    <n v="11"/>
    <n v="425565"/>
    <x v="25"/>
    <x v="0"/>
    <n v="69"/>
    <n v="237"/>
    <n v="119"/>
    <n v="118"/>
    <n v="49.650349650349654"/>
    <n v="50.24975024975025"/>
    <n v="110"/>
    <n v="127"/>
    <n v="47.5"/>
    <n v="52.5"/>
    <n v="14.721518987341772"/>
    <n v="36"/>
    <n v="40"/>
    <n v="3.5055555555555546"/>
    <n v="3.5100000000000002"/>
  </r>
  <r>
    <s v="EMP0765"/>
    <s v="Hauwa"/>
    <s v="Ibrahim"/>
    <x v="0"/>
    <n v="31"/>
    <x v="6"/>
    <x v="4"/>
    <s v="2018-03-23"/>
    <n v="0"/>
    <n v="10"/>
    <n v="493832"/>
    <x v="23"/>
    <x v="0"/>
    <n v="31"/>
    <n v="236"/>
    <n v="118"/>
    <n v="118"/>
    <n v="49.650349650349654"/>
    <n v="50.24975024975025"/>
    <n v="109"/>
    <n v="127"/>
    <n v="47.5"/>
    <n v="52.5"/>
    <n v="14.73728813559322"/>
    <n v="36"/>
    <n v="40"/>
    <n v="3.5055555555555546"/>
    <n v="3.5100000000000002"/>
  </r>
  <r>
    <s v="EMP0766"/>
    <s v="Fatima"/>
    <s v="Williams"/>
    <x v="0"/>
    <n v="57"/>
    <x v="0"/>
    <x v="4"/>
    <s v="2022-01-30"/>
    <n v="11"/>
    <n v="20"/>
    <n v="202846"/>
    <x v="18"/>
    <x v="0"/>
    <n v="62"/>
    <n v="235"/>
    <n v="117"/>
    <n v="118"/>
    <n v="49.650349650349654"/>
    <n v="50.24975024975025"/>
    <n v="108"/>
    <n v="127"/>
    <n v="47.5"/>
    <n v="52.5"/>
    <n v="14.757446808510638"/>
    <n v="36"/>
    <n v="40"/>
    <n v="3.5055555555555546"/>
    <n v="3.5100000000000002"/>
  </r>
  <r>
    <s v="EMP0767"/>
    <s v="Hauwa"/>
    <s v="Ahmed"/>
    <x v="1"/>
    <n v="32"/>
    <x v="0"/>
    <x v="4"/>
    <s v="2015-03-04"/>
    <n v="6"/>
    <n v="13"/>
    <n v="492819"/>
    <x v="1"/>
    <x v="1"/>
    <n v="97"/>
    <n v="234"/>
    <n v="116"/>
    <n v="118"/>
    <n v="49.650349650349654"/>
    <n v="50.24975024975025"/>
    <n v="107"/>
    <n v="127"/>
    <n v="47.5"/>
    <n v="52.5"/>
    <n v="14.735042735042734"/>
    <n v="36"/>
    <n v="40"/>
    <n v="3.5055555555555546"/>
    <n v="3.5100000000000002"/>
  </r>
  <r>
    <s v="EMP0768"/>
    <s v="Michael"/>
    <s v="Garba"/>
    <x v="0"/>
    <n v="41"/>
    <x v="5"/>
    <x v="4"/>
    <s v="2014-06-11"/>
    <n v="17"/>
    <n v="19"/>
    <n v="459812"/>
    <x v="7"/>
    <x v="1"/>
    <n v="95"/>
    <n v="233"/>
    <n v="116"/>
    <n v="117"/>
    <n v="49.650349650349654"/>
    <n v="50.24975024975025"/>
    <n v="107"/>
    <n v="126"/>
    <n v="47.5"/>
    <n v="52.5"/>
    <n v="14.742489270386265"/>
    <n v="36"/>
    <n v="40"/>
    <n v="3.5055555555555546"/>
    <n v="3.5100000000000002"/>
  </r>
  <r>
    <s v="EMP0769"/>
    <s v="Michael"/>
    <s v="Garba"/>
    <x v="0"/>
    <n v="47"/>
    <x v="6"/>
    <x v="3"/>
    <s v="2013-01-02"/>
    <n v="0"/>
    <n v="2"/>
    <n v="421811"/>
    <x v="15"/>
    <x v="0"/>
    <n v="32"/>
    <n v="232"/>
    <n v="115"/>
    <n v="117"/>
    <n v="49.650349650349654"/>
    <n v="50.24975024975025"/>
    <n v="107"/>
    <n v="125"/>
    <n v="47.5"/>
    <n v="52.5"/>
    <n v="14.724137931034482"/>
    <n v="35"/>
    <n v="40"/>
    <n v="3.5142857142857138"/>
    <n v="3.5100000000000002"/>
  </r>
  <r>
    <s v="EMP0770"/>
    <s v="Amina"/>
    <s v="Brown"/>
    <x v="0"/>
    <n v="28"/>
    <x v="1"/>
    <x v="3"/>
    <s v="2021-04-01"/>
    <n v="20"/>
    <n v="20"/>
    <n v="194199"/>
    <x v="8"/>
    <x v="0"/>
    <n v="37"/>
    <n v="231"/>
    <n v="114"/>
    <n v="117"/>
    <n v="49.650349650349654"/>
    <n v="50.24975024975025"/>
    <n v="106"/>
    <n v="125"/>
    <n v="47.5"/>
    <n v="52.5"/>
    <n v="14.779220779220779"/>
    <n v="35"/>
    <n v="40"/>
    <n v="3.5142857142857138"/>
    <n v="3.5100000000000002"/>
  </r>
  <r>
    <s v="EMP0771"/>
    <s v="Peter"/>
    <s v="Ibrahim"/>
    <x v="1"/>
    <n v="22"/>
    <x v="1"/>
    <x v="4"/>
    <s v="2024-03-03"/>
    <n v="2"/>
    <n v="5"/>
    <n v="331724"/>
    <x v="17"/>
    <x v="1"/>
    <n v="100"/>
    <n v="230"/>
    <n v="113"/>
    <n v="117"/>
    <n v="49.650349650349654"/>
    <n v="50.24975024975025"/>
    <n v="105"/>
    <n v="125"/>
    <n v="47.5"/>
    <n v="52.5"/>
    <n v="14.756521739130434"/>
    <n v="35"/>
    <n v="39"/>
    <n v="3.5142857142857138"/>
    <n v="3.4871794871794872"/>
  </r>
  <r>
    <s v="EMP0772"/>
    <s v="John"/>
    <s v="Musa"/>
    <x v="0"/>
    <n v="46"/>
    <x v="2"/>
    <x v="4"/>
    <s v="2017-12-04"/>
    <n v="2"/>
    <n v="8"/>
    <n v="292018"/>
    <x v="1"/>
    <x v="0"/>
    <n v="50"/>
    <n v="229"/>
    <n v="113"/>
    <n v="116"/>
    <n v="49.650349650349654"/>
    <n v="50.24975024975025"/>
    <n v="105"/>
    <n v="124"/>
    <n v="47.5"/>
    <n v="52.5"/>
    <n v="14.799126637554584"/>
    <n v="35"/>
    <n v="38"/>
    <n v="3.5142857142857138"/>
    <n v="3.4605263157894739"/>
  </r>
  <r>
    <s v="EMP0773"/>
    <s v="Hauwa"/>
    <s v="Ibrahim"/>
    <x v="0"/>
    <n v="34"/>
    <x v="5"/>
    <x v="1"/>
    <s v="2023-08-06"/>
    <n v="15"/>
    <n v="23"/>
    <n v="463726"/>
    <x v="22"/>
    <x v="0"/>
    <n v="58"/>
    <n v="228"/>
    <n v="112"/>
    <n v="116"/>
    <n v="49.650349650349654"/>
    <n v="50.24975024975025"/>
    <n v="104"/>
    <n v="124"/>
    <n v="47.5"/>
    <n v="52.5"/>
    <n v="14.828947368421053"/>
    <n v="35"/>
    <n v="38"/>
    <n v="3.5142857142857138"/>
    <n v="3.4605263157894739"/>
  </r>
  <r>
    <s v="EMP0774"/>
    <s v="David"/>
    <s v="Okoro"/>
    <x v="0"/>
    <n v="34"/>
    <x v="0"/>
    <x v="4"/>
    <s v="2023-10-02"/>
    <n v="0"/>
    <n v="5"/>
    <n v="434499"/>
    <x v="19"/>
    <x v="0"/>
    <n v="51"/>
    <n v="227"/>
    <n v="111"/>
    <n v="116"/>
    <n v="49.650349650349654"/>
    <n v="50.24975024975025"/>
    <n v="103"/>
    <n v="124"/>
    <n v="47.5"/>
    <n v="52.5"/>
    <n v="14.79295154185022"/>
    <n v="34"/>
    <n v="38"/>
    <n v="3.5029411764705878"/>
    <n v="3.4605263157894739"/>
  </r>
  <r>
    <s v="EMP0775"/>
    <s v="Michael"/>
    <s v="Johnson"/>
    <x v="1"/>
    <n v="23"/>
    <x v="4"/>
    <x v="0"/>
    <s v="2019-11-03"/>
    <n v="2"/>
    <n v="2"/>
    <n v="474068"/>
    <x v="2"/>
    <x v="0"/>
    <n v="63"/>
    <n v="226"/>
    <n v="110"/>
    <n v="116"/>
    <n v="49.650349650349654"/>
    <n v="50.24975024975025"/>
    <n v="102"/>
    <n v="124"/>
    <n v="47.5"/>
    <n v="52.5"/>
    <n v="14.836283185840708"/>
    <n v="34"/>
    <n v="38"/>
    <n v="3.5029411764705878"/>
    <n v="3.4605263157894739"/>
  </r>
  <r>
    <s v="EMP0776"/>
    <s v="John"/>
    <s v="Williams"/>
    <x v="1"/>
    <n v="44"/>
    <x v="0"/>
    <x v="8"/>
    <s v="2024-05-14"/>
    <n v="1"/>
    <n v="4"/>
    <n v="382604"/>
    <x v="27"/>
    <x v="1"/>
    <n v="92"/>
    <n v="225"/>
    <n v="110"/>
    <n v="115"/>
    <n v="49.650349650349654"/>
    <n v="50.24975024975025"/>
    <n v="101"/>
    <n v="124"/>
    <n v="47.5"/>
    <n v="52.5"/>
    <n v="14.893333333333333"/>
    <n v="34"/>
    <n v="38"/>
    <n v="3.5029411764705878"/>
    <n v="3.4605263157894739"/>
  </r>
  <r>
    <s v="EMP0777"/>
    <s v="Peter"/>
    <s v="Johnson"/>
    <x v="0"/>
    <n v="38"/>
    <x v="4"/>
    <x v="7"/>
    <s v="2023-04-11"/>
    <n v="2"/>
    <n v="3"/>
    <n v="294929"/>
    <x v="17"/>
    <x v="1"/>
    <n v="91"/>
    <n v="224"/>
    <n v="110"/>
    <n v="114"/>
    <n v="49.650349650349654"/>
    <n v="50.24975024975025"/>
    <n v="101"/>
    <n v="123"/>
    <n v="47.5"/>
    <n v="52.5"/>
    <n v="14.941964285714286"/>
    <n v="34"/>
    <n v="38"/>
    <n v="3.5029411764705878"/>
    <n v="3.4605263157894739"/>
  </r>
  <r>
    <s v="EMP0778"/>
    <s v="Peter"/>
    <s v="Musa"/>
    <x v="0"/>
    <n v="56"/>
    <x v="4"/>
    <x v="1"/>
    <s v="2017-02-23"/>
    <n v="13"/>
    <n v="18"/>
    <n v="218970"/>
    <x v="27"/>
    <x v="1"/>
    <n v="74"/>
    <n v="223"/>
    <n v="109"/>
    <n v="114"/>
    <n v="49.650349650349654"/>
    <n v="50.24975024975025"/>
    <n v="101"/>
    <n v="122"/>
    <n v="47.5"/>
    <n v="52.5"/>
    <n v="14.995515695067265"/>
    <n v="34"/>
    <n v="38"/>
    <n v="3.5029411764705878"/>
    <n v="3.4605263157894739"/>
  </r>
  <r>
    <s v="EMP0779"/>
    <s v="John"/>
    <s v="Musa"/>
    <x v="0"/>
    <n v="29"/>
    <x v="3"/>
    <x v="1"/>
    <s v="2016-04-29"/>
    <n v="20"/>
    <n v="27"/>
    <n v="90124"/>
    <x v="19"/>
    <x v="0"/>
    <n v="40"/>
    <n v="222"/>
    <n v="108"/>
    <n v="114"/>
    <n v="49.650349650349654"/>
    <n v="50.24975024975025"/>
    <n v="101"/>
    <n v="121"/>
    <n v="47.5"/>
    <n v="52.5"/>
    <n v="14.981981981981981"/>
    <n v="34"/>
    <n v="38"/>
    <n v="3.5029411764705878"/>
    <n v="3.4605263157894739"/>
  </r>
  <r>
    <s v="EMP0780"/>
    <s v="Grace"/>
    <s v="Ibrahim"/>
    <x v="0"/>
    <n v="21"/>
    <x v="1"/>
    <x v="5"/>
    <s v="2012-08-26"/>
    <n v="14"/>
    <n v="23"/>
    <n v="207268"/>
    <x v="18"/>
    <x v="1"/>
    <n v="90"/>
    <n v="221"/>
    <n v="107"/>
    <n v="114"/>
    <n v="49.650349650349654"/>
    <n v="50.24975024975025"/>
    <n v="100"/>
    <n v="121"/>
    <n v="47.5"/>
    <n v="52.5"/>
    <n v="14.927601809954751"/>
    <n v="34"/>
    <n v="38"/>
    <n v="3.5029411764705878"/>
    <n v="3.4605263157894739"/>
  </r>
  <r>
    <s v="EMP0781"/>
    <s v="Fatima"/>
    <s v="Brown"/>
    <x v="0"/>
    <n v="52"/>
    <x v="1"/>
    <x v="9"/>
    <s v="2022-07-17"/>
    <n v="12"/>
    <n v="18"/>
    <n v="400986"/>
    <x v="22"/>
    <x v="1"/>
    <n v="79"/>
    <n v="220"/>
    <n v="106"/>
    <n v="114"/>
    <n v="49.650349650349654"/>
    <n v="50.24975024975025"/>
    <n v="100"/>
    <n v="120"/>
    <n v="47.5"/>
    <n v="52.5"/>
    <n v="14.890909090909091"/>
    <n v="34"/>
    <n v="37"/>
    <n v="3.5029411764705878"/>
    <n v="3.4972972972972967"/>
  </r>
  <r>
    <s v="EMP0782"/>
    <s v="Michael"/>
    <s v="Musa"/>
    <x v="1"/>
    <n v="38"/>
    <x v="3"/>
    <x v="4"/>
    <s v="2024-06-17"/>
    <n v="7"/>
    <n v="7"/>
    <n v="124034"/>
    <x v="20"/>
    <x v="0"/>
    <n v="68"/>
    <n v="219"/>
    <n v="105"/>
    <n v="114"/>
    <n v="49.650349650349654"/>
    <n v="50.24975024975025"/>
    <n v="100"/>
    <n v="119"/>
    <n v="47.5"/>
    <n v="52.5"/>
    <n v="14.876712328767123"/>
    <n v="34"/>
    <n v="36"/>
    <n v="3.5029411764705878"/>
    <n v="3.4861111111111107"/>
  </r>
  <r>
    <s v="EMP0783"/>
    <s v="Hauwa"/>
    <s v="Brown"/>
    <x v="0"/>
    <n v="34"/>
    <x v="3"/>
    <x v="5"/>
    <s v="2024-03-01"/>
    <n v="20"/>
    <n v="27"/>
    <n v="428556"/>
    <x v="28"/>
    <x v="1"/>
    <n v="95"/>
    <n v="218"/>
    <n v="105"/>
    <n v="113"/>
    <n v="49.650349650349654"/>
    <n v="50.24975024975025"/>
    <n v="99"/>
    <n v="119"/>
    <n v="47.5"/>
    <n v="52.5"/>
    <n v="14.912844036697248"/>
    <n v="34"/>
    <n v="36"/>
    <n v="3.5029411764705878"/>
    <n v="3.4861111111111107"/>
  </r>
  <r>
    <s v="EMP0784"/>
    <s v="James"/>
    <s v="Musa"/>
    <x v="0"/>
    <n v="21"/>
    <x v="3"/>
    <x v="9"/>
    <s v="2012-06-08"/>
    <n v="18"/>
    <n v="28"/>
    <n v="312700"/>
    <x v="6"/>
    <x v="0"/>
    <n v="38"/>
    <n v="217"/>
    <n v="104"/>
    <n v="113"/>
    <n v="49.650349650349654"/>
    <n v="50.24975024975025"/>
    <n v="99"/>
    <n v="118"/>
    <n v="47.5"/>
    <n v="52.5"/>
    <n v="14.857142857142858"/>
    <n v="34"/>
    <n v="36"/>
    <n v="3.5029411764705878"/>
    <n v="3.4861111111111107"/>
  </r>
  <r>
    <s v="EMP0785"/>
    <s v="Fatima"/>
    <s v="Ahmed"/>
    <x v="0"/>
    <n v="55"/>
    <x v="4"/>
    <x v="0"/>
    <s v="2019-02-22"/>
    <n v="11"/>
    <n v="19"/>
    <n v="368366"/>
    <x v="19"/>
    <x v="1"/>
    <n v="75"/>
    <n v="216"/>
    <n v="103"/>
    <n v="113"/>
    <n v="49.650349650349654"/>
    <n v="50.24975024975025"/>
    <n v="98"/>
    <n v="118"/>
    <n v="47.5"/>
    <n v="52.5"/>
    <n v="14.796296296296296"/>
    <n v="34"/>
    <n v="36"/>
    <n v="3.5029411764705878"/>
    <n v="3.4861111111111107"/>
  </r>
  <r>
    <s v="EMP0786"/>
    <s v="John"/>
    <s v="Ahmed"/>
    <x v="1"/>
    <n v="54"/>
    <x v="1"/>
    <x v="7"/>
    <s v="2022-03-18"/>
    <n v="19"/>
    <n v="27"/>
    <n v="182538"/>
    <x v="28"/>
    <x v="1"/>
    <n v="94"/>
    <n v="215"/>
    <n v="102"/>
    <n v="113"/>
    <n v="49.650349650349654"/>
    <n v="50.24975024975025"/>
    <n v="98"/>
    <n v="117"/>
    <n v="47.5"/>
    <n v="52.5"/>
    <n v="14.776744186046512"/>
    <n v="34"/>
    <n v="36"/>
    <n v="3.5029411764705878"/>
    <n v="3.4861111111111107"/>
  </r>
  <r>
    <s v="EMP0787"/>
    <s v="Michael"/>
    <s v="Okoro"/>
    <x v="1"/>
    <n v="25"/>
    <x v="2"/>
    <x v="3"/>
    <s v="2023-02-16"/>
    <n v="10"/>
    <n v="18"/>
    <n v="308429"/>
    <x v="25"/>
    <x v="1"/>
    <n v="90"/>
    <n v="214"/>
    <n v="102"/>
    <n v="112"/>
    <n v="49.650349650349654"/>
    <n v="50.24975024975025"/>
    <n v="98"/>
    <n v="116"/>
    <n v="47.5"/>
    <n v="52.5"/>
    <n v="14.719626168224298"/>
    <n v="34"/>
    <n v="35"/>
    <n v="3.5029411764705878"/>
    <n v="3.4628571428571431"/>
  </r>
  <r>
    <s v="EMP0788"/>
    <s v="Grace"/>
    <s v="Garba"/>
    <x v="0"/>
    <n v="22"/>
    <x v="2"/>
    <x v="2"/>
    <s v="2013-08-24"/>
    <n v="16"/>
    <n v="16"/>
    <n v="480759"/>
    <x v="18"/>
    <x v="0"/>
    <n v="70"/>
    <n v="213"/>
    <n v="102"/>
    <n v="111"/>
    <n v="49.650349650349654"/>
    <n v="50.24975024975025"/>
    <n v="98"/>
    <n v="115"/>
    <n v="47.5"/>
    <n v="52.5"/>
    <n v="14.704225352112676"/>
    <n v="34"/>
    <n v="35"/>
    <n v="3.5029411764705878"/>
    <n v="3.4628571428571431"/>
  </r>
  <r>
    <s v="EMP0789"/>
    <s v="Sarah"/>
    <s v="Williams"/>
    <x v="0"/>
    <n v="60"/>
    <x v="4"/>
    <x v="8"/>
    <s v="2024-08-27"/>
    <n v="9"/>
    <n v="14"/>
    <n v="407123"/>
    <x v="23"/>
    <x v="1"/>
    <n v="71"/>
    <n v="212"/>
    <n v="101"/>
    <n v="111"/>
    <n v="49.650349650349654"/>
    <n v="50.24975024975025"/>
    <n v="97"/>
    <n v="115"/>
    <n v="47.5"/>
    <n v="52.5"/>
    <n v="14.69811320754717"/>
    <n v="34"/>
    <n v="35"/>
    <n v="3.5029411764705878"/>
    <n v="3.4628571428571431"/>
  </r>
  <r>
    <s v="EMP0790"/>
    <s v="Michael"/>
    <s v="Ahmed"/>
    <x v="1"/>
    <n v="60"/>
    <x v="5"/>
    <x v="3"/>
    <s v="2013-12-06"/>
    <n v="1"/>
    <n v="8"/>
    <n v="155556"/>
    <x v="28"/>
    <x v="0"/>
    <n v="61"/>
    <n v="211"/>
    <n v="100"/>
    <n v="111"/>
    <n v="49.650349650349654"/>
    <n v="50.24975024975025"/>
    <n v="97"/>
    <n v="114"/>
    <n v="47.5"/>
    <n v="52.5"/>
    <n v="14.701421800947868"/>
    <n v="34"/>
    <n v="35"/>
    <n v="3.5029411764705878"/>
    <n v="3.4628571428571431"/>
  </r>
  <r>
    <s v="EMP0791"/>
    <s v="David"/>
    <s v="Williams"/>
    <x v="0"/>
    <n v="43"/>
    <x v="5"/>
    <x v="2"/>
    <s v="2013-09-20"/>
    <n v="0"/>
    <n v="4"/>
    <n v="308390"/>
    <x v="27"/>
    <x v="0"/>
    <n v="57"/>
    <n v="210"/>
    <n v="100"/>
    <n v="110"/>
    <n v="49.650349650349654"/>
    <n v="50.24975024975025"/>
    <n v="96"/>
    <n v="114"/>
    <n v="47.5"/>
    <n v="52.5"/>
    <n v="14.733333333333333"/>
    <n v="33"/>
    <n v="35"/>
    <n v="3.4787878787878781"/>
    <n v="3.4628571428571431"/>
  </r>
  <r>
    <s v="EMP0792"/>
    <s v="John"/>
    <s v="Jones"/>
    <x v="1"/>
    <n v="52"/>
    <x v="3"/>
    <x v="6"/>
    <s v="2021-04-15"/>
    <n v="10"/>
    <n v="16"/>
    <n v="270311"/>
    <x v="8"/>
    <x v="1"/>
    <n v="86"/>
    <n v="209"/>
    <n v="99"/>
    <n v="110"/>
    <n v="49.650349650349654"/>
    <n v="50.24975024975025"/>
    <n v="95"/>
    <n v="114"/>
    <n v="47.5"/>
    <n v="52.5"/>
    <n v="14.78468899521531"/>
    <n v="32"/>
    <n v="35"/>
    <n v="3.4968749999999993"/>
    <n v="3.4628571428571431"/>
  </r>
  <r>
    <s v="EMP0793"/>
    <s v="David"/>
    <s v="Ibrahim"/>
    <x v="0"/>
    <n v="24"/>
    <x v="6"/>
    <x v="6"/>
    <s v="2017-03-30"/>
    <n v="12"/>
    <n v="13"/>
    <n v="323139"/>
    <x v="11"/>
    <x v="0"/>
    <n v="70"/>
    <n v="208"/>
    <n v="99"/>
    <n v="109"/>
    <n v="49.650349650349654"/>
    <n v="50.24975024975025"/>
    <n v="95"/>
    <n v="113"/>
    <n v="47.5"/>
    <n v="52.5"/>
    <n v="14.778846153846153"/>
    <n v="32"/>
    <n v="35"/>
    <n v="3.4968749999999993"/>
    <n v="3.4628571428571431"/>
  </r>
  <r>
    <s v="EMP0794"/>
    <s v="John"/>
    <s v="Ahmed"/>
    <x v="1"/>
    <n v="59"/>
    <x v="5"/>
    <x v="9"/>
    <s v="2024-12-18"/>
    <n v="20"/>
    <n v="20"/>
    <n v="364587"/>
    <x v="12"/>
    <x v="0"/>
    <n v="52"/>
    <n v="207"/>
    <n v="98"/>
    <n v="109"/>
    <n v="49.650349650349654"/>
    <n v="50.24975024975025"/>
    <n v="94"/>
    <n v="113"/>
    <n v="47.5"/>
    <n v="52.5"/>
    <n v="14.787439613526571"/>
    <n v="32"/>
    <n v="35"/>
    <n v="3.4968749999999993"/>
    <n v="3.4628571428571431"/>
  </r>
  <r>
    <s v="EMP0795"/>
    <s v="Hauwa"/>
    <s v="Williams"/>
    <x v="0"/>
    <n v="48"/>
    <x v="5"/>
    <x v="5"/>
    <s v="2020-06-04"/>
    <n v="0"/>
    <n v="0"/>
    <n v="260097"/>
    <x v="16"/>
    <x v="1"/>
    <n v="72"/>
    <n v="206"/>
    <n v="98"/>
    <n v="108"/>
    <n v="49.650349650349654"/>
    <n v="50.24975024975025"/>
    <n v="93"/>
    <n v="113"/>
    <n v="47.5"/>
    <n v="52.5"/>
    <n v="14.762135922330097"/>
    <n v="31"/>
    <n v="35"/>
    <n v="3.4999999999999991"/>
    <n v="3.4628571428571431"/>
  </r>
  <r>
    <s v="EMP0796"/>
    <s v="David"/>
    <s v="Okoro"/>
    <x v="1"/>
    <n v="38"/>
    <x v="2"/>
    <x v="5"/>
    <s v="2021-04-05"/>
    <n v="0"/>
    <n v="8"/>
    <n v="402640"/>
    <x v="1"/>
    <x v="1"/>
    <n v="91"/>
    <n v="205"/>
    <n v="97"/>
    <n v="108"/>
    <n v="49.650349650349654"/>
    <n v="50.24975024975025"/>
    <n v="93"/>
    <n v="112"/>
    <n v="47.5"/>
    <n v="52.5"/>
    <n v="14.834146341463414"/>
    <n v="30"/>
    <n v="35"/>
    <n v="3.4499999999999988"/>
    <n v="3.4628571428571431"/>
  </r>
  <r>
    <s v="EMP0797"/>
    <s v="Michael"/>
    <s v="Okoro"/>
    <x v="1"/>
    <n v="48"/>
    <x v="1"/>
    <x v="3"/>
    <s v="2016-04-27"/>
    <n v="17"/>
    <n v="20"/>
    <n v="176558"/>
    <x v="10"/>
    <x v="0"/>
    <n v="46"/>
    <n v="204"/>
    <n v="97"/>
    <n v="107"/>
    <n v="49.650349650349654"/>
    <n v="50.24975024975025"/>
    <n v="93"/>
    <n v="111"/>
    <n v="47.5"/>
    <n v="52.5"/>
    <n v="14.867647058823529"/>
    <n v="30"/>
    <n v="35"/>
    <n v="3.4499999999999988"/>
    <n v="3.4628571428571431"/>
  </r>
  <r>
    <s v="EMP0798"/>
    <s v="Daniel"/>
    <s v="Johnson"/>
    <x v="0"/>
    <n v="55"/>
    <x v="0"/>
    <x v="6"/>
    <s v="2021-02-07"/>
    <n v="13"/>
    <n v="15"/>
    <n v="161888"/>
    <x v="5"/>
    <x v="1"/>
    <n v="76"/>
    <n v="203"/>
    <n v="97"/>
    <n v="106"/>
    <n v="49.650349650349654"/>
    <n v="50.24975024975025"/>
    <n v="92"/>
    <n v="111"/>
    <n v="47.5"/>
    <n v="52.5"/>
    <n v="14.842364532019705"/>
    <n v="30"/>
    <n v="34"/>
    <n v="3.4499999999999988"/>
    <n v="3.4735294117647055"/>
  </r>
  <r>
    <s v="EMP0799"/>
    <s v="John"/>
    <s v="Garba"/>
    <x v="1"/>
    <n v="24"/>
    <x v="4"/>
    <x v="1"/>
    <s v="2025-04-20"/>
    <n v="0"/>
    <n v="4"/>
    <n v="190929"/>
    <x v="24"/>
    <x v="1"/>
    <n v="97"/>
    <n v="202"/>
    <n v="96"/>
    <n v="106"/>
    <n v="49.650349650349654"/>
    <n v="50.24975024975025"/>
    <n v="92"/>
    <n v="110"/>
    <n v="47.5"/>
    <n v="52.5"/>
    <n v="14.841584158415841"/>
    <n v="30"/>
    <n v="34"/>
    <n v="3.4499999999999988"/>
    <n v="3.4735294117647055"/>
  </r>
  <r>
    <s v="EMP0800"/>
    <s v="John"/>
    <s v="Johnson"/>
    <x v="1"/>
    <n v="34"/>
    <x v="4"/>
    <x v="7"/>
    <s v="2016-12-29"/>
    <n v="4"/>
    <n v="12"/>
    <n v="245283"/>
    <x v="12"/>
    <x v="1"/>
    <n v="74"/>
    <n v="201"/>
    <n v="96"/>
    <n v="105"/>
    <n v="49.650349650349654"/>
    <n v="50.24975024975025"/>
    <n v="92"/>
    <n v="109"/>
    <n v="47.5"/>
    <n v="52.5"/>
    <n v="14.895522388059701"/>
    <n v="30"/>
    <n v="34"/>
    <n v="3.4499999999999988"/>
    <n v="3.4735294117647055"/>
  </r>
  <r>
    <s v="EMP0801"/>
    <s v="John"/>
    <s v="Garba"/>
    <x v="1"/>
    <n v="36"/>
    <x v="4"/>
    <x v="0"/>
    <s v="2012-01-06"/>
    <n v="6"/>
    <n v="11"/>
    <n v="486013"/>
    <x v="29"/>
    <x v="1"/>
    <n v="98"/>
    <n v="200"/>
    <n v="96"/>
    <n v="104"/>
    <n v="49.650349650349654"/>
    <n v="50.24975024975025"/>
    <n v="92"/>
    <n v="108"/>
    <n v="47.5"/>
    <n v="52.5"/>
    <n v="14.91"/>
    <n v="30"/>
    <n v="34"/>
    <n v="3.4499999999999988"/>
    <n v="3.4735294117647055"/>
  </r>
  <r>
    <s v="EMP0802"/>
    <s v="Grace"/>
    <s v="Musa"/>
    <x v="1"/>
    <n v="25"/>
    <x v="6"/>
    <x v="8"/>
    <s v="2017-03-01"/>
    <n v="18"/>
    <n v="21"/>
    <n v="489926"/>
    <x v="25"/>
    <x v="0"/>
    <n v="39"/>
    <n v="199"/>
    <n v="96"/>
    <n v="103"/>
    <n v="49.650349650349654"/>
    <n v="50.24975024975025"/>
    <n v="92"/>
    <n v="107"/>
    <n v="47.5"/>
    <n v="52.5"/>
    <n v="14.92964824120603"/>
    <n v="30"/>
    <n v="34"/>
    <n v="3.4499999999999988"/>
    <n v="3.4735294117647055"/>
  </r>
  <r>
    <s v="EMP0803"/>
    <s v="Michael"/>
    <s v="Musa"/>
    <x v="0"/>
    <n v="52"/>
    <x v="3"/>
    <x v="9"/>
    <s v="2021-12-31"/>
    <n v="15"/>
    <n v="24"/>
    <n v="407350"/>
    <x v="22"/>
    <x v="1"/>
    <n v="100"/>
    <n v="198"/>
    <n v="96"/>
    <n v="102"/>
    <n v="49.650349650349654"/>
    <n v="50.24975024975025"/>
    <n v="91"/>
    <n v="107"/>
    <n v="47.5"/>
    <n v="52.5"/>
    <n v="14.8989898989899"/>
    <n v="30"/>
    <n v="34"/>
    <n v="3.4499999999999988"/>
    <n v="3.4735294117647055"/>
  </r>
  <r>
    <s v="EMP0804"/>
    <s v="Mary"/>
    <s v="Brown"/>
    <x v="0"/>
    <n v="43"/>
    <x v="2"/>
    <x v="1"/>
    <s v="2025-02-26"/>
    <n v="14"/>
    <n v="14"/>
    <n v="268682"/>
    <x v="20"/>
    <x v="0"/>
    <n v="67"/>
    <n v="197"/>
    <n v="95"/>
    <n v="102"/>
    <n v="49.650349650349654"/>
    <n v="50.24975024975025"/>
    <n v="91"/>
    <n v="106"/>
    <n v="47.5"/>
    <n v="52.5"/>
    <n v="14.852791878172589"/>
    <n v="30"/>
    <n v="34"/>
    <n v="3.4499999999999988"/>
    <n v="3.4735294117647055"/>
  </r>
  <r>
    <s v="EMP0805"/>
    <s v="Michael"/>
    <s v="Garba"/>
    <x v="0"/>
    <n v="36"/>
    <x v="4"/>
    <x v="9"/>
    <s v="2019-04-03"/>
    <n v="4"/>
    <n v="7"/>
    <n v="447332"/>
    <x v="26"/>
    <x v="1"/>
    <n v="86"/>
    <n v="196"/>
    <n v="94"/>
    <n v="102"/>
    <n v="49.650349650349654"/>
    <n v="50.24975024975025"/>
    <n v="90"/>
    <n v="106"/>
    <n v="47.5"/>
    <n v="52.5"/>
    <n v="14.857142857142858"/>
    <n v="30"/>
    <n v="34"/>
    <n v="3.4499999999999988"/>
    <n v="3.4735294117647055"/>
  </r>
  <r>
    <s v="EMP0806"/>
    <s v="James"/>
    <s v="Smith"/>
    <x v="1"/>
    <n v="46"/>
    <x v="4"/>
    <x v="6"/>
    <s v="2014-08-19"/>
    <n v="9"/>
    <n v="11"/>
    <n v="314498"/>
    <x v="18"/>
    <x v="0"/>
    <n v="45"/>
    <n v="195"/>
    <n v="93"/>
    <n v="102"/>
    <n v="49.650349650349654"/>
    <n v="50.24975024975025"/>
    <n v="90"/>
    <n v="105"/>
    <n v="47.5"/>
    <n v="52.5"/>
    <n v="14.897435897435898"/>
    <n v="30"/>
    <n v="34"/>
    <n v="3.4499999999999988"/>
    <n v="3.4735294117647055"/>
  </r>
  <r>
    <s v="EMP0807"/>
    <s v="Mary"/>
    <s v="Smith"/>
    <x v="1"/>
    <n v="43"/>
    <x v="3"/>
    <x v="0"/>
    <s v="2021-08-21"/>
    <n v="0"/>
    <n v="6"/>
    <n v="403710"/>
    <x v="27"/>
    <x v="1"/>
    <n v="95"/>
    <n v="194"/>
    <n v="93"/>
    <n v="101"/>
    <n v="49.650349650349654"/>
    <n v="50.24975024975025"/>
    <n v="89"/>
    <n v="105"/>
    <n v="47.5"/>
    <n v="52.5"/>
    <n v="14.917525773195877"/>
    <n v="30"/>
    <n v="34"/>
    <n v="3.4499999999999988"/>
    <n v="3.4735294117647055"/>
  </r>
  <r>
    <s v="EMP0808"/>
    <s v="David"/>
    <s v="Okoro"/>
    <x v="0"/>
    <n v="33"/>
    <x v="6"/>
    <x v="2"/>
    <s v="2017-12-24"/>
    <n v="0"/>
    <n v="8"/>
    <n v="92320"/>
    <x v="18"/>
    <x v="1"/>
    <n v="84"/>
    <n v="193"/>
    <n v="93"/>
    <n v="100"/>
    <n v="49.650349650349654"/>
    <n v="50.24975024975025"/>
    <n v="89"/>
    <n v="104"/>
    <n v="47.5"/>
    <n v="52.5"/>
    <n v="14.963730569948186"/>
    <n v="30"/>
    <n v="34"/>
    <n v="3.4499999999999988"/>
    <n v="3.4735294117647055"/>
  </r>
  <r>
    <s v="EMP0809"/>
    <s v="Amina"/>
    <s v="Garba"/>
    <x v="0"/>
    <n v="21"/>
    <x v="0"/>
    <x v="1"/>
    <s v="2012-12-19"/>
    <n v="11"/>
    <n v="15"/>
    <n v="270308"/>
    <x v="4"/>
    <x v="1"/>
    <n v="98"/>
    <n v="192"/>
    <n v="92"/>
    <n v="100"/>
    <n v="49.650349650349654"/>
    <n v="50.24975024975025"/>
    <n v="89"/>
    <n v="103"/>
    <n v="47.5"/>
    <n v="52.5"/>
    <n v="15"/>
    <n v="30"/>
    <n v="34"/>
    <n v="3.4499999999999988"/>
    <n v="3.4735294117647055"/>
  </r>
  <r>
    <s v="EMP0810"/>
    <s v="Sarah"/>
    <s v="Okoro"/>
    <x v="0"/>
    <n v="39"/>
    <x v="6"/>
    <x v="7"/>
    <s v="2013-01-02"/>
    <n v="6"/>
    <n v="6"/>
    <n v="166967"/>
    <x v="21"/>
    <x v="0"/>
    <n v="65"/>
    <n v="191"/>
    <n v="91"/>
    <n v="100"/>
    <n v="49.650349650349654"/>
    <n v="50.24975024975025"/>
    <n v="89"/>
    <n v="102"/>
    <n v="47.5"/>
    <n v="52.5"/>
    <n v="15"/>
    <n v="30"/>
    <n v="34"/>
    <n v="3.4499999999999988"/>
    <n v="3.4735294117647055"/>
  </r>
  <r>
    <s v="EMP0811"/>
    <s v="Mary"/>
    <s v="Johnson"/>
    <x v="0"/>
    <n v="38"/>
    <x v="1"/>
    <x v="9"/>
    <s v="2022-07-22"/>
    <n v="11"/>
    <n v="11"/>
    <n v="257059"/>
    <x v="18"/>
    <x v="1"/>
    <n v="82"/>
    <n v="190"/>
    <n v="90"/>
    <n v="100"/>
    <n v="49.650349650349654"/>
    <n v="50.24975024975025"/>
    <n v="88"/>
    <n v="102"/>
    <n v="47.5"/>
    <n v="52.5"/>
    <n v="15.047368421052632"/>
    <n v="30"/>
    <n v="34"/>
    <n v="3.4499999999999988"/>
    <n v="3.4735294117647055"/>
  </r>
  <r>
    <s v="EMP0812"/>
    <s v="John"/>
    <s v="Ibrahim"/>
    <x v="1"/>
    <n v="21"/>
    <x v="1"/>
    <x v="5"/>
    <s v="2023-01-09"/>
    <n v="6"/>
    <n v="12"/>
    <n v="131303"/>
    <x v="22"/>
    <x v="0"/>
    <n v="46"/>
    <n v="189"/>
    <n v="89"/>
    <n v="100"/>
    <n v="49.650349650349654"/>
    <n v="50.24975024975025"/>
    <n v="88"/>
    <n v="101"/>
    <n v="47.5"/>
    <n v="52.5"/>
    <n v="15.068783068783068"/>
    <n v="30"/>
    <n v="33"/>
    <n v="3.4499999999999988"/>
    <n v="3.5151515151515151"/>
  </r>
  <r>
    <s v="EMP0813"/>
    <s v="David"/>
    <s v="Jones"/>
    <x v="1"/>
    <n v="26"/>
    <x v="5"/>
    <x v="8"/>
    <s v="2022-09-03"/>
    <n v="1"/>
    <n v="10"/>
    <n v="235366"/>
    <x v="2"/>
    <x v="1"/>
    <n v="81"/>
    <n v="188"/>
    <n v="89"/>
    <n v="99"/>
    <n v="49.650349650349654"/>
    <n v="50.24975024975025"/>
    <n v="87"/>
    <n v="101"/>
    <n v="47.5"/>
    <n v="52.5"/>
    <n v="15.085106382978724"/>
    <n v="30"/>
    <n v="32"/>
    <n v="3.4499999999999988"/>
    <n v="3.5031249999999994"/>
  </r>
  <r>
    <s v="EMP0814"/>
    <s v="Daniel"/>
    <s v="Okoro"/>
    <x v="0"/>
    <n v="24"/>
    <x v="1"/>
    <x v="7"/>
    <s v="2019-10-20"/>
    <n v="0"/>
    <n v="3"/>
    <n v="358459"/>
    <x v="29"/>
    <x v="1"/>
    <n v="94"/>
    <n v="187"/>
    <n v="89"/>
    <n v="98"/>
    <n v="49.650349650349654"/>
    <n v="50.24975024975025"/>
    <n v="87"/>
    <n v="100"/>
    <n v="47.5"/>
    <n v="52.5"/>
    <n v="15.112299465240641"/>
    <n v="29"/>
    <n v="32"/>
    <n v="3.4413793103448267"/>
    <n v="3.5031249999999994"/>
  </r>
  <r>
    <s v="EMP0815"/>
    <s v="Michael"/>
    <s v="Smith"/>
    <x v="1"/>
    <n v="48"/>
    <x v="6"/>
    <x v="1"/>
    <s v="2019-08-22"/>
    <n v="17"/>
    <n v="27"/>
    <n v="439773"/>
    <x v="22"/>
    <x v="0"/>
    <n v="37"/>
    <n v="186"/>
    <n v="88"/>
    <n v="98"/>
    <n v="49.650349650349654"/>
    <n v="50.24975024975025"/>
    <n v="87"/>
    <n v="99"/>
    <n v="47.5"/>
    <n v="52.5"/>
    <n v="15.17741935483871"/>
    <n v="29"/>
    <n v="31"/>
    <n v="3.4413793103448267"/>
    <n v="3.5193548387096767"/>
  </r>
  <r>
    <s v="EMP0816"/>
    <s v="Sarah"/>
    <s v="Musa"/>
    <x v="1"/>
    <n v="49"/>
    <x v="6"/>
    <x v="2"/>
    <s v="2015-09-03"/>
    <n v="16"/>
    <n v="26"/>
    <n v="166877"/>
    <x v="11"/>
    <x v="1"/>
    <n v="91"/>
    <n v="185"/>
    <n v="88"/>
    <n v="97"/>
    <n v="49.650349650349654"/>
    <n v="50.24975024975025"/>
    <n v="86"/>
    <n v="99"/>
    <n v="47.5"/>
    <n v="52.5"/>
    <n v="15.113513513513514"/>
    <n v="29"/>
    <n v="31"/>
    <n v="3.4413793103448267"/>
    <n v="3.5193548387096767"/>
  </r>
  <r>
    <s v="EMP0817"/>
    <s v="David"/>
    <s v="Ahmed"/>
    <x v="1"/>
    <n v="36"/>
    <x v="2"/>
    <x v="0"/>
    <s v="2012-03-01"/>
    <n v="0"/>
    <n v="2"/>
    <n v="407270"/>
    <x v="6"/>
    <x v="0"/>
    <n v="31"/>
    <n v="184"/>
    <n v="88"/>
    <n v="96"/>
    <n v="49.650349650349654"/>
    <n v="50.24975024975025"/>
    <n v="86"/>
    <n v="98"/>
    <n v="47.5"/>
    <n v="52.5"/>
    <n v="15.054347826086957"/>
    <n v="29"/>
    <n v="31"/>
    <n v="3.4413793103448267"/>
    <n v="3.5193548387096767"/>
  </r>
  <r>
    <s v="EMP0818"/>
    <s v="Fatima"/>
    <s v="Musa"/>
    <x v="1"/>
    <n v="40"/>
    <x v="4"/>
    <x v="3"/>
    <s v="2022-05-06"/>
    <n v="10"/>
    <n v="16"/>
    <n v="112290"/>
    <x v="30"/>
    <x v="0"/>
    <n v="42"/>
    <n v="183"/>
    <n v="88"/>
    <n v="95"/>
    <n v="49.650349650349654"/>
    <n v="50.24975024975025"/>
    <n v="85"/>
    <n v="98"/>
    <n v="47.5"/>
    <n v="52.5"/>
    <n v="15.12568306010929"/>
    <n v="29"/>
    <n v="31"/>
    <n v="3.4413793103448267"/>
    <n v="3.5193548387096767"/>
  </r>
  <r>
    <s v="EMP0819"/>
    <s v="Sarah"/>
    <s v="Garba"/>
    <x v="1"/>
    <n v="48"/>
    <x v="0"/>
    <x v="0"/>
    <s v="2015-12-02"/>
    <n v="11"/>
    <n v="15"/>
    <n v="305243"/>
    <x v="8"/>
    <x v="0"/>
    <n v="66"/>
    <n v="182"/>
    <n v="88"/>
    <n v="94"/>
    <n v="49.650349650349654"/>
    <n v="50.24975024975025"/>
    <n v="84"/>
    <n v="98"/>
    <n v="47.5"/>
    <n v="52.5"/>
    <n v="15.12087912087912"/>
    <n v="29"/>
    <n v="31"/>
    <n v="3.4413793103448267"/>
    <n v="3.5193548387096767"/>
  </r>
  <r>
    <s v="EMP0820"/>
    <s v="Daniel"/>
    <s v="Musa"/>
    <x v="0"/>
    <n v="52"/>
    <x v="0"/>
    <x v="4"/>
    <s v="2012-09-08"/>
    <n v="8"/>
    <n v="10"/>
    <n v="354218"/>
    <x v="16"/>
    <x v="1"/>
    <n v="86"/>
    <n v="181"/>
    <n v="88"/>
    <n v="93"/>
    <n v="49.650349650349654"/>
    <n v="50.24975024975025"/>
    <n v="83"/>
    <n v="98"/>
    <n v="47.5"/>
    <n v="52.5"/>
    <n v="15.121546961325967"/>
    <n v="29"/>
    <n v="31"/>
    <n v="3.4413793103448267"/>
    <n v="3.5193548387096767"/>
  </r>
  <r>
    <s v="EMP0821"/>
    <s v="Amina"/>
    <s v="Smith"/>
    <x v="0"/>
    <n v="27"/>
    <x v="5"/>
    <x v="6"/>
    <s v="2022-07-11"/>
    <n v="10"/>
    <n v="12"/>
    <n v="126536"/>
    <x v="17"/>
    <x v="1"/>
    <n v="81"/>
    <n v="180"/>
    <n v="87"/>
    <n v="93"/>
    <n v="49.650349650349654"/>
    <n v="50.24975024975025"/>
    <n v="83"/>
    <n v="97"/>
    <n v="47.5"/>
    <n v="52.5"/>
    <n v="15.15"/>
    <n v="29"/>
    <n v="31"/>
    <n v="3.4413793103448267"/>
    <n v="3.5193548387096767"/>
  </r>
  <r>
    <s v="EMP0822"/>
    <s v="Amina"/>
    <s v="Johnson"/>
    <x v="0"/>
    <n v="55"/>
    <x v="5"/>
    <x v="1"/>
    <s v="2017-10-25"/>
    <n v="13"/>
    <n v="16"/>
    <n v="444601"/>
    <x v="21"/>
    <x v="1"/>
    <n v="74"/>
    <n v="179"/>
    <n v="86"/>
    <n v="93"/>
    <n v="49.650349650349654"/>
    <n v="50.24975024975025"/>
    <n v="83"/>
    <n v="96"/>
    <n v="47.5"/>
    <n v="52.5"/>
    <n v="15.167597765363128"/>
    <n v="28"/>
    <n v="31"/>
    <n v="3.403571428571428"/>
    <n v="3.5193548387096767"/>
  </r>
  <r>
    <s v="EMP0823"/>
    <s v="Amina"/>
    <s v="Jones"/>
    <x v="1"/>
    <n v="21"/>
    <x v="1"/>
    <x v="1"/>
    <s v="2020-02-22"/>
    <n v="20"/>
    <n v="21"/>
    <n v="379998"/>
    <x v="13"/>
    <x v="1"/>
    <n v="93"/>
    <n v="178"/>
    <n v="85"/>
    <n v="93"/>
    <n v="49.650349650349654"/>
    <n v="50.24975024975025"/>
    <n v="83"/>
    <n v="95"/>
    <n v="47.5"/>
    <n v="52.5"/>
    <n v="15.162921348314606"/>
    <n v="27"/>
    <n v="31"/>
    <n v="3.4074074074074066"/>
    <n v="3.5193548387096767"/>
  </r>
  <r>
    <s v="EMP0824"/>
    <s v="Sarah"/>
    <s v="Brown"/>
    <x v="0"/>
    <n v="26"/>
    <x v="4"/>
    <x v="3"/>
    <s v="2020-12-09"/>
    <n v="3"/>
    <n v="9"/>
    <n v="97650"/>
    <x v="15"/>
    <x v="1"/>
    <n v="97"/>
    <n v="177"/>
    <n v="85"/>
    <n v="92"/>
    <n v="49.650349650349654"/>
    <n v="50.24975024975025"/>
    <n v="83"/>
    <n v="94"/>
    <n v="47.5"/>
    <n v="52.5"/>
    <n v="15.129943502824858"/>
    <n v="27"/>
    <n v="30"/>
    <n v="3.4074074074074066"/>
    <n v="3.57"/>
  </r>
  <r>
    <s v="EMP0825"/>
    <s v="Grace"/>
    <s v="Williams"/>
    <x v="0"/>
    <n v="50"/>
    <x v="0"/>
    <x v="3"/>
    <s v="2023-10-15"/>
    <n v="2"/>
    <n v="6"/>
    <n v="381475"/>
    <x v="26"/>
    <x v="1"/>
    <n v="79"/>
    <n v="176"/>
    <n v="84"/>
    <n v="92"/>
    <n v="49.650349650349654"/>
    <n v="50.24975024975025"/>
    <n v="83"/>
    <n v="93"/>
    <n v="47.5"/>
    <n v="52.5"/>
    <n v="15.164772727272727"/>
    <n v="27"/>
    <n v="30"/>
    <n v="3.4074074074074066"/>
    <n v="3.57"/>
  </r>
  <r>
    <s v="EMP0826"/>
    <s v="David"/>
    <s v="Smith"/>
    <x v="1"/>
    <n v="55"/>
    <x v="3"/>
    <x v="1"/>
    <s v="2012-06-17"/>
    <n v="1"/>
    <n v="2"/>
    <n v="306058"/>
    <x v="19"/>
    <x v="1"/>
    <n v="87"/>
    <n v="175"/>
    <n v="83"/>
    <n v="92"/>
    <n v="49.650349650349654"/>
    <n v="50.24975024975025"/>
    <n v="83"/>
    <n v="92"/>
    <n v="47.5"/>
    <n v="52.5"/>
    <n v="15.217142857142857"/>
    <n v="27"/>
    <n v="30"/>
    <n v="3.4074074074074066"/>
    <n v="3.57"/>
  </r>
  <r>
    <s v="EMP0827"/>
    <s v="Sarah"/>
    <s v="Ahmed"/>
    <x v="0"/>
    <n v="43"/>
    <x v="1"/>
    <x v="0"/>
    <s v="2012-09-09"/>
    <n v="12"/>
    <n v="22"/>
    <n v="400083"/>
    <x v="11"/>
    <x v="0"/>
    <n v="41"/>
    <n v="174"/>
    <n v="83"/>
    <n v="91"/>
    <n v="49.650349650349654"/>
    <n v="50.24975024975025"/>
    <n v="83"/>
    <n v="91"/>
    <n v="47.5"/>
    <n v="52.5"/>
    <n v="15.293103448275861"/>
    <n v="27"/>
    <n v="30"/>
    <n v="3.4074074074074066"/>
    <n v="3.57"/>
  </r>
  <r>
    <s v="EMP0828"/>
    <s v="Mary"/>
    <s v="Jones"/>
    <x v="0"/>
    <n v="33"/>
    <x v="0"/>
    <x v="2"/>
    <s v="2012-07-03"/>
    <n v="18"/>
    <n v="20"/>
    <n v="324179"/>
    <x v="18"/>
    <x v="1"/>
    <n v="82"/>
    <n v="173"/>
    <n v="82"/>
    <n v="91"/>
    <n v="49.650349650349654"/>
    <n v="50.24975024975025"/>
    <n v="82"/>
    <n v="91"/>
    <n v="47.5"/>
    <n v="52.5"/>
    <n v="15.254335260115607"/>
    <n v="27"/>
    <n v="29"/>
    <n v="3.4074074074074066"/>
    <n v="3.5310344827586202"/>
  </r>
  <r>
    <s v="EMP0829"/>
    <s v="David"/>
    <s v="Garba"/>
    <x v="1"/>
    <n v="29"/>
    <x v="2"/>
    <x v="1"/>
    <s v="2022-06-10"/>
    <n v="20"/>
    <n v="20"/>
    <n v="59477"/>
    <x v="0"/>
    <x v="0"/>
    <n v="34"/>
    <n v="172"/>
    <n v="81"/>
    <n v="91"/>
    <n v="49.650349650349654"/>
    <n v="50.24975024975025"/>
    <n v="82"/>
    <n v="90"/>
    <n v="47.5"/>
    <n v="52.5"/>
    <n v="15.226744186046512"/>
    <n v="27"/>
    <n v="29"/>
    <n v="3.4074074074074066"/>
    <n v="3.5310344827586202"/>
  </r>
  <r>
    <s v="EMP0830"/>
    <s v="Fatima"/>
    <s v="Williams"/>
    <x v="1"/>
    <n v="57"/>
    <x v="1"/>
    <x v="4"/>
    <s v="2015-01-05"/>
    <n v="9"/>
    <n v="15"/>
    <n v="359673"/>
    <x v="12"/>
    <x v="1"/>
    <n v="76"/>
    <n v="171"/>
    <n v="81"/>
    <n v="90"/>
    <n v="49.650349650349654"/>
    <n v="50.24975024975025"/>
    <n v="81"/>
    <n v="90"/>
    <n v="47.5"/>
    <n v="52.5"/>
    <n v="15.198830409356725"/>
    <n v="27"/>
    <n v="29"/>
    <n v="3.4074074074074066"/>
    <n v="3.5310344827586202"/>
  </r>
  <r>
    <s v="EMP0831"/>
    <s v="Daniel"/>
    <s v="Brown"/>
    <x v="1"/>
    <n v="27"/>
    <x v="5"/>
    <x v="0"/>
    <s v="2013-09-24"/>
    <n v="5"/>
    <n v="7"/>
    <n v="245800"/>
    <x v="27"/>
    <x v="0"/>
    <n v="54"/>
    <n v="170"/>
    <n v="81"/>
    <n v="89"/>
    <n v="49.650349650349654"/>
    <n v="50.24975024975025"/>
    <n v="81"/>
    <n v="89"/>
    <n v="47.5"/>
    <n v="52.5"/>
    <n v="15.2"/>
    <n v="27"/>
    <n v="28"/>
    <n v="3.4074074074074066"/>
    <n v="3.5357142857142847"/>
  </r>
  <r>
    <s v="EMP0832"/>
    <s v="Fatima"/>
    <s v="Jones"/>
    <x v="1"/>
    <n v="44"/>
    <x v="5"/>
    <x v="6"/>
    <s v="2019-10-03"/>
    <n v="6"/>
    <n v="7"/>
    <n v="125582"/>
    <x v="8"/>
    <x v="1"/>
    <n v="89"/>
    <n v="169"/>
    <n v="81"/>
    <n v="88"/>
    <n v="49.650349650349654"/>
    <n v="50.24975024975025"/>
    <n v="80"/>
    <n v="89"/>
    <n v="47.5"/>
    <n v="52.5"/>
    <n v="15.248520710059172"/>
    <n v="26"/>
    <n v="28"/>
    <n v="3.4269230769230763"/>
    <n v="3.5357142857142847"/>
  </r>
  <r>
    <s v="EMP0833"/>
    <s v="David"/>
    <s v="Okoro"/>
    <x v="0"/>
    <n v="22"/>
    <x v="6"/>
    <x v="0"/>
    <s v="2017-03-17"/>
    <n v="14"/>
    <n v="22"/>
    <n v="471514"/>
    <x v="3"/>
    <x v="0"/>
    <n v="60"/>
    <n v="168"/>
    <n v="81"/>
    <n v="87"/>
    <n v="49.650349650349654"/>
    <n v="50.24975024975025"/>
    <n v="80"/>
    <n v="88"/>
    <n v="47.5"/>
    <n v="52.5"/>
    <n v="15.297619047619047"/>
    <n v="25"/>
    <n v="28"/>
    <n v="3.3879999999999995"/>
    <n v="3.5357142857142847"/>
  </r>
  <r>
    <s v="EMP0834"/>
    <s v="James"/>
    <s v="Jones"/>
    <x v="1"/>
    <n v="33"/>
    <x v="5"/>
    <x v="8"/>
    <s v="2023-04-03"/>
    <n v="9"/>
    <n v="9"/>
    <n v="186916"/>
    <x v="9"/>
    <x v="0"/>
    <n v="42"/>
    <n v="167"/>
    <n v="80"/>
    <n v="87"/>
    <n v="49.650349650349654"/>
    <n v="50.24975024975025"/>
    <n v="79"/>
    <n v="88"/>
    <n v="47.5"/>
    <n v="52.5"/>
    <n v="15.257485029940121"/>
    <n v="25"/>
    <n v="28"/>
    <n v="3.3879999999999995"/>
    <n v="3.5357142857142847"/>
  </r>
  <r>
    <s v="EMP0835"/>
    <s v="Sarah"/>
    <s v="Musa"/>
    <x v="1"/>
    <n v="31"/>
    <x v="6"/>
    <x v="5"/>
    <s v="2025-07-12"/>
    <n v="8"/>
    <n v="8"/>
    <n v="153172"/>
    <x v="10"/>
    <x v="1"/>
    <n v="94"/>
    <n v="166"/>
    <n v="80"/>
    <n v="86"/>
    <n v="49.650349650349654"/>
    <n v="50.24975024975025"/>
    <n v="78"/>
    <n v="88"/>
    <n v="47.5"/>
    <n v="52.5"/>
    <n v="15.295180722891565"/>
    <n v="24"/>
    <n v="28"/>
    <n v="3.3583333333333329"/>
    <n v="3.5357142857142847"/>
  </r>
  <r>
    <s v="EMP0836"/>
    <s v="Mary"/>
    <s v="Garba"/>
    <x v="1"/>
    <n v="32"/>
    <x v="2"/>
    <x v="9"/>
    <s v="2017-12-05"/>
    <n v="11"/>
    <n v="15"/>
    <n v="98727"/>
    <x v="19"/>
    <x v="0"/>
    <n v="35"/>
    <n v="165"/>
    <n v="80"/>
    <n v="85"/>
    <n v="49.650349650349654"/>
    <n v="50.24975024975025"/>
    <n v="78"/>
    <n v="87"/>
    <n v="47.5"/>
    <n v="52.5"/>
    <n v="15.33939393939394"/>
    <n v="24"/>
    <n v="28"/>
    <n v="3.3583333333333329"/>
    <n v="3.5357142857142847"/>
  </r>
  <r>
    <s v="EMP0837"/>
    <s v="Fatima"/>
    <s v="Smith"/>
    <x v="1"/>
    <n v="60"/>
    <x v="1"/>
    <x v="3"/>
    <s v="2023-03-25"/>
    <n v="4"/>
    <n v="8"/>
    <n v="498173"/>
    <x v="15"/>
    <x v="0"/>
    <n v="59"/>
    <n v="164"/>
    <n v="80"/>
    <n v="84"/>
    <n v="49.650349650349654"/>
    <n v="50.24975024975025"/>
    <n v="77"/>
    <n v="87"/>
    <n v="47.5"/>
    <n v="52.5"/>
    <n v="15.341463414634147"/>
    <n v="24"/>
    <n v="28"/>
    <n v="3.3583333333333329"/>
    <n v="3.5357142857142847"/>
  </r>
  <r>
    <s v="EMP0838"/>
    <s v="Mary"/>
    <s v="Musa"/>
    <x v="0"/>
    <n v="45"/>
    <x v="4"/>
    <x v="4"/>
    <s v="2021-10-31"/>
    <n v="20"/>
    <n v="22"/>
    <n v="486222"/>
    <x v="15"/>
    <x v="0"/>
    <n v="64"/>
    <n v="163"/>
    <n v="80"/>
    <n v="83"/>
    <n v="49.650349650349654"/>
    <n v="50.24975024975025"/>
    <n v="76"/>
    <n v="87"/>
    <n v="47.5"/>
    <n v="52.5"/>
    <n v="15.386503067484663"/>
    <n v="24"/>
    <n v="27"/>
    <n v="3.3583333333333329"/>
    <n v="3.5370370370370363"/>
  </r>
  <r>
    <s v="EMP0839"/>
    <s v="Peter"/>
    <s v="Ibrahim"/>
    <x v="1"/>
    <n v="26"/>
    <x v="5"/>
    <x v="1"/>
    <s v="2017-05-01"/>
    <n v="3"/>
    <n v="3"/>
    <n v="66952"/>
    <x v="15"/>
    <x v="1"/>
    <n v="73"/>
    <n v="162"/>
    <n v="79"/>
    <n v="83"/>
    <n v="49.650349650349654"/>
    <n v="50.24975024975025"/>
    <n v="75"/>
    <n v="87"/>
    <n v="47.5"/>
    <n v="52.5"/>
    <n v="15.345679012345679"/>
    <n v="24"/>
    <n v="27"/>
    <n v="3.3583333333333329"/>
    <n v="3.5370370370370363"/>
  </r>
  <r>
    <s v="EMP0840"/>
    <s v="Michael"/>
    <s v="Ibrahim"/>
    <x v="1"/>
    <n v="44"/>
    <x v="1"/>
    <x v="4"/>
    <s v="2023-07-02"/>
    <n v="8"/>
    <n v="11"/>
    <n v="297441"/>
    <x v="7"/>
    <x v="0"/>
    <n v="65"/>
    <n v="161"/>
    <n v="79"/>
    <n v="82"/>
    <n v="49.650349650349654"/>
    <n v="50.24975024975025"/>
    <n v="75"/>
    <n v="86"/>
    <n v="47.5"/>
    <n v="52.5"/>
    <n v="15.422360248447205"/>
    <n v="23"/>
    <n v="27"/>
    <n v="3.3521739130434782"/>
    <n v="3.5370370370370363"/>
  </r>
  <r>
    <s v="EMP0841"/>
    <s v="Sarah"/>
    <s v="Garba"/>
    <x v="0"/>
    <n v="45"/>
    <x v="2"/>
    <x v="4"/>
    <s v="2018-10-16"/>
    <n v="6"/>
    <n v="13"/>
    <n v="326902"/>
    <x v="22"/>
    <x v="0"/>
    <n v="56"/>
    <n v="160"/>
    <n v="79"/>
    <n v="81"/>
    <n v="49.650349650349654"/>
    <n v="50.24975024975025"/>
    <n v="74"/>
    <n v="86"/>
    <n v="47.5"/>
    <n v="52.5"/>
    <n v="15.45"/>
    <n v="23"/>
    <n v="26"/>
    <n v="3.3521739130434782"/>
    <n v="3.5499999999999994"/>
  </r>
  <r>
    <s v="EMP0842"/>
    <s v="Grace"/>
    <s v="Musa"/>
    <x v="0"/>
    <n v="47"/>
    <x v="2"/>
    <x v="9"/>
    <s v="2012-04-06"/>
    <n v="12"/>
    <n v="19"/>
    <n v="315511"/>
    <x v="25"/>
    <x v="0"/>
    <n v="68"/>
    <n v="159"/>
    <n v="78"/>
    <n v="81"/>
    <n v="49.650349650349654"/>
    <n v="50.24975024975025"/>
    <n v="73"/>
    <n v="86"/>
    <n v="47.5"/>
    <n v="52.5"/>
    <n v="15.465408805031446"/>
    <n v="23"/>
    <n v="26"/>
    <n v="3.3521739130434782"/>
    <n v="3.5499999999999994"/>
  </r>
  <r>
    <s v="EMP0843"/>
    <s v="Daniel"/>
    <s v="Johnson"/>
    <x v="1"/>
    <n v="32"/>
    <x v="5"/>
    <x v="7"/>
    <s v="2018-04-14"/>
    <n v="13"/>
    <n v="13"/>
    <n v="79475"/>
    <x v="17"/>
    <x v="1"/>
    <n v="80"/>
    <n v="158"/>
    <n v="77"/>
    <n v="81"/>
    <n v="49.650349650349654"/>
    <n v="50.24975024975025"/>
    <n v="72"/>
    <n v="86"/>
    <n v="47.5"/>
    <n v="52.5"/>
    <n v="15.443037974683545"/>
    <n v="23"/>
    <n v="26"/>
    <n v="3.3521739130434782"/>
    <n v="3.5499999999999994"/>
  </r>
  <r>
    <s v="EMP0844"/>
    <s v="John"/>
    <s v="Okoro"/>
    <x v="1"/>
    <n v="25"/>
    <x v="2"/>
    <x v="5"/>
    <s v="2018-01-20"/>
    <n v="6"/>
    <n v="10"/>
    <n v="53878"/>
    <x v="2"/>
    <x v="0"/>
    <n v="70"/>
    <n v="157"/>
    <n v="77"/>
    <n v="80"/>
    <n v="49.650349650349654"/>
    <n v="50.24975024975025"/>
    <n v="72"/>
    <n v="85"/>
    <n v="47.5"/>
    <n v="52.5"/>
    <n v="15.45859872611465"/>
    <n v="22"/>
    <n v="26"/>
    <n v="3.3"/>
    <n v="3.5499999999999994"/>
  </r>
  <r>
    <s v="EMP0845"/>
    <s v="Hauwa"/>
    <s v="Ahmed"/>
    <x v="0"/>
    <n v="41"/>
    <x v="4"/>
    <x v="1"/>
    <s v="2019-04-13"/>
    <n v="10"/>
    <n v="14"/>
    <n v="362850"/>
    <x v="9"/>
    <x v="0"/>
    <n v="43"/>
    <n v="156"/>
    <n v="77"/>
    <n v="79"/>
    <n v="49.650349650349654"/>
    <n v="50.24975024975025"/>
    <n v="71"/>
    <n v="85"/>
    <n v="47.5"/>
    <n v="52.5"/>
    <n v="15.493589743589743"/>
    <n v="22"/>
    <n v="26"/>
    <n v="3.3"/>
    <n v="3.5499999999999994"/>
  </r>
  <r>
    <s v="EMP0846"/>
    <s v="Grace"/>
    <s v="Okoro"/>
    <x v="0"/>
    <n v="24"/>
    <x v="6"/>
    <x v="4"/>
    <s v="2015-12-04"/>
    <n v="2"/>
    <n v="4"/>
    <n v="145434"/>
    <x v="4"/>
    <x v="0"/>
    <n v="38"/>
    <n v="155"/>
    <n v="76"/>
    <n v="79"/>
    <n v="49.650349650349654"/>
    <n v="50.24975024975025"/>
    <n v="70"/>
    <n v="85"/>
    <n v="47.5"/>
    <n v="52.5"/>
    <n v="15.503225806451614"/>
    <n v="22"/>
    <n v="26"/>
    <n v="3.3"/>
    <n v="3.5499999999999994"/>
  </r>
  <r>
    <s v="EMP0847"/>
    <s v="David"/>
    <s v="Johnson"/>
    <x v="1"/>
    <n v="41"/>
    <x v="1"/>
    <x v="1"/>
    <s v="2013-07-07"/>
    <n v="5"/>
    <n v="6"/>
    <n v="449411"/>
    <x v="0"/>
    <x v="0"/>
    <n v="55"/>
    <n v="154"/>
    <n v="75"/>
    <n v="79"/>
    <n v="49.650349650349654"/>
    <n v="50.24975024975025"/>
    <n v="69"/>
    <n v="85"/>
    <n v="47.5"/>
    <n v="52.5"/>
    <n v="15.577922077922079"/>
    <n v="22"/>
    <n v="26"/>
    <n v="3.3"/>
    <n v="3.5499999999999994"/>
  </r>
  <r>
    <s v="EMP0848"/>
    <s v="Peter"/>
    <s v="Williams"/>
    <x v="0"/>
    <n v="50"/>
    <x v="3"/>
    <x v="2"/>
    <s v="2021-11-30"/>
    <n v="17"/>
    <n v="24"/>
    <n v="391473"/>
    <x v="17"/>
    <x v="0"/>
    <n v="36"/>
    <n v="153"/>
    <n v="75"/>
    <n v="78"/>
    <n v="49.650349650349654"/>
    <n v="50.24975024975025"/>
    <n v="68"/>
    <n v="85"/>
    <n v="47.5"/>
    <n v="52.5"/>
    <n v="15.640522875816993"/>
    <n v="22"/>
    <n v="25"/>
    <n v="3.3"/>
    <n v="3.5839999999999992"/>
  </r>
  <r>
    <s v="EMP0849"/>
    <s v="Sarah"/>
    <s v="Jones"/>
    <x v="0"/>
    <n v="44"/>
    <x v="5"/>
    <x v="3"/>
    <s v="2018-03-05"/>
    <n v="20"/>
    <n v="29"/>
    <n v="175353"/>
    <x v="14"/>
    <x v="0"/>
    <n v="57"/>
    <n v="152"/>
    <n v="74"/>
    <n v="78"/>
    <n v="49.650349650349654"/>
    <n v="50.24975024975025"/>
    <n v="67"/>
    <n v="85"/>
    <n v="47.5"/>
    <n v="52.5"/>
    <n v="15.585526315789474"/>
    <n v="22"/>
    <n v="25"/>
    <n v="3.3"/>
    <n v="3.5839999999999992"/>
  </r>
  <r>
    <s v="EMP0850"/>
    <s v="Hauwa"/>
    <s v="Jones"/>
    <x v="0"/>
    <n v="47"/>
    <x v="3"/>
    <x v="5"/>
    <s v="2012-05-01"/>
    <n v="7"/>
    <n v="10"/>
    <n v="226380"/>
    <x v="30"/>
    <x v="1"/>
    <n v="93"/>
    <n v="151"/>
    <n v="73"/>
    <n v="78"/>
    <n v="49.650349650349654"/>
    <n v="50.24975024975025"/>
    <n v="66"/>
    <n v="85"/>
    <n v="47.5"/>
    <n v="52.5"/>
    <n v="15.496688741721854"/>
    <n v="21"/>
    <n v="25"/>
    <n v="3.3238095238095235"/>
    <n v="3.5839999999999992"/>
  </r>
  <r>
    <s v="EMP0851"/>
    <s v="Fatima"/>
    <s v="Johnson"/>
    <x v="0"/>
    <n v="38"/>
    <x v="4"/>
    <x v="7"/>
    <s v="2022-06-19"/>
    <n v="13"/>
    <n v="14"/>
    <n v="372762"/>
    <x v="27"/>
    <x v="1"/>
    <n v="91"/>
    <n v="150"/>
    <n v="72"/>
    <n v="78"/>
    <n v="49.650349650349654"/>
    <n v="50.24975024975025"/>
    <n v="66"/>
    <n v="84"/>
    <n v="47.5"/>
    <n v="52.5"/>
    <n v="15.533333333333333"/>
    <n v="21"/>
    <n v="25"/>
    <n v="3.3238095238095235"/>
    <n v="3.5839999999999992"/>
  </r>
  <r>
    <s v="EMP0852"/>
    <s v="David"/>
    <s v="Ahmed"/>
    <x v="0"/>
    <n v="57"/>
    <x v="6"/>
    <x v="8"/>
    <s v="2014-01-01"/>
    <n v="14"/>
    <n v="21"/>
    <n v="74500"/>
    <x v="16"/>
    <x v="1"/>
    <n v="100"/>
    <n v="149"/>
    <n v="71"/>
    <n v="78"/>
    <n v="49.650349650349654"/>
    <n v="50.24975024975025"/>
    <n v="66"/>
    <n v="83"/>
    <n v="47.5"/>
    <n v="52.5"/>
    <n v="15.543624161073826"/>
    <n v="21"/>
    <n v="25"/>
    <n v="3.3238095238095235"/>
    <n v="3.5839999999999992"/>
  </r>
  <r>
    <s v="EMP0853"/>
    <s v="Peter"/>
    <s v="Smith"/>
    <x v="1"/>
    <n v="23"/>
    <x v="6"/>
    <x v="7"/>
    <s v="2023-04-29"/>
    <n v="20"/>
    <n v="27"/>
    <n v="134226"/>
    <x v="2"/>
    <x v="1"/>
    <n v="95"/>
    <n v="148"/>
    <n v="70"/>
    <n v="78"/>
    <n v="49.650349650349654"/>
    <n v="50.24975024975025"/>
    <n v="66"/>
    <n v="82"/>
    <n v="47.5"/>
    <n v="52.5"/>
    <n v="15.506756756756756"/>
    <n v="21"/>
    <n v="25"/>
    <n v="3.3238095238095235"/>
    <n v="3.5839999999999992"/>
  </r>
  <r>
    <s v="EMP0854"/>
    <s v="John"/>
    <s v="Ahmed"/>
    <x v="1"/>
    <n v="28"/>
    <x v="4"/>
    <x v="6"/>
    <s v="2021-03-13"/>
    <n v="10"/>
    <n v="20"/>
    <n v="107958"/>
    <x v="30"/>
    <x v="0"/>
    <n v="45"/>
    <n v="147"/>
    <n v="70"/>
    <n v="77"/>
    <n v="49.650349650349654"/>
    <n v="50.24975024975025"/>
    <n v="66"/>
    <n v="81"/>
    <n v="47.5"/>
    <n v="52.5"/>
    <n v="15.428571428571429"/>
    <n v="21"/>
    <n v="25"/>
    <n v="3.3238095238095235"/>
    <n v="3.5839999999999992"/>
  </r>
  <r>
    <s v="EMP0855"/>
    <s v="Fatima"/>
    <s v="Garba"/>
    <x v="1"/>
    <n v="45"/>
    <x v="3"/>
    <x v="5"/>
    <s v="2023-04-24"/>
    <n v="3"/>
    <n v="10"/>
    <n v="95761"/>
    <x v="8"/>
    <x v="0"/>
    <n v="58"/>
    <n v="146"/>
    <n v="70"/>
    <n v="76"/>
    <n v="49.650349650349654"/>
    <n v="50.24975024975025"/>
    <n v="65"/>
    <n v="81"/>
    <n v="47.5"/>
    <n v="52.5"/>
    <n v="15.397260273972602"/>
    <n v="21"/>
    <n v="25"/>
    <n v="3.3238095238095235"/>
    <n v="3.5839999999999992"/>
  </r>
  <r>
    <s v="EMP0856"/>
    <s v="Daniel"/>
    <s v="Johnson"/>
    <x v="1"/>
    <n v="22"/>
    <x v="1"/>
    <x v="0"/>
    <s v="2016-12-14"/>
    <n v="6"/>
    <n v="15"/>
    <n v="147756"/>
    <x v="4"/>
    <x v="1"/>
    <n v="82"/>
    <n v="145"/>
    <n v="70"/>
    <n v="75"/>
    <n v="49.650349650349654"/>
    <n v="50.24975024975025"/>
    <n v="64"/>
    <n v="81"/>
    <n v="47.5"/>
    <n v="52.5"/>
    <n v="15.434482758620689"/>
    <n v="21"/>
    <n v="25"/>
    <n v="3.3238095238095235"/>
    <n v="3.5839999999999992"/>
  </r>
  <r>
    <s v="EMP0857"/>
    <s v="Sarah"/>
    <s v="Williams"/>
    <x v="0"/>
    <n v="59"/>
    <x v="4"/>
    <x v="1"/>
    <s v="2025-04-22"/>
    <n v="20"/>
    <n v="26"/>
    <n v="407532"/>
    <x v="12"/>
    <x v="0"/>
    <n v="41"/>
    <n v="144"/>
    <n v="70"/>
    <n v="74"/>
    <n v="49.650349650349654"/>
    <n v="50.24975024975025"/>
    <n v="64"/>
    <n v="80"/>
    <n v="47.5"/>
    <n v="52.5"/>
    <n v="15.4375"/>
    <n v="21"/>
    <n v="24"/>
    <n v="3.3238095238095235"/>
    <n v="3.5749999999999993"/>
  </r>
  <r>
    <s v="EMP0858"/>
    <s v="James"/>
    <s v="Ahmed"/>
    <x v="1"/>
    <n v="40"/>
    <x v="1"/>
    <x v="9"/>
    <s v="2012-03-31"/>
    <n v="10"/>
    <n v="16"/>
    <n v="346733"/>
    <x v="12"/>
    <x v="0"/>
    <n v="64"/>
    <n v="143"/>
    <n v="69"/>
    <n v="74"/>
    <n v="49.650349650349654"/>
    <n v="50.24975024975025"/>
    <n v="63"/>
    <n v="80"/>
    <n v="47.5"/>
    <n v="52.5"/>
    <n v="15.363636363636363"/>
    <n v="21"/>
    <n v="24"/>
    <n v="3.3238095238095235"/>
    <n v="3.5749999999999993"/>
  </r>
  <r>
    <s v="EMP0859"/>
    <s v="Michael"/>
    <s v="Johnson"/>
    <x v="0"/>
    <n v="45"/>
    <x v="0"/>
    <x v="9"/>
    <s v="2022-07-28"/>
    <n v="19"/>
    <n v="26"/>
    <n v="333661"/>
    <x v="16"/>
    <x v="1"/>
    <n v="85"/>
    <n v="142"/>
    <n v="69"/>
    <n v="73"/>
    <n v="49.650349650349654"/>
    <n v="50.24975024975025"/>
    <n v="62"/>
    <n v="80"/>
    <n v="47.5"/>
    <n v="52.5"/>
    <n v="15.359154929577464"/>
    <n v="21"/>
    <n v="23"/>
    <n v="3.3238095238095235"/>
    <n v="3.5826086956521737"/>
  </r>
  <r>
    <s v="EMP0860"/>
    <s v="Fatima"/>
    <s v="Brown"/>
    <x v="1"/>
    <n v="26"/>
    <x v="0"/>
    <x v="2"/>
    <s v="2020-09-13"/>
    <n v="6"/>
    <n v="10"/>
    <n v="276974"/>
    <x v="2"/>
    <x v="0"/>
    <n v="40"/>
    <n v="141"/>
    <n v="68"/>
    <n v="73"/>
    <n v="49.650349650349654"/>
    <n v="50.24975024975025"/>
    <n v="62"/>
    <n v="79"/>
    <n v="47.5"/>
    <n v="52.5"/>
    <n v="15.283687943262411"/>
    <n v="21"/>
    <n v="23"/>
    <n v="3.3238095238095235"/>
    <n v="3.5826086956521737"/>
  </r>
  <r>
    <s v="EMP0861"/>
    <s v="Grace"/>
    <s v="Jones"/>
    <x v="0"/>
    <n v="50"/>
    <x v="2"/>
    <x v="1"/>
    <s v="2012-03-09"/>
    <n v="20"/>
    <n v="23"/>
    <n v="252963"/>
    <x v="5"/>
    <x v="0"/>
    <n v="35"/>
    <n v="140"/>
    <n v="68"/>
    <n v="72"/>
    <n v="49.650349650349654"/>
    <n v="50.24975024975025"/>
    <n v="61"/>
    <n v="79"/>
    <n v="47.5"/>
    <n v="52.5"/>
    <n v="15.321428571428571"/>
    <n v="21"/>
    <n v="23"/>
    <n v="3.3238095238095235"/>
    <n v="3.5826086956521737"/>
  </r>
  <r>
    <s v="EMP0862"/>
    <s v="James"/>
    <s v="Smith"/>
    <x v="0"/>
    <n v="42"/>
    <x v="3"/>
    <x v="3"/>
    <s v="2013-08-15"/>
    <n v="16"/>
    <n v="25"/>
    <n v="362501"/>
    <x v="0"/>
    <x v="0"/>
    <n v="58"/>
    <n v="139"/>
    <n v="67"/>
    <n v="72"/>
    <n v="49.650349650349654"/>
    <n v="50.24975024975025"/>
    <n v="60"/>
    <n v="79"/>
    <n v="47.5"/>
    <n v="52.5"/>
    <n v="15.266187050359711"/>
    <n v="21"/>
    <n v="23"/>
    <n v="3.3238095238095235"/>
    <n v="3.5826086956521737"/>
  </r>
  <r>
    <s v="EMP0863"/>
    <s v="Sarah"/>
    <s v="Okoro"/>
    <x v="1"/>
    <n v="60"/>
    <x v="6"/>
    <x v="8"/>
    <s v="2013-07-15"/>
    <n v="18"/>
    <n v="22"/>
    <n v="488045"/>
    <x v="4"/>
    <x v="0"/>
    <n v="46"/>
    <n v="138"/>
    <n v="66"/>
    <n v="72"/>
    <n v="49.650349650349654"/>
    <n v="50.24975024975025"/>
    <n v="59"/>
    <n v="79"/>
    <n v="47.5"/>
    <n v="52.5"/>
    <n v="15.195652173913043"/>
    <n v="21"/>
    <n v="23"/>
    <n v="3.3238095238095235"/>
    <n v="3.5826086956521737"/>
  </r>
  <r>
    <s v="EMP0864"/>
    <s v="David"/>
    <s v="Brown"/>
    <x v="0"/>
    <n v="49"/>
    <x v="6"/>
    <x v="5"/>
    <s v="2018-03-19"/>
    <n v="5"/>
    <n v="7"/>
    <n v="51147"/>
    <x v="16"/>
    <x v="0"/>
    <n v="43"/>
    <n v="137"/>
    <n v="66"/>
    <n v="71"/>
    <n v="49.650349650349654"/>
    <n v="50.24975024975025"/>
    <n v="58"/>
    <n v="79"/>
    <n v="47.5"/>
    <n v="52.5"/>
    <n v="15.145985401459853"/>
    <n v="21"/>
    <n v="23"/>
    <n v="3.3238095238095235"/>
    <n v="3.5826086956521737"/>
  </r>
  <r>
    <s v="EMP0865"/>
    <s v="Amina"/>
    <s v="Garba"/>
    <x v="0"/>
    <n v="55"/>
    <x v="1"/>
    <x v="9"/>
    <s v="2021-01-16"/>
    <n v="12"/>
    <n v="20"/>
    <n v="261308"/>
    <x v="10"/>
    <x v="0"/>
    <n v="38"/>
    <n v="136"/>
    <n v="65"/>
    <n v="71"/>
    <n v="49.650349650349654"/>
    <n v="50.24975024975025"/>
    <n v="57"/>
    <n v="79"/>
    <n v="47.5"/>
    <n v="52.5"/>
    <n v="15.205882352941176"/>
    <n v="21"/>
    <n v="23"/>
    <n v="3.3238095238095235"/>
    <n v="3.5826086956521737"/>
  </r>
  <r>
    <s v="EMP0866"/>
    <s v="David"/>
    <s v="Brown"/>
    <x v="0"/>
    <n v="34"/>
    <x v="2"/>
    <x v="2"/>
    <s v="2020-06-02"/>
    <n v="1"/>
    <n v="2"/>
    <n v="215520"/>
    <x v="30"/>
    <x v="1"/>
    <n v="81"/>
    <n v="135"/>
    <n v="64"/>
    <n v="71"/>
    <n v="49.650349650349654"/>
    <n v="50.24975024975025"/>
    <n v="56"/>
    <n v="79"/>
    <n v="47.5"/>
    <n v="52.5"/>
    <n v="15.170370370370371"/>
    <n v="21"/>
    <n v="22"/>
    <n v="3.3238095238095235"/>
    <n v="3.6045454545454545"/>
  </r>
  <r>
    <s v="EMP0867"/>
    <s v="Sarah"/>
    <s v="Jones"/>
    <x v="1"/>
    <n v="45"/>
    <x v="4"/>
    <x v="7"/>
    <s v="2024-12-28"/>
    <n v="5"/>
    <n v="11"/>
    <n v="452725"/>
    <x v="21"/>
    <x v="0"/>
    <n v="57"/>
    <n v="134"/>
    <n v="63"/>
    <n v="71"/>
    <n v="49.650349650349654"/>
    <n v="50.24975024975025"/>
    <n v="56"/>
    <n v="78"/>
    <n v="47.5"/>
    <n v="52.5"/>
    <n v="15.26865671641791"/>
    <n v="21"/>
    <n v="22"/>
    <n v="3.3238095238095235"/>
    <n v="3.6045454545454545"/>
  </r>
  <r>
    <s v="EMP0868"/>
    <s v="Fatima"/>
    <s v="Musa"/>
    <x v="1"/>
    <n v="36"/>
    <x v="5"/>
    <x v="6"/>
    <s v="2021-07-26"/>
    <n v="17"/>
    <n v="21"/>
    <n v="241361"/>
    <x v="4"/>
    <x v="1"/>
    <n v="85"/>
    <n v="133"/>
    <n v="63"/>
    <n v="70"/>
    <n v="49.650349650349654"/>
    <n v="50.24975024975025"/>
    <n v="55"/>
    <n v="78"/>
    <n v="47.5"/>
    <n v="52.5"/>
    <n v="15.300751879699249"/>
    <n v="21"/>
    <n v="22"/>
    <n v="3.3238095238095235"/>
    <n v="3.6045454545454545"/>
  </r>
  <r>
    <s v="EMP0869"/>
    <s v="Daniel"/>
    <s v="Smith"/>
    <x v="0"/>
    <n v="31"/>
    <x v="3"/>
    <x v="6"/>
    <s v="2020-10-15"/>
    <n v="1"/>
    <n v="1"/>
    <n v="95526"/>
    <x v="9"/>
    <x v="0"/>
    <n v="43"/>
    <n v="132"/>
    <n v="63"/>
    <n v="69"/>
    <n v="49.650349650349654"/>
    <n v="50.24975024975025"/>
    <n v="55"/>
    <n v="77"/>
    <n v="47.5"/>
    <n v="52.5"/>
    <n v="15.257575757575758"/>
    <n v="20"/>
    <n v="22"/>
    <n v="3.3"/>
    <n v="3.6045454545454545"/>
  </r>
  <r>
    <s v="EMP0870"/>
    <s v="Michael"/>
    <s v="Brown"/>
    <x v="1"/>
    <n v="25"/>
    <x v="5"/>
    <x v="9"/>
    <s v="2023-06-14"/>
    <n v="8"/>
    <n v="14"/>
    <n v="484837"/>
    <x v="28"/>
    <x v="1"/>
    <n v="96"/>
    <n v="131"/>
    <n v="62"/>
    <n v="69"/>
    <n v="49.650349650349654"/>
    <n v="50.24975024975025"/>
    <n v="54"/>
    <n v="77"/>
    <n v="47.5"/>
    <n v="52.5"/>
    <n v="15.366412213740459"/>
    <n v="20"/>
    <n v="22"/>
    <n v="3.3"/>
    <n v="3.6045454545454545"/>
  </r>
  <r>
    <s v="EMP0871"/>
    <s v="Mary"/>
    <s v="Musa"/>
    <x v="1"/>
    <n v="55"/>
    <x v="1"/>
    <x v="1"/>
    <s v="2019-11-18"/>
    <n v="10"/>
    <n v="16"/>
    <n v="55486"/>
    <x v="7"/>
    <x v="1"/>
    <n v="85"/>
    <n v="130"/>
    <n v="62"/>
    <n v="68"/>
    <n v="49.650349650349654"/>
    <n v="50.24975024975025"/>
    <n v="54"/>
    <n v="76"/>
    <n v="47.5"/>
    <n v="52.5"/>
    <n v="15.376923076923077"/>
    <n v="19"/>
    <n v="22"/>
    <n v="3.2473684210526312"/>
    <n v="3.6045454545454545"/>
  </r>
  <r>
    <s v="EMP0872"/>
    <s v="Hauwa"/>
    <s v="Jones"/>
    <x v="0"/>
    <n v="33"/>
    <x v="1"/>
    <x v="5"/>
    <s v="2020-07-18"/>
    <n v="18"/>
    <n v="27"/>
    <n v="111282"/>
    <x v="2"/>
    <x v="0"/>
    <n v="51"/>
    <n v="129"/>
    <n v="62"/>
    <n v="67"/>
    <n v="49.650349650349654"/>
    <n v="50.24975024975025"/>
    <n v="54"/>
    <n v="75"/>
    <n v="47.5"/>
    <n v="52.5"/>
    <n v="15.372093023255815"/>
    <n v="19"/>
    <n v="21"/>
    <n v="3.2473684210526312"/>
    <n v="3.6238095238095243"/>
  </r>
  <r>
    <s v="EMP0873"/>
    <s v="Grace"/>
    <s v="Smith"/>
    <x v="0"/>
    <n v="39"/>
    <x v="5"/>
    <x v="0"/>
    <s v="2020-04-23"/>
    <n v="15"/>
    <n v="23"/>
    <n v="441492"/>
    <x v="3"/>
    <x v="1"/>
    <n v="71"/>
    <n v="128"/>
    <n v="61"/>
    <n v="67"/>
    <n v="49.650349650349654"/>
    <n v="50.24975024975025"/>
    <n v="53"/>
    <n v="75"/>
    <n v="47.5"/>
    <n v="52.5"/>
    <n v="15.28125"/>
    <n v="19"/>
    <n v="20"/>
    <n v="3.2473684210526312"/>
    <n v="3.6199999999999997"/>
  </r>
  <r>
    <s v="EMP0874"/>
    <s v="Daniel"/>
    <s v="Garba"/>
    <x v="1"/>
    <n v="30"/>
    <x v="1"/>
    <x v="5"/>
    <s v="2018-08-11"/>
    <n v="1"/>
    <n v="4"/>
    <n v="364133"/>
    <x v="15"/>
    <x v="1"/>
    <n v="77"/>
    <n v="127"/>
    <n v="60"/>
    <n v="67"/>
    <n v="49.650349650349654"/>
    <n v="50.24975024975025"/>
    <n v="53"/>
    <n v="74"/>
    <n v="47.5"/>
    <n v="52.5"/>
    <n v="15.220472440944881"/>
    <n v="18"/>
    <n v="20"/>
    <n v="3.2888888888888888"/>
    <n v="3.6199999999999997"/>
  </r>
  <r>
    <s v="EMP0875"/>
    <s v="James"/>
    <s v="Garba"/>
    <x v="1"/>
    <n v="49"/>
    <x v="6"/>
    <x v="6"/>
    <s v="2017-10-12"/>
    <n v="10"/>
    <n v="14"/>
    <n v="419442"/>
    <x v="28"/>
    <x v="0"/>
    <n v="40"/>
    <n v="126"/>
    <n v="60"/>
    <n v="66"/>
    <n v="49.650349650349654"/>
    <n v="50.24975024975025"/>
    <n v="53"/>
    <n v="73"/>
    <n v="47.5"/>
    <n v="52.5"/>
    <n v="15.30952380952381"/>
    <n v="18"/>
    <n v="19"/>
    <n v="3.2888888888888888"/>
    <n v="3.6263157894736837"/>
  </r>
  <r>
    <s v="EMP0876"/>
    <s v="John"/>
    <s v="Musa"/>
    <x v="1"/>
    <n v="44"/>
    <x v="0"/>
    <x v="1"/>
    <s v="2015-06-26"/>
    <n v="19"/>
    <n v="25"/>
    <n v="51694"/>
    <x v="29"/>
    <x v="1"/>
    <n v="92"/>
    <n v="125"/>
    <n v="60"/>
    <n v="65"/>
    <n v="49.650349650349654"/>
    <n v="50.24975024975025"/>
    <n v="52"/>
    <n v="73"/>
    <n v="47.5"/>
    <n v="52.5"/>
    <n v="15.32"/>
    <n v="18"/>
    <n v="19"/>
    <n v="3.2888888888888888"/>
    <n v="3.6263157894736837"/>
  </r>
  <r>
    <s v="EMP0877"/>
    <s v="Hauwa"/>
    <s v="Jones"/>
    <x v="0"/>
    <n v="41"/>
    <x v="2"/>
    <x v="5"/>
    <s v="2016-12-28"/>
    <n v="20"/>
    <n v="25"/>
    <n v="233631"/>
    <x v="7"/>
    <x v="1"/>
    <n v="91"/>
    <n v="124"/>
    <n v="60"/>
    <n v="64"/>
    <n v="49.650349650349654"/>
    <n v="50.24975024975025"/>
    <n v="52"/>
    <n v="72"/>
    <n v="47.5"/>
    <n v="52.5"/>
    <n v="15.241935483870968"/>
    <n v="18"/>
    <n v="19"/>
    <n v="3.2888888888888888"/>
    <n v="3.6263157894736837"/>
  </r>
  <r>
    <s v="EMP0878"/>
    <s v="James"/>
    <s v="Okoro"/>
    <x v="0"/>
    <n v="47"/>
    <x v="6"/>
    <x v="6"/>
    <s v="2024-04-28"/>
    <n v="10"/>
    <n v="19"/>
    <n v="225196"/>
    <x v="10"/>
    <x v="0"/>
    <n v="36"/>
    <n v="123"/>
    <n v="59"/>
    <n v="64"/>
    <n v="49.650349650349654"/>
    <n v="50.24975024975025"/>
    <n v="52"/>
    <n v="71"/>
    <n v="47.5"/>
    <n v="52.5"/>
    <n v="15.16260162601626"/>
    <n v="18"/>
    <n v="19"/>
    <n v="3.2888888888888888"/>
    <n v="3.6263157894736837"/>
  </r>
  <r>
    <s v="EMP0879"/>
    <s v="Hauwa"/>
    <s v="Okoro"/>
    <x v="1"/>
    <n v="58"/>
    <x v="4"/>
    <x v="3"/>
    <s v="2017-05-06"/>
    <n v="9"/>
    <n v="16"/>
    <n v="476729"/>
    <x v="28"/>
    <x v="1"/>
    <n v="89"/>
    <n v="122"/>
    <n v="58"/>
    <n v="64"/>
    <n v="49.650349650349654"/>
    <n v="50.24975024975025"/>
    <n v="51"/>
    <n v="71"/>
    <n v="47.5"/>
    <n v="52.5"/>
    <n v="15.131147540983607"/>
    <n v="18"/>
    <n v="19"/>
    <n v="3.2888888888888888"/>
    <n v="3.6263157894736837"/>
  </r>
  <r>
    <s v="EMP0880"/>
    <s v="David"/>
    <s v="Musa"/>
    <x v="1"/>
    <n v="57"/>
    <x v="4"/>
    <x v="8"/>
    <s v="2024-04-17"/>
    <n v="1"/>
    <n v="2"/>
    <n v="319201"/>
    <x v="24"/>
    <x v="0"/>
    <n v="34"/>
    <n v="121"/>
    <n v="58"/>
    <n v="63"/>
    <n v="49.650349650349654"/>
    <n v="50.24975024975025"/>
    <n v="51"/>
    <n v="70"/>
    <n v="47.5"/>
    <n v="52.5"/>
    <n v="15.12396694214876"/>
    <n v="18"/>
    <n v="19"/>
    <n v="3.2888888888888888"/>
    <n v="3.6263157894736837"/>
  </r>
  <r>
    <s v="EMP0881"/>
    <s v="Mary"/>
    <s v="Musa"/>
    <x v="0"/>
    <n v="27"/>
    <x v="0"/>
    <x v="0"/>
    <s v="2022-05-26"/>
    <n v="12"/>
    <n v="13"/>
    <n v="322316"/>
    <x v="29"/>
    <x v="1"/>
    <n v="76"/>
    <n v="120"/>
    <n v="58"/>
    <n v="62"/>
    <n v="49.650349650349654"/>
    <n v="50.24975024975025"/>
    <n v="50"/>
    <n v="70"/>
    <n v="47.5"/>
    <n v="52.5"/>
    <n v="15.233333333333333"/>
    <n v="18"/>
    <n v="19"/>
    <n v="3.2888888888888888"/>
    <n v="3.6263157894736837"/>
  </r>
  <r>
    <s v="EMP0882"/>
    <s v="Peter"/>
    <s v="Ahmed"/>
    <x v="1"/>
    <n v="42"/>
    <x v="2"/>
    <x v="4"/>
    <s v="2019-04-09"/>
    <n v="15"/>
    <n v="20"/>
    <n v="106981"/>
    <x v="24"/>
    <x v="1"/>
    <n v="98"/>
    <n v="119"/>
    <n v="57"/>
    <n v="62"/>
    <n v="49.650349650349654"/>
    <n v="50.24975024975025"/>
    <n v="50"/>
    <n v="69"/>
    <n v="47.5"/>
    <n v="52.5"/>
    <n v="15.252100840336135"/>
    <n v="18"/>
    <n v="19"/>
    <n v="3.2888888888888888"/>
    <n v="3.6263157894736837"/>
  </r>
  <r>
    <s v="EMP0883"/>
    <s v="Mary"/>
    <s v="Smith"/>
    <x v="0"/>
    <n v="34"/>
    <x v="2"/>
    <x v="0"/>
    <s v="2016-08-08"/>
    <n v="4"/>
    <n v="10"/>
    <n v="415352"/>
    <x v="2"/>
    <x v="1"/>
    <n v="80"/>
    <n v="118"/>
    <n v="57"/>
    <n v="61"/>
    <n v="49.650349650349654"/>
    <n v="50.24975024975025"/>
    <n v="50"/>
    <n v="68"/>
    <n v="47.5"/>
    <n v="52.5"/>
    <n v="15.211864406779661"/>
    <n v="18"/>
    <n v="19"/>
    <n v="3.2888888888888888"/>
    <n v="3.6263157894736837"/>
  </r>
  <r>
    <s v="EMP0884"/>
    <s v="Michael"/>
    <s v="Garba"/>
    <x v="1"/>
    <n v="33"/>
    <x v="2"/>
    <x v="7"/>
    <s v="2019-06-09"/>
    <n v="18"/>
    <n v="28"/>
    <n v="367385"/>
    <x v="21"/>
    <x v="0"/>
    <n v="51"/>
    <n v="117"/>
    <n v="56"/>
    <n v="61"/>
    <n v="49.650349650349654"/>
    <n v="50.24975024975025"/>
    <n v="50"/>
    <n v="67"/>
    <n v="47.5"/>
    <n v="52.5"/>
    <n v="15.256410256410257"/>
    <n v="18"/>
    <n v="19"/>
    <n v="3.2888888888888888"/>
    <n v="3.6263157894736837"/>
  </r>
  <r>
    <s v="EMP0885"/>
    <s v="Grace"/>
    <s v="Ibrahim"/>
    <x v="1"/>
    <n v="55"/>
    <x v="5"/>
    <x v="3"/>
    <s v="2025-05-27"/>
    <n v="14"/>
    <n v="19"/>
    <n v="434548"/>
    <x v="4"/>
    <x v="0"/>
    <n v="68"/>
    <n v="116"/>
    <n v="56"/>
    <n v="60"/>
    <n v="49.650349650349654"/>
    <n v="50.24975024975025"/>
    <n v="49"/>
    <n v="67"/>
    <n v="47.5"/>
    <n v="52.5"/>
    <n v="15.146551724137931"/>
    <n v="18"/>
    <n v="19"/>
    <n v="3.2888888888888888"/>
    <n v="3.6263157894736837"/>
  </r>
  <r>
    <s v="EMP0886"/>
    <s v="David"/>
    <s v="Brown"/>
    <x v="0"/>
    <n v="36"/>
    <x v="6"/>
    <x v="3"/>
    <s v="2015-12-22"/>
    <n v="3"/>
    <n v="3"/>
    <n v="341557"/>
    <x v="18"/>
    <x v="0"/>
    <n v="45"/>
    <n v="115"/>
    <n v="56"/>
    <n v="59"/>
    <n v="49.650349650349654"/>
    <n v="50.24975024975025"/>
    <n v="48"/>
    <n v="67"/>
    <n v="47.5"/>
    <n v="52.5"/>
    <n v="15.11304347826087"/>
    <n v="17"/>
    <n v="19"/>
    <n v="3.2588235294117642"/>
    <n v="3.6263157894736837"/>
  </r>
  <r>
    <s v="EMP0887"/>
    <s v="Sarah"/>
    <s v="Okoro"/>
    <x v="1"/>
    <n v="34"/>
    <x v="6"/>
    <x v="1"/>
    <s v="2022-08-18"/>
    <n v="9"/>
    <n v="10"/>
    <n v="419546"/>
    <x v="3"/>
    <x v="1"/>
    <n v="76"/>
    <n v="114"/>
    <n v="55"/>
    <n v="59"/>
    <n v="49.650349650349654"/>
    <n v="50.24975024975025"/>
    <n v="47"/>
    <n v="67"/>
    <n v="47.5"/>
    <n v="52.5"/>
    <n v="15.219298245614034"/>
    <n v="17"/>
    <n v="19"/>
    <n v="3.2588235294117642"/>
    <n v="3.6263157894736837"/>
  </r>
  <r>
    <s v="EMP0888"/>
    <s v="Fatima"/>
    <s v="Ibrahim"/>
    <x v="0"/>
    <n v="31"/>
    <x v="3"/>
    <x v="3"/>
    <s v="2015-03-17"/>
    <n v="19"/>
    <n v="23"/>
    <n v="148803"/>
    <x v="2"/>
    <x v="0"/>
    <n v="47"/>
    <n v="113"/>
    <n v="55"/>
    <n v="58"/>
    <n v="49.650349650349654"/>
    <n v="50.24975024975025"/>
    <n v="47"/>
    <n v="66"/>
    <n v="47.5"/>
    <n v="52.5"/>
    <n v="15.265486725663717"/>
    <n v="17"/>
    <n v="19"/>
    <n v="3.2588235294117642"/>
    <n v="3.6263157894736837"/>
  </r>
  <r>
    <s v="EMP0889"/>
    <s v="Peter"/>
    <s v="Okoro"/>
    <x v="0"/>
    <n v="54"/>
    <x v="2"/>
    <x v="2"/>
    <s v="2014-10-08"/>
    <n v="0"/>
    <n v="10"/>
    <n v="164917"/>
    <x v="4"/>
    <x v="0"/>
    <n v="50"/>
    <n v="112"/>
    <n v="54"/>
    <n v="58"/>
    <n v="49.650349650349654"/>
    <n v="50.24975024975025"/>
    <n v="46"/>
    <n v="66"/>
    <n v="47.5"/>
    <n v="52.5"/>
    <n v="15.196428571428571"/>
    <n v="17"/>
    <n v="19"/>
    <n v="3.2588235294117642"/>
    <n v="3.6263157894736837"/>
  </r>
  <r>
    <s v="EMP0890"/>
    <s v="Fatima"/>
    <s v="Ibrahim"/>
    <x v="1"/>
    <n v="29"/>
    <x v="3"/>
    <x v="6"/>
    <s v="2016-08-25"/>
    <n v="14"/>
    <n v="16"/>
    <n v="205135"/>
    <x v="18"/>
    <x v="1"/>
    <n v="78"/>
    <n v="111"/>
    <n v="53"/>
    <n v="58"/>
    <n v="49.650349650349654"/>
    <n v="50.24975024975025"/>
    <n v="45"/>
    <n v="66"/>
    <n v="47.5"/>
    <n v="52.5"/>
    <n v="15.243243243243244"/>
    <n v="17"/>
    <n v="19"/>
    <n v="3.2588235294117642"/>
    <n v="3.6263157894736837"/>
  </r>
  <r>
    <s v="EMP0891"/>
    <s v="John"/>
    <s v="Ahmed"/>
    <x v="1"/>
    <n v="24"/>
    <x v="6"/>
    <x v="8"/>
    <s v="2015-03-12"/>
    <n v="20"/>
    <n v="24"/>
    <n v="386594"/>
    <x v="25"/>
    <x v="0"/>
    <n v="62"/>
    <n v="110"/>
    <n v="53"/>
    <n v="57"/>
    <n v="49.650349650349654"/>
    <n v="50.24975024975025"/>
    <n v="45"/>
    <n v="65"/>
    <n v="47.5"/>
    <n v="52.5"/>
    <n v="15.236363636363636"/>
    <n v="17"/>
    <n v="19"/>
    <n v="3.2588235294117642"/>
    <n v="3.6263157894736837"/>
  </r>
  <r>
    <s v="EMP0892"/>
    <s v="Daniel"/>
    <s v="Smith"/>
    <x v="0"/>
    <n v="54"/>
    <x v="6"/>
    <x v="6"/>
    <s v="2012-06-26"/>
    <n v="2"/>
    <n v="5"/>
    <n v="69119"/>
    <x v="11"/>
    <x v="0"/>
    <n v="36"/>
    <n v="109"/>
    <n v="53"/>
    <n v="56"/>
    <n v="49.650349650349654"/>
    <n v="50.24975024975025"/>
    <n v="44"/>
    <n v="65"/>
    <n v="47.5"/>
    <n v="52.5"/>
    <n v="15.155963302752294"/>
    <n v="17"/>
    <n v="19"/>
    <n v="3.2588235294117642"/>
    <n v="3.6263157894736837"/>
  </r>
  <r>
    <s v="EMP0893"/>
    <s v="John"/>
    <s v="Smith"/>
    <x v="0"/>
    <n v="27"/>
    <x v="6"/>
    <x v="8"/>
    <s v="2023-05-14"/>
    <n v="3"/>
    <n v="5"/>
    <n v="173985"/>
    <x v="24"/>
    <x v="1"/>
    <n v="95"/>
    <n v="108"/>
    <n v="52"/>
    <n v="56"/>
    <n v="49.650349650349654"/>
    <n v="50.24975024975025"/>
    <n v="43"/>
    <n v="65"/>
    <n v="47.5"/>
    <n v="52.5"/>
    <n v="15.25"/>
    <n v="17"/>
    <n v="19"/>
    <n v="3.2588235294117642"/>
    <n v="3.6263157894736837"/>
  </r>
  <r>
    <s v="EMP0894"/>
    <s v="Amina"/>
    <s v="Brown"/>
    <x v="0"/>
    <n v="58"/>
    <x v="5"/>
    <x v="6"/>
    <s v="2024-02-26"/>
    <n v="12"/>
    <n v="14"/>
    <n v="235678"/>
    <x v="5"/>
    <x v="1"/>
    <n v="99"/>
    <n v="107"/>
    <n v="51"/>
    <n v="56"/>
    <n v="49.650349650349654"/>
    <n v="50.24975024975025"/>
    <n v="43"/>
    <n v="64"/>
    <n v="47.5"/>
    <n v="52.5"/>
    <n v="15.345794392523365"/>
    <n v="17"/>
    <n v="19"/>
    <n v="3.2588235294117642"/>
    <n v="3.6263157894736837"/>
  </r>
  <r>
    <s v="EMP0895"/>
    <s v="Sarah"/>
    <s v="Johnson"/>
    <x v="0"/>
    <n v="59"/>
    <x v="3"/>
    <x v="4"/>
    <s v="2020-01-30"/>
    <n v="9"/>
    <n v="12"/>
    <n v="371253"/>
    <x v="4"/>
    <x v="0"/>
    <n v="67"/>
    <n v="106"/>
    <n v="50"/>
    <n v="56"/>
    <n v="49.650349650349654"/>
    <n v="50.24975024975025"/>
    <n v="43"/>
    <n v="63"/>
    <n v="47.5"/>
    <n v="52.5"/>
    <n v="15.358490566037736"/>
    <n v="16"/>
    <n v="19"/>
    <n v="3.15625"/>
    <n v="3.6263157894736837"/>
  </r>
  <r>
    <s v="EMP0896"/>
    <s v="John"/>
    <s v="Musa"/>
    <x v="0"/>
    <n v="38"/>
    <x v="1"/>
    <x v="8"/>
    <s v="2015-04-08"/>
    <n v="17"/>
    <n v="25"/>
    <n v="380884"/>
    <x v="0"/>
    <x v="1"/>
    <n v="76"/>
    <n v="105"/>
    <n v="49"/>
    <n v="56"/>
    <n v="49.650349650349654"/>
    <n v="50.24975024975025"/>
    <n v="42"/>
    <n v="63"/>
    <n v="47.5"/>
    <n v="52.5"/>
    <n v="15.390476190476191"/>
    <n v="16"/>
    <n v="19"/>
    <n v="3.15625"/>
    <n v="3.6263157894736837"/>
  </r>
  <r>
    <s v="EMP0897"/>
    <s v="Fatima"/>
    <s v="Okoro"/>
    <x v="1"/>
    <n v="22"/>
    <x v="6"/>
    <x v="0"/>
    <s v="2019-01-04"/>
    <n v="4"/>
    <n v="9"/>
    <n v="377337"/>
    <x v="6"/>
    <x v="0"/>
    <n v="67"/>
    <n v="104"/>
    <n v="48"/>
    <n v="56"/>
    <n v="49.650349650349654"/>
    <n v="50.24975024975025"/>
    <n v="42"/>
    <n v="62"/>
    <n v="47.5"/>
    <n v="52.5"/>
    <n v="15.298076923076923"/>
    <n v="16"/>
    <n v="18"/>
    <n v="3.15625"/>
    <n v="3.6777777777777771"/>
  </r>
  <r>
    <s v="EMP0898"/>
    <s v="Grace"/>
    <s v="Ahmed"/>
    <x v="0"/>
    <n v="37"/>
    <x v="1"/>
    <x v="7"/>
    <s v="2014-12-17"/>
    <n v="4"/>
    <n v="4"/>
    <n v="382921"/>
    <x v="2"/>
    <x v="0"/>
    <n v="61"/>
    <n v="103"/>
    <n v="48"/>
    <n v="55"/>
    <n v="49.650349650349654"/>
    <n v="50.24975024975025"/>
    <n v="41"/>
    <n v="62"/>
    <n v="47.5"/>
    <n v="52.5"/>
    <n v="15.359223300970873"/>
    <n v="16"/>
    <n v="18"/>
    <n v="3.15625"/>
    <n v="3.6777777777777771"/>
  </r>
  <r>
    <s v="EMP0899"/>
    <s v="Michael"/>
    <s v="Ahmed"/>
    <x v="0"/>
    <n v="35"/>
    <x v="5"/>
    <x v="1"/>
    <s v="2023-07-24"/>
    <n v="12"/>
    <n v="21"/>
    <n v="407436"/>
    <x v="17"/>
    <x v="1"/>
    <n v="88"/>
    <n v="102"/>
    <n v="47"/>
    <n v="55"/>
    <n v="49.650349650349654"/>
    <n v="50.24975024975025"/>
    <n v="40"/>
    <n v="62"/>
    <n v="47.5"/>
    <n v="52.5"/>
    <n v="15.470588235294118"/>
    <n v="16"/>
    <n v="17"/>
    <n v="3.15625"/>
    <n v="3.6764705882352939"/>
  </r>
  <r>
    <s v="EMP0900"/>
    <s v="David"/>
    <s v="Ibrahim"/>
    <x v="0"/>
    <n v="23"/>
    <x v="1"/>
    <x v="2"/>
    <s v="2022-08-31"/>
    <n v="10"/>
    <n v="14"/>
    <n v="93536"/>
    <x v="15"/>
    <x v="1"/>
    <n v="77"/>
    <n v="101"/>
    <n v="46"/>
    <n v="55"/>
    <n v="49.650349650349654"/>
    <n v="50.24975024975025"/>
    <n v="40"/>
    <n v="61"/>
    <n v="47.5"/>
    <n v="52.5"/>
    <n v="15.415841584158416"/>
    <n v="15"/>
    <n v="17"/>
    <n v="3.0666666666666669"/>
    <n v="3.6764705882352939"/>
  </r>
  <r>
    <s v="EMP0901"/>
    <s v="Michael"/>
    <s v="Williams"/>
    <x v="1"/>
    <n v="40"/>
    <x v="1"/>
    <x v="9"/>
    <s v="2021-09-17"/>
    <n v="19"/>
    <n v="28"/>
    <n v="160209"/>
    <x v="21"/>
    <x v="0"/>
    <n v="55"/>
    <n v="100"/>
    <n v="45"/>
    <n v="55"/>
    <n v="49.650349650349654"/>
    <n v="50.24975024975025"/>
    <n v="40"/>
    <n v="60"/>
    <n v="47.5"/>
    <n v="52.5"/>
    <n v="15.43"/>
    <n v="15"/>
    <n v="16"/>
    <n v="3.0666666666666669"/>
    <n v="3.6875"/>
  </r>
  <r>
    <s v="EMP0902"/>
    <s v="John"/>
    <s v="Garba"/>
    <x v="0"/>
    <n v="33"/>
    <x v="5"/>
    <x v="7"/>
    <s v="2025-03-01"/>
    <n v="18"/>
    <n v="27"/>
    <n v="381895"/>
    <x v="11"/>
    <x v="1"/>
    <n v="82"/>
    <n v="99"/>
    <n v="45"/>
    <n v="54"/>
    <n v="49.650349650349654"/>
    <n v="50.24975024975025"/>
    <n v="39"/>
    <n v="60"/>
    <n v="47.5"/>
    <n v="52.5"/>
    <n v="15.303030303030303"/>
    <n v="15"/>
    <n v="15"/>
    <n v="3.0666666666666669"/>
    <n v="3.7133333333333334"/>
  </r>
  <r>
    <s v="EMP0903"/>
    <s v="Amina"/>
    <s v="Jones"/>
    <x v="1"/>
    <n v="43"/>
    <x v="4"/>
    <x v="6"/>
    <s v="2013-05-03"/>
    <n v="14"/>
    <n v="22"/>
    <n v="207667"/>
    <x v="0"/>
    <x v="0"/>
    <n v="59"/>
    <n v="98"/>
    <n v="44"/>
    <n v="54"/>
    <n v="49.650349650349654"/>
    <n v="50.24975024975025"/>
    <n v="39"/>
    <n v="59"/>
    <n v="47.5"/>
    <n v="52.5"/>
    <n v="15.183673469387756"/>
    <n v="14"/>
    <n v="15"/>
    <n v="2.95"/>
    <n v="3.7133333333333334"/>
  </r>
  <r>
    <s v="EMP0904"/>
    <s v="Amina"/>
    <s v="Ibrahim"/>
    <x v="1"/>
    <n v="26"/>
    <x v="1"/>
    <x v="3"/>
    <s v="2017-11-23"/>
    <n v="3"/>
    <n v="11"/>
    <n v="66598"/>
    <x v="4"/>
    <x v="0"/>
    <n v="48"/>
    <n v="97"/>
    <n v="44"/>
    <n v="53"/>
    <n v="49.650349650349654"/>
    <n v="50.24975024975025"/>
    <n v="38"/>
    <n v="59"/>
    <n v="47.5"/>
    <n v="52.5"/>
    <n v="15.11340206185567"/>
    <n v="14"/>
    <n v="15"/>
    <n v="2.95"/>
    <n v="3.7133333333333334"/>
  </r>
  <r>
    <s v="EMP0905"/>
    <s v="Mary"/>
    <s v="Jones"/>
    <x v="0"/>
    <n v="38"/>
    <x v="6"/>
    <x v="3"/>
    <s v="2024-04-07"/>
    <n v="0"/>
    <n v="3"/>
    <n v="315378"/>
    <x v="13"/>
    <x v="0"/>
    <n v="48"/>
    <n v="96"/>
    <n v="44"/>
    <n v="52"/>
    <n v="49.650349650349654"/>
    <n v="50.24975024975025"/>
    <n v="37"/>
    <n v="59"/>
    <n v="47.5"/>
    <n v="52.5"/>
    <n v="15.15625"/>
    <n v="14"/>
    <n v="14"/>
    <n v="2.95"/>
    <n v="3.7071428571428569"/>
  </r>
  <r>
    <s v="EMP0906"/>
    <s v="Mary"/>
    <s v="Johnson"/>
    <x v="1"/>
    <n v="27"/>
    <x v="5"/>
    <x v="5"/>
    <s v="2012-06-12"/>
    <n v="15"/>
    <n v="25"/>
    <n v="317711"/>
    <x v="19"/>
    <x v="1"/>
    <n v="75"/>
    <n v="95"/>
    <n v="43"/>
    <n v="52"/>
    <n v="49.650349650349654"/>
    <n v="50.24975024975025"/>
    <n v="36"/>
    <n v="59"/>
    <n v="47.5"/>
    <n v="52.5"/>
    <n v="15.284210526315789"/>
    <n v="14"/>
    <n v="14"/>
    <n v="2.95"/>
    <n v="3.7071428571428569"/>
  </r>
  <r>
    <s v="EMP0907"/>
    <s v="John"/>
    <s v="Johnson"/>
    <x v="1"/>
    <n v="56"/>
    <x v="2"/>
    <x v="3"/>
    <s v="2017-03-13"/>
    <n v="11"/>
    <n v="11"/>
    <n v="223766"/>
    <x v="3"/>
    <x v="1"/>
    <n v="72"/>
    <n v="94"/>
    <n v="43"/>
    <n v="51"/>
    <n v="49.650349650349654"/>
    <n v="50.24975024975025"/>
    <n v="36"/>
    <n v="58"/>
    <n v="47.5"/>
    <n v="52.5"/>
    <n v="15.180851063829786"/>
    <n v="13"/>
    <n v="14"/>
    <n v="3.0000000000000004"/>
    <n v="3.7071428571428569"/>
  </r>
  <r>
    <s v="EMP0908"/>
    <s v="Grace"/>
    <s v="Okoro"/>
    <x v="1"/>
    <n v="31"/>
    <x v="6"/>
    <x v="0"/>
    <s v="2024-11-03"/>
    <n v="14"/>
    <n v="23"/>
    <n v="462263"/>
    <x v="9"/>
    <x v="1"/>
    <n v="84"/>
    <n v="93"/>
    <n v="43"/>
    <n v="50"/>
    <n v="49.650349650349654"/>
    <n v="50.24975024975025"/>
    <n v="36"/>
    <n v="57"/>
    <n v="47.5"/>
    <n v="52.5"/>
    <n v="15.225806451612904"/>
    <n v="13"/>
    <n v="14"/>
    <n v="3.0000000000000004"/>
    <n v="3.7071428571428569"/>
  </r>
  <r>
    <s v="EMP0909"/>
    <s v="James"/>
    <s v="Musa"/>
    <x v="0"/>
    <n v="52"/>
    <x v="0"/>
    <x v="0"/>
    <s v="2024-05-13"/>
    <n v="5"/>
    <n v="10"/>
    <n v="51208"/>
    <x v="2"/>
    <x v="0"/>
    <n v="63"/>
    <n v="92"/>
    <n v="43"/>
    <n v="49"/>
    <n v="49.650349650349654"/>
    <n v="50.24975024975025"/>
    <n v="36"/>
    <n v="56"/>
    <n v="47.5"/>
    <n v="52.5"/>
    <n v="15.141304347826088"/>
    <n v="13"/>
    <n v="14"/>
    <n v="3.0000000000000004"/>
    <n v="3.7071428571428569"/>
  </r>
  <r>
    <s v="EMP0910"/>
    <s v="John"/>
    <s v="Ahmed"/>
    <x v="1"/>
    <n v="54"/>
    <x v="0"/>
    <x v="5"/>
    <s v="2020-05-09"/>
    <n v="14"/>
    <n v="16"/>
    <n v="87165"/>
    <x v="26"/>
    <x v="1"/>
    <n v="96"/>
    <n v="91"/>
    <n v="42"/>
    <n v="49"/>
    <n v="49.650349650349654"/>
    <n v="50.24975024975025"/>
    <n v="35"/>
    <n v="56"/>
    <n v="47.5"/>
    <n v="52.5"/>
    <n v="15.197802197802197"/>
    <n v="13"/>
    <n v="14"/>
    <n v="3.0000000000000004"/>
    <n v="3.7071428571428569"/>
  </r>
  <r>
    <s v="EMP0911"/>
    <s v="Peter"/>
    <s v="Garba"/>
    <x v="0"/>
    <n v="43"/>
    <x v="1"/>
    <x v="7"/>
    <s v="2018-01-18"/>
    <n v="15"/>
    <n v="15"/>
    <n v="203739"/>
    <x v="12"/>
    <x v="0"/>
    <n v="59"/>
    <n v="90"/>
    <n v="42"/>
    <n v="48"/>
    <n v="49.650349650349654"/>
    <n v="50.24975024975025"/>
    <n v="35"/>
    <n v="55"/>
    <n v="47.5"/>
    <n v="52.5"/>
    <n v="15.188888888888888"/>
    <n v="13"/>
    <n v="14"/>
    <n v="3.0000000000000004"/>
    <n v="3.7071428571428569"/>
  </r>
  <r>
    <s v="EMP0912"/>
    <s v="David"/>
    <s v="Ahmed"/>
    <x v="0"/>
    <n v="45"/>
    <x v="4"/>
    <x v="5"/>
    <s v="2023-04-14"/>
    <n v="6"/>
    <n v="14"/>
    <n v="286803"/>
    <x v="28"/>
    <x v="1"/>
    <n v="72"/>
    <n v="89"/>
    <n v="41"/>
    <n v="48"/>
    <n v="49.650349650349654"/>
    <n v="50.24975024975025"/>
    <n v="34"/>
    <n v="55"/>
    <n v="47.5"/>
    <n v="52.5"/>
    <n v="15.191011235955056"/>
    <n v="13"/>
    <n v="13"/>
    <n v="3.0000000000000004"/>
    <n v="3.7307692307692308"/>
  </r>
  <r>
    <s v="EMP0913"/>
    <s v="Hauwa"/>
    <s v="Brown"/>
    <x v="0"/>
    <n v="27"/>
    <x v="0"/>
    <x v="7"/>
    <s v="2024-03-08"/>
    <n v="17"/>
    <n v="27"/>
    <n v="381504"/>
    <x v="7"/>
    <x v="0"/>
    <n v="70"/>
    <n v="88"/>
    <n v="40"/>
    <n v="48"/>
    <n v="49.650349650349654"/>
    <n v="50.24975024975025"/>
    <n v="34"/>
    <n v="54"/>
    <n v="47.5"/>
    <n v="52.5"/>
    <n v="15.204545454545455"/>
    <n v="13"/>
    <n v="13"/>
    <n v="3.0000000000000004"/>
    <n v="3.7307692307692308"/>
  </r>
  <r>
    <s v="EMP0914"/>
    <s v="David"/>
    <s v="Musa"/>
    <x v="1"/>
    <n v="28"/>
    <x v="5"/>
    <x v="1"/>
    <s v="2015-11-05"/>
    <n v="13"/>
    <n v="20"/>
    <n v="299661"/>
    <x v="22"/>
    <x v="1"/>
    <n v="80"/>
    <n v="87"/>
    <n v="39"/>
    <n v="48"/>
    <n v="49.650349650349654"/>
    <n v="50.24975024975025"/>
    <n v="33"/>
    <n v="54"/>
    <n v="47.5"/>
    <n v="52.5"/>
    <n v="15.068965517241379"/>
    <n v="13"/>
    <n v="13"/>
    <n v="3.0000000000000004"/>
    <n v="3.7307692307692308"/>
  </r>
  <r>
    <s v="EMP0915"/>
    <s v="Daniel"/>
    <s v="Ahmed"/>
    <x v="1"/>
    <n v="35"/>
    <x v="4"/>
    <x v="9"/>
    <s v="2012-09-15"/>
    <n v="19"/>
    <n v="19"/>
    <n v="71547"/>
    <x v="22"/>
    <x v="0"/>
    <n v="31"/>
    <n v="86"/>
    <n v="39"/>
    <n v="47"/>
    <n v="49.650349650349654"/>
    <n v="50.24975024975025"/>
    <n v="33"/>
    <n v="53"/>
    <n v="47.5"/>
    <n v="52.5"/>
    <n v="15.011627906976743"/>
    <n v="12"/>
    <n v="13"/>
    <n v="2.9250000000000003"/>
    <n v="3.7307692307692308"/>
  </r>
  <r>
    <s v="EMP0916"/>
    <s v="James"/>
    <s v="Jones"/>
    <x v="1"/>
    <n v="32"/>
    <x v="6"/>
    <x v="3"/>
    <s v="2021-05-15"/>
    <n v="0"/>
    <n v="5"/>
    <n v="68963"/>
    <x v="16"/>
    <x v="0"/>
    <n v="44"/>
    <n v="85"/>
    <n v="39"/>
    <n v="46"/>
    <n v="49.650349650349654"/>
    <n v="50.24975024975025"/>
    <n v="32"/>
    <n v="53"/>
    <n v="47.5"/>
    <n v="52.5"/>
    <n v="14.964705882352941"/>
    <n v="12"/>
    <n v="13"/>
    <n v="2.9250000000000003"/>
    <n v="3.7307692307692308"/>
  </r>
  <r>
    <s v="EMP0917"/>
    <s v="Hauwa"/>
    <s v="Garba"/>
    <x v="1"/>
    <n v="28"/>
    <x v="0"/>
    <x v="9"/>
    <s v="2020-09-16"/>
    <n v="2"/>
    <n v="3"/>
    <n v="235096"/>
    <x v="13"/>
    <x v="0"/>
    <n v="38"/>
    <n v="84"/>
    <n v="39"/>
    <n v="45"/>
    <n v="49.650349650349654"/>
    <n v="50.24975024975025"/>
    <n v="31"/>
    <n v="53"/>
    <n v="47.5"/>
    <n v="52.5"/>
    <n v="15.083333333333334"/>
    <n v="12"/>
    <n v="13"/>
    <n v="2.9250000000000003"/>
    <n v="3.7307692307692308"/>
  </r>
  <r>
    <s v="EMP0918"/>
    <s v="Peter"/>
    <s v="Williams"/>
    <x v="1"/>
    <n v="25"/>
    <x v="0"/>
    <x v="8"/>
    <s v="2022-12-03"/>
    <n v="6"/>
    <n v="6"/>
    <n v="232891"/>
    <x v="21"/>
    <x v="1"/>
    <n v="94"/>
    <n v="83"/>
    <n v="39"/>
    <n v="44"/>
    <n v="49.650349650349654"/>
    <n v="50.24975024975025"/>
    <n v="30"/>
    <n v="53"/>
    <n v="47.5"/>
    <n v="52.5"/>
    <n v="15.228915662650602"/>
    <n v="12"/>
    <n v="13"/>
    <n v="2.9250000000000003"/>
    <n v="3.7307692307692308"/>
  </r>
  <r>
    <s v="EMP0919"/>
    <s v="David"/>
    <s v="Smith"/>
    <x v="1"/>
    <n v="43"/>
    <x v="5"/>
    <x v="8"/>
    <s v="2024-01-29"/>
    <n v="11"/>
    <n v="21"/>
    <n v="157560"/>
    <x v="3"/>
    <x v="0"/>
    <n v="38"/>
    <n v="82"/>
    <n v="39"/>
    <n v="43"/>
    <n v="49.650349650349654"/>
    <n v="50.24975024975025"/>
    <n v="30"/>
    <n v="52"/>
    <n v="47.5"/>
    <n v="52.5"/>
    <n v="15.341463414634147"/>
    <n v="12"/>
    <n v="13"/>
    <n v="2.9250000000000003"/>
    <n v="3.7307692307692308"/>
  </r>
  <r>
    <s v="EMP0920"/>
    <s v="Daniel"/>
    <s v="Musa"/>
    <x v="1"/>
    <n v="50"/>
    <x v="3"/>
    <x v="1"/>
    <s v="2013-05-22"/>
    <n v="11"/>
    <n v="19"/>
    <n v="259498"/>
    <x v="21"/>
    <x v="1"/>
    <n v="72"/>
    <n v="81"/>
    <n v="39"/>
    <n v="42"/>
    <n v="49.650349650349654"/>
    <n v="50.24975024975025"/>
    <n v="29"/>
    <n v="52"/>
    <n v="47.5"/>
    <n v="52.5"/>
    <n v="15.271604938271604"/>
    <n v="11"/>
    <n v="13"/>
    <n v="2.9636363636363638"/>
    <n v="3.7307692307692308"/>
  </r>
  <r>
    <s v="EMP0921"/>
    <s v="Michael"/>
    <s v="Ibrahim"/>
    <x v="1"/>
    <n v="42"/>
    <x v="2"/>
    <x v="9"/>
    <s v="2017-01-31"/>
    <n v="6"/>
    <n v="6"/>
    <n v="72104"/>
    <x v="11"/>
    <x v="0"/>
    <n v="51"/>
    <n v="80"/>
    <n v="39"/>
    <n v="41"/>
    <n v="49.650349650349654"/>
    <n v="50.24975024975025"/>
    <n v="29"/>
    <n v="51"/>
    <n v="47.5"/>
    <n v="52.5"/>
    <n v="15.225"/>
    <n v="11"/>
    <n v="13"/>
    <n v="2.9636363636363638"/>
    <n v="3.7307692307692308"/>
  </r>
  <r>
    <s v="EMP0922"/>
    <s v="James"/>
    <s v="Okoro"/>
    <x v="0"/>
    <n v="41"/>
    <x v="2"/>
    <x v="0"/>
    <s v="2021-06-12"/>
    <n v="12"/>
    <n v="18"/>
    <n v="363185"/>
    <x v="23"/>
    <x v="1"/>
    <n v="75"/>
    <n v="79"/>
    <n v="39"/>
    <n v="40"/>
    <n v="49.650349650349654"/>
    <n v="50.24975024975025"/>
    <n v="28"/>
    <n v="51"/>
    <n v="47.5"/>
    <n v="52.5"/>
    <n v="15.341772151898734"/>
    <n v="11"/>
    <n v="13"/>
    <n v="2.9636363636363638"/>
    <n v="3.7307692307692308"/>
  </r>
  <r>
    <s v="EMP0923"/>
    <s v="John"/>
    <s v="Johnson"/>
    <x v="0"/>
    <n v="42"/>
    <x v="6"/>
    <x v="6"/>
    <s v="2023-12-01"/>
    <n v="9"/>
    <n v="12"/>
    <n v="331640"/>
    <x v="14"/>
    <x v="1"/>
    <n v="87"/>
    <n v="78"/>
    <n v="38"/>
    <n v="40"/>
    <n v="49.650349650349654"/>
    <n v="50.24975024975025"/>
    <n v="28"/>
    <n v="50"/>
    <n v="47.5"/>
    <n v="52.5"/>
    <n v="15.307692307692308"/>
    <n v="11"/>
    <n v="13"/>
    <n v="2.9636363636363638"/>
    <n v="3.7307692307692308"/>
  </r>
  <r>
    <s v="EMP0924"/>
    <s v="Peter"/>
    <s v="Johnson"/>
    <x v="1"/>
    <n v="21"/>
    <x v="1"/>
    <x v="6"/>
    <s v="2014-08-01"/>
    <n v="20"/>
    <n v="21"/>
    <n v="203957"/>
    <x v="2"/>
    <x v="1"/>
    <n v="92"/>
    <n v="77"/>
    <n v="37"/>
    <n v="40"/>
    <n v="49.650349650349654"/>
    <n v="50.24975024975025"/>
    <n v="28"/>
    <n v="49"/>
    <n v="47.5"/>
    <n v="52.5"/>
    <n v="15.35064935064935"/>
    <n v="11"/>
    <n v="13"/>
    <n v="2.9636363636363638"/>
    <n v="3.7307692307692308"/>
  </r>
  <r>
    <s v="EMP0925"/>
    <s v="Michael"/>
    <s v="Jones"/>
    <x v="0"/>
    <n v="57"/>
    <x v="0"/>
    <x v="7"/>
    <s v="2021-06-01"/>
    <n v="9"/>
    <n v="14"/>
    <n v="494304"/>
    <x v="1"/>
    <x v="0"/>
    <n v="38"/>
    <n v="76"/>
    <n v="37"/>
    <n v="39"/>
    <n v="49.650349650349654"/>
    <n v="50.24975024975025"/>
    <n v="28"/>
    <n v="48"/>
    <n v="47.5"/>
    <n v="52.5"/>
    <n v="15.276315789473685"/>
    <n v="11"/>
    <n v="12"/>
    <n v="2.9636363636363638"/>
    <n v="3.7333333333333329"/>
  </r>
  <r>
    <s v="EMP0926"/>
    <s v="Hauwa"/>
    <s v="Garba"/>
    <x v="1"/>
    <n v="35"/>
    <x v="5"/>
    <x v="1"/>
    <s v="2022-09-28"/>
    <n v="12"/>
    <n v="22"/>
    <n v="171031"/>
    <x v="9"/>
    <x v="0"/>
    <n v="56"/>
    <n v="75"/>
    <n v="36"/>
    <n v="39"/>
    <n v="49.650349650349654"/>
    <n v="50.24975024975025"/>
    <n v="27"/>
    <n v="48"/>
    <n v="47.5"/>
    <n v="52.5"/>
    <n v="15.293333333333333"/>
    <n v="11"/>
    <n v="12"/>
    <n v="2.9636363636363638"/>
    <n v="3.7333333333333329"/>
  </r>
  <r>
    <s v="EMP0927"/>
    <s v="James"/>
    <s v="Garba"/>
    <x v="0"/>
    <n v="33"/>
    <x v="5"/>
    <x v="6"/>
    <s v="2015-01-24"/>
    <n v="16"/>
    <n v="26"/>
    <n v="359966"/>
    <x v="26"/>
    <x v="0"/>
    <n v="57"/>
    <n v="74"/>
    <n v="36"/>
    <n v="38"/>
    <n v="49.650349650349654"/>
    <n v="50.24975024975025"/>
    <n v="26"/>
    <n v="48"/>
    <n v="47.5"/>
    <n v="52.5"/>
    <n v="15.202702702702704"/>
    <n v="10"/>
    <n v="12"/>
    <n v="2.85"/>
    <n v="3.7333333333333329"/>
  </r>
  <r>
    <s v="EMP0928"/>
    <s v="Hauwa"/>
    <s v="Musa"/>
    <x v="1"/>
    <n v="27"/>
    <x v="2"/>
    <x v="5"/>
    <s v="2012-04-04"/>
    <n v="3"/>
    <n v="10"/>
    <n v="419585"/>
    <x v="26"/>
    <x v="0"/>
    <n v="49"/>
    <n v="73"/>
    <n v="35"/>
    <n v="38"/>
    <n v="49.650349650349654"/>
    <n v="50.24975024975025"/>
    <n v="25"/>
    <n v="48"/>
    <n v="47.5"/>
    <n v="52.5"/>
    <n v="15.054794520547945"/>
    <n v="9"/>
    <n v="12"/>
    <n v="2.6999999999999997"/>
    <n v="3.7333333333333329"/>
  </r>
  <r>
    <s v="EMP0929"/>
    <s v="Sarah"/>
    <s v="Williams"/>
    <x v="1"/>
    <n v="58"/>
    <x v="0"/>
    <x v="4"/>
    <s v="2015-10-19"/>
    <n v="0"/>
    <n v="10"/>
    <n v="178007"/>
    <x v="1"/>
    <x v="1"/>
    <n v="88"/>
    <n v="72"/>
    <n v="35"/>
    <n v="37"/>
    <n v="49.650349650349654"/>
    <n v="50.24975024975025"/>
    <n v="24"/>
    <n v="48"/>
    <n v="47.5"/>
    <n v="52.5"/>
    <n v="15.125"/>
    <n v="9"/>
    <n v="12"/>
    <n v="2.6999999999999997"/>
    <n v="3.7333333333333329"/>
  </r>
  <r>
    <s v="EMP0930"/>
    <s v="Hauwa"/>
    <s v="Brown"/>
    <x v="0"/>
    <n v="58"/>
    <x v="4"/>
    <x v="5"/>
    <s v="2012-11-10"/>
    <n v="13"/>
    <n v="14"/>
    <n v="396483"/>
    <x v="26"/>
    <x v="0"/>
    <n v="47"/>
    <n v="71"/>
    <n v="35"/>
    <n v="36"/>
    <n v="49.650349650349654"/>
    <n v="50.24975024975025"/>
    <n v="24"/>
    <n v="47"/>
    <n v="47.5"/>
    <n v="52.5"/>
    <n v="15.19718309859155"/>
    <n v="9"/>
    <n v="12"/>
    <n v="2.6999999999999997"/>
    <n v="3.7333333333333329"/>
  </r>
  <r>
    <s v="EMP0931"/>
    <s v="Grace"/>
    <s v="Musa"/>
    <x v="0"/>
    <n v="43"/>
    <x v="6"/>
    <x v="2"/>
    <s v="2025-04-30"/>
    <n v="16"/>
    <n v="22"/>
    <n v="334610"/>
    <x v="9"/>
    <x v="1"/>
    <n v="85"/>
    <n v="70"/>
    <n v="34"/>
    <n v="36"/>
    <n v="49.650349650349654"/>
    <n v="50.24975024975025"/>
    <n v="23"/>
    <n v="47"/>
    <n v="47.5"/>
    <n v="52.5"/>
    <n v="15.214285714285714"/>
    <n v="9"/>
    <n v="12"/>
    <n v="2.6999999999999997"/>
    <n v="3.7333333333333329"/>
  </r>
  <r>
    <s v="EMP0932"/>
    <s v="Mary"/>
    <s v="Jones"/>
    <x v="1"/>
    <n v="53"/>
    <x v="4"/>
    <x v="3"/>
    <s v="2014-10-27"/>
    <n v="12"/>
    <n v="15"/>
    <n v="126035"/>
    <x v="30"/>
    <x v="0"/>
    <n v="70"/>
    <n v="69"/>
    <n v="33"/>
    <n v="36"/>
    <n v="49.650349650349654"/>
    <n v="50.24975024975025"/>
    <n v="23"/>
    <n v="46"/>
    <n v="47.5"/>
    <n v="52.5"/>
    <n v="15.115942028985508"/>
    <n v="9"/>
    <n v="12"/>
    <n v="2.6999999999999997"/>
    <n v="3.7333333333333329"/>
  </r>
  <r>
    <s v="EMP0933"/>
    <s v="David"/>
    <s v="Johnson"/>
    <x v="0"/>
    <n v="27"/>
    <x v="6"/>
    <x v="7"/>
    <s v="2022-04-10"/>
    <n v="12"/>
    <n v="22"/>
    <n v="99298"/>
    <x v="6"/>
    <x v="1"/>
    <n v="82"/>
    <n v="68"/>
    <n v="33"/>
    <n v="35"/>
    <n v="49.650349650349654"/>
    <n v="50.24975024975025"/>
    <n v="22"/>
    <n v="46"/>
    <n v="47.5"/>
    <n v="52.5"/>
    <n v="15.117647058823529"/>
    <n v="9"/>
    <n v="12"/>
    <n v="2.6999999999999997"/>
    <n v="3.7333333333333329"/>
  </r>
  <r>
    <s v="EMP0934"/>
    <s v="Hauwa"/>
    <s v="Musa"/>
    <x v="0"/>
    <n v="37"/>
    <x v="6"/>
    <x v="9"/>
    <s v="2014-10-11"/>
    <n v="14"/>
    <n v="17"/>
    <n v="203604"/>
    <x v="27"/>
    <x v="1"/>
    <n v="83"/>
    <n v="67"/>
    <n v="32"/>
    <n v="35"/>
    <n v="49.650349650349654"/>
    <n v="50.24975024975025"/>
    <n v="22"/>
    <n v="45"/>
    <n v="47.5"/>
    <n v="52.5"/>
    <n v="15.014925373134329"/>
    <n v="9"/>
    <n v="12"/>
    <n v="2.6999999999999997"/>
    <n v="3.7333333333333329"/>
  </r>
  <r>
    <s v="EMP0935"/>
    <s v="John"/>
    <s v="Jones"/>
    <x v="0"/>
    <n v="56"/>
    <x v="6"/>
    <x v="0"/>
    <s v="2023-02-09"/>
    <n v="12"/>
    <n v="19"/>
    <n v="407946"/>
    <x v="2"/>
    <x v="1"/>
    <n v="75"/>
    <n v="66"/>
    <n v="31"/>
    <n v="35"/>
    <n v="49.650349650349654"/>
    <n v="50.24975024975025"/>
    <n v="22"/>
    <n v="44"/>
    <n v="47.5"/>
    <n v="52.5"/>
    <n v="14.984848484848484"/>
    <n v="9"/>
    <n v="12"/>
    <n v="2.6999999999999997"/>
    <n v="3.7333333333333329"/>
  </r>
  <r>
    <s v="EMP0936"/>
    <s v="Michael"/>
    <s v="Jones"/>
    <x v="0"/>
    <n v="58"/>
    <x v="3"/>
    <x v="9"/>
    <s v="2013-09-12"/>
    <n v="15"/>
    <n v="15"/>
    <n v="392713"/>
    <x v="6"/>
    <x v="1"/>
    <n v="100"/>
    <n v="65"/>
    <n v="30"/>
    <n v="35"/>
    <n v="49.650349650349654"/>
    <n v="50.24975024975025"/>
    <n v="22"/>
    <n v="43"/>
    <n v="47.5"/>
    <n v="52.5"/>
    <n v="14.923076923076923"/>
    <n v="9"/>
    <n v="12"/>
    <n v="2.6999999999999997"/>
    <n v="3.7333333333333329"/>
  </r>
  <r>
    <s v="EMP0937"/>
    <s v="Fatima"/>
    <s v="Williams"/>
    <x v="1"/>
    <n v="57"/>
    <x v="3"/>
    <x v="5"/>
    <s v="2015-01-04"/>
    <n v="5"/>
    <n v="7"/>
    <n v="425192"/>
    <x v="30"/>
    <x v="0"/>
    <n v="58"/>
    <n v="64"/>
    <n v="29"/>
    <n v="35"/>
    <n v="49.650349650349654"/>
    <n v="50.24975024975025"/>
    <n v="22"/>
    <n v="42"/>
    <n v="47.5"/>
    <n v="52.5"/>
    <n v="14.921875"/>
    <n v="9"/>
    <n v="12"/>
    <n v="2.6999999999999997"/>
    <n v="3.7333333333333329"/>
  </r>
  <r>
    <s v="EMP0938"/>
    <s v="Sarah"/>
    <s v="Smith"/>
    <x v="1"/>
    <n v="31"/>
    <x v="3"/>
    <x v="7"/>
    <s v="2014-01-16"/>
    <n v="13"/>
    <n v="20"/>
    <n v="484678"/>
    <x v="17"/>
    <x v="0"/>
    <n v="65"/>
    <n v="63"/>
    <n v="29"/>
    <n v="34"/>
    <n v="49.650349650349654"/>
    <n v="50.24975024975025"/>
    <n v="21"/>
    <n v="42"/>
    <n v="47.5"/>
    <n v="52.5"/>
    <n v="15.047619047619047"/>
    <n v="9"/>
    <n v="12"/>
    <n v="2.6999999999999997"/>
    <n v="3.7333333333333329"/>
  </r>
  <r>
    <s v="EMP0939"/>
    <s v="Amina"/>
    <s v="Williams"/>
    <x v="0"/>
    <n v="36"/>
    <x v="4"/>
    <x v="8"/>
    <s v="2017-12-31"/>
    <n v="15"/>
    <n v="19"/>
    <n v="317461"/>
    <x v="28"/>
    <x v="0"/>
    <n v="64"/>
    <n v="62"/>
    <n v="29"/>
    <n v="33"/>
    <n v="49.650349650349654"/>
    <n v="50.24975024975025"/>
    <n v="20"/>
    <n v="42"/>
    <n v="47.5"/>
    <n v="52.5"/>
    <n v="14.96774193548387"/>
    <n v="9"/>
    <n v="12"/>
    <n v="2.6999999999999997"/>
    <n v="3.7333333333333329"/>
  </r>
  <r>
    <s v="EMP0940"/>
    <s v="Daniel"/>
    <s v="Ibrahim"/>
    <x v="0"/>
    <n v="59"/>
    <x v="0"/>
    <x v="2"/>
    <s v="2020-06-30"/>
    <n v="4"/>
    <n v="14"/>
    <n v="148695"/>
    <x v="18"/>
    <x v="1"/>
    <n v="98"/>
    <n v="61"/>
    <n v="28"/>
    <n v="33"/>
    <n v="49.650349650349654"/>
    <n v="50.24975024975025"/>
    <n v="19"/>
    <n v="42"/>
    <n v="47.5"/>
    <n v="52.5"/>
    <n v="14.901639344262295"/>
    <n v="9"/>
    <n v="12"/>
    <n v="2.6999999999999997"/>
    <n v="3.7333333333333329"/>
  </r>
  <r>
    <s v="EMP0941"/>
    <s v="John"/>
    <s v="Williams"/>
    <x v="1"/>
    <n v="39"/>
    <x v="2"/>
    <x v="0"/>
    <s v="2013-07-19"/>
    <n v="4"/>
    <n v="9"/>
    <n v="307795"/>
    <x v="30"/>
    <x v="0"/>
    <n v="65"/>
    <n v="60"/>
    <n v="27"/>
    <n v="33"/>
    <n v="49.650349650349654"/>
    <n v="50.24975024975025"/>
    <n v="19"/>
    <n v="41"/>
    <n v="47.5"/>
    <n v="52.5"/>
    <n v="14.916666666666666"/>
    <n v="9"/>
    <n v="12"/>
    <n v="2.6999999999999997"/>
    <n v="3.7333333333333329"/>
  </r>
  <r>
    <s v="EMP0942"/>
    <s v="Grace"/>
    <s v="Ahmed"/>
    <x v="1"/>
    <n v="21"/>
    <x v="4"/>
    <x v="5"/>
    <s v="2014-10-04"/>
    <n v="20"/>
    <n v="23"/>
    <n v="318976"/>
    <x v="13"/>
    <x v="1"/>
    <n v="93"/>
    <n v="59"/>
    <n v="27"/>
    <n v="32"/>
    <n v="49.650349650349654"/>
    <n v="50.24975024975025"/>
    <n v="18"/>
    <n v="41"/>
    <n v="47.5"/>
    <n v="52.5"/>
    <n v="15.016949152542374"/>
    <n v="9"/>
    <n v="12"/>
    <n v="2.6999999999999997"/>
    <n v="3.7333333333333329"/>
  </r>
  <r>
    <s v="EMP0943"/>
    <s v="Mary"/>
    <s v="Okoro"/>
    <x v="1"/>
    <n v="29"/>
    <x v="4"/>
    <x v="6"/>
    <s v="2020-06-21"/>
    <n v="6"/>
    <n v="13"/>
    <n v="242375"/>
    <x v="29"/>
    <x v="0"/>
    <n v="70"/>
    <n v="58"/>
    <n v="27"/>
    <n v="31"/>
    <n v="49.650349650349654"/>
    <n v="50.24975024975025"/>
    <n v="18"/>
    <n v="40"/>
    <n v="47.5"/>
    <n v="52.5"/>
    <n v="14.879310344827585"/>
    <n v="9"/>
    <n v="12"/>
    <n v="2.6999999999999997"/>
    <n v="3.7333333333333329"/>
  </r>
  <r>
    <s v="EMP0944"/>
    <s v="Daniel"/>
    <s v="Ahmed"/>
    <x v="1"/>
    <n v="25"/>
    <x v="0"/>
    <x v="5"/>
    <s v="2013-04-19"/>
    <n v="16"/>
    <n v="24"/>
    <n v="463099"/>
    <x v="15"/>
    <x v="1"/>
    <n v="93"/>
    <n v="57"/>
    <n v="27"/>
    <n v="30"/>
    <n v="49.650349650349654"/>
    <n v="50.24975024975025"/>
    <n v="17"/>
    <n v="40"/>
    <n v="47.5"/>
    <n v="52.5"/>
    <n v="14.912280701754385"/>
    <n v="9"/>
    <n v="12"/>
    <n v="2.6999999999999997"/>
    <n v="3.7333333333333329"/>
  </r>
  <r>
    <s v="EMP0945"/>
    <s v="Daniel"/>
    <s v="Ahmed"/>
    <x v="0"/>
    <n v="26"/>
    <x v="1"/>
    <x v="1"/>
    <s v="2017-08-14"/>
    <n v="3"/>
    <n v="5"/>
    <n v="106298"/>
    <x v="28"/>
    <x v="1"/>
    <n v="93"/>
    <n v="56"/>
    <n v="27"/>
    <n v="29"/>
    <n v="49.650349650349654"/>
    <n v="50.24975024975025"/>
    <n v="17"/>
    <n v="39"/>
    <n v="47.5"/>
    <n v="52.5"/>
    <n v="14.75"/>
    <n v="9"/>
    <n v="12"/>
    <n v="2.6999999999999997"/>
    <n v="3.7333333333333329"/>
  </r>
  <r>
    <s v="EMP0946"/>
    <s v="Daniel"/>
    <s v="Ibrahim"/>
    <x v="0"/>
    <n v="38"/>
    <x v="0"/>
    <x v="5"/>
    <s v="2014-04-20"/>
    <n v="1"/>
    <n v="7"/>
    <n v="471536"/>
    <x v="25"/>
    <x v="1"/>
    <n v="76"/>
    <n v="55"/>
    <n v="26"/>
    <n v="29"/>
    <n v="49.650349650349654"/>
    <n v="50.24975024975025"/>
    <n v="17"/>
    <n v="38"/>
    <n v="47.5"/>
    <n v="52.5"/>
    <n v="14.927272727272728"/>
    <n v="9"/>
    <n v="11"/>
    <n v="2.6999999999999997"/>
    <n v="3.6818181818181825"/>
  </r>
  <r>
    <s v="EMP0947"/>
    <s v="Sarah"/>
    <s v="Smith"/>
    <x v="1"/>
    <n v="23"/>
    <x v="5"/>
    <x v="0"/>
    <s v="2015-07-05"/>
    <n v="11"/>
    <n v="17"/>
    <n v="113490"/>
    <x v="3"/>
    <x v="1"/>
    <n v="71"/>
    <n v="54"/>
    <n v="25"/>
    <n v="29"/>
    <n v="49.650349650349654"/>
    <n v="50.24975024975025"/>
    <n v="17"/>
    <n v="37"/>
    <n v="47.5"/>
    <n v="52.5"/>
    <n v="15.074074074074074"/>
    <n v="9"/>
    <n v="11"/>
    <n v="2.6999999999999997"/>
    <n v="3.6818181818181825"/>
  </r>
  <r>
    <s v="EMP0948"/>
    <s v="Daniel"/>
    <s v="Musa"/>
    <x v="1"/>
    <n v="56"/>
    <x v="3"/>
    <x v="1"/>
    <s v="2022-06-18"/>
    <n v="11"/>
    <n v="11"/>
    <n v="361308"/>
    <x v="20"/>
    <x v="1"/>
    <n v="92"/>
    <n v="53"/>
    <n v="25"/>
    <n v="28"/>
    <n v="49.650349650349654"/>
    <n v="50.24975024975025"/>
    <n v="17"/>
    <n v="36"/>
    <n v="47.5"/>
    <n v="52.5"/>
    <n v="15.037735849056604"/>
    <n v="8"/>
    <n v="11"/>
    <n v="2.7249999999999996"/>
    <n v="3.6818181818181825"/>
  </r>
  <r>
    <s v="EMP0949"/>
    <s v="Hauwa"/>
    <s v="Ibrahim"/>
    <x v="0"/>
    <n v="46"/>
    <x v="3"/>
    <x v="6"/>
    <s v="2021-01-30"/>
    <n v="5"/>
    <n v="9"/>
    <n v="269783"/>
    <x v="9"/>
    <x v="1"/>
    <n v="96"/>
    <n v="52"/>
    <n v="25"/>
    <n v="27"/>
    <n v="49.650349650349654"/>
    <n v="50.24975024975025"/>
    <n v="17"/>
    <n v="35"/>
    <n v="47.5"/>
    <n v="52.5"/>
    <n v="15.115384615384615"/>
    <n v="8"/>
    <n v="11"/>
    <n v="2.7249999999999996"/>
    <n v="3.6818181818181825"/>
  </r>
  <r>
    <s v="EMP0950"/>
    <s v="James"/>
    <s v="Ibrahim"/>
    <x v="0"/>
    <n v="41"/>
    <x v="0"/>
    <x v="9"/>
    <s v="2023-05-22"/>
    <n v="16"/>
    <n v="17"/>
    <n v="185758"/>
    <x v="11"/>
    <x v="1"/>
    <n v="89"/>
    <n v="51"/>
    <n v="24"/>
    <n v="27"/>
    <n v="49.650349650349654"/>
    <n v="50.24975024975025"/>
    <n v="17"/>
    <n v="34"/>
    <n v="47.5"/>
    <n v="52.5"/>
    <n v="15.235294117647058"/>
    <n v="8"/>
    <n v="11"/>
    <n v="2.7249999999999996"/>
    <n v="3.6818181818181825"/>
  </r>
  <r>
    <s v="EMP0951"/>
    <s v="Amina"/>
    <s v="Jones"/>
    <x v="0"/>
    <n v="24"/>
    <x v="4"/>
    <x v="7"/>
    <s v="2013-03-18"/>
    <n v="12"/>
    <n v="19"/>
    <n v="314568"/>
    <x v="13"/>
    <x v="0"/>
    <n v="66"/>
    <n v="50"/>
    <n v="23"/>
    <n v="27"/>
    <n v="49.650349650349654"/>
    <n v="50.24975024975025"/>
    <n v="17"/>
    <n v="33"/>
    <n v="47.5"/>
    <n v="52.5"/>
    <n v="15.2"/>
    <n v="8"/>
    <n v="11"/>
    <n v="2.7249999999999996"/>
    <n v="3.6818181818181825"/>
  </r>
  <r>
    <s v="EMP0952"/>
    <s v="Peter"/>
    <s v="Ahmed"/>
    <x v="1"/>
    <n v="48"/>
    <x v="5"/>
    <x v="3"/>
    <s v="2023-09-23"/>
    <n v="11"/>
    <n v="17"/>
    <n v="210778"/>
    <x v="19"/>
    <x v="1"/>
    <n v="92"/>
    <n v="49"/>
    <n v="22"/>
    <n v="27"/>
    <n v="49.650349650349654"/>
    <n v="50.24975024975025"/>
    <n v="16"/>
    <n v="33"/>
    <n v="47.5"/>
    <n v="52.5"/>
    <n v="15.122448979591837"/>
    <n v="8"/>
    <n v="11"/>
    <n v="2.7249999999999996"/>
    <n v="3.6818181818181825"/>
  </r>
  <r>
    <s v="EMP0953"/>
    <s v="Hauwa"/>
    <s v="Ibrahim"/>
    <x v="0"/>
    <n v="49"/>
    <x v="1"/>
    <x v="0"/>
    <s v="2021-04-28"/>
    <n v="20"/>
    <n v="25"/>
    <n v="436475"/>
    <x v="25"/>
    <x v="1"/>
    <n v="76"/>
    <n v="48"/>
    <n v="22"/>
    <n v="26"/>
    <n v="49.650349650349654"/>
    <n v="50.24975024975025"/>
    <n v="16"/>
    <n v="32"/>
    <n v="47.5"/>
    <n v="52.5"/>
    <n v="15.083333333333334"/>
    <n v="7"/>
    <n v="11"/>
    <n v="2.7857142857142856"/>
    <n v="3.6818181818181825"/>
  </r>
  <r>
    <s v="EMP0954"/>
    <s v="Sarah"/>
    <s v="Ibrahim"/>
    <x v="1"/>
    <n v="30"/>
    <x v="5"/>
    <x v="1"/>
    <s v="2014-08-12"/>
    <n v="1"/>
    <n v="5"/>
    <n v="193299"/>
    <x v="13"/>
    <x v="0"/>
    <n v="66"/>
    <n v="47"/>
    <n v="21"/>
    <n v="26"/>
    <n v="49.650349650349654"/>
    <n v="50.24975024975025"/>
    <n v="16"/>
    <n v="31"/>
    <n v="47.5"/>
    <n v="52.5"/>
    <n v="14.872340425531915"/>
    <n v="7"/>
    <n v="10"/>
    <n v="2.7857142857142856"/>
    <n v="3.6500000000000008"/>
  </r>
  <r>
    <s v="EMP0955"/>
    <s v="Daniel"/>
    <s v="Musa"/>
    <x v="0"/>
    <n v="38"/>
    <x v="1"/>
    <x v="5"/>
    <s v="2023-10-10"/>
    <n v="5"/>
    <n v="11"/>
    <n v="366719"/>
    <x v="2"/>
    <x v="1"/>
    <n v="92"/>
    <n v="46"/>
    <n v="21"/>
    <n v="25"/>
    <n v="49.650349650349654"/>
    <n v="50.24975024975025"/>
    <n v="15"/>
    <n v="31"/>
    <n v="47.5"/>
    <n v="52.5"/>
    <n v="15.086956521739131"/>
    <n v="6"/>
    <n v="10"/>
    <n v="2.9166666666666665"/>
    <n v="3.6500000000000008"/>
  </r>
  <r>
    <s v="EMP0956"/>
    <s v="Fatima"/>
    <s v="Jones"/>
    <x v="0"/>
    <n v="44"/>
    <x v="2"/>
    <x v="7"/>
    <s v="2022-12-01"/>
    <n v="5"/>
    <n v="15"/>
    <n v="134358"/>
    <x v="9"/>
    <x v="1"/>
    <n v="95"/>
    <n v="45"/>
    <n v="20"/>
    <n v="25"/>
    <n v="49.650349650349654"/>
    <n v="50.24975024975025"/>
    <n v="15"/>
    <n v="30"/>
    <n v="47.5"/>
    <n v="52.5"/>
    <n v="15.177777777777777"/>
    <n v="6"/>
    <n v="9"/>
    <n v="2.9166666666666665"/>
    <n v="3.6444444444444439"/>
  </r>
  <r>
    <s v="EMP0957"/>
    <s v="John"/>
    <s v="Smith"/>
    <x v="0"/>
    <n v="40"/>
    <x v="1"/>
    <x v="9"/>
    <s v="2022-07-31"/>
    <n v="7"/>
    <n v="12"/>
    <n v="89831"/>
    <x v="28"/>
    <x v="1"/>
    <n v="77"/>
    <n v="44"/>
    <n v="19"/>
    <n v="25"/>
    <n v="49.650349650349654"/>
    <n v="50.24975024975025"/>
    <n v="15"/>
    <n v="29"/>
    <n v="47.5"/>
    <n v="52.5"/>
    <n v="15.181818181818182"/>
    <n v="6"/>
    <n v="9"/>
    <n v="2.9166666666666665"/>
    <n v="3.6444444444444439"/>
  </r>
  <r>
    <s v="EMP0958"/>
    <s v="David"/>
    <s v="Johnson"/>
    <x v="0"/>
    <n v="57"/>
    <x v="2"/>
    <x v="3"/>
    <s v="2016-04-23"/>
    <n v="9"/>
    <n v="11"/>
    <n v="323424"/>
    <x v="28"/>
    <x v="1"/>
    <n v="80"/>
    <n v="43"/>
    <n v="18"/>
    <n v="25"/>
    <n v="49.650349650349654"/>
    <n v="50.24975024975025"/>
    <n v="15"/>
    <n v="28"/>
    <n v="47.5"/>
    <n v="52.5"/>
    <n v="15.255813953488373"/>
    <n v="6"/>
    <n v="8"/>
    <n v="2.9166666666666665"/>
    <n v="3.5625"/>
  </r>
  <r>
    <s v="EMP0959"/>
    <s v="Mary"/>
    <s v="Ibrahim"/>
    <x v="1"/>
    <n v="57"/>
    <x v="3"/>
    <x v="2"/>
    <s v="2017-12-26"/>
    <n v="6"/>
    <n v="11"/>
    <n v="200351"/>
    <x v="26"/>
    <x v="0"/>
    <n v="54"/>
    <n v="42"/>
    <n v="17"/>
    <n v="25"/>
    <n v="49.650349650349654"/>
    <n v="50.24975024975025"/>
    <n v="15"/>
    <n v="27"/>
    <n v="47.5"/>
    <n v="52.5"/>
    <n v="15.357142857142858"/>
    <n v="6"/>
    <n v="8"/>
    <n v="2.9166666666666665"/>
    <n v="3.5625"/>
  </r>
  <r>
    <s v="EMP0960"/>
    <s v="John"/>
    <s v="Musa"/>
    <x v="0"/>
    <n v="58"/>
    <x v="0"/>
    <x v="3"/>
    <s v="2018-01-06"/>
    <n v="14"/>
    <n v="14"/>
    <n v="483025"/>
    <x v="1"/>
    <x v="0"/>
    <n v="46"/>
    <n v="41"/>
    <n v="17"/>
    <n v="24"/>
    <n v="49.650349650349654"/>
    <n v="50.24975024975025"/>
    <n v="14"/>
    <n v="27"/>
    <n v="47.5"/>
    <n v="52.5"/>
    <n v="15.463414634146341"/>
    <n v="6"/>
    <n v="8"/>
    <n v="2.9166666666666665"/>
    <n v="3.5625"/>
  </r>
  <r>
    <s v="EMP0961"/>
    <s v="Amina"/>
    <s v="Musa"/>
    <x v="1"/>
    <n v="47"/>
    <x v="5"/>
    <x v="7"/>
    <s v="2018-04-15"/>
    <n v="20"/>
    <n v="23"/>
    <n v="127181"/>
    <x v="18"/>
    <x v="0"/>
    <n v="64"/>
    <n v="40"/>
    <n v="16"/>
    <n v="24"/>
    <n v="49.650349650349654"/>
    <n v="50.24975024975025"/>
    <n v="13"/>
    <n v="27"/>
    <n v="47.5"/>
    <n v="52.5"/>
    <n v="15.5"/>
    <n v="6"/>
    <n v="8"/>
    <n v="2.9166666666666665"/>
    <n v="3.5625"/>
  </r>
  <r>
    <s v="EMP0962"/>
    <s v="Peter"/>
    <s v="Garba"/>
    <x v="0"/>
    <n v="27"/>
    <x v="1"/>
    <x v="9"/>
    <s v="2017-10-25"/>
    <n v="11"/>
    <n v="14"/>
    <n v="229682"/>
    <x v="10"/>
    <x v="1"/>
    <n v="98"/>
    <n v="39"/>
    <n v="16"/>
    <n v="23"/>
    <n v="49.650349650349654"/>
    <n v="50.24975024975025"/>
    <n v="12"/>
    <n v="27"/>
    <n v="47.5"/>
    <n v="52.5"/>
    <n v="15.307692307692308"/>
    <n v="5"/>
    <n v="8"/>
    <n v="3.08"/>
    <n v="3.5625"/>
  </r>
  <r>
    <s v="EMP0963"/>
    <s v="Peter"/>
    <s v="Okoro"/>
    <x v="1"/>
    <n v="46"/>
    <x v="6"/>
    <x v="7"/>
    <s v="2025-07-19"/>
    <n v="20"/>
    <n v="24"/>
    <n v="328536"/>
    <x v="19"/>
    <x v="0"/>
    <n v="37"/>
    <n v="38"/>
    <n v="15"/>
    <n v="23"/>
    <n v="49.650349650349654"/>
    <n v="50.24975024975025"/>
    <n v="12"/>
    <n v="26"/>
    <n v="47.5"/>
    <n v="52.5"/>
    <n v="15.342105263157896"/>
    <n v="5"/>
    <n v="7"/>
    <n v="3.08"/>
    <n v="3.6285714285714286"/>
  </r>
  <r>
    <s v="EMP0964"/>
    <s v="Grace"/>
    <s v="Williams"/>
    <x v="1"/>
    <n v="60"/>
    <x v="1"/>
    <x v="9"/>
    <s v="2024-11-04"/>
    <n v="16"/>
    <n v="23"/>
    <n v="461259"/>
    <x v="22"/>
    <x v="0"/>
    <n v="68"/>
    <n v="37"/>
    <n v="15"/>
    <n v="22"/>
    <n v="49.650349650349654"/>
    <n v="50.24975024975025"/>
    <n v="11"/>
    <n v="26"/>
    <n v="47.5"/>
    <n v="52.5"/>
    <n v="15.108108108108109"/>
    <n v="5"/>
    <n v="7"/>
    <n v="3.08"/>
    <n v="3.6285714285714286"/>
  </r>
  <r>
    <s v="EMP0965"/>
    <s v="Daniel"/>
    <s v="Ibrahim"/>
    <x v="1"/>
    <n v="41"/>
    <x v="3"/>
    <x v="8"/>
    <s v="2013-11-23"/>
    <n v="15"/>
    <n v="19"/>
    <n v="55862"/>
    <x v="11"/>
    <x v="0"/>
    <n v="47"/>
    <n v="36"/>
    <n v="15"/>
    <n v="21"/>
    <n v="49.650349650349654"/>
    <n v="50.24975024975025"/>
    <n v="10"/>
    <n v="26"/>
    <n v="47.5"/>
    <n v="52.5"/>
    <n v="14.888888888888889"/>
    <n v="5"/>
    <n v="6"/>
    <n v="3.08"/>
    <n v="3.5833333333333335"/>
  </r>
  <r>
    <s v="EMP0966"/>
    <s v="James"/>
    <s v="Jones"/>
    <x v="1"/>
    <n v="46"/>
    <x v="6"/>
    <x v="3"/>
    <s v="2015-05-09"/>
    <n v="6"/>
    <n v="7"/>
    <n v="225438"/>
    <x v="30"/>
    <x v="1"/>
    <n v="96"/>
    <n v="35"/>
    <n v="15"/>
    <n v="20"/>
    <n v="49.650349650349654"/>
    <n v="50.24975024975025"/>
    <n v="9"/>
    <n v="26"/>
    <n v="47.5"/>
    <n v="52.5"/>
    <n v="14.771428571428572"/>
    <n v="5"/>
    <n v="6"/>
    <n v="3.08"/>
    <n v="3.5833333333333335"/>
  </r>
  <r>
    <s v="EMP0967"/>
    <s v="Sarah"/>
    <s v="Musa"/>
    <x v="0"/>
    <n v="60"/>
    <x v="2"/>
    <x v="1"/>
    <s v="2015-07-07"/>
    <n v="5"/>
    <n v="9"/>
    <n v="72772"/>
    <x v="16"/>
    <x v="0"/>
    <n v="53"/>
    <n v="34"/>
    <n v="15"/>
    <n v="19"/>
    <n v="49.650349650349654"/>
    <n v="50.24975024975025"/>
    <n v="9"/>
    <n v="25"/>
    <n v="47.5"/>
    <n v="52.5"/>
    <n v="15"/>
    <n v="5"/>
    <n v="6"/>
    <n v="3.08"/>
    <n v="3.5833333333333335"/>
  </r>
  <r>
    <s v="EMP0968"/>
    <s v="David"/>
    <s v="Jones"/>
    <x v="1"/>
    <n v="35"/>
    <x v="5"/>
    <x v="4"/>
    <s v="2012-09-04"/>
    <n v="5"/>
    <n v="12"/>
    <n v="450645"/>
    <x v="30"/>
    <x v="1"/>
    <n v="83"/>
    <n v="33"/>
    <n v="14"/>
    <n v="19"/>
    <n v="49.650349650349654"/>
    <n v="50.24975024975025"/>
    <n v="8"/>
    <n v="25"/>
    <n v="47.5"/>
    <n v="52.5"/>
    <n v="15.181818181818182"/>
    <n v="5"/>
    <n v="6"/>
    <n v="3.08"/>
    <n v="3.5833333333333335"/>
  </r>
  <r>
    <s v="EMP0969"/>
    <s v="Michael"/>
    <s v="Garba"/>
    <x v="1"/>
    <n v="29"/>
    <x v="3"/>
    <x v="7"/>
    <s v="2012-08-05"/>
    <n v="15"/>
    <n v="23"/>
    <n v="153440"/>
    <x v="23"/>
    <x v="1"/>
    <n v="76"/>
    <n v="32"/>
    <n v="14"/>
    <n v="18"/>
    <n v="49.650349650349654"/>
    <n v="50.24975024975025"/>
    <n v="8"/>
    <n v="24"/>
    <n v="47.5"/>
    <n v="52.5"/>
    <n v="15.28125"/>
    <n v="4"/>
    <n v="6"/>
    <n v="3.1999999999999997"/>
    <n v="3.5833333333333335"/>
  </r>
  <r>
    <s v="EMP0970"/>
    <s v="James"/>
    <s v="Jones"/>
    <x v="1"/>
    <n v="44"/>
    <x v="3"/>
    <x v="9"/>
    <s v="2020-04-08"/>
    <n v="11"/>
    <n v="21"/>
    <n v="385714"/>
    <x v="28"/>
    <x v="1"/>
    <n v="99"/>
    <n v="31"/>
    <n v="14"/>
    <n v="17"/>
    <n v="49.650349650349654"/>
    <n v="50.24975024975025"/>
    <n v="8"/>
    <n v="23"/>
    <n v="47.5"/>
    <n v="52.5"/>
    <n v="15.03225806451613"/>
    <n v="4"/>
    <n v="6"/>
    <n v="3.1999999999999997"/>
    <n v="3.5833333333333335"/>
  </r>
  <r>
    <s v="EMP0971"/>
    <s v="James"/>
    <s v="Brown"/>
    <x v="0"/>
    <n v="52"/>
    <x v="2"/>
    <x v="2"/>
    <s v="2021-10-16"/>
    <n v="1"/>
    <n v="9"/>
    <n v="231353"/>
    <x v="30"/>
    <x v="1"/>
    <n v="80"/>
    <n v="30"/>
    <n v="14"/>
    <n v="16"/>
    <n v="49.650349650349654"/>
    <n v="50.24975024975025"/>
    <n v="8"/>
    <n v="22"/>
    <n v="47.5"/>
    <n v="52.5"/>
    <n v="14.833333333333334"/>
    <n v="4"/>
    <n v="6"/>
    <n v="3.1999999999999997"/>
    <n v="3.5833333333333335"/>
  </r>
  <r>
    <s v="EMP0972"/>
    <s v="John"/>
    <s v="Okoro"/>
    <x v="1"/>
    <n v="29"/>
    <x v="1"/>
    <x v="0"/>
    <s v="2017-08-30"/>
    <n v="3"/>
    <n v="9"/>
    <n v="218460"/>
    <x v="20"/>
    <x v="0"/>
    <n v="38"/>
    <n v="29"/>
    <n v="13"/>
    <n v="16"/>
    <n v="49.650349650349654"/>
    <n v="50.24975024975025"/>
    <n v="8"/>
    <n v="21"/>
    <n v="47.5"/>
    <n v="52.5"/>
    <n v="15.03448275862069"/>
    <n v="4"/>
    <n v="6"/>
    <n v="3.1999999999999997"/>
    <n v="3.5833333333333335"/>
  </r>
  <r>
    <s v="EMP0973"/>
    <s v="Hauwa"/>
    <s v="Williams"/>
    <x v="0"/>
    <n v="21"/>
    <x v="6"/>
    <x v="8"/>
    <s v="2024-03-19"/>
    <n v="3"/>
    <n v="11"/>
    <n v="296947"/>
    <x v="1"/>
    <x v="1"/>
    <n v="88"/>
    <n v="28"/>
    <n v="13"/>
    <n v="15"/>
    <n v="49.650349650349654"/>
    <n v="50.24975024975025"/>
    <n v="7"/>
    <n v="21"/>
    <n v="47.5"/>
    <n v="52.5"/>
    <n v="15.25"/>
    <n v="4"/>
    <n v="5"/>
    <n v="3.1999999999999997"/>
    <n v="3.38"/>
  </r>
  <r>
    <s v="EMP0974"/>
    <s v="David"/>
    <s v="Musa"/>
    <x v="0"/>
    <n v="23"/>
    <x v="0"/>
    <x v="5"/>
    <s v="2025-02-03"/>
    <n v="13"/>
    <n v="14"/>
    <n v="454909"/>
    <x v="8"/>
    <x v="1"/>
    <n v="76"/>
    <n v="27"/>
    <n v="12"/>
    <n v="15"/>
    <n v="49.650349650349654"/>
    <n v="50.24975024975025"/>
    <n v="7"/>
    <n v="20"/>
    <n v="47.5"/>
    <n v="52.5"/>
    <n v="15.407407407407407"/>
    <n v="4"/>
    <n v="5"/>
    <n v="3.1999999999999997"/>
    <n v="3.38"/>
  </r>
  <r>
    <s v="EMP0975"/>
    <s v="Grace"/>
    <s v="Johnson"/>
    <x v="0"/>
    <n v="51"/>
    <x v="4"/>
    <x v="5"/>
    <s v="2021-02-23"/>
    <n v="13"/>
    <n v="21"/>
    <n v="458295"/>
    <x v="11"/>
    <x v="1"/>
    <n v="83"/>
    <n v="26"/>
    <n v="11"/>
    <n v="15"/>
    <n v="49.650349650349654"/>
    <n v="50.24975024975025"/>
    <n v="7"/>
    <n v="19"/>
    <n v="47.5"/>
    <n v="52.5"/>
    <n v="15.461538461538462"/>
    <n v="4"/>
    <n v="5"/>
    <n v="3.1999999999999997"/>
    <n v="3.38"/>
  </r>
  <r>
    <s v="EMP0976"/>
    <s v="Sarah"/>
    <s v="Okoro"/>
    <x v="1"/>
    <n v="41"/>
    <x v="0"/>
    <x v="0"/>
    <s v="2015-01-18"/>
    <n v="12"/>
    <n v="19"/>
    <n v="442150"/>
    <x v="13"/>
    <x v="1"/>
    <n v="83"/>
    <n v="25"/>
    <n v="10"/>
    <n v="15"/>
    <n v="49.650349650349654"/>
    <n v="50.24975024975025"/>
    <n v="7"/>
    <n v="18"/>
    <n v="47.5"/>
    <n v="52.5"/>
    <n v="15.24"/>
    <n v="4"/>
    <n v="5"/>
    <n v="3.1999999999999997"/>
    <n v="3.38"/>
  </r>
  <r>
    <s v="EMP0977"/>
    <s v="Fatima"/>
    <s v="Brown"/>
    <x v="1"/>
    <n v="30"/>
    <x v="4"/>
    <x v="2"/>
    <s v="2025-06-28"/>
    <n v="18"/>
    <n v="18"/>
    <n v="199232"/>
    <x v="2"/>
    <x v="1"/>
    <n v="79"/>
    <n v="24"/>
    <n v="10"/>
    <n v="14"/>
    <n v="49.650349650349654"/>
    <n v="50.24975024975025"/>
    <n v="7"/>
    <n v="17"/>
    <n v="47.5"/>
    <n v="52.5"/>
    <n v="15.083333333333334"/>
    <n v="4"/>
    <n v="5"/>
    <n v="3.1999999999999997"/>
    <n v="3.38"/>
  </r>
  <r>
    <s v="EMP0978"/>
    <s v="James"/>
    <s v="Jones"/>
    <x v="0"/>
    <n v="58"/>
    <x v="5"/>
    <x v="8"/>
    <s v="2017-10-29"/>
    <n v="8"/>
    <n v="15"/>
    <n v="121555"/>
    <x v="19"/>
    <x v="1"/>
    <n v="82"/>
    <n v="23"/>
    <n v="10"/>
    <n v="13"/>
    <n v="49.650349650349654"/>
    <n v="50.24975024975025"/>
    <n v="7"/>
    <n v="16"/>
    <n v="47.5"/>
    <n v="52.5"/>
    <n v="14.956521739130435"/>
    <n v="4"/>
    <n v="5"/>
    <n v="3.1999999999999997"/>
    <n v="3.38"/>
  </r>
  <r>
    <s v="EMP0979"/>
    <s v="Daniel"/>
    <s v="Garba"/>
    <x v="1"/>
    <n v="55"/>
    <x v="4"/>
    <x v="5"/>
    <s v="2018-05-12"/>
    <n v="6"/>
    <n v="11"/>
    <n v="481559"/>
    <x v="8"/>
    <x v="1"/>
    <n v="94"/>
    <n v="22"/>
    <n v="9"/>
    <n v="13"/>
    <n v="49.650349650349654"/>
    <n v="50.24975024975025"/>
    <n v="7"/>
    <n v="15"/>
    <n v="47.5"/>
    <n v="52.5"/>
    <n v="14.954545454545455"/>
    <n v="3"/>
    <n v="5"/>
    <n v="3.5"/>
    <n v="3.38"/>
  </r>
  <r>
    <s v="EMP0980"/>
    <s v="Sarah"/>
    <s v="Ahmed"/>
    <x v="0"/>
    <n v="49"/>
    <x v="5"/>
    <x v="8"/>
    <s v="2013-08-31"/>
    <n v="1"/>
    <n v="8"/>
    <n v="358579"/>
    <x v="29"/>
    <x v="1"/>
    <n v="99"/>
    <n v="21"/>
    <n v="9"/>
    <n v="12"/>
    <n v="49.650349650349654"/>
    <n v="50.24975024975025"/>
    <n v="7"/>
    <n v="14"/>
    <n v="47.5"/>
    <n v="52.5"/>
    <n v="15.142857142857142"/>
    <n v="3"/>
    <n v="5"/>
    <n v="3.5"/>
    <n v="3.38"/>
  </r>
  <r>
    <s v="EMP0981"/>
    <s v="Michael"/>
    <s v="Williams"/>
    <x v="1"/>
    <n v="25"/>
    <x v="1"/>
    <x v="8"/>
    <s v="2014-04-17"/>
    <n v="8"/>
    <n v="17"/>
    <n v="340558"/>
    <x v="30"/>
    <x v="1"/>
    <n v="76"/>
    <n v="20"/>
    <n v="8"/>
    <n v="12"/>
    <n v="49.650349650349654"/>
    <n v="50.24975024975025"/>
    <n v="7"/>
    <n v="13"/>
    <n v="47.5"/>
    <n v="52.5"/>
    <n v="15.5"/>
    <n v="2"/>
    <n v="5"/>
    <n v="3.75"/>
    <n v="3.38"/>
  </r>
  <r>
    <s v="EMP0982"/>
    <s v="Michael"/>
    <s v="Ibrahim"/>
    <x v="0"/>
    <n v="57"/>
    <x v="1"/>
    <x v="7"/>
    <s v="2015-07-19"/>
    <n v="0"/>
    <n v="2"/>
    <n v="281836"/>
    <x v="14"/>
    <x v="1"/>
    <n v="97"/>
    <n v="19"/>
    <n v="8"/>
    <n v="11"/>
    <n v="49.650349650349654"/>
    <n v="50.24975024975025"/>
    <n v="7"/>
    <n v="12"/>
    <n v="47.5"/>
    <n v="52.5"/>
    <n v="15.421052631578947"/>
    <n v="2"/>
    <n v="4"/>
    <n v="3.75"/>
    <n v="3.5750000000000002"/>
  </r>
  <r>
    <s v="EMP0983"/>
    <s v="John"/>
    <s v="Johnson"/>
    <x v="1"/>
    <n v="41"/>
    <x v="3"/>
    <x v="8"/>
    <s v="2016-03-12"/>
    <n v="20"/>
    <n v="29"/>
    <n v="431253"/>
    <x v="27"/>
    <x v="0"/>
    <n v="37"/>
    <n v="18"/>
    <n v="7"/>
    <n v="11"/>
    <n v="49.650349650349654"/>
    <n v="50.24975024975025"/>
    <n v="7"/>
    <n v="11"/>
    <n v="47.5"/>
    <n v="52.5"/>
    <n v="16.166666666666668"/>
    <n v="2"/>
    <n v="3"/>
    <n v="3.75"/>
    <n v="3.8333333333333335"/>
  </r>
  <r>
    <s v="EMP0984"/>
    <s v="Mary"/>
    <s v="Brown"/>
    <x v="1"/>
    <n v="22"/>
    <x v="6"/>
    <x v="3"/>
    <s v="2016-12-10"/>
    <n v="10"/>
    <n v="15"/>
    <n v="387856"/>
    <x v="2"/>
    <x v="1"/>
    <n v="89"/>
    <n v="17"/>
    <n v="7"/>
    <n v="10"/>
    <n v="49.650349650349654"/>
    <n v="50.24975024975025"/>
    <n v="6"/>
    <n v="11"/>
    <n v="47.5"/>
    <n v="52.5"/>
    <n v="15.411764705882353"/>
    <n v="2"/>
    <n v="3"/>
    <n v="3.75"/>
    <n v="3.8333333333333335"/>
  </r>
  <r>
    <s v="EMP0985"/>
    <s v="Grace"/>
    <s v="Ibrahim"/>
    <x v="1"/>
    <n v="45"/>
    <x v="5"/>
    <x v="2"/>
    <s v="2013-12-06"/>
    <n v="18"/>
    <n v="19"/>
    <n v="395910"/>
    <x v="12"/>
    <x v="0"/>
    <n v="43"/>
    <n v="16"/>
    <n v="7"/>
    <n v="9"/>
    <n v="49.650349650349654"/>
    <n v="50.24975024975025"/>
    <n v="6"/>
    <n v="10"/>
    <n v="47.5"/>
    <n v="52.5"/>
    <n v="15.4375"/>
    <n v="2"/>
    <n v="3"/>
    <n v="3.75"/>
    <n v="3.8333333333333335"/>
  </r>
  <r>
    <s v="EMP0986"/>
    <s v="James"/>
    <s v="Garba"/>
    <x v="0"/>
    <n v="46"/>
    <x v="4"/>
    <x v="8"/>
    <s v="2014-08-17"/>
    <n v="12"/>
    <n v="18"/>
    <n v="350252"/>
    <x v="5"/>
    <x v="1"/>
    <n v="75"/>
    <n v="15"/>
    <n v="7"/>
    <n v="8"/>
    <n v="49.650349650349654"/>
    <n v="50.24975024975025"/>
    <n v="5"/>
    <n v="10"/>
    <n v="47.5"/>
    <n v="52.5"/>
    <n v="15.2"/>
    <n v="1"/>
    <n v="3"/>
    <n v="4.0999999999999996"/>
    <n v="3.8333333333333335"/>
  </r>
  <r>
    <s v="EMP0987"/>
    <s v="John"/>
    <s v="Johnson"/>
    <x v="1"/>
    <n v="26"/>
    <x v="6"/>
    <x v="9"/>
    <s v="2019-12-01"/>
    <n v="11"/>
    <n v="16"/>
    <n v="56162"/>
    <x v="7"/>
    <x v="1"/>
    <n v="73"/>
    <n v="14"/>
    <n v="6"/>
    <n v="8"/>
    <n v="49.650349650349654"/>
    <n v="50.24975024975025"/>
    <n v="5"/>
    <n v="9"/>
    <n v="47.5"/>
    <n v="52.5"/>
    <n v="15"/>
    <n v="1"/>
    <n v="3"/>
    <n v="4.0999999999999996"/>
    <n v="3.8333333333333335"/>
  </r>
  <r>
    <s v="EMP0988"/>
    <s v="Hauwa"/>
    <s v="Brown"/>
    <x v="1"/>
    <n v="27"/>
    <x v="4"/>
    <x v="1"/>
    <s v="2023-08-19"/>
    <n v="16"/>
    <n v="21"/>
    <n v="201057"/>
    <x v="7"/>
    <x v="1"/>
    <n v="83"/>
    <n v="13"/>
    <n v="6"/>
    <n v="7"/>
    <n v="49.650349650349654"/>
    <n v="50.24975024975025"/>
    <n v="5"/>
    <n v="8"/>
    <n v="47.5"/>
    <n v="52.5"/>
    <n v="14.923076923076923"/>
    <n v="1"/>
    <n v="3"/>
    <n v="4.0999999999999996"/>
    <n v="3.8333333333333335"/>
  </r>
  <r>
    <s v="EMP0989"/>
    <s v="Michael"/>
    <s v="Ibrahim"/>
    <x v="0"/>
    <n v="31"/>
    <x v="3"/>
    <x v="5"/>
    <s v="2015-02-14"/>
    <n v="12"/>
    <n v="18"/>
    <n v="463636"/>
    <x v="12"/>
    <x v="0"/>
    <n v="57"/>
    <n v="12"/>
    <n v="6"/>
    <n v="6"/>
    <n v="49.650349650349654"/>
    <n v="50.24975024975025"/>
    <n v="5"/>
    <n v="7"/>
    <n v="47.5"/>
    <n v="52.5"/>
    <n v="14.416666666666666"/>
    <n v="1"/>
    <n v="3"/>
    <n v="4.0999999999999996"/>
    <n v="3.8333333333333335"/>
  </r>
  <r>
    <s v="EMP0990"/>
    <s v="Michael"/>
    <s v="Musa"/>
    <x v="0"/>
    <n v="30"/>
    <x v="1"/>
    <x v="8"/>
    <s v="2016-04-07"/>
    <n v="3"/>
    <n v="4"/>
    <n v="491108"/>
    <x v="14"/>
    <x v="0"/>
    <n v="66"/>
    <n v="11"/>
    <n v="5"/>
    <n v="6"/>
    <n v="49.650349650349654"/>
    <n v="50.24975024975025"/>
    <n v="4"/>
    <n v="7"/>
    <n v="47.5"/>
    <n v="52.5"/>
    <n v="14.090909090909092"/>
    <n v="1"/>
    <n v="3"/>
    <n v="4.0999999999999996"/>
    <n v="3.8333333333333335"/>
  </r>
  <r>
    <s v="EMP0991"/>
    <s v="Fatima"/>
    <s v="Ahmed"/>
    <x v="0"/>
    <n v="41"/>
    <x v="1"/>
    <x v="2"/>
    <s v="2021-10-02"/>
    <n v="4"/>
    <n v="5"/>
    <n v="327873"/>
    <x v="11"/>
    <x v="1"/>
    <n v="100"/>
    <n v="10"/>
    <n v="4"/>
    <n v="6"/>
    <n v="49.650349650349654"/>
    <n v="50.24975024975025"/>
    <n v="3"/>
    <n v="7"/>
    <n v="47.5"/>
    <n v="52.5"/>
    <n v="15.1"/>
    <n v="1"/>
    <n v="2"/>
    <n v="4.0999999999999996"/>
    <n v="4.3499999999999996"/>
  </r>
  <r>
    <s v="EMP0992"/>
    <s v="Sarah"/>
    <s v="Brown"/>
    <x v="1"/>
    <n v="56"/>
    <x v="6"/>
    <x v="0"/>
    <s v="2014-07-19"/>
    <n v="12"/>
    <n v="13"/>
    <n v="227920"/>
    <x v="9"/>
    <x v="0"/>
    <n v="57"/>
    <n v="9"/>
    <n v="3"/>
    <n v="6"/>
    <n v="49.650349650349654"/>
    <n v="50.24975024975025"/>
    <n v="3"/>
    <n v="6"/>
    <n v="47.5"/>
    <n v="52.5"/>
    <n v="16.222222222222221"/>
    <n v="1"/>
    <n v="1"/>
    <n v="4.0999999999999996"/>
    <n v="4"/>
  </r>
  <r>
    <s v="EMP0993"/>
    <s v="Grace"/>
    <s v="Okoro"/>
    <x v="0"/>
    <n v="23"/>
    <x v="4"/>
    <x v="8"/>
    <s v="2017-05-08"/>
    <n v="3"/>
    <n v="6"/>
    <n v="139791"/>
    <x v="14"/>
    <x v="1"/>
    <n v="90"/>
    <n v="8"/>
    <n v="3"/>
    <n v="5"/>
    <n v="49.650349650349654"/>
    <n v="50.24975024975025"/>
    <n v="2"/>
    <n v="6"/>
    <n v="47.5"/>
    <n v="52.5"/>
    <n v="16.625"/>
    <n v="1"/>
    <n v="1"/>
    <n v="4.0999999999999996"/>
    <n v="4"/>
  </r>
  <r>
    <s v="EMP0994"/>
    <s v="James"/>
    <s v="Williams"/>
    <x v="1"/>
    <n v="50"/>
    <x v="2"/>
    <x v="8"/>
    <s v="2013-11-18"/>
    <n v="16"/>
    <n v="22"/>
    <n v="167137"/>
    <x v="30"/>
    <x v="1"/>
    <n v="84"/>
    <n v="7"/>
    <n v="2"/>
    <n v="5"/>
    <n v="49.650349650349654"/>
    <n v="50.24975024975025"/>
    <n v="2"/>
    <n v="5"/>
    <n v="47.5"/>
    <n v="52.5"/>
    <n v="18.142857142857142"/>
    <n v="1"/>
    <n v="1"/>
    <n v="4.0999999999999996"/>
    <n v="4"/>
  </r>
  <r>
    <s v="EMP0995"/>
    <s v="Grace"/>
    <s v="Ibrahim"/>
    <x v="0"/>
    <n v="49"/>
    <x v="5"/>
    <x v="4"/>
    <s v="2019-01-30"/>
    <n v="11"/>
    <n v="13"/>
    <n v="192749"/>
    <x v="9"/>
    <x v="0"/>
    <n v="67"/>
    <n v="6"/>
    <n v="2"/>
    <n v="4"/>
    <n v="49.650349650349654"/>
    <n v="50.24975024975025"/>
    <n v="2"/>
    <n v="4"/>
    <n v="47.5"/>
    <n v="52.5"/>
    <n v="17.5"/>
    <n v="1"/>
    <n v="1"/>
    <n v="4.0999999999999996"/>
    <n v="4"/>
  </r>
  <r>
    <s v="EMP0996"/>
    <s v="Fatima"/>
    <s v="Okoro"/>
    <x v="1"/>
    <n v="40"/>
    <x v="4"/>
    <x v="1"/>
    <s v="2016-11-05"/>
    <n v="20"/>
    <n v="28"/>
    <n v="358204"/>
    <x v="13"/>
    <x v="1"/>
    <n v="84"/>
    <n v="5"/>
    <n v="1"/>
    <n v="4"/>
    <n v="49.650349650349654"/>
    <n v="50.24975024975025"/>
    <n v="1"/>
    <n v="4"/>
    <n v="47.5"/>
    <n v="52.5"/>
    <n v="18.399999999999999"/>
    <n v="0"/>
    <n v="1"/>
    <e v="#DIV/0!"/>
    <n v="4"/>
  </r>
  <r>
    <s v="EMP0997"/>
    <s v="Daniel"/>
    <s v="Okoro"/>
    <x v="1"/>
    <n v="54"/>
    <x v="3"/>
    <x v="3"/>
    <s v="2021-09-29"/>
    <n v="13"/>
    <n v="16"/>
    <n v="415363"/>
    <x v="10"/>
    <x v="1"/>
    <n v="92"/>
    <n v="4"/>
    <n v="1"/>
    <n v="3"/>
    <n v="49.650349650349654"/>
    <n v="50.24975024975025"/>
    <n v="1"/>
    <n v="3"/>
    <n v="47.5"/>
    <n v="52.5"/>
    <n v="16"/>
    <n v="0"/>
    <n v="1"/>
    <e v="#DIV/0!"/>
    <n v="4"/>
  </r>
  <r>
    <s v="EMP0998"/>
    <s v="John"/>
    <s v="Garba"/>
    <x v="1"/>
    <n v="59"/>
    <x v="1"/>
    <x v="9"/>
    <s v="2017-07-15"/>
    <n v="15"/>
    <n v="22"/>
    <n v="284802"/>
    <x v="25"/>
    <x v="0"/>
    <n v="43"/>
    <n v="3"/>
    <n v="1"/>
    <n v="2"/>
    <n v="49.650349650349654"/>
    <n v="50.24975024975025"/>
    <n v="1"/>
    <n v="2"/>
    <n v="47.5"/>
    <n v="52.5"/>
    <n v="16"/>
    <n v="0"/>
    <n v="1"/>
    <e v="#DIV/0!"/>
    <n v="4"/>
  </r>
  <r>
    <s v="EMP0999"/>
    <s v="James"/>
    <s v="Ibrahim"/>
    <x v="1"/>
    <n v="27"/>
    <x v="4"/>
    <x v="5"/>
    <s v="2015-01-16"/>
    <n v="7"/>
    <n v="14"/>
    <n v="410191"/>
    <x v="14"/>
    <x v="1"/>
    <n v="81"/>
    <n v="2"/>
    <n v="1"/>
    <n v="1"/>
    <n v="49.650349650349654"/>
    <n v="50.24975024975025"/>
    <n v="0"/>
    <n v="2"/>
    <n v="47.5"/>
    <n v="52.5"/>
    <n v="13"/>
    <n v="0"/>
    <n v="0"/>
    <e v="#DIV/0!"/>
    <e v="#DIV/0!"/>
  </r>
  <r>
    <s v="EMP1000"/>
    <s v="Grace"/>
    <s v="Brown"/>
    <x v="0"/>
    <n v="36"/>
    <x v="4"/>
    <x v="5"/>
    <s v="2023-08-06"/>
    <n v="8"/>
    <n v="12"/>
    <n v="436148"/>
    <x v="11"/>
    <x v="1"/>
    <n v="75"/>
    <n v="1"/>
    <n v="1"/>
    <n v="0"/>
    <n v="49.650349650349654"/>
    <n v="50.24975024975025"/>
    <n v="0"/>
    <n v="1"/>
    <n v="47.5"/>
    <n v="52.5"/>
    <n v="12"/>
    <n v="0"/>
    <n v="0"/>
    <e v="#DIV/0!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B9EE9-3285-43DA-ABCC-D7961AEC91A4}" name="PivotTable1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144:B147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>
      <items count="11">
        <item x="0"/>
        <item x="4"/>
        <item x="3"/>
        <item x="6"/>
        <item x="8"/>
        <item x="5"/>
        <item x="1"/>
        <item x="9"/>
        <item x="7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TotalExperienceYears" fld="9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1E49E-E757-4F1C-AF82-B1391AB5159A}" name="PivotTable9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02:B134" firstHeaderRow="1" firstDataRow="1" firstDataCol="1"/>
  <pivotFields count="28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8">
        <item x="4"/>
        <item x="2"/>
        <item x="0"/>
        <item x="1"/>
        <item x="5"/>
        <item x="6"/>
        <item x="3"/>
        <item t="default"/>
      </items>
    </pivotField>
    <pivotField showAll="0">
      <items count="11">
        <item x="0"/>
        <item x="4"/>
        <item x="3"/>
        <item x="6"/>
        <item x="8"/>
        <item x="5"/>
        <item x="1"/>
        <item x="9"/>
        <item x="7"/>
        <item x="2"/>
        <item t="default"/>
      </items>
    </pivotField>
    <pivotField showAll="0"/>
    <pivotField showAll="0"/>
    <pivotField showAll="0"/>
    <pivotField showAll="0"/>
    <pivotField axis="axisRow" showAll="0">
      <items count="32">
        <item x="13"/>
        <item x="18"/>
        <item x="1"/>
        <item x="19"/>
        <item x="6"/>
        <item x="3"/>
        <item x="30"/>
        <item x="0"/>
        <item x="14"/>
        <item x="27"/>
        <item x="29"/>
        <item x="10"/>
        <item x="7"/>
        <item x="21"/>
        <item x="12"/>
        <item x="15"/>
        <item x="24"/>
        <item x="2"/>
        <item x="4"/>
        <item x="22"/>
        <item x="25"/>
        <item x="9"/>
        <item x="26"/>
        <item x="28"/>
        <item x="8"/>
        <item x="17"/>
        <item x="20"/>
        <item x="11"/>
        <item x="23"/>
        <item x="5"/>
        <item x="16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AttritionStatus" fld="1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6094F-CAE8-448F-A041-36CE68C90F98}" name="PivotTable7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83:B94" firstHeaderRow="1" firstDataRow="1" firstDataCol="1"/>
  <pivotFields count="28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8">
        <item x="4"/>
        <item x="2"/>
        <item x="0"/>
        <item x="1"/>
        <item x="5"/>
        <item x="6"/>
        <item x="3"/>
        <item t="default"/>
      </items>
    </pivotField>
    <pivotField axis="axisRow" showAll="0">
      <items count="11">
        <item x="0"/>
        <item x="4"/>
        <item x="3"/>
        <item x="6"/>
        <item x="8"/>
        <item x="5"/>
        <item x="1"/>
        <item x="9"/>
        <item x="7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AttritionStatus" fld="12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51F7F-D177-46D3-A06D-87EF199DBADC}" name="PivotTable6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71:B74" firstHeaderRow="1" firstDataRow="1" firstDataCol="1"/>
  <pivotFields count="28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8">
        <item x="4"/>
        <item x="2"/>
        <item x="0"/>
        <item x="1"/>
        <item x="5"/>
        <item x="6"/>
        <item x="3"/>
        <item t="default"/>
      </items>
    </pivotField>
    <pivotField showAll="0">
      <items count="11">
        <item x="0"/>
        <item x="4"/>
        <item x="3"/>
        <item x="6"/>
        <item x="8"/>
        <item x="5"/>
        <item x="1"/>
        <item x="9"/>
        <item x="7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AttritionStatus" fld="1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41672-C205-4756-AF7D-98E1CABB962A}" name="PivotTable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54:B62" firstHeaderRow="1" firstDataRow="1" firstDataCol="1"/>
  <pivotFields count="28">
    <pivotField showAll="0"/>
    <pivotField showAll="0"/>
    <pivotField showAll="0"/>
    <pivotField showAll="0"/>
    <pivotField showAll="0"/>
    <pivotField axis="axisRow" showAll="0" sortType="descending">
      <items count="8">
        <item x="4"/>
        <item x="2"/>
        <item x="0"/>
        <item x="1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0"/>
        <item x="4"/>
        <item x="3"/>
        <item x="6"/>
        <item x="8"/>
        <item x="5"/>
        <item x="1"/>
        <item x="9"/>
        <item x="7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 v="4"/>
    </i>
    <i>
      <x/>
    </i>
    <i>
      <x v="3"/>
    </i>
    <i>
      <x v="2"/>
    </i>
    <i>
      <x v="5"/>
    </i>
    <i>
      <x v="6"/>
    </i>
    <i>
      <x v="1"/>
    </i>
    <i t="grand">
      <x/>
    </i>
  </rowItems>
  <colItems count="1">
    <i/>
  </colItems>
  <dataFields count="1">
    <dataField name="Count of AttritionStatus" fld="1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28CB5-6474-4617-B154-A2AD7C51DA04}" name="PivotTable4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5:B43" firstHeaderRow="1" firstDataRow="1" firstDataCol="1"/>
  <pivotFields count="28"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0"/>
        <item x="1"/>
        <item x="5"/>
        <item x="6"/>
        <item x="3"/>
        <item t="default"/>
      </items>
    </pivotField>
    <pivotField showAll="0">
      <items count="11">
        <item x="0"/>
        <item x="4"/>
        <item x="3"/>
        <item x="6"/>
        <item x="8"/>
        <item x="5"/>
        <item x="1"/>
        <item x="9"/>
        <item x="7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erformanceRating" fld="1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D484E-ED21-434B-9839-21B3D9AA107D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22:B25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>
      <items count="11">
        <item x="0"/>
        <item x="4"/>
        <item x="3"/>
        <item x="6"/>
        <item x="8"/>
        <item x="5"/>
        <item x="1"/>
        <item x="9"/>
        <item x="7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TotalExperienceYears" fld="9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B165B-EBBD-4211-9DF4-BEA39216A7AF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4" firstHeaderRow="1" firstDataRow="1" firstDataCol="1"/>
  <pivotFields count="28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1">
        <item x="0"/>
        <item x="4"/>
        <item x="3"/>
        <item x="6"/>
        <item x="8"/>
        <item x="5"/>
        <item x="1"/>
        <item x="9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 v="3"/>
    </i>
    <i>
      <x v="6"/>
    </i>
    <i>
      <x v="5"/>
    </i>
    <i>
      <x/>
    </i>
    <i>
      <x v="7"/>
    </i>
    <i>
      <x v="2"/>
    </i>
    <i>
      <x v="1"/>
    </i>
    <i>
      <x v="4"/>
    </i>
    <i>
      <x v="8"/>
    </i>
    <i>
      <x v="9"/>
    </i>
    <i t="grand">
      <x/>
    </i>
  </rowItems>
  <colItems count="1">
    <i/>
  </colItems>
  <dataFields count="1">
    <dataField name="Count of Employee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FFB91-CB22-48D5-A68A-8F7A1D209CFC}" name="Table1" displayName="Table1" ref="A1:AD1001" totalsRowShown="0">
  <autoFilter ref="A1:AD1001" xr:uid="{961FFB91-CB22-48D5-A68A-8F7A1D209CFC}"/>
  <tableColumns count="30">
    <tableColumn id="1" xr3:uid="{29B3501A-74A3-497E-8E2E-FE2DF8430D6B}" name="EmployeeID"/>
    <tableColumn id="2" xr3:uid="{4B4BCF1F-45B5-40AE-ADCC-86DB793C75E6}" name="FirstName"/>
    <tableColumn id="3" xr3:uid="{91F588F7-2E2E-48BE-838E-86C0EDB86CE2}" name="LastName"/>
    <tableColumn id="4" xr3:uid="{705743F0-7055-4754-98BE-ED87DA301D80}" name="Gender"/>
    <tableColumn id="5" xr3:uid="{7E8D8529-5E9B-45C0-8F50-FFB1F0E122A8}" name="Age"/>
    <tableColumn id="6" xr3:uid="{23B0FBC2-7A42-46EA-AE30-A9D3699FC1C0}" name="Department"/>
    <tableColumn id="7" xr3:uid="{6B267E68-6AD1-4D51-AD3A-407CC4FEA602}" name="EmployeeRole"/>
    <tableColumn id="8" xr3:uid="{6E1E191A-810B-431D-8B98-B9D7FD588380}" name="HireDate"/>
    <tableColumn id="9" xr3:uid="{65ABAF20-2C7C-40DA-8C6B-A924FA5B3FBB}" name="YearsAtCompany"/>
    <tableColumn id="10" xr3:uid="{3BC922AC-1977-4DDC-BFA1-A5012B842D46}" name="TotalExperienceYears"/>
    <tableColumn id="11" xr3:uid="{9C99AE7B-3C66-4EB0-AF81-6D44C806DADA}" name="Salary"/>
    <tableColumn id="12" xr3:uid="{C0435EC4-5F1F-4D54-B061-B0BDBBFBE26E}" name="PerformanceRating"/>
    <tableColumn id="13" xr3:uid="{B5C052E4-EB9F-4F03-9371-FBE5258D293C}" name="AttritionStatus"/>
    <tableColumn id="14" xr3:uid="{7F928577-5F6F-4700-9B27-822B362967DF}" name="RetentionRatePercent"/>
    <tableColumn id="15" xr3:uid="{3ED38FF6-07A4-4C9C-ABCB-6CE87ECF7840}" name="Total No of Employee" dataDxfId="15">
      <calculatedColumnFormula>COUNTA(A2:A1001)</calculatedColumnFormula>
    </tableColumn>
    <tableColumn id="16" xr3:uid="{B581435E-5C09-4FFD-9898-C916D28641D9}" name="Gender Male" dataDxfId="14">
      <calculatedColumnFormula>COUNTIF(D2:D1001,"Male")</calculatedColumnFormula>
    </tableColumn>
    <tableColumn id="17" xr3:uid="{D17141D8-BF6A-4EB0-B53E-05ED137DE633}" name="Gender Female" dataDxfId="13">
      <calculatedColumnFormula>COUNTIF(D2:D1001,"Female")</calculatedColumnFormula>
    </tableColumn>
    <tableColumn id="18" xr3:uid="{1C40B764-037B-4F9D-A753-F39428C99E31}" name="Male %" dataDxfId="12">
      <calculatedColumnFormula>497/1001*100</calculatedColumnFormula>
    </tableColumn>
    <tableColumn id="19" xr3:uid="{8C9D9845-DA2A-4006-B161-58C4729322B1}" name="Female%" dataDxfId="11">
      <calculatedColumnFormula>503/1001*100</calculatedColumnFormula>
    </tableColumn>
    <tableColumn id="20" xr3:uid="{3BD8B08D-966B-44B5-82F1-C015AA838B47}" name="Who Left Yes" dataDxfId="10">
      <calculatedColumnFormula>COUNTIF(M2:M1001,"Yes")</calculatedColumnFormula>
    </tableColumn>
    <tableColumn id="21" xr3:uid="{DEF56798-5860-4B7A-BCAC-3C525A8362D7}" name="Who stayed No" dataDxfId="9">
      <calculatedColumnFormula>COUNTIF(M2:M1001,"No")</calculatedColumnFormula>
    </tableColumn>
    <tableColumn id="22" xr3:uid="{E83D1DFC-3A98-4E32-98B4-D3E71CA42884}" name="Attrition Rate Left" dataDxfId="8">
      <calculatedColumnFormula>475/1000*100</calculatedColumnFormula>
    </tableColumn>
    <tableColumn id="23" xr3:uid="{CE4B24AA-A324-4C7B-AE02-887705A0A53E}" name="Attrition Rate Stayed" dataDxfId="7">
      <calculatedColumnFormula>525/1000*100</calculatedColumnFormula>
    </tableColumn>
    <tableColumn id="24" xr3:uid="{3B9CBE64-03BC-44F3-8B1B-B4659019F8E9}" name="Average Experince" dataDxfId="6">
      <calculatedColumnFormula>AVERAGE(J2:J1001)</calculatedColumnFormula>
    </tableColumn>
    <tableColumn id="25" xr3:uid="{2454D38A-1DB2-4101-8DA4-EDA7EA07EC01}" name="Head Count Marketing" dataDxfId="5">
      <calculatedColumnFormula>COUNTIF(F2:F1001,"Marketing")</calculatedColumnFormula>
    </tableColumn>
    <tableColumn id="26" xr3:uid="{AE5396CE-4C3D-4A76-9E7A-67B7207DBB40}" name="Head Count IT" dataDxfId="4">
      <calculatedColumnFormula>COUNTIF(F2:F1001,"IT")</calculatedColumnFormula>
    </tableColumn>
    <tableColumn id="27" xr3:uid="{5EDE2214-F7A3-4C1A-84FE-0F87789D6FB7}" name="Average Performance Marketing" dataDxfId="3">
      <calculatedColumnFormula>AVERAGEIF(F2:F1001,"Marketing",L2:L1001)</calculatedColumnFormula>
    </tableColumn>
    <tableColumn id="28" xr3:uid="{138FF2AC-7918-4522-90DE-EF3DA09D4023}" name="Average Performance IT" dataDxfId="2">
      <calculatedColumnFormula>AVERAGEIF(F2:F1001,"IT",L2:L1001)</calculatedColumnFormula>
    </tableColumn>
    <tableColumn id="29" xr3:uid="{A2FD7493-34D4-4DF7-B76D-09D967752227}" name="ATTRITION CODE" dataDxfId="1">
      <calculatedColumnFormula>IF(M2="yes",1,0)</calculatedColumnFormula>
    </tableColumn>
    <tableColumn id="30" xr3:uid="{DC4C7836-DDF4-4194-924B-E4763BE41B29}" name="Correlation Exp vsAttrition" dataDxfId="0">
      <calculatedColumnFormula>CORREL(J2:J1001,AC2:AC1001)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22</v>
      </c>
      <c r="F2" t="s">
        <v>18</v>
      </c>
      <c r="G2" t="s">
        <v>19</v>
      </c>
      <c r="H2" t="s">
        <v>20</v>
      </c>
      <c r="I2">
        <v>6</v>
      </c>
      <c r="J2">
        <v>12</v>
      </c>
      <c r="K2">
        <v>76973</v>
      </c>
      <c r="L2">
        <v>2.7</v>
      </c>
      <c r="M2" t="s">
        <v>21</v>
      </c>
      <c r="N2">
        <v>59</v>
      </c>
    </row>
    <row r="3" spans="1:14" x14ac:dyDescent="0.35">
      <c r="A3" t="s">
        <v>22</v>
      </c>
      <c r="B3" t="s">
        <v>23</v>
      </c>
      <c r="C3" t="s">
        <v>24</v>
      </c>
      <c r="D3" t="s">
        <v>25</v>
      </c>
      <c r="E3">
        <v>44</v>
      </c>
      <c r="F3" t="s">
        <v>18</v>
      </c>
      <c r="G3" t="s">
        <v>26</v>
      </c>
      <c r="H3" t="s">
        <v>27</v>
      </c>
      <c r="I3">
        <v>1</v>
      </c>
      <c r="J3">
        <v>4</v>
      </c>
      <c r="K3">
        <v>322395</v>
      </c>
      <c r="L3">
        <v>2.2000000000000002</v>
      </c>
      <c r="M3" t="s">
        <v>21</v>
      </c>
      <c r="N3">
        <v>41</v>
      </c>
    </row>
    <row r="4" spans="1:14" x14ac:dyDescent="0.35">
      <c r="A4" t="s">
        <v>28</v>
      </c>
      <c r="B4" t="s">
        <v>29</v>
      </c>
      <c r="C4" t="s">
        <v>30</v>
      </c>
      <c r="D4" t="s">
        <v>17</v>
      </c>
      <c r="E4">
        <v>26</v>
      </c>
      <c r="F4" t="s">
        <v>31</v>
      </c>
      <c r="G4" t="s">
        <v>32</v>
      </c>
      <c r="H4" t="s">
        <v>33</v>
      </c>
      <c r="I4">
        <v>15</v>
      </c>
      <c r="J4">
        <v>22</v>
      </c>
      <c r="K4">
        <v>238004</v>
      </c>
      <c r="L4">
        <v>3.7</v>
      </c>
      <c r="M4" t="s">
        <v>21</v>
      </c>
      <c r="N4">
        <v>59</v>
      </c>
    </row>
    <row r="5" spans="1:14" x14ac:dyDescent="0.35">
      <c r="A5" t="s">
        <v>34</v>
      </c>
      <c r="B5" t="s">
        <v>35</v>
      </c>
      <c r="C5" t="s">
        <v>36</v>
      </c>
      <c r="D5" t="s">
        <v>25</v>
      </c>
      <c r="E5">
        <v>45</v>
      </c>
      <c r="F5" t="s">
        <v>37</v>
      </c>
      <c r="G5" t="s">
        <v>26</v>
      </c>
      <c r="H5" t="s">
        <v>38</v>
      </c>
      <c r="I5">
        <v>19</v>
      </c>
      <c r="J5">
        <v>22</v>
      </c>
      <c r="K5">
        <v>431668</v>
      </c>
      <c r="L5">
        <v>2.5</v>
      </c>
      <c r="M5" t="s">
        <v>21</v>
      </c>
      <c r="N5">
        <v>58</v>
      </c>
    </row>
    <row r="6" spans="1:14" x14ac:dyDescent="0.35">
      <c r="A6" t="s">
        <v>39</v>
      </c>
      <c r="B6" t="s">
        <v>40</v>
      </c>
      <c r="C6" t="s">
        <v>36</v>
      </c>
      <c r="D6" t="s">
        <v>17</v>
      </c>
      <c r="E6">
        <v>35</v>
      </c>
      <c r="F6" t="s">
        <v>18</v>
      </c>
      <c r="G6" t="s">
        <v>41</v>
      </c>
      <c r="H6" t="s">
        <v>42</v>
      </c>
      <c r="I6">
        <v>6</v>
      </c>
      <c r="J6">
        <v>11</v>
      </c>
      <c r="K6">
        <v>413516</v>
      </c>
      <c r="L6">
        <v>3.8</v>
      </c>
      <c r="M6" t="s">
        <v>43</v>
      </c>
      <c r="N6">
        <v>86</v>
      </c>
    </row>
    <row r="7" spans="1:14" x14ac:dyDescent="0.35">
      <c r="A7" t="s">
        <v>44</v>
      </c>
      <c r="B7" t="s">
        <v>45</v>
      </c>
      <c r="C7" t="s">
        <v>30</v>
      </c>
      <c r="D7" t="s">
        <v>17</v>
      </c>
      <c r="E7">
        <v>31</v>
      </c>
      <c r="F7" t="s">
        <v>46</v>
      </c>
      <c r="G7" t="s">
        <v>32</v>
      </c>
      <c r="H7" t="s">
        <v>47</v>
      </c>
      <c r="I7">
        <v>13</v>
      </c>
      <c r="J7">
        <v>13</v>
      </c>
      <c r="K7">
        <v>379556</v>
      </c>
      <c r="L7">
        <v>4.9000000000000004</v>
      </c>
      <c r="M7" t="s">
        <v>21</v>
      </c>
      <c r="N7">
        <v>39</v>
      </c>
    </row>
    <row r="8" spans="1:14" x14ac:dyDescent="0.35">
      <c r="A8" t="s">
        <v>48</v>
      </c>
      <c r="B8" t="s">
        <v>29</v>
      </c>
      <c r="C8" t="s">
        <v>49</v>
      </c>
      <c r="D8" t="s">
        <v>17</v>
      </c>
      <c r="E8">
        <v>35</v>
      </c>
      <c r="F8" t="s">
        <v>18</v>
      </c>
      <c r="G8" t="s">
        <v>26</v>
      </c>
      <c r="H8" t="s">
        <v>50</v>
      </c>
      <c r="I8">
        <v>10</v>
      </c>
      <c r="J8">
        <v>14</v>
      </c>
      <c r="K8">
        <v>373482</v>
      </c>
      <c r="L8">
        <v>2.4</v>
      </c>
      <c r="M8" t="s">
        <v>21</v>
      </c>
      <c r="N8">
        <v>58</v>
      </c>
    </row>
    <row r="9" spans="1:14" x14ac:dyDescent="0.35">
      <c r="A9" t="s">
        <v>51</v>
      </c>
      <c r="B9" t="s">
        <v>29</v>
      </c>
      <c r="C9" t="s">
        <v>52</v>
      </c>
      <c r="D9" t="s">
        <v>25</v>
      </c>
      <c r="E9">
        <v>40</v>
      </c>
      <c r="F9" t="s">
        <v>31</v>
      </c>
      <c r="G9" t="s">
        <v>32</v>
      </c>
      <c r="H9" t="s">
        <v>53</v>
      </c>
      <c r="I9">
        <v>5</v>
      </c>
      <c r="J9">
        <v>11</v>
      </c>
      <c r="K9">
        <v>197515</v>
      </c>
      <c r="L9">
        <v>3.2</v>
      </c>
      <c r="M9" t="s">
        <v>21</v>
      </c>
      <c r="N9">
        <v>30</v>
      </c>
    </row>
    <row r="10" spans="1:14" x14ac:dyDescent="0.35">
      <c r="A10" t="s">
        <v>54</v>
      </c>
      <c r="B10" t="s">
        <v>55</v>
      </c>
      <c r="C10" t="s">
        <v>56</v>
      </c>
      <c r="D10" t="s">
        <v>17</v>
      </c>
      <c r="E10">
        <v>29</v>
      </c>
      <c r="F10" t="s">
        <v>37</v>
      </c>
      <c r="G10" t="s">
        <v>57</v>
      </c>
      <c r="H10" t="s">
        <v>58</v>
      </c>
      <c r="I10">
        <v>12</v>
      </c>
      <c r="J10">
        <v>18</v>
      </c>
      <c r="K10">
        <v>411948</v>
      </c>
      <c r="L10">
        <v>4.4000000000000004</v>
      </c>
      <c r="M10" t="s">
        <v>43</v>
      </c>
      <c r="N10">
        <v>83</v>
      </c>
    </row>
    <row r="11" spans="1:14" x14ac:dyDescent="0.35">
      <c r="A11" t="s">
        <v>59</v>
      </c>
      <c r="B11" t="s">
        <v>60</v>
      </c>
      <c r="C11" t="s">
        <v>16</v>
      </c>
      <c r="D11" t="s">
        <v>17</v>
      </c>
      <c r="E11">
        <v>53</v>
      </c>
      <c r="F11" t="s">
        <v>31</v>
      </c>
      <c r="G11" t="s">
        <v>61</v>
      </c>
      <c r="H11" t="s">
        <v>62</v>
      </c>
      <c r="I11">
        <v>16</v>
      </c>
      <c r="J11">
        <v>22</v>
      </c>
      <c r="K11">
        <v>387513</v>
      </c>
      <c r="L11">
        <v>2.4</v>
      </c>
      <c r="M11" t="s">
        <v>21</v>
      </c>
      <c r="N11">
        <v>58</v>
      </c>
    </row>
    <row r="12" spans="1:14" x14ac:dyDescent="0.35">
      <c r="A12" t="s">
        <v>63</v>
      </c>
      <c r="B12" t="s">
        <v>60</v>
      </c>
      <c r="C12" t="s">
        <v>64</v>
      </c>
      <c r="D12" t="s">
        <v>25</v>
      </c>
      <c r="E12">
        <v>58</v>
      </c>
      <c r="F12" t="s">
        <v>18</v>
      </c>
      <c r="G12" t="s">
        <v>61</v>
      </c>
      <c r="H12" t="s">
        <v>65</v>
      </c>
      <c r="I12">
        <v>19</v>
      </c>
      <c r="J12">
        <v>24</v>
      </c>
      <c r="K12">
        <v>355198</v>
      </c>
      <c r="L12">
        <v>4.0999999999999996</v>
      </c>
      <c r="M12" t="s">
        <v>21</v>
      </c>
      <c r="N12">
        <v>54</v>
      </c>
    </row>
    <row r="13" spans="1:14" x14ac:dyDescent="0.35">
      <c r="A13" t="s">
        <v>66</v>
      </c>
      <c r="B13" t="s">
        <v>23</v>
      </c>
      <c r="C13" t="s">
        <v>49</v>
      </c>
      <c r="D13" t="s">
        <v>25</v>
      </c>
      <c r="E13">
        <v>59</v>
      </c>
      <c r="F13" t="s">
        <v>46</v>
      </c>
      <c r="G13" t="s">
        <v>19</v>
      </c>
      <c r="H13" t="s">
        <v>67</v>
      </c>
      <c r="I13">
        <v>15</v>
      </c>
      <c r="J13">
        <v>17</v>
      </c>
      <c r="K13">
        <v>426728</v>
      </c>
      <c r="L13">
        <v>3.2</v>
      </c>
      <c r="M13" t="s">
        <v>21</v>
      </c>
      <c r="N13">
        <v>39</v>
      </c>
    </row>
    <row r="14" spans="1:14" x14ac:dyDescent="0.35">
      <c r="A14" t="s">
        <v>68</v>
      </c>
      <c r="B14" t="s">
        <v>69</v>
      </c>
      <c r="C14" t="s">
        <v>36</v>
      </c>
      <c r="D14" t="s">
        <v>25</v>
      </c>
      <c r="E14">
        <v>47</v>
      </c>
      <c r="F14" t="s">
        <v>70</v>
      </c>
      <c r="G14" t="s">
        <v>71</v>
      </c>
      <c r="H14" t="s">
        <v>72</v>
      </c>
      <c r="I14">
        <v>15</v>
      </c>
      <c r="J14">
        <v>18</v>
      </c>
      <c r="K14">
        <v>236668</v>
      </c>
      <c r="L14">
        <v>3.2</v>
      </c>
      <c r="M14" t="s">
        <v>21</v>
      </c>
      <c r="N14">
        <v>47</v>
      </c>
    </row>
    <row r="15" spans="1:14" x14ac:dyDescent="0.35">
      <c r="A15" t="s">
        <v>73</v>
      </c>
      <c r="B15" t="s">
        <v>23</v>
      </c>
      <c r="C15" t="s">
        <v>36</v>
      </c>
      <c r="D15" t="s">
        <v>17</v>
      </c>
      <c r="E15">
        <v>50</v>
      </c>
      <c r="F15" t="s">
        <v>74</v>
      </c>
      <c r="G15" t="s">
        <v>75</v>
      </c>
      <c r="H15" t="s">
        <v>76</v>
      </c>
      <c r="I15">
        <v>7</v>
      </c>
      <c r="J15">
        <v>11</v>
      </c>
      <c r="K15">
        <v>376538</v>
      </c>
      <c r="L15">
        <v>3.1</v>
      </c>
      <c r="M15" t="s">
        <v>43</v>
      </c>
      <c r="N15">
        <v>71</v>
      </c>
    </row>
    <row r="16" spans="1:14" x14ac:dyDescent="0.35">
      <c r="A16" t="s">
        <v>77</v>
      </c>
      <c r="B16" t="s">
        <v>78</v>
      </c>
      <c r="C16" t="s">
        <v>24</v>
      </c>
      <c r="D16" t="s">
        <v>17</v>
      </c>
      <c r="E16">
        <v>39</v>
      </c>
      <c r="F16" t="s">
        <v>79</v>
      </c>
      <c r="G16" t="s">
        <v>19</v>
      </c>
      <c r="H16" t="s">
        <v>80</v>
      </c>
      <c r="I16">
        <v>20</v>
      </c>
      <c r="J16">
        <v>24</v>
      </c>
      <c r="K16">
        <v>309955</v>
      </c>
      <c r="L16">
        <v>4.7</v>
      </c>
      <c r="M16" t="s">
        <v>21</v>
      </c>
      <c r="N16">
        <v>44</v>
      </c>
    </row>
    <row r="17" spans="1:14" x14ac:dyDescent="0.35">
      <c r="A17" t="s">
        <v>81</v>
      </c>
      <c r="B17" t="s">
        <v>55</v>
      </c>
      <c r="C17" t="s">
        <v>82</v>
      </c>
      <c r="D17" t="s">
        <v>17</v>
      </c>
      <c r="E17">
        <v>24</v>
      </c>
      <c r="F17" t="s">
        <v>37</v>
      </c>
      <c r="G17" t="s">
        <v>41</v>
      </c>
      <c r="H17" t="s">
        <v>83</v>
      </c>
      <c r="I17">
        <v>2</v>
      </c>
      <c r="J17">
        <v>9</v>
      </c>
      <c r="K17">
        <v>284007</v>
      </c>
      <c r="L17">
        <v>4.0999999999999996</v>
      </c>
      <c r="M17" t="s">
        <v>21</v>
      </c>
      <c r="N17">
        <v>39</v>
      </c>
    </row>
    <row r="18" spans="1:14" x14ac:dyDescent="0.35">
      <c r="A18" t="s">
        <v>84</v>
      </c>
      <c r="B18" t="s">
        <v>29</v>
      </c>
      <c r="C18" t="s">
        <v>30</v>
      </c>
      <c r="D18" t="s">
        <v>17</v>
      </c>
      <c r="E18">
        <v>30</v>
      </c>
      <c r="F18" t="s">
        <v>31</v>
      </c>
      <c r="G18" t="s">
        <v>85</v>
      </c>
      <c r="H18" t="s">
        <v>86</v>
      </c>
      <c r="I18">
        <v>11</v>
      </c>
      <c r="J18">
        <v>17</v>
      </c>
      <c r="K18">
        <v>88826</v>
      </c>
      <c r="L18">
        <v>3.4</v>
      </c>
      <c r="M18" t="s">
        <v>21</v>
      </c>
      <c r="N18">
        <v>46</v>
      </c>
    </row>
    <row r="19" spans="1:14" x14ac:dyDescent="0.35">
      <c r="A19" t="s">
        <v>87</v>
      </c>
      <c r="B19" t="s">
        <v>78</v>
      </c>
      <c r="C19" t="s">
        <v>64</v>
      </c>
      <c r="D19" t="s">
        <v>25</v>
      </c>
      <c r="E19">
        <v>59</v>
      </c>
      <c r="F19" t="s">
        <v>79</v>
      </c>
      <c r="G19" t="s">
        <v>88</v>
      </c>
      <c r="H19" t="s">
        <v>89</v>
      </c>
      <c r="I19">
        <v>14</v>
      </c>
      <c r="J19">
        <v>15</v>
      </c>
      <c r="K19">
        <v>414042</v>
      </c>
      <c r="L19">
        <v>2</v>
      </c>
      <c r="M19" t="s">
        <v>21</v>
      </c>
      <c r="N19">
        <v>52</v>
      </c>
    </row>
    <row r="20" spans="1:14" x14ac:dyDescent="0.35">
      <c r="A20" t="s">
        <v>90</v>
      </c>
      <c r="B20" t="s">
        <v>15</v>
      </c>
      <c r="C20" t="s">
        <v>36</v>
      </c>
      <c r="D20" t="s">
        <v>17</v>
      </c>
      <c r="E20">
        <v>60</v>
      </c>
      <c r="F20" t="s">
        <v>79</v>
      </c>
      <c r="G20" t="s">
        <v>57</v>
      </c>
      <c r="H20" t="s">
        <v>91</v>
      </c>
      <c r="I20">
        <v>0</v>
      </c>
      <c r="J20">
        <v>3</v>
      </c>
      <c r="K20">
        <v>98434</v>
      </c>
      <c r="L20">
        <v>2.8</v>
      </c>
      <c r="M20" t="s">
        <v>43</v>
      </c>
      <c r="N20">
        <v>94</v>
      </c>
    </row>
    <row r="21" spans="1:14" x14ac:dyDescent="0.35">
      <c r="A21" t="s">
        <v>92</v>
      </c>
      <c r="B21" t="s">
        <v>45</v>
      </c>
      <c r="C21" t="s">
        <v>93</v>
      </c>
      <c r="D21" t="s">
        <v>17</v>
      </c>
      <c r="E21">
        <v>24</v>
      </c>
      <c r="F21" t="s">
        <v>74</v>
      </c>
      <c r="G21" t="s">
        <v>57</v>
      </c>
      <c r="H21" t="s">
        <v>94</v>
      </c>
      <c r="I21">
        <v>7</v>
      </c>
      <c r="J21">
        <v>7</v>
      </c>
      <c r="K21">
        <v>179791</v>
      </c>
      <c r="L21">
        <v>3.5</v>
      </c>
      <c r="M21" t="s">
        <v>21</v>
      </c>
      <c r="N21">
        <v>70</v>
      </c>
    </row>
    <row r="22" spans="1:14" x14ac:dyDescent="0.35">
      <c r="A22" t="s">
        <v>95</v>
      </c>
      <c r="B22" t="s">
        <v>96</v>
      </c>
      <c r="C22" t="s">
        <v>52</v>
      </c>
      <c r="D22" t="s">
        <v>25</v>
      </c>
      <c r="E22">
        <v>57</v>
      </c>
      <c r="F22" t="s">
        <v>70</v>
      </c>
      <c r="G22" t="s">
        <v>71</v>
      </c>
      <c r="H22" t="s">
        <v>97</v>
      </c>
      <c r="I22">
        <v>14</v>
      </c>
      <c r="J22">
        <v>14</v>
      </c>
      <c r="K22">
        <v>320269</v>
      </c>
      <c r="L22">
        <v>3.5</v>
      </c>
      <c r="M22" t="s">
        <v>21</v>
      </c>
      <c r="N22">
        <v>31</v>
      </c>
    </row>
    <row r="23" spans="1:14" x14ac:dyDescent="0.35">
      <c r="A23" t="s">
        <v>98</v>
      </c>
      <c r="B23" t="s">
        <v>35</v>
      </c>
      <c r="C23" t="s">
        <v>64</v>
      </c>
      <c r="D23" t="s">
        <v>25</v>
      </c>
      <c r="E23">
        <v>30</v>
      </c>
      <c r="F23" t="s">
        <v>18</v>
      </c>
      <c r="G23" t="s">
        <v>19</v>
      </c>
      <c r="H23" t="s">
        <v>99</v>
      </c>
      <c r="I23">
        <v>10</v>
      </c>
      <c r="J23">
        <v>15</v>
      </c>
      <c r="K23">
        <v>358890</v>
      </c>
      <c r="L23">
        <v>2.7</v>
      </c>
      <c r="M23" t="s">
        <v>43</v>
      </c>
      <c r="N23">
        <v>86</v>
      </c>
    </row>
    <row r="24" spans="1:14" x14ac:dyDescent="0.35">
      <c r="A24" t="s">
        <v>100</v>
      </c>
      <c r="B24" t="s">
        <v>45</v>
      </c>
      <c r="C24" t="s">
        <v>36</v>
      </c>
      <c r="D24" t="s">
        <v>25</v>
      </c>
      <c r="E24">
        <v>53</v>
      </c>
      <c r="F24" t="s">
        <v>46</v>
      </c>
      <c r="G24" t="s">
        <v>19</v>
      </c>
      <c r="H24" t="s">
        <v>101</v>
      </c>
      <c r="I24">
        <v>7</v>
      </c>
      <c r="J24">
        <v>11</v>
      </c>
      <c r="K24">
        <v>145610</v>
      </c>
      <c r="L24">
        <v>5</v>
      </c>
      <c r="M24" t="s">
        <v>21</v>
      </c>
      <c r="N24">
        <v>69</v>
      </c>
    </row>
    <row r="25" spans="1:14" x14ac:dyDescent="0.35">
      <c r="A25" t="s">
        <v>102</v>
      </c>
      <c r="B25" t="s">
        <v>96</v>
      </c>
      <c r="C25" t="s">
        <v>52</v>
      </c>
      <c r="D25" t="s">
        <v>25</v>
      </c>
      <c r="E25">
        <v>51</v>
      </c>
      <c r="F25" t="s">
        <v>37</v>
      </c>
      <c r="G25" t="s">
        <v>32</v>
      </c>
      <c r="H25" t="s">
        <v>103</v>
      </c>
      <c r="I25">
        <v>7</v>
      </c>
      <c r="J25">
        <v>12</v>
      </c>
      <c r="K25">
        <v>373472</v>
      </c>
      <c r="L25">
        <v>3.5</v>
      </c>
      <c r="M25" t="s">
        <v>21</v>
      </c>
      <c r="N25">
        <v>47</v>
      </c>
    </row>
    <row r="26" spans="1:14" x14ac:dyDescent="0.35">
      <c r="A26" t="s">
        <v>104</v>
      </c>
      <c r="B26" t="s">
        <v>60</v>
      </c>
      <c r="C26" t="s">
        <v>93</v>
      </c>
      <c r="D26" t="s">
        <v>17</v>
      </c>
      <c r="E26">
        <v>34</v>
      </c>
      <c r="F26" t="s">
        <v>74</v>
      </c>
      <c r="G26" t="s">
        <v>41</v>
      </c>
      <c r="H26" t="s">
        <v>105</v>
      </c>
      <c r="I26">
        <v>4</v>
      </c>
      <c r="J26">
        <v>9</v>
      </c>
      <c r="K26">
        <v>172231</v>
      </c>
      <c r="L26">
        <v>3.7</v>
      </c>
      <c r="M26" t="s">
        <v>43</v>
      </c>
      <c r="N26">
        <v>87</v>
      </c>
    </row>
    <row r="27" spans="1:14" x14ac:dyDescent="0.35">
      <c r="A27" t="s">
        <v>106</v>
      </c>
      <c r="B27" t="s">
        <v>23</v>
      </c>
      <c r="C27" t="s">
        <v>49</v>
      </c>
      <c r="D27" t="s">
        <v>17</v>
      </c>
      <c r="E27">
        <v>29</v>
      </c>
      <c r="F27" t="s">
        <v>31</v>
      </c>
      <c r="G27" t="s">
        <v>71</v>
      </c>
      <c r="H27" t="s">
        <v>107</v>
      </c>
      <c r="I27">
        <v>18</v>
      </c>
      <c r="J27">
        <v>24</v>
      </c>
      <c r="K27">
        <v>201847</v>
      </c>
      <c r="L27">
        <v>2.4</v>
      </c>
      <c r="M27" t="s">
        <v>21</v>
      </c>
      <c r="N27">
        <v>48</v>
      </c>
    </row>
    <row r="28" spans="1:14" x14ac:dyDescent="0.35">
      <c r="A28" t="s">
        <v>108</v>
      </c>
      <c r="B28" t="s">
        <v>96</v>
      </c>
      <c r="C28" t="s">
        <v>49</v>
      </c>
      <c r="D28" t="s">
        <v>17</v>
      </c>
      <c r="E28">
        <v>38</v>
      </c>
      <c r="F28" t="s">
        <v>37</v>
      </c>
      <c r="G28" t="s">
        <v>57</v>
      </c>
      <c r="H28" t="s">
        <v>109</v>
      </c>
      <c r="I28">
        <v>13</v>
      </c>
      <c r="J28">
        <v>19</v>
      </c>
      <c r="K28">
        <v>341223</v>
      </c>
      <c r="L28">
        <v>4.5</v>
      </c>
      <c r="M28" t="s">
        <v>43</v>
      </c>
      <c r="N28">
        <v>97</v>
      </c>
    </row>
    <row r="29" spans="1:14" x14ac:dyDescent="0.35">
      <c r="A29" t="s">
        <v>110</v>
      </c>
      <c r="B29" t="s">
        <v>111</v>
      </c>
      <c r="C29" t="s">
        <v>36</v>
      </c>
      <c r="D29" t="s">
        <v>25</v>
      </c>
      <c r="E29">
        <v>58</v>
      </c>
      <c r="F29" t="s">
        <v>37</v>
      </c>
      <c r="G29" t="s">
        <v>26</v>
      </c>
      <c r="H29" t="s">
        <v>112</v>
      </c>
      <c r="I29">
        <v>15</v>
      </c>
      <c r="J29">
        <v>25</v>
      </c>
      <c r="K29">
        <v>182045</v>
      </c>
      <c r="L29">
        <v>5</v>
      </c>
      <c r="M29" t="s">
        <v>21</v>
      </c>
      <c r="N29">
        <v>45</v>
      </c>
    </row>
    <row r="30" spans="1:14" x14ac:dyDescent="0.35">
      <c r="A30" t="s">
        <v>113</v>
      </c>
      <c r="B30" t="s">
        <v>40</v>
      </c>
      <c r="C30" t="s">
        <v>56</v>
      </c>
      <c r="D30" t="s">
        <v>25</v>
      </c>
      <c r="E30">
        <v>28</v>
      </c>
      <c r="F30" t="s">
        <v>18</v>
      </c>
      <c r="G30" t="s">
        <v>88</v>
      </c>
      <c r="H30" t="s">
        <v>114</v>
      </c>
      <c r="I30">
        <v>11</v>
      </c>
      <c r="J30">
        <v>21</v>
      </c>
      <c r="K30">
        <v>429973</v>
      </c>
      <c r="L30">
        <v>2.1</v>
      </c>
      <c r="M30" t="s">
        <v>43</v>
      </c>
      <c r="N30">
        <v>82</v>
      </c>
    </row>
    <row r="31" spans="1:14" x14ac:dyDescent="0.35">
      <c r="A31" t="s">
        <v>115</v>
      </c>
      <c r="B31" t="s">
        <v>96</v>
      </c>
      <c r="C31" t="s">
        <v>36</v>
      </c>
      <c r="D31" t="s">
        <v>17</v>
      </c>
      <c r="E31">
        <v>29</v>
      </c>
      <c r="F31" t="s">
        <v>79</v>
      </c>
      <c r="G31" t="s">
        <v>26</v>
      </c>
      <c r="H31" t="s">
        <v>116</v>
      </c>
      <c r="I31">
        <v>8</v>
      </c>
      <c r="J31">
        <v>15</v>
      </c>
      <c r="K31">
        <v>360137</v>
      </c>
      <c r="L31">
        <v>2.2999999999999998</v>
      </c>
      <c r="M31" t="s">
        <v>43</v>
      </c>
      <c r="N31">
        <v>99</v>
      </c>
    </row>
    <row r="32" spans="1:14" x14ac:dyDescent="0.35">
      <c r="A32" t="s">
        <v>117</v>
      </c>
      <c r="B32" t="s">
        <v>23</v>
      </c>
      <c r="C32" t="s">
        <v>49</v>
      </c>
      <c r="D32" t="s">
        <v>25</v>
      </c>
      <c r="E32">
        <v>47</v>
      </c>
      <c r="F32" t="s">
        <v>46</v>
      </c>
      <c r="G32" t="s">
        <v>32</v>
      </c>
      <c r="H32" t="s">
        <v>118</v>
      </c>
      <c r="I32">
        <v>10</v>
      </c>
      <c r="J32">
        <v>13</v>
      </c>
      <c r="K32">
        <v>88669</v>
      </c>
      <c r="L32">
        <v>4.5999999999999996</v>
      </c>
      <c r="M32" t="s">
        <v>43</v>
      </c>
      <c r="N32">
        <v>79</v>
      </c>
    </row>
    <row r="33" spans="1:14" x14ac:dyDescent="0.35">
      <c r="A33" t="s">
        <v>119</v>
      </c>
      <c r="B33" t="s">
        <v>96</v>
      </c>
      <c r="C33" t="s">
        <v>24</v>
      </c>
      <c r="D33" t="s">
        <v>25</v>
      </c>
      <c r="E33">
        <v>50</v>
      </c>
      <c r="F33" t="s">
        <v>31</v>
      </c>
      <c r="G33" t="s">
        <v>85</v>
      </c>
      <c r="H33" t="s">
        <v>120</v>
      </c>
      <c r="I33">
        <v>8</v>
      </c>
      <c r="J33">
        <v>9</v>
      </c>
      <c r="K33">
        <v>122281</v>
      </c>
      <c r="L33">
        <v>3.3</v>
      </c>
      <c r="M33" t="s">
        <v>21</v>
      </c>
      <c r="N33">
        <v>42</v>
      </c>
    </row>
    <row r="34" spans="1:14" x14ac:dyDescent="0.35">
      <c r="A34" t="s">
        <v>121</v>
      </c>
      <c r="B34" t="s">
        <v>55</v>
      </c>
      <c r="C34" t="s">
        <v>52</v>
      </c>
      <c r="D34" t="s">
        <v>25</v>
      </c>
      <c r="E34">
        <v>26</v>
      </c>
      <c r="F34" t="s">
        <v>18</v>
      </c>
      <c r="G34" t="s">
        <v>61</v>
      </c>
      <c r="H34" t="s">
        <v>122</v>
      </c>
      <c r="I34">
        <v>5</v>
      </c>
      <c r="J34">
        <v>5</v>
      </c>
      <c r="K34">
        <v>380373</v>
      </c>
      <c r="L34">
        <v>4.9000000000000004</v>
      </c>
      <c r="M34" t="s">
        <v>43</v>
      </c>
      <c r="N34">
        <v>73</v>
      </c>
    </row>
    <row r="35" spans="1:14" x14ac:dyDescent="0.35">
      <c r="A35" t="s">
        <v>123</v>
      </c>
      <c r="B35" t="s">
        <v>35</v>
      </c>
      <c r="C35" t="s">
        <v>24</v>
      </c>
      <c r="D35" t="s">
        <v>17</v>
      </c>
      <c r="E35">
        <v>23</v>
      </c>
      <c r="F35" t="s">
        <v>18</v>
      </c>
      <c r="G35" t="s">
        <v>57</v>
      </c>
      <c r="H35" t="s">
        <v>124</v>
      </c>
      <c r="I35">
        <v>16</v>
      </c>
      <c r="J35">
        <v>26</v>
      </c>
      <c r="K35">
        <v>136820</v>
      </c>
      <c r="L35">
        <v>5</v>
      </c>
      <c r="M35" t="s">
        <v>21</v>
      </c>
      <c r="N35">
        <v>57</v>
      </c>
    </row>
    <row r="36" spans="1:14" x14ac:dyDescent="0.35">
      <c r="A36" t="s">
        <v>125</v>
      </c>
      <c r="B36" t="s">
        <v>45</v>
      </c>
      <c r="C36" t="s">
        <v>36</v>
      </c>
      <c r="D36" t="s">
        <v>17</v>
      </c>
      <c r="E36">
        <v>50</v>
      </c>
      <c r="F36" t="s">
        <v>70</v>
      </c>
      <c r="G36" t="s">
        <v>88</v>
      </c>
      <c r="H36" t="s">
        <v>126</v>
      </c>
      <c r="I36">
        <v>3</v>
      </c>
      <c r="J36">
        <v>5</v>
      </c>
      <c r="K36">
        <v>234541</v>
      </c>
      <c r="L36">
        <v>4.5999999999999996</v>
      </c>
      <c r="M36" t="s">
        <v>21</v>
      </c>
      <c r="N36">
        <v>40</v>
      </c>
    </row>
    <row r="37" spans="1:14" x14ac:dyDescent="0.35">
      <c r="A37" t="s">
        <v>127</v>
      </c>
      <c r="B37" t="s">
        <v>40</v>
      </c>
      <c r="C37" t="s">
        <v>24</v>
      </c>
      <c r="D37" t="s">
        <v>25</v>
      </c>
      <c r="E37">
        <v>57</v>
      </c>
      <c r="F37" t="s">
        <v>18</v>
      </c>
      <c r="G37" t="s">
        <v>85</v>
      </c>
      <c r="H37" t="s">
        <v>128</v>
      </c>
      <c r="I37">
        <v>9</v>
      </c>
      <c r="J37">
        <v>13</v>
      </c>
      <c r="K37">
        <v>197341</v>
      </c>
      <c r="L37">
        <v>2.2999999999999998</v>
      </c>
      <c r="M37" t="s">
        <v>43</v>
      </c>
      <c r="N37">
        <v>74</v>
      </c>
    </row>
    <row r="38" spans="1:14" x14ac:dyDescent="0.35">
      <c r="A38" t="s">
        <v>129</v>
      </c>
      <c r="B38" t="s">
        <v>15</v>
      </c>
      <c r="C38" t="s">
        <v>64</v>
      </c>
      <c r="D38" t="s">
        <v>17</v>
      </c>
      <c r="E38">
        <v>43</v>
      </c>
      <c r="F38" t="s">
        <v>46</v>
      </c>
      <c r="G38" t="s">
        <v>41</v>
      </c>
      <c r="H38" t="s">
        <v>130</v>
      </c>
      <c r="I38">
        <v>12</v>
      </c>
      <c r="J38">
        <v>17</v>
      </c>
      <c r="K38">
        <v>302053</v>
      </c>
      <c r="L38">
        <v>3.2</v>
      </c>
      <c r="M38" t="s">
        <v>43</v>
      </c>
      <c r="N38">
        <v>97</v>
      </c>
    </row>
    <row r="39" spans="1:14" x14ac:dyDescent="0.35">
      <c r="A39" t="s">
        <v>131</v>
      </c>
      <c r="B39" t="s">
        <v>40</v>
      </c>
      <c r="C39" t="s">
        <v>49</v>
      </c>
      <c r="D39" t="s">
        <v>25</v>
      </c>
      <c r="E39">
        <v>54</v>
      </c>
      <c r="F39" t="s">
        <v>70</v>
      </c>
      <c r="G39" t="s">
        <v>75</v>
      </c>
      <c r="H39" t="s">
        <v>132</v>
      </c>
      <c r="I39">
        <v>13</v>
      </c>
      <c r="J39">
        <v>14</v>
      </c>
      <c r="K39">
        <v>238478</v>
      </c>
      <c r="L39">
        <v>3.9</v>
      </c>
      <c r="M39" t="s">
        <v>43</v>
      </c>
      <c r="N39">
        <v>73</v>
      </c>
    </row>
    <row r="40" spans="1:14" x14ac:dyDescent="0.35">
      <c r="A40" t="s">
        <v>133</v>
      </c>
      <c r="B40" t="s">
        <v>45</v>
      </c>
      <c r="C40" t="s">
        <v>64</v>
      </c>
      <c r="D40" t="s">
        <v>17</v>
      </c>
      <c r="E40">
        <v>29</v>
      </c>
      <c r="F40" t="s">
        <v>37</v>
      </c>
      <c r="G40" t="s">
        <v>88</v>
      </c>
      <c r="H40" t="s">
        <v>134</v>
      </c>
      <c r="I40">
        <v>13</v>
      </c>
      <c r="J40">
        <v>20</v>
      </c>
      <c r="K40">
        <v>81330</v>
      </c>
      <c r="L40">
        <v>4.0999999999999996</v>
      </c>
      <c r="M40" t="s">
        <v>21</v>
      </c>
      <c r="N40">
        <v>32</v>
      </c>
    </row>
    <row r="41" spans="1:14" x14ac:dyDescent="0.35">
      <c r="A41" t="s">
        <v>135</v>
      </c>
      <c r="B41" t="s">
        <v>45</v>
      </c>
      <c r="C41" t="s">
        <v>56</v>
      </c>
      <c r="D41" t="s">
        <v>17</v>
      </c>
      <c r="E41">
        <v>58</v>
      </c>
      <c r="F41" t="s">
        <v>74</v>
      </c>
      <c r="G41" t="s">
        <v>85</v>
      </c>
      <c r="H41" t="s">
        <v>136</v>
      </c>
      <c r="I41">
        <v>7</v>
      </c>
      <c r="J41">
        <v>10</v>
      </c>
      <c r="K41">
        <v>421592</v>
      </c>
      <c r="L41">
        <v>2.2999999999999998</v>
      </c>
      <c r="M41" t="s">
        <v>43</v>
      </c>
      <c r="N41">
        <v>84</v>
      </c>
    </row>
    <row r="42" spans="1:14" x14ac:dyDescent="0.35">
      <c r="A42" t="s">
        <v>137</v>
      </c>
      <c r="B42" t="s">
        <v>15</v>
      </c>
      <c r="C42" t="s">
        <v>93</v>
      </c>
      <c r="D42" t="s">
        <v>25</v>
      </c>
      <c r="E42">
        <v>27</v>
      </c>
      <c r="F42" t="s">
        <v>37</v>
      </c>
      <c r="G42" t="s">
        <v>32</v>
      </c>
      <c r="H42" t="s">
        <v>138</v>
      </c>
      <c r="I42">
        <v>3</v>
      </c>
      <c r="J42">
        <v>12</v>
      </c>
      <c r="K42">
        <v>111108</v>
      </c>
      <c r="L42">
        <v>3.3</v>
      </c>
      <c r="M42" t="s">
        <v>43</v>
      </c>
      <c r="N42">
        <v>94</v>
      </c>
    </row>
    <row r="43" spans="1:14" x14ac:dyDescent="0.35">
      <c r="A43" t="s">
        <v>139</v>
      </c>
      <c r="B43" t="s">
        <v>45</v>
      </c>
      <c r="C43" t="s">
        <v>82</v>
      </c>
      <c r="D43" t="s">
        <v>17</v>
      </c>
      <c r="E43">
        <v>46</v>
      </c>
      <c r="F43" t="s">
        <v>70</v>
      </c>
      <c r="G43" t="s">
        <v>57</v>
      </c>
      <c r="H43" t="s">
        <v>140</v>
      </c>
      <c r="I43">
        <v>14</v>
      </c>
      <c r="J43">
        <v>24</v>
      </c>
      <c r="K43">
        <v>181880</v>
      </c>
      <c r="L43">
        <v>3.7</v>
      </c>
      <c r="M43" t="s">
        <v>21</v>
      </c>
      <c r="N43">
        <v>32</v>
      </c>
    </row>
    <row r="44" spans="1:14" x14ac:dyDescent="0.35">
      <c r="A44" t="s">
        <v>141</v>
      </c>
      <c r="B44" t="s">
        <v>111</v>
      </c>
      <c r="C44" t="s">
        <v>30</v>
      </c>
      <c r="D44" t="s">
        <v>17</v>
      </c>
      <c r="E44">
        <v>42</v>
      </c>
      <c r="F44" t="s">
        <v>70</v>
      </c>
      <c r="G44" t="s">
        <v>85</v>
      </c>
      <c r="H44" t="s">
        <v>142</v>
      </c>
      <c r="I44">
        <v>11</v>
      </c>
      <c r="J44">
        <v>20</v>
      </c>
      <c r="K44">
        <v>289412</v>
      </c>
      <c r="L44">
        <v>4.4000000000000004</v>
      </c>
      <c r="M44" t="s">
        <v>43</v>
      </c>
      <c r="N44">
        <v>88</v>
      </c>
    </row>
    <row r="45" spans="1:14" x14ac:dyDescent="0.35">
      <c r="A45" t="s">
        <v>143</v>
      </c>
      <c r="B45" t="s">
        <v>69</v>
      </c>
      <c r="C45" t="s">
        <v>36</v>
      </c>
      <c r="D45" t="s">
        <v>25</v>
      </c>
      <c r="E45">
        <v>27</v>
      </c>
      <c r="F45" t="s">
        <v>18</v>
      </c>
      <c r="G45" t="s">
        <v>85</v>
      </c>
      <c r="H45" t="s">
        <v>144</v>
      </c>
      <c r="I45">
        <v>11</v>
      </c>
      <c r="J45">
        <v>12</v>
      </c>
      <c r="K45">
        <v>105033</v>
      </c>
      <c r="L45">
        <v>4.9000000000000004</v>
      </c>
      <c r="M45" t="s">
        <v>21</v>
      </c>
      <c r="N45">
        <v>64</v>
      </c>
    </row>
    <row r="46" spans="1:14" x14ac:dyDescent="0.35">
      <c r="A46" t="s">
        <v>145</v>
      </c>
      <c r="B46" t="s">
        <v>60</v>
      </c>
      <c r="C46" t="s">
        <v>49</v>
      </c>
      <c r="D46" t="s">
        <v>25</v>
      </c>
      <c r="E46">
        <v>25</v>
      </c>
      <c r="F46" t="s">
        <v>74</v>
      </c>
      <c r="G46" t="s">
        <v>26</v>
      </c>
      <c r="H46" t="s">
        <v>146</v>
      </c>
      <c r="I46">
        <v>1</v>
      </c>
      <c r="J46">
        <v>2</v>
      </c>
      <c r="K46">
        <v>117159</v>
      </c>
      <c r="L46">
        <v>3.5</v>
      </c>
      <c r="M46" t="s">
        <v>43</v>
      </c>
      <c r="N46">
        <v>84</v>
      </c>
    </row>
    <row r="47" spans="1:14" x14ac:dyDescent="0.35">
      <c r="A47" t="s">
        <v>147</v>
      </c>
      <c r="B47" t="s">
        <v>60</v>
      </c>
      <c r="C47" t="s">
        <v>49</v>
      </c>
      <c r="D47" t="s">
        <v>25</v>
      </c>
      <c r="E47">
        <v>23</v>
      </c>
      <c r="F47" t="s">
        <v>46</v>
      </c>
      <c r="G47" t="s">
        <v>41</v>
      </c>
      <c r="H47" t="s">
        <v>148</v>
      </c>
      <c r="I47">
        <v>15</v>
      </c>
      <c r="J47">
        <v>18</v>
      </c>
      <c r="K47">
        <v>102693</v>
      </c>
      <c r="L47">
        <v>4.5</v>
      </c>
      <c r="M47" t="s">
        <v>21</v>
      </c>
      <c r="N47">
        <v>30</v>
      </c>
    </row>
    <row r="48" spans="1:14" x14ac:dyDescent="0.35">
      <c r="A48" t="s">
        <v>149</v>
      </c>
      <c r="B48" t="s">
        <v>35</v>
      </c>
      <c r="C48" t="s">
        <v>36</v>
      </c>
      <c r="D48" t="s">
        <v>17</v>
      </c>
      <c r="E48">
        <v>60</v>
      </c>
      <c r="F48" t="s">
        <v>74</v>
      </c>
      <c r="G48" t="s">
        <v>85</v>
      </c>
      <c r="H48" t="s">
        <v>150</v>
      </c>
      <c r="I48">
        <v>5</v>
      </c>
      <c r="J48">
        <v>10</v>
      </c>
      <c r="K48">
        <v>120596</v>
      </c>
      <c r="L48">
        <v>2.2999999999999998</v>
      </c>
      <c r="M48" t="s">
        <v>43</v>
      </c>
      <c r="N48">
        <v>93</v>
      </c>
    </row>
    <row r="49" spans="1:14" x14ac:dyDescent="0.35">
      <c r="A49" t="s">
        <v>151</v>
      </c>
      <c r="B49" t="s">
        <v>35</v>
      </c>
      <c r="C49" t="s">
        <v>24</v>
      </c>
      <c r="D49" t="s">
        <v>17</v>
      </c>
      <c r="E49">
        <v>37</v>
      </c>
      <c r="F49" t="s">
        <v>70</v>
      </c>
      <c r="G49" t="s">
        <v>75</v>
      </c>
      <c r="H49" t="s">
        <v>152</v>
      </c>
      <c r="I49">
        <v>8</v>
      </c>
      <c r="J49">
        <v>17</v>
      </c>
      <c r="K49">
        <v>311750</v>
      </c>
      <c r="L49">
        <v>4.8</v>
      </c>
      <c r="M49" t="s">
        <v>43</v>
      </c>
      <c r="N49">
        <v>95</v>
      </c>
    </row>
    <row r="50" spans="1:14" x14ac:dyDescent="0.35">
      <c r="A50" t="s">
        <v>153</v>
      </c>
      <c r="B50" t="s">
        <v>29</v>
      </c>
      <c r="C50" t="s">
        <v>16</v>
      </c>
      <c r="D50" t="s">
        <v>25</v>
      </c>
      <c r="E50">
        <v>50</v>
      </c>
      <c r="F50" t="s">
        <v>70</v>
      </c>
      <c r="G50" t="s">
        <v>61</v>
      </c>
      <c r="H50" t="s">
        <v>154</v>
      </c>
      <c r="I50">
        <v>17</v>
      </c>
      <c r="J50">
        <v>18</v>
      </c>
      <c r="K50">
        <v>464305</v>
      </c>
      <c r="L50">
        <v>2</v>
      </c>
      <c r="M50" t="s">
        <v>43</v>
      </c>
      <c r="N50">
        <v>100</v>
      </c>
    </row>
    <row r="51" spans="1:14" x14ac:dyDescent="0.35">
      <c r="A51" t="s">
        <v>155</v>
      </c>
      <c r="B51" t="s">
        <v>55</v>
      </c>
      <c r="C51" t="s">
        <v>24</v>
      </c>
      <c r="D51" t="s">
        <v>17</v>
      </c>
      <c r="E51">
        <v>25</v>
      </c>
      <c r="F51" t="s">
        <v>46</v>
      </c>
      <c r="G51" t="s">
        <v>71</v>
      </c>
      <c r="H51" t="s">
        <v>156</v>
      </c>
      <c r="I51">
        <v>16</v>
      </c>
      <c r="J51">
        <v>21</v>
      </c>
      <c r="K51">
        <v>436779</v>
      </c>
      <c r="L51">
        <v>3.4</v>
      </c>
      <c r="M51" t="s">
        <v>43</v>
      </c>
      <c r="N51">
        <v>99</v>
      </c>
    </row>
    <row r="52" spans="1:14" x14ac:dyDescent="0.35">
      <c r="A52" t="s">
        <v>157</v>
      </c>
      <c r="B52" t="s">
        <v>78</v>
      </c>
      <c r="C52" t="s">
        <v>93</v>
      </c>
      <c r="D52" t="s">
        <v>25</v>
      </c>
      <c r="E52">
        <v>34</v>
      </c>
      <c r="F52" t="s">
        <v>79</v>
      </c>
      <c r="G52" t="s">
        <v>26</v>
      </c>
      <c r="H52" t="s">
        <v>158</v>
      </c>
      <c r="I52">
        <v>0</v>
      </c>
      <c r="J52">
        <v>2</v>
      </c>
      <c r="K52">
        <v>297577</v>
      </c>
      <c r="L52">
        <v>3.6</v>
      </c>
      <c r="M52" t="s">
        <v>43</v>
      </c>
      <c r="N52">
        <v>100</v>
      </c>
    </row>
    <row r="53" spans="1:14" x14ac:dyDescent="0.35">
      <c r="A53" t="s">
        <v>159</v>
      </c>
      <c r="B53" t="s">
        <v>23</v>
      </c>
      <c r="C53" t="s">
        <v>64</v>
      </c>
      <c r="D53" t="s">
        <v>25</v>
      </c>
      <c r="E53">
        <v>55</v>
      </c>
      <c r="F53" t="s">
        <v>18</v>
      </c>
      <c r="G53" t="s">
        <v>57</v>
      </c>
      <c r="H53" t="s">
        <v>160</v>
      </c>
      <c r="I53">
        <v>13</v>
      </c>
      <c r="J53">
        <v>14</v>
      </c>
      <c r="K53">
        <v>383983</v>
      </c>
      <c r="L53">
        <v>4.8</v>
      </c>
      <c r="M53" t="s">
        <v>21</v>
      </c>
      <c r="N53">
        <v>67</v>
      </c>
    </row>
    <row r="54" spans="1:14" x14ac:dyDescent="0.35">
      <c r="A54" t="s">
        <v>161</v>
      </c>
      <c r="B54" t="s">
        <v>60</v>
      </c>
      <c r="C54" t="s">
        <v>30</v>
      </c>
      <c r="D54" t="s">
        <v>17</v>
      </c>
      <c r="E54">
        <v>46</v>
      </c>
      <c r="F54" t="s">
        <v>70</v>
      </c>
      <c r="G54" t="s">
        <v>32</v>
      </c>
      <c r="H54" t="s">
        <v>162</v>
      </c>
      <c r="I54">
        <v>4</v>
      </c>
      <c r="J54">
        <v>5</v>
      </c>
      <c r="K54">
        <v>324413</v>
      </c>
      <c r="L54">
        <v>2</v>
      </c>
      <c r="M54" t="s">
        <v>21</v>
      </c>
      <c r="N54">
        <v>61</v>
      </c>
    </row>
    <row r="55" spans="1:14" x14ac:dyDescent="0.35">
      <c r="A55" t="s">
        <v>163</v>
      </c>
      <c r="B55" t="s">
        <v>78</v>
      </c>
      <c r="C55" t="s">
        <v>24</v>
      </c>
      <c r="D55" t="s">
        <v>25</v>
      </c>
      <c r="E55">
        <v>32</v>
      </c>
      <c r="F55" t="s">
        <v>74</v>
      </c>
      <c r="G55" t="s">
        <v>75</v>
      </c>
      <c r="H55" t="s">
        <v>164</v>
      </c>
      <c r="I55">
        <v>8</v>
      </c>
      <c r="J55">
        <v>16</v>
      </c>
      <c r="K55">
        <v>269874</v>
      </c>
      <c r="L55">
        <v>4.8</v>
      </c>
      <c r="M55" t="s">
        <v>21</v>
      </c>
      <c r="N55">
        <v>47</v>
      </c>
    </row>
    <row r="56" spans="1:14" x14ac:dyDescent="0.35">
      <c r="A56" t="s">
        <v>165</v>
      </c>
      <c r="B56" t="s">
        <v>35</v>
      </c>
      <c r="C56" t="s">
        <v>49</v>
      </c>
      <c r="D56" t="s">
        <v>17</v>
      </c>
      <c r="E56">
        <v>26</v>
      </c>
      <c r="F56" t="s">
        <v>79</v>
      </c>
      <c r="G56" t="s">
        <v>61</v>
      </c>
      <c r="H56" t="s">
        <v>166</v>
      </c>
      <c r="I56">
        <v>18</v>
      </c>
      <c r="J56">
        <v>28</v>
      </c>
      <c r="K56">
        <v>462622</v>
      </c>
      <c r="L56">
        <v>3.7</v>
      </c>
      <c r="M56" t="s">
        <v>21</v>
      </c>
      <c r="N56">
        <v>65</v>
      </c>
    </row>
    <row r="57" spans="1:14" x14ac:dyDescent="0.35">
      <c r="A57" t="s">
        <v>167</v>
      </c>
      <c r="B57" t="s">
        <v>35</v>
      </c>
      <c r="C57" t="s">
        <v>16</v>
      </c>
      <c r="D57" t="s">
        <v>25</v>
      </c>
      <c r="E57">
        <v>28</v>
      </c>
      <c r="F57" t="s">
        <v>74</v>
      </c>
      <c r="G57" t="s">
        <v>75</v>
      </c>
      <c r="H57" t="s">
        <v>168</v>
      </c>
      <c r="I57">
        <v>2</v>
      </c>
      <c r="J57">
        <v>2</v>
      </c>
      <c r="K57">
        <v>236596</v>
      </c>
      <c r="L57">
        <v>4.8</v>
      </c>
      <c r="M57" t="s">
        <v>43</v>
      </c>
      <c r="N57">
        <v>75</v>
      </c>
    </row>
    <row r="58" spans="1:14" x14ac:dyDescent="0.35">
      <c r="A58" t="s">
        <v>169</v>
      </c>
      <c r="B58" t="s">
        <v>96</v>
      </c>
      <c r="C58" t="s">
        <v>56</v>
      </c>
      <c r="D58" t="s">
        <v>25</v>
      </c>
      <c r="E58">
        <v>32</v>
      </c>
      <c r="F58" t="s">
        <v>46</v>
      </c>
      <c r="G58" t="s">
        <v>85</v>
      </c>
      <c r="H58" t="s">
        <v>170</v>
      </c>
      <c r="I58">
        <v>14</v>
      </c>
      <c r="J58">
        <v>21</v>
      </c>
      <c r="K58">
        <v>157410</v>
      </c>
      <c r="L58">
        <v>3.1</v>
      </c>
      <c r="M58" t="s">
        <v>21</v>
      </c>
      <c r="N58">
        <v>34</v>
      </c>
    </row>
    <row r="59" spans="1:14" x14ac:dyDescent="0.35">
      <c r="A59" t="s">
        <v>171</v>
      </c>
      <c r="B59" t="s">
        <v>15</v>
      </c>
      <c r="C59" t="s">
        <v>36</v>
      </c>
      <c r="D59" t="s">
        <v>17</v>
      </c>
      <c r="E59">
        <v>60</v>
      </c>
      <c r="F59" t="s">
        <v>74</v>
      </c>
      <c r="G59" t="s">
        <v>19</v>
      </c>
      <c r="H59" t="s">
        <v>172</v>
      </c>
      <c r="I59">
        <v>2</v>
      </c>
      <c r="J59">
        <v>2</v>
      </c>
      <c r="K59">
        <v>484433</v>
      </c>
      <c r="L59">
        <v>5</v>
      </c>
      <c r="M59" t="s">
        <v>43</v>
      </c>
      <c r="N59">
        <v>84</v>
      </c>
    </row>
    <row r="60" spans="1:14" x14ac:dyDescent="0.35">
      <c r="A60" t="s">
        <v>173</v>
      </c>
      <c r="B60" t="s">
        <v>29</v>
      </c>
      <c r="C60" t="s">
        <v>52</v>
      </c>
      <c r="D60" t="s">
        <v>17</v>
      </c>
      <c r="E60">
        <v>26</v>
      </c>
      <c r="F60" t="s">
        <v>18</v>
      </c>
      <c r="G60" t="s">
        <v>19</v>
      </c>
      <c r="H60" t="s">
        <v>174</v>
      </c>
      <c r="I60">
        <v>6</v>
      </c>
      <c r="J60">
        <v>7</v>
      </c>
      <c r="K60">
        <v>432516</v>
      </c>
      <c r="L60">
        <v>3.5</v>
      </c>
      <c r="M60" t="s">
        <v>43</v>
      </c>
      <c r="N60">
        <v>76</v>
      </c>
    </row>
    <row r="61" spans="1:14" x14ac:dyDescent="0.35">
      <c r="A61" t="s">
        <v>175</v>
      </c>
      <c r="B61" t="s">
        <v>15</v>
      </c>
      <c r="C61" t="s">
        <v>36</v>
      </c>
      <c r="D61" t="s">
        <v>17</v>
      </c>
      <c r="E61">
        <v>31</v>
      </c>
      <c r="F61" t="s">
        <v>70</v>
      </c>
      <c r="G61" t="s">
        <v>41</v>
      </c>
      <c r="H61" t="s">
        <v>176</v>
      </c>
      <c r="I61">
        <v>3</v>
      </c>
      <c r="J61">
        <v>5</v>
      </c>
      <c r="K61">
        <v>420100</v>
      </c>
      <c r="L61">
        <v>3.5</v>
      </c>
      <c r="M61" t="s">
        <v>43</v>
      </c>
      <c r="N61">
        <v>72</v>
      </c>
    </row>
    <row r="62" spans="1:14" x14ac:dyDescent="0.35">
      <c r="A62" t="s">
        <v>177</v>
      </c>
      <c r="B62" t="s">
        <v>29</v>
      </c>
      <c r="C62" t="s">
        <v>56</v>
      </c>
      <c r="D62" t="s">
        <v>25</v>
      </c>
      <c r="E62">
        <v>40</v>
      </c>
      <c r="F62" t="s">
        <v>31</v>
      </c>
      <c r="G62" t="s">
        <v>71</v>
      </c>
      <c r="H62" t="s">
        <v>178</v>
      </c>
      <c r="I62">
        <v>14</v>
      </c>
      <c r="J62">
        <v>19</v>
      </c>
      <c r="K62">
        <v>348308</v>
      </c>
      <c r="L62">
        <v>3.2</v>
      </c>
      <c r="M62" t="s">
        <v>43</v>
      </c>
      <c r="N62">
        <v>85</v>
      </c>
    </row>
    <row r="63" spans="1:14" x14ac:dyDescent="0.35">
      <c r="A63" t="s">
        <v>179</v>
      </c>
      <c r="B63" t="s">
        <v>40</v>
      </c>
      <c r="C63" t="s">
        <v>16</v>
      </c>
      <c r="D63" t="s">
        <v>25</v>
      </c>
      <c r="E63">
        <v>44</v>
      </c>
      <c r="F63" t="s">
        <v>79</v>
      </c>
      <c r="G63" t="s">
        <v>26</v>
      </c>
      <c r="H63" t="s">
        <v>180</v>
      </c>
      <c r="I63">
        <v>1</v>
      </c>
      <c r="J63">
        <v>1</v>
      </c>
      <c r="K63">
        <v>392671</v>
      </c>
      <c r="L63">
        <v>4</v>
      </c>
      <c r="M63" t="s">
        <v>21</v>
      </c>
      <c r="N63">
        <v>54</v>
      </c>
    </row>
    <row r="64" spans="1:14" x14ac:dyDescent="0.35">
      <c r="A64" t="s">
        <v>181</v>
      </c>
      <c r="B64" t="s">
        <v>15</v>
      </c>
      <c r="C64" t="s">
        <v>36</v>
      </c>
      <c r="D64" t="s">
        <v>25</v>
      </c>
      <c r="E64">
        <v>59</v>
      </c>
      <c r="F64" t="s">
        <v>79</v>
      </c>
      <c r="G64" t="s">
        <v>85</v>
      </c>
      <c r="H64" t="s">
        <v>182</v>
      </c>
      <c r="I64">
        <v>15</v>
      </c>
      <c r="J64">
        <v>17</v>
      </c>
      <c r="K64">
        <v>162271</v>
      </c>
      <c r="L64">
        <v>4</v>
      </c>
      <c r="M64" t="s">
        <v>21</v>
      </c>
      <c r="N64">
        <v>32</v>
      </c>
    </row>
    <row r="65" spans="1:14" x14ac:dyDescent="0.35">
      <c r="A65" t="s">
        <v>183</v>
      </c>
      <c r="B65" t="s">
        <v>40</v>
      </c>
      <c r="C65" t="s">
        <v>82</v>
      </c>
      <c r="D65" t="s">
        <v>17</v>
      </c>
      <c r="E65">
        <v>39</v>
      </c>
      <c r="F65" t="s">
        <v>74</v>
      </c>
      <c r="G65" t="s">
        <v>75</v>
      </c>
      <c r="H65" t="s">
        <v>184</v>
      </c>
      <c r="I65">
        <v>10</v>
      </c>
      <c r="J65">
        <v>14</v>
      </c>
      <c r="K65">
        <v>335115</v>
      </c>
      <c r="L65">
        <v>2.1</v>
      </c>
      <c r="M65" t="s">
        <v>43</v>
      </c>
      <c r="N65">
        <v>83</v>
      </c>
    </row>
    <row r="66" spans="1:14" x14ac:dyDescent="0.35">
      <c r="A66" t="s">
        <v>185</v>
      </c>
      <c r="B66" t="s">
        <v>15</v>
      </c>
      <c r="C66" t="s">
        <v>93</v>
      </c>
      <c r="D66" t="s">
        <v>17</v>
      </c>
      <c r="E66">
        <v>40</v>
      </c>
      <c r="F66" t="s">
        <v>74</v>
      </c>
      <c r="G66" t="s">
        <v>57</v>
      </c>
      <c r="H66" t="s">
        <v>186</v>
      </c>
      <c r="I66">
        <v>6</v>
      </c>
      <c r="J66">
        <v>6</v>
      </c>
      <c r="K66">
        <v>298322</v>
      </c>
      <c r="L66">
        <v>3.3</v>
      </c>
      <c r="M66" t="s">
        <v>21</v>
      </c>
      <c r="N66">
        <v>41</v>
      </c>
    </row>
    <row r="67" spans="1:14" x14ac:dyDescent="0.35">
      <c r="A67" t="s">
        <v>187</v>
      </c>
      <c r="B67" t="s">
        <v>55</v>
      </c>
      <c r="C67" t="s">
        <v>16</v>
      </c>
      <c r="D67" t="s">
        <v>25</v>
      </c>
      <c r="E67">
        <v>31</v>
      </c>
      <c r="F67" t="s">
        <v>46</v>
      </c>
      <c r="G67" t="s">
        <v>88</v>
      </c>
      <c r="H67" t="s">
        <v>188</v>
      </c>
      <c r="I67">
        <v>12</v>
      </c>
      <c r="J67">
        <v>18</v>
      </c>
      <c r="K67">
        <v>384071</v>
      </c>
      <c r="L67">
        <v>4.2</v>
      </c>
      <c r="M67" t="s">
        <v>43</v>
      </c>
      <c r="N67">
        <v>74</v>
      </c>
    </row>
    <row r="68" spans="1:14" x14ac:dyDescent="0.35">
      <c r="A68" t="s">
        <v>189</v>
      </c>
      <c r="B68" t="s">
        <v>111</v>
      </c>
      <c r="C68" t="s">
        <v>36</v>
      </c>
      <c r="D68" t="s">
        <v>25</v>
      </c>
      <c r="E68">
        <v>23</v>
      </c>
      <c r="F68" t="s">
        <v>70</v>
      </c>
      <c r="G68" t="s">
        <v>71</v>
      </c>
      <c r="H68" t="s">
        <v>190</v>
      </c>
      <c r="I68">
        <v>17</v>
      </c>
      <c r="J68">
        <v>20</v>
      </c>
      <c r="K68">
        <v>102615</v>
      </c>
      <c r="L68">
        <v>3.6</v>
      </c>
      <c r="M68" t="s">
        <v>43</v>
      </c>
      <c r="N68">
        <v>85</v>
      </c>
    </row>
    <row r="69" spans="1:14" x14ac:dyDescent="0.35">
      <c r="A69" t="s">
        <v>191</v>
      </c>
      <c r="B69" t="s">
        <v>60</v>
      </c>
      <c r="C69" t="s">
        <v>49</v>
      </c>
      <c r="D69" t="s">
        <v>25</v>
      </c>
      <c r="E69">
        <v>25</v>
      </c>
      <c r="F69" t="s">
        <v>74</v>
      </c>
      <c r="G69" t="s">
        <v>32</v>
      </c>
      <c r="H69" t="s">
        <v>192</v>
      </c>
      <c r="I69">
        <v>8</v>
      </c>
      <c r="J69">
        <v>15</v>
      </c>
      <c r="K69">
        <v>97272</v>
      </c>
      <c r="L69">
        <v>2.4</v>
      </c>
      <c r="M69" t="s">
        <v>21</v>
      </c>
      <c r="N69">
        <v>59</v>
      </c>
    </row>
    <row r="70" spans="1:14" x14ac:dyDescent="0.35">
      <c r="A70" t="s">
        <v>193</v>
      </c>
      <c r="B70" t="s">
        <v>78</v>
      </c>
      <c r="C70" t="s">
        <v>36</v>
      </c>
      <c r="D70" t="s">
        <v>25</v>
      </c>
      <c r="E70">
        <v>46</v>
      </c>
      <c r="F70" t="s">
        <v>74</v>
      </c>
      <c r="G70" t="s">
        <v>41</v>
      </c>
      <c r="H70" t="s">
        <v>194</v>
      </c>
      <c r="I70">
        <v>8</v>
      </c>
      <c r="J70">
        <v>8</v>
      </c>
      <c r="K70">
        <v>258370</v>
      </c>
      <c r="L70">
        <v>3.5</v>
      </c>
      <c r="M70" t="s">
        <v>43</v>
      </c>
      <c r="N70">
        <v>94</v>
      </c>
    </row>
    <row r="71" spans="1:14" x14ac:dyDescent="0.35">
      <c r="A71" t="s">
        <v>195</v>
      </c>
      <c r="B71" t="s">
        <v>111</v>
      </c>
      <c r="C71" t="s">
        <v>24</v>
      </c>
      <c r="D71" t="s">
        <v>17</v>
      </c>
      <c r="E71">
        <v>45</v>
      </c>
      <c r="F71" t="s">
        <v>70</v>
      </c>
      <c r="G71" t="s">
        <v>71</v>
      </c>
      <c r="H71" t="s">
        <v>196</v>
      </c>
      <c r="I71">
        <v>17</v>
      </c>
      <c r="J71">
        <v>20</v>
      </c>
      <c r="K71">
        <v>234383</v>
      </c>
      <c r="L71">
        <v>2.5</v>
      </c>
      <c r="M71" t="s">
        <v>43</v>
      </c>
      <c r="N71">
        <v>81</v>
      </c>
    </row>
    <row r="72" spans="1:14" x14ac:dyDescent="0.35">
      <c r="A72" t="s">
        <v>197</v>
      </c>
      <c r="B72" t="s">
        <v>111</v>
      </c>
      <c r="C72" t="s">
        <v>30</v>
      </c>
      <c r="D72" t="s">
        <v>17</v>
      </c>
      <c r="E72">
        <v>30</v>
      </c>
      <c r="F72" t="s">
        <v>37</v>
      </c>
      <c r="G72" t="s">
        <v>71</v>
      </c>
      <c r="H72" t="s">
        <v>198</v>
      </c>
      <c r="I72">
        <v>15</v>
      </c>
      <c r="J72">
        <v>25</v>
      </c>
      <c r="K72">
        <v>156521</v>
      </c>
      <c r="L72">
        <v>4.0999999999999996</v>
      </c>
      <c r="M72" t="s">
        <v>43</v>
      </c>
      <c r="N72">
        <v>75</v>
      </c>
    </row>
    <row r="73" spans="1:14" x14ac:dyDescent="0.35">
      <c r="A73" t="s">
        <v>199</v>
      </c>
      <c r="B73" t="s">
        <v>111</v>
      </c>
      <c r="C73" t="s">
        <v>49</v>
      </c>
      <c r="D73" t="s">
        <v>25</v>
      </c>
      <c r="E73">
        <v>31</v>
      </c>
      <c r="F73" t="s">
        <v>74</v>
      </c>
      <c r="G73" t="s">
        <v>57</v>
      </c>
      <c r="H73" t="s">
        <v>200</v>
      </c>
      <c r="I73">
        <v>20</v>
      </c>
      <c r="J73">
        <v>22</v>
      </c>
      <c r="K73">
        <v>261854</v>
      </c>
      <c r="L73">
        <v>3.8</v>
      </c>
      <c r="M73" t="s">
        <v>21</v>
      </c>
      <c r="N73">
        <v>63</v>
      </c>
    </row>
    <row r="74" spans="1:14" x14ac:dyDescent="0.35">
      <c r="A74" t="s">
        <v>201</v>
      </c>
      <c r="B74" t="s">
        <v>69</v>
      </c>
      <c r="C74" t="s">
        <v>64</v>
      </c>
      <c r="D74" t="s">
        <v>25</v>
      </c>
      <c r="E74">
        <v>50</v>
      </c>
      <c r="F74" t="s">
        <v>18</v>
      </c>
      <c r="G74" t="s">
        <v>61</v>
      </c>
      <c r="H74" t="s">
        <v>202</v>
      </c>
      <c r="I74">
        <v>17</v>
      </c>
      <c r="J74">
        <v>19</v>
      </c>
      <c r="K74">
        <v>449379</v>
      </c>
      <c r="L74">
        <v>2.9</v>
      </c>
      <c r="M74" t="s">
        <v>21</v>
      </c>
      <c r="N74">
        <v>69</v>
      </c>
    </row>
    <row r="75" spans="1:14" x14ac:dyDescent="0.35">
      <c r="A75" t="s">
        <v>203</v>
      </c>
      <c r="B75" t="s">
        <v>78</v>
      </c>
      <c r="C75" t="s">
        <v>30</v>
      </c>
      <c r="D75" t="s">
        <v>25</v>
      </c>
      <c r="E75">
        <v>35</v>
      </c>
      <c r="F75" t="s">
        <v>79</v>
      </c>
      <c r="G75" t="s">
        <v>75</v>
      </c>
      <c r="H75" t="s">
        <v>204</v>
      </c>
      <c r="I75">
        <v>9</v>
      </c>
      <c r="J75">
        <v>13</v>
      </c>
      <c r="K75">
        <v>122714</v>
      </c>
      <c r="L75">
        <v>4</v>
      </c>
      <c r="M75" t="s">
        <v>21</v>
      </c>
      <c r="N75">
        <v>59</v>
      </c>
    </row>
    <row r="76" spans="1:14" x14ac:dyDescent="0.35">
      <c r="A76" t="s">
        <v>205</v>
      </c>
      <c r="B76" t="s">
        <v>111</v>
      </c>
      <c r="C76" t="s">
        <v>56</v>
      </c>
      <c r="D76" t="s">
        <v>17</v>
      </c>
      <c r="E76">
        <v>56</v>
      </c>
      <c r="F76" t="s">
        <v>37</v>
      </c>
      <c r="G76" t="s">
        <v>32</v>
      </c>
      <c r="H76" t="s">
        <v>206</v>
      </c>
      <c r="I76">
        <v>3</v>
      </c>
      <c r="J76">
        <v>9</v>
      </c>
      <c r="K76">
        <v>230173</v>
      </c>
      <c r="L76">
        <v>2.2999999999999998</v>
      </c>
      <c r="M76" t="s">
        <v>21</v>
      </c>
      <c r="N76">
        <v>51</v>
      </c>
    </row>
    <row r="77" spans="1:14" x14ac:dyDescent="0.35">
      <c r="A77" t="s">
        <v>207</v>
      </c>
      <c r="B77" t="s">
        <v>96</v>
      </c>
      <c r="C77" t="s">
        <v>82</v>
      </c>
      <c r="D77" t="s">
        <v>25</v>
      </c>
      <c r="E77">
        <v>38</v>
      </c>
      <c r="F77" t="s">
        <v>18</v>
      </c>
      <c r="G77" t="s">
        <v>32</v>
      </c>
      <c r="H77" t="s">
        <v>208</v>
      </c>
      <c r="I77">
        <v>2</v>
      </c>
      <c r="J77">
        <v>5</v>
      </c>
      <c r="K77">
        <v>137600</v>
      </c>
      <c r="L77">
        <v>3.9</v>
      </c>
      <c r="M77" t="s">
        <v>21</v>
      </c>
      <c r="N77">
        <v>32</v>
      </c>
    </row>
    <row r="78" spans="1:14" x14ac:dyDescent="0.35">
      <c r="A78" t="s">
        <v>209</v>
      </c>
      <c r="B78" t="s">
        <v>96</v>
      </c>
      <c r="C78" t="s">
        <v>49</v>
      </c>
      <c r="D78" t="s">
        <v>17</v>
      </c>
      <c r="E78">
        <v>49</v>
      </c>
      <c r="F78" t="s">
        <v>18</v>
      </c>
      <c r="G78" t="s">
        <v>61</v>
      </c>
      <c r="H78" t="s">
        <v>210</v>
      </c>
      <c r="I78">
        <v>17</v>
      </c>
      <c r="J78">
        <v>23</v>
      </c>
      <c r="K78">
        <v>297678</v>
      </c>
      <c r="L78">
        <v>2.7</v>
      </c>
      <c r="M78" t="s">
        <v>21</v>
      </c>
      <c r="N78">
        <v>61</v>
      </c>
    </row>
    <row r="79" spans="1:14" x14ac:dyDescent="0.35">
      <c r="A79" t="s">
        <v>211</v>
      </c>
      <c r="B79" t="s">
        <v>29</v>
      </c>
      <c r="C79" t="s">
        <v>56</v>
      </c>
      <c r="D79" t="s">
        <v>25</v>
      </c>
      <c r="E79">
        <v>54</v>
      </c>
      <c r="F79" t="s">
        <v>18</v>
      </c>
      <c r="G79" t="s">
        <v>32</v>
      </c>
      <c r="H79" t="s">
        <v>212</v>
      </c>
      <c r="I79">
        <v>0</v>
      </c>
      <c r="J79">
        <v>7</v>
      </c>
      <c r="K79">
        <v>196114</v>
      </c>
      <c r="L79">
        <v>4.5</v>
      </c>
      <c r="M79" t="s">
        <v>43</v>
      </c>
      <c r="N79">
        <v>71</v>
      </c>
    </row>
    <row r="80" spans="1:14" x14ac:dyDescent="0.35">
      <c r="A80" t="s">
        <v>213</v>
      </c>
      <c r="B80" t="s">
        <v>78</v>
      </c>
      <c r="C80" t="s">
        <v>16</v>
      </c>
      <c r="D80" t="s">
        <v>17</v>
      </c>
      <c r="E80">
        <v>21</v>
      </c>
      <c r="F80" t="s">
        <v>18</v>
      </c>
      <c r="G80" t="s">
        <v>26</v>
      </c>
      <c r="H80" t="s">
        <v>214</v>
      </c>
      <c r="I80">
        <v>15</v>
      </c>
      <c r="J80">
        <v>20</v>
      </c>
      <c r="K80">
        <v>134390</v>
      </c>
      <c r="L80">
        <v>3.3</v>
      </c>
      <c r="M80" t="s">
        <v>21</v>
      </c>
      <c r="N80">
        <v>35</v>
      </c>
    </row>
    <row r="81" spans="1:14" x14ac:dyDescent="0.35">
      <c r="A81" t="s">
        <v>215</v>
      </c>
      <c r="B81" t="s">
        <v>15</v>
      </c>
      <c r="C81" t="s">
        <v>82</v>
      </c>
      <c r="D81" t="s">
        <v>25</v>
      </c>
      <c r="E81">
        <v>30</v>
      </c>
      <c r="F81" t="s">
        <v>31</v>
      </c>
      <c r="G81" t="s">
        <v>71</v>
      </c>
      <c r="H81" t="s">
        <v>216</v>
      </c>
      <c r="I81">
        <v>12</v>
      </c>
      <c r="J81">
        <v>18</v>
      </c>
      <c r="K81">
        <v>78003</v>
      </c>
      <c r="L81">
        <v>3.5</v>
      </c>
      <c r="M81" t="s">
        <v>21</v>
      </c>
      <c r="N81">
        <v>66</v>
      </c>
    </row>
    <row r="82" spans="1:14" x14ac:dyDescent="0.35">
      <c r="A82" t="s">
        <v>217</v>
      </c>
      <c r="B82" t="s">
        <v>96</v>
      </c>
      <c r="C82" t="s">
        <v>52</v>
      </c>
      <c r="D82" t="s">
        <v>25</v>
      </c>
      <c r="E82">
        <v>30</v>
      </c>
      <c r="F82" t="s">
        <v>18</v>
      </c>
      <c r="G82" t="s">
        <v>88</v>
      </c>
      <c r="H82" t="s">
        <v>218</v>
      </c>
      <c r="I82">
        <v>2</v>
      </c>
      <c r="J82">
        <v>9</v>
      </c>
      <c r="K82">
        <v>156663</v>
      </c>
      <c r="L82">
        <v>2.8</v>
      </c>
      <c r="M82" t="s">
        <v>43</v>
      </c>
      <c r="N82">
        <v>89</v>
      </c>
    </row>
    <row r="83" spans="1:14" x14ac:dyDescent="0.35">
      <c r="A83" t="s">
        <v>219</v>
      </c>
      <c r="B83" t="s">
        <v>23</v>
      </c>
      <c r="C83" t="s">
        <v>30</v>
      </c>
      <c r="D83" t="s">
        <v>17</v>
      </c>
      <c r="E83">
        <v>59</v>
      </c>
      <c r="F83" t="s">
        <v>74</v>
      </c>
      <c r="G83" t="s">
        <v>88</v>
      </c>
      <c r="H83" t="s">
        <v>220</v>
      </c>
      <c r="I83">
        <v>1</v>
      </c>
      <c r="J83">
        <v>10</v>
      </c>
      <c r="K83">
        <v>109379</v>
      </c>
      <c r="L83">
        <v>2.4</v>
      </c>
      <c r="M83" t="s">
        <v>21</v>
      </c>
      <c r="N83">
        <v>48</v>
      </c>
    </row>
    <row r="84" spans="1:14" x14ac:dyDescent="0.35">
      <c r="A84" t="s">
        <v>221</v>
      </c>
      <c r="B84" t="s">
        <v>45</v>
      </c>
      <c r="C84" t="s">
        <v>56</v>
      </c>
      <c r="D84" t="s">
        <v>17</v>
      </c>
      <c r="E84">
        <v>25</v>
      </c>
      <c r="F84" t="s">
        <v>46</v>
      </c>
      <c r="G84" t="s">
        <v>88</v>
      </c>
      <c r="H84" t="s">
        <v>222</v>
      </c>
      <c r="I84">
        <v>10</v>
      </c>
      <c r="J84">
        <v>13</v>
      </c>
      <c r="K84">
        <v>312094</v>
      </c>
      <c r="L84">
        <v>4.5</v>
      </c>
      <c r="M84" t="s">
        <v>43</v>
      </c>
      <c r="N84">
        <v>97</v>
      </c>
    </row>
    <row r="85" spans="1:14" x14ac:dyDescent="0.35">
      <c r="A85" t="s">
        <v>223</v>
      </c>
      <c r="B85" t="s">
        <v>45</v>
      </c>
      <c r="C85" t="s">
        <v>93</v>
      </c>
      <c r="D85" t="s">
        <v>25</v>
      </c>
      <c r="E85">
        <v>38</v>
      </c>
      <c r="F85" t="s">
        <v>70</v>
      </c>
      <c r="G85" t="s">
        <v>26</v>
      </c>
      <c r="H85" t="s">
        <v>224</v>
      </c>
      <c r="I85">
        <v>17</v>
      </c>
      <c r="J85">
        <v>20</v>
      </c>
      <c r="K85">
        <v>124028</v>
      </c>
      <c r="L85">
        <v>2.5</v>
      </c>
      <c r="M85" t="s">
        <v>21</v>
      </c>
      <c r="N85">
        <v>68</v>
      </c>
    </row>
    <row r="86" spans="1:14" x14ac:dyDescent="0.35">
      <c r="A86" t="s">
        <v>225</v>
      </c>
      <c r="B86" t="s">
        <v>45</v>
      </c>
      <c r="C86" t="s">
        <v>24</v>
      </c>
      <c r="D86" t="s">
        <v>25</v>
      </c>
      <c r="E86">
        <v>34</v>
      </c>
      <c r="F86" t="s">
        <v>31</v>
      </c>
      <c r="G86" t="s">
        <v>26</v>
      </c>
      <c r="H86" t="s">
        <v>226</v>
      </c>
      <c r="I86">
        <v>12</v>
      </c>
      <c r="J86">
        <v>14</v>
      </c>
      <c r="K86">
        <v>261065</v>
      </c>
      <c r="L86">
        <v>4.5</v>
      </c>
      <c r="M86" t="s">
        <v>43</v>
      </c>
      <c r="N86">
        <v>100</v>
      </c>
    </row>
    <row r="87" spans="1:14" x14ac:dyDescent="0.35">
      <c r="A87" t="s">
        <v>227</v>
      </c>
      <c r="B87" t="s">
        <v>96</v>
      </c>
      <c r="C87" t="s">
        <v>36</v>
      </c>
      <c r="D87" t="s">
        <v>25</v>
      </c>
      <c r="E87">
        <v>59</v>
      </c>
      <c r="F87" t="s">
        <v>70</v>
      </c>
      <c r="G87" t="s">
        <v>26</v>
      </c>
      <c r="H87" t="s">
        <v>228</v>
      </c>
      <c r="I87">
        <v>17</v>
      </c>
      <c r="J87">
        <v>21</v>
      </c>
      <c r="K87">
        <v>486099</v>
      </c>
      <c r="L87">
        <v>4</v>
      </c>
      <c r="M87" t="s">
        <v>43</v>
      </c>
      <c r="N87">
        <v>75</v>
      </c>
    </row>
    <row r="88" spans="1:14" x14ac:dyDescent="0.35">
      <c r="A88" t="s">
        <v>229</v>
      </c>
      <c r="B88" t="s">
        <v>15</v>
      </c>
      <c r="C88" t="s">
        <v>93</v>
      </c>
      <c r="D88" t="s">
        <v>25</v>
      </c>
      <c r="E88">
        <v>31</v>
      </c>
      <c r="F88" t="s">
        <v>79</v>
      </c>
      <c r="G88" t="s">
        <v>71</v>
      </c>
      <c r="H88" t="s">
        <v>230</v>
      </c>
      <c r="I88">
        <v>0</v>
      </c>
      <c r="J88">
        <v>10</v>
      </c>
      <c r="K88">
        <v>364886</v>
      </c>
      <c r="L88">
        <v>2.2999999999999998</v>
      </c>
      <c r="M88" t="s">
        <v>43</v>
      </c>
      <c r="N88">
        <v>75</v>
      </c>
    </row>
    <row r="89" spans="1:14" x14ac:dyDescent="0.35">
      <c r="A89" t="s">
        <v>231</v>
      </c>
      <c r="B89" t="s">
        <v>15</v>
      </c>
      <c r="C89" t="s">
        <v>52</v>
      </c>
      <c r="D89" t="s">
        <v>25</v>
      </c>
      <c r="E89">
        <v>25</v>
      </c>
      <c r="F89" t="s">
        <v>37</v>
      </c>
      <c r="G89" t="s">
        <v>26</v>
      </c>
      <c r="H89" t="s">
        <v>232</v>
      </c>
      <c r="I89">
        <v>11</v>
      </c>
      <c r="J89">
        <v>14</v>
      </c>
      <c r="K89">
        <v>313310</v>
      </c>
      <c r="L89">
        <v>2.5</v>
      </c>
      <c r="M89" t="s">
        <v>43</v>
      </c>
      <c r="N89">
        <v>75</v>
      </c>
    </row>
    <row r="90" spans="1:14" x14ac:dyDescent="0.35">
      <c r="A90" t="s">
        <v>233</v>
      </c>
      <c r="B90" t="s">
        <v>15</v>
      </c>
      <c r="C90" t="s">
        <v>93</v>
      </c>
      <c r="D90" t="s">
        <v>25</v>
      </c>
      <c r="E90">
        <v>39</v>
      </c>
      <c r="F90" t="s">
        <v>18</v>
      </c>
      <c r="G90" t="s">
        <v>19</v>
      </c>
      <c r="H90" t="s">
        <v>234</v>
      </c>
      <c r="I90">
        <v>16</v>
      </c>
      <c r="J90">
        <v>24</v>
      </c>
      <c r="K90">
        <v>199525</v>
      </c>
      <c r="L90">
        <v>4.4000000000000004</v>
      </c>
      <c r="M90" t="s">
        <v>43</v>
      </c>
      <c r="N90">
        <v>83</v>
      </c>
    </row>
    <row r="91" spans="1:14" x14ac:dyDescent="0.35">
      <c r="A91" t="s">
        <v>235</v>
      </c>
      <c r="B91" t="s">
        <v>23</v>
      </c>
      <c r="C91" t="s">
        <v>56</v>
      </c>
      <c r="D91" t="s">
        <v>17</v>
      </c>
      <c r="E91">
        <v>23</v>
      </c>
      <c r="F91" t="s">
        <v>70</v>
      </c>
      <c r="G91" t="s">
        <v>71</v>
      </c>
      <c r="H91" t="s">
        <v>236</v>
      </c>
      <c r="I91">
        <v>20</v>
      </c>
      <c r="J91">
        <v>28</v>
      </c>
      <c r="K91">
        <v>90266</v>
      </c>
      <c r="L91">
        <v>3.7</v>
      </c>
      <c r="M91" t="s">
        <v>21</v>
      </c>
      <c r="N91">
        <v>67</v>
      </c>
    </row>
    <row r="92" spans="1:14" x14ac:dyDescent="0.35">
      <c r="A92" t="s">
        <v>237</v>
      </c>
      <c r="B92" t="s">
        <v>96</v>
      </c>
      <c r="C92" t="s">
        <v>30</v>
      </c>
      <c r="D92" t="s">
        <v>25</v>
      </c>
      <c r="E92">
        <v>38</v>
      </c>
      <c r="F92" t="s">
        <v>70</v>
      </c>
      <c r="G92" t="s">
        <v>19</v>
      </c>
      <c r="H92" t="s">
        <v>238</v>
      </c>
      <c r="I92">
        <v>19</v>
      </c>
      <c r="J92">
        <v>26</v>
      </c>
      <c r="K92">
        <v>385805</v>
      </c>
      <c r="L92">
        <v>5</v>
      </c>
      <c r="M92" t="s">
        <v>21</v>
      </c>
      <c r="N92">
        <v>30</v>
      </c>
    </row>
    <row r="93" spans="1:14" x14ac:dyDescent="0.35">
      <c r="A93" t="s">
        <v>239</v>
      </c>
      <c r="B93" t="s">
        <v>55</v>
      </c>
      <c r="C93" t="s">
        <v>52</v>
      </c>
      <c r="D93" t="s">
        <v>17</v>
      </c>
      <c r="E93">
        <v>60</v>
      </c>
      <c r="F93" t="s">
        <v>74</v>
      </c>
      <c r="G93" t="s">
        <v>61</v>
      </c>
      <c r="H93" t="s">
        <v>240</v>
      </c>
      <c r="I93">
        <v>20</v>
      </c>
      <c r="J93">
        <v>22</v>
      </c>
      <c r="K93">
        <v>268925</v>
      </c>
      <c r="L93">
        <v>4.7</v>
      </c>
      <c r="M93" t="s">
        <v>43</v>
      </c>
      <c r="N93">
        <v>82</v>
      </c>
    </row>
    <row r="94" spans="1:14" x14ac:dyDescent="0.35">
      <c r="A94" t="s">
        <v>241</v>
      </c>
      <c r="B94" t="s">
        <v>40</v>
      </c>
      <c r="C94" t="s">
        <v>36</v>
      </c>
      <c r="D94" t="s">
        <v>17</v>
      </c>
      <c r="E94">
        <v>52</v>
      </c>
      <c r="F94" t="s">
        <v>37</v>
      </c>
      <c r="G94" t="s">
        <v>26</v>
      </c>
      <c r="H94" t="s">
        <v>242</v>
      </c>
      <c r="I94">
        <v>4</v>
      </c>
      <c r="J94">
        <v>9</v>
      </c>
      <c r="K94">
        <v>98609</v>
      </c>
      <c r="L94">
        <v>2.2000000000000002</v>
      </c>
      <c r="M94" t="s">
        <v>21</v>
      </c>
      <c r="N94">
        <v>63</v>
      </c>
    </row>
    <row r="95" spans="1:14" x14ac:dyDescent="0.35">
      <c r="A95" t="s">
        <v>243</v>
      </c>
      <c r="B95" t="s">
        <v>40</v>
      </c>
      <c r="C95" t="s">
        <v>82</v>
      </c>
      <c r="D95" t="s">
        <v>17</v>
      </c>
      <c r="E95">
        <v>60</v>
      </c>
      <c r="F95" t="s">
        <v>31</v>
      </c>
      <c r="G95" t="s">
        <v>32</v>
      </c>
      <c r="H95" t="s">
        <v>244</v>
      </c>
      <c r="I95">
        <v>19</v>
      </c>
      <c r="J95">
        <v>20</v>
      </c>
      <c r="K95">
        <v>327080</v>
      </c>
      <c r="L95">
        <v>3.4</v>
      </c>
      <c r="M95" t="s">
        <v>43</v>
      </c>
      <c r="N95">
        <v>77</v>
      </c>
    </row>
    <row r="96" spans="1:14" x14ac:dyDescent="0.35">
      <c r="A96" t="s">
        <v>245</v>
      </c>
      <c r="B96" t="s">
        <v>60</v>
      </c>
      <c r="C96" t="s">
        <v>49</v>
      </c>
      <c r="D96" t="s">
        <v>25</v>
      </c>
      <c r="E96">
        <v>46</v>
      </c>
      <c r="F96" t="s">
        <v>37</v>
      </c>
      <c r="G96" t="s">
        <v>32</v>
      </c>
      <c r="H96" t="s">
        <v>246</v>
      </c>
      <c r="I96">
        <v>3</v>
      </c>
      <c r="J96">
        <v>11</v>
      </c>
      <c r="K96">
        <v>322762</v>
      </c>
      <c r="L96">
        <v>4.8</v>
      </c>
      <c r="M96" t="s">
        <v>43</v>
      </c>
      <c r="N96">
        <v>73</v>
      </c>
    </row>
    <row r="97" spans="1:14" x14ac:dyDescent="0.35">
      <c r="A97" t="s">
        <v>247</v>
      </c>
      <c r="B97" t="s">
        <v>96</v>
      </c>
      <c r="C97" t="s">
        <v>16</v>
      </c>
      <c r="D97" t="s">
        <v>17</v>
      </c>
      <c r="E97">
        <v>21</v>
      </c>
      <c r="F97" t="s">
        <v>74</v>
      </c>
      <c r="G97" t="s">
        <v>41</v>
      </c>
      <c r="H97" t="s">
        <v>248</v>
      </c>
      <c r="I97">
        <v>5</v>
      </c>
      <c r="J97">
        <v>13</v>
      </c>
      <c r="K97">
        <v>194943</v>
      </c>
      <c r="L97">
        <v>4.5</v>
      </c>
      <c r="M97" t="s">
        <v>21</v>
      </c>
      <c r="N97">
        <v>66</v>
      </c>
    </row>
    <row r="98" spans="1:14" x14ac:dyDescent="0.35">
      <c r="A98" t="s">
        <v>249</v>
      </c>
      <c r="B98" t="s">
        <v>60</v>
      </c>
      <c r="C98" t="s">
        <v>56</v>
      </c>
      <c r="D98" t="s">
        <v>25</v>
      </c>
      <c r="E98">
        <v>32</v>
      </c>
      <c r="F98" t="s">
        <v>18</v>
      </c>
      <c r="G98" t="s">
        <v>85</v>
      </c>
      <c r="H98" t="s">
        <v>250</v>
      </c>
      <c r="I98">
        <v>20</v>
      </c>
      <c r="J98">
        <v>22</v>
      </c>
      <c r="K98">
        <v>297786</v>
      </c>
      <c r="L98">
        <v>4.7</v>
      </c>
      <c r="M98" t="s">
        <v>43</v>
      </c>
      <c r="N98">
        <v>90</v>
      </c>
    </row>
    <row r="99" spans="1:14" x14ac:dyDescent="0.35">
      <c r="A99" t="s">
        <v>251</v>
      </c>
      <c r="B99" t="s">
        <v>15</v>
      </c>
      <c r="C99" t="s">
        <v>36</v>
      </c>
      <c r="D99" t="s">
        <v>17</v>
      </c>
      <c r="E99">
        <v>56</v>
      </c>
      <c r="F99" t="s">
        <v>37</v>
      </c>
      <c r="G99" t="s">
        <v>19</v>
      </c>
      <c r="H99" t="s">
        <v>252</v>
      </c>
      <c r="I99">
        <v>12</v>
      </c>
      <c r="J99">
        <v>20</v>
      </c>
      <c r="K99">
        <v>268495</v>
      </c>
      <c r="L99">
        <v>4.3</v>
      </c>
      <c r="M99" t="s">
        <v>43</v>
      </c>
      <c r="N99">
        <v>87</v>
      </c>
    </row>
    <row r="100" spans="1:14" x14ac:dyDescent="0.35">
      <c r="A100" t="s">
        <v>253</v>
      </c>
      <c r="B100" t="s">
        <v>29</v>
      </c>
      <c r="C100" t="s">
        <v>49</v>
      </c>
      <c r="D100" t="s">
        <v>17</v>
      </c>
      <c r="E100">
        <v>52</v>
      </c>
      <c r="F100" t="s">
        <v>31</v>
      </c>
      <c r="G100" t="s">
        <v>71</v>
      </c>
      <c r="H100" t="s">
        <v>254</v>
      </c>
      <c r="I100">
        <v>8</v>
      </c>
      <c r="J100">
        <v>18</v>
      </c>
      <c r="K100">
        <v>174766</v>
      </c>
      <c r="L100">
        <v>4</v>
      </c>
      <c r="M100" t="s">
        <v>21</v>
      </c>
      <c r="N100">
        <v>50</v>
      </c>
    </row>
    <row r="101" spans="1:14" x14ac:dyDescent="0.35">
      <c r="A101" t="s">
        <v>255</v>
      </c>
      <c r="B101" t="s">
        <v>96</v>
      </c>
      <c r="C101" t="s">
        <v>82</v>
      </c>
      <c r="D101" t="s">
        <v>17</v>
      </c>
      <c r="E101">
        <v>23</v>
      </c>
      <c r="F101" t="s">
        <v>37</v>
      </c>
      <c r="G101" t="s">
        <v>26</v>
      </c>
      <c r="H101" t="s">
        <v>256</v>
      </c>
      <c r="I101">
        <v>18</v>
      </c>
      <c r="J101">
        <v>26</v>
      </c>
      <c r="K101">
        <v>169828</v>
      </c>
      <c r="L101">
        <v>2.9</v>
      </c>
      <c r="M101" t="s">
        <v>21</v>
      </c>
      <c r="N101">
        <v>34</v>
      </c>
    </row>
    <row r="102" spans="1:14" x14ac:dyDescent="0.35">
      <c r="A102" t="s">
        <v>257</v>
      </c>
      <c r="B102" t="s">
        <v>35</v>
      </c>
      <c r="C102" t="s">
        <v>24</v>
      </c>
      <c r="D102" t="s">
        <v>25</v>
      </c>
      <c r="E102">
        <v>49</v>
      </c>
      <c r="F102" t="s">
        <v>46</v>
      </c>
      <c r="G102" t="s">
        <v>19</v>
      </c>
      <c r="H102" t="s">
        <v>258</v>
      </c>
      <c r="I102">
        <v>8</v>
      </c>
      <c r="J102">
        <v>10</v>
      </c>
      <c r="K102">
        <v>448239</v>
      </c>
      <c r="L102">
        <v>4.8</v>
      </c>
      <c r="M102" t="s">
        <v>21</v>
      </c>
      <c r="N102">
        <v>62</v>
      </c>
    </row>
    <row r="103" spans="1:14" x14ac:dyDescent="0.35">
      <c r="A103" t="s">
        <v>259</v>
      </c>
      <c r="B103" t="s">
        <v>35</v>
      </c>
      <c r="C103" t="s">
        <v>82</v>
      </c>
      <c r="D103" t="s">
        <v>25</v>
      </c>
      <c r="E103">
        <v>33</v>
      </c>
      <c r="F103" t="s">
        <v>46</v>
      </c>
      <c r="G103" t="s">
        <v>71</v>
      </c>
      <c r="H103" t="s">
        <v>260</v>
      </c>
      <c r="I103">
        <v>10</v>
      </c>
      <c r="J103">
        <v>13</v>
      </c>
      <c r="K103">
        <v>452076</v>
      </c>
      <c r="L103">
        <v>3.7</v>
      </c>
      <c r="M103" t="s">
        <v>21</v>
      </c>
      <c r="N103">
        <v>49</v>
      </c>
    </row>
    <row r="104" spans="1:14" x14ac:dyDescent="0.35">
      <c r="A104" t="s">
        <v>261</v>
      </c>
      <c r="B104" t="s">
        <v>35</v>
      </c>
      <c r="C104" t="s">
        <v>49</v>
      </c>
      <c r="D104" t="s">
        <v>25</v>
      </c>
      <c r="E104">
        <v>23</v>
      </c>
      <c r="F104" t="s">
        <v>74</v>
      </c>
      <c r="G104" t="s">
        <v>85</v>
      </c>
      <c r="H104" t="s">
        <v>262</v>
      </c>
      <c r="I104">
        <v>12</v>
      </c>
      <c r="J104">
        <v>14</v>
      </c>
      <c r="K104">
        <v>239767</v>
      </c>
      <c r="L104">
        <v>4.2</v>
      </c>
      <c r="M104" t="s">
        <v>43</v>
      </c>
      <c r="N104">
        <v>98</v>
      </c>
    </row>
    <row r="105" spans="1:14" x14ac:dyDescent="0.35">
      <c r="A105" t="s">
        <v>263</v>
      </c>
      <c r="B105" t="s">
        <v>29</v>
      </c>
      <c r="C105" t="s">
        <v>56</v>
      </c>
      <c r="D105" t="s">
        <v>17</v>
      </c>
      <c r="E105">
        <v>23</v>
      </c>
      <c r="F105" t="s">
        <v>46</v>
      </c>
      <c r="G105" t="s">
        <v>19</v>
      </c>
      <c r="H105" t="s">
        <v>264</v>
      </c>
      <c r="I105">
        <v>2</v>
      </c>
      <c r="J105">
        <v>2</v>
      </c>
      <c r="K105">
        <v>214708</v>
      </c>
      <c r="L105">
        <v>4.9000000000000004</v>
      </c>
      <c r="M105" t="s">
        <v>43</v>
      </c>
      <c r="N105">
        <v>87</v>
      </c>
    </row>
    <row r="106" spans="1:14" x14ac:dyDescent="0.35">
      <c r="A106" t="s">
        <v>265</v>
      </c>
      <c r="B106" t="s">
        <v>96</v>
      </c>
      <c r="C106" t="s">
        <v>82</v>
      </c>
      <c r="D106" t="s">
        <v>17</v>
      </c>
      <c r="E106">
        <v>60</v>
      </c>
      <c r="F106" t="s">
        <v>31</v>
      </c>
      <c r="G106" t="s">
        <v>19</v>
      </c>
      <c r="H106" t="s">
        <v>266</v>
      </c>
      <c r="I106">
        <v>0</v>
      </c>
      <c r="J106">
        <v>2</v>
      </c>
      <c r="K106">
        <v>139046</v>
      </c>
      <c r="L106">
        <v>3.7</v>
      </c>
      <c r="M106" t="s">
        <v>43</v>
      </c>
      <c r="N106">
        <v>73</v>
      </c>
    </row>
    <row r="107" spans="1:14" x14ac:dyDescent="0.35">
      <c r="A107" t="s">
        <v>267</v>
      </c>
      <c r="B107" t="s">
        <v>55</v>
      </c>
      <c r="C107" t="s">
        <v>64</v>
      </c>
      <c r="D107" t="s">
        <v>25</v>
      </c>
      <c r="E107">
        <v>24</v>
      </c>
      <c r="F107" t="s">
        <v>46</v>
      </c>
      <c r="G107" t="s">
        <v>26</v>
      </c>
      <c r="H107" t="s">
        <v>268</v>
      </c>
      <c r="I107">
        <v>2</v>
      </c>
      <c r="J107">
        <v>4</v>
      </c>
      <c r="K107">
        <v>433508</v>
      </c>
      <c r="L107">
        <v>4.5999999999999996</v>
      </c>
      <c r="M107" t="s">
        <v>21</v>
      </c>
      <c r="N107">
        <v>63</v>
      </c>
    </row>
    <row r="108" spans="1:14" x14ac:dyDescent="0.35">
      <c r="A108" t="s">
        <v>269</v>
      </c>
      <c r="B108" t="s">
        <v>40</v>
      </c>
      <c r="C108" t="s">
        <v>56</v>
      </c>
      <c r="D108" t="s">
        <v>25</v>
      </c>
      <c r="E108">
        <v>23</v>
      </c>
      <c r="F108" t="s">
        <v>46</v>
      </c>
      <c r="G108" t="s">
        <v>88</v>
      </c>
      <c r="H108" t="s">
        <v>270</v>
      </c>
      <c r="I108">
        <v>16</v>
      </c>
      <c r="J108">
        <v>25</v>
      </c>
      <c r="K108">
        <v>74469</v>
      </c>
      <c r="L108">
        <v>4.9000000000000004</v>
      </c>
      <c r="M108" t="s">
        <v>21</v>
      </c>
      <c r="N108">
        <v>41</v>
      </c>
    </row>
    <row r="109" spans="1:14" x14ac:dyDescent="0.35">
      <c r="A109" t="s">
        <v>271</v>
      </c>
      <c r="B109" t="s">
        <v>69</v>
      </c>
      <c r="C109" t="s">
        <v>30</v>
      </c>
      <c r="D109" t="s">
        <v>25</v>
      </c>
      <c r="E109">
        <v>56</v>
      </c>
      <c r="F109" t="s">
        <v>74</v>
      </c>
      <c r="G109" t="s">
        <v>61</v>
      </c>
      <c r="H109" t="s">
        <v>272</v>
      </c>
      <c r="I109">
        <v>4</v>
      </c>
      <c r="J109">
        <v>8</v>
      </c>
      <c r="K109">
        <v>343107</v>
      </c>
      <c r="L109">
        <v>3.2</v>
      </c>
      <c r="M109" t="s">
        <v>43</v>
      </c>
      <c r="N109">
        <v>91</v>
      </c>
    </row>
    <row r="110" spans="1:14" x14ac:dyDescent="0.35">
      <c r="A110" t="s">
        <v>273</v>
      </c>
      <c r="B110" t="s">
        <v>29</v>
      </c>
      <c r="C110" t="s">
        <v>24</v>
      </c>
      <c r="D110" t="s">
        <v>25</v>
      </c>
      <c r="E110">
        <v>35</v>
      </c>
      <c r="F110" t="s">
        <v>18</v>
      </c>
      <c r="G110" t="s">
        <v>57</v>
      </c>
      <c r="H110" t="s">
        <v>274</v>
      </c>
      <c r="I110">
        <v>19</v>
      </c>
      <c r="J110">
        <v>28</v>
      </c>
      <c r="K110">
        <v>322139</v>
      </c>
      <c r="L110">
        <v>4.8</v>
      </c>
      <c r="M110" t="s">
        <v>43</v>
      </c>
      <c r="N110">
        <v>79</v>
      </c>
    </row>
    <row r="111" spans="1:14" x14ac:dyDescent="0.35">
      <c r="A111" t="s">
        <v>275</v>
      </c>
      <c r="B111" t="s">
        <v>23</v>
      </c>
      <c r="C111" t="s">
        <v>52</v>
      </c>
      <c r="D111" t="s">
        <v>17</v>
      </c>
      <c r="E111">
        <v>31</v>
      </c>
      <c r="F111" t="s">
        <v>31</v>
      </c>
      <c r="G111" t="s">
        <v>19</v>
      </c>
      <c r="H111" t="s">
        <v>276</v>
      </c>
      <c r="I111">
        <v>3</v>
      </c>
      <c r="J111">
        <v>9</v>
      </c>
      <c r="K111">
        <v>314669</v>
      </c>
      <c r="L111">
        <v>4.8</v>
      </c>
      <c r="M111" t="s">
        <v>43</v>
      </c>
      <c r="N111">
        <v>87</v>
      </c>
    </row>
    <row r="112" spans="1:14" x14ac:dyDescent="0.35">
      <c r="A112" t="s">
        <v>277</v>
      </c>
      <c r="B112" t="s">
        <v>45</v>
      </c>
      <c r="C112" t="s">
        <v>82</v>
      </c>
      <c r="D112" t="s">
        <v>17</v>
      </c>
      <c r="E112">
        <v>46</v>
      </c>
      <c r="F112" t="s">
        <v>74</v>
      </c>
      <c r="G112" t="s">
        <v>26</v>
      </c>
      <c r="H112" t="s">
        <v>278</v>
      </c>
      <c r="I112">
        <v>11</v>
      </c>
      <c r="J112">
        <v>18</v>
      </c>
      <c r="K112">
        <v>282370</v>
      </c>
      <c r="L112">
        <v>4.9000000000000004</v>
      </c>
      <c r="M112" t="s">
        <v>43</v>
      </c>
      <c r="N112">
        <v>88</v>
      </c>
    </row>
    <row r="113" spans="1:14" x14ac:dyDescent="0.35">
      <c r="A113" t="s">
        <v>279</v>
      </c>
      <c r="B113" t="s">
        <v>111</v>
      </c>
      <c r="C113" t="s">
        <v>64</v>
      </c>
      <c r="D113" t="s">
        <v>25</v>
      </c>
      <c r="E113">
        <v>55</v>
      </c>
      <c r="F113" t="s">
        <v>74</v>
      </c>
      <c r="G113" t="s">
        <v>88</v>
      </c>
      <c r="H113" t="s">
        <v>280</v>
      </c>
      <c r="I113">
        <v>20</v>
      </c>
      <c r="J113">
        <v>27</v>
      </c>
      <c r="K113">
        <v>100801</v>
      </c>
      <c r="L113">
        <v>2.7</v>
      </c>
      <c r="M113" t="s">
        <v>43</v>
      </c>
      <c r="N113">
        <v>84</v>
      </c>
    </row>
    <row r="114" spans="1:14" x14ac:dyDescent="0.35">
      <c r="A114" t="s">
        <v>281</v>
      </c>
      <c r="B114" t="s">
        <v>60</v>
      </c>
      <c r="C114" t="s">
        <v>64</v>
      </c>
      <c r="D114" t="s">
        <v>17</v>
      </c>
      <c r="E114">
        <v>48</v>
      </c>
      <c r="F114" t="s">
        <v>31</v>
      </c>
      <c r="G114" t="s">
        <v>19</v>
      </c>
      <c r="H114" t="s">
        <v>282</v>
      </c>
      <c r="I114">
        <v>8</v>
      </c>
      <c r="J114">
        <v>10</v>
      </c>
      <c r="K114">
        <v>395431</v>
      </c>
      <c r="L114">
        <v>3.5</v>
      </c>
      <c r="M114" t="s">
        <v>43</v>
      </c>
      <c r="N114">
        <v>89</v>
      </c>
    </row>
    <row r="115" spans="1:14" x14ac:dyDescent="0.35">
      <c r="A115" t="s">
        <v>283</v>
      </c>
      <c r="B115" t="s">
        <v>23</v>
      </c>
      <c r="C115" t="s">
        <v>49</v>
      </c>
      <c r="D115" t="s">
        <v>17</v>
      </c>
      <c r="E115">
        <v>56</v>
      </c>
      <c r="F115" t="s">
        <v>70</v>
      </c>
      <c r="G115" t="s">
        <v>32</v>
      </c>
      <c r="H115" t="s">
        <v>284</v>
      </c>
      <c r="I115">
        <v>0</v>
      </c>
      <c r="J115">
        <v>10</v>
      </c>
      <c r="K115">
        <v>72629</v>
      </c>
      <c r="L115">
        <v>3.6</v>
      </c>
      <c r="M115" t="s">
        <v>43</v>
      </c>
      <c r="N115">
        <v>93</v>
      </c>
    </row>
    <row r="116" spans="1:14" x14ac:dyDescent="0.35">
      <c r="A116" t="s">
        <v>285</v>
      </c>
      <c r="B116" t="s">
        <v>35</v>
      </c>
      <c r="C116" t="s">
        <v>56</v>
      </c>
      <c r="D116" t="s">
        <v>25</v>
      </c>
      <c r="E116">
        <v>60</v>
      </c>
      <c r="F116" t="s">
        <v>79</v>
      </c>
      <c r="G116" t="s">
        <v>85</v>
      </c>
      <c r="H116" t="s">
        <v>286</v>
      </c>
      <c r="I116">
        <v>5</v>
      </c>
      <c r="J116">
        <v>5</v>
      </c>
      <c r="K116">
        <v>407326</v>
      </c>
      <c r="L116">
        <v>4.3</v>
      </c>
      <c r="M116" t="s">
        <v>43</v>
      </c>
      <c r="N116">
        <v>79</v>
      </c>
    </row>
    <row r="117" spans="1:14" x14ac:dyDescent="0.35">
      <c r="A117" t="s">
        <v>287</v>
      </c>
      <c r="B117" t="s">
        <v>78</v>
      </c>
      <c r="C117" t="s">
        <v>24</v>
      </c>
      <c r="D117" t="s">
        <v>25</v>
      </c>
      <c r="E117">
        <v>58</v>
      </c>
      <c r="F117" t="s">
        <v>18</v>
      </c>
      <c r="G117" t="s">
        <v>71</v>
      </c>
      <c r="H117" t="s">
        <v>288</v>
      </c>
      <c r="I117">
        <v>17</v>
      </c>
      <c r="J117">
        <v>21</v>
      </c>
      <c r="K117">
        <v>60301</v>
      </c>
      <c r="L117">
        <v>3.9</v>
      </c>
      <c r="M117" t="s">
        <v>21</v>
      </c>
      <c r="N117">
        <v>40</v>
      </c>
    </row>
    <row r="118" spans="1:14" x14ac:dyDescent="0.35">
      <c r="A118" t="s">
        <v>289</v>
      </c>
      <c r="B118" t="s">
        <v>111</v>
      </c>
      <c r="C118" t="s">
        <v>24</v>
      </c>
      <c r="D118" t="s">
        <v>25</v>
      </c>
      <c r="E118">
        <v>24</v>
      </c>
      <c r="F118" t="s">
        <v>37</v>
      </c>
      <c r="G118" t="s">
        <v>88</v>
      </c>
      <c r="H118" t="s">
        <v>290</v>
      </c>
      <c r="I118">
        <v>9</v>
      </c>
      <c r="J118">
        <v>10</v>
      </c>
      <c r="K118">
        <v>173529</v>
      </c>
      <c r="L118">
        <v>2.7</v>
      </c>
      <c r="M118" t="s">
        <v>43</v>
      </c>
      <c r="N118">
        <v>73</v>
      </c>
    </row>
    <row r="119" spans="1:14" x14ac:dyDescent="0.35">
      <c r="A119" t="s">
        <v>291</v>
      </c>
      <c r="B119" t="s">
        <v>55</v>
      </c>
      <c r="C119" t="s">
        <v>93</v>
      </c>
      <c r="D119" t="s">
        <v>25</v>
      </c>
      <c r="E119">
        <v>56</v>
      </c>
      <c r="F119" t="s">
        <v>70</v>
      </c>
      <c r="G119" t="s">
        <v>61</v>
      </c>
      <c r="H119" t="s">
        <v>292</v>
      </c>
      <c r="I119">
        <v>4</v>
      </c>
      <c r="J119">
        <v>14</v>
      </c>
      <c r="K119">
        <v>324161</v>
      </c>
      <c r="L119">
        <v>3.2</v>
      </c>
      <c r="M119" t="s">
        <v>43</v>
      </c>
      <c r="N119">
        <v>100</v>
      </c>
    </row>
    <row r="120" spans="1:14" x14ac:dyDescent="0.35">
      <c r="A120" t="s">
        <v>293</v>
      </c>
      <c r="B120" t="s">
        <v>40</v>
      </c>
      <c r="C120" t="s">
        <v>52</v>
      </c>
      <c r="D120" t="s">
        <v>25</v>
      </c>
      <c r="E120">
        <v>48</v>
      </c>
      <c r="F120" t="s">
        <v>31</v>
      </c>
      <c r="G120" t="s">
        <v>75</v>
      </c>
      <c r="H120" t="s">
        <v>294</v>
      </c>
      <c r="I120">
        <v>12</v>
      </c>
      <c r="J120">
        <v>14</v>
      </c>
      <c r="K120">
        <v>410033</v>
      </c>
      <c r="L120">
        <v>2.9</v>
      </c>
      <c r="M120" t="s">
        <v>43</v>
      </c>
      <c r="N120">
        <v>83</v>
      </c>
    </row>
    <row r="121" spans="1:14" x14ac:dyDescent="0.35">
      <c r="A121" t="s">
        <v>295</v>
      </c>
      <c r="B121" t="s">
        <v>40</v>
      </c>
      <c r="C121" t="s">
        <v>93</v>
      </c>
      <c r="D121" t="s">
        <v>25</v>
      </c>
      <c r="E121">
        <v>34</v>
      </c>
      <c r="F121" t="s">
        <v>31</v>
      </c>
      <c r="G121" t="s">
        <v>41</v>
      </c>
      <c r="H121" t="s">
        <v>296</v>
      </c>
      <c r="I121">
        <v>5</v>
      </c>
      <c r="J121">
        <v>11</v>
      </c>
      <c r="K121">
        <v>126058</v>
      </c>
      <c r="L121">
        <v>4.2</v>
      </c>
      <c r="M121" t="s">
        <v>21</v>
      </c>
      <c r="N121">
        <v>69</v>
      </c>
    </row>
    <row r="122" spans="1:14" x14ac:dyDescent="0.35">
      <c r="A122" t="s">
        <v>297</v>
      </c>
      <c r="B122" t="s">
        <v>60</v>
      </c>
      <c r="C122" t="s">
        <v>52</v>
      </c>
      <c r="D122" t="s">
        <v>17</v>
      </c>
      <c r="E122">
        <v>28</v>
      </c>
      <c r="F122" t="s">
        <v>79</v>
      </c>
      <c r="G122" t="s">
        <v>26</v>
      </c>
      <c r="H122" t="s">
        <v>298</v>
      </c>
      <c r="I122">
        <v>5</v>
      </c>
      <c r="J122">
        <v>8</v>
      </c>
      <c r="K122">
        <v>280540</v>
      </c>
      <c r="L122">
        <v>3.3</v>
      </c>
      <c r="M122" t="s">
        <v>21</v>
      </c>
      <c r="N122">
        <v>46</v>
      </c>
    </row>
    <row r="123" spans="1:14" x14ac:dyDescent="0.35">
      <c r="A123" t="s">
        <v>299</v>
      </c>
      <c r="B123" t="s">
        <v>29</v>
      </c>
      <c r="C123" t="s">
        <v>64</v>
      </c>
      <c r="D123" t="s">
        <v>25</v>
      </c>
      <c r="E123">
        <v>22</v>
      </c>
      <c r="F123" t="s">
        <v>70</v>
      </c>
      <c r="G123" t="s">
        <v>75</v>
      </c>
      <c r="H123" t="s">
        <v>300</v>
      </c>
      <c r="I123">
        <v>10</v>
      </c>
      <c r="J123">
        <v>16</v>
      </c>
      <c r="K123">
        <v>122324</v>
      </c>
      <c r="L123">
        <v>3.7</v>
      </c>
      <c r="M123" t="s">
        <v>21</v>
      </c>
      <c r="N123">
        <v>67</v>
      </c>
    </row>
    <row r="124" spans="1:14" x14ac:dyDescent="0.35">
      <c r="A124" t="s">
        <v>301</v>
      </c>
      <c r="B124" t="s">
        <v>55</v>
      </c>
      <c r="C124" t="s">
        <v>49</v>
      </c>
      <c r="D124" t="s">
        <v>17</v>
      </c>
      <c r="E124">
        <v>28</v>
      </c>
      <c r="F124" t="s">
        <v>70</v>
      </c>
      <c r="G124" t="s">
        <v>26</v>
      </c>
      <c r="H124" t="s">
        <v>302</v>
      </c>
      <c r="I124">
        <v>2</v>
      </c>
      <c r="J124">
        <v>7</v>
      </c>
      <c r="K124">
        <v>473741</v>
      </c>
      <c r="L124">
        <v>2</v>
      </c>
      <c r="M124" t="s">
        <v>43</v>
      </c>
      <c r="N124">
        <v>79</v>
      </c>
    </row>
    <row r="125" spans="1:14" x14ac:dyDescent="0.35">
      <c r="A125" t="s">
        <v>303</v>
      </c>
      <c r="B125" t="s">
        <v>78</v>
      </c>
      <c r="C125" t="s">
        <v>49</v>
      </c>
      <c r="D125" t="s">
        <v>25</v>
      </c>
      <c r="E125">
        <v>43</v>
      </c>
      <c r="F125" t="s">
        <v>31</v>
      </c>
      <c r="G125" t="s">
        <v>75</v>
      </c>
      <c r="H125" t="s">
        <v>304</v>
      </c>
      <c r="I125">
        <v>6</v>
      </c>
      <c r="J125">
        <v>12</v>
      </c>
      <c r="K125">
        <v>77723</v>
      </c>
      <c r="L125">
        <v>4.3</v>
      </c>
      <c r="M125" t="s">
        <v>43</v>
      </c>
      <c r="N125">
        <v>73</v>
      </c>
    </row>
    <row r="126" spans="1:14" x14ac:dyDescent="0.35">
      <c r="A126" t="s">
        <v>305</v>
      </c>
      <c r="B126" t="s">
        <v>40</v>
      </c>
      <c r="C126" t="s">
        <v>52</v>
      </c>
      <c r="D126" t="s">
        <v>17</v>
      </c>
      <c r="E126">
        <v>46</v>
      </c>
      <c r="F126" t="s">
        <v>70</v>
      </c>
      <c r="G126" t="s">
        <v>57</v>
      </c>
      <c r="H126" t="s">
        <v>306</v>
      </c>
      <c r="I126">
        <v>8</v>
      </c>
      <c r="J126">
        <v>14</v>
      </c>
      <c r="K126">
        <v>406545</v>
      </c>
      <c r="L126">
        <v>4.7</v>
      </c>
      <c r="M126" t="s">
        <v>21</v>
      </c>
      <c r="N126">
        <v>54</v>
      </c>
    </row>
    <row r="127" spans="1:14" x14ac:dyDescent="0.35">
      <c r="A127" t="s">
        <v>307</v>
      </c>
      <c r="B127" t="s">
        <v>69</v>
      </c>
      <c r="C127" t="s">
        <v>82</v>
      </c>
      <c r="D127" t="s">
        <v>25</v>
      </c>
      <c r="E127">
        <v>43</v>
      </c>
      <c r="F127" t="s">
        <v>70</v>
      </c>
      <c r="G127" t="s">
        <v>85</v>
      </c>
      <c r="H127" t="s">
        <v>308</v>
      </c>
      <c r="I127">
        <v>9</v>
      </c>
      <c r="J127">
        <v>16</v>
      </c>
      <c r="K127">
        <v>440473</v>
      </c>
      <c r="L127">
        <v>2.9</v>
      </c>
      <c r="M127" t="s">
        <v>43</v>
      </c>
      <c r="N127">
        <v>87</v>
      </c>
    </row>
    <row r="128" spans="1:14" x14ac:dyDescent="0.35">
      <c r="A128" t="s">
        <v>309</v>
      </c>
      <c r="B128" t="s">
        <v>78</v>
      </c>
      <c r="C128" t="s">
        <v>49</v>
      </c>
      <c r="D128" t="s">
        <v>17</v>
      </c>
      <c r="E128">
        <v>44</v>
      </c>
      <c r="F128" t="s">
        <v>46</v>
      </c>
      <c r="G128" t="s">
        <v>88</v>
      </c>
      <c r="H128" t="s">
        <v>310</v>
      </c>
      <c r="I128">
        <v>5</v>
      </c>
      <c r="J128">
        <v>5</v>
      </c>
      <c r="K128">
        <v>174361</v>
      </c>
      <c r="L128">
        <v>3</v>
      </c>
      <c r="M128" t="s">
        <v>21</v>
      </c>
      <c r="N128">
        <v>48</v>
      </c>
    </row>
    <row r="129" spans="1:14" x14ac:dyDescent="0.35">
      <c r="A129" t="s">
        <v>311</v>
      </c>
      <c r="B129" t="s">
        <v>45</v>
      </c>
      <c r="C129" t="s">
        <v>30</v>
      </c>
      <c r="D129" t="s">
        <v>25</v>
      </c>
      <c r="E129">
        <v>27</v>
      </c>
      <c r="F129" t="s">
        <v>37</v>
      </c>
      <c r="G129" t="s">
        <v>88</v>
      </c>
      <c r="H129" t="s">
        <v>312</v>
      </c>
      <c r="I129">
        <v>5</v>
      </c>
      <c r="J129">
        <v>15</v>
      </c>
      <c r="K129">
        <v>257300</v>
      </c>
      <c r="L129">
        <v>2.7</v>
      </c>
      <c r="M129" t="s">
        <v>21</v>
      </c>
      <c r="N129">
        <v>49</v>
      </c>
    </row>
    <row r="130" spans="1:14" x14ac:dyDescent="0.35">
      <c r="A130" t="s">
        <v>313</v>
      </c>
      <c r="B130" t="s">
        <v>96</v>
      </c>
      <c r="C130" t="s">
        <v>24</v>
      </c>
      <c r="D130" t="s">
        <v>17</v>
      </c>
      <c r="E130">
        <v>39</v>
      </c>
      <c r="F130" t="s">
        <v>31</v>
      </c>
      <c r="G130" t="s">
        <v>41</v>
      </c>
      <c r="H130" t="s">
        <v>314</v>
      </c>
      <c r="I130">
        <v>17</v>
      </c>
      <c r="J130">
        <v>23</v>
      </c>
      <c r="K130">
        <v>134971</v>
      </c>
      <c r="L130">
        <v>3.5</v>
      </c>
      <c r="M130" t="s">
        <v>21</v>
      </c>
      <c r="N130">
        <v>65</v>
      </c>
    </row>
    <row r="131" spans="1:14" x14ac:dyDescent="0.35">
      <c r="A131" t="s">
        <v>315</v>
      </c>
      <c r="B131" t="s">
        <v>40</v>
      </c>
      <c r="C131" t="s">
        <v>24</v>
      </c>
      <c r="D131" t="s">
        <v>17</v>
      </c>
      <c r="E131">
        <v>32</v>
      </c>
      <c r="F131" t="s">
        <v>37</v>
      </c>
      <c r="G131" t="s">
        <v>19</v>
      </c>
      <c r="H131" t="s">
        <v>316</v>
      </c>
      <c r="I131">
        <v>6</v>
      </c>
      <c r="J131">
        <v>8</v>
      </c>
      <c r="K131">
        <v>370785</v>
      </c>
      <c r="L131">
        <v>3.7</v>
      </c>
      <c r="M131" t="s">
        <v>43</v>
      </c>
      <c r="N131">
        <v>92</v>
      </c>
    </row>
    <row r="132" spans="1:14" x14ac:dyDescent="0.35">
      <c r="A132" t="s">
        <v>317</v>
      </c>
      <c r="B132" t="s">
        <v>78</v>
      </c>
      <c r="C132" t="s">
        <v>49</v>
      </c>
      <c r="D132" t="s">
        <v>17</v>
      </c>
      <c r="E132">
        <v>23</v>
      </c>
      <c r="F132" t="s">
        <v>79</v>
      </c>
      <c r="G132" t="s">
        <v>57</v>
      </c>
      <c r="H132" t="s">
        <v>318</v>
      </c>
      <c r="I132">
        <v>0</v>
      </c>
      <c r="J132">
        <v>2</v>
      </c>
      <c r="K132">
        <v>248799</v>
      </c>
      <c r="L132">
        <v>3.1</v>
      </c>
      <c r="M132" t="s">
        <v>43</v>
      </c>
      <c r="N132">
        <v>72</v>
      </c>
    </row>
    <row r="133" spans="1:14" x14ac:dyDescent="0.35">
      <c r="A133" t="s">
        <v>319</v>
      </c>
      <c r="B133" t="s">
        <v>45</v>
      </c>
      <c r="C133" t="s">
        <v>16</v>
      </c>
      <c r="D133" t="s">
        <v>17</v>
      </c>
      <c r="E133">
        <v>60</v>
      </c>
      <c r="F133" t="s">
        <v>31</v>
      </c>
      <c r="G133" t="s">
        <v>88</v>
      </c>
      <c r="H133" t="s">
        <v>320</v>
      </c>
      <c r="I133">
        <v>11</v>
      </c>
      <c r="J133">
        <v>12</v>
      </c>
      <c r="K133">
        <v>356582</v>
      </c>
      <c r="L133">
        <v>2.5</v>
      </c>
      <c r="M133" t="s">
        <v>43</v>
      </c>
      <c r="N133">
        <v>90</v>
      </c>
    </row>
    <row r="134" spans="1:14" x14ac:dyDescent="0.35">
      <c r="A134" t="s">
        <v>321</v>
      </c>
      <c r="B134" t="s">
        <v>60</v>
      </c>
      <c r="C134" t="s">
        <v>56</v>
      </c>
      <c r="D134" t="s">
        <v>25</v>
      </c>
      <c r="E134">
        <v>32</v>
      </c>
      <c r="F134" t="s">
        <v>46</v>
      </c>
      <c r="G134" t="s">
        <v>88</v>
      </c>
      <c r="H134" t="s">
        <v>322</v>
      </c>
      <c r="I134">
        <v>2</v>
      </c>
      <c r="J134">
        <v>6</v>
      </c>
      <c r="K134">
        <v>287978</v>
      </c>
      <c r="L134">
        <v>4.2</v>
      </c>
      <c r="M134" t="s">
        <v>43</v>
      </c>
      <c r="N134">
        <v>96</v>
      </c>
    </row>
    <row r="135" spans="1:14" x14ac:dyDescent="0.35">
      <c r="A135" t="s">
        <v>323</v>
      </c>
      <c r="B135" t="s">
        <v>69</v>
      </c>
      <c r="C135" t="s">
        <v>52</v>
      </c>
      <c r="D135" t="s">
        <v>17</v>
      </c>
      <c r="E135">
        <v>38</v>
      </c>
      <c r="F135" t="s">
        <v>74</v>
      </c>
      <c r="G135" t="s">
        <v>57</v>
      </c>
      <c r="H135" t="s">
        <v>324</v>
      </c>
      <c r="I135">
        <v>1</v>
      </c>
      <c r="J135">
        <v>4</v>
      </c>
      <c r="K135">
        <v>487746</v>
      </c>
      <c r="L135">
        <v>4.7</v>
      </c>
      <c r="M135" t="s">
        <v>21</v>
      </c>
      <c r="N135">
        <v>70</v>
      </c>
    </row>
    <row r="136" spans="1:14" x14ac:dyDescent="0.35">
      <c r="A136" t="s">
        <v>325</v>
      </c>
      <c r="B136" t="s">
        <v>29</v>
      </c>
      <c r="C136" t="s">
        <v>36</v>
      </c>
      <c r="D136" t="s">
        <v>17</v>
      </c>
      <c r="E136">
        <v>44</v>
      </c>
      <c r="F136" t="s">
        <v>70</v>
      </c>
      <c r="G136" t="s">
        <v>32</v>
      </c>
      <c r="H136" t="s">
        <v>326</v>
      </c>
      <c r="I136">
        <v>7</v>
      </c>
      <c r="J136">
        <v>9</v>
      </c>
      <c r="K136">
        <v>87553</v>
      </c>
      <c r="L136">
        <v>4.0999999999999996</v>
      </c>
      <c r="M136" t="s">
        <v>43</v>
      </c>
      <c r="N136">
        <v>91</v>
      </c>
    </row>
    <row r="137" spans="1:14" x14ac:dyDescent="0.35">
      <c r="A137" t="s">
        <v>327</v>
      </c>
      <c r="B137" t="s">
        <v>29</v>
      </c>
      <c r="C137" t="s">
        <v>64</v>
      </c>
      <c r="D137" t="s">
        <v>25</v>
      </c>
      <c r="E137">
        <v>37</v>
      </c>
      <c r="F137" t="s">
        <v>18</v>
      </c>
      <c r="G137" t="s">
        <v>71</v>
      </c>
      <c r="H137" t="s">
        <v>328</v>
      </c>
      <c r="I137">
        <v>6</v>
      </c>
      <c r="J137">
        <v>7</v>
      </c>
      <c r="K137">
        <v>65399</v>
      </c>
      <c r="L137">
        <v>2.6</v>
      </c>
      <c r="M137" t="s">
        <v>21</v>
      </c>
      <c r="N137">
        <v>43</v>
      </c>
    </row>
    <row r="138" spans="1:14" x14ac:dyDescent="0.35">
      <c r="A138" t="s">
        <v>329</v>
      </c>
      <c r="B138" t="s">
        <v>40</v>
      </c>
      <c r="C138" t="s">
        <v>49</v>
      </c>
      <c r="D138" t="s">
        <v>25</v>
      </c>
      <c r="E138">
        <v>33</v>
      </c>
      <c r="F138" t="s">
        <v>37</v>
      </c>
      <c r="G138" t="s">
        <v>32</v>
      </c>
      <c r="H138" t="s">
        <v>170</v>
      </c>
      <c r="I138">
        <v>3</v>
      </c>
      <c r="J138">
        <v>10</v>
      </c>
      <c r="K138">
        <v>286873</v>
      </c>
      <c r="L138">
        <v>4.5999999999999996</v>
      </c>
      <c r="M138" t="s">
        <v>43</v>
      </c>
      <c r="N138">
        <v>93</v>
      </c>
    </row>
    <row r="139" spans="1:14" x14ac:dyDescent="0.35">
      <c r="A139" t="s">
        <v>330</v>
      </c>
      <c r="B139" t="s">
        <v>35</v>
      </c>
      <c r="C139" t="s">
        <v>16</v>
      </c>
      <c r="D139" t="s">
        <v>25</v>
      </c>
      <c r="E139">
        <v>58</v>
      </c>
      <c r="F139" t="s">
        <v>46</v>
      </c>
      <c r="G139" t="s">
        <v>61</v>
      </c>
      <c r="H139" t="s">
        <v>331</v>
      </c>
      <c r="I139">
        <v>9</v>
      </c>
      <c r="J139">
        <v>13</v>
      </c>
      <c r="K139">
        <v>274637</v>
      </c>
      <c r="L139">
        <v>3.6</v>
      </c>
      <c r="M139" t="s">
        <v>43</v>
      </c>
      <c r="N139">
        <v>75</v>
      </c>
    </row>
    <row r="140" spans="1:14" x14ac:dyDescent="0.35">
      <c r="A140" t="s">
        <v>332</v>
      </c>
      <c r="B140" t="s">
        <v>60</v>
      </c>
      <c r="C140" t="s">
        <v>64</v>
      </c>
      <c r="D140" t="s">
        <v>17</v>
      </c>
      <c r="E140">
        <v>41</v>
      </c>
      <c r="F140" t="s">
        <v>31</v>
      </c>
      <c r="G140" t="s">
        <v>57</v>
      </c>
      <c r="H140" t="s">
        <v>333</v>
      </c>
      <c r="I140">
        <v>13</v>
      </c>
      <c r="J140">
        <v>23</v>
      </c>
      <c r="K140">
        <v>83181</v>
      </c>
      <c r="L140">
        <v>2.2000000000000002</v>
      </c>
      <c r="M140" t="s">
        <v>21</v>
      </c>
      <c r="N140">
        <v>61</v>
      </c>
    </row>
    <row r="141" spans="1:14" x14ac:dyDescent="0.35">
      <c r="A141" t="s">
        <v>334</v>
      </c>
      <c r="B141" t="s">
        <v>78</v>
      </c>
      <c r="C141" t="s">
        <v>49</v>
      </c>
      <c r="D141" t="s">
        <v>17</v>
      </c>
      <c r="E141">
        <v>32</v>
      </c>
      <c r="F141" t="s">
        <v>46</v>
      </c>
      <c r="G141" t="s">
        <v>32</v>
      </c>
      <c r="H141" t="s">
        <v>335</v>
      </c>
      <c r="I141">
        <v>9</v>
      </c>
      <c r="J141">
        <v>12</v>
      </c>
      <c r="K141">
        <v>259328</v>
      </c>
      <c r="L141">
        <v>3.6</v>
      </c>
      <c r="M141" t="s">
        <v>43</v>
      </c>
      <c r="N141">
        <v>84</v>
      </c>
    </row>
    <row r="142" spans="1:14" x14ac:dyDescent="0.35">
      <c r="A142" t="s">
        <v>336</v>
      </c>
      <c r="B142" t="s">
        <v>35</v>
      </c>
      <c r="C142" t="s">
        <v>24</v>
      </c>
      <c r="D142" t="s">
        <v>17</v>
      </c>
      <c r="E142">
        <v>53</v>
      </c>
      <c r="F142" t="s">
        <v>37</v>
      </c>
      <c r="G142" t="s">
        <v>75</v>
      </c>
      <c r="H142" t="s">
        <v>337</v>
      </c>
      <c r="I142">
        <v>8</v>
      </c>
      <c r="J142">
        <v>9</v>
      </c>
      <c r="K142">
        <v>293565</v>
      </c>
      <c r="L142">
        <v>3.7</v>
      </c>
      <c r="M142" t="s">
        <v>21</v>
      </c>
      <c r="N142">
        <v>51</v>
      </c>
    </row>
    <row r="143" spans="1:14" x14ac:dyDescent="0.35">
      <c r="A143" t="s">
        <v>338</v>
      </c>
      <c r="B143" t="s">
        <v>15</v>
      </c>
      <c r="C143" t="s">
        <v>49</v>
      </c>
      <c r="D143" t="s">
        <v>17</v>
      </c>
      <c r="E143">
        <v>21</v>
      </c>
      <c r="F143" t="s">
        <v>31</v>
      </c>
      <c r="G143" t="s">
        <v>88</v>
      </c>
      <c r="H143" t="s">
        <v>339</v>
      </c>
      <c r="I143">
        <v>9</v>
      </c>
      <c r="J143">
        <v>17</v>
      </c>
      <c r="K143">
        <v>185261</v>
      </c>
      <c r="L143">
        <v>2</v>
      </c>
      <c r="M143" t="s">
        <v>43</v>
      </c>
      <c r="N143">
        <v>100</v>
      </c>
    </row>
    <row r="144" spans="1:14" x14ac:dyDescent="0.35">
      <c r="A144" t="s">
        <v>340</v>
      </c>
      <c r="B144" t="s">
        <v>69</v>
      </c>
      <c r="C144" t="s">
        <v>49</v>
      </c>
      <c r="D144" t="s">
        <v>17</v>
      </c>
      <c r="E144">
        <v>56</v>
      </c>
      <c r="F144" t="s">
        <v>74</v>
      </c>
      <c r="G144" t="s">
        <v>26</v>
      </c>
      <c r="H144" t="s">
        <v>341</v>
      </c>
      <c r="I144">
        <v>11</v>
      </c>
      <c r="J144">
        <v>13</v>
      </c>
      <c r="K144">
        <v>175804</v>
      </c>
      <c r="L144">
        <v>2.4</v>
      </c>
      <c r="M144" t="s">
        <v>21</v>
      </c>
      <c r="N144">
        <v>50</v>
      </c>
    </row>
    <row r="145" spans="1:14" x14ac:dyDescent="0.35">
      <c r="A145" t="s">
        <v>342</v>
      </c>
      <c r="B145" t="s">
        <v>111</v>
      </c>
      <c r="C145" t="s">
        <v>16</v>
      </c>
      <c r="D145" t="s">
        <v>25</v>
      </c>
      <c r="E145">
        <v>52</v>
      </c>
      <c r="F145" t="s">
        <v>79</v>
      </c>
      <c r="G145" t="s">
        <v>26</v>
      </c>
      <c r="H145" t="s">
        <v>343</v>
      </c>
      <c r="I145">
        <v>7</v>
      </c>
      <c r="J145">
        <v>16</v>
      </c>
      <c r="K145">
        <v>356182</v>
      </c>
      <c r="L145">
        <v>3.5</v>
      </c>
      <c r="M145" t="s">
        <v>21</v>
      </c>
      <c r="N145">
        <v>67</v>
      </c>
    </row>
    <row r="146" spans="1:14" x14ac:dyDescent="0.35">
      <c r="A146" t="s">
        <v>344</v>
      </c>
      <c r="B146" t="s">
        <v>55</v>
      </c>
      <c r="C146" t="s">
        <v>16</v>
      </c>
      <c r="D146" t="s">
        <v>17</v>
      </c>
      <c r="E146">
        <v>33</v>
      </c>
      <c r="F146" t="s">
        <v>74</v>
      </c>
      <c r="G146" t="s">
        <v>57</v>
      </c>
      <c r="H146" t="s">
        <v>345</v>
      </c>
      <c r="I146">
        <v>8</v>
      </c>
      <c r="J146">
        <v>17</v>
      </c>
      <c r="K146">
        <v>327792</v>
      </c>
      <c r="L146">
        <v>3.5</v>
      </c>
      <c r="M146" t="s">
        <v>43</v>
      </c>
      <c r="N146">
        <v>90</v>
      </c>
    </row>
    <row r="147" spans="1:14" x14ac:dyDescent="0.35">
      <c r="A147" t="s">
        <v>346</v>
      </c>
      <c r="B147" t="s">
        <v>69</v>
      </c>
      <c r="C147" t="s">
        <v>52</v>
      </c>
      <c r="D147" t="s">
        <v>25</v>
      </c>
      <c r="E147">
        <v>41</v>
      </c>
      <c r="F147" t="s">
        <v>46</v>
      </c>
      <c r="G147" t="s">
        <v>32</v>
      </c>
      <c r="H147" t="s">
        <v>347</v>
      </c>
      <c r="I147">
        <v>2</v>
      </c>
      <c r="J147">
        <v>11</v>
      </c>
      <c r="K147">
        <v>233506</v>
      </c>
      <c r="L147">
        <v>3.1</v>
      </c>
      <c r="M147" t="s">
        <v>21</v>
      </c>
      <c r="N147">
        <v>63</v>
      </c>
    </row>
    <row r="148" spans="1:14" x14ac:dyDescent="0.35">
      <c r="A148" t="s">
        <v>348</v>
      </c>
      <c r="B148" t="s">
        <v>55</v>
      </c>
      <c r="C148" t="s">
        <v>24</v>
      </c>
      <c r="D148" t="s">
        <v>17</v>
      </c>
      <c r="E148">
        <v>40</v>
      </c>
      <c r="F148" t="s">
        <v>74</v>
      </c>
      <c r="G148" t="s">
        <v>85</v>
      </c>
      <c r="H148" t="s">
        <v>349</v>
      </c>
      <c r="I148">
        <v>15</v>
      </c>
      <c r="J148">
        <v>22</v>
      </c>
      <c r="K148">
        <v>413492</v>
      </c>
      <c r="L148">
        <v>3.5</v>
      </c>
      <c r="M148" t="s">
        <v>43</v>
      </c>
      <c r="N148">
        <v>88</v>
      </c>
    </row>
    <row r="149" spans="1:14" x14ac:dyDescent="0.35">
      <c r="A149" t="s">
        <v>350</v>
      </c>
      <c r="B149" t="s">
        <v>29</v>
      </c>
      <c r="C149" t="s">
        <v>49</v>
      </c>
      <c r="D149" t="s">
        <v>25</v>
      </c>
      <c r="E149">
        <v>50</v>
      </c>
      <c r="F149" t="s">
        <v>70</v>
      </c>
      <c r="G149" t="s">
        <v>41</v>
      </c>
      <c r="H149" t="s">
        <v>351</v>
      </c>
      <c r="I149">
        <v>9</v>
      </c>
      <c r="J149">
        <v>10</v>
      </c>
      <c r="K149">
        <v>198871</v>
      </c>
      <c r="L149">
        <v>2.7</v>
      </c>
      <c r="M149" t="s">
        <v>43</v>
      </c>
      <c r="N149">
        <v>96</v>
      </c>
    </row>
    <row r="150" spans="1:14" x14ac:dyDescent="0.35">
      <c r="A150" t="s">
        <v>352</v>
      </c>
      <c r="B150" t="s">
        <v>111</v>
      </c>
      <c r="C150" t="s">
        <v>56</v>
      </c>
      <c r="D150" t="s">
        <v>25</v>
      </c>
      <c r="E150">
        <v>59</v>
      </c>
      <c r="F150" t="s">
        <v>46</v>
      </c>
      <c r="G150" t="s">
        <v>75</v>
      </c>
      <c r="H150" t="s">
        <v>174</v>
      </c>
      <c r="I150">
        <v>12</v>
      </c>
      <c r="J150">
        <v>16</v>
      </c>
      <c r="K150">
        <v>215296</v>
      </c>
      <c r="L150">
        <v>3.6</v>
      </c>
      <c r="M150" t="s">
        <v>43</v>
      </c>
      <c r="N150">
        <v>79</v>
      </c>
    </row>
    <row r="151" spans="1:14" x14ac:dyDescent="0.35">
      <c r="A151" t="s">
        <v>353</v>
      </c>
      <c r="B151" t="s">
        <v>111</v>
      </c>
      <c r="C151" t="s">
        <v>16</v>
      </c>
      <c r="D151" t="s">
        <v>25</v>
      </c>
      <c r="E151">
        <v>22</v>
      </c>
      <c r="F151" t="s">
        <v>74</v>
      </c>
      <c r="G151" t="s">
        <v>41</v>
      </c>
      <c r="H151" t="s">
        <v>290</v>
      </c>
      <c r="I151">
        <v>15</v>
      </c>
      <c r="J151">
        <v>24</v>
      </c>
      <c r="K151">
        <v>199342</v>
      </c>
      <c r="L151">
        <v>3.2</v>
      </c>
      <c r="M151" t="s">
        <v>43</v>
      </c>
      <c r="N151">
        <v>94</v>
      </c>
    </row>
    <row r="152" spans="1:14" x14ac:dyDescent="0.35">
      <c r="A152" t="s">
        <v>354</v>
      </c>
      <c r="B152" t="s">
        <v>55</v>
      </c>
      <c r="C152" t="s">
        <v>64</v>
      </c>
      <c r="D152" t="s">
        <v>17</v>
      </c>
      <c r="E152">
        <v>52</v>
      </c>
      <c r="F152" t="s">
        <v>46</v>
      </c>
      <c r="G152" t="s">
        <v>61</v>
      </c>
      <c r="H152" t="s">
        <v>355</v>
      </c>
      <c r="I152">
        <v>13</v>
      </c>
      <c r="J152">
        <v>23</v>
      </c>
      <c r="K152">
        <v>59175</v>
      </c>
      <c r="L152">
        <v>3.7</v>
      </c>
      <c r="M152" t="s">
        <v>21</v>
      </c>
      <c r="N152">
        <v>36</v>
      </c>
    </row>
    <row r="153" spans="1:14" x14ac:dyDescent="0.35">
      <c r="A153" t="s">
        <v>356</v>
      </c>
      <c r="B153" t="s">
        <v>96</v>
      </c>
      <c r="C153" t="s">
        <v>30</v>
      </c>
      <c r="D153" t="s">
        <v>25</v>
      </c>
      <c r="E153">
        <v>52</v>
      </c>
      <c r="F153" t="s">
        <v>37</v>
      </c>
      <c r="G153" t="s">
        <v>26</v>
      </c>
      <c r="H153" t="s">
        <v>357</v>
      </c>
      <c r="I153">
        <v>15</v>
      </c>
      <c r="J153">
        <v>25</v>
      </c>
      <c r="K153">
        <v>435623</v>
      </c>
      <c r="L153">
        <v>2.5</v>
      </c>
      <c r="M153" t="s">
        <v>43</v>
      </c>
      <c r="N153">
        <v>76</v>
      </c>
    </row>
    <row r="154" spans="1:14" x14ac:dyDescent="0.35">
      <c r="A154" t="s">
        <v>358</v>
      </c>
      <c r="B154" t="s">
        <v>60</v>
      </c>
      <c r="C154" t="s">
        <v>16</v>
      </c>
      <c r="D154" t="s">
        <v>17</v>
      </c>
      <c r="E154">
        <v>48</v>
      </c>
      <c r="F154" t="s">
        <v>18</v>
      </c>
      <c r="G154" t="s">
        <v>19</v>
      </c>
      <c r="H154" t="s">
        <v>359</v>
      </c>
      <c r="I154">
        <v>12</v>
      </c>
      <c r="J154">
        <v>13</v>
      </c>
      <c r="K154">
        <v>287199</v>
      </c>
      <c r="L154">
        <v>3.9</v>
      </c>
      <c r="M154" t="s">
        <v>21</v>
      </c>
      <c r="N154">
        <v>42</v>
      </c>
    </row>
    <row r="155" spans="1:14" x14ac:dyDescent="0.35">
      <c r="A155" t="s">
        <v>360</v>
      </c>
      <c r="B155" t="s">
        <v>23</v>
      </c>
      <c r="C155" t="s">
        <v>56</v>
      </c>
      <c r="D155" t="s">
        <v>17</v>
      </c>
      <c r="E155">
        <v>56</v>
      </c>
      <c r="F155" t="s">
        <v>70</v>
      </c>
      <c r="G155" t="s">
        <v>26</v>
      </c>
      <c r="H155" t="s">
        <v>361</v>
      </c>
      <c r="I155">
        <v>4</v>
      </c>
      <c r="J155">
        <v>5</v>
      </c>
      <c r="K155">
        <v>380710</v>
      </c>
      <c r="L155">
        <v>4.2</v>
      </c>
      <c r="M155" t="s">
        <v>43</v>
      </c>
      <c r="N155">
        <v>92</v>
      </c>
    </row>
    <row r="156" spans="1:14" x14ac:dyDescent="0.35">
      <c r="A156" t="s">
        <v>362</v>
      </c>
      <c r="B156" t="s">
        <v>55</v>
      </c>
      <c r="C156" t="s">
        <v>24</v>
      </c>
      <c r="D156" t="s">
        <v>25</v>
      </c>
      <c r="E156">
        <v>56</v>
      </c>
      <c r="F156" t="s">
        <v>37</v>
      </c>
      <c r="G156" t="s">
        <v>19</v>
      </c>
      <c r="H156" t="s">
        <v>363</v>
      </c>
      <c r="I156">
        <v>10</v>
      </c>
      <c r="J156">
        <v>16</v>
      </c>
      <c r="K156">
        <v>292969</v>
      </c>
      <c r="L156">
        <v>3.6</v>
      </c>
      <c r="M156" t="s">
        <v>43</v>
      </c>
      <c r="N156">
        <v>79</v>
      </c>
    </row>
    <row r="157" spans="1:14" x14ac:dyDescent="0.35">
      <c r="A157" t="s">
        <v>364</v>
      </c>
      <c r="B157" t="s">
        <v>29</v>
      </c>
      <c r="C157" t="s">
        <v>24</v>
      </c>
      <c r="D157" t="s">
        <v>17</v>
      </c>
      <c r="E157">
        <v>46</v>
      </c>
      <c r="F157" t="s">
        <v>46</v>
      </c>
      <c r="G157" t="s">
        <v>26</v>
      </c>
      <c r="H157" t="s">
        <v>365</v>
      </c>
      <c r="I157">
        <v>2</v>
      </c>
      <c r="J157">
        <v>4</v>
      </c>
      <c r="K157">
        <v>301717</v>
      </c>
      <c r="L157">
        <v>2.5</v>
      </c>
      <c r="M157" t="s">
        <v>21</v>
      </c>
      <c r="N157">
        <v>37</v>
      </c>
    </row>
    <row r="158" spans="1:14" x14ac:dyDescent="0.35">
      <c r="A158" t="s">
        <v>366</v>
      </c>
      <c r="B158" t="s">
        <v>111</v>
      </c>
      <c r="C158" t="s">
        <v>93</v>
      </c>
      <c r="D158" t="s">
        <v>25</v>
      </c>
      <c r="E158">
        <v>32</v>
      </c>
      <c r="F158" t="s">
        <v>18</v>
      </c>
      <c r="G158" t="s">
        <v>71</v>
      </c>
      <c r="H158" t="s">
        <v>367</v>
      </c>
      <c r="I158">
        <v>4</v>
      </c>
      <c r="J158">
        <v>4</v>
      </c>
      <c r="K158">
        <v>344611</v>
      </c>
      <c r="L158">
        <v>2.2000000000000002</v>
      </c>
      <c r="M158" t="s">
        <v>43</v>
      </c>
      <c r="N158">
        <v>98</v>
      </c>
    </row>
    <row r="159" spans="1:14" x14ac:dyDescent="0.35">
      <c r="A159" t="s">
        <v>368</v>
      </c>
      <c r="B159" t="s">
        <v>96</v>
      </c>
      <c r="C159" t="s">
        <v>93</v>
      </c>
      <c r="D159" t="s">
        <v>25</v>
      </c>
      <c r="E159">
        <v>50</v>
      </c>
      <c r="F159" t="s">
        <v>70</v>
      </c>
      <c r="G159" t="s">
        <v>41</v>
      </c>
      <c r="H159" t="s">
        <v>369</v>
      </c>
      <c r="I159">
        <v>20</v>
      </c>
      <c r="J159">
        <v>24</v>
      </c>
      <c r="K159">
        <v>316054</v>
      </c>
      <c r="L159">
        <v>2</v>
      </c>
      <c r="M159" t="s">
        <v>21</v>
      </c>
      <c r="N159">
        <v>70</v>
      </c>
    </row>
    <row r="160" spans="1:14" x14ac:dyDescent="0.35">
      <c r="A160" t="s">
        <v>370</v>
      </c>
      <c r="B160" t="s">
        <v>78</v>
      </c>
      <c r="C160" t="s">
        <v>36</v>
      </c>
      <c r="D160" t="s">
        <v>25</v>
      </c>
      <c r="E160">
        <v>25</v>
      </c>
      <c r="F160" t="s">
        <v>70</v>
      </c>
      <c r="G160" t="s">
        <v>71</v>
      </c>
      <c r="H160" t="s">
        <v>371</v>
      </c>
      <c r="I160">
        <v>15</v>
      </c>
      <c r="J160">
        <v>23</v>
      </c>
      <c r="K160">
        <v>154472</v>
      </c>
      <c r="L160">
        <v>2.5</v>
      </c>
      <c r="M160" t="s">
        <v>43</v>
      </c>
      <c r="N160">
        <v>92</v>
      </c>
    </row>
    <row r="161" spans="1:14" x14ac:dyDescent="0.35">
      <c r="A161" t="s">
        <v>372</v>
      </c>
      <c r="B161" t="s">
        <v>69</v>
      </c>
      <c r="C161" t="s">
        <v>30</v>
      </c>
      <c r="D161" t="s">
        <v>25</v>
      </c>
      <c r="E161">
        <v>43</v>
      </c>
      <c r="F161" t="s">
        <v>31</v>
      </c>
      <c r="G161" t="s">
        <v>41</v>
      </c>
      <c r="H161" t="s">
        <v>373</v>
      </c>
      <c r="I161">
        <v>5</v>
      </c>
      <c r="J161">
        <v>5</v>
      </c>
      <c r="K161">
        <v>50749</v>
      </c>
      <c r="L161">
        <v>4.5</v>
      </c>
      <c r="M161" t="s">
        <v>21</v>
      </c>
      <c r="N161">
        <v>53</v>
      </c>
    </row>
    <row r="162" spans="1:14" x14ac:dyDescent="0.35">
      <c r="A162" t="s">
        <v>374</v>
      </c>
      <c r="B162" t="s">
        <v>23</v>
      </c>
      <c r="C162" t="s">
        <v>30</v>
      </c>
      <c r="D162" t="s">
        <v>25</v>
      </c>
      <c r="E162">
        <v>45</v>
      </c>
      <c r="F162" t="s">
        <v>18</v>
      </c>
      <c r="G162" t="s">
        <v>88</v>
      </c>
      <c r="H162" t="s">
        <v>375</v>
      </c>
      <c r="I162">
        <v>1</v>
      </c>
      <c r="J162">
        <v>4</v>
      </c>
      <c r="K162">
        <v>146100</v>
      </c>
      <c r="L162">
        <v>3.1</v>
      </c>
      <c r="M162" t="s">
        <v>43</v>
      </c>
      <c r="N162">
        <v>73</v>
      </c>
    </row>
    <row r="163" spans="1:14" x14ac:dyDescent="0.35">
      <c r="A163" t="s">
        <v>376</v>
      </c>
      <c r="B163" t="s">
        <v>35</v>
      </c>
      <c r="C163" t="s">
        <v>49</v>
      </c>
      <c r="D163" t="s">
        <v>17</v>
      </c>
      <c r="E163">
        <v>24</v>
      </c>
      <c r="F163" t="s">
        <v>79</v>
      </c>
      <c r="G163" t="s">
        <v>41</v>
      </c>
      <c r="H163" t="s">
        <v>377</v>
      </c>
      <c r="I163">
        <v>5</v>
      </c>
      <c r="J163">
        <v>12</v>
      </c>
      <c r="K163">
        <v>286083</v>
      </c>
      <c r="L163">
        <v>3.3</v>
      </c>
      <c r="M163" t="s">
        <v>21</v>
      </c>
      <c r="N163">
        <v>61</v>
      </c>
    </row>
    <row r="164" spans="1:14" x14ac:dyDescent="0.35">
      <c r="A164" t="s">
        <v>378</v>
      </c>
      <c r="B164" t="s">
        <v>96</v>
      </c>
      <c r="C164" t="s">
        <v>93</v>
      </c>
      <c r="D164" t="s">
        <v>17</v>
      </c>
      <c r="E164">
        <v>58</v>
      </c>
      <c r="F164" t="s">
        <v>37</v>
      </c>
      <c r="G164" t="s">
        <v>19</v>
      </c>
      <c r="H164" t="s">
        <v>379</v>
      </c>
      <c r="I164">
        <v>17</v>
      </c>
      <c r="J164">
        <v>18</v>
      </c>
      <c r="K164">
        <v>370574</v>
      </c>
      <c r="L164">
        <v>2.2999999999999998</v>
      </c>
      <c r="M164" t="s">
        <v>43</v>
      </c>
      <c r="N164">
        <v>83</v>
      </c>
    </row>
    <row r="165" spans="1:14" x14ac:dyDescent="0.35">
      <c r="A165" t="s">
        <v>380</v>
      </c>
      <c r="B165" t="s">
        <v>45</v>
      </c>
      <c r="C165" t="s">
        <v>82</v>
      </c>
      <c r="D165" t="s">
        <v>25</v>
      </c>
      <c r="E165">
        <v>29</v>
      </c>
      <c r="F165" t="s">
        <v>31</v>
      </c>
      <c r="G165" t="s">
        <v>71</v>
      </c>
      <c r="H165" t="s">
        <v>381</v>
      </c>
      <c r="I165">
        <v>5</v>
      </c>
      <c r="J165">
        <v>9</v>
      </c>
      <c r="K165">
        <v>219527</v>
      </c>
      <c r="L165">
        <v>3.2</v>
      </c>
      <c r="M165" t="s">
        <v>21</v>
      </c>
      <c r="N165">
        <v>30</v>
      </c>
    </row>
    <row r="166" spans="1:14" x14ac:dyDescent="0.35">
      <c r="A166" t="s">
        <v>382</v>
      </c>
      <c r="B166" t="s">
        <v>45</v>
      </c>
      <c r="C166" t="s">
        <v>82</v>
      </c>
      <c r="D166" t="s">
        <v>25</v>
      </c>
      <c r="E166">
        <v>39</v>
      </c>
      <c r="F166" t="s">
        <v>79</v>
      </c>
      <c r="G166" t="s">
        <v>57</v>
      </c>
      <c r="H166" t="s">
        <v>383</v>
      </c>
      <c r="I166">
        <v>9</v>
      </c>
      <c r="J166">
        <v>9</v>
      </c>
      <c r="K166">
        <v>351906</v>
      </c>
      <c r="L166">
        <v>3.1</v>
      </c>
      <c r="M166" t="s">
        <v>21</v>
      </c>
      <c r="N166">
        <v>51</v>
      </c>
    </row>
    <row r="167" spans="1:14" x14ac:dyDescent="0.35">
      <c r="A167" t="s">
        <v>384</v>
      </c>
      <c r="B167" t="s">
        <v>23</v>
      </c>
      <c r="C167" t="s">
        <v>56</v>
      </c>
      <c r="D167" t="s">
        <v>17</v>
      </c>
      <c r="E167">
        <v>38</v>
      </c>
      <c r="F167" t="s">
        <v>18</v>
      </c>
      <c r="G167" t="s">
        <v>75</v>
      </c>
      <c r="H167" t="s">
        <v>385</v>
      </c>
      <c r="I167">
        <v>1</v>
      </c>
      <c r="J167">
        <v>11</v>
      </c>
      <c r="K167">
        <v>415668</v>
      </c>
      <c r="L167">
        <v>2.7</v>
      </c>
      <c r="M167" t="s">
        <v>43</v>
      </c>
      <c r="N167">
        <v>72</v>
      </c>
    </row>
    <row r="168" spans="1:14" x14ac:dyDescent="0.35">
      <c r="A168" t="s">
        <v>386</v>
      </c>
      <c r="B168" t="s">
        <v>35</v>
      </c>
      <c r="C168" t="s">
        <v>64</v>
      </c>
      <c r="D168" t="s">
        <v>25</v>
      </c>
      <c r="E168">
        <v>31</v>
      </c>
      <c r="F168" t="s">
        <v>31</v>
      </c>
      <c r="G168" t="s">
        <v>26</v>
      </c>
      <c r="H168" t="s">
        <v>387</v>
      </c>
      <c r="I168">
        <v>16</v>
      </c>
      <c r="J168">
        <v>20</v>
      </c>
      <c r="K168">
        <v>252095</v>
      </c>
      <c r="L168">
        <v>4</v>
      </c>
      <c r="M168" t="s">
        <v>21</v>
      </c>
      <c r="N168">
        <v>61</v>
      </c>
    </row>
    <row r="169" spans="1:14" x14ac:dyDescent="0.35">
      <c r="A169" t="s">
        <v>388</v>
      </c>
      <c r="B169" t="s">
        <v>40</v>
      </c>
      <c r="C169" t="s">
        <v>56</v>
      </c>
      <c r="D169" t="s">
        <v>25</v>
      </c>
      <c r="E169">
        <v>22</v>
      </c>
      <c r="F169" t="s">
        <v>70</v>
      </c>
      <c r="G169" t="s">
        <v>32</v>
      </c>
      <c r="H169" t="s">
        <v>389</v>
      </c>
      <c r="I169">
        <v>17</v>
      </c>
      <c r="J169">
        <v>27</v>
      </c>
      <c r="K169">
        <v>265805</v>
      </c>
      <c r="L169">
        <v>4.4000000000000004</v>
      </c>
      <c r="M169" t="s">
        <v>21</v>
      </c>
      <c r="N169">
        <v>53</v>
      </c>
    </row>
    <row r="170" spans="1:14" x14ac:dyDescent="0.35">
      <c r="A170" t="s">
        <v>390</v>
      </c>
      <c r="B170" t="s">
        <v>78</v>
      </c>
      <c r="C170" t="s">
        <v>49</v>
      </c>
      <c r="D170" t="s">
        <v>25</v>
      </c>
      <c r="E170">
        <v>60</v>
      </c>
      <c r="F170" t="s">
        <v>46</v>
      </c>
      <c r="G170" t="s">
        <v>32</v>
      </c>
      <c r="H170" t="s">
        <v>391</v>
      </c>
      <c r="I170">
        <v>5</v>
      </c>
      <c r="J170">
        <v>13</v>
      </c>
      <c r="K170">
        <v>198814</v>
      </c>
      <c r="L170">
        <v>4.7</v>
      </c>
      <c r="M170" t="s">
        <v>21</v>
      </c>
      <c r="N170">
        <v>47</v>
      </c>
    </row>
    <row r="171" spans="1:14" x14ac:dyDescent="0.35">
      <c r="A171" t="s">
        <v>392</v>
      </c>
      <c r="B171" t="s">
        <v>60</v>
      </c>
      <c r="C171" t="s">
        <v>64</v>
      </c>
      <c r="D171" t="s">
        <v>17</v>
      </c>
      <c r="E171">
        <v>49</v>
      </c>
      <c r="F171" t="s">
        <v>37</v>
      </c>
      <c r="G171" t="s">
        <v>19</v>
      </c>
      <c r="H171" t="s">
        <v>393</v>
      </c>
      <c r="I171">
        <v>5</v>
      </c>
      <c r="J171">
        <v>11</v>
      </c>
      <c r="K171">
        <v>368572</v>
      </c>
      <c r="L171">
        <v>3</v>
      </c>
      <c r="M171" t="s">
        <v>43</v>
      </c>
      <c r="N171">
        <v>97</v>
      </c>
    </row>
    <row r="172" spans="1:14" x14ac:dyDescent="0.35">
      <c r="A172" t="s">
        <v>394</v>
      </c>
      <c r="B172" t="s">
        <v>69</v>
      </c>
      <c r="C172" t="s">
        <v>16</v>
      </c>
      <c r="D172" t="s">
        <v>25</v>
      </c>
      <c r="E172">
        <v>47</v>
      </c>
      <c r="F172" t="s">
        <v>70</v>
      </c>
      <c r="G172" t="s">
        <v>85</v>
      </c>
      <c r="H172" t="s">
        <v>395</v>
      </c>
      <c r="I172">
        <v>4</v>
      </c>
      <c r="J172">
        <v>5</v>
      </c>
      <c r="K172">
        <v>105911</v>
      </c>
      <c r="L172">
        <v>2.4</v>
      </c>
      <c r="M172" t="s">
        <v>43</v>
      </c>
      <c r="N172">
        <v>92</v>
      </c>
    </row>
    <row r="173" spans="1:14" x14ac:dyDescent="0.35">
      <c r="A173" t="s">
        <v>396</v>
      </c>
      <c r="B173" t="s">
        <v>78</v>
      </c>
      <c r="C173" t="s">
        <v>82</v>
      </c>
      <c r="D173" t="s">
        <v>17</v>
      </c>
      <c r="E173">
        <v>31</v>
      </c>
      <c r="F173" t="s">
        <v>18</v>
      </c>
      <c r="G173" t="s">
        <v>57</v>
      </c>
      <c r="H173" t="s">
        <v>397</v>
      </c>
      <c r="I173">
        <v>6</v>
      </c>
      <c r="J173">
        <v>14</v>
      </c>
      <c r="K173">
        <v>169650</v>
      </c>
      <c r="L173">
        <v>3.5</v>
      </c>
      <c r="M173" t="s">
        <v>21</v>
      </c>
      <c r="N173">
        <v>57</v>
      </c>
    </row>
    <row r="174" spans="1:14" x14ac:dyDescent="0.35">
      <c r="A174" t="s">
        <v>398</v>
      </c>
      <c r="B174" t="s">
        <v>23</v>
      </c>
      <c r="C174" t="s">
        <v>24</v>
      </c>
      <c r="D174" t="s">
        <v>25</v>
      </c>
      <c r="E174">
        <v>27</v>
      </c>
      <c r="F174" t="s">
        <v>46</v>
      </c>
      <c r="G174" t="s">
        <v>85</v>
      </c>
      <c r="H174" t="s">
        <v>399</v>
      </c>
      <c r="I174">
        <v>17</v>
      </c>
      <c r="J174">
        <v>26</v>
      </c>
      <c r="K174">
        <v>293265</v>
      </c>
      <c r="L174">
        <v>2.7</v>
      </c>
      <c r="M174" t="s">
        <v>43</v>
      </c>
      <c r="N174">
        <v>96</v>
      </c>
    </row>
    <row r="175" spans="1:14" x14ac:dyDescent="0.35">
      <c r="A175" t="s">
        <v>400</v>
      </c>
      <c r="B175" t="s">
        <v>111</v>
      </c>
      <c r="C175" t="s">
        <v>64</v>
      </c>
      <c r="D175" t="s">
        <v>17</v>
      </c>
      <c r="E175">
        <v>21</v>
      </c>
      <c r="F175" t="s">
        <v>74</v>
      </c>
      <c r="G175" t="s">
        <v>61</v>
      </c>
      <c r="H175" t="s">
        <v>401</v>
      </c>
      <c r="I175">
        <v>18</v>
      </c>
      <c r="J175">
        <v>22</v>
      </c>
      <c r="K175">
        <v>383133</v>
      </c>
      <c r="L175">
        <v>3.5</v>
      </c>
      <c r="M175" t="s">
        <v>21</v>
      </c>
      <c r="N175">
        <v>34</v>
      </c>
    </row>
    <row r="176" spans="1:14" x14ac:dyDescent="0.35">
      <c r="A176" t="s">
        <v>402</v>
      </c>
      <c r="B176" t="s">
        <v>78</v>
      </c>
      <c r="C176" t="s">
        <v>52</v>
      </c>
      <c r="D176" t="s">
        <v>17</v>
      </c>
      <c r="E176">
        <v>57</v>
      </c>
      <c r="F176" t="s">
        <v>18</v>
      </c>
      <c r="G176" t="s">
        <v>88</v>
      </c>
      <c r="H176" t="s">
        <v>403</v>
      </c>
      <c r="I176">
        <v>16</v>
      </c>
      <c r="J176">
        <v>19</v>
      </c>
      <c r="K176">
        <v>492104</v>
      </c>
      <c r="L176">
        <v>4.3</v>
      </c>
      <c r="M176" t="s">
        <v>21</v>
      </c>
      <c r="N176">
        <v>57</v>
      </c>
    </row>
    <row r="177" spans="1:14" x14ac:dyDescent="0.35">
      <c r="A177" t="s">
        <v>404</v>
      </c>
      <c r="B177" t="s">
        <v>96</v>
      </c>
      <c r="C177" t="s">
        <v>36</v>
      </c>
      <c r="D177" t="s">
        <v>17</v>
      </c>
      <c r="E177">
        <v>30</v>
      </c>
      <c r="F177" t="s">
        <v>70</v>
      </c>
      <c r="G177" t="s">
        <v>85</v>
      </c>
      <c r="H177" t="s">
        <v>405</v>
      </c>
      <c r="I177">
        <v>1</v>
      </c>
      <c r="J177">
        <v>1</v>
      </c>
      <c r="K177">
        <v>310529</v>
      </c>
      <c r="L177">
        <v>3.8</v>
      </c>
      <c r="M177" t="s">
        <v>21</v>
      </c>
      <c r="N177">
        <v>63</v>
      </c>
    </row>
    <row r="178" spans="1:14" x14ac:dyDescent="0.35">
      <c r="A178" t="s">
        <v>406</v>
      </c>
      <c r="B178" t="s">
        <v>78</v>
      </c>
      <c r="C178" t="s">
        <v>49</v>
      </c>
      <c r="D178" t="s">
        <v>25</v>
      </c>
      <c r="E178">
        <v>56</v>
      </c>
      <c r="F178" t="s">
        <v>74</v>
      </c>
      <c r="G178" t="s">
        <v>26</v>
      </c>
      <c r="H178" t="s">
        <v>407</v>
      </c>
      <c r="I178">
        <v>14</v>
      </c>
      <c r="J178">
        <v>20</v>
      </c>
      <c r="K178">
        <v>240648</v>
      </c>
      <c r="L178">
        <v>4.3</v>
      </c>
      <c r="M178" t="s">
        <v>43</v>
      </c>
      <c r="N178">
        <v>80</v>
      </c>
    </row>
    <row r="179" spans="1:14" x14ac:dyDescent="0.35">
      <c r="A179" t="s">
        <v>408</v>
      </c>
      <c r="B179" t="s">
        <v>78</v>
      </c>
      <c r="C179" t="s">
        <v>56</v>
      </c>
      <c r="D179" t="s">
        <v>25</v>
      </c>
      <c r="E179">
        <v>55</v>
      </c>
      <c r="F179" t="s">
        <v>79</v>
      </c>
      <c r="G179" t="s">
        <v>88</v>
      </c>
      <c r="H179" t="s">
        <v>409</v>
      </c>
      <c r="I179">
        <v>1</v>
      </c>
      <c r="J179">
        <v>8</v>
      </c>
      <c r="K179">
        <v>461560</v>
      </c>
      <c r="L179">
        <v>2.2000000000000002</v>
      </c>
      <c r="M179" t="s">
        <v>43</v>
      </c>
      <c r="N179">
        <v>75</v>
      </c>
    </row>
    <row r="180" spans="1:14" x14ac:dyDescent="0.35">
      <c r="A180" t="s">
        <v>410</v>
      </c>
      <c r="B180" t="s">
        <v>55</v>
      </c>
      <c r="C180" t="s">
        <v>16</v>
      </c>
      <c r="D180" t="s">
        <v>25</v>
      </c>
      <c r="E180">
        <v>50</v>
      </c>
      <c r="F180" t="s">
        <v>70</v>
      </c>
      <c r="G180" t="s">
        <v>88</v>
      </c>
      <c r="H180" t="s">
        <v>411</v>
      </c>
      <c r="I180">
        <v>10</v>
      </c>
      <c r="J180">
        <v>15</v>
      </c>
      <c r="K180">
        <v>92956</v>
      </c>
      <c r="L180">
        <v>2.8</v>
      </c>
      <c r="M180" t="s">
        <v>43</v>
      </c>
      <c r="N180">
        <v>95</v>
      </c>
    </row>
    <row r="181" spans="1:14" x14ac:dyDescent="0.35">
      <c r="A181" t="s">
        <v>412</v>
      </c>
      <c r="B181" t="s">
        <v>45</v>
      </c>
      <c r="C181" t="s">
        <v>82</v>
      </c>
      <c r="D181" t="s">
        <v>25</v>
      </c>
      <c r="E181">
        <v>26</v>
      </c>
      <c r="F181" t="s">
        <v>18</v>
      </c>
      <c r="G181" t="s">
        <v>19</v>
      </c>
      <c r="H181" t="s">
        <v>413</v>
      </c>
      <c r="I181">
        <v>4</v>
      </c>
      <c r="J181">
        <v>6</v>
      </c>
      <c r="K181">
        <v>495004</v>
      </c>
      <c r="L181">
        <v>2</v>
      </c>
      <c r="M181" t="s">
        <v>43</v>
      </c>
      <c r="N181">
        <v>84</v>
      </c>
    </row>
    <row r="182" spans="1:14" x14ac:dyDescent="0.35">
      <c r="A182" t="s">
        <v>414</v>
      </c>
      <c r="B182" t="s">
        <v>69</v>
      </c>
      <c r="C182" t="s">
        <v>52</v>
      </c>
      <c r="D182" t="s">
        <v>17</v>
      </c>
      <c r="E182">
        <v>54</v>
      </c>
      <c r="F182" t="s">
        <v>79</v>
      </c>
      <c r="G182" t="s">
        <v>71</v>
      </c>
      <c r="H182" t="s">
        <v>415</v>
      </c>
      <c r="I182">
        <v>14</v>
      </c>
      <c r="J182">
        <v>23</v>
      </c>
      <c r="K182">
        <v>350092</v>
      </c>
      <c r="L182">
        <v>2.6</v>
      </c>
      <c r="M182" t="s">
        <v>43</v>
      </c>
      <c r="N182">
        <v>72</v>
      </c>
    </row>
    <row r="183" spans="1:14" x14ac:dyDescent="0.35">
      <c r="A183" t="s">
        <v>416</v>
      </c>
      <c r="B183" t="s">
        <v>40</v>
      </c>
      <c r="C183" t="s">
        <v>82</v>
      </c>
      <c r="D183" t="s">
        <v>17</v>
      </c>
      <c r="E183">
        <v>30</v>
      </c>
      <c r="F183" t="s">
        <v>74</v>
      </c>
      <c r="G183" t="s">
        <v>61</v>
      </c>
      <c r="H183" t="s">
        <v>417</v>
      </c>
      <c r="I183">
        <v>1</v>
      </c>
      <c r="J183">
        <v>9</v>
      </c>
      <c r="K183">
        <v>412115</v>
      </c>
      <c r="L183">
        <v>4.0999999999999996</v>
      </c>
      <c r="M183" t="s">
        <v>21</v>
      </c>
      <c r="N183">
        <v>61</v>
      </c>
    </row>
    <row r="184" spans="1:14" x14ac:dyDescent="0.35">
      <c r="A184" t="s">
        <v>418</v>
      </c>
      <c r="B184" t="s">
        <v>78</v>
      </c>
      <c r="C184" t="s">
        <v>30</v>
      </c>
      <c r="D184" t="s">
        <v>17</v>
      </c>
      <c r="E184">
        <v>29</v>
      </c>
      <c r="F184" t="s">
        <v>70</v>
      </c>
      <c r="G184" t="s">
        <v>57</v>
      </c>
      <c r="H184" t="s">
        <v>419</v>
      </c>
      <c r="I184">
        <v>16</v>
      </c>
      <c r="J184">
        <v>17</v>
      </c>
      <c r="K184">
        <v>406967</v>
      </c>
      <c r="L184">
        <v>2.8</v>
      </c>
      <c r="M184" t="s">
        <v>43</v>
      </c>
      <c r="N184">
        <v>84</v>
      </c>
    </row>
    <row r="185" spans="1:14" x14ac:dyDescent="0.35">
      <c r="A185" t="s">
        <v>420</v>
      </c>
      <c r="B185" t="s">
        <v>45</v>
      </c>
      <c r="C185" t="s">
        <v>52</v>
      </c>
      <c r="D185" t="s">
        <v>17</v>
      </c>
      <c r="E185">
        <v>40</v>
      </c>
      <c r="F185" t="s">
        <v>79</v>
      </c>
      <c r="G185" t="s">
        <v>26</v>
      </c>
      <c r="H185" t="s">
        <v>421</v>
      </c>
      <c r="I185">
        <v>9</v>
      </c>
      <c r="J185">
        <v>15</v>
      </c>
      <c r="K185">
        <v>274038</v>
      </c>
      <c r="L185">
        <v>2.5</v>
      </c>
      <c r="M185" t="s">
        <v>21</v>
      </c>
      <c r="N185">
        <v>44</v>
      </c>
    </row>
    <row r="186" spans="1:14" x14ac:dyDescent="0.35">
      <c r="A186" t="s">
        <v>422</v>
      </c>
      <c r="B186" t="s">
        <v>23</v>
      </c>
      <c r="C186" t="s">
        <v>64</v>
      </c>
      <c r="D186" t="s">
        <v>25</v>
      </c>
      <c r="E186">
        <v>36</v>
      </c>
      <c r="F186" t="s">
        <v>37</v>
      </c>
      <c r="G186" t="s">
        <v>85</v>
      </c>
      <c r="H186" t="s">
        <v>423</v>
      </c>
      <c r="I186">
        <v>8</v>
      </c>
      <c r="J186">
        <v>10</v>
      </c>
      <c r="K186">
        <v>165132</v>
      </c>
      <c r="L186">
        <v>2.4</v>
      </c>
      <c r="M186" t="s">
        <v>21</v>
      </c>
      <c r="N186">
        <v>44</v>
      </c>
    </row>
    <row r="187" spans="1:14" x14ac:dyDescent="0.35">
      <c r="A187" t="s">
        <v>424</v>
      </c>
      <c r="B187" t="s">
        <v>60</v>
      </c>
      <c r="C187" t="s">
        <v>49</v>
      </c>
      <c r="D187" t="s">
        <v>17</v>
      </c>
      <c r="E187">
        <v>26</v>
      </c>
      <c r="F187" t="s">
        <v>74</v>
      </c>
      <c r="G187" t="s">
        <v>75</v>
      </c>
      <c r="H187" t="s">
        <v>425</v>
      </c>
      <c r="I187">
        <v>19</v>
      </c>
      <c r="J187">
        <v>28</v>
      </c>
      <c r="K187">
        <v>479080</v>
      </c>
      <c r="L187">
        <v>4.4000000000000004</v>
      </c>
      <c r="M187" t="s">
        <v>21</v>
      </c>
      <c r="N187">
        <v>67</v>
      </c>
    </row>
    <row r="188" spans="1:14" x14ac:dyDescent="0.35">
      <c r="A188" t="s">
        <v>426</v>
      </c>
      <c r="B188" t="s">
        <v>23</v>
      </c>
      <c r="C188" t="s">
        <v>93</v>
      </c>
      <c r="D188" t="s">
        <v>25</v>
      </c>
      <c r="E188">
        <v>36</v>
      </c>
      <c r="F188" t="s">
        <v>37</v>
      </c>
      <c r="G188" t="s">
        <v>41</v>
      </c>
      <c r="H188" t="s">
        <v>427</v>
      </c>
      <c r="I188">
        <v>20</v>
      </c>
      <c r="J188">
        <v>21</v>
      </c>
      <c r="K188">
        <v>169391</v>
      </c>
      <c r="L188">
        <v>3.5</v>
      </c>
      <c r="M188" t="s">
        <v>21</v>
      </c>
      <c r="N188">
        <v>49</v>
      </c>
    </row>
    <row r="189" spans="1:14" x14ac:dyDescent="0.35">
      <c r="A189" t="s">
        <v>428</v>
      </c>
      <c r="B189" t="s">
        <v>40</v>
      </c>
      <c r="C189" t="s">
        <v>56</v>
      </c>
      <c r="D189" t="s">
        <v>25</v>
      </c>
      <c r="E189">
        <v>55</v>
      </c>
      <c r="F189" t="s">
        <v>74</v>
      </c>
      <c r="G189" t="s">
        <v>61</v>
      </c>
      <c r="H189" t="s">
        <v>429</v>
      </c>
      <c r="I189">
        <v>17</v>
      </c>
      <c r="J189">
        <v>27</v>
      </c>
      <c r="K189">
        <v>145653</v>
      </c>
      <c r="L189">
        <v>4.3</v>
      </c>
      <c r="M189" t="s">
        <v>21</v>
      </c>
      <c r="N189">
        <v>42</v>
      </c>
    </row>
    <row r="190" spans="1:14" x14ac:dyDescent="0.35">
      <c r="A190" t="s">
        <v>430</v>
      </c>
      <c r="B190" t="s">
        <v>96</v>
      </c>
      <c r="C190" t="s">
        <v>93</v>
      </c>
      <c r="D190" t="s">
        <v>25</v>
      </c>
      <c r="E190">
        <v>37</v>
      </c>
      <c r="F190" t="s">
        <v>18</v>
      </c>
      <c r="G190" t="s">
        <v>85</v>
      </c>
      <c r="H190" t="s">
        <v>431</v>
      </c>
      <c r="I190">
        <v>17</v>
      </c>
      <c r="J190">
        <v>19</v>
      </c>
      <c r="K190">
        <v>429648</v>
      </c>
      <c r="L190">
        <v>4.5999999999999996</v>
      </c>
      <c r="M190" t="s">
        <v>43</v>
      </c>
      <c r="N190">
        <v>78</v>
      </c>
    </row>
    <row r="191" spans="1:14" x14ac:dyDescent="0.35">
      <c r="A191" t="s">
        <v>432</v>
      </c>
      <c r="B191" t="s">
        <v>78</v>
      </c>
      <c r="C191" t="s">
        <v>30</v>
      </c>
      <c r="D191" t="s">
        <v>17</v>
      </c>
      <c r="E191">
        <v>34</v>
      </c>
      <c r="F191" t="s">
        <v>74</v>
      </c>
      <c r="G191" t="s">
        <v>71</v>
      </c>
      <c r="H191" t="s">
        <v>433</v>
      </c>
      <c r="I191">
        <v>16</v>
      </c>
      <c r="J191">
        <v>16</v>
      </c>
      <c r="K191">
        <v>324813</v>
      </c>
      <c r="L191">
        <v>2.1</v>
      </c>
      <c r="M191" t="s">
        <v>43</v>
      </c>
      <c r="N191">
        <v>96</v>
      </c>
    </row>
    <row r="192" spans="1:14" x14ac:dyDescent="0.35">
      <c r="A192" t="s">
        <v>434</v>
      </c>
      <c r="B192" t="s">
        <v>23</v>
      </c>
      <c r="C192" t="s">
        <v>52</v>
      </c>
      <c r="D192" t="s">
        <v>25</v>
      </c>
      <c r="E192">
        <v>26</v>
      </c>
      <c r="F192" t="s">
        <v>46</v>
      </c>
      <c r="G192" t="s">
        <v>88</v>
      </c>
      <c r="H192" t="s">
        <v>435</v>
      </c>
      <c r="I192">
        <v>11</v>
      </c>
      <c r="J192">
        <v>16</v>
      </c>
      <c r="K192">
        <v>185697</v>
      </c>
      <c r="L192">
        <v>2</v>
      </c>
      <c r="M192" t="s">
        <v>43</v>
      </c>
      <c r="N192">
        <v>97</v>
      </c>
    </row>
    <row r="193" spans="1:14" x14ac:dyDescent="0.35">
      <c r="A193" t="s">
        <v>436</v>
      </c>
      <c r="B193" t="s">
        <v>40</v>
      </c>
      <c r="C193" t="s">
        <v>52</v>
      </c>
      <c r="D193" t="s">
        <v>25</v>
      </c>
      <c r="E193">
        <v>30</v>
      </c>
      <c r="F193" t="s">
        <v>31</v>
      </c>
      <c r="G193" t="s">
        <v>26</v>
      </c>
      <c r="H193" t="s">
        <v>437</v>
      </c>
      <c r="I193">
        <v>11</v>
      </c>
      <c r="J193">
        <v>19</v>
      </c>
      <c r="K193">
        <v>325418</v>
      </c>
      <c r="L193">
        <v>4.8</v>
      </c>
      <c r="M193" t="s">
        <v>21</v>
      </c>
      <c r="N193">
        <v>62</v>
      </c>
    </row>
    <row r="194" spans="1:14" x14ac:dyDescent="0.35">
      <c r="A194" t="s">
        <v>438</v>
      </c>
      <c r="B194" t="s">
        <v>35</v>
      </c>
      <c r="C194" t="s">
        <v>49</v>
      </c>
      <c r="D194" t="s">
        <v>17</v>
      </c>
      <c r="E194">
        <v>54</v>
      </c>
      <c r="F194" t="s">
        <v>46</v>
      </c>
      <c r="G194" t="s">
        <v>26</v>
      </c>
      <c r="H194" t="s">
        <v>439</v>
      </c>
      <c r="I194">
        <v>16</v>
      </c>
      <c r="J194">
        <v>19</v>
      </c>
      <c r="K194">
        <v>278814</v>
      </c>
      <c r="L194">
        <v>4.8</v>
      </c>
      <c r="M194" t="s">
        <v>21</v>
      </c>
      <c r="N194">
        <v>51</v>
      </c>
    </row>
    <row r="195" spans="1:14" x14ac:dyDescent="0.35">
      <c r="A195" t="s">
        <v>440</v>
      </c>
      <c r="B195" t="s">
        <v>69</v>
      </c>
      <c r="C195" t="s">
        <v>64</v>
      </c>
      <c r="D195" t="s">
        <v>25</v>
      </c>
      <c r="E195">
        <v>25</v>
      </c>
      <c r="F195" t="s">
        <v>70</v>
      </c>
      <c r="G195" t="s">
        <v>71</v>
      </c>
      <c r="H195" t="s">
        <v>441</v>
      </c>
      <c r="I195">
        <v>11</v>
      </c>
      <c r="J195">
        <v>21</v>
      </c>
      <c r="K195">
        <v>394513</v>
      </c>
      <c r="L195">
        <v>4.3</v>
      </c>
      <c r="M195" t="s">
        <v>21</v>
      </c>
      <c r="N195">
        <v>44</v>
      </c>
    </row>
    <row r="196" spans="1:14" x14ac:dyDescent="0.35">
      <c r="A196" t="s">
        <v>442</v>
      </c>
      <c r="B196" t="s">
        <v>45</v>
      </c>
      <c r="C196" t="s">
        <v>49</v>
      </c>
      <c r="D196" t="s">
        <v>25</v>
      </c>
      <c r="E196">
        <v>50</v>
      </c>
      <c r="F196" t="s">
        <v>70</v>
      </c>
      <c r="G196" t="s">
        <v>71</v>
      </c>
      <c r="H196" t="s">
        <v>443</v>
      </c>
      <c r="I196">
        <v>12</v>
      </c>
      <c r="J196">
        <v>12</v>
      </c>
      <c r="K196">
        <v>371414</v>
      </c>
      <c r="L196">
        <v>3.4</v>
      </c>
      <c r="M196" t="s">
        <v>21</v>
      </c>
      <c r="N196">
        <v>69</v>
      </c>
    </row>
    <row r="197" spans="1:14" x14ac:dyDescent="0.35">
      <c r="A197" t="s">
        <v>444</v>
      </c>
      <c r="B197" t="s">
        <v>35</v>
      </c>
      <c r="C197" t="s">
        <v>82</v>
      </c>
      <c r="D197" t="s">
        <v>17</v>
      </c>
      <c r="E197">
        <v>36</v>
      </c>
      <c r="F197" t="s">
        <v>74</v>
      </c>
      <c r="G197" t="s">
        <v>75</v>
      </c>
      <c r="H197" t="s">
        <v>445</v>
      </c>
      <c r="I197">
        <v>7</v>
      </c>
      <c r="J197">
        <v>16</v>
      </c>
      <c r="K197">
        <v>464517</v>
      </c>
      <c r="L197">
        <v>4.3</v>
      </c>
      <c r="M197" t="s">
        <v>43</v>
      </c>
      <c r="N197">
        <v>93</v>
      </c>
    </row>
    <row r="198" spans="1:14" x14ac:dyDescent="0.35">
      <c r="A198" t="s">
        <v>446</v>
      </c>
      <c r="B198" t="s">
        <v>55</v>
      </c>
      <c r="C198" t="s">
        <v>30</v>
      </c>
      <c r="D198" t="s">
        <v>17</v>
      </c>
      <c r="E198">
        <v>29</v>
      </c>
      <c r="F198" t="s">
        <v>37</v>
      </c>
      <c r="G198" t="s">
        <v>26</v>
      </c>
      <c r="H198" t="s">
        <v>447</v>
      </c>
      <c r="I198">
        <v>3</v>
      </c>
      <c r="J198">
        <v>5</v>
      </c>
      <c r="K198">
        <v>496562</v>
      </c>
      <c r="L198">
        <v>4.7</v>
      </c>
      <c r="M198" t="s">
        <v>43</v>
      </c>
      <c r="N198">
        <v>74</v>
      </c>
    </row>
    <row r="199" spans="1:14" x14ac:dyDescent="0.35">
      <c r="A199" t="s">
        <v>448</v>
      </c>
      <c r="B199" t="s">
        <v>15</v>
      </c>
      <c r="C199" t="s">
        <v>93</v>
      </c>
      <c r="D199" t="s">
        <v>17</v>
      </c>
      <c r="E199">
        <v>58</v>
      </c>
      <c r="F199" t="s">
        <v>31</v>
      </c>
      <c r="G199" t="s">
        <v>88</v>
      </c>
      <c r="H199" t="s">
        <v>449</v>
      </c>
      <c r="I199">
        <v>3</v>
      </c>
      <c r="J199">
        <v>3</v>
      </c>
      <c r="K199">
        <v>239271</v>
      </c>
      <c r="L199">
        <v>2</v>
      </c>
      <c r="M199" t="s">
        <v>21</v>
      </c>
      <c r="N199">
        <v>30</v>
      </c>
    </row>
    <row r="200" spans="1:14" x14ac:dyDescent="0.35">
      <c r="A200" t="s">
        <v>450</v>
      </c>
      <c r="B200" t="s">
        <v>29</v>
      </c>
      <c r="C200" t="s">
        <v>52</v>
      </c>
      <c r="D200" t="s">
        <v>17</v>
      </c>
      <c r="E200">
        <v>25</v>
      </c>
      <c r="F200" t="s">
        <v>37</v>
      </c>
      <c r="G200" t="s">
        <v>57</v>
      </c>
      <c r="H200" t="s">
        <v>451</v>
      </c>
      <c r="I200">
        <v>4</v>
      </c>
      <c r="J200">
        <v>8</v>
      </c>
      <c r="K200">
        <v>369622</v>
      </c>
      <c r="L200">
        <v>5</v>
      </c>
      <c r="M200" t="s">
        <v>43</v>
      </c>
      <c r="N200">
        <v>96</v>
      </c>
    </row>
    <row r="201" spans="1:14" x14ac:dyDescent="0.35">
      <c r="A201" t="s">
        <v>452</v>
      </c>
      <c r="B201" t="s">
        <v>15</v>
      </c>
      <c r="C201" t="s">
        <v>36</v>
      </c>
      <c r="D201" t="s">
        <v>25</v>
      </c>
      <c r="E201">
        <v>36</v>
      </c>
      <c r="F201" t="s">
        <v>18</v>
      </c>
      <c r="G201" t="s">
        <v>88</v>
      </c>
      <c r="H201" t="s">
        <v>453</v>
      </c>
      <c r="I201">
        <v>9</v>
      </c>
      <c r="J201">
        <v>14</v>
      </c>
      <c r="K201">
        <v>289651</v>
      </c>
      <c r="L201">
        <v>2.4</v>
      </c>
      <c r="M201" t="s">
        <v>21</v>
      </c>
      <c r="N201">
        <v>44</v>
      </c>
    </row>
    <row r="202" spans="1:14" x14ac:dyDescent="0.35">
      <c r="A202" t="s">
        <v>454</v>
      </c>
      <c r="B202" t="s">
        <v>96</v>
      </c>
      <c r="C202" t="s">
        <v>36</v>
      </c>
      <c r="D202" t="s">
        <v>17</v>
      </c>
      <c r="E202">
        <v>34</v>
      </c>
      <c r="F202" t="s">
        <v>74</v>
      </c>
      <c r="G202" t="s">
        <v>41</v>
      </c>
      <c r="H202" t="s">
        <v>455</v>
      </c>
      <c r="I202">
        <v>3</v>
      </c>
      <c r="J202">
        <v>12</v>
      </c>
      <c r="K202">
        <v>213487</v>
      </c>
      <c r="L202">
        <v>2.9</v>
      </c>
      <c r="M202" t="s">
        <v>43</v>
      </c>
      <c r="N202">
        <v>87</v>
      </c>
    </row>
    <row r="203" spans="1:14" x14ac:dyDescent="0.35">
      <c r="A203" t="s">
        <v>456</v>
      </c>
      <c r="B203" t="s">
        <v>78</v>
      </c>
      <c r="C203" t="s">
        <v>24</v>
      </c>
      <c r="D203" t="s">
        <v>17</v>
      </c>
      <c r="E203">
        <v>26</v>
      </c>
      <c r="F203" t="s">
        <v>31</v>
      </c>
      <c r="G203" t="s">
        <v>26</v>
      </c>
      <c r="H203" t="s">
        <v>457</v>
      </c>
      <c r="I203">
        <v>7</v>
      </c>
      <c r="J203">
        <v>16</v>
      </c>
      <c r="K203">
        <v>243433</v>
      </c>
      <c r="L203">
        <v>3</v>
      </c>
      <c r="M203" t="s">
        <v>21</v>
      </c>
      <c r="N203">
        <v>65</v>
      </c>
    </row>
    <row r="204" spans="1:14" x14ac:dyDescent="0.35">
      <c r="A204" t="s">
        <v>458</v>
      </c>
      <c r="B204" t="s">
        <v>78</v>
      </c>
      <c r="C204" t="s">
        <v>24</v>
      </c>
      <c r="D204" t="s">
        <v>17</v>
      </c>
      <c r="E204">
        <v>42</v>
      </c>
      <c r="F204" t="s">
        <v>46</v>
      </c>
      <c r="G204" t="s">
        <v>61</v>
      </c>
      <c r="H204" t="s">
        <v>459</v>
      </c>
      <c r="I204">
        <v>13</v>
      </c>
      <c r="J204">
        <v>22</v>
      </c>
      <c r="K204">
        <v>69819</v>
      </c>
      <c r="L204">
        <v>2.7</v>
      </c>
      <c r="M204" t="s">
        <v>43</v>
      </c>
      <c r="N204">
        <v>86</v>
      </c>
    </row>
    <row r="205" spans="1:14" x14ac:dyDescent="0.35">
      <c r="A205" t="s">
        <v>460</v>
      </c>
      <c r="B205" t="s">
        <v>111</v>
      </c>
      <c r="C205" t="s">
        <v>64</v>
      </c>
      <c r="D205" t="s">
        <v>25</v>
      </c>
      <c r="E205">
        <v>48</v>
      </c>
      <c r="F205" t="s">
        <v>74</v>
      </c>
      <c r="G205" t="s">
        <v>71</v>
      </c>
      <c r="H205" t="s">
        <v>461</v>
      </c>
      <c r="I205">
        <v>16</v>
      </c>
      <c r="J205">
        <v>26</v>
      </c>
      <c r="K205">
        <v>345296</v>
      </c>
      <c r="L205">
        <v>2.5</v>
      </c>
      <c r="M205" t="s">
        <v>21</v>
      </c>
      <c r="N205">
        <v>70</v>
      </c>
    </row>
    <row r="206" spans="1:14" x14ac:dyDescent="0.35">
      <c r="A206" t="s">
        <v>462</v>
      </c>
      <c r="B206" t="s">
        <v>60</v>
      </c>
      <c r="C206" t="s">
        <v>16</v>
      </c>
      <c r="D206" t="s">
        <v>25</v>
      </c>
      <c r="E206">
        <v>47</v>
      </c>
      <c r="F206" t="s">
        <v>31</v>
      </c>
      <c r="G206" t="s">
        <v>26</v>
      </c>
      <c r="H206" t="s">
        <v>463</v>
      </c>
      <c r="I206">
        <v>11</v>
      </c>
      <c r="J206">
        <v>11</v>
      </c>
      <c r="K206">
        <v>225755</v>
      </c>
      <c r="L206">
        <v>2.7</v>
      </c>
      <c r="M206" t="s">
        <v>43</v>
      </c>
      <c r="N206">
        <v>86</v>
      </c>
    </row>
    <row r="207" spans="1:14" x14ac:dyDescent="0.35">
      <c r="A207" t="s">
        <v>464</v>
      </c>
      <c r="B207" t="s">
        <v>60</v>
      </c>
      <c r="C207" t="s">
        <v>82</v>
      </c>
      <c r="D207" t="s">
        <v>25</v>
      </c>
      <c r="E207">
        <v>56</v>
      </c>
      <c r="F207" t="s">
        <v>18</v>
      </c>
      <c r="G207" t="s">
        <v>26</v>
      </c>
      <c r="H207" t="s">
        <v>465</v>
      </c>
      <c r="I207">
        <v>1</v>
      </c>
      <c r="J207">
        <v>9</v>
      </c>
      <c r="K207">
        <v>90183</v>
      </c>
      <c r="L207">
        <v>2.6</v>
      </c>
      <c r="M207" t="s">
        <v>21</v>
      </c>
      <c r="N207">
        <v>55</v>
      </c>
    </row>
    <row r="208" spans="1:14" x14ac:dyDescent="0.35">
      <c r="A208" t="s">
        <v>466</v>
      </c>
      <c r="B208" t="s">
        <v>40</v>
      </c>
      <c r="C208" t="s">
        <v>56</v>
      </c>
      <c r="D208" t="s">
        <v>17</v>
      </c>
      <c r="E208">
        <v>40</v>
      </c>
      <c r="F208" t="s">
        <v>18</v>
      </c>
      <c r="G208" t="s">
        <v>61</v>
      </c>
      <c r="H208" t="s">
        <v>467</v>
      </c>
      <c r="I208">
        <v>12</v>
      </c>
      <c r="J208">
        <v>22</v>
      </c>
      <c r="K208">
        <v>85049</v>
      </c>
      <c r="L208">
        <v>2</v>
      </c>
      <c r="M208" t="s">
        <v>21</v>
      </c>
      <c r="N208">
        <v>37</v>
      </c>
    </row>
    <row r="209" spans="1:14" x14ac:dyDescent="0.35">
      <c r="A209" t="s">
        <v>468</v>
      </c>
      <c r="B209" t="s">
        <v>45</v>
      </c>
      <c r="C209" t="s">
        <v>36</v>
      </c>
      <c r="D209" t="s">
        <v>17</v>
      </c>
      <c r="E209">
        <v>43</v>
      </c>
      <c r="F209" t="s">
        <v>74</v>
      </c>
      <c r="G209" t="s">
        <v>57</v>
      </c>
      <c r="H209" t="s">
        <v>469</v>
      </c>
      <c r="I209">
        <v>7</v>
      </c>
      <c r="J209">
        <v>15</v>
      </c>
      <c r="K209">
        <v>495497</v>
      </c>
      <c r="L209">
        <v>3.8</v>
      </c>
      <c r="M209" t="s">
        <v>21</v>
      </c>
      <c r="N209">
        <v>56</v>
      </c>
    </row>
    <row r="210" spans="1:14" x14ac:dyDescent="0.35">
      <c r="A210" t="s">
        <v>470</v>
      </c>
      <c r="B210" t="s">
        <v>40</v>
      </c>
      <c r="C210" t="s">
        <v>56</v>
      </c>
      <c r="D210" t="s">
        <v>25</v>
      </c>
      <c r="E210">
        <v>56</v>
      </c>
      <c r="F210" t="s">
        <v>74</v>
      </c>
      <c r="G210" t="s">
        <v>71</v>
      </c>
      <c r="H210" t="s">
        <v>471</v>
      </c>
      <c r="I210">
        <v>17</v>
      </c>
      <c r="J210">
        <v>25</v>
      </c>
      <c r="K210">
        <v>199402</v>
      </c>
      <c r="L210">
        <v>3.9</v>
      </c>
      <c r="M210" t="s">
        <v>21</v>
      </c>
      <c r="N210">
        <v>58</v>
      </c>
    </row>
    <row r="211" spans="1:14" x14ac:dyDescent="0.35">
      <c r="A211" t="s">
        <v>472</v>
      </c>
      <c r="B211" t="s">
        <v>40</v>
      </c>
      <c r="C211" t="s">
        <v>56</v>
      </c>
      <c r="D211" t="s">
        <v>17</v>
      </c>
      <c r="E211">
        <v>40</v>
      </c>
      <c r="F211" t="s">
        <v>18</v>
      </c>
      <c r="G211" t="s">
        <v>19</v>
      </c>
      <c r="H211" t="s">
        <v>473</v>
      </c>
      <c r="I211">
        <v>8</v>
      </c>
      <c r="J211">
        <v>12</v>
      </c>
      <c r="K211">
        <v>184208</v>
      </c>
      <c r="L211">
        <v>2.9</v>
      </c>
      <c r="M211" t="s">
        <v>43</v>
      </c>
      <c r="N211">
        <v>79</v>
      </c>
    </row>
    <row r="212" spans="1:14" x14ac:dyDescent="0.35">
      <c r="A212" t="s">
        <v>474</v>
      </c>
      <c r="B212" t="s">
        <v>111</v>
      </c>
      <c r="C212" t="s">
        <v>24</v>
      </c>
      <c r="D212" t="s">
        <v>17</v>
      </c>
      <c r="E212">
        <v>25</v>
      </c>
      <c r="F212" t="s">
        <v>31</v>
      </c>
      <c r="G212" t="s">
        <v>57</v>
      </c>
      <c r="H212" t="s">
        <v>475</v>
      </c>
      <c r="I212">
        <v>9</v>
      </c>
      <c r="J212">
        <v>14</v>
      </c>
      <c r="K212">
        <v>111719</v>
      </c>
      <c r="L212">
        <v>3.6</v>
      </c>
      <c r="M212" t="s">
        <v>43</v>
      </c>
      <c r="N212">
        <v>78</v>
      </c>
    </row>
    <row r="213" spans="1:14" x14ac:dyDescent="0.35">
      <c r="A213" t="s">
        <v>476</v>
      </c>
      <c r="B213" t="s">
        <v>55</v>
      </c>
      <c r="C213" t="s">
        <v>52</v>
      </c>
      <c r="D213" t="s">
        <v>17</v>
      </c>
      <c r="E213">
        <v>51</v>
      </c>
      <c r="F213" t="s">
        <v>70</v>
      </c>
      <c r="G213" t="s">
        <v>71</v>
      </c>
      <c r="H213" t="s">
        <v>477</v>
      </c>
      <c r="I213">
        <v>13</v>
      </c>
      <c r="J213">
        <v>18</v>
      </c>
      <c r="K213">
        <v>84892</v>
      </c>
      <c r="L213">
        <v>4.7</v>
      </c>
      <c r="M213" t="s">
        <v>43</v>
      </c>
      <c r="N213">
        <v>78</v>
      </c>
    </row>
    <row r="214" spans="1:14" x14ac:dyDescent="0.35">
      <c r="A214" t="s">
        <v>478</v>
      </c>
      <c r="B214" t="s">
        <v>111</v>
      </c>
      <c r="C214" t="s">
        <v>30</v>
      </c>
      <c r="D214" t="s">
        <v>17</v>
      </c>
      <c r="E214">
        <v>51</v>
      </c>
      <c r="F214" t="s">
        <v>46</v>
      </c>
      <c r="G214" t="s">
        <v>85</v>
      </c>
      <c r="H214" t="s">
        <v>479</v>
      </c>
      <c r="I214">
        <v>11</v>
      </c>
      <c r="J214">
        <v>20</v>
      </c>
      <c r="K214">
        <v>132345</v>
      </c>
      <c r="L214">
        <v>4.3</v>
      </c>
      <c r="M214" t="s">
        <v>21</v>
      </c>
      <c r="N214">
        <v>69</v>
      </c>
    </row>
    <row r="215" spans="1:14" x14ac:dyDescent="0.35">
      <c r="A215" t="s">
        <v>480</v>
      </c>
      <c r="B215" t="s">
        <v>35</v>
      </c>
      <c r="C215" t="s">
        <v>52</v>
      </c>
      <c r="D215" t="s">
        <v>25</v>
      </c>
      <c r="E215">
        <v>24</v>
      </c>
      <c r="F215" t="s">
        <v>18</v>
      </c>
      <c r="G215" t="s">
        <v>26</v>
      </c>
      <c r="H215" t="s">
        <v>481</v>
      </c>
      <c r="I215">
        <v>19</v>
      </c>
      <c r="J215">
        <v>23</v>
      </c>
      <c r="K215">
        <v>74602</v>
      </c>
      <c r="L215">
        <v>3.1</v>
      </c>
      <c r="M215" t="s">
        <v>21</v>
      </c>
      <c r="N215">
        <v>30</v>
      </c>
    </row>
    <row r="216" spans="1:14" x14ac:dyDescent="0.35">
      <c r="A216" t="s">
        <v>482</v>
      </c>
      <c r="B216" t="s">
        <v>29</v>
      </c>
      <c r="C216" t="s">
        <v>52</v>
      </c>
      <c r="D216" t="s">
        <v>25</v>
      </c>
      <c r="E216">
        <v>25</v>
      </c>
      <c r="F216" t="s">
        <v>79</v>
      </c>
      <c r="G216" t="s">
        <v>71</v>
      </c>
      <c r="H216" t="s">
        <v>483</v>
      </c>
      <c r="I216">
        <v>6</v>
      </c>
      <c r="J216">
        <v>9</v>
      </c>
      <c r="K216">
        <v>467079</v>
      </c>
      <c r="L216">
        <v>2.2000000000000002</v>
      </c>
      <c r="M216" t="s">
        <v>21</v>
      </c>
      <c r="N216">
        <v>38</v>
      </c>
    </row>
    <row r="217" spans="1:14" x14ac:dyDescent="0.35">
      <c r="A217" t="s">
        <v>484</v>
      </c>
      <c r="B217" t="s">
        <v>111</v>
      </c>
      <c r="C217" t="s">
        <v>30</v>
      </c>
      <c r="D217" t="s">
        <v>25</v>
      </c>
      <c r="E217">
        <v>30</v>
      </c>
      <c r="F217" t="s">
        <v>79</v>
      </c>
      <c r="G217" t="s">
        <v>19</v>
      </c>
      <c r="H217" t="s">
        <v>485</v>
      </c>
      <c r="I217">
        <v>3</v>
      </c>
      <c r="J217">
        <v>11</v>
      </c>
      <c r="K217">
        <v>380431</v>
      </c>
      <c r="L217">
        <v>3.7</v>
      </c>
      <c r="M217" t="s">
        <v>21</v>
      </c>
      <c r="N217">
        <v>56</v>
      </c>
    </row>
    <row r="218" spans="1:14" x14ac:dyDescent="0.35">
      <c r="A218" t="s">
        <v>486</v>
      </c>
      <c r="B218" t="s">
        <v>29</v>
      </c>
      <c r="C218" t="s">
        <v>52</v>
      </c>
      <c r="D218" t="s">
        <v>25</v>
      </c>
      <c r="E218">
        <v>30</v>
      </c>
      <c r="F218" t="s">
        <v>46</v>
      </c>
      <c r="G218" t="s">
        <v>19</v>
      </c>
      <c r="H218" t="s">
        <v>487</v>
      </c>
      <c r="I218">
        <v>7</v>
      </c>
      <c r="J218">
        <v>8</v>
      </c>
      <c r="K218">
        <v>89668</v>
      </c>
      <c r="L218">
        <v>2.5</v>
      </c>
      <c r="M218" t="s">
        <v>21</v>
      </c>
      <c r="N218">
        <v>44</v>
      </c>
    </row>
    <row r="219" spans="1:14" x14ac:dyDescent="0.35">
      <c r="A219" t="s">
        <v>488</v>
      </c>
      <c r="B219" t="s">
        <v>55</v>
      </c>
      <c r="C219" t="s">
        <v>30</v>
      </c>
      <c r="D219" t="s">
        <v>25</v>
      </c>
      <c r="E219">
        <v>52</v>
      </c>
      <c r="F219" t="s">
        <v>18</v>
      </c>
      <c r="G219" t="s">
        <v>88</v>
      </c>
      <c r="H219" t="s">
        <v>489</v>
      </c>
      <c r="I219">
        <v>7</v>
      </c>
      <c r="J219">
        <v>8</v>
      </c>
      <c r="K219">
        <v>405260</v>
      </c>
      <c r="L219">
        <v>4.8</v>
      </c>
      <c r="M219" t="s">
        <v>21</v>
      </c>
      <c r="N219">
        <v>39</v>
      </c>
    </row>
    <row r="220" spans="1:14" x14ac:dyDescent="0.35">
      <c r="A220" t="s">
        <v>490</v>
      </c>
      <c r="B220" t="s">
        <v>45</v>
      </c>
      <c r="C220" t="s">
        <v>64</v>
      </c>
      <c r="D220" t="s">
        <v>25</v>
      </c>
      <c r="E220">
        <v>28</v>
      </c>
      <c r="F220" t="s">
        <v>31</v>
      </c>
      <c r="G220" t="s">
        <v>75</v>
      </c>
      <c r="H220" t="s">
        <v>491</v>
      </c>
      <c r="I220">
        <v>3</v>
      </c>
      <c r="J220">
        <v>6</v>
      </c>
      <c r="K220">
        <v>481392</v>
      </c>
      <c r="L220">
        <v>2.1</v>
      </c>
      <c r="M220" t="s">
        <v>43</v>
      </c>
      <c r="N220">
        <v>97</v>
      </c>
    </row>
    <row r="221" spans="1:14" x14ac:dyDescent="0.35">
      <c r="A221" t="s">
        <v>492</v>
      </c>
      <c r="B221" t="s">
        <v>40</v>
      </c>
      <c r="C221" t="s">
        <v>24</v>
      </c>
      <c r="D221" t="s">
        <v>17</v>
      </c>
      <c r="E221">
        <v>54</v>
      </c>
      <c r="F221" t="s">
        <v>37</v>
      </c>
      <c r="G221" t="s">
        <v>85</v>
      </c>
      <c r="H221" t="s">
        <v>493</v>
      </c>
      <c r="I221">
        <v>11</v>
      </c>
      <c r="J221">
        <v>19</v>
      </c>
      <c r="K221">
        <v>413082</v>
      </c>
      <c r="L221">
        <v>3.9</v>
      </c>
      <c r="M221" t="s">
        <v>21</v>
      </c>
      <c r="N221">
        <v>70</v>
      </c>
    </row>
    <row r="222" spans="1:14" x14ac:dyDescent="0.35">
      <c r="A222" t="s">
        <v>494</v>
      </c>
      <c r="B222" t="s">
        <v>69</v>
      </c>
      <c r="C222" t="s">
        <v>36</v>
      </c>
      <c r="D222" t="s">
        <v>17</v>
      </c>
      <c r="E222">
        <v>48</v>
      </c>
      <c r="F222" t="s">
        <v>37</v>
      </c>
      <c r="G222" t="s">
        <v>26</v>
      </c>
      <c r="H222" t="s">
        <v>495</v>
      </c>
      <c r="I222">
        <v>16</v>
      </c>
      <c r="J222">
        <v>18</v>
      </c>
      <c r="K222">
        <v>384675</v>
      </c>
      <c r="L222">
        <v>2</v>
      </c>
      <c r="M222" t="s">
        <v>21</v>
      </c>
      <c r="N222">
        <v>34</v>
      </c>
    </row>
    <row r="223" spans="1:14" x14ac:dyDescent="0.35">
      <c r="A223" t="s">
        <v>496</v>
      </c>
      <c r="B223" t="s">
        <v>40</v>
      </c>
      <c r="C223" t="s">
        <v>64</v>
      </c>
      <c r="D223" t="s">
        <v>25</v>
      </c>
      <c r="E223">
        <v>24</v>
      </c>
      <c r="F223" t="s">
        <v>37</v>
      </c>
      <c r="G223" t="s">
        <v>32</v>
      </c>
      <c r="H223" t="s">
        <v>497</v>
      </c>
      <c r="I223">
        <v>3</v>
      </c>
      <c r="J223">
        <v>13</v>
      </c>
      <c r="K223">
        <v>169010</v>
      </c>
      <c r="L223">
        <v>2.5</v>
      </c>
      <c r="M223" t="s">
        <v>43</v>
      </c>
      <c r="N223">
        <v>79</v>
      </c>
    </row>
    <row r="224" spans="1:14" x14ac:dyDescent="0.35">
      <c r="A224" t="s">
        <v>498</v>
      </c>
      <c r="B224" t="s">
        <v>45</v>
      </c>
      <c r="C224" t="s">
        <v>93</v>
      </c>
      <c r="D224" t="s">
        <v>17</v>
      </c>
      <c r="E224">
        <v>30</v>
      </c>
      <c r="F224" t="s">
        <v>74</v>
      </c>
      <c r="G224" t="s">
        <v>85</v>
      </c>
      <c r="H224" t="s">
        <v>499</v>
      </c>
      <c r="I224">
        <v>20</v>
      </c>
      <c r="J224">
        <v>30</v>
      </c>
      <c r="K224">
        <v>90085</v>
      </c>
      <c r="L224">
        <v>4.3</v>
      </c>
      <c r="M224" t="s">
        <v>21</v>
      </c>
      <c r="N224">
        <v>53</v>
      </c>
    </row>
    <row r="225" spans="1:14" x14ac:dyDescent="0.35">
      <c r="A225" t="s">
        <v>500</v>
      </c>
      <c r="B225" t="s">
        <v>96</v>
      </c>
      <c r="C225" t="s">
        <v>82</v>
      </c>
      <c r="D225" t="s">
        <v>25</v>
      </c>
      <c r="E225">
        <v>60</v>
      </c>
      <c r="F225" t="s">
        <v>79</v>
      </c>
      <c r="G225" t="s">
        <v>61</v>
      </c>
      <c r="H225" t="s">
        <v>501</v>
      </c>
      <c r="I225">
        <v>19</v>
      </c>
      <c r="J225">
        <v>27</v>
      </c>
      <c r="K225">
        <v>318837</v>
      </c>
      <c r="L225">
        <v>4.7</v>
      </c>
      <c r="M225" t="s">
        <v>21</v>
      </c>
      <c r="N225">
        <v>39</v>
      </c>
    </row>
    <row r="226" spans="1:14" x14ac:dyDescent="0.35">
      <c r="A226" t="s">
        <v>502</v>
      </c>
      <c r="B226" t="s">
        <v>15</v>
      </c>
      <c r="C226" t="s">
        <v>52</v>
      </c>
      <c r="D226" t="s">
        <v>25</v>
      </c>
      <c r="E226">
        <v>56</v>
      </c>
      <c r="F226" t="s">
        <v>70</v>
      </c>
      <c r="G226" t="s">
        <v>71</v>
      </c>
      <c r="H226" t="s">
        <v>503</v>
      </c>
      <c r="I226">
        <v>8</v>
      </c>
      <c r="J226">
        <v>17</v>
      </c>
      <c r="K226">
        <v>94842</v>
      </c>
      <c r="L226">
        <v>4.2</v>
      </c>
      <c r="M226" t="s">
        <v>21</v>
      </c>
      <c r="N226">
        <v>37</v>
      </c>
    </row>
    <row r="227" spans="1:14" x14ac:dyDescent="0.35">
      <c r="A227" t="s">
        <v>504</v>
      </c>
      <c r="B227" t="s">
        <v>55</v>
      </c>
      <c r="C227" t="s">
        <v>52</v>
      </c>
      <c r="D227" t="s">
        <v>17</v>
      </c>
      <c r="E227">
        <v>23</v>
      </c>
      <c r="F227" t="s">
        <v>18</v>
      </c>
      <c r="G227" t="s">
        <v>41</v>
      </c>
      <c r="H227" t="s">
        <v>505</v>
      </c>
      <c r="I227">
        <v>0</v>
      </c>
      <c r="J227">
        <v>3</v>
      </c>
      <c r="K227">
        <v>121074</v>
      </c>
      <c r="L227">
        <v>3.8</v>
      </c>
      <c r="M227" t="s">
        <v>43</v>
      </c>
      <c r="N227">
        <v>84</v>
      </c>
    </row>
    <row r="228" spans="1:14" x14ac:dyDescent="0.35">
      <c r="A228" t="s">
        <v>506</v>
      </c>
      <c r="B228" t="s">
        <v>23</v>
      </c>
      <c r="C228" t="s">
        <v>24</v>
      </c>
      <c r="D228" t="s">
        <v>25</v>
      </c>
      <c r="E228">
        <v>30</v>
      </c>
      <c r="F228" t="s">
        <v>37</v>
      </c>
      <c r="G228" t="s">
        <v>71</v>
      </c>
      <c r="H228" t="s">
        <v>507</v>
      </c>
      <c r="I228">
        <v>16</v>
      </c>
      <c r="J228">
        <v>23</v>
      </c>
      <c r="K228">
        <v>365350</v>
      </c>
      <c r="L228">
        <v>3.9</v>
      </c>
      <c r="M228" t="s">
        <v>21</v>
      </c>
      <c r="N228">
        <v>42</v>
      </c>
    </row>
    <row r="229" spans="1:14" x14ac:dyDescent="0.35">
      <c r="A229" t="s">
        <v>508</v>
      </c>
      <c r="B229" t="s">
        <v>29</v>
      </c>
      <c r="C229" t="s">
        <v>49</v>
      </c>
      <c r="D229" t="s">
        <v>25</v>
      </c>
      <c r="E229">
        <v>30</v>
      </c>
      <c r="F229" t="s">
        <v>46</v>
      </c>
      <c r="G229" t="s">
        <v>57</v>
      </c>
      <c r="H229" t="s">
        <v>509</v>
      </c>
      <c r="I229">
        <v>16</v>
      </c>
      <c r="J229">
        <v>20</v>
      </c>
      <c r="K229">
        <v>172225</v>
      </c>
      <c r="L229">
        <v>2.6</v>
      </c>
      <c r="M229" t="s">
        <v>43</v>
      </c>
      <c r="N229">
        <v>72</v>
      </c>
    </row>
    <row r="230" spans="1:14" x14ac:dyDescent="0.35">
      <c r="A230" t="s">
        <v>510</v>
      </c>
      <c r="B230" t="s">
        <v>60</v>
      </c>
      <c r="C230" t="s">
        <v>49</v>
      </c>
      <c r="D230" t="s">
        <v>17</v>
      </c>
      <c r="E230">
        <v>33</v>
      </c>
      <c r="F230" t="s">
        <v>70</v>
      </c>
      <c r="G230" t="s">
        <v>71</v>
      </c>
      <c r="H230" t="s">
        <v>511</v>
      </c>
      <c r="I230">
        <v>5</v>
      </c>
      <c r="J230">
        <v>15</v>
      </c>
      <c r="K230">
        <v>157891</v>
      </c>
      <c r="L230">
        <v>2.4</v>
      </c>
      <c r="M230" t="s">
        <v>21</v>
      </c>
      <c r="N230">
        <v>59</v>
      </c>
    </row>
    <row r="231" spans="1:14" x14ac:dyDescent="0.35">
      <c r="A231" t="s">
        <v>512</v>
      </c>
      <c r="B231" t="s">
        <v>23</v>
      </c>
      <c r="C231" t="s">
        <v>52</v>
      </c>
      <c r="D231" t="s">
        <v>25</v>
      </c>
      <c r="E231">
        <v>50</v>
      </c>
      <c r="F231" t="s">
        <v>46</v>
      </c>
      <c r="G231" t="s">
        <v>19</v>
      </c>
      <c r="H231" t="s">
        <v>513</v>
      </c>
      <c r="I231">
        <v>16</v>
      </c>
      <c r="J231">
        <v>16</v>
      </c>
      <c r="K231">
        <v>250938</v>
      </c>
      <c r="L231">
        <v>4.8</v>
      </c>
      <c r="M231" t="s">
        <v>21</v>
      </c>
      <c r="N231">
        <v>52</v>
      </c>
    </row>
    <row r="232" spans="1:14" x14ac:dyDescent="0.35">
      <c r="A232" t="s">
        <v>514</v>
      </c>
      <c r="B232" t="s">
        <v>111</v>
      </c>
      <c r="C232" t="s">
        <v>24</v>
      </c>
      <c r="D232" t="s">
        <v>17</v>
      </c>
      <c r="E232">
        <v>25</v>
      </c>
      <c r="F232" t="s">
        <v>46</v>
      </c>
      <c r="G232" t="s">
        <v>32</v>
      </c>
      <c r="H232" t="s">
        <v>515</v>
      </c>
      <c r="I232">
        <v>18</v>
      </c>
      <c r="J232">
        <v>27</v>
      </c>
      <c r="K232">
        <v>178646</v>
      </c>
      <c r="L232">
        <v>5</v>
      </c>
      <c r="M232" t="s">
        <v>21</v>
      </c>
      <c r="N232">
        <v>35</v>
      </c>
    </row>
    <row r="233" spans="1:14" x14ac:dyDescent="0.35">
      <c r="A233" t="s">
        <v>516</v>
      </c>
      <c r="B233" t="s">
        <v>111</v>
      </c>
      <c r="C233" t="s">
        <v>64</v>
      </c>
      <c r="D233" t="s">
        <v>17</v>
      </c>
      <c r="E233">
        <v>43</v>
      </c>
      <c r="F233" t="s">
        <v>74</v>
      </c>
      <c r="G233" t="s">
        <v>85</v>
      </c>
      <c r="H233" t="s">
        <v>517</v>
      </c>
      <c r="I233">
        <v>1</v>
      </c>
      <c r="J233">
        <v>11</v>
      </c>
      <c r="K233">
        <v>470879</v>
      </c>
      <c r="L233">
        <v>4.7</v>
      </c>
      <c r="M233" t="s">
        <v>43</v>
      </c>
      <c r="N233">
        <v>89</v>
      </c>
    </row>
    <row r="234" spans="1:14" x14ac:dyDescent="0.35">
      <c r="A234" t="s">
        <v>518</v>
      </c>
      <c r="B234" t="s">
        <v>45</v>
      </c>
      <c r="C234" t="s">
        <v>24</v>
      </c>
      <c r="D234" t="s">
        <v>25</v>
      </c>
      <c r="E234">
        <v>38</v>
      </c>
      <c r="F234" t="s">
        <v>37</v>
      </c>
      <c r="G234" t="s">
        <v>88</v>
      </c>
      <c r="H234" t="s">
        <v>519</v>
      </c>
      <c r="I234">
        <v>9</v>
      </c>
      <c r="J234">
        <v>14</v>
      </c>
      <c r="K234">
        <v>173756</v>
      </c>
      <c r="L234">
        <v>4.3</v>
      </c>
      <c r="M234" t="s">
        <v>21</v>
      </c>
      <c r="N234">
        <v>49</v>
      </c>
    </row>
    <row r="235" spans="1:14" x14ac:dyDescent="0.35">
      <c r="A235" t="s">
        <v>520</v>
      </c>
      <c r="B235" t="s">
        <v>45</v>
      </c>
      <c r="C235" t="s">
        <v>82</v>
      </c>
      <c r="D235" t="s">
        <v>17</v>
      </c>
      <c r="E235">
        <v>34</v>
      </c>
      <c r="F235" t="s">
        <v>37</v>
      </c>
      <c r="G235" t="s">
        <v>85</v>
      </c>
      <c r="H235" t="s">
        <v>521</v>
      </c>
      <c r="I235">
        <v>20</v>
      </c>
      <c r="J235">
        <v>22</v>
      </c>
      <c r="K235">
        <v>447434</v>
      </c>
      <c r="L235">
        <v>4.7</v>
      </c>
      <c r="M235" t="s">
        <v>43</v>
      </c>
      <c r="N235">
        <v>89</v>
      </c>
    </row>
    <row r="236" spans="1:14" x14ac:dyDescent="0.35">
      <c r="A236" t="s">
        <v>522</v>
      </c>
      <c r="B236" t="s">
        <v>35</v>
      </c>
      <c r="C236" t="s">
        <v>24</v>
      </c>
      <c r="D236" t="s">
        <v>25</v>
      </c>
      <c r="E236">
        <v>57</v>
      </c>
      <c r="F236" t="s">
        <v>74</v>
      </c>
      <c r="G236" t="s">
        <v>57</v>
      </c>
      <c r="H236" t="s">
        <v>523</v>
      </c>
      <c r="I236">
        <v>5</v>
      </c>
      <c r="J236">
        <v>7</v>
      </c>
      <c r="K236">
        <v>268108</v>
      </c>
      <c r="L236">
        <v>4.4000000000000004</v>
      </c>
      <c r="M236" t="s">
        <v>43</v>
      </c>
      <c r="N236">
        <v>99</v>
      </c>
    </row>
    <row r="237" spans="1:14" x14ac:dyDescent="0.35">
      <c r="A237" t="s">
        <v>524</v>
      </c>
      <c r="B237" t="s">
        <v>55</v>
      </c>
      <c r="C237" t="s">
        <v>24</v>
      </c>
      <c r="D237" t="s">
        <v>25</v>
      </c>
      <c r="E237">
        <v>37</v>
      </c>
      <c r="F237" t="s">
        <v>46</v>
      </c>
      <c r="G237" t="s">
        <v>32</v>
      </c>
      <c r="H237" t="s">
        <v>525</v>
      </c>
      <c r="I237">
        <v>13</v>
      </c>
      <c r="J237">
        <v>13</v>
      </c>
      <c r="K237">
        <v>416192</v>
      </c>
      <c r="L237">
        <v>3.1</v>
      </c>
      <c r="M237" t="s">
        <v>21</v>
      </c>
      <c r="N237">
        <v>53</v>
      </c>
    </row>
    <row r="238" spans="1:14" x14ac:dyDescent="0.35">
      <c r="A238" t="s">
        <v>526</v>
      </c>
      <c r="B238" t="s">
        <v>69</v>
      </c>
      <c r="C238" t="s">
        <v>30</v>
      </c>
      <c r="D238" t="s">
        <v>25</v>
      </c>
      <c r="E238">
        <v>30</v>
      </c>
      <c r="F238" t="s">
        <v>74</v>
      </c>
      <c r="G238" t="s">
        <v>41</v>
      </c>
      <c r="H238" t="s">
        <v>527</v>
      </c>
      <c r="I238">
        <v>14</v>
      </c>
      <c r="J238">
        <v>19</v>
      </c>
      <c r="K238">
        <v>213092</v>
      </c>
      <c r="L238">
        <v>2.2999999999999998</v>
      </c>
      <c r="M238" t="s">
        <v>43</v>
      </c>
      <c r="N238">
        <v>81</v>
      </c>
    </row>
    <row r="239" spans="1:14" x14ac:dyDescent="0.35">
      <c r="A239" t="s">
        <v>528</v>
      </c>
      <c r="B239" t="s">
        <v>23</v>
      </c>
      <c r="C239" t="s">
        <v>52</v>
      </c>
      <c r="D239" t="s">
        <v>25</v>
      </c>
      <c r="E239">
        <v>57</v>
      </c>
      <c r="F239" t="s">
        <v>31</v>
      </c>
      <c r="G239" t="s">
        <v>75</v>
      </c>
      <c r="H239" t="s">
        <v>529</v>
      </c>
      <c r="I239">
        <v>16</v>
      </c>
      <c r="J239">
        <v>16</v>
      </c>
      <c r="K239">
        <v>386177</v>
      </c>
      <c r="L239">
        <v>2.8</v>
      </c>
      <c r="M239" t="s">
        <v>43</v>
      </c>
      <c r="N239">
        <v>81</v>
      </c>
    </row>
    <row r="240" spans="1:14" x14ac:dyDescent="0.35">
      <c r="A240" t="s">
        <v>530</v>
      </c>
      <c r="B240" t="s">
        <v>29</v>
      </c>
      <c r="C240" t="s">
        <v>56</v>
      </c>
      <c r="D240" t="s">
        <v>17</v>
      </c>
      <c r="E240">
        <v>52</v>
      </c>
      <c r="F240" t="s">
        <v>18</v>
      </c>
      <c r="G240" t="s">
        <v>75</v>
      </c>
      <c r="H240" t="s">
        <v>531</v>
      </c>
      <c r="I240">
        <v>16</v>
      </c>
      <c r="J240">
        <v>16</v>
      </c>
      <c r="K240">
        <v>488732</v>
      </c>
      <c r="L240">
        <v>3</v>
      </c>
      <c r="M240" t="s">
        <v>43</v>
      </c>
      <c r="N240">
        <v>84</v>
      </c>
    </row>
    <row r="241" spans="1:14" x14ac:dyDescent="0.35">
      <c r="A241" t="s">
        <v>532</v>
      </c>
      <c r="B241" t="s">
        <v>60</v>
      </c>
      <c r="C241" t="s">
        <v>56</v>
      </c>
      <c r="D241" t="s">
        <v>25</v>
      </c>
      <c r="E241">
        <v>43</v>
      </c>
      <c r="F241" t="s">
        <v>46</v>
      </c>
      <c r="G241" t="s">
        <v>41</v>
      </c>
      <c r="H241" t="s">
        <v>533</v>
      </c>
      <c r="I241">
        <v>15</v>
      </c>
      <c r="J241">
        <v>21</v>
      </c>
      <c r="K241">
        <v>477551</v>
      </c>
      <c r="L241">
        <v>4.3</v>
      </c>
      <c r="M241" t="s">
        <v>21</v>
      </c>
      <c r="N241">
        <v>65</v>
      </c>
    </row>
    <row r="242" spans="1:14" x14ac:dyDescent="0.35">
      <c r="A242" t="s">
        <v>534</v>
      </c>
      <c r="B242" t="s">
        <v>40</v>
      </c>
      <c r="C242" t="s">
        <v>24</v>
      </c>
      <c r="D242" t="s">
        <v>17</v>
      </c>
      <c r="E242">
        <v>50</v>
      </c>
      <c r="F242" t="s">
        <v>37</v>
      </c>
      <c r="G242" t="s">
        <v>61</v>
      </c>
      <c r="H242" t="s">
        <v>535</v>
      </c>
      <c r="I242">
        <v>2</v>
      </c>
      <c r="J242">
        <v>4</v>
      </c>
      <c r="K242">
        <v>271443</v>
      </c>
      <c r="L242">
        <v>4.3</v>
      </c>
      <c r="M242" t="s">
        <v>21</v>
      </c>
      <c r="N242">
        <v>55</v>
      </c>
    </row>
    <row r="243" spans="1:14" x14ac:dyDescent="0.35">
      <c r="A243" t="s">
        <v>536</v>
      </c>
      <c r="B243" t="s">
        <v>35</v>
      </c>
      <c r="C243" t="s">
        <v>30</v>
      </c>
      <c r="D243" t="s">
        <v>25</v>
      </c>
      <c r="E243">
        <v>50</v>
      </c>
      <c r="F243" t="s">
        <v>70</v>
      </c>
      <c r="G243" t="s">
        <v>88</v>
      </c>
      <c r="H243" t="s">
        <v>537</v>
      </c>
      <c r="I243">
        <v>18</v>
      </c>
      <c r="J243">
        <v>20</v>
      </c>
      <c r="K243">
        <v>95361</v>
      </c>
      <c r="L243">
        <v>2.5</v>
      </c>
      <c r="M243" t="s">
        <v>43</v>
      </c>
      <c r="N243">
        <v>81</v>
      </c>
    </row>
    <row r="244" spans="1:14" x14ac:dyDescent="0.35">
      <c r="A244" t="s">
        <v>538</v>
      </c>
      <c r="B244" t="s">
        <v>35</v>
      </c>
      <c r="C244" t="s">
        <v>36</v>
      </c>
      <c r="D244" t="s">
        <v>25</v>
      </c>
      <c r="E244">
        <v>44</v>
      </c>
      <c r="F244" t="s">
        <v>18</v>
      </c>
      <c r="G244" t="s">
        <v>71</v>
      </c>
      <c r="H244" t="s">
        <v>539</v>
      </c>
      <c r="I244">
        <v>7</v>
      </c>
      <c r="J244">
        <v>16</v>
      </c>
      <c r="K244">
        <v>80175</v>
      </c>
      <c r="L244">
        <v>4.9000000000000004</v>
      </c>
      <c r="M244" t="s">
        <v>43</v>
      </c>
      <c r="N244">
        <v>74</v>
      </c>
    </row>
    <row r="245" spans="1:14" x14ac:dyDescent="0.35">
      <c r="A245" t="s">
        <v>540</v>
      </c>
      <c r="B245" t="s">
        <v>111</v>
      </c>
      <c r="C245" t="s">
        <v>82</v>
      </c>
      <c r="D245" t="s">
        <v>25</v>
      </c>
      <c r="E245">
        <v>53</v>
      </c>
      <c r="F245" t="s">
        <v>70</v>
      </c>
      <c r="G245" t="s">
        <v>19</v>
      </c>
      <c r="H245" t="s">
        <v>541</v>
      </c>
      <c r="I245">
        <v>16</v>
      </c>
      <c r="J245">
        <v>23</v>
      </c>
      <c r="K245">
        <v>195851</v>
      </c>
      <c r="L245">
        <v>3</v>
      </c>
      <c r="M245" t="s">
        <v>21</v>
      </c>
      <c r="N245">
        <v>55</v>
      </c>
    </row>
    <row r="246" spans="1:14" x14ac:dyDescent="0.35">
      <c r="A246" t="s">
        <v>542</v>
      </c>
      <c r="B246" t="s">
        <v>23</v>
      </c>
      <c r="C246" t="s">
        <v>24</v>
      </c>
      <c r="D246" t="s">
        <v>25</v>
      </c>
      <c r="E246">
        <v>45</v>
      </c>
      <c r="F246" t="s">
        <v>37</v>
      </c>
      <c r="G246" t="s">
        <v>61</v>
      </c>
      <c r="H246" t="s">
        <v>523</v>
      </c>
      <c r="I246">
        <v>12</v>
      </c>
      <c r="J246">
        <v>18</v>
      </c>
      <c r="K246">
        <v>473985</v>
      </c>
      <c r="L246">
        <v>3.1</v>
      </c>
      <c r="M246" t="s">
        <v>21</v>
      </c>
      <c r="N246">
        <v>44</v>
      </c>
    </row>
    <row r="247" spans="1:14" x14ac:dyDescent="0.35">
      <c r="A247" t="s">
        <v>543</v>
      </c>
      <c r="B247" t="s">
        <v>29</v>
      </c>
      <c r="C247" t="s">
        <v>52</v>
      </c>
      <c r="D247" t="s">
        <v>25</v>
      </c>
      <c r="E247">
        <v>32</v>
      </c>
      <c r="F247" t="s">
        <v>37</v>
      </c>
      <c r="G247" t="s">
        <v>88</v>
      </c>
      <c r="H247" t="s">
        <v>544</v>
      </c>
      <c r="I247">
        <v>16</v>
      </c>
      <c r="J247">
        <v>20</v>
      </c>
      <c r="K247">
        <v>107212</v>
      </c>
      <c r="L247">
        <v>2</v>
      </c>
      <c r="M247" t="s">
        <v>43</v>
      </c>
      <c r="N247">
        <v>95</v>
      </c>
    </row>
    <row r="248" spans="1:14" x14ac:dyDescent="0.35">
      <c r="A248" t="s">
        <v>545</v>
      </c>
      <c r="B248" t="s">
        <v>45</v>
      </c>
      <c r="C248" t="s">
        <v>56</v>
      </c>
      <c r="D248" t="s">
        <v>17</v>
      </c>
      <c r="E248">
        <v>53</v>
      </c>
      <c r="F248" t="s">
        <v>79</v>
      </c>
      <c r="G248" t="s">
        <v>71</v>
      </c>
      <c r="H248" t="s">
        <v>546</v>
      </c>
      <c r="I248">
        <v>3</v>
      </c>
      <c r="J248">
        <v>9</v>
      </c>
      <c r="K248">
        <v>194317</v>
      </c>
      <c r="L248">
        <v>3.3</v>
      </c>
      <c r="M248" t="s">
        <v>21</v>
      </c>
      <c r="N248">
        <v>48</v>
      </c>
    </row>
    <row r="249" spans="1:14" x14ac:dyDescent="0.35">
      <c r="A249" t="s">
        <v>547</v>
      </c>
      <c r="B249" t="s">
        <v>40</v>
      </c>
      <c r="C249" t="s">
        <v>56</v>
      </c>
      <c r="D249" t="s">
        <v>25</v>
      </c>
      <c r="E249">
        <v>56</v>
      </c>
      <c r="F249" t="s">
        <v>79</v>
      </c>
      <c r="G249" t="s">
        <v>85</v>
      </c>
      <c r="H249" t="s">
        <v>548</v>
      </c>
      <c r="I249">
        <v>12</v>
      </c>
      <c r="J249">
        <v>14</v>
      </c>
      <c r="K249">
        <v>221610</v>
      </c>
      <c r="L249">
        <v>4.5</v>
      </c>
      <c r="M249" t="s">
        <v>43</v>
      </c>
      <c r="N249">
        <v>75</v>
      </c>
    </row>
    <row r="250" spans="1:14" x14ac:dyDescent="0.35">
      <c r="A250" t="s">
        <v>549</v>
      </c>
      <c r="B250" t="s">
        <v>35</v>
      </c>
      <c r="C250" t="s">
        <v>36</v>
      </c>
      <c r="D250" t="s">
        <v>17</v>
      </c>
      <c r="E250">
        <v>44</v>
      </c>
      <c r="F250" t="s">
        <v>37</v>
      </c>
      <c r="G250" t="s">
        <v>88</v>
      </c>
      <c r="H250" t="s">
        <v>550</v>
      </c>
      <c r="I250">
        <v>10</v>
      </c>
      <c r="J250">
        <v>12</v>
      </c>
      <c r="K250">
        <v>178456</v>
      </c>
      <c r="L250">
        <v>4.5999999999999996</v>
      </c>
      <c r="M250" t="s">
        <v>21</v>
      </c>
      <c r="N250">
        <v>35</v>
      </c>
    </row>
    <row r="251" spans="1:14" x14ac:dyDescent="0.35">
      <c r="A251" t="s">
        <v>551</v>
      </c>
      <c r="B251" t="s">
        <v>15</v>
      </c>
      <c r="C251" t="s">
        <v>30</v>
      </c>
      <c r="D251" t="s">
        <v>17</v>
      </c>
      <c r="E251">
        <v>56</v>
      </c>
      <c r="F251" t="s">
        <v>37</v>
      </c>
      <c r="G251" t="s">
        <v>85</v>
      </c>
      <c r="H251" t="s">
        <v>552</v>
      </c>
      <c r="I251">
        <v>12</v>
      </c>
      <c r="J251">
        <v>15</v>
      </c>
      <c r="K251">
        <v>257247</v>
      </c>
      <c r="L251">
        <v>2.9</v>
      </c>
      <c r="M251" t="s">
        <v>43</v>
      </c>
      <c r="N251">
        <v>85</v>
      </c>
    </row>
    <row r="252" spans="1:14" x14ac:dyDescent="0.35">
      <c r="A252" t="s">
        <v>553</v>
      </c>
      <c r="B252" t="s">
        <v>29</v>
      </c>
      <c r="C252" t="s">
        <v>30</v>
      </c>
      <c r="D252" t="s">
        <v>17</v>
      </c>
      <c r="E252">
        <v>22</v>
      </c>
      <c r="F252" t="s">
        <v>31</v>
      </c>
      <c r="G252" t="s">
        <v>61</v>
      </c>
      <c r="H252" t="s">
        <v>554</v>
      </c>
      <c r="I252">
        <v>0</v>
      </c>
      <c r="J252">
        <v>4</v>
      </c>
      <c r="K252">
        <v>360079</v>
      </c>
      <c r="L252">
        <v>3.1</v>
      </c>
      <c r="M252" t="s">
        <v>21</v>
      </c>
      <c r="N252">
        <v>57</v>
      </c>
    </row>
    <row r="253" spans="1:14" x14ac:dyDescent="0.35">
      <c r="A253" t="s">
        <v>555</v>
      </c>
      <c r="B253" t="s">
        <v>40</v>
      </c>
      <c r="C253" t="s">
        <v>64</v>
      </c>
      <c r="D253" t="s">
        <v>17</v>
      </c>
      <c r="E253">
        <v>54</v>
      </c>
      <c r="F253" t="s">
        <v>74</v>
      </c>
      <c r="G253" t="s">
        <v>88</v>
      </c>
      <c r="H253" t="s">
        <v>556</v>
      </c>
      <c r="I253">
        <v>5</v>
      </c>
      <c r="J253">
        <v>15</v>
      </c>
      <c r="K253">
        <v>244183</v>
      </c>
      <c r="L253">
        <v>3.7</v>
      </c>
      <c r="M253" t="s">
        <v>43</v>
      </c>
      <c r="N253">
        <v>94</v>
      </c>
    </row>
    <row r="254" spans="1:14" x14ac:dyDescent="0.35">
      <c r="A254" t="s">
        <v>557</v>
      </c>
      <c r="B254" t="s">
        <v>15</v>
      </c>
      <c r="C254" t="s">
        <v>49</v>
      </c>
      <c r="D254" t="s">
        <v>17</v>
      </c>
      <c r="E254">
        <v>39</v>
      </c>
      <c r="F254" t="s">
        <v>79</v>
      </c>
      <c r="G254" t="s">
        <v>88</v>
      </c>
      <c r="H254" t="s">
        <v>558</v>
      </c>
      <c r="I254">
        <v>16</v>
      </c>
      <c r="J254">
        <v>16</v>
      </c>
      <c r="K254">
        <v>102583</v>
      </c>
      <c r="L254">
        <v>2.6</v>
      </c>
      <c r="M254" t="s">
        <v>43</v>
      </c>
      <c r="N254">
        <v>83</v>
      </c>
    </row>
    <row r="255" spans="1:14" x14ac:dyDescent="0.35">
      <c r="A255" t="s">
        <v>559</v>
      </c>
      <c r="B255" t="s">
        <v>40</v>
      </c>
      <c r="C255" t="s">
        <v>64</v>
      </c>
      <c r="D255" t="s">
        <v>17</v>
      </c>
      <c r="E255">
        <v>41</v>
      </c>
      <c r="F255" t="s">
        <v>79</v>
      </c>
      <c r="G255" t="s">
        <v>41</v>
      </c>
      <c r="H255" t="s">
        <v>244</v>
      </c>
      <c r="I255">
        <v>13</v>
      </c>
      <c r="J255">
        <v>21</v>
      </c>
      <c r="K255">
        <v>154380</v>
      </c>
      <c r="L255">
        <v>2.2999999999999998</v>
      </c>
      <c r="M255" t="s">
        <v>43</v>
      </c>
      <c r="N255">
        <v>84</v>
      </c>
    </row>
    <row r="256" spans="1:14" x14ac:dyDescent="0.35">
      <c r="A256" t="s">
        <v>560</v>
      </c>
      <c r="B256" t="s">
        <v>55</v>
      </c>
      <c r="C256" t="s">
        <v>93</v>
      </c>
      <c r="D256" t="s">
        <v>25</v>
      </c>
      <c r="E256">
        <v>42</v>
      </c>
      <c r="F256" t="s">
        <v>46</v>
      </c>
      <c r="G256" t="s">
        <v>41</v>
      </c>
      <c r="H256" t="s">
        <v>561</v>
      </c>
      <c r="I256">
        <v>3</v>
      </c>
      <c r="J256">
        <v>12</v>
      </c>
      <c r="K256">
        <v>499066</v>
      </c>
      <c r="L256">
        <v>2.6</v>
      </c>
      <c r="M256" t="s">
        <v>21</v>
      </c>
      <c r="N256">
        <v>58</v>
      </c>
    </row>
    <row r="257" spans="1:14" x14ac:dyDescent="0.35">
      <c r="A257" t="s">
        <v>562</v>
      </c>
      <c r="B257" t="s">
        <v>96</v>
      </c>
      <c r="C257" t="s">
        <v>24</v>
      </c>
      <c r="D257" t="s">
        <v>17</v>
      </c>
      <c r="E257">
        <v>54</v>
      </c>
      <c r="F257" t="s">
        <v>70</v>
      </c>
      <c r="G257" t="s">
        <v>32</v>
      </c>
      <c r="H257" t="s">
        <v>563</v>
      </c>
      <c r="I257">
        <v>7</v>
      </c>
      <c r="J257">
        <v>12</v>
      </c>
      <c r="K257">
        <v>471826</v>
      </c>
      <c r="L257">
        <v>2.6</v>
      </c>
      <c r="M257" t="s">
        <v>43</v>
      </c>
      <c r="N257">
        <v>88</v>
      </c>
    </row>
    <row r="258" spans="1:14" x14ac:dyDescent="0.35">
      <c r="A258" t="s">
        <v>564</v>
      </c>
      <c r="B258" t="s">
        <v>40</v>
      </c>
      <c r="C258" t="s">
        <v>64</v>
      </c>
      <c r="D258" t="s">
        <v>17</v>
      </c>
      <c r="E258">
        <v>57</v>
      </c>
      <c r="F258" t="s">
        <v>74</v>
      </c>
      <c r="G258" t="s">
        <v>75</v>
      </c>
      <c r="H258" t="s">
        <v>565</v>
      </c>
      <c r="I258">
        <v>15</v>
      </c>
      <c r="J258">
        <v>17</v>
      </c>
      <c r="K258">
        <v>339354</v>
      </c>
      <c r="L258">
        <v>4.9000000000000004</v>
      </c>
      <c r="M258" t="s">
        <v>21</v>
      </c>
      <c r="N258">
        <v>65</v>
      </c>
    </row>
    <row r="259" spans="1:14" x14ac:dyDescent="0.35">
      <c r="A259" t="s">
        <v>566</v>
      </c>
      <c r="B259" t="s">
        <v>40</v>
      </c>
      <c r="C259" t="s">
        <v>16</v>
      </c>
      <c r="D259" t="s">
        <v>17</v>
      </c>
      <c r="E259">
        <v>25</v>
      </c>
      <c r="F259" t="s">
        <v>31</v>
      </c>
      <c r="G259" t="s">
        <v>85</v>
      </c>
      <c r="H259" t="s">
        <v>567</v>
      </c>
      <c r="I259">
        <v>5</v>
      </c>
      <c r="J259">
        <v>10</v>
      </c>
      <c r="K259">
        <v>73142</v>
      </c>
      <c r="L259">
        <v>2.6</v>
      </c>
      <c r="M259" t="s">
        <v>21</v>
      </c>
      <c r="N259">
        <v>67</v>
      </c>
    </row>
    <row r="260" spans="1:14" x14ac:dyDescent="0.35">
      <c r="A260" t="s">
        <v>568</v>
      </c>
      <c r="B260" t="s">
        <v>55</v>
      </c>
      <c r="C260" t="s">
        <v>49</v>
      </c>
      <c r="D260" t="s">
        <v>25</v>
      </c>
      <c r="E260">
        <v>52</v>
      </c>
      <c r="F260" t="s">
        <v>37</v>
      </c>
      <c r="G260" t="s">
        <v>61</v>
      </c>
      <c r="H260" t="s">
        <v>569</v>
      </c>
      <c r="I260">
        <v>14</v>
      </c>
      <c r="J260">
        <v>22</v>
      </c>
      <c r="K260">
        <v>261418</v>
      </c>
      <c r="L260">
        <v>4.5</v>
      </c>
      <c r="M260" t="s">
        <v>43</v>
      </c>
      <c r="N260">
        <v>71</v>
      </c>
    </row>
    <row r="261" spans="1:14" x14ac:dyDescent="0.35">
      <c r="A261" t="s">
        <v>570</v>
      </c>
      <c r="B261" t="s">
        <v>35</v>
      </c>
      <c r="C261" t="s">
        <v>49</v>
      </c>
      <c r="D261" t="s">
        <v>17</v>
      </c>
      <c r="E261">
        <v>36</v>
      </c>
      <c r="F261" t="s">
        <v>74</v>
      </c>
      <c r="G261" t="s">
        <v>85</v>
      </c>
      <c r="H261" t="s">
        <v>571</v>
      </c>
      <c r="I261">
        <v>12</v>
      </c>
      <c r="J261">
        <v>17</v>
      </c>
      <c r="K261">
        <v>428494</v>
      </c>
      <c r="L261">
        <v>3.1</v>
      </c>
      <c r="M261" t="s">
        <v>43</v>
      </c>
      <c r="N261">
        <v>98</v>
      </c>
    </row>
    <row r="262" spans="1:14" x14ac:dyDescent="0.35">
      <c r="A262" t="s">
        <v>572</v>
      </c>
      <c r="B262" t="s">
        <v>23</v>
      </c>
      <c r="C262" t="s">
        <v>16</v>
      </c>
      <c r="D262" t="s">
        <v>17</v>
      </c>
      <c r="E262">
        <v>40</v>
      </c>
      <c r="F262" t="s">
        <v>46</v>
      </c>
      <c r="G262" t="s">
        <v>26</v>
      </c>
      <c r="H262" t="s">
        <v>573</v>
      </c>
      <c r="I262">
        <v>5</v>
      </c>
      <c r="J262">
        <v>9</v>
      </c>
      <c r="K262">
        <v>342956</v>
      </c>
      <c r="L262">
        <v>4.7</v>
      </c>
      <c r="M262" t="s">
        <v>21</v>
      </c>
      <c r="N262">
        <v>41</v>
      </c>
    </row>
    <row r="263" spans="1:14" x14ac:dyDescent="0.35">
      <c r="A263" t="s">
        <v>574</v>
      </c>
      <c r="B263" t="s">
        <v>78</v>
      </c>
      <c r="C263" t="s">
        <v>64</v>
      </c>
      <c r="D263" t="s">
        <v>17</v>
      </c>
      <c r="E263">
        <v>52</v>
      </c>
      <c r="F263" t="s">
        <v>70</v>
      </c>
      <c r="G263" t="s">
        <v>88</v>
      </c>
      <c r="H263" t="s">
        <v>575</v>
      </c>
      <c r="I263">
        <v>10</v>
      </c>
      <c r="J263">
        <v>14</v>
      </c>
      <c r="K263">
        <v>407511</v>
      </c>
      <c r="L263">
        <v>4.2</v>
      </c>
      <c r="M263" t="s">
        <v>43</v>
      </c>
      <c r="N263">
        <v>96</v>
      </c>
    </row>
    <row r="264" spans="1:14" x14ac:dyDescent="0.35">
      <c r="A264" t="s">
        <v>576</v>
      </c>
      <c r="B264" t="s">
        <v>23</v>
      </c>
      <c r="C264" t="s">
        <v>16</v>
      </c>
      <c r="D264" t="s">
        <v>17</v>
      </c>
      <c r="E264">
        <v>28</v>
      </c>
      <c r="F264" t="s">
        <v>18</v>
      </c>
      <c r="G264" t="s">
        <v>26</v>
      </c>
      <c r="H264" t="s">
        <v>577</v>
      </c>
      <c r="I264">
        <v>15</v>
      </c>
      <c r="J264">
        <v>23</v>
      </c>
      <c r="K264">
        <v>259542</v>
      </c>
      <c r="L264">
        <v>3.6</v>
      </c>
      <c r="M264" t="s">
        <v>43</v>
      </c>
      <c r="N264">
        <v>79</v>
      </c>
    </row>
    <row r="265" spans="1:14" x14ac:dyDescent="0.35">
      <c r="A265" t="s">
        <v>578</v>
      </c>
      <c r="B265" t="s">
        <v>40</v>
      </c>
      <c r="C265" t="s">
        <v>64</v>
      </c>
      <c r="D265" t="s">
        <v>17</v>
      </c>
      <c r="E265">
        <v>38</v>
      </c>
      <c r="F265" t="s">
        <v>46</v>
      </c>
      <c r="G265" t="s">
        <v>32</v>
      </c>
      <c r="H265" t="s">
        <v>579</v>
      </c>
      <c r="I265">
        <v>10</v>
      </c>
      <c r="J265">
        <v>13</v>
      </c>
      <c r="K265">
        <v>229798</v>
      </c>
      <c r="L265">
        <v>3.7</v>
      </c>
      <c r="M265" t="s">
        <v>21</v>
      </c>
      <c r="N265">
        <v>63</v>
      </c>
    </row>
    <row r="266" spans="1:14" x14ac:dyDescent="0.35">
      <c r="A266" t="s">
        <v>580</v>
      </c>
      <c r="B266" t="s">
        <v>69</v>
      </c>
      <c r="C266" t="s">
        <v>64</v>
      </c>
      <c r="D266" t="s">
        <v>17</v>
      </c>
      <c r="E266">
        <v>55</v>
      </c>
      <c r="F266" t="s">
        <v>31</v>
      </c>
      <c r="G266" t="s">
        <v>75</v>
      </c>
      <c r="H266" t="s">
        <v>581</v>
      </c>
      <c r="I266">
        <v>3</v>
      </c>
      <c r="J266">
        <v>10</v>
      </c>
      <c r="K266">
        <v>395645</v>
      </c>
      <c r="L266">
        <v>2.9</v>
      </c>
      <c r="M266" t="s">
        <v>21</v>
      </c>
      <c r="N266">
        <v>32</v>
      </c>
    </row>
    <row r="267" spans="1:14" x14ac:dyDescent="0.35">
      <c r="A267" t="s">
        <v>582</v>
      </c>
      <c r="B267" t="s">
        <v>55</v>
      </c>
      <c r="C267" t="s">
        <v>24</v>
      </c>
      <c r="D267" t="s">
        <v>17</v>
      </c>
      <c r="E267">
        <v>21</v>
      </c>
      <c r="F267" t="s">
        <v>74</v>
      </c>
      <c r="G267" t="s">
        <v>57</v>
      </c>
      <c r="H267" t="s">
        <v>583</v>
      </c>
      <c r="I267">
        <v>9</v>
      </c>
      <c r="J267">
        <v>10</v>
      </c>
      <c r="K267">
        <v>325323</v>
      </c>
      <c r="L267">
        <v>5</v>
      </c>
      <c r="M267" t="s">
        <v>43</v>
      </c>
      <c r="N267">
        <v>91</v>
      </c>
    </row>
    <row r="268" spans="1:14" x14ac:dyDescent="0.35">
      <c r="A268" t="s">
        <v>584</v>
      </c>
      <c r="B268" t="s">
        <v>45</v>
      </c>
      <c r="C268" t="s">
        <v>49</v>
      </c>
      <c r="D268" t="s">
        <v>17</v>
      </c>
      <c r="E268">
        <v>41</v>
      </c>
      <c r="F268" t="s">
        <v>70</v>
      </c>
      <c r="G268" t="s">
        <v>57</v>
      </c>
      <c r="H268" t="s">
        <v>513</v>
      </c>
      <c r="I268">
        <v>18</v>
      </c>
      <c r="J268">
        <v>28</v>
      </c>
      <c r="K268">
        <v>167456</v>
      </c>
      <c r="L268">
        <v>4.9000000000000004</v>
      </c>
      <c r="M268" t="s">
        <v>21</v>
      </c>
      <c r="N268">
        <v>30</v>
      </c>
    </row>
    <row r="269" spans="1:14" x14ac:dyDescent="0.35">
      <c r="A269" t="s">
        <v>585</v>
      </c>
      <c r="B269" t="s">
        <v>23</v>
      </c>
      <c r="C269" t="s">
        <v>64</v>
      </c>
      <c r="D269" t="s">
        <v>17</v>
      </c>
      <c r="E269">
        <v>43</v>
      </c>
      <c r="F269" t="s">
        <v>37</v>
      </c>
      <c r="G269" t="s">
        <v>85</v>
      </c>
      <c r="H269" t="s">
        <v>586</v>
      </c>
      <c r="I269">
        <v>4</v>
      </c>
      <c r="J269">
        <v>6</v>
      </c>
      <c r="K269">
        <v>74824</v>
      </c>
      <c r="L269">
        <v>4.4000000000000004</v>
      </c>
      <c r="M269" t="s">
        <v>43</v>
      </c>
      <c r="N269">
        <v>78</v>
      </c>
    </row>
    <row r="270" spans="1:14" x14ac:dyDescent="0.35">
      <c r="A270" t="s">
        <v>587</v>
      </c>
      <c r="B270" t="s">
        <v>15</v>
      </c>
      <c r="C270" t="s">
        <v>82</v>
      </c>
      <c r="D270" t="s">
        <v>25</v>
      </c>
      <c r="E270">
        <v>30</v>
      </c>
      <c r="F270" t="s">
        <v>70</v>
      </c>
      <c r="G270" t="s">
        <v>26</v>
      </c>
      <c r="H270" t="s">
        <v>588</v>
      </c>
      <c r="I270">
        <v>9</v>
      </c>
      <c r="J270">
        <v>17</v>
      </c>
      <c r="K270">
        <v>404204</v>
      </c>
      <c r="L270">
        <v>2.8</v>
      </c>
      <c r="M270" t="s">
        <v>21</v>
      </c>
      <c r="N270">
        <v>46</v>
      </c>
    </row>
    <row r="271" spans="1:14" x14ac:dyDescent="0.35">
      <c r="A271" t="s">
        <v>589</v>
      </c>
      <c r="B271" t="s">
        <v>60</v>
      </c>
      <c r="C271" t="s">
        <v>16</v>
      </c>
      <c r="D271" t="s">
        <v>25</v>
      </c>
      <c r="E271">
        <v>21</v>
      </c>
      <c r="F271" t="s">
        <v>18</v>
      </c>
      <c r="G271" t="s">
        <v>19</v>
      </c>
      <c r="H271" t="s">
        <v>590</v>
      </c>
      <c r="I271">
        <v>1</v>
      </c>
      <c r="J271">
        <v>1</v>
      </c>
      <c r="K271">
        <v>272233</v>
      </c>
      <c r="L271">
        <v>5</v>
      </c>
      <c r="M271" t="s">
        <v>21</v>
      </c>
      <c r="N271">
        <v>42</v>
      </c>
    </row>
    <row r="272" spans="1:14" x14ac:dyDescent="0.35">
      <c r="A272" t="s">
        <v>591</v>
      </c>
      <c r="B272" t="s">
        <v>35</v>
      </c>
      <c r="C272" t="s">
        <v>36</v>
      </c>
      <c r="D272" t="s">
        <v>17</v>
      </c>
      <c r="E272">
        <v>49</v>
      </c>
      <c r="F272" t="s">
        <v>79</v>
      </c>
      <c r="G272" t="s">
        <v>61</v>
      </c>
      <c r="H272" t="s">
        <v>592</v>
      </c>
      <c r="I272">
        <v>11</v>
      </c>
      <c r="J272">
        <v>19</v>
      </c>
      <c r="K272">
        <v>344278</v>
      </c>
      <c r="L272">
        <v>3</v>
      </c>
      <c r="M272" t="s">
        <v>43</v>
      </c>
      <c r="N272">
        <v>85</v>
      </c>
    </row>
    <row r="273" spans="1:14" x14ac:dyDescent="0.35">
      <c r="A273" t="s">
        <v>593</v>
      </c>
      <c r="B273" t="s">
        <v>23</v>
      </c>
      <c r="C273" t="s">
        <v>52</v>
      </c>
      <c r="D273" t="s">
        <v>17</v>
      </c>
      <c r="E273">
        <v>50</v>
      </c>
      <c r="F273" t="s">
        <v>46</v>
      </c>
      <c r="G273" t="s">
        <v>57</v>
      </c>
      <c r="H273" t="s">
        <v>594</v>
      </c>
      <c r="I273">
        <v>19</v>
      </c>
      <c r="J273">
        <v>27</v>
      </c>
      <c r="K273">
        <v>74707</v>
      </c>
      <c r="L273">
        <v>2.1</v>
      </c>
      <c r="M273" t="s">
        <v>21</v>
      </c>
      <c r="N273">
        <v>67</v>
      </c>
    </row>
    <row r="274" spans="1:14" x14ac:dyDescent="0.35">
      <c r="A274" t="s">
        <v>595</v>
      </c>
      <c r="B274" t="s">
        <v>15</v>
      </c>
      <c r="C274" t="s">
        <v>52</v>
      </c>
      <c r="D274" t="s">
        <v>25</v>
      </c>
      <c r="E274">
        <v>58</v>
      </c>
      <c r="F274" t="s">
        <v>74</v>
      </c>
      <c r="G274" t="s">
        <v>57</v>
      </c>
      <c r="H274" t="s">
        <v>596</v>
      </c>
      <c r="I274">
        <v>2</v>
      </c>
      <c r="J274">
        <v>9</v>
      </c>
      <c r="K274">
        <v>147733</v>
      </c>
      <c r="L274">
        <v>4.7</v>
      </c>
      <c r="M274" t="s">
        <v>43</v>
      </c>
      <c r="N274">
        <v>98</v>
      </c>
    </row>
    <row r="275" spans="1:14" x14ac:dyDescent="0.35">
      <c r="A275" t="s">
        <v>597</v>
      </c>
      <c r="B275" t="s">
        <v>78</v>
      </c>
      <c r="C275" t="s">
        <v>93</v>
      </c>
      <c r="D275" t="s">
        <v>25</v>
      </c>
      <c r="E275">
        <v>56</v>
      </c>
      <c r="F275" t="s">
        <v>46</v>
      </c>
      <c r="G275" t="s">
        <v>75</v>
      </c>
      <c r="H275" t="s">
        <v>598</v>
      </c>
      <c r="I275">
        <v>15</v>
      </c>
      <c r="J275">
        <v>23</v>
      </c>
      <c r="K275">
        <v>130387</v>
      </c>
      <c r="L275">
        <v>2.5</v>
      </c>
      <c r="M275" t="s">
        <v>43</v>
      </c>
      <c r="N275">
        <v>95</v>
      </c>
    </row>
    <row r="276" spans="1:14" x14ac:dyDescent="0.35">
      <c r="A276" t="s">
        <v>599</v>
      </c>
      <c r="B276" t="s">
        <v>45</v>
      </c>
      <c r="C276" t="s">
        <v>24</v>
      </c>
      <c r="D276" t="s">
        <v>25</v>
      </c>
      <c r="E276">
        <v>54</v>
      </c>
      <c r="F276" t="s">
        <v>31</v>
      </c>
      <c r="G276" t="s">
        <v>57</v>
      </c>
      <c r="H276" t="s">
        <v>600</v>
      </c>
      <c r="I276">
        <v>11</v>
      </c>
      <c r="J276">
        <v>19</v>
      </c>
      <c r="K276">
        <v>126904</v>
      </c>
      <c r="L276">
        <v>3.5</v>
      </c>
      <c r="M276" t="s">
        <v>43</v>
      </c>
      <c r="N276">
        <v>74</v>
      </c>
    </row>
    <row r="277" spans="1:14" x14ac:dyDescent="0.35">
      <c r="A277" t="s">
        <v>601</v>
      </c>
      <c r="B277" t="s">
        <v>29</v>
      </c>
      <c r="C277" t="s">
        <v>56</v>
      </c>
      <c r="D277" t="s">
        <v>25</v>
      </c>
      <c r="E277">
        <v>37</v>
      </c>
      <c r="F277" t="s">
        <v>31</v>
      </c>
      <c r="G277" t="s">
        <v>19</v>
      </c>
      <c r="H277" t="s">
        <v>602</v>
      </c>
      <c r="I277">
        <v>12</v>
      </c>
      <c r="J277">
        <v>19</v>
      </c>
      <c r="K277">
        <v>214600</v>
      </c>
      <c r="L277">
        <v>3.7</v>
      </c>
      <c r="M277" t="s">
        <v>21</v>
      </c>
      <c r="N277">
        <v>48</v>
      </c>
    </row>
    <row r="278" spans="1:14" x14ac:dyDescent="0.35">
      <c r="A278" t="s">
        <v>603</v>
      </c>
      <c r="B278" t="s">
        <v>45</v>
      </c>
      <c r="C278" t="s">
        <v>30</v>
      </c>
      <c r="D278" t="s">
        <v>17</v>
      </c>
      <c r="E278">
        <v>26</v>
      </c>
      <c r="F278" t="s">
        <v>18</v>
      </c>
      <c r="G278" t="s">
        <v>19</v>
      </c>
      <c r="H278" t="s">
        <v>604</v>
      </c>
      <c r="I278">
        <v>17</v>
      </c>
      <c r="J278">
        <v>26</v>
      </c>
      <c r="K278">
        <v>151705</v>
      </c>
      <c r="L278">
        <v>2.4</v>
      </c>
      <c r="M278" t="s">
        <v>21</v>
      </c>
      <c r="N278">
        <v>59</v>
      </c>
    </row>
    <row r="279" spans="1:14" x14ac:dyDescent="0.35">
      <c r="A279" t="s">
        <v>605</v>
      </c>
      <c r="B279" t="s">
        <v>96</v>
      </c>
      <c r="C279" t="s">
        <v>30</v>
      </c>
      <c r="D279" t="s">
        <v>17</v>
      </c>
      <c r="E279">
        <v>29</v>
      </c>
      <c r="F279" t="s">
        <v>70</v>
      </c>
      <c r="G279" t="s">
        <v>57</v>
      </c>
      <c r="H279" t="s">
        <v>606</v>
      </c>
      <c r="I279">
        <v>14</v>
      </c>
      <c r="J279">
        <v>21</v>
      </c>
      <c r="K279">
        <v>478549</v>
      </c>
      <c r="L279">
        <v>4.5</v>
      </c>
      <c r="M279" t="s">
        <v>43</v>
      </c>
      <c r="N279">
        <v>86</v>
      </c>
    </row>
    <row r="280" spans="1:14" x14ac:dyDescent="0.35">
      <c r="A280" t="s">
        <v>607</v>
      </c>
      <c r="B280" t="s">
        <v>45</v>
      </c>
      <c r="C280" t="s">
        <v>49</v>
      </c>
      <c r="D280" t="s">
        <v>17</v>
      </c>
      <c r="E280">
        <v>33</v>
      </c>
      <c r="F280" t="s">
        <v>74</v>
      </c>
      <c r="G280" t="s">
        <v>19</v>
      </c>
      <c r="H280" t="s">
        <v>608</v>
      </c>
      <c r="I280">
        <v>17</v>
      </c>
      <c r="J280">
        <v>24</v>
      </c>
      <c r="K280">
        <v>101315</v>
      </c>
      <c r="L280">
        <v>2.1</v>
      </c>
      <c r="M280" t="s">
        <v>43</v>
      </c>
      <c r="N280">
        <v>96</v>
      </c>
    </row>
    <row r="281" spans="1:14" x14ac:dyDescent="0.35">
      <c r="A281" t="s">
        <v>609</v>
      </c>
      <c r="B281" t="s">
        <v>35</v>
      </c>
      <c r="C281" t="s">
        <v>36</v>
      </c>
      <c r="D281" t="s">
        <v>17</v>
      </c>
      <c r="E281">
        <v>33</v>
      </c>
      <c r="F281" t="s">
        <v>37</v>
      </c>
      <c r="G281" t="s">
        <v>61</v>
      </c>
      <c r="H281" t="s">
        <v>610</v>
      </c>
      <c r="I281">
        <v>3</v>
      </c>
      <c r="J281">
        <v>5</v>
      </c>
      <c r="K281">
        <v>354825</v>
      </c>
      <c r="L281">
        <v>2.9</v>
      </c>
      <c r="M281" t="s">
        <v>43</v>
      </c>
      <c r="N281">
        <v>79</v>
      </c>
    </row>
    <row r="282" spans="1:14" x14ac:dyDescent="0.35">
      <c r="A282" t="s">
        <v>611</v>
      </c>
      <c r="B282" t="s">
        <v>111</v>
      </c>
      <c r="C282" t="s">
        <v>16</v>
      </c>
      <c r="D282" t="s">
        <v>17</v>
      </c>
      <c r="E282">
        <v>42</v>
      </c>
      <c r="F282" t="s">
        <v>74</v>
      </c>
      <c r="G282" t="s">
        <v>26</v>
      </c>
      <c r="H282" t="s">
        <v>612</v>
      </c>
      <c r="I282">
        <v>0</v>
      </c>
      <c r="J282">
        <v>6</v>
      </c>
      <c r="K282">
        <v>221410</v>
      </c>
      <c r="L282">
        <v>4.5</v>
      </c>
      <c r="M282" t="s">
        <v>43</v>
      </c>
      <c r="N282">
        <v>84</v>
      </c>
    </row>
    <row r="283" spans="1:14" x14ac:dyDescent="0.35">
      <c r="A283" t="s">
        <v>613</v>
      </c>
      <c r="B283" t="s">
        <v>15</v>
      </c>
      <c r="C283" t="s">
        <v>64</v>
      </c>
      <c r="D283" t="s">
        <v>17</v>
      </c>
      <c r="E283">
        <v>30</v>
      </c>
      <c r="F283" t="s">
        <v>31</v>
      </c>
      <c r="G283" t="s">
        <v>26</v>
      </c>
      <c r="H283" t="s">
        <v>614</v>
      </c>
      <c r="I283">
        <v>7</v>
      </c>
      <c r="J283">
        <v>15</v>
      </c>
      <c r="K283">
        <v>174428</v>
      </c>
      <c r="L283">
        <v>2</v>
      </c>
      <c r="M283" t="s">
        <v>21</v>
      </c>
      <c r="N283">
        <v>39</v>
      </c>
    </row>
    <row r="284" spans="1:14" x14ac:dyDescent="0.35">
      <c r="A284" t="s">
        <v>615</v>
      </c>
      <c r="B284" t="s">
        <v>40</v>
      </c>
      <c r="C284" t="s">
        <v>82</v>
      </c>
      <c r="D284" t="s">
        <v>17</v>
      </c>
      <c r="E284">
        <v>34</v>
      </c>
      <c r="F284" t="s">
        <v>70</v>
      </c>
      <c r="G284" t="s">
        <v>57</v>
      </c>
      <c r="H284" t="s">
        <v>616</v>
      </c>
      <c r="I284">
        <v>18</v>
      </c>
      <c r="J284">
        <v>28</v>
      </c>
      <c r="K284">
        <v>368537</v>
      </c>
      <c r="L284">
        <v>2.5</v>
      </c>
      <c r="M284" t="s">
        <v>43</v>
      </c>
      <c r="N284">
        <v>74</v>
      </c>
    </row>
    <row r="285" spans="1:14" x14ac:dyDescent="0.35">
      <c r="A285" t="s">
        <v>617</v>
      </c>
      <c r="B285" t="s">
        <v>55</v>
      </c>
      <c r="C285" t="s">
        <v>16</v>
      </c>
      <c r="D285" t="s">
        <v>17</v>
      </c>
      <c r="E285">
        <v>59</v>
      </c>
      <c r="F285" t="s">
        <v>74</v>
      </c>
      <c r="G285" t="s">
        <v>32</v>
      </c>
      <c r="H285" t="s">
        <v>618</v>
      </c>
      <c r="I285">
        <v>0</v>
      </c>
      <c r="J285">
        <v>5</v>
      </c>
      <c r="K285">
        <v>186228</v>
      </c>
      <c r="L285">
        <v>4.5</v>
      </c>
      <c r="M285" t="s">
        <v>21</v>
      </c>
      <c r="N285">
        <v>36</v>
      </c>
    </row>
    <row r="286" spans="1:14" x14ac:dyDescent="0.35">
      <c r="A286" t="s">
        <v>619</v>
      </c>
      <c r="B286" t="s">
        <v>60</v>
      </c>
      <c r="C286" t="s">
        <v>30</v>
      </c>
      <c r="D286" t="s">
        <v>17</v>
      </c>
      <c r="E286">
        <v>27</v>
      </c>
      <c r="F286" t="s">
        <v>31</v>
      </c>
      <c r="G286" t="s">
        <v>85</v>
      </c>
      <c r="H286" t="s">
        <v>620</v>
      </c>
      <c r="I286">
        <v>5</v>
      </c>
      <c r="J286">
        <v>14</v>
      </c>
      <c r="K286">
        <v>334687</v>
      </c>
      <c r="L286">
        <v>3.2</v>
      </c>
      <c r="M286" t="s">
        <v>43</v>
      </c>
      <c r="N286">
        <v>99</v>
      </c>
    </row>
    <row r="287" spans="1:14" x14ac:dyDescent="0.35">
      <c r="A287" t="s">
        <v>621</v>
      </c>
      <c r="B287" t="s">
        <v>29</v>
      </c>
      <c r="C287" t="s">
        <v>30</v>
      </c>
      <c r="D287" t="s">
        <v>17</v>
      </c>
      <c r="E287">
        <v>39</v>
      </c>
      <c r="F287" t="s">
        <v>37</v>
      </c>
      <c r="G287" t="s">
        <v>19</v>
      </c>
      <c r="H287" t="s">
        <v>622</v>
      </c>
      <c r="I287">
        <v>16</v>
      </c>
      <c r="J287">
        <v>19</v>
      </c>
      <c r="K287">
        <v>387850</v>
      </c>
      <c r="L287">
        <v>4.2</v>
      </c>
      <c r="M287" t="s">
        <v>21</v>
      </c>
      <c r="N287">
        <v>37</v>
      </c>
    </row>
    <row r="288" spans="1:14" x14ac:dyDescent="0.35">
      <c r="A288" t="s">
        <v>623</v>
      </c>
      <c r="B288" t="s">
        <v>55</v>
      </c>
      <c r="C288" t="s">
        <v>52</v>
      </c>
      <c r="D288" t="s">
        <v>17</v>
      </c>
      <c r="E288">
        <v>38</v>
      </c>
      <c r="F288" t="s">
        <v>18</v>
      </c>
      <c r="G288" t="s">
        <v>75</v>
      </c>
      <c r="H288" t="s">
        <v>624</v>
      </c>
      <c r="I288">
        <v>19</v>
      </c>
      <c r="J288">
        <v>22</v>
      </c>
      <c r="K288">
        <v>79721</v>
      </c>
      <c r="L288">
        <v>4.3</v>
      </c>
      <c r="M288" t="s">
        <v>43</v>
      </c>
      <c r="N288">
        <v>83</v>
      </c>
    </row>
    <row r="289" spans="1:14" x14ac:dyDescent="0.35">
      <c r="A289" t="s">
        <v>625</v>
      </c>
      <c r="B289" t="s">
        <v>60</v>
      </c>
      <c r="C289" t="s">
        <v>24</v>
      </c>
      <c r="D289" t="s">
        <v>17</v>
      </c>
      <c r="E289">
        <v>35</v>
      </c>
      <c r="F289" t="s">
        <v>37</v>
      </c>
      <c r="G289" t="s">
        <v>57</v>
      </c>
      <c r="H289" t="s">
        <v>626</v>
      </c>
      <c r="I289">
        <v>14</v>
      </c>
      <c r="J289">
        <v>19</v>
      </c>
      <c r="K289">
        <v>390415</v>
      </c>
      <c r="L289">
        <v>2.8</v>
      </c>
      <c r="M289" t="s">
        <v>43</v>
      </c>
      <c r="N289">
        <v>92</v>
      </c>
    </row>
    <row r="290" spans="1:14" x14ac:dyDescent="0.35">
      <c r="A290" t="s">
        <v>627</v>
      </c>
      <c r="B290" t="s">
        <v>15</v>
      </c>
      <c r="C290" t="s">
        <v>24</v>
      </c>
      <c r="D290" t="s">
        <v>25</v>
      </c>
      <c r="E290">
        <v>24</v>
      </c>
      <c r="F290" t="s">
        <v>46</v>
      </c>
      <c r="G290" t="s">
        <v>32</v>
      </c>
      <c r="H290" t="s">
        <v>628</v>
      </c>
      <c r="I290">
        <v>16</v>
      </c>
      <c r="J290">
        <v>21</v>
      </c>
      <c r="K290">
        <v>482545</v>
      </c>
      <c r="L290">
        <v>4.8</v>
      </c>
      <c r="M290" t="s">
        <v>21</v>
      </c>
      <c r="N290">
        <v>57</v>
      </c>
    </row>
    <row r="291" spans="1:14" x14ac:dyDescent="0.35">
      <c r="A291" t="s">
        <v>629</v>
      </c>
      <c r="B291" t="s">
        <v>40</v>
      </c>
      <c r="C291" t="s">
        <v>64</v>
      </c>
      <c r="D291" t="s">
        <v>17</v>
      </c>
      <c r="E291">
        <v>40</v>
      </c>
      <c r="F291" t="s">
        <v>18</v>
      </c>
      <c r="G291" t="s">
        <v>19</v>
      </c>
      <c r="H291" t="s">
        <v>83</v>
      </c>
      <c r="I291">
        <v>7</v>
      </c>
      <c r="J291">
        <v>13</v>
      </c>
      <c r="K291">
        <v>100045</v>
      </c>
      <c r="L291">
        <v>3.8</v>
      </c>
      <c r="M291" t="s">
        <v>43</v>
      </c>
      <c r="N291">
        <v>90</v>
      </c>
    </row>
    <row r="292" spans="1:14" x14ac:dyDescent="0.35">
      <c r="A292" t="s">
        <v>630</v>
      </c>
      <c r="B292" t="s">
        <v>55</v>
      </c>
      <c r="C292" t="s">
        <v>64</v>
      </c>
      <c r="D292" t="s">
        <v>17</v>
      </c>
      <c r="E292">
        <v>26</v>
      </c>
      <c r="F292" t="s">
        <v>70</v>
      </c>
      <c r="G292" t="s">
        <v>41</v>
      </c>
      <c r="H292" t="s">
        <v>631</v>
      </c>
      <c r="I292">
        <v>17</v>
      </c>
      <c r="J292">
        <v>27</v>
      </c>
      <c r="K292">
        <v>321525</v>
      </c>
      <c r="L292">
        <v>3.6</v>
      </c>
      <c r="M292" t="s">
        <v>21</v>
      </c>
      <c r="N292">
        <v>37</v>
      </c>
    </row>
    <row r="293" spans="1:14" x14ac:dyDescent="0.35">
      <c r="A293" t="s">
        <v>632</v>
      </c>
      <c r="B293" t="s">
        <v>78</v>
      </c>
      <c r="C293" t="s">
        <v>16</v>
      </c>
      <c r="D293" t="s">
        <v>17</v>
      </c>
      <c r="E293">
        <v>32</v>
      </c>
      <c r="F293" t="s">
        <v>18</v>
      </c>
      <c r="G293" t="s">
        <v>88</v>
      </c>
      <c r="H293" t="s">
        <v>633</v>
      </c>
      <c r="I293">
        <v>4</v>
      </c>
      <c r="J293">
        <v>14</v>
      </c>
      <c r="K293">
        <v>365125</v>
      </c>
      <c r="L293">
        <v>4.2</v>
      </c>
      <c r="M293" t="s">
        <v>43</v>
      </c>
      <c r="N293">
        <v>83</v>
      </c>
    </row>
    <row r="294" spans="1:14" x14ac:dyDescent="0.35">
      <c r="A294" t="s">
        <v>634</v>
      </c>
      <c r="B294" t="s">
        <v>40</v>
      </c>
      <c r="C294" t="s">
        <v>49</v>
      </c>
      <c r="D294" t="s">
        <v>17</v>
      </c>
      <c r="E294">
        <v>45</v>
      </c>
      <c r="F294" t="s">
        <v>74</v>
      </c>
      <c r="G294" t="s">
        <v>85</v>
      </c>
      <c r="H294" t="s">
        <v>635</v>
      </c>
      <c r="I294">
        <v>19</v>
      </c>
      <c r="J294">
        <v>26</v>
      </c>
      <c r="K294">
        <v>472587</v>
      </c>
      <c r="L294">
        <v>2.6</v>
      </c>
      <c r="M294" t="s">
        <v>43</v>
      </c>
      <c r="N294">
        <v>80</v>
      </c>
    </row>
    <row r="295" spans="1:14" x14ac:dyDescent="0.35">
      <c r="A295" t="s">
        <v>636</v>
      </c>
      <c r="B295" t="s">
        <v>78</v>
      </c>
      <c r="C295" t="s">
        <v>36</v>
      </c>
      <c r="D295" t="s">
        <v>25</v>
      </c>
      <c r="E295">
        <v>35</v>
      </c>
      <c r="F295" t="s">
        <v>74</v>
      </c>
      <c r="G295" t="s">
        <v>71</v>
      </c>
      <c r="H295" t="s">
        <v>637</v>
      </c>
      <c r="I295">
        <v>19</v>
      </c>
      <c r="J295">
        <v>29</v>
      </c>
      <c r="K295">
        <v>187079</v>
      </c>
      <c r="L295">
        <v>4.5</v>
      </c>
      <c r="M295" t="s">
        <v>43</v>
      </c>
      <c r="N295">
        <v>89</v>
      </c>
    </row>
    <row r="296" spans="1:14" x14ac:dyDescent="0.35">
      <c r="A296" t="s">
        <v>638</v>
      </c>
      <c r="B296" t="s">
        <v>35</v>
      </c>
      <c r="C296" t="s">
        <v>36</v>
      </c>
      <c r="D296" t="s">
        <v>25</v>
      </c>
      <c r="E296">
        <v>58</v>
      </c>
      <c r="F296" t="s">
        <v>31</v>
      </c>
      <c r="G296" t="s">
        <v>75</v>
      </c>
      <c r="H296" t="s">
        <v>639</v>
      </c>
      <c r="I296">
        <v>8</v>
      </c>
      <c r="J296">
        <v>11</v>
      </c>
      <c r="K296">
        <v>484933</v>
      </c>
      <c r="L296">
        <v>5</v>
      </c>
      <c r="M296" t="s">
        <v>21</v>
      </c>
      <c r="N296">
        <v>70</v>
      </c>
    </row>
    <row r="297" spans="1:14" x14ac:dyDescent="0.35">
      <c r="A297" t="s">
        <v>640</v>
      </c>
      <c r="B297" t="s">
        <v>29</v>
      </c>
      <c r="C297" t="s">
        <v>49</v>
      </c>
      <c r="D297" t="s">
        <v>17</v>
      </c>
      <c r="E297">
        <v>54</v>
      </c>
      <c r="F297" t="s">
        <v>79</v>
      </c>
      <c r="G297" t="s">
        <v>71</v>
      </c>
      <c r="H297" t="s">
        <v>641</v>
      </c>
      <c r="I297">
        <v>19</v>
      </c>
      <c r="J297">
        <v>21</v>
      </c>
      <c r="K297">
        <v>82135</v>
      </c>
      <c r="L297">
        <v>3.5</v>
      </c>
      <c r="M297" t="s">
        <v>43</v>
      </c>
      <c r="N297">
        <v>85</v>
      </c>
    </row>
    <row r="298" spans="1:14" x14ac:dyDescent="0.35">
      <c r="A298" t="s">
        <v>642</v>
      </c>
      <c r="B298" t="s">
        <v>55</v>
      </c>
      <c r="C298" t="s">
        <v>64</v>
      </c>
      <c r="D298" t="s">
        <v>25</v>
      </c>
      <c r="E298">
        <v>50</v>
      </c>
      <c r="F298" t="s">
        <v>37</v>
      </c>
      <c r="G298" t="s">
        <v>71</v>
      </c>
      <c r="H298" t="s">
        <v>643</v>
      </c>
      <c r="I298">
        <v>5</v>
      </c>
      <c r="J298">
        <v>15</v>
      </c>
      <c r="K298">
        <v>258812</v>
      </c>
      <c r="L298">
        <v>3.2</v>
      </c>
      <c r="M298" t="s">
        <v>43</v>
      </c>
      <c r="N298">
        <v>87</v>
      </c>
    </row>
    <row r="299" spans="1:14" x14ac:dyDescent="0.35">
      <c r="A299" t="s">
        <v>644</v>
      </c>
      <c r="B299" t="s">
        <v>29</v>
      </c>
      <c r="C299" t="s">
        <v>24</v>
      </c>
      <c r="D299" t="s">
        <v>25</v>
      </c>
      <c r="E299">
        <v>53</v>
      </c>
      <c r="F299" t="s">
        <v>46</v>
      </c>
      <c r="G299" t="s">
        <v>71</v>
      </c>
      <c r="H299" t="s">
        <v>645</v>
      </c>
      <c r="I299">
        <v>8</v>
      </c>
      <c r="J299">
        <v>14</v>
      </c>
      <c r="K299">
        <v>421051</v>
      </c>
      <c r="L299">
        <v>4.2</v>
      </c>
      <c r="M299" t="s">
        <v>43</v>
      </c>
      <c r="N299">
        <v>87</v>
      </c>
    </row>
    <row r="300" spans="1:14" x14ac:dyDescent="0.35">
      <c r="A300" t="s">
        <v>646</v>
      </c>
      <c r="B300" t="s">
        <v>60</v>
      </c>
      <c r="C300" t="s">
        <v>56</v>
      </c>
      <c r="D300" t="s">
        <v>25</v>
      </c>
      <c r="E300">
        <v>53</v>
      </c>
      <c r="F300" t="s">
        <v>79</v>
      </c>
      <c r="G300" t="s">
        <v>61</v>
      </c>
      <c r="H300" t="s">
        <v>647</v>
      </c>
      <c r="I300">
        <v>8</v>
      </c>
      <c r="J300">
        <v>15</v>
      </c>
      <c r="K300">
        <v>267685</v>
      </c>
      <c r="L300">
        <v>4.5999999999999996</v>
      </c>
      <c r="M300" t="s">
        <v>43</v>
      </c>
      <c r="N300">
        <v>94</v>
      </c>
    </row>
    <row r="301" spans="1:14" x14ac:dyDescent="0.35">
      <c r="A301" t="s">
        <v>648</v>
      </c>
      <c r="B301" t="s">
        <v>111</v>
      </c>
      <c r="C301" t="s">
        <v>24</v>
      </c>
      <c r="D301" t="s">
        <v>17</v>
      </c>
      <c r="E301">
        <v>38</v>
      </c>
      <c r="F301" t="s">
        <v>74</v>
      </c>
      <c r="G301" t="s">
        <v>41</v>
      </c>
      <c r="H301" t="s">
        <v>649</v>
      </c>
      <c r="I301">
        <v>10</v>
      </c>
      <c r="J301">
        <v>10</v>
      </c>
      <c r="K301">
        <v>83430</v>
      </c>
      <c r="L301">
        <v>2.1</v>
      </c>
      <c r="M301" t="s">
        <v>43</v>
      </c>
      <c r="N301">
        <v>72</v>
      </c>
    </row>
    <row r="302" spans="1:14" x14ac:dyDescent="0.35">
      <c r="A302" t="s">
        <v>650</v>
      </c>
      <c r="B302" t="s">
        <v>35</v>
      </c>
      <c r="C302" t="s">
        <v>93</v>
      </c>
      <c r="D302" t="s">
        <v>25</v>
      </c>
      <c r="E302">
        <v>57</v>
      </c>
      <c r="F302" t="s">
        <v>31</v>
      </c>
      <c r="G302" t="s">
        <v>41</v>
      </c>
      <c r="H302" t="s">
        <v>651</v>
      </c>
      <c r="I302">
        <v>13</v>
      </c>
      <c r="J302">
        <v>22</v>
      </c>
      <c r="K302">
        <v>145372</v>
      </c>
      <c r="L302">
        <v>4.5999999999999996</v>
      </c>
      <c r="M302" t="s">
        <v>21</v>
      </c>
      <c r="N302">
        <v>62</v>
      </c>
    </row>
    <row r="303" spans="1:14" x14ac:dyDescent="0.35">
      <c r="A303" t="s">
        <v>652</v>
      </c>
      <c r="B303" t="s">
        <v>69</v>
      </c>
      <c r="C303" t="s">
        <v>93</v>
      </c>
      <c r="D303" t="s">
        <v>17</v>
      </c>
      <c r="E303">
        <v>29</v>
      </c>
      <c r="F303" t="s">
        <v>46</v>
      </c>
      <c r="G303" t="s">
        <v>75</v>
      </c>
      <c r="H303" t="s">
        <v>653</v>
      </c>
      <c r="I303">
        <v>1</v>
      </c>
      <c r="J303">
        <v>7</v>
      </c>
      <c r="K303">
        <v>313362</v>
      </c>
      <c r="L303">
        <v>2.2999999999999998</v>
      </c>
      <c r="M303" t="s">
        <v>21</v>
      </c>
      <c r="N303">
        <v>69</v>
      </c>
    </row>
    <row r="304" spans="1:14" x14ac:dyDescent="0.35">
      <c r="A304" t="s">
        <v>654</v>
      </c>
      <c r="B304" t="s">
        <v>35</v>
      </c>
      <c r="C304" t="s">
        <v>24</v>
      </c>
      <c r="D304" t="s">
        <v>17</v>
      </c>
      <c r="E304">
        <v>47</v>
      </c>
      <c r="F304" t="s">
        <v>70</v>
      </c>
      <c r="G304" t="s">
        <v>26</v>
      </c>
      <c r="H304" t="s">
        <v>655</v>
      </c>
      <c r="I304">
        <v>14</v>
      </c>
      <c r="J304">
        <v>14</v>
      </c>
      <c r="K304">
        <v>317628</v>
      </c>
      <c r="L304">
        <v>4</v>
      </c>
      <c r="M304" t="s">
        <v>21</v>
      </c>
      <c r="N304">
        <v>47</v>
      </c>
    </row>
    <row r="305" spans="1:14" x14ac:dyDescent="0.35">
      <c r="A305" t="s">
        <v>656</v>
      </c>
      <c r="B305" t="s">
        <v>60</v>
      </c>
      <c r="C305" t="s">
        <v>64</v>
      </c>
      <c r="D305" t="s">
        <v>17</v>
      </c>
      <c r="E305">
        <v>41</v>
      </c>
      <c r="F305" t="s">
        <v>46</v>
      </c>
      <c r="G305" t="s">
        <v>61</v>
      </c>
      <c r="H305" t="s">
        <v>657</v>
      </c>
      <c r="I305">
        <v>16</v>
      </c>
      <c r="J305">
        <v>25</v>
      </c>
      <c r="K305">
        <v>122109</v>
      </c>
      <c r="L305">
        <v>2.6</v>
      </c>
      <c r="M305" t="s">
        <v>43</v>
      </c>
      <c r="N305">
        <v>79</v>
      </c>
    </row>
    <row r="306" spans="1:14" x14ac:dyDescent="0.35">
      <c r="A306" t="s">
        <v>658</v>
      </c>
      <c r="B306" t="s">
        <v>45</v>
      </c>
      <c r="C306" t="s">
        <v>56</v>
      </c>
      <c r="D306" t="s">
        <v>25</v>
      </c>
      <c r="E306">
        <v>42</v>
      </c>
      <c r="F306" t="s">
        <v>37</v>
      </c>
      <c r="G306" t="s">
        <v>71</v>
      </c>
      <c r="H306" t="s">
        <v>659</v>
      </c>
      <c r="I306">
        <v>12</v>
      </c>
      <c r="J306">
        <v>18</v>
      </c>
      <c r="K306">
        <v>491117</v>
      </c>
      <c r="L306">
        <v>3.5</v>
      </c>
      <c r="M306" t="s">
        <v>43</v>
      </c>
      <c r="N306">
        <v>81</v>
      </c>
    </row>
    <row r="307" spans="1:14" x14ac:dyDescent="0.35">
      <c r="A307" t="s">
        <v>660</v>
      </c>
      <c r="B307" t="s">
        <v>69</v>
      </c>
      <c r="C307" t="s">
        <v>82</v>
      </c>
      <c r="D307" t="s">
        <v>25</v>
      </c>
      <c r="E307">
        <v>36</v>
      </c>
      <c r="F307" t="s">
        <v>79</v>
      </c>
      <c r="G307" t="s">
        <v>41</v>
      </c>
      <c r="H307" t="s">
        <v>661</v>
      </c>
      <c r="I307">
        <v>2</v>
      </c>
      <c r="J307">
        <v>8</v>
      </c>
      <c r="K307">
        <v>494703</v>
      </c>
      <c r="L307">
        <v>3.7</v>
      </c>
      <c r="M307" t="s">
        <v>21</v>
      </c>
      <c r="N307">
        <v>52</v>
      </c>
    </row>
    <row r="308" spans="1:14" x14ac:dyDescent="0.35">
      <c r="A308" t="s">
        <v>662</v>
      </c>
      <c r="B308" t="s">
        <v>55</v>
      </c>
      <c r="C308" t="s">
        <v>16</v>
      </c>
      <c r="D308" t="s">
        <v>25</v>
      </c>
      <c r="E308">
        <v>41</v>
      </c>
      <c r="F308" t="s">
        <v>37</v>
      </c>
      <c r="G308" t="s">
        <v>71</v>
      </c>
      <c r="H308" t="s">
        <v>663</v>
      </c>
      <c r="I308">
        <v>20</v>
      </c>
      <c r="J308">
        <v>24</v>
      </c>
      <c r="K308">
        <v>90946</v>
      </c>
      <c r="L308">
        <v>4.0999999999999996</v>
      </c>
      <c r="M308" t="s">
        <v>43</v>
      </c>
      <c r="N308">
        <v>76</v>
      </c>
    </row>
    <row r="309" spans="1:14" x14ac:dyDescent="0.35">
      <c r="A309" t="s">
        <v>664</v>
      </c>
      <c r="B309" t="s">
        <v>15</v>
      </c>
      <c r="C309" t="s">
        <v>56</v>
      </c>
      <c r="D309" t="s">
        <v>17</v>
      </c>
      <c r="E309">
        <v>49</v>
      </c>
      <c r="F309" t="s">
        <v>18</v>
      </c>
      <c r="G309" t="s">
        <v>57</v>
      </c>
      <c r="H309" t="s">
        <v>665</v>
      </c>
      <c r="I309">
        <v>18</v>
      </c>
      <c r="J309">
        <v>19</v>
      </c>
      <c r="K309">
        <v>209054</v>
      </c>
      <c r="L309">
        <v>3.8</v>
      </c>
      <c r="M309" t="s">
        <v>21</v>
      </c>
      <c r="N309">
        <v>32</v>
      </c>
    </row>
    <row r="310" spans="1:14" x14ac:dyDescent="0.35">
      <c r="A310" t="s">
        <v>666</v>
      </c>
      <c r="B310" t="s">
        <v>40</v>
      </c>
      <c r="C310" t="s">
        <v>93</v>
      </c>
      <c r="D310" t="s">
        <v>25</v>
      </c>
      <c r="E310">
        <v>23</v>
      </c>
      <c r="F310" t="s">
        <v>46</v>
      </c>
      <c r="G310" t="s">
        <v>19</v>
      </c>
      <c r="H310" t="s">
        <v>667</v>
      </c>
      <c r="I310">
        <v>11</v>
      </c>
      <c r="J310">
        <v>18</v>
      </c>
      <c r="K310">
        <v>279786</v>
      </c>
      <c r="L310">
        <v>4.8</v>
      </c>
      <c r="M310" t="s">
        <v>21</v>
      </c>
      <c r="N310">
        <v>52</v>
      </c>
    </row>
    <row r="311" spans="1:14" x14ac:dyDescent="0.35">
      <c r="A311" t="s">
        <v>668</v>
      </c>
      <c r="B311" t="s">
        <v>60</v>
      </c>
      <c r="C311" t="s">
        <v>56</v>
      </c>
      <c r="D311" t="s">
        <v>25</v>
      </c>
      <c r="E311">
        <v>54</v>
      </c>
      <c r="F311" t="s">
        <v>46</v>
      </c>
      <c r="G311" t="s">
        <v>75</v>
      </c>
      <c r="H311" t="s">
        <v>669</v>
      </c>
      <c r="I311">
        <v>11</v>
      </c>
      <c r="J311">
        <v>14</v>
      </c>
      <c r="K311">
        <v>87949</v>
      </c>
      <c r="L311">
        <v>3.9</v>
      </c>
      <c r="M311" t="s">
        <v>21</v>
      </c>
      <c r="N311">
        <v>46</v>
      </c>
    </row>
    <row r="312" spans="1:14" x14ac:dyDescent="0.35">
      <c r="A312" t="s">
        <v>670</v>
      </c>
      <c r="B312" t="s">
        <v>96</v>
      </c>
      <c r="C312" t="s">
        <v>36</v>
      </c>
      <c r="D312" t="s">
        <v>25</v>
      </c>
      <c r="E312">
        <v>31</v>
      </c>
      <c r="F312" t="s">
        <v>18</v>
      </c>
      <c r="G312" t="s">
        <v>57</v>
      </c>
      <c r="H312" t="s">
        <v>671</v>
      </c>
      <c r="I312">
        <v>20</v>
      </c>
      <c r="J312">
        <v>29</v>
      </c>
      <c r="K312">
        <v>436490</v>
      </c>
      <c r="L312">
        <v>2</v>
      </c>
      <c r="M312" t="s">
        <v>21</v>
      </c>
      <c r="N312">
        <v>33</v>
      </c>
    </row>
    <row r="313" spans="1:14" x14ac:dyDescent="0.35">
      <c r="A313" t="s">
        <v>672</v>
      </c>
      <c r="B313" t="s">
        <v>45</v>
      </c>
      <c r="C313" t="s">
        <v>49</v>
      </c>
      <c r="D313" t="s">
        <v>17</v>
      </c>
      <c r="E313">
        <v>28</v>
      </c>
      <c r="F313" t="s">
        <v>79</v>
      </c>
      <c r="G313" t="s">
        <v>57</v>
      </c>
      <c r="H313" t="s">
        <v>673</v>
      </c>
      <c r="I313">
        <v>17</v>
      </c>
      <c r="J313">
        <v>26</v>
      </c>
      <c r="K313">
        <v>457839</v>
      </c>
      <c r="L313">
        <v>3</v>
      </c>
      <c r="M313" t="s">
        <v>43</v>
      </c>
      <c r="N313">
        <v>73</v>
      </c>
    </row>
    <row r="314" spans="1:14" x14ac:dyDescent="0.35">
      <c r="A314" t="s">
        <v>674</v>
      </c>
      <c r="B314" t="s">
        <v>55</v>
      </c>
      <c r="C314" t="s">
        <v>64</v>
      </c>
      <c r="D314" t="s">
        <v>17</v>
      </c>
      <c r="E314">
        <v>33</v>
      </c>
      <c r="F314" t="s">
        <v>37</v>
      </c>
      <c r="G314" t="s">
        <v>57</v>
      </c>
      <c r="H314" t="s">
        <v>675</v>
      </c>
      <c r="I314">
        <v>18</v>
      </c>
      <c r="J314">
        <v>21</v>
      </c>
      <c r="K314">
        <v>212934</v>
      </c>
      <c r="L314">
        <v>2.1</v>
      </c>
      <c r="M314" t="s">
        <v>21</v>
      </c>
      <c r="N314">
        <v>32</v>
      </c>
    </row>
    <row r="315" spans="1:14" x14ac:dyDescent="0.35">
      <c r="A315" t="s">
        <v>676</v>
      </c>
      <c r="B315" t="s">
        <v>29</v>
      </c>
      <c r="C315" t="s">
        <v>30</v>
      </c>
      <c r="D315" t="s">
        <v>25</v>
      </c>
      <c r="E315">
        <v>21</v>
      </c>
      <c r="F315" t="s">
        <v>18</v>
      </c>
      <c r="G315" t="s">
        <v>61</v>
      </c>
      <c r="H315" t="s">
        <v>677</v>
      </c>
      <c r="I315">
        <v>18</v>
      </c>
      <c r="J315">
        <v>23</v>
      </c>
      <c r="K315">
        <v>359467</v>
      </c>
      <c r="L315">
        <v>4.9000000000000004</v>
      </c>
      <c r="M315" t="s">
        <v>21</v>
      </c>
      <c r="N315">
        <v>52</v>
      </c>
    </row>
    <row r="316" spans="1:14" x14ac:dyDescent="0.35">
      <c r="A316" t="s">
        <v>678</v>
      </c>
      <c r="B316" t="s">
        <v>96</v>
      </c>
      <c r="C316" t="s">
        <v>24</v>
      </c>
      <c r="D316" t="s">
        <v>25</v>
      </c>
      <c r="E316">
        <v>29</v>
      </c>
      <c r="F316" t="s">
        <v>74</v>
      </c>
      <c r="G316" t="s">
        <v>75</v>
      </c>
      <c r="H316" t="s">
        <v>679</v>
      </c>
      <c r="I316">
        <v>2</v>
      </c>
      <c r="J316">
        <v>8</v>
      </c>
      <c r="K316">
        <v>285361</v>
      </c>
      <c r="L316">
        <v>2.9</v>
      </c>
      <c r="M316" t="s">
        <v>43</v>
      </c>
      <c r="N316">
        <v>75</v>
      </c>
    </row>
    <row r="317" spans="1:14" x14ac:dyDescent="0.35">
      <c r="A317" t="s">
        <v>680</v>
      </c>
      <c r="B317" t="s">
        <v>23</v>
      </c>
      <c r="C317" t="s">
        <v>16</v>
      </c>
      <c r="D317" t="s">
        <v>25</v>
      </c>
      <c r="E317">
        <v>25</v>
      </c>
      <c r="F317" t="s">
        <v>46</v>
      </c>
      <c r="G317" t="s">
        <v>61</v>
      </c>
      <c r="H317" t="s">
        <v>598</v>
      </c>
      <c r="I317">
        <v>4</v>
      </c>
      <c r="J317">
        <v>13</v>
      </c>
      <c r="K317">
        <v>115042</v>
      </c>
      <c r="L317">
        <v>4.9000000000000004</v>
      </c>
      <c r="M317" t="s">
        <v>43</v>
      </c>
      <c r="N317">
        <v>80</v>
      </c>
    </row>
    <row r="318" spans="1:14" x14ac:dyDescent="0.35">
      <c r="A318" t="s">
        <v>681</v>
      </c>
      <c r="B318" t="s">
        <v>60</v>
      </c>
      <c r="C318" t="s">
        <v>52</v>
      </c>
      <c r="D318" t="s">
        <v>25</v>
      </c>
      <c r="E318">
        <v>48</v>
      </c>
      <c r="F318" t="s">
        <v>74</v>
      </c>
      <c r="G318" t="s">
        <v>61</v>
      </c>
      <c r="H318" t="s">
        <v>682</v>
      </c>
      <c r="I318">
        <v>6</v>
      </c>
      <c r="J318">
        <v>8</v>
      </c>
      <c r="K318">
        <v>173115</v>
      </c>
      <c r="L318">
        <v>3.3</v>
      </c>
      <c r="M318" t="s">
        <v>21</v>
      </c>
      <c r="N318">
        <v>64</v>
      </c>
    </row>
    <row r="319" spans="1:14" x14ac:dyDescent="0.35">
      <c r="A319" t="s">
        <v>683</v>
      </c>
      <c r="B319" t="s">
        <v>29</v>
      </c>
      <c r="C319" t="s">
        <v>16</v>
      </c>
      <c r="D319" t="s">
        <v>17</v>
      </c>
      <c r="E319">
        <v>57</v>
      </c>
      <c r="F319" t="s">
        <v>74</v>
      </c>
      <c r="G319" t="s">
        <v>32</v>
      </c>
      <c r="H319" t="s">
        <v>684</v>
      </c>
      <c r="I319">
        <v>6</v>
      </c>
      <c r="J319">
        <v>7</v>
      </c>
      <c r="K319">
        <v>222500</v>
      </c>
      <c r="L319">
        <v>2.6</v>
      </c>
      <c r="M319" t="s">
        <v>21</v>
      </c>
      <c r="N319">
        <v>33</v>
      </c>
    </row>
    <row r="320" spans="1:14" x14ac:dyDescent="0.35">
      <c r="A320" t="s">
        <v>685</v>
      </c>
      <c r="B320" t="s">
        <v>23</v>
      </c>
      <c r="C320" t="s">
        <v>36</v>
      </c>
      <c r="D320" t="s">
        <v>17</v>
      </c>
      <c r="E320">
        <v>56</v>
      </c>
      <c r="F320" t="s">
        <v>70</v>
      </c>
      <c r="G320" t="s">
        <v>88</v>
      </c>
      <c r="H320" t="s">
        <v>53</v>
      </c>
      <c r="I320">
        <v>14</v>
      </c>
      <c r="J320">
        <v>19</v>
      </c>
      <c r="K320">
        <v>337112</v>
      </c>
      <c r="L320">
        <v>3.3</v>
      </c>
      <c r="M320" t="s">
        <v>43</v>
      </c>
      <c r="N320">
        <v>78</v>
      </c>
    </row>
    <row r="321" spans="1:14" x14ac:dyDescent="0.35">
      <c r="A321" t="s">
        <v>686</v>
      </c>
      <c r="B321" t="s">
        <v>55</v>
      </c>
      <c r="C321" t="s">
        <v>49</v>
      </c>
      <c r="D321" t="s">
        <v>25</v>
      </c>
      <c r="E321">
        <v>58</v>
      </c>
      <c r="F321" t="s">
        <v>46</v>
      </c>
      <c r="G321" t="s">
        <v>71</v>
      </c>
      <c r="H321" t="s">
        <v>687</v>
      </c>
      <c r="I321">
        <v>12</v>
      </c>
      <c r="J321">
        <v>16</v>
      </c>
      <c r="K321">
        <v>390502</v>
      </c>
      <c r="L321">
        <v>4.5999999999999996</v>
      </c>
      <c r="M321" t="s">
        <v>21</v>
      </c>
      <c r="N321">
        <v>61</v>
      </c>
    </row>
    <row r="322" spans="1:14" x14ac:dyDescent="0.35">
      <c r="A322" t="s">
        <v>688</v>
      </c>
      <c r="B322" t="s">
        <v>35</v>
      </c>
      <c r="C322" t="s">
        <v>49</v>
      </c>
      <c r="D322" t="s">
        <v>17</v>
      </c>
      <c r="E322">
        <v>52</v>
      </c>
      <c r="F322" t="s">
        <v>37</v>
      </c>
      <c r="G322" t="s">
        <v>88</v>
      </c>
      <c r="H322" t="s">
        <v>689</v>
      </c>
      <c r="I322">
        <v>19</v>
      </c>
      <c r="J322">
        <v>24</v>
      </c>
      <c r="K322">
        <v>480663</v>
      </c>
      <c r="L322">
        <v>3.1</v>
      </c>
      <c r="M322" t="s">
        <v>21</v>
      </c>
      <c r="N322">
        <v>41</v>
      </c>
    </row>
    <row r="323" spans="1:14" x14ac:dyDescent="0.35">
      <c r="A323" t="s">
        <v>690</v>
      </c>
      <c r="B323" t="s">
        <v>78</v>
      </c>
      <c r="C323" t="s">
        <v>82</v>
      </c>
      <c r="D323" t="s">
        <v>25</v>
      </c>
      <c r="E323">
        <v>35</v>
      </c>
      <c r="F323" t="s">
        <v>31</v>
      </c>
      <c r="G323" t="s">
        <v>71</v>
      </c>
      <c r="H323" t="s">
        <v>691</v>
      </c>
      <c r="I323">
        <v>6</v>
      </c>
      <c r="J323">
        <v>7</v>
      </c>
      <c r="K323">
        <v>85232</v>
      </c>
      <c r="L323">
        <v>2</v>
      </c>
      <c r="M323" t="s">
        <v>43</v>
      </c>
      <c r="N323">
        <v>79</v>
      </c>
    </row>
    <row r="324" spans="1:14" x14ac:dyDescent="0.35">
      <c r="A324" t="s">
        <v>692</v>
      </c>
      <c r="B324" t="s">
        <v>15</v>
      </c>
      <c r="C324" t="s">
        <v>82</v>
      </c>
      <c r="D324" t="s">
        <v>17</v>
      </c>
      <c r="E324">
        <v>34</v>
      </c>
      <c r="F324" t="s">
        <v>74</v>
      </c>
      <c r="G324" t="s">
        <v>71</v>
      </c>
      <c r="H324" t="s">
        <v>693</v>
      </c>
      <c r="I324">
        <v>6</v>
      </c>
      <c r="J324">
        <v>12</v>
      </c>
      <c r="K324">
        <v>258563</v>
      </c>
      <c r="L324">
        <v>3.2</v>
      </c>
      <c r="M324" t="s">
        <v>21</v>
      </c>
      <c r="N324">
        <v>63</v>
      </c>
    </row>
    <row r="325" spans="1:14" x14ac:dyDescent="0.35">
      <c r="A325" t="s">
        <v>694</v>
      </c>
      <c r="B325" t="s">
        <v>29</v>
      </c>
      <c r="C325" t="s">
        <v>64</v>
      </c>
      <c r="D325" t="s">
        <v>17</v>
      </c>
      <c r="E325">
        <v>22</v>
      </c>
      <c r="F325" t="s">
        <v>79</v>
      </c>
      <c r="G325" t="s">
        <v>32</v>
      </c>
      <c r="H325" t="s">
        <v>695</v>
      </c>
      <c r="I325">
        <v>18</v>
      </c>
      <c r="J325">
        <v>24</v>
      </c>
      <c r="K325">
        <v>257419</v>
      </c>
      <c r="L325">
        <v>5</v>
      </c>
      <c r="M325" t="s">
        <v>21</v>
      </c>
      <c r="N325">
        <v>60</v>
      </c>
    </row>
    <row r="326" spans="1:14" x14ac:dyDescent="0.35">
      <c r="A326" t="s">
        <v>696</v>
      </c>
      <c r="B326" t="s">
        <v>55</v>
      </c>
      <c r="C326" t="s">
        <v>52</v>
      </c>
      <c r="D326" t="s">
        <v>25</v>
      </c>
      <c r="E326">
        <v>39</v>
      </c>
      <c r="F326" t="s">
        <v>70</v>
      </c>
      <c r="G326" t="s">
        <v>85</v>
      </c>
      <c r="H326" t="s">
        <v>697</v>
      </c>
      <c r="I326">
        <v>10</v>
      </c>
      <c r="J326">
        <v>10</v>
      </c>
      <c r="K326">
        <v>118644</v>
      </c>
      <c r="L326">
        <v>2.9</v>
      </c>
      <c r="M326" t="s">
        <v>43</v>
      </c>
      <c r="N326">
        <v>94</v>
      </c>
    </row>
    <row r="327" spans="1:14" x14ac:dyDescent="0.35">
      <c r="A327" t="s">
        <v>698</v>
      </c>
      <c r="B327" t="s">
        <v>69</v>
      </c>
      <c r="C327" t="s">
        <v>16</v>
      </c>
      <c r="D327" t="s">
        <v>25</v>
      </c>
      <c r="E327">
        <v>49</v>
      </c>
      <c r="F327" t="s">
        <v>31</v>
      </c>
      <c r="G327" t="s">
        <v>61</v>
      </c>
      <c r="H327" t="s">
        <v>699</v>
      </c>
      <c r="I327">
        <v>18</v>
      </c>
      <c r="J327">
        <v>28</v>
      </c>
      <c r="K327">
        <v>251916</v>
      </c>
      <c r="L327">
        <v>3.3</v>
      </c>
      <c r="M327" t="s">
        <v>43</v>
      </c>
      <c r="N327">
        <v>76</v>
      </c>
    </row>
    <row r="328" spans="1:14" x14ac:dyDescent="0.35">
      <c r="A328" t="s">
        <v>700</v>
      </c>
      <c r="B328" t="s">
        <v>15</v>
      </c>
      <c r="C328" t="s">
        <v>52</v>
      </c>
      <c r="D328" t="s">
        <v>25</v>
      </c>
      <c r="E328">
        <v>38</v>
      </c>
      <c r="F328" t="s">
        <v>79</v>
      </c>
      <c r="G328" t="s">
        <v>71</v>
      </c>
      <c r="H328" t="s">
        <v>701</v>
      </c>
      <c r="I328">
        <v>11</v>
      </c>
      <c r="J328">
        <v>15</v>
      </c>
      <c r="K328">
        <v>69945</v>
      </c>
      <c r="L328">
        <v>2</v>
      </c>
      <c r="M328" t="s">
        <v>43</v>
      </c>
      <c r="N328">
        <v>89</v>
      </c>
    </row>
    <row r="329" spans="1:14" x14ac:dyDescent="0.35">
      <c r="A329" t="s">
        <v>702</v>
      </c>
      <c r="B329" t="s">
        <v>29</v>
      </c>
      <c r="C329" t="s">
        <v>82</v>
      </c>
      <c r="D329" t="s">
        <v>17</v>
      </c>
      <c r="E329">
        <v>55</v>
      </c>
      <c r="F329" t="s">
        <v>31</v>
      </c>
      <c r="G329" t="s">
        <v>26</v>
      </c>
      <c r="H329" t="s">
        <v>703</v>
      </c>
      <c r="I329">
        <v>17</v>
      </c>
      <c r="J329">
        <v>25</v>
      </c>
      <c r="K329">
        <v>476587</v>
      </c>
      <c r="L329">
        <v>4.8</v>
      </c>
      <c r="M329" t="s">
        <v>21</v>
      </c>
      <c r="N329">
        <v>49</v>
      </c>
    </row>
    <row r="330" spans="1:14" x14ac:dyDescent="0.35">
      <c r="A330" t="s">
        <v>704</v>
      </c>
      <c r="B330" t="s">
        <v>23</v>
      </c>
      <c r="C330" t="s">
        <v>82</v>
      </c>
      <c r="D330" t="s">
        <v>17</v>
      </c>
      <c r="E330">
        <v>41</v>
      </c>
      <c r="F330" t="s">
        <v>18</v>
      </c>
      <c r="G330" t="s">
        <v>26</v>
      </c>
      <c r="H330" t="s">
        <v>705</v>
      </c>
      <c r="I330">
        <v>0</v>
      </c>
      <c r="J330">
        <v>6</v>
      </c>
      <c r="K330">
        <v>79922</v>
      </c>
      <c r="L330">
        <v>3.9</v>
      </c>
      <c r="M330" t="s">
        <v>21</v>
      </c>
      <c r="N330">
        <v>33</v>
      </c>
    </row>
    <row r="331" spans="1:14" x14ac:dyDescent="0.35">
      <c r="A331" t="s">
        <v>706</v>
      </c>
      <c r="B331" t="s">
        <v>55</v>
      </c>
      <c r="C331" t="s">
        <v>64</v>
      </c>
      <c r="D331" t="s">
        <v>17</v>
      </c>
      <c r="E331">
        <v>27</v>
      </c>
      <c r="F331" t="s">
        <v>37</v>
      </c>
      <c r="G331" t="s">
        <v>75</v>
      </c>
      <c r="H331" t="s">
        <v>707</v>
      </c>
      <c r="I331">
        <v>14</v>
      </c>
      <c r="J331">
        <v>14</v>
      </c>
      <c r="K331">
        <v>170448</v>
      </c>
      <c r="L331">
        <v>3.8</v>
      </c>
      <c r="M331" t="s">
        <v>21</v>
      </c>
      <c r="N331">
        <v>63</v>
      </c>
    </row>
    <row r="332" spans="1:14" x14ac:dyDescent="0.35">
      <c r="A332" t="s">
        <v>708</v>
      </c>
      <c r="B332" t="s">
        <v>23</v>
      </c>
      <c r="C332" t="s">
        <v>24</v>
      </c>
      <c r="D332" t="s">
        <v>25</v>
      </c>
      <c r="E332">
        <v>38</v>
      </c>
      <c r="F332" t="s">
        <v>70</v>
      </c>
      <c r="G332" t="s">
        <v>19</v>
      </c>
      <c r="H332" t="s">
        <v>709</v>
      </c>
      <c r="I332">
        <v>15</v>
      </c>
      <c r="J332">
        <v>25</v>
      </c>
      <c r="K332">
        <v>258107</v>
      </c>
      <c r="L332">
        <v>3.2</v>
      </c>
      <c r="M332" t="s">
        <v>21</v>
      </c>
      <c r="N332">
        <v>37</v>
      </c>
    </row>
    <row r="333" spans="1:14" x14ac:dyDescent="0.35">
      <c r="A333" t="s">
        <v>710</v>
      </c>
      <c r="B333" t="s">
        <v>35</v>
      </c>
      <c r="C333" t="s">
        <v>52</v>
      </c>
      <c r="D333" t="s">
        <v>25</v>
      </c>
      <c r="E333">
        <v>30</v>
      </c>
      <c r="F333" t="s">
        <v>18</v>
      </c>
      <c r="G333" t="s">
        <v>61</v>
      </c>
      <c r="H333" t="s">
        <v>711</v>
      </c>
      <c r="I333">
        <v>19</v>
      </c>
      <c r="J333">
        <v>22</v>
      </c>
      <c r="K333">
        <v>246077</v>
      </c>
      <c r="L333">
        <v>4.5999999999999996</v>
      </c>
      <c r="M333" t="s">
        <v>43</v>
      </c>
      <c r="N333">
        <v>78</v>
      </c>
    </row>
    <row r="334" spans="1:14" x14ac:dyDescent="0.35">
      <c r="A334" t="s">
        <v>712</v>
      </c>
      <c r="B334" t="s">
        <v>69</v>
      </c>
      <c r="C334" t="s">
        <v>30</v>
      </c>
      <c r="D334" t="s">
        <v>17</v>
      </c>
      <c r="E334">
        <v>36</v>
      </c>
      <c r="F334" t="s">
        <v>74</v>
      </c>
      <c r="G334" t="s">
        <v>61</v>
      </c>
      <c r="H334" t="s">
        <v>713</v>
      </c>
      <c r="I334">
        <v>14</v>
      </c>
      <c r="J334">
        <v>23</v>
      </c>
      <c r="K334">
        <v>222681</v>
      </c>
      <c r="L334">
        <v>4.0999999999999996</v>
      </c>
      <c r="M334" t="s">
        <v>43</v>
      </c>
      <c r="N334">
        <v>93</v>
      </c>
    </row>
    <row r="335" spans="1:14" x14ac:dyDescent="0.35">
      <c r="A335" t="s">
        <v>714</v>
      </c>
      <c r="B335" t="s">
        <v>96</v>
      </c>
      <c r="C335" t="s">
        <v>56</v>
      </c>
      <c r="D335" t="s">
        <v>17</v>
      </c>
      <c r="E335">
        <v>35</v>
      </c>
      <c r="F335" t="s">
        <v>79</v>
      </c>
      <c r="G335" t="s">
        <v>26</v>
      </c>
      <c r="H335" t="s">
        <v>715</v>
      </c>
      <c r="I335">
        <v>14</v>
      </c>
      <c r="J335">
        <v>14</v>
      </c>
      <c r="K335">
        <v>496314</v>
      </c>
      <c r="L335">
        <v>2.1</v>
      </c>
      <c r="M335" t="s">
        <v>21</v>
      </c>
      <c r="N335">
        <v>57</v>
      </c>
    </row>
    <row r="336" spans="1:14" x14ac:dyDescent="0.35">
      <c r="A336" t="s">
        <v>716</v>
      </c>
      <c r="B336" t="s">
        <v>35</v>
      </c>
      <c r="C336" t="s">
        <v>56</v>
      </c>
      <c r="D336" t="s">
        <v>25</v>
      </c>
      <c r="E336">
        <v>48</v>
      </c>
      <c r="F336" t="s">
        <v>70</v>
      </c>
      <c r="G336" t="s">
        <v>71</v>
      </c>
      <c r="H336" t="s">
        <v>717</v>
      </c>
      <c r="I336">
        <v>17</v>
      </c>
      <c r="J336">
        <v>22</v>
      </c>
      <c r="K336">
        <v>456728</v>
      </c>
      <c r="L336">
        <v>2.2000000000000002</v>
      </c>
      <c r="M336" t="s">
        <v>21</v>
      </c>
      <c r="N336">
        <v>41</v>
      </c>
    </row>
    <row r="337" spans="1:14" x14ac:dyDescent="0.35">
      <c r="A337" t="s">
        <v>718</v>
      </c>
      <c r="B337" t="s">
        <v>111</v>
      </c>
      <c r="C337" t="s">
        <v>64</v>
      </c>
      <c r="D337" t="s">
        <v>17</v>
      </c>
      <c r="E337">
        <v>40</v>
      </c>
      <c r="F337" t="s">
        <v>18</v>
      </c>
      <c r="G337" t="s">
        <v>71</v>
      </c>
      <c r="H337" t="s">
        <v>719</v>
      </c>
      <c r="I337">
        <v>1</v>
      </c>
      <c r="J337">
        <v>5</v>
      </c>
      <c r="K337">
        <v>469609</v>
      </c>
      <c r="L337">
        <v>4.5</v>
      </c>
      <c r="M337" t="s">
        <v>43</v>
      </c>
      <c r="N337">
        <v>71</v>
      </c>
    </row>
    <row r="338" spans="1:14" x14ac:dyDescent="0.35">
      <c r="A338" t="s">
        <v>720</v>
      </c>
      <c r="B338" t="s">
        <v>29</v>
      </c>
      <c r="C338" t="s">
        <v>82</v>
      </c>
      <c r="D338" t="s">
        <v>17</v>
      </c>
      <c r="E338">
        <v>30</v>
      </c>
      <c r="F338" t="s">
        <v>74</v>
      </c>
      <c r="G338" t="s">
        <v>41</v>
      </c>
      <c r="H338" t="s">
        <v>721</v>
      </c>
      <c r="I338">
        <v>12</v>
      </c>
      <c r="J338">
        <v>15</v>
      </c>
      <c r="K338">
        <v>220594</v>
      </c>
      <c r="L338">
        <v>2.5</v>
      </c>
      <c r="M338" t="s">
        <v>43</v>
      </c>
      <c r="N338">
        <v>72</v>
      </c>
    </row>
    <row r="339" spans="1:14" x14ac:dyDescent="0.35">
      <c r="A339" t="s">
        <v>722</v>
      </c>
      <c r="B339" t="s">
        <v>45</v>
      </c>
      <c r="C339" t="s">
        <v>24</v>
      </c>
      <c r="D339" t="s">
        <v>25</v>
      </c>
      <c r="E339">
        <v>57</v>
      </c>
      <c r="F339" t="s">
        <v>46</v>
      </c>
      <c r="G339" t="s">
        <v>19</v>
      </c>
      <c r="H339" t="s">
        <v>723</v>
      </c>
      <c r="I339">
        <v>6</v>
      </c>
      <c r="J339">
        <v>10</v>
      </c>
      <c r="K339">
        <v>322940</v>
      </c>
      <c r="L339">
        <v>4.4000000000000004</v>
      </c>
      <c r="M339" t="s">
        <v>21</v>
      </c>
      <c r="N339">
        <v>38</v>
      </c>
    </row>
    <row r="340" spans="1:14" x14ac:dyDescent="0.35">
      <c r="A340" t="s">
        <v>724</v>
      </c>
      <c r="B340" t="s">
        <v>60</v>
      </c>
      <c r="C340" t="s">
        <v>82</v>
      </c>
      <c r="D340" t="s">
        <v>25</v>
      </c>
      <c r="E340">
        <v>40</v>
      </c>
      <c r="F340" t="s">
        <v>18</v>
      </c>
      <c r="G340" t="s">
        <v>57</v>
      </c>
      <c r="H340" t="s">
        <v>725</v>
      </c>
      <c r="I340">
        <v>7</v>
      </c>
      <c r="J340">
        <v>13</v>
      </c>
      <c r="K340">
        <v>162786</v>
      </c>
      <c r="L340">
        <v>4.2</v>
      </c>
      <c r="M340" t="s">
        <v>21</v>
      </c>
      <c r="N340">
        <v>37</v>
      </c>
    </row>
    <row r="341" spans="1:14" x14ac:dyDescent="0.35">
      <c r="A341" t="s">
        <v>726</v>
      </c>
      <c r="B341" t="s">
        <v>45</v>
      </c>
      <c r="C341" t="s">
        <v>82</v>
      </c>
      <c r="D341" t="s">
        <v>25</v>
      </c>
      <c r="E341">
        <v>30</v>
      </c>
      <c r="F341" t="s">
        <v>74</v>
      </c>
      <c r="G341" t="s">
        <v>75</v>
      </c>
      <c r="H341" t="s">
        <v>727</v>
      </c>
      <c r="I341">
        <v>1</v>
      </c>
      <c r="J341">
        <v>5</v>
      </c>
      <c r="K341">
        <v>313234</v>
      </c>
      <c r="L341">
        <v>3.1</v>
      </c>
      <c r="M341" t="s">
        <v>43</v>
      </c>
      <c r="N341">
        <v>84</v>
      </c>
    </row>
    <row r="342" spans="1:14" x14ac:dyDescent="0.35">
      <c r="A342" t="s">
        <v>728</v>
      </c>
      <c r="B342" t="s">
        <v>111</v>
      </c>
      <c r="C342" t="s">
        <v>36</v>
      </c>
      <c r="D342" t="s">
        <v>17</v>
      </c>
      <c r="E342">
        <v>34</v>
      </c>
      <c r="F342" t="s">
        <v>70</v>
      </c>
      <c r="G342" t="s">
        <v>88</v>
      </c>
      <c r="H342" t="s">
        <v>729</v>
      </c>
      <c r="I342">
        <v>12</v>
      </c>
      <c r="J342">
        <v>18</v>
      </c>
      <c r="K342">
        <v>202928</v>
      </c>
      <c r="L342">
        <v>2</v>
      </c>
      <c r="M342" t="s">
        <v>21</v>
      </c>
      <c r="N342">
        <v>39</v>
      </c>
    </row>
    <row r="343" spans="1:14" x14ac:dyDescent="0.35">
      <c r="A343" t="s">
        <v>730</v>
      </c>
      <c r="B343" t="s">
        <v>55</v>
      </c>
      <c r="C343" t="s">
        <v>30</v>
      </c>
      <c r="D343" t="s">
        <v>25</v>
      </c>
      <c r="E343">
        <v>25</v>
      </c>
      <c r="F343" t="s">
        <v>74</v>
      </c>
      <c r="G343" t="s">
        <v>85</v>
      </c>
      <c r="H343" t="s">
        <v>731</v>
      </c>
      <c r="I343">
        <v>2</v>
      </c>
      <c r="J343">
        <v>6</v>
      </c>
      <c r="K343">
        <v>199406</v>
      </c>
      <c r="L343">
        <v>2.2000000000000002</v>
      </c>
      <c r="M343" t="s">
        <v>43</v>
      </c>
      <c r="N343">
        <v>88</v>
      </c>
    </row>
    <row r="344" spans="1:14" x14ac:dyDescent="0.35">
      <c r="A344" t="s">
        <v>732</v>
      </c>
      <c r="B344" t="s">
        <v>29</v>
      </c>
      <c r="C344" t="s">
        <v>16</v>
      </c>
      <c r="D344" t="s">
        <v>17</v>
      </c>
      <c r="E344">
        <v>38</v>
      </c>
      <c r="F344" t="s">
        <v>18</v>
      </c>
      <c r="G344" t="s">
        <v>61</v>
      </c>
      <c r="H344" t="s">
        <v>733</v>
      </c>
      <c r="I344">
        <v>5</v>
      </c>
      <c r="J344">
        <v>7</v>
      </c>
      <c r="K344">
        <v>135277</v>
      </c>
      <c r="L344">
        <v>2</v>
      </c>
      <c r="M344" t="s">
        <v>43</v>
      </c>
      <c r="N344">
        <v>90</v>
      </c>
    </row>
    <row r="345" spans="1:14" x14ac:dyDescent="0.35">
      <c r="A345" t="s">
        <v>734</v>
      </c>
      <c r="B345" t="s">
        <v>23</v>
      </c>
      <c r="C345" t="s">
        <v>49</v>
      </c>
      <c r="D345" t="s">
        <v>25</v>
      </c>
      <c r="E345">
        <v>41</v>
      </c>
      <c r="F345" t="s">
        <v>79</v>
      </c>
      <c r="G345" t="s">
        <v>19</v>
      </c>
      <c r="H345" t="s">
        <v>735</v>
      </c>
      <c r="I345">
        <v>19</v>
      </c>
      <c r="J345">
        <v>25</v>
      </c>
      <c r="K345">
        <v>439228</v>
      </c>
      <c r="L345">
        <v>2.4</v>
      </c>
      <c r="M345" t="s">
        <v>21</v>
      </c>
      <c r="N345">
        <v>53</v>
      </c>
    </row>
    <row r="346" spans="1:14" x14ac:dyDescent="0.35">
      <c r="A346" t="s">
        <v>736</v>
      </c>
      <c r="B346" t="s">
        <v>55</v>
      </c>
      <c r="C346" t="s">
        <v>30</v>
      </c>
      <c r="D346" t="s">
        <v>25</v>
      </c>
      <c r="E346">
        <v>22</v>
      </c>
      <c r="F346" t="s">
        <v>70</v>
      </c>
      <c r="G346" t="s">
        <v>41</v>
      </c>
      <c r="H346" t="s">
        <v>737</v>
      </c>
      <c r="I346">
        <v>5</v>
      </c>
      <c r="J346">
        <v>13</v>
      </c>
      <c r="K346">
        <v>264262</v>
      </c>
      <c r="L346">
        <v>4.2</v>
      </c>
      <c r="M346" t="s">
        <v>43</v>
      </c>
      <c r="N346">
        <v>77</v>
      </c>
    </row>
    <row r="347" spans="1:14" x14ac:dyDescent="0.35">
      <c r="A347" t="s">
        <v>738</v>
      </c>
      <c r="B347" t="s">
        <v>40</v>
      </c>
      <c r="C347" t="s">
        <v>30</v>
      </c>
      <c r="D347" t="s">
        <v>17</v>
      </c>
      <c r="E347">
        <v>40</v>
      </c>
      <c r="F347" t="s">
        <v>46</v>
      </c>
      <c r="G347" t="s">
        <v>85</v>
      </c>
      <c r="H347" t="s">
        <v>529</v>
      </c>
      <c r="I347">
        <v>9</v>
      </c>
      <c r="J347">
        <v>18</v>
      </c>
      <c r="K347">
        <v>314852</v>
      </c>
      <c r="L347">
        <v>4.5</v>
      </c>
      <c r="M347" t="s">
        <v>43</v>
      </c>
      <c r="N347">
        <v>80</v>
      </c>
    </row>
    <row r="348" spans="1:14" x14ac:dyDescent="0.35">
      <c r="A348" t="s">
        <v>739</v>
      </c>
      <c r="B348" t="s">
        <v>40</v>
      </c>
      <c r="C348" t="s">
        <v>30</v>
      </c>
      <c r="D348" t="s">
        <v>25</v>
      </c>
      <c r="E348">
        <v>55</v>
      </c>
      <c r="F348" t="s">
        <v>70</v>
      </c>
      <c r="G348" t="s">
        <v>19</v>
      </c>
      <c r="H348" t="s">
        <v>740</v>
      </c>
      <c r="I348">
        <v>7</v>
      </c>
      <c r="J348">
        <v>13</v>
      </c>
      <c r="K348">
        <v>307252</v>
      </c>
      <c r="L348">
        <v>3.3</v>
      </c>
      <c r="M348" t="s">
        <v>43</v>
      </c>
      <c r="N348">
        <v>97</v>
      </c>
    </row>
    <row r="349" spans="1:14" x14ac:dyDescent="0.35">
      <c r="A349" t="s">
        <v>741</v>
      </c>
      <c r="B349" t="s">
        <v>111</v>
      </c>
      <c r="C349" t="s">
        <v>93</v>
      </c>
      <c r="D349" t="s">
        <v>25</v>
      </c>
      <c r="E349">
        <v>23</v>
      </c>
      <c r="F349" t="s">
        <v>37</v>
      </c>
      <c r="G349" t="s">
        <v>57</v>
      </c>
      <c r="H349" t="s">
        <v>742</v>
      </c>
      <c r="I349">
        <v>16</v>
      </c>
      <c r="J349">
        <v>21</v>
      </c>
      <c r="K349">
        <v>434784</v>
      </c>
      <c r="L349">
        <v>4.3</v>
      </c>
      <c r="M349" t="s">
        <v>43</v>
      </c>
      <c r="N349">
        <v>97</v>
      </c>
    </row>
    <row r="350" spans="1:14" x14ac:dyDescent="0.35">
      <c r="A350" t="s">
        <v>743</v>
      </c>
      <c r="B350" t="s">
        <v>69</v>
      </c>
      <c r="C350" t="s">
        <v>30</v>
      </c>
      <c r="D350" t="s">
        <v>17</v>
      </c>
      <c r="E350">
        <v>50</v>
      </c>
      <c r="F350" t="s">
        <v>79</v>
      </c>
      <c r="G350" t="s">
        <v>71</v>
      </c>
      <c r="H350" t="s">
        <v>744</v>
      </c>
      <c r="I350">
        <v>16</v>
      </c>
      <c r="J350">
        <v>23</v>
      </c>
      <c r="K350">
        <v>216807</v>
      </c>
      <c r="L350">
        <v>5</v>
      </c>
      <c r="M350" t="s">
        <v>21</v>
      </c>
      <c r="N350">
        <v>35</v>
      </c>
    </row>
    <row r="351" spans="1:14" x14ac:dyDescent="0.35">
      <c r="A351" t="s">
        <v>745</v>
      </c>
      <c r="B351" t="s">
        <v>15</v>
      </c>
      <c r="C351" t="s">
        <v>93</v>
      </c>
      <c r="D351" t="s">
        <v>17</v>
      </c>
      <c r="E351">
        <v>45</v>
      </c>
      <c r="F351" t="s">
        <v>18</v>
      </c>
      <c r="G351" t="s">
        <v>61</v>
      </c>
      <c r="H351" t="s">
        <v>746</v>
      </c>
      <c r="I351">
        <v>14</v>
      </c>
      <c r="J351">
        <v>17</v>
      </c>
      <c r="K351">
        <v>446662</v>
      </c>
      <c r="L351">
        <v>2.2999999999999998</v>
      </c>
      <c r="M351" t="s">
        <v>21</v>
      </c>
      <c r="N351">
        <v>44</v>
      </c>
    </row>
    <row r="352" spans="1:14" x14ac:dyDescent="0.35">
      <c r="A352" t="s">
        <v>747</v>
      </c>
      <c r="B352" t="s">
        <v>111</v>
      </c>
      <c r="C352" t="s">
        <v>36</v>
      </c>
      <c r="D352" t="s">
        <v>17</v>
      </c>
      <c r="E352">
        <v>24</v>
      </c>
      <c r="F352" t="s">
        <v>74</v>
      </c>
      <c r="G352" t="s">
        <v>41</v>
      </c>
      <c r="H352" t="s">
        <v>748</v>
      </c>
      <c r="I352">
        <v>8</v>
      </c>
      <c r="J352">
        <v>13</v>
      </c>
      <c r="K352">
        <v>98648</v>
      </c>
      <c r="L352">
        <v>5</v>
      </c>
      <c r="M352" t="s">
        <v>43</v>
      </c>
      <c r="N352">
        <v>76</v>
      </c>
    </row>
    <row r="353" spans="1:14" x14ac:dyDescent="0.35">
      <c r="A353" t="s">
        <v>749</v>
      </c>
      <c r="B353" t="s">
        <v>60</v>
      </c>
      <c r="C353" t="s">
        <v>24</v>
      </c>
      <c r="D353" t="s">
        <v>17</v>
      </c>
      <c r="E353">
        <v>44</v>
      </c>
      <c r="F353" t="s">
        <v>31</v>
      </c>
      <c r="G353" t="s">
        <v>88</v>
      </c>
      <c r="H353" t="s">
        <v>750</v>
      </c>
      <c r="I353">
        <v>4</v>
      </c>
      <c r="J353">
        <v>4</v>
      </c>
      <c r="K353">
        <v>348808</v>
      </c>
      <c r="L353">
        <v>3</v>
      </c>
      <c r="M353" t="s">
        <v>21</v>
      </c>
      <c r="N353">
        <v>60</v>
      </c>
    </row>
    <row r="354" spans="1:14" x14ac:dyDescent="0.35">
      <c r="A354" t="s">
        <v>751</v>
      </c>
      <c r="B354" t="s">
        <v>23</v>
      </c>
      <c r="C354" t="s">
        <v>56</v>
      </c>
      <c r="D354" t="s">
        <v>25</v>
      </c>
      <c r="E354">
        <v>25</v>
      </c>
      <c r="F354" t="s">
        <v>79</v>
      </c>
      <c r="G354" t="s">
        <v>26</v>
      </c>
      <c r="H354" t="s">
        <v>752</v>
      </c>
      <c r="I354">
        <v>4</v>
      </c>
      <c r="J354">
        <v>12</v>
      </c>
      <c r="K354">
        <v>278403</v>
      </c>
      <c r="L354">
        <v>3.6</v>
      </c>
      <c r="M354" t="s">
        <v>43</v>
      </c>
      <c r="N354">
        <v>87</v>
      </c>
    </row>
    <row r="355" spans="1:14" x14ac:dyDescent="0.35">
      <c r="A355" t="s">
        <v>753</v>
      </c>
      <c r="B355" t="s">
        <v>78</v>
      </c>
      <c r="C355" t="s">
        <v>30</v>
      </c>
      <c r="D355" t="s">
        <v>17</v>
      </c>
      <c r="E355">
        <v>28</v>
      </c>
      <c r="F355" t="s">
        <v>46</v>
      </c>
      <c r="G355" t="s">
        <v>41</v>
      </c>
      <c r="H355" t="s">
        <v>754</v>
      </c>
      <c r="I355">
        <v>4</v>
      </c>
      <c r="J355">
        <v>4</v>
      </c>
      <c r="K355">
        <v>484165</v>
      </c>
      <c r="L355">
        <v>3.1</v>
      </c>
      <c r="M355" t="s">
        <v>21</v>
      </c>
      <c r="N355">
        <v>43</v>
      </c>
    </row>
    <row r="356" spans="1:14" x14ac:dyDescent="0.35">
      <c r="A356" t="s">
        <v>755</v>
      </c>
      <c r="B356" t="s">
        <v>23</v>
      </c>
      <c r="C356" t="s">
        <v>82</v>
      </c>
      <c r="D356" t="s">
        <v>25</v>
      </c>
      <c r="E356">
        <v>38</v>
      </c>
      <c r="F356" t="s">
        <v>70</v>
      </c>
      <c r="G356" t="s">
        <v>61</v>
      </c>
      <c r="H356" t="s">
        <v>756</v>
      </c>
      <c r="I356">
        <v>18</v>
      </c>
      <c r="J356">
        <v>22</v>
      </c>
      <c r="K356">
        <v>210401</v>
      </c>
      <c r="L356">
        <v>4.8</v>
      </c>
      <c r="M356" t="s">
        <v>43</v>
      </c>
      <c r="N356">
        <v>90</v>
      </c>
    </row>
    <row r="357" spans="1:14" x14ac:dyDescent="0.35">
      <c r="A357" t="s">
        <v>757</v>
      </c>
      <c r="B357" t="s">
        <v>69</v>
      </c>
      <c r="C357" t="s">
        <v>82</v>
      </c>
      <c r="D357" t="s">
        <v>17</v>
      </c>
      <c r="E357">
        <v>24</v>
      </c>
      <c r="F357" t="s">
        <v>37</v>
      </c>
      <c r="G357" t="s">
        <v>41</v>
      </c>
      <c r="H357" t="s">
        <v>758</v>
      </c>
      <c r="I357">
        <v>6</v>
      </c>
      <c r="J357">
        <v>14</v>
      </c>
      <c r="K357">
        <v>473803</v>
      </c>
      <c r="L357">
        <v>4</v>
      </c>
      <c r="M357" t="s">
        <v>43</v>
      </c>
      <c r="N357">
        <v>78</v>
      </c>
    </row>
    <row r="358" spans="1:14" x14ac:dyDescent="0.35">
      <c r="A358" t="s">
        <v>759</v>
      </c>
      <c r="B358" t="s">
        <v>111</v>
      </c>
      <c r="C358" t="s">
        <v>93</v>
      </c>
      <c r="D358" t="s">
        <v>17</v>
      </c>
      <c r="E358">
        <v>41</v>
      </c>
      <c r="F358" t="s">
        <v>74</v>
      </c>
      <c r="G358" t="s">
        <v>26</v>
      </c>
      <c r="H358" t="s">
        <v>760</v>
      </c>
      <c r="I358">
        <v>4</v>
      </c>
      <c r="J358">
        <v>7</v>
      </c>
      <c r="K358">
        <v>64613</v>
      </c>
      <c r="L358">
        <v>3.6</v>
      </c>
      <c r="M358" t="s">
        <v>43</v>
      </c>
      <c r="N358">
        <v>92</v>
      </c>
    </row>
    <row r="359" spans="1:14" x14ac:dyDescent="0.35">
      <c r="A359" t="s">
        <v>761</v>
      </c>
      <c r="B359" t="s">
        <v>45</v>
      </c>
      <c r="C359" t="s">
        <v>49</v>
      </c>
      <c r="D359" t="s">
        <v>25</v>
      </c>
      <c r="E359">
        <v>41</v>
      </c>
      <c r="F359" t="s">
        <v>79</v>
      </c>
      <c r="G359" t="s">
        <v>85</v>
      </c>
      <c r="H359" t="s">
        <v>762</v>
      </c>
      <c r="I359">
        <v>0</v>
      </c>
      <c r="J359">
        <v>9</v>
      </c>
      <c r="K359">
        <v>421441</v>
      </c>
      <c r="L359">
        <v>4.7</v>
      </c>
      <c r="M359" t="s">
        <v>21</v>
      </c>
      <c r="N359">
        <v>52</v>
      </c>
    </row>
    <row r="360" spans="1:14" x14ac:dyDescent="0.35">
      <c r="A360" t="s">
        <v>763</v>
      </c>
      <c r="B360" t="s">
        <v>55</v>
      </c>
      <c r="C360" t="s">
        <v>36</v>
      </c>
      <c r="D360" t="s">
        <v>17</v>
      </c>
      <c r="E360">
        <v>28</v>
      </c>
      <c r="F360" t="s">
        <v>74</v>
      </c>
      <c r="G360" t="s">
        <v>26</v>
      </c>
      <c r="H360" t="s">
        <v>764</v>
      </c>
      <c r="I360">
        <v>18</v>
      </c>
      <c r="J360">
        <v>28</v>
      </c>
      <c r="K360">
        <v>250080</v>
      </c>
      <c r="L360">
        <v>2.1</v>
      </c>
      <c r="M360" t="s">
        <v>21</v>
      </c>
      <c r="N360">
        <v>45</v>
      </c>
    </row>
    <row r="361" spans="1:14" x14ac:dyDescent="0.35">
      <c r="A361" t="s">
        <v>765</v>
      </c>
      <c r="B361" t="s">
        <v>45</v>
      </c>
      <c r="C361" t="s">
        <v>52</v>
      </c>
      <c r="D361" t="s">
        <v>25</v>
      </c>
      <c r="E361">
        <v>49</v>
      </c>
      <c r="F361" t="s">
        <v>46</v>
      </c>
      <c r="G361" t="s">
        <v>71</v>
      </c>
      <c r="H361" t="s">
        <v>766</v>
      </c>
      <c r="I361">
        <v>6</v>
      </c>
      <c r="J361">
        <v>16</v>
      </c>
      <c r="K361">
        <v>487786</v>
      </c>
      <c r="L361">
        <v>3.6</v>
      </c>
      <c r="M361" t="s">
        <v>43</v>
      </c>
      <c r="N361">
        <v>98</v>
      </c>
    </row>
    <row r="362" spans="1:14" x14ac:dyDescent="0.35">
      <c r="A362" t="s">
        <v>767</v>
      </c>
      <c r="B362" t="s">
        <v>55</v>
      </c>
      <c r="C362" t="s">
        <v>93</v>
      </c>
      <c r="D362" t="s">
        <v>25</v>
      </c>
      <c r="E362">
        <v>31</v>
      </c>
      <c r="F362" t="s">
        <v>31</v>
      </c>
      <c r="G362" t="s">
        <v>19</v>
      </c>
      <c r="H362" t="s">
        <v>768</v>
      </c>
      <c r="I362">
        <v>20</v>
      </c>
      <c r="J362">
        <v>20</v>
      </c>
      <c r="K362">
        <v>195096</v>
      </c>
      <c r="L362">
        <v>2.6</v>
      </c>
      <c r="M362" t="s">
        <v>21</v>
      </c>
      <c r="N362">
        <v>35</v>
      </c>
    </row>
    <row r="363" spans="1:14" x14ac:dyDescent="0.35">
      <c r="A363" t="s">
        <v>769</v>
      </c>
      <c r="B363" t="s">
        <v>78</v>
      </c>
      <c r="C363" t="s">
        <v>16</v>
      </c>
      <c r="D363" t="s">
        <v>17</v>
      </c>
      <c r="E363">
        <v>33</v>
      </c>
      <c r="F363" t="s">
        <v>70</v>
      </c>
      <c r="G363" t="s">
        <v>71</v>
      </c>
      <c r="H363" t="s">
        <v>770</v>
      </c>
      <c r="I363">
        <v>19</v>
      </c>
      <c r="J363">
        <v>27</v>
      </c>
      <c r="K363">
        <v>312750</v>
      </c>
      <c r="L363">
        <v>4.4000000000000004</v>
      </c>
      <c r="M363" t="s">
        <v>21</v>
      </c>
      <c r="N363">
        <v>67</v>
      </c>
    </row>
    <row r="364" spans="1:14" x14ac:dyDescent="0.35">
      <c r="A364" t="s">
        <v>771</v>
      </c>
      <c r="B364" t="s">
        <v>45</v>
      </c>
      <c r="C364" t="s">
        <v>64</v>
      </c>
      <c r="D364" t="s">
        <v>17</v>
      </c>
      <c r="E364">
        <v>56</v>
      </c>
      <c r="F364" t="s">
        <v>31</v>
      </c>
      <c r="G364" t="s">
        <v>57</v>
      </c>
      <c r="H364" t="s">
        <v>772</v>
      </c>
      <c r="I364">
        <v>3</v>
      </c>
      <c r="J364">
        <v>12</v>
      </c>
      <c r="K364">
        <v>180018</v>
      </c>
      <c r="L364">
        <v>3.9</v>
      </c>
      <c r="M364" t="s">
        <v>43</v>
      </c>
      <c r="N364">
        <v>100</v>
      </c>
    </row>
    <row r="365" spans="1:14" x14ac:dyDescent="0.35">
      <c r="A365" t="s">
        <v>773</v>
      </c>
      <c r="B365" t="s">
        <v>23</v>
      </c>
      <c r="C365" t="s">
        <v>49</v>
      </c>
      <c r="D365" t="s">
        <v>25</v>
      </c>
      <c r="E365">
        <v>23</v>
      </c>
      <c r="F365" t="s">
        <v>18</v>
      </c>
      <c r="G365" t="s">
        <v>88</v>
      </c>
      <c r="H365" t="s">
        <v>774</v>
      </c>
      <c r="I365">
        <v>9</v>
      </c>
      <c r="J365">
        <v>14</v>
      </c>
      <c r="K365">
        <v>242016</v>
      </c>
      <c r="L365">
        <v>2.2999999999999998</v>
      </c>
      <c r="M365" t="s">
        <v>43</v>
      </c>
      <c r="N365">
        <v>94</v>
      </c>
    </row>
    <row r="366" spans="1:14" x14ac:dyDescent="0.35">
      <c r="A366" t="s">
        <v>775</v>
      </c>
      <c r="B366" t="s">
        <v>69</v>
      </c>
      <c r="C366" t="s">
        <v>24</v>
      </c>
      <c r="D366" t="s">
        <v>17</v>
      </c>
      <c r="E366">
        <v>41</v>
      </c>
      <c r="F366" t="s">
        <v>74</v>
      </c>
      <c r="G366" t="s">
        <v>71</v>
      </c>
      <c r="H366" t="s">
        <v>776</v>
      </c>
      <c r="I366">
        <v>17</v>
      </c>
      <c r="J366">
        <v>26</v>
      </c>
      <c r="K366">
        <v>173004</v>
      </c>
      <c r="L366">
        <v>4.5999999999999996</v>
      </c>
      <c r="M366" t="s">
        <v>21</v>
      </c>
      <c r="N366">
        <v>40</v>
      </c>
    </row>
    <row r="367" spans="1:14" x14ac:dyDescent="0.35">
      <c r="A367" t="s">
        <v>777</v>
      </c>
      <c r="B367" t="s">
        <v>40</v>
      </c>
      <c r="C367" t="s">
        <v>24</v>
      </c>
      <c r="D367" t="s">
        <v>25</v>
      </c>
      <c r="E367">
        <v>50</v>
      </c>
      <c r="F367" t="s">
        <v>18</v>
      </c>
      <c r="G367" t="s">
        <v>88</v>
      </c>
      <c r="H367" t="s">
        <v>778</v>
      </c>
      <c r="I367">
        <v>12</v>
      </c>
      <c r="J367">
        <v>14</v>
      </c>
      <c r="K367">
        <v>176633</v>
      </c>
      <c r="L367">
        <v>3</v>
      </c>
      <c r="M367" t="s">
        <v>43</v>
      </c>
      <c r="N367">
        <v>82</v>
      </c>
    </row>
    <row r="368" spans="1:14" x14ac:dyDescent="0.35">
      <c r="A368" t="s">
        <v>779</v>
      </c>
      <c r="B368" t="s">
        <v>96</v>
      </c>
      <c r="C368" t="s">
        <v>49</v>
      </c>
      <c r="D368" t="s">
        <v>17</v>
      </c>
      <c r="E368">
        <v>34</v>
      </c>
      <c r="F368" t="s">
        <v>79</v>
      </c>
      <c r="G368" t="s">
        <v>88</v>
      </c>
      <c r="H368" t="s">
        <v>780</v>
      </c>
      <c r="I368">
        <v>1</v>
      </c>
      <c r="J368">
        <v>9</v>
      </c>
      <c r="K368">
        <v>57168</v>
      </c>
      <c r="L368">
        <v>3.3</v>
      </c>
      <c r="M368" t="s">
        <v>43</v>
      </c>
      <c r="N368">
        <v>79</v>
      </c>
    </row>
    <row r="369" spans="1:14" x14ac:dyDescent="0.35">
      <c r="A369" t="s">
        <v>781</v>
      </c>
      <c r="B369" t="s">
        <v>96</v>
      </c>
      <c r="C369" t="s">
        <v>36</v>
      </c>
      <c r="D369" t="s">
        <v>17</v>
      </c>
      <c r="E369">
        <v>39</v>
      </c>
      <c r="F369" t="s">
        <v>46</v>
      </c>
      <c r="G369" t="s">
        <v>41</v>
      </c>
      <c r="H369" t="s">
        <v>782</v>
      </c>
      <c r="I369">
        <v>14</v>
      </c>
      <c r="J369">
        <v>19</v>
      </c>
      <c r="K369">
        <v>59339</v>
      </c>
      <c r="L369">
        <v>4.5</v>
      </c>
      <c r="M369" t="s">
        <v>43</v>
      </c>
      <c r="N369">
        <v>92</v>
      </c>
    </row>
    <row r="370" spans="1:14" x14ac:dyDescent="0.35">
      <c r="A370" t="s">
        <v>783</v>
      </c>
      <c r="B370" t="s">
        <v>15</v>
      </c>
      <c r="C370" t="s">
        <v>93</v>
      </c>
      <c r="D370" t="s">
        <v>25</v>
      </c>
      <c r="E370">
        <v>53</v>
      </c>
      <c r="F370" t="s">
        <v>79</v>
      </c>
      <c r="G370" t="s">
        <v>26</v>
      </c>
      <c r="H370" t="s">
        <v>784</v>
      </c>
      <c r="I370">
        <v>19</v>
      </c>
      <c r="J370">
        <v>20</v>
      </c>
      <c r="K370">
        <v>124713</v>
      </c>
      <c r="L370">
        <v>3.9</v>
      </c>
      <c r="M370" t="s">
        <v>21</v>
      </c>
      <c r="N370">
        <v>30</v>
      </c>
    </row>
    <row r="371" spans="1:14" x14ac:dyDescent="0.35">
      <c r="A371" t="s">
        <v>785</v>
      </c>
      <c r="B371" t="s">
        <v>35</v>
      </c>
      <c r="C371" t="s">
        <v>93</v>
      </c>
      <c r="D371" t="s">
        <v>25</v>
      </c>
      <c r="E371">
        <v>22</v>
      </c>
      <c r="F371" t="s">
        <v>74</v>
      </c>
      <c r="G371" t="s">
        <v>85</v>
      </c>
      <c r="H371" t="s">
        <v>786</v>
      </c>
      <c r="I371">
        <v>19</v>
      </c>
      <c r="J371">
        <v>28</v>
      </c>
      <c r="K371">
        <v>218939</v>
      </c>
      <c r="L371">
        <v>4.5999999999999996</v>
      </c>
      <c r="M371" t="s">
        <v>21</v>
      </c>
      <c r="N371">
        <v>57</v>
      </c>
    </row>
    <row r="372" spans="1:14" x14ac:dyDescent="0.35">
      <c r="A372" t="s">
        <v>787</v>
      </c>
      <c r="B372" t="s">
        <v>96</v>
      </c>
      <c r="C372" t="s">
        <v>30</v>
      </c>
      <c r="D372" t="s">
        <v>25</v>
      </c>
      <c r="E372">
        <v>42</v>
      </c>
      <c r="F372" t="s">
        <v>74</v>
      </c>
      <c r="G372" t="s">
        <v>71</v>
      </c>
      <c r="H372" t="s">
        <v>435</v>
      </c>
      <c r="I372">
        <v>11</v>
      </c>
      <c r="J372">
        <v>16</v>
      </c>
      <c r="K372">
        <v>420524</v>
      </c>
      <c r="L372">
        <v>2.9</v>
      </c>
      <c r="M372" t="s">
        <v>43</v>
      </c>
      <c r="N372">
        <v>89</v>
      </c>
    </row>
    <row r="373" spans="1:14" x14ac:dyDescent="0.35">
      <c r="A373" t="s">
        <v>788</v>
      </c>
      <c r="B373" t="s">
        <v>78</v>
      </c>
      <c r="C373" t="s">
        <v>49</v>
      </c>
      <c r="D373" t="s">
        <v>17</v>
      </c>
      <c r="E373">
        <v>29</v>
      </c>
      <c r="F373" t="s">
        <v>70</v>
      </c>
      <c r="G373" t="s">
        <v>57</v>
      </c>
      <c r="H373" t="s">
        <v>789</v>
      </c>
      <c r="I373">
        <v>3</v>
      </c>
      <c r="J373">
        <v>13</v>
      </c>
      <c r="K373">
        <v>340238</v>
      </c>
      <c r="L373">
        <v>3.9</v>
      </c>
      <c r="M373" t="s">
        <v>43</v>
      </c>
      <c r="N373">
        <v>100</v>
      </c>
    </row>
    <row r="374" spans="1:14" x14ac:dyDescent="0.35">
      <c r="A374" t="s">
        <v>790</v>
      </c>
      <c r="B374" t="s">
        <v>45</v>
      </c>
      <c r="C374" t="s">
        <v>36</v>
      </c>
      <c r="D374" t="s">
        <v>25</v>
      </c>
      <c r="E374">
        <v>56</v>
      </c>
      <c r="F374" t="s">
        <v>74</v>
      </c>
      <c r="G374" t="s">
        <v>26</v>
      </c>
      <c r="H374" t="s">
        <v>791</v>
      </c>
      <c r="I374">
        <v>11</v>
      </c>
      <c r="J374">
        <v>19</v>
      </c>
      <c r="K374">
        <v>116850</v>
      </c>
      <c r="L374">
        <v>3.6</v>
      </c>
      <c r="M374" t="s">
        <v>21</v>
      </c>
      <c r="N374">
        <v>57</v>
      </c>
    </row>
    <row r="375" spans="1:14" x14ac:dyDescent="0.35">
      <c r="A375" t="s">
        <v>792</v>
      </c>
      <c r="B375" t="s">
        <v>111</v>
      </c>
      <c r="C375" t="s">
        <v>36</v>
      </c>
      <c r="D375" t="s">
        <v>25</v>
      </c>
      <c r="E375">
        <v>52</v>
      </c>
      <c r="F375" t="s">
        <v>74</v>
      </c>
      <c r="G375" t="s">
        <v>41</v>
      </c>
      <c r="H375" t="s">
        <v>793</v>
      </c>
      <c r="I375">
        <v>0</v>
      </c>
      <c r="J375">
        <v>7</v>
      </c>
      <c r="K375">
        <v>187630</v>
      </c>
      <c r="L375">
        <v>4.5</v>
      </c>
      <c r="M375" t="s">
        <v>43</v>
      </c>
      <c r="N375">
        <v>78</v>
      </c>
    </row>
    <row r="376" spans="1:14" x14ac:dyDescent="0.35">
      <c r="A376" t="s">
        <v>794</v>
      </c>
      <c r="B376" t="s">
        <v>23</v>
      </c>
      <c r="C376" t="s">
        <v>82</v>
      </c>
      <c r="D376" t="s">
        <v>17</v>
      </c>
      <c r="E376">
        <v>21</v>
      </c>
      <c r="F376" t="s">
        <v>37</v>
      </c>
      <c r="G376" t="s">
        <v>41</v>
      </c>
      <c r="H376" t="s">
        <v>795</v>
      </c>
      <c r="I376">
        <v>13</v>
      </c>
      <c r="J376">
        <v>22</v>
      </c>
      <c r="K376">
        <v>262238</v>
      </c>
      <c r="L376">
        <v>4.2</v>
      </c>
      <c r="M376" t="s">
        <v>43</v>
      </c>
      <c r="N376">
        <v>74</v>
      </c>
    </row>
    <row r="377" spans="1:14" x14ac:dyDescent="0.35">
      <c r="A377" t="s">
        <v>796</v>
      </c>
      <c r="B377" t="s">
        <v>78</v>
      </c>
      <c r="C377" t="s">
        <v>52</v>
      </c>
      <c r="D377" t="s">
        <v>25</v>
      </c>
      <c r="E377">
        <v>31</v>
      </c>
      <c r="F377" t="s">
        <v>70</v>
      </c>
      <c r="G377" t="s">
        <v>88</v>
      </c>
      <c r="H377" t="s">
        <v>797</v>
      </c>
      <c r="I377">
        <v>15</v>
      </c>
      <c r="J377">
        <v>22</v>
      </c>
      <c r="K377">
        <v>267642</v>
      </c>
      <c r="L377">
        <v>2</v>
      </c>
      <c r="M377" t="s">
        <v>21</v>
      </c>
      <c r="N377">
        <v>54</v>
      </c>
    </row>
    <row r="378" spans="1:14" x14ac:dyDescent="0.35">
      <c r="A378" t="s">
        <v>798</v>
      </c>
      <c r="B378" t="s">
        <v>29</v>
      </c>
      <c r="C378" t="s">
        <v>93</v>
      </c>
      <c r="D378" t="s">
        <v>25</v>
      </c>
      <c r="E378">
        <v>35</v>
      </c>
      <c r="F378" t="s">
        <v>70</v>
      </c>
      <c r="G378" t="s">
        <v>57</v>
      </c>
      <c r="H378" t="s">
        <v>27</v>
      </c>
      <c r="I378">
        <v>6</v>
      </c>
      <c r="J378">
        <v>13</v>
      </c>
      <c r="K378">
        <v>75564</v>
      </c>
      <c r="L378">
        <v>4.4000000000000004</v>
      </c>
      <c r="M378" t="s">
        <v>43</v>
      </c>
      <c r="N378">
        <v>96</v>
      </c>
    </row>
    <row r="379" spans="1:14" x14ac:dyDescent="0.35">
      <c r="A379" t="s">
        <v>799</v>
      </c>
      <c r="B379" t="s">
        <v>45</v>
      </c>
      <c r="C379" t="s">
        <v>30</v>
      </c>
      <c r="D379" t="s">
        <v>25</v>
      </c>
      <c r="E379">
        <v>23</v>
      </c>
      <c r="F379" t="s">
        <v>31</v>
      </c>
      <c r="G379" t="s">
        <v>57</v>
      </c>
      <c r="H379" t="s">
        <v>800</v>
      </c>
      <c r="I379">
        <v>11</v>
      </c>
      <c r="J379">
        <v>11</v>
      </c>
      <c r="K379">
        <v>239993</v>
      </c>
      <c r="L379">
        <v>3.1</v>
      </c>
      <c r="M379" t="s">
        <v>43</v>
      </c>
      <c r="N379">
        <v>73</v>
      </c>
    </row>
    <row r="380" spans="1:14" x14ac:dyDescent="0.35">
      <c r="A380" t="s">
        <v>801</v>
      </c>
      <c r="B380" t="s">
        <v>45</v>
      </c>
      <c r="C380" t="s">
        <v>56</v>
      </c>
      <c r="D380" t="s">
        <v>25</v>
      </c>
      <c r="E380">
        <v>36</v>
      </c>
      <c r="F380" t="s">
        <v>74</v>
      </c>
      <c r="G380" t="s">
        <v>61</v>
      </c>
      <c r="H380" t="s">
        <v>109</v>
      </c>
      <c r="I380">
        <v>9</v>
      </c>
      <c r="J380">
        <v>13</v>
      </c>
      <c r="K380">
        <v>121365</v>
      </c>
      <c r="L380">
        <v>3.6</v>
      </c>
      <c r="M380" t="s">
        <v>43</v>
      </c>
      <c r="N380">
        <v>78</v>
      </c>
    </row>
    <row r="381" spans="1:14" x14ac:dyDescent="0.35">
      <c r="A381" t="s">
        <v>802</v>
      </c>
      <c r="B381" t="s">
        <v>111</v>
      </c>
      <c r="C381" t="s">
        <v>36</v>
      </c>
      <c r="D381" t="s">
        <v>25</v>
      </c>
      <c r="E381">
        <v>40</v>
      </c>
      <c r="F381" t="s">
        <v>70</v>
      </c>
      <c r="G381" t="s">
        <v>41</v>
      </c>
      <c r="H381" t="s">
        <v>803</v>
      </c>
      <c r="I381">
        <v>10</v>
      </c>
      <c r="J381">
        <v>20</v>
      </c>
      <c r="K381">
        <v>187153</v>
      </c>
      <c r="L381">
        <v>2.1</v>
      </c>
      <c r="M381" t="s">
        <v>21</v>
      </c>
      <c r="N381">
        <v>53</v>
      </c>
    </row>
    <row r="382" spans="1:14" x14ac:dyDescent="0.35">
      <c r="A382" t="s">
        <v>804</v>
      </c>
      <c r="B382" t="s">
        <v>45</v>
      </c>
      <c r="C382" t="s">
        <v>64</v>
      </c>
      <c r="D382" t="s">
        <v>25</v>
      </c>
      <c r="E382">
        <v>21</v>
      </c>
      <c r="F382" t="s">
        <v>31</v>
      </c>
      <c r="G382" t="s">
        <v>85</v>
      </c>
      <c r="H382" t="s">
        <v>805</v>
      </c>
      <c r="I382">
        <v>12</v>
      </c>
      <c r="J382">
        <v>21</v>
      </c>
      <c r="K382">
        <v>177964</v>
      </c>
      <c r="L382">
        <v>4.3</v>
      </c>
      <c r="M382" t="s">
        <v>43</v>
      </c>
      <c r="N382">
        <v>77</v>
      </c>
    </row>
    <row r="383" spans="1:14" x14ac:dyDescent="0.35">
      <c r="A383" t="s">
        <v>806</v>
      </c>
      <c r="B383" t="s">
        <v>23</v>
      </c>
      <c r="C383" t="s">
        <v>93</v>
      </c>
      <c r="D383" t="s">
        <v>25</v>
      </c>
      <c r="E383">
        <v>22</v>
      </c>
      <c r="F383" t="s">
        <v>18</v>
      </c>
      <c r="G383" t="s">
        <v>61</v>
      </c>
      <c r="H383" t="s">
        <v>807</v>
      </c>
      <c r="I383">
        <v>5</v>
      </c>
      <c r="J383">
        <v>14</v>
      </c>
      <c r="K383">
        <v>313360</v>
      </c>
      <c r="L383">
        <v>4.4000000000000004</v>
      </c>
      <c r="M383" t="s">
        <v>43</v>
      </c>
      <c r="N383">
        <v>90</v>
      </c>
    </row>
    <row r="384" spans="1:14" x14ac:dyDescent="0.35">
      <c r="A384" t="s">
        <v>808</v>
      </c>
      <c r="B384" t="s">
        <v>69</v>
      </c>
      <c r="C384" t="s">
        <v>56</v>
      </c>
      <c r="D384" t="s">
        <v>25</v>
      </c>
      <c r="E384">
        <v>51</v>
      </c>
      <c r="F384" t="s">
        <v>74</v>
      </c>
      <c r="G384" t="s">
        <v>61</v>
      </c>
      <c r="H384" t="s">
        <v>365</v>
      </c>
      <c r="I384">
        <v>11</v>
      </c>
      <c r="J384">
        <v>14</v>
      </c>
      <c r="K384">
        <v>375467</v>
      </c>
      <c r="L384">
        <v>2</v>
      </c>
      <c r="M384" t="s">
        <v>43</v>
      </c>
      <c r="N384">
        <v>99</v>
      </c>
    </row>
    <row r="385" spans="1:14" x14ac:dyDescent="0.35">
      <c r="A385" t="s">
        <v>809</v>
      </c>
      <c r="B385" t="s">
        <v>78</v>
      </c>
      <c r="C385" t="s">
        <v>36</v>
      </c>
      <c r="D385" t="s">
        <v>17</v>
      </c>
      <c r="E385">
        <v>39</v>
      </c>
      <c r="F385" t="s">
        <v>79</v>
      </c>
      <c r="G385" t="s">
        <v>88</v>
      </c>
      <c r="H385" t="s">
        <v>810</v>
      </c>
      <c r="I385">
        <v>16</v>
      </c>
      <c r="J385">
        <v>23</v>
      </c>
      <c r="K385">
        <v>336615</v>
      </c>
      <c r="L385">
        <v>4.2</v>
      </c>
      <c r="M385" t="s">
        <v>43</v>
      </c>
      <c r="N385">
        <v>88</v>
      </c>
    </row>
    <row r="386" spans="1:14" x14ac:dyDescent="0.35">
      <c r="A386" t="s">
        <v>811</v>
      </c>
      <c r="B386" t="s">
        <v>40</v>
      </c>
      <c r="C386" t="s">
        <v>16</v>
      </c>
      <c r="D386" t="s">
        <v>25</v>
      </c>
      <c r="E386">
        <v>29</v>
      </c>
      <c r="F386" t="s">
        <v>46</v>
      </c>
      <c r="G386" t="s">
        <v>57</v>
      </c>
      <c r="H386" t="s">
        <v>812</v>
      </c>
      <c r="I386">
        <v>14</v>
      </c>
      <c r="J386">
        <v>23</v>
      </c>
      <c r="K386">
        <v>450071</v>
      </c>
      <c r="L386">
        <v>3.1</v>
      </c>
      <c r="M386" t="s">
        <v>43</v>
      </c>
      <c r="N386">
        <v>96</v>
      </c>
    </row>
    <row r="387" spans="1:14" x14ac:dyDescent="0.35">
      <c r="A387" t="s">
        <v>813</v>
      </c>
      <c r="B387" t="s">
        <v>45</v>
      </c>
      <c r="C387" t="s">
        <v>56</v>
      </c>
      <c r="D387" t="s">
        <v>17</v>
      </c>
      <c r="E387">
        <v>30</v>
      </c>
      <c r="F387" t="s">
        <v>74</v>
      </c>
      <c r="G387" t="s">
        <v>32</v>
      </c>
      <c r="H387" t="s">
        <v>814</v>
      </c>
      <c r="I387">
        <v>10</v>
      </c>
      <c r="J387">
        <v>12</v>
      </c>
      <c r="K387">
        <v>128248</v>
      </c>
      <c r="L387">
        <v>3</v>
      </c>
      <c r="M387" t="s">
        <v>43</v>
      </c>
      <c r="N387">
        <v>93</v>
      </c>
    </row>
    <row r="388" spans="1:14" x14ac:dyDescent="0.35">
      <c r="A388" t="s">
        <v>815</v>
      </c>
      <c r="B388" t="s">
        <v>111</v>
      </c>
      <c r="C388" t="s">
        <v>82</v>
      </c>
      <c r="D388" t="s">
        <v>25</v>
      </c>
      <c r="E388">
        <v>27</v>
      </c>
      <c r="F388" t="s">
        <v>70</v>
      </c>
      <c r="G388" t="s">
        <v>26</v>
      </c>
      <c r="H388" t="s">
        <v>816</v>
      </c>
      <c r="I388">
        <v>19</v>
      </c>
      <c r="J388">
        <v>23</v>
      </c>
      <c r="K388">
        <v>116102</v>
      </c>
      <c r="L388">
        <v>4.4000000000000004</v>
      </c>
      <c r="M388" t="s">
        <v>21</v>
      </c>
      <c r="N388">
        <v>62</v>
      </c>
    </row>
    <row r="389" spans="1:14" x14ac:dyDescent="0.35">
      <c r="A389" t="s">
        <v>817</v>
      </c>
      <c r="B389" t="s">
        <v>69</v>
      </c>
      <c r="C389" t="s">
        <v>49</v>
      </c>
      <c r="D389" t="s">
        <v>17</v>
      </c>
      <c r="E389">
        <v>47</v>
      </c>
      <c r="F389" t="s">
        <v>46</v>
      </c>
      <c r="G389" t="s">
        <v>26</v>
      </c>
      <c r="H389" t="s">
        <v>818</v>
      </c>
      <c r="I389">
        <v>7</v>
      </c>
      <c r="J389">
        <v>17</v>
      </c>
      <c r="K389">
        <v>72998</v>
      </c>
      <c r="L389">
        <v>2.5</v>
      </c>
      <c r="M389" t="s">
        <v>43</v>
      </c>
      <c r="N389">
        <v>93</v>
      </c>
    </row>
    <row r="390" spans="1:14" x14ac:dyDescent="0.35">
      <c r="A390" t="s">
        <v>819</v>
      </c>
      <c r="B390" t="s">
        <v>96</v>
      </c>
      <c r="C390" t="s">
        <v>30</v>
      </c>
      <c r="D390" t="s">
        <v>17</v>
      </c>
      <c r="E390">
        <v>22</v>
      </c>
      <c r="F390" t="s">
        <v>18</v>
      </c>
      <c r="G390" t="s">
        <v>71</v>
      </c>
      <c r="H390" t="s">
        <v>820</v>
      </c>
      <c r="I390">
        <v>8</v>
      </c>
      <c r="J390">
        <v>8</v>
      </c>
      <c r="K390">
        <v>377730</v>
      </c>
      <c r="L390">
        <v>3.5</v>
      </c>
      <c r="M390" t="s">
        <v>21</v>
      </c>
      <c r="N390">
        <v>37</v>
      </c>
    </row>
    <row r="391" spans="1:14" x14ac:dyDescent="0.35">
      <c r="A391" t="s">
        <v>821</v>
      </c>
      <c r="B391" t="s">
        <v>55</v>
      </c>
      <c r="C391" t="s">
        <v>56</v>
      </c>
      <c r="D391" t="s">
        <v>25</v>
      </c>
      <c r="E391">
        <v>30</v>
      </c>
      <c r="F391" t="s">
        <v>18</v>
      </c>
      <c r="G391" t="s">
        <v>41</v>
      </c>
      <c r="H391" t="s">
        <v>822</v>
      </c>
      <c r="I391">
        <v>1</v>
      </c>
      <c r="J391">
        <v>10</v>
      </c>
      <c r="K391">
        <v>370016</v>
      </c>
      <c r="L391">
        <v>3.5</v>
      </c>
      <c r="M391" t="s">
        <v>21</v>
      </c>
      <c r="N391">
        <v>31</v>
      </c>
    </row>
    <row r="392" spans="1:14" x14ac:dyDescent="0.35">
      <c r="A392" t="s">
        <v>823</v>
      </c>
      <c r="B392" t="s">
        <v>40</v>
      </c>
      <c r="C392" t="s">
        <v>24</v>
      </c>
      <c r="D392" t="s">
        <v>17</v>
      </c>
      <c r="E392">
        <v>41</v>
      </c>
      <c r="F392" t="s">
        <v>46</v>
      </c>
      <c r="G392" t="s">
        <v>19</v>
      </c>
      <c r="H392" t="s">
        <v>824</v>
      </c>
      <c r="I392">
        <v>12</v>
      </c>
      <c r="J392">
        <v>15</v>
      </c>
      <c r="K392">
        <v>155281</v>
      </c>
      <c r="L392">
        <v>2.9</v>
      </c>
      <c r="M392" t="s">
        <v>43</v>
      </c>
      <c r="N392">
        <v>73</v>
      </c>
    </row>
    <row r="393" spans="1:14" x14ac:dyDescent="0.35">
      <c r="A393" t="s">
        <v>825</v>
      </c>
      <c r="B393" t="s">
        <v>60</v>
      </c>
      <c r="C393" t="s">
        <v>16</v>
      </c>
      <c r="D393" t="s">
        <v>25</v>
      </c>
      <c r="E393">
        <v>60</v>
      </c>
      <c r="F393" t="s">
        <v>46</v>
      </c>
      <c r="G393" t="s">
        <v>61</v>
      </c>
      <c r="H393" t="s">
        <v>826</v>
      </c>
      <c r="I393">
        <v>8</v>
      </c>
      <c r="J393">
        <v>12</v>
      </c>
      <c r="K393">
        <v>200962</v>
      </c>
      <c r="L393">
        <v>4.9000000000000004</v>
      </c>
      <c r="M393" t="s">
        <v>43</v>
      </c>
      <c r="N393">
        <v>86</v>
      </c>
    </row>
    <row r="394" spans="1:14" x14ac:dyDescent="0.35">
      <c r="A394" t="s">
        <v>827</v>
      </c>
      <c r="B394" t="s">
        <v>60</v>
      </c>
      <c r="C394" t="s">
        <v>82</v>
      </c>
      <c r="D394" t="s">
        <v>25</v>
      </c>
      <c r="E394">
        <v>21</v>
      </c>
      <c r="F394" t="s">
        <v>37</v>
      </c>
      <c r="G394" t="s">
        <v>61</v>
      </c>
      <c r="H394" t="s">
        <v>828</v>
      </c>
      <c r="I394">
        <v>6</v>
      </c>
      <c r="J394">
        <v>10</v>
      </c>
      <c r="K394">
        <v>362651</v>
      </c>
      <c r="L394">
        <v>2.6</v>
      </c>
      <c r="M394" t="s">
        <v>43</v>
      </c>
      <c r="N394">
        <v>85</v>
      </c>
    </row>
    <row r="395" spans="1:14" x14ac:dyDescent="0.35">
      <c r="A395" t="s">
        <v>829</v>
      </c>
      <c r="B395" t="s">
        <v>45</v>
      </c>
      <c r="C395" t="s">
        <v>82</v>
      </c>
      <c r="D395" t="s">
        <v>25</v>
      </c>
      <c r="E395">
        <v>33</v>
      </c>
      <c r="F395" t="s">
        <v>70</v>
      </c>
      <c r="G395" t="s">
        <v>85</v>
      </c>
      <c r="H395" t="s">
        <v>830</v>
      </c>
      <c r="I395">
        <v>4</v>
      </c>
      <c r="J395">
        <v>14</v>
      </c>
      <c r="K395">
        <v>284087</v>
      </c>
      <c r="L395">
        <v>4.8</v>
      </c>
      <c r="M395" t="s">
        <v>43</v>
      </c>
      <c r="N395">
        <v>78</v>
      </c>
    </row>
    <row r="396" spans="1:14" x14ac:dyDescent="0.35">
      <c r="A396" t="s">
        <v>831</v>
      </c>
      <c r="B396" t="s">
        <v>23</v>
      </c>
      <c r="C396" t="s">
        <v>30</v>
      </c>
      <c r="D396" t="s">
        <v>25</v>
      </c>
      <c r="E396">
        <v>50</v>
      </c>
      <c r="F396" t="s">
        <v>74</v>
      </c>
      <c r="G396" t="s">
        <v>32</v>
      </c>
      <c r="H396" t="s">
        <v>832</v>
      </c>
      <c r="I396">
        <v>6</v>
      </c>
      <c r="J396">
        <v>8</v>
      </c>
      <c r="K396">
        <v>186479</v>
      </c>
      <c r="L396">
        <v>4.3</v>
      </c>
      <c r="M396" t="s">
        <v>43</v>
      </c>
      <c r="N396">
        <v>86</v>
      </c>
    </row>
    <row r="397" spans="1:14" x14ac:dyDescent="0.35">
      <c r="A397" t="s">
        <v>833</v>
      </c>
      <c r="B397" t="s">
        <v>23</v>
      </c>
      <c r="C397" t="s">
        <v>64</v>
      </c>
      <c r="D397" t="s">
        <v>25</v>
      </c>
      <c r="E397">
        <v>33</v>
      </c>
      <c r="F397" t="s">
        <v>37</v>
      </c>
      <c r="G397" t="s">
        <v>61</v>
      </c>
      <c r="H397" t="s">
        <v>834</v>
      </c>
      <c r="I397">
        <v>15</v>
      </c>
      <c r="J397">
        <v>17</v>
      </c>
      <c r="K397">
        <v>245867</v>
      </c>
      <c r="L397">
        <v>4.4000000000000004</v>
      </c>
      <c r="M397" t="s">
        <v>43</v>
      </c>
      <c r="N397">
        <v>91</v>
      </c>
    </row>
    <row r="398" spans="1:14" x14ac:dyDescent="0.35">
      <c r="A398" t="s">
        <v>835</v>
      </c>
      <c r="B398" t="s">
        <v>23</v>
      </c>
      <c r="C398" t="s">
        <v>49</v>
      </c>
      <c r="D398" t="s">
        <v>25</v>
      </c>
      <c r="E398">
        <v>49</v>
      </c>
      <c r="F398" t="s">
        <v>79</v>
      </c>
      <c r="G398" t="s">
        <v>26</v>
      </c>
      <c r="H398" t="s">
        <v>577</v>
      </c>
      <c r="I398">
        <v>19</v>
      </c>
      <c r="J398">
        <v>21</v>
      </c>
      <c r="K398">
        <v>468031</v>
      </c>
      <c r="L398">
        <v>3.9</v>
      </c>
      <c r="M398" t="s">
        <v>43</v>
      </c>
      <c r="N398">
        <v>80</v>
      </c>
    </row>
    <row r="399" spans="1:14" x14ac:dyDescent="0.35">
      <c r="A399" t="s">
        <v>836</v>
      </c>
      <c r="B399" t="s">
        <v>45</v>
      </c>
      <c r="C399" t="s">
        <v>36</v>
      </c>
      <c r="D399" t="s">
        <v>17</v>
      </c>
      <c r="E399">
        <v>38</v>
      </c>
      <c r="F399" t="s">
        <v>37</v>
      </c>
      <c r="G399" t="s">
        <v>57</v>
      </c>
      <c r="H399" t="s">
        <v>837</v>
      </c>
      <c r="I399">
        <v>5</v>
      </c>
      <c r="J399">
        <v>10</v>
      </c>
      <c r="K399">
        <v>57121</v>
      </c>
      <c r="L399">
        <v>4.0999999999999996</v>
      </c>
      <c r="M399" t="s">
        <v>43</v>
      </c>
      <c r="N399">
        <v>85</v>
      </c>
    </row>
    <row r="400" spans="1:14" x14ac:dyDescent="0.35">
      <c r="A400" t="s">
        <v>838</v>
      </c>
      <c r="B400" t="s">
        <v>111</v>
      </c>
      <c r="C400" t="s">
        <v>64</v>
      </c>
      <c r="D400" t="s">
        <v>25</v>
      </c>
      <c r="E400">
        <v>51</v>
      </c>
      <c r="F400" t="s">
        <v>37</v>
      </c>
      <c r="G400" t="s">
        <v>85</v>
      </c>
      <c r="H400" t="s">
        <v>839</v>
      </c>
      <c r="I400">
        <v>12</v>
      </c>
      <c r="J400">
        <v>20</v>
      </c>
      <c r="K400">
        <v>479894</v>
      </c>
      <c r="L400">
        <v>3.8</v>
      </c>
      <c r="M400" t="s">
        <v>43</v>
      </c>
      <c r="N400">
        <v>74</v>
      </c>
    </row>
    <row r="401" spans="1:14" x14ac:dyDescent="0.35">
      <c r="A401" t="s">
        <v>840</v>
      </c>
      <c r="B401" t="s">
        <v>15</v>
      </c>
      <c r="C401" t="s">
        <v>16</v>
      </c>
      <c r="D401" t="s">
        <v>17</v>
      </c>
      <c r="E401">
        <v>37</v>
      </c>
      <c r="F401" t="s">
        <v>31</v>
      </c>
      <c r="G401" t="s">
        <v>19</v>
      </c>
      <c r="H401" t="s">
        <v>841</v>
      </c>
      <c r="I401">
        <v>15</v>
      </c>
      <c r="J401">
        <v>21</v>
      </c>
      <c r="K401">
        <v>242776</v>
      </c>
      <c r="L401">
        <v>5</v>
      </c>
      <c r="M401" t="s">
        <v>21</v>
      </c>
      <c r="N401">
        <v>30</v>
      </c>
    </row>
    <row r="402" spans="1:14" x14ac:dyDescent="0.35">
      <c r="A402" t="s">
        <v>842</v>
      </c>
      <c r="B402" t="s">
        <v>55</v>
      </c>
      <c r="C402" t="s">
        <v>64</v>
      </c>
      <c r="D402" t="s">
        <v>17</v>
      </c>
      <c r="E402">
        <v>31</v>
      </c>
      <c r="F402" t="s">
        <v>18</v>
      </c>
      <c r="G402" t="s">
        <v>19</v>
      </c>
      <c r="H402" t="s">
        <v>843</v>
      </c>
      <c r="I402">
        <v>15</v>
      </c>
      <c r="J402">
        <v>19</v>
      </c>
      <c r="K402">
        <v>378538</v>
      </c>
      <c r="L402">
        <v>3.6</v>
      </c>
      <c r="M402" t="s">
        <v>21</v>
      </c>
      <c r="N402">
        <v>38</v>
      </c>
    </row>
    <row r="403" spans="1:14" x14ac:dyDescent="0.35">
      <c r="A403" t="s">
        <v>844</v>
      </c>
      <c r="B403" t="s">
        <v>40</v>
      </c>
      <c r="C403" t="s">
        <v>30</v>
      </c>
      <c r="D403" t="s">
        <v>25</v>
      </c>
      <c r="E403">
        <v>41</v>
      </c>
      <c r="F403" t="s">
        <v>37</v>
      </c>
      <c r="G403" t="s">
        <v>71</v>
      </c>
      <c r="H403" t="s">
        <v>845</v>
      </c>
      <c r="I403">
        <v>5</v>
      </c>
      <c r="J403">
        <v>10</v>
      </c>
      <c r="K403">
        <v>448236</v>
      </c>
      <c r="L403">
        <v>4.3</v>
      </c>
      <c r="M403" t="s">
        <v>21</v>
      </c>
      <c r="N403">
        <v>70</v>
      </c>
    </row>
    <row r="404" spans="1:14" x14ac:dyDescent="0.35">
      <c r="A404" t="s">
        <v>846</v>
      </c>
      <c r="B404" t="s">
        <v>60</v>
      </c>
      <c r="C404" t="s">
        <v>24</v>
      </c>
      <c r="D404" t="s">
        <v>17</v>
      </c>
      <c r="E404">
        <v>31</v>
      </c>
      <c r="F404" t="s">
        <v>70</v>
      </c>
      <c r="G404" t="s">
        <v>41</v>
      </c>
      <c r="H404" t="s">
        <v>847</v>
      </c>
      <c r="I404">
        <v>8</v>
      </c>
      <c r="J404">
        <v>14</v>
      </c>
      <c r="K404">
        <v>54922</v>
      </c>
      <c r="L404">
        <v>2.9</v>
      </c>
      <c r="M404" t="s">
        <v>21</v>
      </c>
      <c r="N404">
        <v>54</v>
      </c>
    </row>
    <row r="405" spans="1:14" x14ac:dyDescent="0.35">
      <c r="A405" t="s">
        <v>848</v>
      </c>
      <c r="B405" t="s">
        <v>96</v>
      </c>
      <c r="C405" t="s">
        <v>52</v>
      </c>
      <c r="D405" t="s">
        <v>17</v>
      </c>
      <c r="E405">
        <v>51</v>
      </c>
      <c r="F405" t="s">
        <v>70</v>
      </c>
      <c r="G405" t="s">
        <v>61</v>
      </c>
      <c r="H405" t="s">
        <v>849</v>
      </c>
      <c r="I405">
        <v>1</v>
      </c>
      <c r="J405">
        <v>5</v>
      </c>
      <c r="K405">
        <v>341723</v>
      </c>
      <c r="L405">
        <v>2.2000000000000002</v>
      </c>
      <c r="M405" t="s">
        <v>21</v>
      </c>
      <c r="N405">
        <v>51</v>
      </c>
    </row>
    <row r="406" spans="1:14" x14ac:dyDescent="0.35">
      <c r="A406" t="s">
        <v>850</v>
      </c>
      <c r="B406" t="s">
        <v>111</v>
      </c>
      <c r="C406" t="s">
        <v>24</v>
      </c>
      <c r="D406" t="s">
        <v>17</v>
      </c>
      <c r="E406">
        <v>49</v>
      </c>
      <c r="F406" t="s">
        <v>79</v>
      </c>
      <c r="G406" t="s">
        <v>61</v>
      </c>
      <c r="H406" t="s">
        <v>851</v>
      </c>
      <c r="I406">
        <v>7</v>
      </c>
      <c r="J406">
        <v>9</v>
      </c>
      <c r="K406">
        <v>195702</v>
      </c>
      <c r="L406">
        <v>4.5</v>
      </c>
      <c r="M406" t="s">
        <v>43</v>
      </c>
      <c r="N406">
        <v>92</v>
      </c>
    </row>
    <row r="407" spans="1:14" x14ac:dyDescent="0.35">
      <c r="A407" t="s">
        <v>852</v>
      </c>
      <c r="B407" t="s">
        <v>29</v>
      </c>
      <c r="C407" t="s">
        <v>93</v>
      </c>
      <c r="D407" t="s">
        <v>25</v>
      </c>
      <c r="E407">
        <v>24</v>
      </c>
      <c r="F407" t="s">
        <v>70</v>
      </c>
      <c r="G407" t="s">
        <v>85</v>
      </c>
      <c r="H407" t="s">
        <v>853</v>
      </c>
      <c r="I407">
        <v>4</v>
      </c>
      <c r="J407">
        <v>7</v>
      </c>
      <c r="K407">
        <v>452835</v>
      </c>
      <c r="L407">
        <v>3.2</v>
      </c>
      <c r="M407" t="s">
        <v>43</v>
      </c>
      <c r="N407">
        <v>75</v>
      </c>
    </row>
    <row r="408" spans="1:14" x14ac:dyDescent="0.35">
      <c r="A408" t="s">
        <v>854</v>
      </c>
      <c r="B408" t="s">
        <v>40</v>
      </c>
      <c r="C408" t="s">
        <v>24</v>
      </c>
      <c r="D408" t="s">
        <v>17</v>
      </c>
      <c r="E408">
        <v>34</v>
      </c>
      <c r="F408" t="s">
        <v>70</v>
      </c>
      <c r="G408" t="s">
        <v>32</v>
      </c>
      <c r="H408" t="s">
        <v>855</v>
      </c>
      <c r="I408">
        <v>13</v>
      </c>
      <c r="J408">
        <v>16</v>
      </c>
      <c r="K408">
        <v>300647</v>
      </c>
      <c r="L408">
        <v>3.4</v>
      </c>
      <c r="M408" t="s">
        <v>43</v>
      </c>
      <c r="N408">
        <v>79</v>
      </c>
    </row>
    <row r="409" spans="1:14" x14ac:dyDescent="0.35">
      <c r="A409" t="s">
        <v>856</v>
      </c>
      <c r="B409" t="s">
        <v>60</v>
      </c>
      <c r="C409" t="s">
        <v>36</v>
      </c>
      <c r="D409" t="s">
        <v>25</v>
      </c>
      <c r="E409">
        <v>58</v>
      </c>
      <c r="F409" t="s">
        <v>79</v>
      </c>
      <c r="G409" t="s">
        <v>85</v>
      </c>
      <c r="H409" t="s">
        <v>857</v>
      </c>
      <c r="I409">
        <v>4</v>
      </c>
      <c r="J409">
        <v>5</v>
      </c>
      <c r="K409">
        <v>296546</v>
      </c>
      <c r="L409">
        <v>4</v>
      </c>
      <c r="M409" t="s">
        <v>21</v>
      </c>
      <c r="N409">
        <v>45</v>
      </c>
    </row>
    <row r="410" spans="1:14" x14ac:dyDescent="0.35">
      <c r="A410" t="s">
        <v>858</v>
      </c>
      <c r="B410" t="s">
        <v>60</v>
      </c>
      <c r="C410" t="s">
        <v>64</v>
      </c>
      <c r="D410" t="s">
        <v>25</v>
      </c>
      <c r="E410">
        <v>35</v>
      </c>
      <c r="F410" t="s">
        <v>74</v>
      </c>
      <c r="G410" t="s">
        <v>26</v>
      </c>
      <c r="H410" t="s">
        <v>859</v>
      </c>
      <c r="I410">
        <v>11</v>
      </c>
      <c r="J410">
        <v>20</v>
      </c>
      <c r="K410">
        <v>358712</v>
      </c>
      <c r="L410">
        <v>2</v>
      </c>
      <c r="M410" t="s">
        <v>21</v>
      </c>
      <c r="N410">
        <v>62</v>
      </c>
    </row>
    <row r="411" spans="1:14" x14ac:dyDescent="0.35">
      <c r="A411" t="s">
        <v>860</v>
      </c>
      <c r="B411" t="s">
        <v>69</v>
      </c>
      <c r="C411" t="s">
        <v>82</v>
      </c>
      <c r="D411" t="s">
        <v>25</v>
      </c>
      <c r="E411">
        <v>30</v>
      </c>
      <c r="F411" t="s">
        <v>70</v>
      </c>
      <c r="G411" t="s">
        <v>88</v>
      </c>
      <c r="H411" t="s">
        <v>861</v>
      </c>
      <c r="I411">
        <v>19</v>
      </c>
      <c r="J411">
        <v>23</v>
      </c>
      <c r="K411">
        <v>82691</v>
      </c>
      <c r="L411">
        <v>2.2000000000000002</v>
      </c>
      <c r="M411" t="s">
        <v>43</v>
      </c>
      <c r="N411">
        <v>84</v>
      </c>
    </row>
    <row r="412" spans="1:14" x14ac:dyDescent="0.35">
      <c r="A412" t="s">
        <v>862</v>
      </c>
      <c r="B412" t="s">
        <v>29</v>
      </c>
      <c r="C412" t="s">
        <v>16</v>
      </c>
      <c r="D412" t="s">
        <v>17</v>
      </c>
      <c r="E412">
        <v>27</v>
      </c>
      <c r="F412" t="s">
        <v>79</v>
      </c>
      <c r="G412" t="s">
        <v>26</v>
      </c>
      <c r="H412" t="s">
        <v>863</v>
      </c>
      <c r="I412">
        <v>3</v>
      </c>
      <c r="J412">
        <v>8</v>
      </c>
      <c r="K412">
        <v>348345</v>
      </c>
      <c r="L412">
        <v>3.3</v>
      </c>
      <c r="M412" t="s">
        <v>21</v>
      </c>
      <c r="N412">
        <v>43</v>
      </c>
    </row>
    <row r="413" spans="1:14" x14ac:dyDescent="0.35">
      <c r="A413" t="s">
        <v>864</v>
      </c>
      <c r="B413" t="s">
        <v>29</v>
      </c>
      <c r="C413" t="s">
        <v>82</v>
      </c>
      <c r="D413" t="s">
        <v>17</v>
      </c>
      <c r="E413">
        <v>55</v>
      </c>
      <c r="F413" t="s">
        <v>18</v>
      </c>
      <c r="G413" t="s">
        <v>26</v>
      </c>
      <c r="H413" t="s">
        <v>865</v>
      </c>
      <c r="I413">
        <v>1</v>
      </c>
      <c r="J413">
        <v>3</v>
      </c>
      <c r="K413">
        <v>113893</v>
      </c>
      <c r="L413">
        <v>4.2</v>
      </c>
      <c r="M413" t="s">
        <v>43</v>
      </c>
      <c r="N413">
        <v>83</v>
      </c>
    </row>
    <row r="414" spans="1:14" x14ac:dyDescent="0.35">
      <c r="A414" t="s">
        <v>866</v>
      </c>
      <c r="B414" t="s">
        <v>60</v>
      </c>
      <c r="C414" t="s">
        <v>36</v>
      </c>
      <c r="D414" t="s">
        <v>17</v>
      </c>
      <c r="E414">
        <v>58</v>
      </c>
      <c r="F414" t="s">
        <v>79</v>
      </c>
      <c r="G414" t="s">
        <v>32</v>
      </c>
      <c r="H414" t="s">
        <v>867</v>
      </c>
      <c r="I414">
        <v>5</v>
      </c>
      <c r="J414">
        <v>14</v>
      </c>
      <c r="K414">
        <v>487132</v>
      </c>
      <c r="L414">
        <v>3.1</v>
      </c>
      <c r="M414" t="s">
        <v>21</v>
      </c>
      <c r="N414">
        <v>31</v>
      </c>
    </row>
    <row r="415" spans="1:14" x14ac:dyDescent="0.35">
      <c r="A415" t="s">
        <v>868</v>
      </c>
      <c r="B415" t="s">
        <v>60</v>
      </c>
      <c r="C415" t="s">
        <v>82</v>
      </c>
      <c r="D415" t="s">
        <v>17</v>
      </c>
      <c r="E415">
        <v>59</v>
      </c>
      <c r="F415" t="s">
        <v>31</v>
      </c>
      <c r="G415" t="s">
        <v>26</v>
      </c>
      <c r="H415" t="s">
        <v>869</v>
      </c>
      <c r="I415">
        <v>16</v>
      </c>
      <c r="J415">
        <v>20</v>
      </c>
      <c r="K415">
        <v>322169</v>
      </c>
      <c r="L415">
        <v>3.6</v>
      </c>
      <c r="M415" t="s">
        <v>21</v>
      </c>
      <c r="N415">
        <v>38</v>
      </c>
    </row>
    <row r="416" spans="1:14" x14ac:dyDescent="0.35">
      <c r="A416" t="s">
        <v>870</v>
      </c>
      <c r="B416" t="s">
        <v>111</v>
      </c>
      <c r="C416" t="s">
        <v>64</v>
      </c>
      <c r="D416" t="s">
        <v>25</v>
      </c>
      <c r="E416">
        <v>25</v>
      </c>
      <c r="F416" t="s">
        <v>46</v>
      </c>
      <c r="G416" t="s">
        <v>85</v>
      </c>
      <c r="H416" t="s">
        <v>871</v>
      </c>
      <c r="I416">
        <v>13</v>
      </c>
      <c r="J416">
        <v>13</v>
      </c>
      <c r="K416">
        <v>200065</v>
      </c>
      <c r="L416">
        <v>3.9</v>
      </c>
      <c r="M416" t="s">
        <v>21</v>
      </c>
      <c r="N416">
        <v>63</v>
      </c>
    </row>
    <row r="417" spans="1:14" x14ac:dyDescent="0.35">
      <c r="A417" t="s">
        <v>872</v>
      </c>
      <c r="B417" t="s">
        <v>96</v>
      </c>
      <c r="C417" t="s">
        <v>52</v>
      </c>
      <c r="D417" t="s">
        <v>17</v>
      </c>
      <c r="E417">
        <v>43</v>
      </c>
      <c r="F417" t="s">
        <v>37</v>
      </c>
      <c r="G417" t="s">
        <v>61</v>
      </c>
      <c r="H417" t="s">
        <v>873</v>
      </c>
      <c r="I417">
        <v>20</v>
      </c>
      <c r="J417">
        <v>21</v>
      </c>
      <c r="K417">
        <v>338471</v>
      </c>
      <c r="L417">
        <v>4.4000000000000004</v>
      </c>
      <c r="M417" t="s">
        <v>21</v>
      </c>
      <c r="N417">
        <v>60</v>
      </c>
    </row>
    <row r="418" spans="1:14" x14ac:dyDescent="0.35">
      <c r="A418" t="s">
        <v>874</v>
      </c>
      <c r="B418" t="s">
        <v>69</v>
      </c>
      <c r="C418" t="s">
        <v>82</v>
      </c>
      <c r="D418" t="s">
        <v>25</v>
      </c>
      <c r="E418">
        <v>52</v>
      </c>
      <c r="F418" t="s">
        <v>79</v>
      </c>
      <c r="G418" t="s">
        <v>41</v>
      </c>
      <c r="H418" t="s">
        <v>875</v>
      </c>
      <c r="I418">
        <v>20</v>
      </c>
      <c r="J418">
        <v>22</v>
      </c>
      <c r="K418">
        <v>477463</v>
      </c>
      <c r="L418">
        <v>2</v>
      </c>
      <c r="M418" t="s">
        <v>43</v>
      </c>
      <c r="N418">
        <v>91</v>
      </c>
    </row>
    <row r="419" spans="1:14" x14ac:dyDescent="0.35">
      <c r="A419" t="s">
        <v>876</v>
      </c>
      <c r="B419" t="s">
        <v>55</v>
      </c>
      <c r="C419" t="s">
        <v>82</v>
      </c>
      <c r="D419" t="s">
        <v>17</v>
      </c>
      <c r="E419">
        <v>58</v>
      </c>
      <c r="F419" t="s">
        <v>74</v>
      </c>
      <c r="G419" t="s">
        <v>88</v>
      </c>
      <c r="H419" t="s">
        <v>877</v>
      </c>
      <c r="I419">
        <v>6</v>
      </c>
      <c r="J419">
        <v>12</v>
      </c>
      <c r="K419">
        <v>145277</v>
      </c>
      <c r="L419">
        <v>3.9</v>
      </c>
      <c r="M419" t="s">
        <v>21</v>
      </c>
      <c r="N419">
        <v>64</v>
      </c>
    </row>
    <row r="420" spans="1:14" x14ac:dyDescent="0.35">
      <c r="A420" t="s">
        <v>878</v>
      </c>
      <c r="B420" t="s">
        <v>15</v>
      </c>
      <c r="C420" t="s">
        <v>36</v>
      </c>
      <c r="D420" t="s">
        <v>17</v>
      </c>
      <c r="E420">
        <v>26</v>
      </c>
      <c r="F420" t="s">
        <v>74</v>
      </c>
      <c r="G420" t="s">
        <v>85</v>
      </c>
      <c r="H420" t="s">
        <v>879</v>
      </c>
      <c r="I420">
        <v>8</v>
      </c>
      <c r="J420">
        <v>8</v>
      </c>
      <c r="K420">
        <v>99325</v>
      </c>
      <c r="L420">
        <v>4.5</v>
      </c>
      <c r="M420" t="s">
        <v>43</v>
      </c>
      <c r="N420">
        <v>72</v>
      </c>
    </row>
    <row r="421" spans="1:14" x14ac:dyDescent="0.35">
      <c r="A421" t="s">
        <v>880</v>
      </c>
      <c r="B421" t="s">
        <v>40</v>
      </c>
      <c r="C421" t="s">
        <v>16</v>
      </c>
      <c r="D421" t="s">
        <v>25</v>
      </c>
      <c r="E421">
        <v>46</v>
      </c>
      <c r="F421" t="s">
        <v>37</v>
      </c>
      <c r="G421" t="s">
        <v>88</v>
      </c>
      <c r="H421" t="s">
        <v>881</v>
      </c>
      <c r="I421">
        <v>8</v>
      </c>
      <c r="J421">
        <v>9</v>
      </c>
      <c r="K421">
        <v>169422</v>
      </c>
      <c r="L421">
        <v>3.8</v>
      </c>
      <c r="M421" t="s">
        <v>43</v>
      </c>
      <c r="N421">
        <v>77</v>
      </c>
    </row>
    <row r="422" spans="1:14" x14ac:dyDescent="0.35">
      <c r="A422" t="s">
        <v>882</v>
      </c>
      <c r="B422" t="s">
        <v>15</v>
      </c>
      <c r="C422" t="s">
        <v>49</v>
      </c>
      <c r="D422" t="s">
        <v>17</v>
      </c>
      <c r="E422">
        <v>35</v>
      </c>
      <c r="F422" t="s">
        <v>46</v>
      </c>
      <c r="G422" t="s">
        <v>71</v>
      </c>
      <c r="H422" t="s">
        <v>883</v>
      </c>
      <c r="I422">
        <v>2</v>
      </c>
      <c r="J422">
        <v>9</v>
      </c>
      <c r="K422">
        <v>213991</v>
      </c>
      <c r="L422">
        <v>4.0999999999999996</v>
      </c>
      <c r="M422" t="s">
        <v>43</v>
      </c>
      <c r="N422">
        <v>71</v>
      </c>
    </row>
    <row r="423" spans="1:14" x14ac:dyDescent="0.35">
      <c r="A423" t="s">
        <v>884</v>
      </c>
      <c r="B423" t="s">
        <v>60</v>
      </c>
      <c r="C423" t="s">
        <v>49</v>
      </c>
      <c r="D423" t="s">
        <v>17</v>
      </c>
      <c r="E423">
        <v>34</v>
      </c>
      <c r="F423" t="s">
        <v>70</v>
      </c>
      <c r="G423" t="s">
        <v>32</v>
      </c>
      <c r="H423" t="s">
        <v>885</v>
      </c>
      <c r="I423">
        <v>9</v>
      </c>
      <c r="J423">
        <v>19</v>
      </c>
      <c r="K423">
        <v>396030</v>
      </c>
      <c r="L423">
        <v>2.2000000000000002</v>
      </c>
      <c r="M423" t="s">
        <v>21</v>
      </c>
      <c r="N423">
        <v>31</v>
      </c>
    </row>
    <row r="424" spans="1:14" x14ac:dyDescent="0.35">
      <c r="A424" t="s">
        <v>886</v>
      </c>
      <c r="B424" t="s">
        <v>78</v>
      </c>
      <c r="C424" t="s">
        <v>64</v>
      </c>
      <c r="D424" t="s">
        <v>25</v>
      </c>
      <c r="E424">
        <v>37</v>
      </c>
      <c r="F424" t="s">
        <v>46</v>
      </c>
      <c r="G424" t="s">
        <v>85</v>
      </c>
      <c r="H424" t="s">
        <v>887</v>
      </c>
      <c r="I424">
        <v>13</v>
      </c>
      <c r="J424">
        <v>19</v>
      </c>
      <c r="K424">
        <v>330783</v>
      </c>
      <c r="L424">
        <v>2.5</v>
      </c>
      <c r="M424" t="s">
        <v>21</v>
      </c>
      <c r="N424">
        <v>65</v>
      </c>
    </row>
    <row r="425" spans="1:14" x14ac:dyDescent="0.35">
      <c r="A425" t="s">
        <v>888</v>
      </c>
      <c r="B425" t="s">
        <v>15</v>
      </c>
      <c r="C425" t="s">
        <v>64</v>
      </c>
      <c r="D425" t="s">
        <v>25</v>
      </c>
      <c r="E425">
        <v>33</v>
      </c>
      <c r="F425" t="s">
        <v>31</v>
      </c>
      <c r="G425" t="s">
        <v>19</v>
      </c>
      <c r="H425" t="s">
        <v>889</v>
      </c>
      <c r="I425">
        <v>12</v>
      </c>
      <c r="J425">
        <v>21</v>
      </c>
      <c r="K425">
        <v>280337</v>
      </c>
      <c r="L425">
        <v>4.9000000000000004</v>
      </c>
      <c r="M425" t="s">
        <v>21</v>
      </c>
      <c r="N425">
        <v>56</v>
      </c>
    </row>
    <row r="426" spans="1:14" x14ac:dyDescent="0.35">
      <c r="A426" t="s">
        <v>890</v>
      </c>
      <c r="B426" t="s">
        <v>15</v>
      </c>
      <c r="C426" t="s">
        <v>30</v>
      </c>
      <c r="D426" t="s">
        <v>25</v>
      </c>
      <c r="E426">
        <v>56</v>
      </c>
      <c r="F426" t="s">
        <v>70</v>
      </c>
      <c r="G426" t="s">
        <v>41</v>
      </c>
      <c r="H426" t="s">
        <v>891</v>
      </c>
      <c r="I426">
        <v>0</v>
      </c>
      <c r="J426">
        <v>10</v>
      </c>
      <c r="K426">
        <v>482314</v>
      </c>
      <c r="L426">
        <v>2.4</v>
      </c>
      <c r="M426" t="s">
        <v>21</v>
      </c>
      <c r="N426">
        <v>55</v>
      </c>
    </row>
    <row r="427" spans="1:14" x14ac:dyDescent="0.35">
      <c r="A427" t="s">
        <v>892</v>
      </c>
      <c r="B427" t="s">
        <v>55</v>
      </c>
      <c r="C427" t="s">
        <v>93</v>
      </c>
      <c r="D427" t="s">
        <v>17</v>
      </c>
      <c r="E427">
        <v>23</v>
      </c>
      <c r="F427" t="s">
        <v>37</v>
      </c>
      <c r="G427" t="s">
        <v>19</v>
      </c>
      <c r="H427" t="s">
        <v>893</v>
      </c>
      <c r="I427">
        <v>17</v>
      </c>
      <c r="J427">
        <v>26</v>
      </c>
      <c r="K427">
        <v>288405</v>
      </c>
      <c r="L427">
        <v>2.1</v>
      </c>
      <c r="M427" t="s">
        <v>43</v>
      </c>
      <c r="N427">
        <v>96</v>
      </c>
    </row>
    <row r="428" spans="1:14" x14ac:dyDescent="0.35">
      <c r="A428" t="s">
        <v>894</v>
      </c>
      <c r="B428" t="s">
        <v>78</v>
      </c>
      <c r="C428" t="s">
        <v>82</v>
      </c>
      <c r="D428" t="s">
        <v>25</v>
      </c>
      <c r="E428">
        <v>50</v>
      </c>
      <c r="F428" t="s">
        <v>46</v>
      </c>
      <c r="G428" t="s">
        <v>19</v>
      </c>
      <c r="H428" t="s">
        <v>895</v>
      </c>
      <c r="I428">
        <v>5</v>
      </c>
      <c r="J428">
        <v>7</v>
      </c>
      <c r="K428">
        <v>281759</v>
      </c>
      <c r="L428">
        <v>2</v>
      </c>
      <c r="M428" t="s">
        <v>21</v>
      </c>
      <c r="N428">
        <v>40</v>
      </c>
    </row>
    <row r="429" spans="1:14" x14ac:dyDescent="0.35">
      <c r="A429" t="s">
        <v>896</v>
      </c>
      <c r="B429" t="s">
        <v>111</v>
      </c>
      <c r="C429" t="s">
        <v>56</v>
      </c>
      <c r="D429" t="s">
        <v>25</v>
      </c>
      <c r="E429">
        <v>33</v>
      </c>
      <c r="F429" t="s">
        <v>31</v>
      </c>
      <c r="G429" t="s">
        <v>88</v>
      </c>
      <c r="H429" t="s">
        <v>897</v>
      </c>
      <c r="I429">
        <v>6</v>
      </c>
      <c r="J429">
        <v>6</v>
      </c>
      <c r="K429">
        <v>52014</v>
      </c>
      <c r="L429">
        <v>3.4</v>
      </c>
      <c r="M429" t="s">
        <v>21</v>
      </c>
      <c r="N429">
        <v>59</v>
      </c>
    </row>
    <row r="430" spans="1:14" x14ac:dyDescent="0.35">
      <c r="A430" t="s">
        <v>898</v>
      </c>
      <c r="B430" t="s">
        <v>78</v>
      </c>
      <c r="C430" t="s">
        <v>49</v>
      </c>
      <c r="D430" t="s">
        <v>25</v>
      </c>
      <c r="E430">
        <v>30</v>
      </c>
      <c r="F430" t="s">
        <v>79</v>
      </c>
      <c r="G430" t="s">
        <v>75</v>
      </c>
      <c r="H430" t="s">
        <v>899</v>
      </c>
      <c r="I430">
        <v>9</v>
      </c>
      <c r="J430">
        <v>10</v>
      </c>
      <c r="K430">
        <v>320843</v>
      </c>
      <c r="L430">
        <v>3.8</v>
      </c>
      <c r="M430" t="s">
        <v>21</v>
      </c>
      <c r="N430">
        <v>43</v>
      </c>
    </row>
    <row r="431" spans="1:14" x14ac:dyDescent="0.35">
      <c r="A431" t="s">
        <v>900</v>
      </c>
      <c r="B431" t="s">
        <v>40</v>
      </c>
      <c r="C431" t="s">
        <v>82</v>
      </c>
      <c r="D431" t="s">
        <v>25</v>
      </c>
      <c r="E431">
        <v>41</v>
      </c>
      <c r="F431" t="s">
        <v>46</v>
      </c>
      <c r="G431" t="s">
        <v>57</v>
      </c>
      <c r="H431" t="s">
        <v>901</v>
      </c>
      <c r="I431">
        <v>11</v>
      </c>
      <c r="J431">
        <v>12</v>
      </c>
      <c r="K431">
        <v>167377</v>
      </c>
      <c r="L431">
        <v>4.2</v>
      </c>
      <c r="M431" t="s">
        <v>21</v>
      </c>
      <c r="N431">
        <v>44</v>
      </c>
    </row>
    <row r="432" spans="1:14" x14ac:dyDescent="0.35">
      <c r="A432" t="s">
        <v>902</v>
      </c>
      <c r="B432" t="s">
        <v>15</v>
      </c>
      <c r="C432" t="s">
        <v>24</v>
      </c>
      <c r="D432" t="s">
        <v>25</v>
      </c>
      <c r="E432">
        <v>36</v>
      </c>
      <c r="F432" t="s">
        <v>31</v>
      </c>
      <c r="G432" t="s">
        <v>88</v>
      </c>
      <c r="H432" t="s">
        <v>903</v>
      </c>
      <c r="I432">
        <v>7</v>
      </c>
      <c r="J432">
        <v>12</v>
      </c>
      <c r="K432">
        <v>401688</v>
      </c>
      <c r="L432">
        <v>4.2</v>
      </c>
      <c r="M432" t="s">
        <v>43</v>
      </c>
      <c r="N432">
        <v>74</v>
      </c>
    </row>
    <row r="433" spans="1:14" x14ac:dyDescent="0.35">
      <c r="A433" t="s">
        <v>904</v>
      </c>
      <c r="B433" t="s">
        <v>45</v>
      </c>
      <c r="C433" t="s">
        <v>30</v>
      </c>
      <c r="D433" t="s">
        <v>17</v>
      </c>
      <c r="E433">
        <v>26</v>
      </c>
      <c r="F433" t="s">
        <v>74</v>
      </c>
      <c r="G433" t="s">
        <v>32</v>
      </c>
      <c r="H433" t="s">
        <v>905</v>
      </c>
      <c r="I433">
        <v>6</v>
      </c>
      <c r="J433">
        <v>8</v>
      </c>
      <c r="K433">
        <v>197673</v>
      </c>
      <c r="L433">
        <v>3.9</v>
      </c>
      <c r="M433" t="s">
        <v>21</v>
      </c>
      <c r="N433">
        <v>65</v>
      </c>
    </row>
    <row r="434" spans="1:14" x14ac:dyDescent="0.35">
      <c r="A434" t="s">
        <v>906</v>
      </c>
      <c r="B434" t="s">
        <v>60</v>
      </c>
      <c r="C434" t="s">
        <v>30</v>
      </c>
      <c r="D434" t="s">
        <v>17</v>
      </c>
      <c r="E434">
        <v>24</v>
      </c>
      <c r="F434" t="s">
        <v>18</v>
      </c>
      <c r="G434" t="s">
        <v>88</v>
      </c>
      <c r="H434" t="s">
        <v>907</v>
      </c>
      <c r="I434">
        <v>20</v>
      </c>
      <c r="J434">
        <v>21</v>
      </c>
      <c r="K434">
        <v>69990</v>
      </c>
      <c r="L434">
        <v>3.7</v>
      </c>
      <c r="M434" t="s">
        <v>43</v>
      </c>
      <c r="N434">
        <v>100</v>
      </c>
    </row>
    <row r="435" spans="1:14" x14ac:dyDescent="0.35">
      <c r="A435" t="s">
        <v>908</v>
      </c>
      <c r="B435" t="s">
        <v>23</v>
      </c>
      <c r="C435" t="s">
        <v>49</v>
      </c>
      <c r="D435" t="s">
        <v>25</v>
      </c>
      <c r="E435">
        <v>60</v>
      </c>
      <c r="F435" t="s">
        <v>46</v>
      </c>
      <c r="G435" t="s">
        <v>41</v>
      </c>
      <c r="H435" t="s">
        <v>909</v>
      </c>
      <c r="I435">
        <v>6</v>
      </c>
      <c r="J435">
        <v>14</v>
      </c>
      <c r="K435">
        <v>425478</v>
      </c>
      <c r="L435">
        <v>4.5</v>
      </c>
      <c r="M435" t="s">
        <v>43</v>
      </c>
      <c r="N435">
        <v>92</v>
      </c>
    </row>
    <row r="436" spans="1:14" x14ac:dyDescent="0.35">
      <c r="A436" t="s">
        <v>910</v>
      </c>
      <c r="B436" t="s">
        <v>35</v>
      </c>
      <c r="C436" t="s">
        <v>36</v>
      </c>
      <c r="D436" t="s">
        <v>17</v>
      </c>
      <c r="E436">
        <v>37</v>
      </c>
      <c r="F436" t="s">
        <v>31</v>
      </c>
      <c r="G436" t="s">
        <v>41</v>
      </c>
      <c r="H436" t="s">
        <v>911</v>
      </c>
      <c r="I436">
        <v>11</v>
      </c>
      <c r="J436">
        <v>21</v>
      </c>
      <c r="K436">
        <v>433363</v>
      </c>
      <c r="L436">
        <v>4.7</v>
      </c>
      <c r="M436" t="s">
        <v>43</v>
      </c>
      <c r="N436">
        <v>94</v>
      </c>
    </row>
    <row r="437" spans="1:14" x14ac:dyDescent="0.35">
      <c r="A437" t="s">
        <v>912</v>
      </c>
      <c r="B437" t="s">
        <v>55</v>
      </c>
      <c r="C437" t="s">
        <v>49</v>
      </c>
      <c r="D437" t="s">
        <v>25</v>
      </c>
      <c r="E437">
        <v>26</v>
      </c>
      <c r="F437" t="s">
        <v>70</v>
      </c>
      <c r="G437" t="s">
        <v>71</v>
      </c>
      <c r="H437" t="s">
        <v>913</v>
      </c>
      <c r="I437">
        <v>13</v>
      </c>
      <c r="J437">
        <v>21</v>
      </c>
      <c r="K437">
        <v>415354</v>
      </c>
      <c r="L437">
        <v>2.1</v>
      </c>
      <c r="M437" t="s">
        <v>43</v>
      </c>
      <c r="N437">
        <v>74</v>
      </c>
    </row>
    <row r="438" spans="1:14" x14ac:dyDescent="0.35">
      <c r="A438" t="s">
        <v>914</v>
      </c>
      <c r="B438" t="s">
        <v>55</v>
      </c>
      <c r="C438" t="s">
        <v>49</v>
      </c>
      <c r="D438" t="s">
        <v>25</v>
      </c>
      <c r="E438">
        <v>50</v>
      </c>
      <c r="F438" t="s">
        <v>37</v>
      </c>
      <c r="G438" t="s">
        <v>75</v>
      </c>
      <c r="H438" t="s">
        <v>915</v>
      </c>
      <c r="I438">
        <v>8</v>
      </c>
      <c r="J438">
        <v>15</v>
      </c>
      <c r="K438">
        <v>392545</v>
      </c>
      <c r="L438">
        <v>2.2000000000000002</v>
      </c>
      <c r="M438" t="s">
        <v>43</v>
      </c>
      <c r="N438">
        <v>89</v>
      </c>
    </row>
    <row r="439" spans="1:14" x14ac:dyDescent="0.35">
      <c r="A439" t="s">
        <v>916</v>
      </c>
      <c r="B439" t="s">
        <v>96</v>
      </c>
      <c r="C439" t="s">
        <v>64</v>
      </c>
      <c r="D439" t="s">
        <v>25</v>
      </c>
      <c r="E439">
        <v>28</v>
      </c>
      <c r="F439" t="s">
        <v>18</v>
      </c>
      <c r="G439" t="s">
        <v>32</v>
      </c>
      <c r="H439" t="s">
        <v>917</v>
      </c>
      <c r="I439">
        <v>9</v>
      </c>
      <c r="J439">
        <v>18</v>
      </c>
      <c r="K439">
        <v>473115</v>
      </c>
      <c r="L439">
        <v>3.1</v>
      </c>
      <c r="M439" t="s">
        <v>43</v>
      </c>
      <c r="N439">
        <v>81</v>
      </c>
    </row>
    <row r="440" spans="1:14" x14ac:dyDescent="0.35">
      <c r="A440" t="s">
        <v>918</v>
      </c>
      <c r="B440" t="s">
        <v>60</v>
      </c>
      <c r="C440" t="s">
        <v>64</v>
      </c>
      <c r="D440" t="s">
        <v>25</v>
      </c>
      <c r="E440">
        <v>32</v>
      </c>
      <c r="F440" t="s">
        <v>74</v>
      </c>
      <c r="G440" t="s">
        <v>41</v>
      </c>
      <c r="H440" t="s">
        <v>919</v>
      </c>
      <c r="I440">
        <v>19</v>
      </c>
      <c r="J440">
        <v>21</v>
      </c>
      <c r="K440">
        <v>200092</v>
      </c>
      <c r="L440">
        <v>2.1</v>
      </c>
      <c r="M440" t="s">
        <v>21</v>
      </c>
      <c r="N440">
        <v>53</v>
      </c>
    </row>
    <row r="441" spans="1:14" x14ac:dyDescent="0.35">
      <c r="A441" t="s">
        <v>920</v>
      </c>
      <c r="B441" t="s">
        <v>96</v>
      </c>
      <c r="C441" t="s">
        <v>24</v>
      </c>
      <c r="D441" t="s">
        <v>17</v>
      </c>
      <c r="E441">
        <v>54</v>
      </c>
      <c r="F441" t="s">
        <v>18</v>
      </c>
      <c r="G441" t="s">
        <v>75</v>
      </c>
      <c r="H441" t="s">
        <v>921</v>
      </c>
      <c r="I441">
        <v>12</v>
      </c>
      <c r="J441">
        <v>18</v>
      </c>
      <c r="K441">
        <v>361860</v>
      </c>
      <c r="L441">
        <v>4.3</v>
      </c>
      <c r="M441" t="s">
        <v>21</v>
      </c>
      <c r="N441">
        <v>62</v>
      </c>
    </row>
    <row r="442" spans="1:14" x14ac:dyDescent="0.35">
      <c r="A442" t="s">
        <v>922</v>
      </c>
      <c r="B442" t="s">
        <v>45</v>
      </c>
      <c r="C442" t="s">
        <v>52</v>
      </c>
      <c r="D442" t="s">
        <v>17</v>
      </c>
      <c r="E442">
        <v>51</v>
      </c>
      <c r="F442" t="s">
        <v>46</v>
      </c>
      <c r="G442" t="s">
        <v>19</v>
      </c>
      <c r="H442" t="s">
        <v>923</v>
      </c>
      <c r="I442">
        <v>2</v>
      </c>
      <c r="J442">
        <v>6</v>
      </c>
      <c r="K442">
        <v>443796</v>
      </c>
      <c r="L442">
        <v>3.7</v>
      </c>
      <c r="M442" t="s">
        <v>43</v>
      </c>
      <c r="N442">
        <v>89</v>
      </c>
    </row>
    <row r="443" spans="1:14" x14ac:dyDescent="0.35">
      <c r="A443" t="s">
        <v>924</v>
      </c>
      <c r="B443" t="s">
        <v>29</v>
      </c>
      <c r="C443" t="s">
        <v>56</v>
      </c>
      <c r="D443" t="s">
        <v>25</v>
      </c>
      <c r="E443">
        <v>58</v>
      </c>
      <c r="F443" t="s">
        <v>79</v>
      </c>
      <c r="G443" t="s">
        <v>41</v>
      </c>
      <c r="H443" t="s">
        <v>925</v>
      </c>
      <c r="I443">
        <v>3</v>
      </c>
      <c r="J443">
        <v>9</v>
      </c>
      <c r="K443">
        <v>330281</v>
      </c>
      <c r="L443">
        <v>3</v>
      </c>
      <c r="M443" t="s">
        <v>43</v>
      </c>
      <c r="N443">
        <v>90</v>
      </c>
    </row>
    <row r="444" spans="1:14" x14ac:dyDescent="0.35">
      <c r="A444" t="s">
        <v>926</v>
      </c>
      <c r="B444" t="s">
        <v>60</v>
      </c>
      <c r="C444" t="s">
        <v>49</v>
      </c>
      <c r="D444" t="s">
        <v>17</v>
      </c>
      <c r="E444">
        <v>33</v>
      </c>
      <c r="F444" t="s">
        <v>79</v>
      </c>
      <c r="G444" t="s">
        <v>71</v>
      </c>
      <c r="H444" t="s">
        <v>927</v>
      </c>
      <c r="I444">
        <v>17</v>
      </c>
      <c r="J444">
        <v>19</v>
      </c>
      <c r="K444">
        <v>425338</v>
      </c>
      <c r="L444">
        <v>4.0999999999999996</v>
      </c>
      <c r="M444" t="s">
        <v>21</v>
      </c>
      <c r="N444">
        <v>68</v>
      </c>
    </row>
    <row r="445" spans="1:14" x14ac:dyDescent="0.35">
      <c r="A445" t="s">
        <v>928</v>
      </c>
      <c r="B445" t="s">
        <v>45</v>
      </c>
      <c r="C445" t="s">
        <v>82</v>
      </c>
      <c r="D445" t="s">
        <v>17</v>
      </c>
      <c r="E445">
        <v>37</v>
      </c>
      <c r="F445" t="s">
        <v>70</v>
      </c>
      <c r="G445" t="s">
        <v>71</v>
      </c>
      <c r="H445" t="s">
        <v>929</v>
      </c>
      <c r="I445">
        <v>0</v>
      </c>
      <c r="J445">
        <v>6</v>
      </c>
      <c r="K445">
        <v>70202</v>
      </c>
      <c r="L445">
        <v>3.2</v>
      </c>
      <c r="M445" t="s">
        <v>21</v>
      </c>
      <c r="N445">
        <v>38</v>
      </c>
    </row>
    <row r="446" spans="1:14" x14ac:dyDescent="0.35">
      <c r="A446" t="s">
        <v>930</v>
      </c>
      <c r="B446" t="s">
        <v>55</v>
      </c>
      <c r="C446" t="s">
        <v>24</v>
      </c>
      <c r="D446" t="s">
        <v>25</v>
      </c>
      <c r="E446">
        <v>24</v>
      </c>
      <c r="F446" t="s">
        <v>74</v>
      </c>
      <c r="G446" t="s">
        <v>88</v>
      </c>
      <c r="H446" t="s">
        <v>931</v>
      </c>
      <c r="I446">
        <v>2</v>
      </c>
      <c r="J446">
        <v>3</v>
      </c>
      <c r="K446">
        <v>361807</v>
      </c>
      <c r="L446">
        <v>2.8</v>
      </c>
      <c r="M446" t="s">
        <v>21</v>
      </c>
      <c r="N446">
        <v>61</v>
      </c>
    </row>
    <row r="447" spans="1:14" x14ac:dyDescent="0.35">
      <c r="A447" t="s">
        <v>932</v>
      </c>
      <c r="B447" t="s">
        <v>78</v>
      </c>
      <c r="C447" t="s">
        <v>36</v>
      </c>
      <c r="D447" t="s">
        <v>17</v>
      </c>
      <c r="E447">
        <v>24</v>
      </c>
      <c r="F447" t="s">
        <v>18</v>
      </c>
      <c r="G447" t="s">
        <v>57</v>
      </c>
      <c r="H447" t="s">
        <v>389</v>
      </c>
      <c r="I447">
        <v>0</v>
      </c>
      <c r="J447">
        <v>2</v>
      </c>
      <c r="K447">
        <v>421290</v>
      </c>
      <c r="L447">
        <v>3.2</v>
      </c>
      <c r="M447" t="s">
        <v>43</v>
      </c>
      <c r="N447">
        <v>96</v>
      </c>
    </row>
    <row r="448" spans="1:14" x14ac:dyDescent="0.35">
      <c r="A448" t="s">
        <v>933</v>
      </c>
      <c r="B448" t="s">
        <v>78</v>
      </c>
      <c r="C448" t="s">
        <v>52</v>
      </c>
      <c r="D448" t="s">
        <v>25</v>
      </c>
      <c r="E448">
        <v>55</v>
      </c>
      <c r="F448" t="s">
        <v>18</v>
      </c>
      <c r="G448" t="s">
        <v>61</v>
      </c>
      <c r="H448" t="s">
        <v>934</v>
      </c>
      <c r="I448">
        <v>19</v>
      </c>
      <c r="J448">
        <v>19</v>
      </c>
      <c r="K448">
        <v>317561</v>
      </c>
      <c r="L448">
        <v>5</v>
      </c>
      <c r="M448" t="s">
        <v>21</v>
      </c>
      <c r="N448">
        <v>60</v>
      </c>
    </row>
    <row r="449" spans="1:14" x14ac:dyDescent="0.35">
      <c r="A449" t="s">
        <v>935</v>
      </c>
      <c r="B449" t="s">
        <v>35</v>
      </c>
      <c r="C449" t="s">
        <v>64</v>
      </c>
      <c r="D449" t="s">
        <v>17</v>
      </c>
      <c r="E449">
        <v>41</v>
      </c>
      <c r="F449" t="s">
        <v>46</v>
      </c>
      <c r="G449" t="s">
        <v>71</v>
      </c>
      <c r="H449" t="s">
        <v>936</v>
      </c>
      <c r="I449">
        <v>6</v>
      </c>
      <c r="J449">
        <v>15</v>
      </c>
      <c r="K449">
        <v>439492</v>
      </c>
      <c r="L449">
        <v>3.9</v>
      </c>
      <c r="M449" t="s">
        <v>43</v>
      </c>
      <c r="N449">
        <v>89</v>
      </c>
    </row>
    <row r="450" spans="1:14" x14ac:dyDescent="0.35">
      <c r="A450" t="s">
        <v>937</v>
      </c>
      <c r="B450" t="s">
        <v>96</v>
      </c>
      <c r="C450" t="s">
        <v>16</v>
      </c>
      <c r="D450" t="s">
        <v>17</v>
      </c>
      <c r="E450">
        <v>21</v>
      </c>
      <c r="F450" t="s">
        <v>37</v>
      </c>
      <c r="G450" t="s">
        <v>85</v>
      </c>
      <c r="H450" t="s">
        <v>938</v>
      </c>
      <c r="I450">
        <v>20</v>
      </c>
      <c r="J450">
        <v>20</v>
      </c>
      <c r="K450">
        <v>75497</v>
      </c>
      <c r="L450">
        <v>2.6</v>
      </c>
      <c r="M450" t="s">
        <v>43</v>
      </c>
      <c r="N450">
        <v>83</v>
      </c>
    </row>
    <row r="451" spans="1:14" x14ac:dyDescent="0.35">
      <c r="A451" t="s">
        <v>939</v>
      </c>
      <c r="B451" t="s">
        <v>45</v>
      </c>
      <c r="C451" t="s">
        <v>93</v>
      </c>
      <c r="D451" t="s">
        <v>17</v>
      </c>
      <c r="E451">
        <v>47</v>
      </c>
      <c r="F451" t="s">
        <v>79</v>
      </c>
      <c r="G451" t="s">
        <v>19</v>
      </c>
      <c r="H451" t="s">
        <v>940</v>
      </c>
      <c r="I451">
        <v>10</v>
      </c>
      <c r="J451">
        <v>11</v>
      </c>
      <c r="K451">
        <v>169753</v>
      </c>
      <c r="L451">
        <v>3.1</v>
      </c>
      <c r="M451" t="s">
        <v>43</v>
      </c>
      <c r="N451">
        <v>90</v>
      </c>
    </row>
    <row r="452" spans="1:14" x14ac:dyDescent="0.35">
      <c r="A452" t="s">
        <v>941</v>
      </c>
      <c r="B452" t="s">
        <v>35</v>
      </c>
      <c r="C452" t="s">
        <v>16</v>
      </c>
      <c r="D452" t="s">
        <v>17</v>
      </c>
      <c r="E452">
        <v>24</v>
      </c>
      <c r="F452" t="s">
        <v>74</v>
      </c>
      <c r="G452" t="s">
        <v>75</v>
      </c>
      <c r="H452" t="s">
        <v>942</v>
      </c>
      <c r="I452">
        <v>16</v>
      </c>
      <c r="J452">
        <v>25</v>
      </c>
      <c r="K452">
        <v>140114</v>
      </c>
      <c r="L452">
        <v>5</v>
      </c>
      <c r="M452" t="s">
        <v>21</v>
      </c>
      <c r="N452">
        <v>43</v>
      </c>
    </row>
    <row r="453" spans="1:14" x14ac:dyDescent="0.35">
      <c r="A453" t="s">
        <v>943</v>
      </c>
      <c r="B453" t="s">
        <v>15</v>
      </c>
      <c r="C453" t="s">
        <v>52</v>
      </c>
      <c r="D453" t="s">
        <v>25</v>
      </c>
      <c r="E453">
        <v>49</v>
      </c>
      <c r="F453" t="s">
        <v>18</v>
      </c>
      <c r="G453" t="s">
        <v>57</v>
      </c>
      <c r="H453" t="s">
        <v>944</v>
      </c>
      <c r="I453">
        <v>11</v>
      </c>
      <c r="J453">
        <v>17</v>
      </c>
      <c r="K453">
        <v>219556</v>
      </c>
      <c r="L453">
        <v>2.9</v>
      </c>
      <c r="M453" t="s">
        <v>43</v>
      </c>
      <c r="N453">
        <v>77</v>
      </c>
    </row>
    <row r="454" spans="1:14" x14ac:dyDescent="0.35">
      <c r="A454" t="s">
        <v>945</v>
      </c>
      <c r="B454" t="s">
        <v>96</v>
      </c>
      <c r="C454" t="s">
        <v>82</v>
      </c>
      <c r="D454" t="s">
        <v>25</v>
      </c>
      <c r="E454">
        <v>57</v>
      </c>
      <c r="F454" t="s">
        <v>70</v>
      </c>
      <c r="G454" t="s">
        <v>88</v>
      </c>
      <c r="H454" t="s">
        <v>946</v>
      </c>
      <c r="I454">
        <v>2</v>
      </c>
      <c r="J454">
        <v>3</v>
      </c>
      <c r="K454">
        <v>490962</v>
      </c>
      <c r="L454">
        <v>4.3</v>
      </c>
      <c r="M454" t="s">
        <v>43</v>
      </c>
      <c r="N454">
        <v>83</v>
      </c>
    </row>
    <row r="455" spans="1:14" x14ac:dyDescent="0.35">
      <c r="A455" t="s">
        <v>947</v>
      </c>
      <c r="B455" t="s">
        <v>23</v>
      </c>
      <c r="C455" t="s">
        <v>52</v>
      </c>
      <c r="D455" t="s">
        <v>25</v>
      </c>
      <c r="E455">
        <v>29</v>
      </c>
      <c r="F455" t="s">
        <v>37</v>
      </c>
      <c r="G455" t="s">
        <v>85</v>
      </c>
      <c r="H455" t="s">
        <v>948</v>
      </c>
      <c r="I455">
        <v>15</v>
      </c>
      <c r="J455">
        <v>17</v>
      </c>
      <c r="K455">
        <v>188706</v>
      </c>
      <c r="L455">
        <v>2</v>
      </c>
      <c r="M455" t="s">
        <v>21</v>
      </c>
      <c r="N455">
        <v>51</v>
      </c>
    </row>
    <row r="456" spans="1:14" x14ac:dyDescent="0.35">
      <c r="A456" t="s">
        <v>949</v>
      </c>
      <c r="B456" t="s">
        <v>60</v>
      </c>
      <c r="C456" t="s">
        <v>49</v>
      </c>
      <c r="D456" t="s">
        <v>25</v>
      </c>
      <c r="E456">
        <v>51</v>
      </c>
      <c r="F456" t="s">
        <v>46</v>
      </c>
      <c r="G456" t="s">
        <v>26</v>
      </c>
      <c r="H456" t="s">
        <v>950</v>
      </c>
      <c r="I456">
        <v>8</v>
      </c>
      <c r="J456">
        <v>15</v>
      </c>
      <c r="K456">
        <v>218354</v>
      </c>
      <c r="L456">
        <v>2</v>
      </c>
      <c r="M456" t="s">
        <v>43</v>
      </c>
      <c r="N456">
        <v>81</v>
      </c>
    </row>
    <row r="457" spans="1:14" x14ac:dyDescent="0.35">
      <c r="A457" t="s">
        <v>951</v>
      </c>
      <c r="B457" t="s">
        <v>23</v>
      </c>
      <c r="C457" t="s">
        <v>36</v>
      </c>
      <c r="D457" t="s">
        <v>17</v>
      </c>
      <c r="E457">
        <v>33</v>
      </c>
      <c r="F457" t="s">
        <v>74</v>
      </c>
      <c r="G457" t="s">
        <v>71</v>
      </c>
      <c r="H457" t="s">
        <v>952</v>
      </c>
      <c r="I457">
        <v>0</v>
      </c>
      <c r="J457">
        <v>2</v>
      </c>
      <c r="K457">
        <v>143020</v>
      </c>
      <c r="L457">
        <v>4.0999999999999996</v>
      </c>
      <c r="M457" t="s">
        <v>43</v>
      </c>
      <c r="N457">
        <v>88</v>
      </c>
    </row>
    <row r="458" spans="1:14" x14ac:dyDescent="0.35">
      <c r="A458" t="s">
        <v>953</v>
      </c>
      <c r="B458" t="s">
        <v>35</v>
      </c>
      <c r="C458" t="s">
        <v>52</v>
      </c>
      <c r="D458" t="s">
        <v>25</v>
      </c>
      <c r="E458">
        <v>36</v>
      </c>
      <c r="F458" t="s">
        <v>70</v>
      </c>
      <c r="G458" t="s">
        <v>75</v>
      </c>
      <c r="H458" t="s">
        <v>954</v>
      </c>
      <c r="I458">
        <v>13</v>
      </c>
      <c r="J458">
        <v>17</v>
      </c>
      <c r="K458">
        <v>326732</v>
      </c>
      <c r="L458">
        <v>2.1</v>
      </c>
      <c r="M458" t="s">
        <v>21</v>
      </c>
      <c r="N458">
        <v>66</v>
      </c>
    </row>
    <row r="459" spans="1:14" x14ac:dyDescent="0.35">
      <c r="A459" t="s">
        <v>955</v>
      </c>
      <c r="B459" t="s">
        <v>55</v>
      </c>
      <c r="C459" t="s">
        <v>24</v>
      </c>
      <c r="D459" t="s">
        <v>17</v>
      </c>
      <c r="E459">
        <v>34</v>
      </c>
      <c r="F459" t="s">
        <v>46</v>
      </c>
      <c r="G459" t="s">
        <v>41</v>
      </c>
      <c r="H459" t="s">
        <v>956</v>
      </c>
      <c r="I459">
        <v>11</v>
      </c>
      <c r="J459">
        <v>16</v>
      </c>
      <c r="K459">
        <v>107237</v>
      </c>
      <c r="L459">
        <v>2.9</v>
      </c>
      <c r="M459" t="s">
        <v>21</v>
      </c>
      <c r="N459">
        <v>40</v>
      </c>
    </row>
    <row r="460" spans="1:14" x14ac:dyDescent="0.35">
      <c r="A460" t="s">
        <v>957</v>
      </c>
      <c r="B460" t="s">
        <v>69</v>
      </c>
      <c r="C460" t="s">
        <v>49</v>
      </c>
      <c r="D460" t="s">
        <v>25</v>
      </c>
      <c r="E460">
        <v>54</v>
      </c>
      <c r="F460" t="s">
        <v>37</v>
      </c>
      <c r="G460" t="s">
        <v>57</v>
      </c>
      <c r="H460" t="s">
        <v>958</v>
      </c>
      <c r="I460">
        <v>11</v>
      </c>
      <c r="J460">
        <v>20</v>
      </c>
      <c r="K460">
        <v>117011</v>
      </c>
      <c r="L460">
        <v>2.2999999999999998</v>
      </c>
      <c r="M460" t="s">
        <v>43</v>
      </c>
      <c r="N460">
        <v>89</v>
      </c>
    </row>
    <row r="461" spans="1:14" x14ac:dyDescent="0.35">
      <c r="A461" t="s">
        <v>959</v>
      </c>
      <c r="B461" t="s">
        <v>111</v>
      </c>
      <c r="C461" t="s">
        <v>93</v>
      </c>
      <c r="D461" t="s">
        <v>17</v>
      </c>
      <c r="E461">
        <v>25</v>
      </c>
      <c r="F461" t="s">
        <v>79</v>
      </c>
      <c r="G461" t="s">
        <v>19</v>
      </c>
      <c r="H461" t="s">
        <v>960</v>
      </c>
      <c r="I461">
        <v>20</v>
      </c>
      <c r="J461">
        <v>21</v>
      </c>
      <c r="K461">
        <v>458521</v>
      </c>
      <c r="L461">
        <v>2</v>
      </c>
      <c r="M461" t="s">
        <v>43</v>
      </c>
      <c r="N461">
        <v>74</v>
      </c>
    </row>
    <row r="462" spans="1:14" x14ac:dyDescent="0.35">
      <c r="A462" t="s">
        <v>961</v>
      </c>
      <c r="B462" t="s">
        <v>55</v>
      </c>
      <c r="C462" t="s">
        <v>36</v>
      </c>
      <c r="D462" t="s">
        <v>25</v>
      </c>
      <c r="E462">
        <v>24</v>
      </c>
      <c r="F462" t="s">
        <v>74</v>
      </c>
      <c r="G462" t="s">
        <v>75</v>
      </c>
      <c r="H462" t="s">
        <v>554</v>
      </c>
      <c r="I462">
        <v>17</v>
      </c>
      <c r="J462">
        <v>26</v>
      </c>
      <c r="K462">
        <v>92068</v>
      </c>
      <c r="L462">
        <v>2.5</v>
      </c>
      <c r="M462" t="s">
        <v>43</v>
      </c>
      <c r="N462">
        <v>76</v>
      </c>
    </row>
    <row r="463" spans="1:14" x14ac:dyDescent="0.35">
      <c r="A463" t="s">
        <v>962</v>
      </c>
      <c r="B463" t="s">
        <v>45</v>
      </c>
      <c r="C463" t="s">
        <v>49</v>
      </c>
      <c r="D463" t="s">
        <v>17</v>
      </c>
      <c r="E463">
        <v>52</v>
      </c>
      <c r="F463" t="s">
        <v>31</v>
      </c>
      <c r="G463" t="s">
        <v>71</v>
      </c>
      <c r="H463" t="s">
        <v>963</v>
      </c>
      <c r="I463">
        <v>18</v>
      </c>
      <c r="J463">
        <v>27</v>
      </c>
      <c r="K463">
        <v>471361</v>
      </c>
      <c r="L463">
        <v>4.4000000000000004</v>
      </c>
      <c r="M463" t="s">
        <v>43</v>
      </c>
      <c r="N463">
        <v>79</v>
      </c>
    </row>
    <row r="464" spans="1:14" x14ac:dyDescent="0.35">
      <c r="A464" t="s">
        <v>964</v>
      </c>
      <c r="B464" t="s">
        <v>45</v>
      </c>
      <c r="C464" t="s">
        <v>93</v>
      </c>
      <c r="D464" t="s">
        <v>17</v>
      </c>
      <c r="E464">
        <v>48</v>
      </c>
      <c r="F464" t="s">
        <v>31</v>
      </c>
      <c r="G464" t="s">
        <v>75</v>
      </c>
      <c r="H464" t="s">
        <v>965</v>
      </c>
      <c r="I464">
        <v>19</v>
      </c>
      <c r="J464">
        <v>29</v>
      </c>
      <c r="K464">
        <v>399396</v>
      </c>
      <c r="L464">
        <v>2.5</v>
      </c>
      <c r="M464" t="s">
        <v>21</v>
      </c>
      <c r="N464">
        <v>36</v>
      </c>
    </row>
    <row r="465" spans="1:14" x14ac:dyDescent="0.35">
      <c r="A465" t="s">
        <v>966</v>
      </c>
      <c r="B465" t="s">
        <v>69</v>
      </c>
      <c r="C465" t="s">
        <v>56</v>
      </c>
      <c r="D465" t="s">
        <v>25</v>
      </c>
      <c r="E465">
        <v>51</v>
      </c>
      <c r="F465" t="s">
        <v>79</v>
      </c>
      <c r="G465" t="s">
        <v>32</v>
      </c>
      <c r="H465" t="s">
        <v>967</v>
      </c>
      <c r="I465">
        <v>7</v>
      </c>
      <c r="J465">
        <v>8</v>
      </c>
      <c r="K465">
        <v>236287</v>
      </c>
      <c r="L465">
        <v>2.8</v>
      </c>
      <c r="M465" t="s">
        <v>21</v>
      </c>
      <c r="N465">
        <v>66</v>
      </c>
    </row>
    <row r="466" spans="1:14" x14ac:dyDescent="0.35">
      <c r="A466" t="s">
        <v>968</v>
      </c>
      <c r="B466" t="s">
        <v>55</v>
      </c>
      <c r="C466" t="s">
        <v>30</v>
      </c>
      <c r="D466" t="s">
        <v>25</v>
      </c>
      <c r="E466">
        <v>48</v>
      </c>
      <c r="F466" t="s">
        <v>70</v>
      </c>
      <c r="G466" t="s">
        <v>57</v>
      </c>
      <c r="H466" t="s">
        <v>383</v>
      </c>
      <c r="I466">
        <v>12</v>
      </c>
      <c r="J466">
        <v>14</v>
      </c>
      <c r="K466">
        <v>497709</v>
      </c>
      <c r="L466">
        <v>5</v>
      </c>
      <c r="M466" t="s">
        <v>21</v>
      </c>
      <c r="N466">
        <v>62</v>
      </c>
    </row>
    <row r="467" spans="1:14" x14ac:dyDescent="0.35">
      <c r="A467" t="s">
        <v>969</v>
      </c>
      <c r="B467" t="s">
        <v>69</v>
      </c>
      <c r="C467" t="s">
        <v>24</v>
      </c>
      <c r="D467" t="s">
        <v>17</v>
      </c>
      <c r="E467">
        <v>43</v>
      </c>
      <c r="F467" t="s">
        <v>70</v>
      </c>
      <c r="G467" t="s">
        <v>88</v>
      </c>
      <c r="H467" t="s">
        <v>970</v>
      </c>
      <c r="I467">
        <v>20</v>
      </c>
      <c r="J467">
        <v>20</v>
      </c>
      <c r="K467">
        <v>50457</v>
      </c>
      <c r="L467">
        <v>2.7</v>
      </c>
      <c r="M467" t="s">
        <v>21</v>
      </c>
      <c r="N467">
        <v>70</v>
      </c>
    </row>
    <row r="468" spans="1:14" x14ac:dyDescent="0.35">
      <c r="A468" t="s">
        <v>971</v>
      </c>
      <c r="B468" t="s">
        <v>96</v>
      </c>
      <c r="C468" t="s">
        <v>52</v>
      </c>
      <c r="D468" t="s">
        <v>17</v>
      </c>
      <c r="E468">
        <v>45</v>
      </c>
      <c r="F468" t="s">
        <v>74</v>
      </c>
      <c r="G468" t="s">
        <v>26</v>
      </c>
      <c r="H468" t="s">
        <v>972</v>
      </c>
      <c r="I468">
        <v>6</v>
      </c>
      <c r="J468">
        <v>11</v>
      </c>
      <c r="K468">
        <v>99937</v>
      </c>
      <c r="L468">
        <v>4.8</v>
      </c>
      <c r="M468" t="s">
        <v>21</v>
      </c>
      <c r="N468">
        <v>58</v>
      </c>
    </row>
    <row r="469" spans="1:14" x14ac:dyDescent="0.35">
      <c r="A469" t="s">
        <v>973</v>
      </c>
      <c r="B469" t="s">
        <v>35</v>
      </c>
      <c r="C469" t="s">
        <v>49</v>
      </c>
      <c r="D469" t="s">
        <v>17</v>
      </c>
      <c r="E469">
        <v>51</v>
      </c>
      <c r="F469" t="s">
        <v>46</v>
      </c>
      <c r="G469" t="s">
        <v>75</v>
      </c>
      <c r="H469" t="s">
        <v>974</v>
      </c>
      <c r="I469">
        <v>12</v>
      </c>
      <c r="J469">
        <v>15</v>
      </c>
      <c r="K469">
        <v>355755</v>
      </c>
      <c r="L469">
        <v>3.5</v>
      </c>
      <c r="M469" t="s">
        <v>43</v>
      </c>
      <c r="N469">
        <v>94</v>
      </c>
    </row>
    <row r="470" spans="1:14" x14ac:dyDescent="0.35">
      <c r="A470" t="s">
        <v>975</v>
      </c>
      <c r="B470" t="s">
        <v>45</v>
      </c>
      <c r="C470" t="s">
        <v>56</v>
      </c>
      <c r="D470" t="s">
        <v>17</v>
      </c>
      <c r="E470">
        <v>23</v>
      </c>
      <c r="F470" t="s">
        <v>37</v>
      </c>
      <c r="G470" t="s">
        <v>85</v>
      </c>
      <c r="H470" t="s">
        <v>976</v>
      </c>
      <c r="I470">
        <v>11</v>
      </c>
      <c r="J470">
        <v>18</v>
      </c>
      <c r="K470">
        <v>96417</v>
      </c>
      <c r="L470">
        <v>3.3</v>
      </c>
      <c r="M470" t="s">
        <v>21</v>
      </c>
      <c r="N470">
        <v>63</v>
      </c>
    </row>
    <row r="471" spans="1:14" x14ac:dyDescent="0.35">
      <c r="A471" t="s">
        <v>977</v>
      </c>
      <c r="B471" t="s">
        <v>45</v>
      </c>
      <c r="C471" t="s">
        <v>16</v>
      </c>
      <c r="D471" t="s">
        <v>17</v>
      </c>
      <c r="E471">
        <v>49</v>
      </c>
      <c r="F471" t="s">
        <v>79</v>
      </c>
      <c r="G471" t="s">
        <v>88</v>
      </c>
      <c r="H471" t="s">
        <v>978</v>
      </c>
      <c r="I471">
        <v>2</v>
      </c>
      <c r="J471">
        <v>5</v>
      </c>
      <c r="K471">
        <v>199454</v>
      </c>
      <c r="L471">
        <v>3.7</v>
      </c>
      <c r="M471" t="s">
        <v>21</v>
      </c>
      <c r="N471">
        <v>57</v>
      </c>
    </row>
    <row r="472" spans="1:14" x14ac:dyDescent="0.35">
      <c r="A472" t="s">
        <v>979</v>
      </c>
      <c r="B472" t="s">
        <v>40</v>
      </c>
      <c r="C472" t="s">
        <v>30</v>
      </c>
      <c r="D472" t="s">
        <v>25</v>
      </c>
      <c r="E472">
        <v>55</v>
      </c>
      <c r="F472" t="s">
        <v>79</v>
      </c>
      <c r="G472" t="s">
        <v>71</v>
      </c>
      <c r="H472" t="s">
        <v>980</v>
      </c>
      <c r="I472">
        <v>8</v>
      </c>
      <c r="J472">
        <v>11</v>
      </c>
      <c r="K472">
        <v>83072</v>
      </c>
      <c r="L472">
        <v>3.8</v>
      </c>
      <c r="M472" t="s">
        <v>43</v>
      </c>
      <c r="N472">
        <v>81</v>
      </c>
    </row>
    <row r="473" spans="1:14" x14ac:dyDescent="0.35">
      <c r="A473" t="s">
        <v>981</v>
      </c>
      <c r="B473" t="s">
        <v>45</v>
      </c>
      <c r="C473" t="s">
        <v>64</v>
      </c>
      <c r="D473" t="s">
        <v>17</v>
      </c>
      <c r="E473">
        <v>29</v>
      </c>
      <c r="F473" t="s">
        <v>37</v>
      </c>
      <c r="G473" t="s">
        <v>26</v>
      </c>
      <c r="H473" t="s">
        <v>982</v>
      </c>
      <c r="I473">
        <v>8</v>
      </c>
      <c r="J473">
        <v>16</v>
      </c>
      <c r="K473">
        <v>73430</v>
      </c>
      <c r="L473">
        <v>2.8</v>
      </c>
      <c r="M473" t="s">
        <v>43</v>
      </c>
      <c r="N473">
        <v>74</v>
      </c>
    </row>
    <row r="474" spans="1:14" x14ac:dyDescent="0.35">
      <c r="A474" t="s">
        <v>983</v>
      </c>
      <c r="B474" t="s">
        <v>15</v>
      </c>
      <c r="C474" t="s">
        <v>93</v>
      </c>
      <c r="D474" t="s">
        <v>25</v>
      </c>
      <c r="E474">
        <v>29</v>
      </c>
      <c r="F474" t="s">
        <v>37</v>
      </c>
      <c r="G474" t="s">
        <v>61</v>
      </c>
      <c r="H474" t="s">
        <v>984</v>
      </c>
      <c r="I474">
        <v>3</v>
      </c>
      <c r="J474">
        <v>10</v>
      </c>
      <c r="K474">
        <v>73037</v>
      </c>
      <c r="L474">
        <v>2.2000000000000002</v>
      </c>
      <c r="M474" t="s">
        <v>21</v>
      </c>
      <c r="N474">
        <v>33</v>
      </c>
    </row>
    <row r="475" spans="1:14" x14ac:dyDescent="0.35">
      <c r="A475" t="s">
        <v>985</v>
      </c>
      <c r="B475" t="s">
        <v>55</v>
      </c>
      <c r="C475" t="s">
        <v>36</v>
      </c>
      <c r="D475" t="s">
        <v>17</v>
      </c>
      <c r="E475">
        <v>50</v>
      </c>
      <c r="F475" t="s">
        <v>37</v>
      </c>
      <c r="G475" t="s">
        <v>85</v>
      </c>
      <c r="H475" t="s">
        <v>246</v>
      </c>
      <c r="I475">
        <v>6</v>
      </c>
      <c r="J475">
        <v>16</v>
      </c>
      <c r="K475">
        <v>207169</v>
      </c>
      <c r="L475">
        <v>4.5</v>
      </c>
      <c r="M475" t="s">
        <v>21</v>
      </c>
      <c r="N475">
        <v>46</v>
      </c>
    </row>
    <row r="476" spans="1:14" x14ac:dyDescent="0.35">
      <c r="A476" t="s">
        <v>986</v>
      </c>
      <c r="B476" t="s">
        <v>78</v>
      </c>
      <c r="C476" t="s">
        <v>49</v>
      </c>
      <c r="D476" t="s">
        <v>25</v>
      </c>
      <c r="E476">
        <v>37</v>
      </c>
      <c r="F476" t="s">
        <v>70</v>
      </c>
      <c r="G476" t="s">
        <v>57</v>
      </c>
      <c r="H476" t="s">
        <v>987</v>
      </c>
      <c r="I476">
        <v>8</v>
      </c>
      <c r="J476">
        <v>16</v>
      </c>
      <c r="K476">
        <v>193341</v>
      </c>
      <c r="L476">
        <v>2.7</v>
      </c>
      <c r="M476" t="s">
        <v>21</v>
      </c>
      <c r="N476">
        <v>55</v>
      </c>
    </row>
    <row r="477" spans="1:14" x14ac:dyDescent="0.35">
      <c r="A477" t="s">
        <v>988</v>
      </c>
      <c r="B477" t="s">
        <v>45</v>
      </c>
      <c r="C477" t="s">
        <v>16</v>
      </c>
      <c r="D477" t="s">
        <v>17</v>
      </c>
      <c r="E477">
        <v>38</v>
      </c>
      <c r="F477" t="s">
        <v>37</v>
      </c>
      <c r="G477" t="s">
        <v>32</v>
      </c>
      <c r="H477" t="s">
        <v>989</v>
      </c>
      <c r="I477">
        <v>12</v>
      </c>
      <c r="J477">
        <v>13</v>
      </c>
      <c r="K477">
        <v>153939</v>
      </c>
      <c r="L477">
        <v>2</v>
      </c>
      <c r="M477" t="s">
        <v>21</v>
      </c>
      <c r="N477">
        <v>40</v>
      </c>
    </row>
    <row r="478" spans="1:14" x14ac:dyDescent="0.35">
      <c r="A478" t="s">
        <v>990</v>
      </c>
      <c r="B478" t="s">
        <v>96</v>
      </c>
      <c r="C478" t="s">
        <v>30</v>
      </c>
      <c r="D478" t="s">
        <v>17</v>
      </c>
      <c r="E478">
        <v>40</v>
      </c>
      <c r="F478" t="s">
        <v>46</v>
      </c>
      <c r="G478" t="s">
        <v>75</v>
      </c>
      <c r="H478" t="s">
        <v>991</v>
      </c>
      <c r="I478">
        <v>5</v>
      </c>
      <c r="J478">
        <v>5</v>
      </c>
      <c r="K478">
        <v>312549</v>
      </c>
      <c r="L478">
        <v>3.7</v>
      </c>
      <c r="M478" t="s">
        <v>21</v>
      </c>
      <c r="N478">
        <v>33</v>
      </c>
    </row>
    <row r="479" spans="1:14" x14ac:dyDescent="0.35">
      <c r="A479" t="s">
        <v>992</v>
      </c>
      <c r="B479" t="s">
        <v>69</v>
      </c>
      <c r="C479" t="s">
        <v>49</v>
      </c>
      <c r="D479" t="s">
        <v>17</v>
      </c>
      <c r="E479">
        <v>34</v>
      </c>
      <c r="F479" t="s">
        <v>74</v>
      </c>
      <c r="G479" t="s">
        <v>75</v>
      </c>
      <c r="H479" t="s">
        <v>993</v>
      </c>
      <c r="I479">
        <v>2</v>
      </c>
      <c r="J479">
        <v>3</v>
      </c>
      <c r="K479">
        <v>80086</v>
      </c>
      <c r="L479">
        <v>4.0999999999999996</v>
      </c>
      <c r="M479" t="s">
        <v>43</v>
      </c>
      <c r="N479">
        <v>76</v>
      </c>
    </row>
    <row r="480" spans="1:14" x14ac:dyDescent="0.35">
      <c r="A480" t="s">
        <v>994</v>
      </c>
      <c r="B480" t="s">
        <v>55</v>
      </c>
      <c r="C480" t="s">
        <v>82</v>
      </c>
      <c r="D480" t="s">
        <v>17</v>
      </c>
      <c r="E480">
        <v>30</v>
      </c>
      <c r="F480" t="s">
        <v>79</v>
      </c>
      <c r="G480" t="s">
        <v>75</v>
      </c>
      <c r="H480" t="s">
        <v>995</v>
      </c>
      <c r="I480">
        <v>12</v>
      </c>
      <c r="J480">
        <v>18</v>
      </c>
      <c r="K480">
        <v>235991</v>
      </c>
      <c r="L480">
        <v>5</v>
      </c>
      <c r="M480" t="s">
        <v>43</v>
      </c>
      <c r="N480">
        <v>91</v>
      </c>
    </row>
    <row r="481" spans="1:14" x14ac:dyDescent="0.35">
      <c r="A481" t="s">
        <v>996</v>
      </c>
      <c r="B481" t="s">
        <v>23</v>
      </c>
      <c r="C481" t="s">
        <v>52</v>
      </c>
      <c r="D481" t="s">
        <v>25</v>
      </c>
      <c r="E481">
        <v>57</v>
      </c>
      <c r="F481" t="s">
        <v>31</v>
      </c>
      <c r="G481" t="s">
        <v>41</v>
      </c>
      <c r="H481" t="s">
        <v>997</v>
      </c>
      <c r="I481">
        <v>20</v>
      </c>
      <c r="J481">
        <v>29</v>
      </c>
      <c r="K481">
        <v>133512</v>
      </c>
      <c r="L481">
        <v>2.5</v>
      </c>
      <c r="M481" t="s">
        <v>21</v>
      </c>
      <c r="N481">
        <v>52</v>
      </c>
    </row>
    <row r="482" spans="1:14" x14ac:dyDescent="0.35">
      <c r="A482" t="s">
        <v>998</v>
      </c>
      <c r="B482" t="s">
        <v>111</v>
      </c>
      <c r="C482" t="s">
        <v>49</v>
      </c>
      <c r="D482" t="s">
        <v>25</v>
      </c>
      <c r="E482">
        <v>35</v>
      </c>
      <c r="F482" t="s">
        <v>31</v>
      </c>
      <c r="G482" t="s">
        <v>75</v>
      </c>
      <c r="H482" t="s">
        <v>999</v>
      </c>
      <c r="I482">
        <v>4</v>
      </c>
      <c r="J482">
        <v>8</v>
      </c>
      <c r="K482">
        <v>160698</v>
      </c>
      <c r="L482">
        <v>3.4</v>
      </c>
      <c r="M482" t="s">
        <v>21</v>
      </c>
      <c r="N482">
        <v>60</v>
      </c>
    </row>
    <row r="483" spans="1:14" x14ac:dyDescent="0.35">
      <c r="A483" t="s">
        <v>1000</v>
      </c>
      <c r="B483" t="s">
        <v>78</v>
      </c>
      <c r="C483" t="s">
        <v>49</v>
      </c>
      <c r="D483" t="s">
        <v>25</v>
      </c>
      <c r="E483">
        <v>46</v>
      </c>
      <c r="F483" t="s">
        <v>31</v>
      </c>
      <c r="G483" t="s">
        <v>75</v>
      </c>
      <c r="H483" t="s">
        <v>1001</v>
      </c>
      <c r="I483">
        <v>12</v>
      </c>
      <c r="J483">
        <v>13</v>
      </c>
      <c r="K483">
        <v>257346</v>
      </c>
      <c r="L483">
        <v>2.2000000000000002</v>
      </c>
      <c r="M483" t="s">
        <v>43</v>
      </c>
      <c r="N483">
        <v>97</v>
      </c>
    </row>
    <row r="484" spans="1:14" x14ac:dyDescent="0.35">
      <c r="A484" t="s">
        <v>1002</v>
      </c>
      <c r="B484" t="s">
        <v>111</v>
      </c>
      <c r="C484" t="s">
        <v>36</v>
      </c>
      <c r="D484" t="s">
        <v>25</v>
      </c>
      <c r="E484">
        <v>49</v>
      </c>
      <c r="F484" t="s">
        <v>31</v>
      </c>
      <c r="G484" t="s">
        <v>88</v>
      </c>
      <c r="H484" t="s">
        <v>1003</v>
      </c>
      <c r="I484">
        <v>17</v>
      </c>
      <c r="J484">
        <v>21</v>
      </c>
      <c r="K484">
        <v>168809</v>
      </c>
      <c r="L484">
        <v>2.2999999999999998</v>
      </c>
      <c r="M484" t="s">
        <v>21</v>
      </c>
      <c r="N484">
        <v>32</v>
      </c>
    </row>
    <row r="485" spans="1:14" x14ac:dyDescent="0.35">
      <c r="A485" t="s">
        <v>1004</v>
      </c>
      <c r="B485" t="s">
        <v>96</v>
      </c>
      <c r="C485" t="s">
        <v>56</v>
      </c>
      <c r="D485" t="s">
        <v>25</v>
      </c>
      <c r="E485">
        <v>48</v>
      </c>
      <c r="F485" t="s">
        <v>74</v>
      </c>
      <c r="G485" t="s">
        <v>57</v>
      </c>
      <c r="H485" t="s">
        <v>1005</v>
      </c>
      <c r="I485">
        <v>9</v>
      </c>
      <c r="J485">
        <v>10</v>
      </c>
      <c r="K485">
        <v>192410</v>
      </c>
      <c r="L485">
        <v>4.4000000000000004</v>
      </c>
      <c r="M485" t="s">
        <v>21</v>
      </c>
      <c r="N485">
        <v>43</v>
      </c>
    </row>
    <row r="486" spans="1:14" x14ac:dyDescent="0.35">
      <c r="A486" t="s">
        <v>1006</v>
      </c>
      <c r="B486" t="s">
        <v>69</v>
      </c>
      <c r="C486" t="s">
        <v>82</v>
      </c>
      <c r="D486" t="s">
        <v>25</v>
      </c>
      <c r="E486">
        <v>53</v>
      </c>
      <c r="F486" t="s">
        <v>37</v>
      </c>
      <c r="G486" t="s">
        <v>32</v>
      </c>
      <c r="H486" t="s">
        <v>1007</v>
      </c>
      <c r="I486">
        <v>7</v>
      </c>
      <c r="J486">
        <v>14</v>
      </c>
      <c r="K486">
        <v>56588</v>
      </c>
      <c r="L486">
        <v>2.1</v>
      </c>
      <c r="M486" t="s">
        <v>43</v>
      </c>
      <c r="N486">
        <v>77</v>
      </c>
    </row>
    <row r="487" spans="1:14" x14ac:dyDescent="0.35">
      <c r="A487" t="s">
        <v>1008</v>
      </c>
      <c r="B487" t="s">
        <v>96</v>
      </c>
      <c r="C487" t="s">
        <v>82</v>
      </c>
      <c r="D487" t="s">
        <v>17</v>
      </c>
      <c r="E487">
        <v>24</v>
      </c>
      <c r="F487" t="s">
        <v>46</v>
      </c>
      <c r="G487" t="s">
        <v>61</v>
      </c>
      <c r="H487" t="s">
        <v>1009</v>
      </c>
      <c r="I487">
        <v>0</v>
      </c>
      <c r="J487">
        <v>0</v>
      </c>
      <c r="K487">
        <v>213751</v>
      </c>
      <c r="L487">
        <v>2.9</v>
      </c>
      <c r="M487" t="s">
        <v>43</v>
      </c>
      <c r="N487">
        <v>72</v>
      </c>
    </row>
    <row r="488" spans="1:14" x14ac:dyDescent="0.35">
      <c r="A488" t="s">
        <v>1010</v>
      </c>
      <c r="B488" t="s">
        <v>78</v>
      </c>
      <c r="C488" t="s">
        <v>82</v>
      </c>
      <c r="D488" t="s">
        <v>17</v>
      </c>
      <c r="E488">
        <v>24</v>
      </c>
      <c r="F488" t="s">
        <v>74</v>
      </c>
      <c r="G488" t="s">
        <v>88</v>
      </c>
      <c r="H488" t="s">
        <v>1011</v>
      </c>
      <c r="I488">
        <v>5</v>
      </c>
      <c r="J488">
        <v>15</v>
      </c>
      <c r="K488">
        <v>294215</v>
      </c>
      <c r="L488">
        <v>3.6</v>
      </c>
      <c r="M488" t="s">
        <v>21</v>
      </c>
      <c r="N488">
        <v>67</v>
      </c>
    </row>
    <row r="489" spans="1:14" x14ac:dyDescent="0.35">
      <c r="A489" t="s">
        <v>1012</v>
      </c>
      <c r="B489" t="s">
        <v>23</v>
      </c>
      <c r="C489" t="s">
        <v>93</v>
      </c>
      <c r="D489" t="s">
        <v>25</v>
      </c>
      <c r="E489">
        <v>39</v>
      </c>
      <c r="F489" t="s">
        <v>18</v>
      </c>
      <c r="G489" t="s">
        <v>19</v>
      </c>
      <c r="H489" t="s">
        <v>1013</v>
      </c>
      <c r="I489">
        <v>17</v>
      </c>
      <c r="J489">
        <v>18</v>
      </c>
      <c r="K489">
        <v>313062</v>
      </c>
      <c r="L489">
        <v>3.2</v>
      </c>
      <c r="M489" t="s">
        <v>21</v>
      </c>
      <c r="N489">
        <v>39</v>
      </c>
    </row>
    <row r="490" spans="1:14" x14ac:dyDescent="0.35">
      <c r="A490" t="s">
        <v>1014</v>
      </c>
      <c r="B490" t="s">
        <v>40</v>
      </c>
      <c r="C490" t="s">
        <v>56</v>
      </c>
      <c r="D490" t="s">
        <v>25</v>
      </c>
      <c r="E490">
        <v>39</v>
      </c>
      <c r="F490" t="s">
        <v>31</v>
      </c>
      <c r="G490" t="s">
        <v>19</v>
      </c>
      <c r="H490" t="s">
        <v>1015</v>
      </c>
      <c r="I490">
        <v>0</v>
      </c>
      <c r="J490">
        <v>2</v>
      </c>
      <c r="K490">
        <v>485986</v>
      </c>
      <c r="L490">
        <v>2.2000000000000002</v>
      </c>
      <c r="M490" t="s">
        <v>21</v>
      </c>
      <c r="N490">
        <v>34</v>
      </c>
    </row>
    <row r="491" spans="1:14" x14ac:dyDescent="0.35">
      <c r="A491" t="s">
        <v>1016</v>
      </c>
      <c r="B491" t="s">
        <v>40</v>
      </c>
      <c r="C491" t="s">
        <v>93</v>
      </c>
      <c r="D491" t="s">
        <v>17</v>
      </c>
      <c r="E491">
        <v>51</v>
      </c>
      <c r="F491" t="s">
        <v>31</v>
      </c>
      <c r="G491" t="s">
        <v>75</v>
      </c>
      <c r="H491" t="s">
        <v>1017</v>
      </c>
      <c r="I491">
        <v>13</v>
      </c>
      <c r="J491">
        <v>15</v>
      </c>
      <c r="K491">
        <v>326267</v>
      </c>
      <c r="L491">
        <v>2.5</v>
      </c>
      <c r="M491" t="s">
        <v>43</v>
      </c>
      <c r="N491">
        <v>84</v>
      </c>
    </row>
    <row r="492" spans="1:14" x14ac:dyDescent="0.35">
      <c r="A492" t="s">
        <v>1018</v>
      </c>
      <c r="B492" t="s">
        <v>96</v>
      </c>
      <c r="C492" t="s">
        <v>52</v>
      </c>
      <c r="D492" t="s">
        <v>25</v>
      </c>
      <c r="E492">
        <v>38</v>
      </c>
      <c r="F492" t="s">
        <v>46</v>
      </c>
      <c r="G492" t="s">
        <v>32</v>
      </c>
      <c r="H492" t="s">
        <v>1019</v>
      </c>
      <c r="I492">
        <v>3</v>
      </c>
      <c r="J492">
        <v>7</v>
      </c>
      <c r="K492">
        <v>170495</v>
      </c>
      <c r="L492">
        <v>3</v>
      </c>
      <c r="M492" t="s">
        <v>43</v>
      </c>
      <c r="N492">
        <v>99</v>
      </c>
    </row>
    <row r="493" spans="1:14" x14ac:dyDescent="0.35">
      <c r="A493" t="s">
        <v>1020</v>
      </c>
      <c r="B493" t="s">
        <v>96</v>
      </c>
      <c r="C493" t="s">
        <v>56</v>
      </c>
      <c r="D493" t="s">
        <v>25</v>
      </c>
      <c r="E493">
        <v>25</v>
      </c>
      <c r="F493" t="s">
        <v>74</v>
      </c>
      <c r="G493" t="s">
        <v>85</v>
      </c>
      <c r="H493" t="s">
        <v>1021</v>
      </c>
      <c r="I493">
        <v>6</v>
      </c>
      <c r="J493">
        <v>9</v>
      </c>
      <c r="K493">
        <v>327405</v>
      </c>
      <c r="L493">
        <v>3.9</v>
      </c>
      <c r="M493" t="s">
        <v>21</v>
      </c>
      <c r="N493">
        <v>68</v>
      </c>
    </row>
    <row r="494" spans="1:14" x14ac:dyDescent="0.35">
      <c r="A494" t="s">
        <v>1022</v>
      </c>
      <c r="B494" t="s">
        <v>96</v>
      </c>
      <c r="C494" t="s">
        <v>93</v>
      </c>
      <c r="D494" t="s">
        <v>25</v>
      </c>
      <c r="E494">
        <v>37</v>
      </c>
      <c r="F494" t="s">
        <v>18</v>
      </c>
      <c r="G494" t="s">
        <v>19</v>
      </c>
      <c r="H494" t="s">
        <v>1023</v>
      </c>
      <c r="I494">
        <v>15</v>
      </c>
      <c r="J494">
        <v>24</v>
      </c>
      <c r="K494">
        <v>95807</v>
      </c>
      <c r="L494">
        <v>4.7</v>
      </c>
      <c r="M494" t="s">
        <v>43</v>
      </c>
      <c r="N494">
        <v>84</v>
      </c>
    </row>
    <row r="495" spans="1:14" x14ac:dyDescent="0.35">
      <c r="A495" t="s">
        <v>1024</v>
      </c>
      <c r="B495" t="s">
        <v>96</v>
      </c>
      <c r="C495" t="s">
        <v>52</v>
      </c>
      <c r="D495" t="s">
        <v>25</v>
      </c>
      <c r="E495">
        <v>34</v>
      </c>
      <c r="F495" t="s">
        <v>37</v>
      </c>
      <c r="G495" t="s">
        <v>41</v>
      </c>
      <c r="H495" t="s">
        <v>1025</v>
      </c>
      <c r="I495">
        <v>12</v>
      </c>
      <c r="J495">
        <v>16</v>
      </c>
      <c r="K495">
        <v>435928</v>
      </c>
      <c r="L495">
        <v>4.9000000000000004</v>
      </c>
      <c r="M495" t="s">
        <v>21</v>
      </c>
      <c r="N495">
        <v>61</v>
      </c>
    </row>
    <row r="496" spans="1:14" x14ac:dyDescent="0.35">
      <c r="A496" t="s">
        <v>1026</v>
      </c>
      <c r="B496" t="s">
        <v>23</v>
      </c>
      <c r="C496" t="s">
        <v>16</v>
      </c>
      <c r="D496" t="s">
        <v>25</v>
      </c>
      <c r="E496">
        <v>48</v>
      </c>
      <c r="F496" t="s">
        <v>31</v>
      </c>
      <c r="G496" t="s">
        <v>88</v>
      </c>
      <c r="H496" t="s">
        <v>1027</v>
      </c>
      <c r="I496">
        <v>10</v>
      </c>
      <c r="J496">
        <v>18</v>
      </c>
      <c r="K496">
        <v>483750</v>
      </c>
      <c r="L496">
        <v>2.5</v>
      </c>
      <c r="M496" t="s">
        <v>21</v>
      </c>
      <c r="N496">
        <v>30</v>
      </c>
    </row>
    <row r="497" spans="1:14" x14ac:dyDescent="0.35">
      <c r="A497" t="s">
        <v>1028</v>
      </c>
      <c r="B497" t="s">
        <v>29</v>
      </c>
      <c r="C497" t="s">
        <v>36</v>
      </c>
      <c r="D497" t="s">
        <v>17</v>
      </c>
      <c r="E497">
        <v>59</v>
      </c>
      <c r="F497" t="s">
        <v>46</v>
      </c>
      <c r="G497" t="s">
        <v>41</v>
      </c>
      <c r="H497" t="s">
        <v>1029</v>
      </c>
      <c r="I497">
        <v>17</v>
      </c>
      <c r="J497">
        <v>21</v>
      </c>
      <c r="K497">
        <v>423481</v>
      </c>
      <c r="L497">
        <v>3.4</v>
      </c>
      <c r="M497" t="s">
        <v>21</v>
      </c>
      <c r="N497">
        <v>48</v>
      </c>
    </row>
    <row r="498" spans="1:14" x14ac:dyDescent="0.35">
      <c r="A498" t="s">
        <v>1030</v>
      </c>
      <c r="B498" t="s">
        <v>23</v>
      </c>
      <c r="C498" t="s">
        <v>24</v>
      </c>
      <c r="D498" t="s">
        <v>25</v>
      </c>
      <c r="E498">
        <v>32</v>
      </c>
      <c r="F498" t="s">
        <v>79</v>
      </c>
      <c r="G498" t="s">
        <v>32</v>
      </c>
      <c r="H498" t="s">
        <v>1031</v>
      </c>
      <c r="I498">
        <v>20</v>
      </c>
      <c r="J498">
        <v>30</v>
      </c>
      <c r="K498">
        <v>430939</v>
      </c>
      <c r="L498">
        <v>2.6</v>
      </c>
      <c r="M498" t="s">
        <v>43</v>
      </c>
      <c r="N498">
        <v>95</v>
      </c>
    </row>
    <row r="499" spans="1:14" x14ac:dyDescent="0.35">
      <c r="A499" t="s">
        <v>1032</v>
      </c>
      <c r="B499" t="s">
        <v>35</v>
      </c>
      <c r="C499" t="s">
        <v>49</v>
      </c>
      <c r="D499" t="s">
        <v>25</v>
      </c>
      <c r="E499">
        <v>43</v>
      </c>
      <c r="F499" t="s">
        <v>18</v>
      </c>
      <c r="G499" t="s">
        <v>41</v>
      </c>
      <c r="H499" t="s">
        <v>1033</v>
      </c>
      <c r="I499">
        <v>0</v>
      </c>
      <c r="J499">
        <v>10</v>
      </c>
      <c r="K499">
        <v>308738</v>
      </c>
      <c r="L499">
        <v>4.3</v>
      </c>
      <c r="M499" t="s">
        <v>43</v>
      </c>
      <c r="N499">
        <v>84</v>
      </c>
    </row>
    <row r="500" spans="1:14" x14ac:dyDescent="0.35">
      <c r="A500" t="s">
        <v>1034</v>
      </c>
      <c r="B500" t="s">
        <v>69</v>
      </c>
      <c r="C500" t="s">
        <v>16</v>
      </c>
      <c r="D500" t="s">
        <v>17</v>
      </c>
      <c r="E500">
        <v>34</v>
      </c>
      <c r="F500" t="s">
        <v>46</v>
      </c>
      <c r="G500" t="s">
        <v>71</v>
      </c>
      <c r="H500" t="s">
        <v>1035</v>
      </c>
      <c r="I500">
        <v>13</v>
      </c>
      <c r="J500">
        <v>23</v>
      </c>
      <c r="K500">
        <v>69772</v>
      </c>
      <c r="L500">
        <v>3.4</v>
      </c>
      <c r="M500" t="s">
        <v>43</v>
      </c>
      <c r="N500">
        <v>95</v>
      </c>
    </row>
    <row r="501" spans="1:14" x14ac:dyDescent="0.35">
      <c r="A501" t="s">
        <v>1036</v>
      </c>
      <c r="B501" t="s">
        <v>111</v>
      </c>
      <c r="C501" t="s">
        <v>56</v>
      </c>
      <c r="D501" t="s">
        <v>25</v>
      </c>
      <c r="E501">
        <v>48</v>
      </c>
      <c r="F501" t="s">
        <v>18</v>
      </c>
      <c r="G501" t="s">
        <v>85</v>
      </c>
      <c r="H501" t="s">
        <v>1037</v>
      </c>
      <c r="I501">
        <v>9</v>
      </c>
      <c r="J501">
        <v>11</v>
      </c>
      <c r="K501">
        <v>88531</v>
      </c>
      <c r="L501">
        <v>2.6</v>
      </c>
      <c r="M501" t="s">
        <v>43</v>
      </c>
      <c r="N501">
        <v>83</v>
      </c>
    </row>
    <row r="502" spans="1:14" x14ac:dyDescent="0.35">
      <c r="A502" t="s">
        <v>1038</v>
      </c>
      <c r="B502" t="s">
        <v>78</v>
      </c>
      <c r="C502" t="s">
        <v>24</v>
      </c>
      <c r="D502" t="s">
        <v>25</v>
      </c>
      <c r="E502">
        <v>49</v>
      </c>
      <c r="F502" t="s">
        <v>70</v>
      </c>
      <c r="G502" t="s">
        <v>19</v>
      </c>
      <c r="H502" t="s">
        <v>1039</v>
      </c>
      <c r="I502">
        <v>11</v>
      </c>
      <c r="J502">
        <v>18</v>
      </c>
      <c r="K502">
        <v>363090</v>
      </c>
      <c r="L502">
        <v>2.9</v>
      </c>
      <c r="M502" t="s">
        <v>21</v>
      </c>
      <c r="N502">
        <v>33</v>
      </c>
    </row>
    <row r="503" spans="1:14" x14ac:dyDescent="0.35">
      <c r="A503" t="s">
        <v>1040</v>
      </c>
      <c r="B503" t="s">
        <v>96</v>
      </c>
      <c r="C503" t="s">
        <v>64</v>
      </c>
      <c r="D503" t="s">
        <v>17</v>
      </c>
      <c r="E503">
        <v>35</v>
      </c>
      <c r="F503" t="s">
        <v>70</v>
      </c>
      <c r="G503" t="s">
        <v>61</v>
      </c>
      <c r="H503" t="s">
        <v>1041</v>
      </c>
      <c r="I503">
        <v>20</v>
      </c>
      <c r="J503">
        <v>21</v>
      </c>
      <c r="K503">
        <v>317518</v>
      </c>
      <c r="L503">
        <v>3.7</v>
      </c>
      <c r="M503" t="s">
        <v>21</v>
      </c>
      <c r="N503">
        <v>32</v>
      </c>
    </row>
    <row r="504" spans="1:14" x14ac:dyDescent="0.35">
      <c r="A504" t="s">
        <v>1042</v>
      </c>
      <c r="B504" t="s">
        <v>55</v>
      </c>
      <c r="C504" t="s">
        <v>82</v>
      </c>
      <c r="D504" t="s">
        <v>17</v>
      </c>
      <c r="E504">
        <v>28</v>
      </c>
      <c r="F504" t="s">
        <v>31</v>
      </c>
      <c r="G504" t="s">
        <v>75</v>
      </c>
      <c r="H504" t="s">
        <v>1043</v>
      </c>
      <c r="I504">
        <v>12</v>
      </c>
      <c r="J504">
        <v>22</v>
      </c>
      <c r="K504">
        <v>261618</v>
      </c>
      <c r="L504">
        <v>2.2000000000000002</v>
      </c>
      <c r="M504" t="s">
        <v>21</v>
      </c>
      <c r="N504">
        <v>64</v>
      </c>
    </row>
    <row r="505" spans="1:14" x14ac:dyDescent="0.35">
      <c r="A505" t="s">
        <v>1044</v>
      </c>
      <c r="B505" t="s">
        <v>60</v>
      </c>
      <c r="C505" t="s">
        <v>93</v>
      </c>
      <c r="D505" t="s">
        <v>25</v>
      </c>
      <c r="E505">
        <v>37</v>
      </c>
      <c r="F505" t="s">
        <v>31</v>
      </c>
      <c r="G505" t="s">
        <v>57</v>
      </c>
      <c r="H505" t="s">
        <v>1045</v>
      </c>
      <c r="I505">
        <v>6</v>
      </c>
      <c r="J505">
        <v>12</v>
      </c>
      <c r="K505">
        <v>66070</v>
      </c>
      <c r="L505">
        <v>4.5</v>
      </c>
      <c r="M505" t="s">
        <v>21</v>
      </c>
      <c r="N505">
        <v>54</v>
      </c>
    </row>
    <row r="506" spans="1:14" x14ac:dyDescent="0.35">
      <c r="A506" t="s">
        <v>1046</v>
      </c>
      <c r="B506" t="s">
        <v>23</v>
      </c>
      <c r="C506" t="s">
        <v>30</v>
      </c>
      <c r="D506" t="s">
        <v>25</v>
      </c>
      <c r="E506">
        <v>52</v>
      </c>
      <c r="F506" t="s">
        <v>74</v>
      </c>
      <c r="G506" t="s">
        <v>19</v>
      </c>
      <c r="H506" t="s">
        <v>1047</v>
      </c>
      <c r="I506">
        <v>5</v>
      </c>
      <c r="J506">
        <v>10</v>
      </c>
      <c r="K506">
        <v>206692</v>
      </c>
      <c r="L506">
        <v>2.6</v>
      </c>
      <c r="M506" t="s">
        <v>43</v>
      </c>
      <c r="N506">
        <v>71</v>
      </c>
    </row>
    <row r="507" spans="1:14" x14ac:dyDescent="0.35">
      <c r="A507" t="s">
        <v>1048</v>
      </c>
      <c r="B507" t="s">
        <v>78</v>
      </c>
      <c r="C507" t="s">
        <v>24</v>
      </c>
      <c r="D507" t="s">
        <v>17</v>
      </c>
      <c r="E507">
        <v>31</v>
      </c>
      <c r="F507" t="s">
        <v>46</v>
      </c>
      <c r="G507" t="s">
        <v>88</v>
      </c>
      <c r="H507" t="s">
        <v>1049</v>
      </c>
      <c r="I507">
        <v>3</v>
      </c>
      <c r="J507">
        <v>13</v>
      </c>
      <c r="K507">
        <v>114116</v>
      </c>
      <c r="L507">
        <v>2.5</v>
      </c>
      <c r="M507" t="s">
        <v>43</v>
      </c>
      <c r="N507">
        <v>73</v>
      </c>
    </row>
    <row r="508" spans="1:14" x14ac:dyDescent="0.35">
      <c r="A508" t="s">
        <v>1050</v>
      </c>
      <c r="B508" t="s">
        <v>15</v>
      </c>
      <c r="C508" t="s">
        <v>36</v>
      </c>
      <c r="D508" t="s">
        <v>25</v>
      </c>
      <c r="E508">
        <v>23</v>
      </c>
      <c r="F508" t="s">
        <v>79</v>
      </c>
      <c r="G508" t="s">
        <v>41</v>
      </c>
      <c r="H508" t="s">
        <v>1051</v>
      </c>
      <c r="I508">
        <v>15</v>
      </c>
      <c r="J508">
        <v>15</v>
      </c>
      <c r="K508">
        <v>400012</v>
      </c>
      <c r="L508">
        <v>4.4000000000000004</v>
      </c>
      <c r="M508" t="s">
        <v>21</v>
      </c>
      <c r="N508">
        <v>46</v>
      </c>
    </row>
    <row r="509" spans="1:14" x14ac:dyDescent="0.35">
      <c r="A509" t="s">
        <v>1052</v>
      </c>
      <c r="B509" t="s">
        <v>96</v>
      </c>
      <c r="C509" t="s">
        <v>24</v>
      </c>
      <c r="D509" t="s">
        <v>17</v>
      </c>
      <c r="E509">
        <v>37</v>
      </c>
      <c r="F509" t="s">
        <v>74</v>
      </c>
      <c r="G509" t="s">
        <v>71</v>
      </c>
      <c r="H509" t="s">
        <v>1053</v>
      </c>
      <c r="I509">
        <v>12</v>
      </c>
      <c r="J509">
        <v>12</v>
      </c>
      <c r="K509">
        <v>487796</v>
      </c>
      <c r="L509">
        <v>2.7</v>
      </c>
      <c r="M509" t="s">
        <v>43</v>
      </c>
      <c r="N509">
        <v>74</v>
      </c>
    </row>
    <row r="510" spans="1:14" x14ac:dyDescent="0.35">
      <c r="A510" t="s">
        <v>1054</v>
      </c>
      <c r="B510" t="s">
        <v>35</v>
      </c>
      <c r="C510" t="s">
        <v>49</v>
      </c>
      <c r="D510" t="s">
        <v>25</v>
      </c>
      <c r="E510">
        <v>58</v>
      </c>
      <c r="F510" t="s">
        <v>70</v>
      </c>
      <c r="G510" t="s">
        <v>41</v>
      </c>
      <c r="H510" t="s">
        <v>1055</v>
      </c>
      <c r="I510">
        <v>7</v>
      </c>
      <c r="J510">
        <v>16</v>
      </c>
      <c r="K510">
        <v>212846</v>
      </c>
      <c r="L510">
        <v>2.8</v>
      </c>
      <c r="M510" t="s">
        <v>21</v>
      </c>
      <c r="N510">
        <v>65</v>
      </c>
    </row>
    <row r="511" spans="1:14" x14ac:dyDescent="0.35">
      <c r="A511" t="s">
        <v>1056</v>
      </c>
      <c r="B511" t="s">
        <v>40</v>
      </c>
      <c r="C511" t="s">
        <v>64</v>
      </c>
      <c r="D511" t="s">
        <v>25</v>
      </c>
      <c r="E511">
        <v>47</v>
      </c>
      <c r="F511" t="s">
        <v>79</v>
      </c>
      <c r="G511" t="s">
        <v>61</v>
      </c>
      <c r="H511" t="s">
        <v>612</v>
      </c>
      <c r="I511">
        <v>16</v>
      </c>
      <c r="J511">
        <v>16</v>
      </c>
      <c r="K511">
        <v>292923</v>
      </c>
      <c r="L511">
        <v>2.1</v>
      </c>
      <c r="M511" t="s">
        <v>43</v>
      </c>
      <c r="N511">
        <v>72</v>
      </c>
    </row>
    <row r="512" spans="1:14" x14ac:dyDescent="0.35">
      <c r="A512" t="s">
        <v>1057</v>
      </c>
      <c r="B512" t="s">
        <v>40</v>
      </c>
      <c r="C512" t="s">
        <v>52</v>
      </c>
      <c r="D512" t="s">
        <v>25</v>
      </c>
      <c r="E512">
        <v>32</v>
      </c>
      <c r="F512" t="s">
        <v>37</v>
      </c>
      <c r="G512" t="s">
        <v>32</v>
      </c>
      <c r="H512" t="s">
        <v>1058</v>
      </c>
      <c r="I512">
        <v>0</v>
      </c>
      <c r="J512">
        <v>0</v>
      </c>
      <c r="K512">
        <v>432028</v>
      </c>
      <c r="L512">
        <v>3.4</v>
      </c>
      <c r="M512" t="s">
        <v>43</v>
      </c>
      <c r="N512">
        <v>83</v>
      </c>
    </row>
    <row r="513" spans="1:14" x14ac:dyDescent="0.35">
      <c r="A513" t="s">
        <v>1059</v>
      </c>
      <c r="B513" t="s">
        <v>96</v>
      </c>
      <c r="C513" t="s">
        <v>49</v>
      </c>
      <c r="D513" t="s">
        <v>25</v>
      </c>
      <c r="E513">
        <v>37</v>
      </c>
      <c r="F513" t="s">
        <v>79</v>
      </c>
      <c r="G513" t="s">
        <v>26</v>
      </c>
      <c r="H513" t="s">
        <v>1060</v>
      </c>
      <c r="I513">
        <v>18</v>
      </c>
      <c r="J513">
        <v>19</v>
      </c>
      <c r="K513">
        <v>327846</v>
      </c>
      <c r="L513">
        <v>4.3</v>
      </c>
      <c r="M513" t="s">
        <v>43</v>
      </c>
      <c r="N513">
        <v>81</v>
      </c>
    </row>
    <row r="514" spans="1:14" x14ac:dyDescent="0.35">
      <c r="A514" t="s">
        <v>1061</v>
      </c>
      <c r="B514" t="s">
        <v>60</v>
      </c>
      <c r="C514" t="s">
        <v>49</v>
      </c>
      <c r="D514" t="s">
        <v>17</v>
      </c>
      <c r="E514">
        <v>28</v>
      </c>
      <c r="F514" t="s">
        <v>31</v>
      </c>
      <c r="G514" t="s">
        <v>57</v>
      </c>
      <c r="H514" t="s">
        <v>1062</v>
      </c>
      <c r="I514">
        <v>18</v>
      </c>
      <c r="J514">
        <v>20</v>
      </c>
      <c r="K514">
        <v>231884</v>
      </c>
      <c r="L514">
        <v>3.1</v>
      </c>
      <c r="M514" t="s">
        <v>43</v>
      </c>
      <c r="N514">
        <v>96</v>
      </c>
    </row>
    <row r="515" spans="1:14" x14ac:dyDescent="0.35">
      <c r="A515" t="s">
        <v>1063</v>
      </c>
      <c r="B515" t="s">
        <v>45</v>
      </c>
      <c r="C515" t="s">
        <v>64</v>
      </c>
      <c r="D515" t="s">
        <v>25</v>
      </c>
      <c r="E515">
        <v>32</v>
      </c>
      <c r="F515" t="s">
        <v>79</v>
      </c>
      <c r="G515" t="s">
        <v>71</v>
      </c>
      <c r="H515" t="s">
        <v>1064</v>
      </c>
      <c r="I515">
        <v>13</v>
      </c>
      <c r="J515">
        <v>17</v>
      </c>
      <c r="K515">
        <v>460546</v>
      </c>
      <c r="L515">
        <v>3</v>
      </c>
      <c r="M515" t="s">
        <v>43</v>
      </c>
      <c r="N515">
        <v>85</v>
      </c>
    </row>
    <row r="516" spans="1:14" x14ac:dyDescent="0.35">
      <c r="A516" t="s">
        <v>1065</v>
      </c>
      <c r="B516" t="s">
        <v>45</v>
      </c>
      <c r="C516" t="s">
        <v>82</v>
      </c>
      <c r="D516" t="s">
        <v>17</v>
      </c>
      <c r="E516">
        <v>44</v>
      </c>
      <c r="F516" t="s">
        <v>31</v>
      </c>
      <c r="G516" t="s">
        <v>75</v>
      </c>
      <c r="H516" t="s">
        <v>1066</v>
      </c>
      <c r="I516">
        <v>7</v>
      </c>
      <c r="J516">
        <v>8</v>
      </c>
      <c r="K516">
        <v>387211</v>
      </c>
      <c r="L516">
        <v>2.4</v>
      </c>
      <c r="M516" t="s">
        <v>21</v>
      </c>
      <c r="N516">
        <v>63</v>
      </c>
    </row>
    <row r="517" spans="1:14" x14ac:dyDescent="0.35">
      <c r="A517" t="s">
        <v>1067</v>
      </c>
      <c r="B517" t="s">
        <v>69</v>
      </c>
      <c r="C517" t="s">
        <v>24</v>
      </c>
      <c r="D517" t="s">
        <v>17</v>
      </c>
      <c r="E517">
        <v>56</v>
      </c>
      <c r="F517" t="s">
        <v>18</v>
      </c>
      <c r="G517" t="s">
        <v>85</v>
      </c>
      <c r="H517" t="s">
        <v>1068</v>
      </c>
      <c r="I517">
        <v>1</v>
      </c>
      <c r="J517">
        <v>11</v>
      </c>
      <c r="K517">
        <v>242855</v>
      </c>
      <c r="L517">
        <v>2.1</v>
      </c>
      <c r="M517" t="s">
        <v>43</v>
      </c>
      <c r="N517">
        <v>75</v>
      </c>
    </row>
    <row r="518" spans="1:14" x14ac:dyDescent="0.35">
      <c r="A518" t="s">
        <v>1069</v>
      </c>
      <c r="B518" t="s">
        <v>45</v>
      </c>
      <c r="C518" t="s">
        <v>93</v>
      </c>
      <c r="D518" t="s">
        <v>17</v>
      </c>
      <c r="E518">
        <v>25</v>
      </c>
      <c r="F518" t="s">
        <v>79</v>
      </c>
      <c r="G518" t="s">
        <v>19</v>
      </c>
      <c r="H518" t="s">
        <v>853</v>
      </c>
      <c r="I518">
        <v>2</v>
      </c>
      <c r="J518">
        <v>4</v>
      </c>
      <c r="K518">
        <v>175968</v>
      </c>
      <c r="L518">
        <v>5</v>
      </c>
      <c r="M518" t="s">
        <v>43</v>
      </c>
      <c r="N518">
        <v>83</v>
      </c>
    </row>
    <row r="519" spans="1:14" x14ac:dyDescent="0.35">
      <c r="A519" t="s">
        <v>1070</v>
      </c>
      <c r="B519" t="s">
        <v>96</v>
      </c>
      <c r="C519" t="s">
        <v>56</v>
      </c>
      <c r="D519" t="s">
        <v>25</v>
      </c>
      <c r="E519">
        <v>24</v>
      </c>
      <c r="F519" t="s">
        <v>79</v>
      </c>
      <c r="G519" t="s">
        <v>57</v>
      </c>
      <c r="H519" t="s">
        <v>1071</v>
      </c>
      <c r="I519">
        <v>12</v>
      </c>
      <c r="J519">
        <v>16</v>
      </c>
      <c r="K519">
        <v>407075</v>
      </c>
      <c r="L519">
        <v>4.3</v>
      </c>
      <c r="M519" t="s">
        <v>21</v>
      </c>
      <c r="N519">
        <v>60</v>
      </c>
    </row>
    <row r="520" spans="1:14" x14ac:dyDescent="0.35">
      <c r="A520" t="s">
        <v>1072</v>
      </c>
      <c r="B520" t="s">
        <v>29</v>
      </c>
      <c r="C520" t="s">
        <v>52</v>
      </c>
      <c r="D520" t="s">
        <v>25</v>
      </c>
      <c r="E520">
        <v>38</v>
      </c>
      <c r="F520" t="s">
        <v>70</v>
      </c>
      <c r="G520" t="s">
        <v>85</v>
      </c>
      <c r="H520" t="s">
        <v>1073</v>
      </c>
      <c r="I520">
        <v>10</v>
      </c>
      <c r="J520">
        <v>16</v>
      </c>
      <c r="K520">
        <v>62024</v>
      </c>
      <c r="L520">
        <v>3.8</v>
      </c>
      <c r="M520" t="s">
        <v>43</v>
      </c>
      <c r="N520">
        <v>75</v>
      </c>
    </row>
    <row r="521" spans="1:14" x14ac:dyDescent="0.35">
      <c r="A521" t="s">
        <v>1074</v>
      </c>
      <c r="B521" t="s">
        <v>15</v>
      </c>
      <c r="C521" t="s">
        <v>16</v>
      </c>
      <c r="D521" t="s">
        <v>17</v>
      </c>
      <c r="E521">
        <v>24</v>
      </c>
      <c r="F521" t="s">
        <v>74</v>
      </c>
      <c r="G521" t="s">
        <v>88</v>
      </c>
      <c r="H521" t="s">
        <v>1075</v>
      </c>
      <c r="I521">
        <v>0</v>
      </c>
      <c r="J521">
        <v>0</v>
      </c>
      <c r="K521">
        <v>148817</v>
      </c>
      <c r="L521">
        <v>4.4000000000000004</v>
      </c>
      <c r="M521" t="s">
        <v>43</v>
      </c>
      <c r="N521">
        <v>87</v>
      </c>
    </row>
    <row r="522" spans="1:14" x14ac:dyDescent="0.35">
      <c r="A522" t="s">
        <v>1076</v>
      </c>
      <c r="B522" t="s">
        <v>60</v>
      </c>
      <c r="C522" t="s">
        <v>56</v>
      </c>
      <c r="D522" t="s">
        <v>17</v>
      </c>
      <c r="E522">
        <v>58</v>
      </c>
      <c r="F522" t="s">
        <v>31</v>
      </c>
      <c r="G522" t="s">
        <v>26</v>
      </c>
      <c r="H522" t="s">
        <v>1077</v>
      </c>
      <c r="I522">
        <v>19</v>
      </c>
      <c r="J522">
        <v>24</v>
      </c>
      <c r="K522">
        <v>376783</v>
      </c>
      <c r="L522">
        <v>5</v>
      </c>
      <c r="M522" t="s">
        <v>21</v>
      </c>
      <c r="N522">
        <v>31</v>
      </c>
    </row>
    <row r="523" spans="1:14" x14ac:dyDescent="0.35">
      <c r="A523" t="s">
        <v>1078</v>
      </c>
      <c r="B523" t="s">
        <v>40</v>
      </c>
      <c r="C523" t="s">
        <v>30</v>
      </c>
      <c r="D523" t="s">
        <v>17</v>
      </c>
      <c r="E523">
        <v>22</v>
      </c>
      <c r="F523" t="s">
        <v>70</v>
      </c>
      <c r="G523" t="s">
        <v>41</v>
      </c>
      <c r="H523" t="s">
        <v>1079</v>
      </c>
      <c r="I523">
        <v>19</v>
      </c>
      <c r="J523">
        <v>27</v>
      </c>
      <c r="K523">
        <v>372721</v>
      </c>
      <c r="L523">
        <v>3.5</v>
      </c>
      <c r="M523" t="s">
        <v>21</v>
      </c>
      <c r="N523">
        <v>36</v>
      </c>
    </row>
    <row r="524" spans="1:14" x14ac:dyDescent="0.35">
      <c r="A524" t="s">
        <v>1080</v>
      </c>
      <c r="B524" t="s">
        <v>78</v>
      </c>
      <c r="C524" t="s">
        <v>16</v>
      </c>
      <c r="D524" t="s">
        <v>17</v>
      </c>
      <c r="E524">
        <v>51</v>
      </c>
      <c r="F524" t="s">
        <v>70</v>
      </c>
      <c r="G524" t="s">
        <v>32</v>
      </c>
      <c r="H524" t="s">
        <v>1081</v>
      </c>
      <c r="I524">
        <v>15</v>
      </c>
      <c r="J524">
        <v>15</v>
      </c>
      <c r="K524">
        <v>207557</v>
      </c>
      <c r="L524">
        <v>2.6</v>
      </c>
      <c r="M524" t="s">
        <v>43</v>
      </c>
      <c r="N524">
        <v>94</v>
      </c>
    </row>
    <row r="525" spans="1:14" x14ac:dyDescent="0.35">
      <c r="A525" t="s">
        <v>1082</v>
      </c>
      <c r="B525" t="s">
        <v>96</v>
      </c>
      <c r="C525" t="s">
        <v>93</v>
      </c>
      <c r="D525" t="s">
        <v>25</v>
      </c>
      <c r="E525">
        <v>40</v>
      </c>
      <c r="F525" t="s">
        <v>79</v>
      </c>
      <c r="G525" t="s">
        <v>71</v>
      </c>
      <c r="H525" t="s">
        <v>1083</v>
      </c>
      <c r="I525">
        <v>12</v>
      </c>
      <c r="J525">
        <v>13</v>
      </c>
      <c r="K525">
        <v>305645</v>
      </c>
      <c r="L525">
        <v>3.7</v>
      </c>
      <c r="M525" t="s">
        <v>43</v>
      </c>
      <c r="N525">
        <v>91</v>
      </c>
    </row>
    <row r="526" spans="1:14" x14ac:dyDescent="0.35">
      <c r="A526" t="s">
        <v>1084</v>
      </c>
      <c r="B526" t="s">
        <v>45</v>
      </c>
      <c r="C526" t="s">
        <v>64</v>
      </c>
      <c r="D526" t="s">
        <v>25</v>
      </c>
      <c r="E526">
        <v>21</v>
      </c>
      <c r="F526" t="s">
        <v>46</v>
      </c>
      <c r="G526" t="s">
        <v>26</v>
      </c>
      <c r="H526" t="s">
        <v>1085</v>
      </c>
      <c r="I526">
        <v>20</v>
      </c>
      <c r="J526">
        <v>29</v>
      </c>
      <c r="K526">
        <v>236624</v>
      </c>
      <c r="L526">
        <v>5</v>
      </c>
      <c r="M526" t="s">
        <v>43</v>
      </c>
      <c r="N526">
        <v>89</v>
      </c>
    </row>
    <row r="527" spans="1:14" x14ac:dyDescent="0.35">
      <c r="A527" t="s">
        <v>1086</v>
      </c>
      <c r="B527" t="s">
        <v>60</v>
      </c>
      <c r="C527" t="s">
        <v>52</v>
      </c>
      <c r="D527" t="s">
        <v>17</v>
      </c>
      <c r="E527">
        <v>35</v>
      </c>
      <c r="F527" t="s">
        <v>74</v>
      </c>
      <c r="G527" t="s">
        <v>61</v>
      </c>
      <c r="H527" t="s">
        <v>1087</v>
      </c>
      <c r="I527">
        <v>8</v>
      </c>
      <c r="J527">
        <v>9</v>
      </c>
      <c r="K527">
        <v>277749</v>
      </c>
      <c r="L527">
        <v>4.0999999999999996</v>
      </c>
      <c r="M527" t="s">
        <v>21</v>
      </c>
      <c r="N527">
        <v>64</v>
      </c>
    </row>
    <row r="528" spans="1:14" x14ac:dyDescent="0.35">
      <c r="A528" t="s">
        <v>1088</v>
      </c>
      <c r="B528" t="s">
        <v>78</v>
      </c>
      <c r="C528" t="s">
        <v>24</v>
      </c>
      <c r="D528" t="s">
        <v>25</v>
      </c>
      <c r="E528">
        <v>51</v>
      </c>
      <c r="F528" t="s">
        <v>37</v>
      </c>
      <c r="G528" t="s">
        <v>41</v>
      </c>
      <c r="H528" t="s">
        <v>588</v>
      </c>
      <c r="I528">
        <v>12</v>
      </c>
      <c r="J528">
        <v>19</v>
      </c>
      <c r="K528">
        <v>324931</v>
      </c>
      <c r="L528">
        <v>3.8</v>
      </c>
      <c r="M528" t="s">
        <v>43</v>
      </c>
      <c r="N528">
        <v>79</v>
      </c>
    </row>
    <row r="529" spans="1:14" x14ac:dyDescent="0.35">
      <c r="A529" t="s">
        <v>1089</v>
      </c>
      <c r="B529" t="s">
        <v>69</v>
      </c>
      <c r="C529" t="s">
        <v>52</v>
      </c>
      <c r="D529" t="s">
        <v>25</v>
      </c>
      <c r="E529">
        <v>55</v>
      </c>
      <c r="F529" t="s">
        <v>70</v>
      </c>
      <c r="G529" t="s">
        <v>71</v>
      </c>
      <c r="H529" t="s">
        <v>1090</v>
      </c>
      <c r="I529">
        <v>6</v>
      </c>
      <c r="J529">
        <v>8</v>
      </c>
      <c r="K529">
        <v>492960</v>
      </c>
      <c r="L529">
        <v>4</v>
      </c>
      <c r="M529" t="s">
        <v>43</v>
      </c>
      <c r="N529">
        <v>84</v>
      </c>
    </row>
    <row r="530" spans="1:14" x14ac:dyDescent="0.35">
      <c r="A530" t="s">
        <v>1091</v>
      </c>
      <c r="B530" t="s">
        <v>40</v>
      </c>
      <c r="C530" t="s">
        <v>49</v>
      </c>
      <c r="D530" t="s">
        <v>25</v>
      </c>
      <c r="E530">
        <v>53</v>
      </c>
      <c r="F530" t="s">
        <v>18</v>
      </c>
      <c r="G530" t="s">
        <v>32</v>
      </c>
      <c r="H530" t="s">
        <v>1092</v>
      </c>
      <c r="I530">
        <v>16</v>
      </c>
      <c r="J530">
        <v>26</v>
      </c>
      <c r="K530">
        <v>84151</v>
      </c>
      <c r="L530">
        <v>3.6</v>
      </c>
      <c r="M530" t="s">
        <v>43</v>
      </c>
      <c r="N530">
        <v>98</v>
      </c>
    </row>
    <row r="531" spans="1:14" x14ac:dyDescent="0.35">
      <c r="A531" t="s">
        <v>1093</v>
      </c>
      <c r="B531" t="s">
        <v>35</v>
      </c>
      <c r="C531" t="s">
        <v>36</v>
      </c>
      <c r="D531" t="s">
        <v>17</v>
      </c>
      <c r="E531">
        <v>49</v>
      </c>
      <c r="F531" t="s">
        <v>18</v>
      </c>
      <c r="G531" t="s">
        <v>32</v>
      </c>
      <c r="H531" t="s">
        <v>483</v>
      </c>
      <c r="I531">
        <v>0</v>
      </c>
      <c r="J531">
        <v>4</v>
      </c>
      <c r="K531">
        <v>291208</v>
      </c>
      <c r="L531">
        <v>3.2</v>
      </c>
      <c r="M531" t="s">
        <v>43</v>
      </c>
      <c r="N531">
        <v>92</v>
      </c>
    </row>
    <row r="532" spans="1:14" x14ac:dyDescent="0.35">
      <c r="A532" t="s">
        <v>1094</v>
      </c>
      <c r="B532" t="s">
        <v>55</v>
      </c>
      <c r="C532" t="s">
        <v>30</v>
      </c>
      <c r="D532" t="s">
        <v>25</v>
      </c>
      <c r="E532">
        <v>26</v>
      </c>
      <c r="F532" t="s">
        <v>79</v>
      </c>
      <c r="G532" t="s">
        <v>41</v>
      </c>
      <c r="H532" t="s">
        <v>1095</v>
      </c>
      <c r="I532">
        <v>18</v>
      </c>
      <c r="J532">
        <v>21</v>
      </c>
      <c r="K532">
        <v>211298</v>
      </c>
      <c r="L532">
        <v>4.5</v>
      </c>
      <c r="M532" t="s">
        <v>43</v>
      </c>
      <c r="N532">
        <v>84</v>
      </c>
    </row>
    <row r="533" spans="1:14" x14ac:dyDescent="0.35">
      <c r="A533" t="s">
        <v>1096</v>
      </c>
      <c r="B533" t="s">
        <v>15</v>
      </c>
      <c r="C533" t="s">
        <v>52</v>
      </c>
      <c r="D533" t="s">
        <v>25</v>
      </c>
      <c r="E533">
        <v>60</v>
      </c>
      <c r="F533" t="s">
        <v>46</v>
      </c>
      <c r="G533" t="s">
        <v>85</v>
      </c>
      <c r="H533" t="s">
        <v>1097</v>
      </c>
      <c r="I533">
        <v>3</v>
      </c>
      <c r="J533">
        <v>3</v>
      </c>
      <c r="K533">
        <v>212577</v>
      </c>
      <c r="L533">
        <v>4.3</v>
      </c>
      <c r="M533" t="s">
        <v>43</v>
      </c>
      <c r="N533">
        <v>90</v>
      </c>
    </row>
    <row r="534" spans="1:14" x14ac:dyDescent="0.35">
      <c r="A534" t="s">
        <v>1098</v>
      </c>
      <c r="B534" t="s">
        <v>55</v>
      </c>
      <c r="C534" t="s">
        <v>93</v>
      </c>
      <c r="D534" t="s">
        <v>25</v>
      </c>
      <c r="E534">
        <v>50</v>
      </c>
      <c r="F534" t="s">
        <v>46</v>
      </c>
      <c r="G534" t="s">
        <v>41</v>
      </c>
      <c r="H534" t="s">
        <v>1099</v>
      </c>
      <c r="I534">
        <v>5</v>
      </c>
      <c r="J534">
        <v>6</v>
      </c>
      <c r="K534">
        <v>223676</v>
      </c>
      <c r="L534">
        <v>2.7</v>
      </c>
      <c r="M534" t="s">
        <v>43</v>
      </c>
      <c r="N534">
        <v>78</v>
      </c>
    </row>
    <row r="535" spans="1:14" x14ac:dyDescent="0.35">
      <c r="A535" t="s">
        <v>1100</v>
      </c>
      <c r="B535" t="s">
        <v>96</v>
      </c>
      <c r="C535" t="s">
        <v>24</v>
      </c>
      <c r="D535" t="s">
        <v>25</v>
      </c>
      <c r="E535">
        <v>40</v>
      </c>
      <c r="F535" t="s">
        <v>70</v>
      </c>
      <c r="G535" t="s">
        <v>26</v>
      </c>
      <c r="H535" t="s">
        <v>1101</v>
      </c>
      <c r="I535">
        <v>0</v>
      </c>
      <c r="J535">
        <v>7</v>
      </c>
      <c r="K535">
        <v>117297</v>
      </c>
      <c r="L535">
        <v>2.4</v>
      </c>
      <c r="M535" t="s">
        <v>21</v>
      </c>
      <c r="N535">
        <v>68</v>
      </c>
    </row>
    <row r="536" spans="1:14" x14ac:dyDescent="0.35">
      <c r="A536" t="s">
        <v>1102</v>
      </c>
      <c r="B536" t="s">
        <v>96</v>
      </c>
      <c r="C536" t="s">
        <v>36</v>
      </c>
      <c r="D536" t="s">
        <v>25</v>
      </c>
      <c r="E536">
        <v>48</v>
      </c>
      <c r="F536" t="s">
        <v>31</v>
      </c>
      <c r="G536" t="s">
        <v>26</v>
      </c>
      <c r="H536" t="s">
        <v>1103</v>
      </c>
      <c r="I536">
        <v>9</v>
      </c>
      <c r="J536">
        <v>18</v>
      </c>
      <c r="K536">
        <v>99112</v>
      </c>
      <c r="L536">
        <v>4</v>
      </c>
      <c r="M536" t="s">
        <v>21</v>
      </c>
      <c r="N536">
        <v>50</v>
      </c>
    </row>
    <row r="537" spans="1:14" x14ac:dyDescent="0.35">
      <c r="A537" t="s">
        <v>1104</v>
      </c>
      <c r="B537" t="s">
        <v>35</v>
      </c>
      <c r="C537" t="s">
        <v>64</v>
      </c>
      <c r="D537" t="s">
        <v>17</v>
      </c>
      <c r="E537">
        <v>43</v>
      </c>
      <c r="F537" t="s">
        <v>18</v>
      </c>
      <c r="G537" t="s">
        <v>71</v>
      </c>
      <c r="H537" t="s">
        <v>1105</v>
      </c>
      <c r="I537">
        <v>10</v>
      </c>
      <c r="J537">
        <v>15</v>
      </c>
      <c r="K537">
        <v>272668</v>
      </c>
      <c r="L537">
        <v>4.4000000000000004</v>
      </c>
      <c r="M537" t="s">
        <v>43</v>
      </c>
      <c r="N537">
        <v>78</v>
      </c>
    </row>
    <row r="538" spans="1:14" x14ac:dyDescent="0.35">
      <c r="A538" t="s">
        <v>1106</v>
      </c>
      <c r="B538" t="s">
        <v>40</v>
      </c>
      <c r="C538" t="s">
        <v>24</v>
      </c>
      <c r="D538" t="s">
        <v>17</v>
      </c>
      <c r="E538">
        <v>44</v>
      </c>
      <c r="F538" t="s">
        <v>31</v>
      </c>
      <c r="G538" t="s">
        <v>26</v>
      </c>
      <c r="H538" t="s">
        <v>1107</v>
      </c>
      <c r="I538">
        <v>5</v>
      </c>
      <c r="J538">
        <v>6</v>
      </c>
      <c r="K538">
        <v>106306</v>
      </c>
      <c r="L538">
        <v>2.2000000000000002</v>
      </c>
      <c r="M538" t="s">
        <v>21</v>
      </c>
      <c r="N538">
        <v>32</v>
      </c>
    </row>
    <row r="539" spans="1:14" x14ac:dyDescent="0.35">
      <c r="A539" t="s">
        <v>1108</v>
      </c>
      <c r="B539" t="s">
        <v>78</v>
      </c>
      <c r="C539" t="s">
        <v>24</v>
      </c>
      <c r="D539" t="s">
        <v>17</v>
      </c>
      <c r="E539">
        <v>42</v>
      </c>
      <c r="F539" t="s">
        <v>74</v>
      </c>
      <c r="G539" t="s">
        <v>88</v>
      </c>
      <c r="H539" t="s">
        <v>1109</v>
      </c>
      <c r="I539">
        <v>14</v>
      </c>
      <c r="J539">
        <v>21</v>
      </c>
      <c r="K539">
        <v>391926</v>
      </c>
      <c r="L539">
        <v>2.2999999999999998</v>
      </c>
      <c r="M539" t="s">
        <v>21</v>
      </c>
      <c r="N539">
        <v>62</v>
      </c>
    </row>
    <row r="540" spans="1:14" x14ac:dyDescent="0.35">
      <c r="A540" t="s">
        <v>1110</v>
      </c>
      <c r="B540" t="s">
        <v>96</v>
      </c>
      <c r="C540" t="s">
        <v>64</v>
      </c>
      <c r="D540" t="s">
        <v>25</v>
      </c>
      <c r="E540">
        <v>49</v>
      </c>
      <c r="F540" t="s">
        <v>79</v>
      </c>
      <c r="G540" t="s">
        <v>32</v>
      </c>
      <c r="H540" t="s">
        <v>1111</v>
      </c>
      <c r="I540">
        <v>12</v>
      </c>
      <c r="J540">
        <v>21</v>
      </c>
      <c r="K540">
        <v>146070</v>
      </c>
      <c r="L540">
        <v>3.8</v>
      </c>
      <c r="M540" t="s">
        <v>21</v>
      </c>
      <c r="N540">
        <v>52</v>
      </c>
    </row>
    <row r="541" spans="1:14" x14ac:dyDescent="0.35">
      <c r="A541" t="s">
        <v>1112</v>
      </c>
      <c r="B541" t="s">
        <v>78</v>
      </c>
      <c r="C541" t="s">
        <v>24</v>
      </c>
      <c r="D541" t="s">
        <v>17</v>
      </c>
      <c r="E541">
        <v>31</v>
      </c>
      <c r="F541" t="s">
        <v>70</v>
      </c>
      <c r="G541" t="s">
        <v>75</v>
      </c>
      <c r="H541" t="s">
        <v>1113</v>
      </c>
      <c r="I541">
        <v>19</v>
      </c>
      <c r="J541">
        <v>23</v>
      </c>
      <c r="K541">
        <v>498748</v>
      </c>
      <c r="L541">
        <v>4.7</v>
      </c>
      <c r="M541" t="s">
        <v>43</v>
      </c>
      <c r="N541">
        <v>97</v>
      </c>
    </row>
    <row r="542" spans="1:14" x14ac:dyDescent="0.35">
      <c r="A542" t="s">
        <v>1114</v>
      </c>
      <c r="B542" t="s">
        <v>55</v>
      </c>
      <c r="C542" t="s">
        <v>56</v>
      </c>
      <c r="D542" t="s">
        <v>25</v>
      </c>
      <c r="E542">
        <v>31</v>
      </c>
      <c r="F542" t="s">
        <v>18</v>
      </c>
      <c r="G542" t="s">
        <v>75</v>
      </c>
      <c r="H542" t="s">
        <v>1115</v>
      </c>
      <c r="I542">
        <v>15</v>
      </c>
      <c r="J542">
        <v>24</v>
      </c>
      <c r="K542">
        <v>379556</v>
      </c>
      <c r="L542">
        <v>4.3</v>
      </c>
      <c r="M542" t="s">
        <v>21</v>
      </c>
      <c r="N542">
        <v>62</v>
      </c>
    </row>
    <row r="543" spans="1:14" x14ac:dyDescent="0.35">
      <c r="A543" t="s">
        <v>1116</v>
      </c>
      <c r="B543" t="s">
        <v>23</v>
      </c>
      <c r="C543" t="s">
        <v>49</v>
      </c>
      <c r="D543" t="s">
        <v>17</v>
      </c>
      <c r="E543">
        <v>23</v>
      </c>
      <c r="F543" t="s">
        <v>70</v>
      </c>
      <c r="G543" t="s">
        <v>41</v>
      </c>
      <c r="H543" t="s">
        <v>1117</v>
      </c>
      <c r="I543">
        <v>7</v>
      </c>
      <c r="J543">
        <v>17</v>
      </c>
      <c r="K543">
        <v>159328</v>
      </c>
      <c r="L543">
        <v>2.2000000000000002</v>
      </c>
      <c r="M543" t="s">
        <v>21</v>
      </c>
      <c r="N543">
        <v>32</v>
      </c>
    </row>
    <row r="544" spans="1:14" x14ac:dyDescent="0.35">
      <c r="A544" t="s">
        <v>1118</v>
      </c>
      <c r="B544" t="s">
        <v>29</v>
      </c>
      <c r="C544" t="s">
        <v>93</v>
      </c>
      <c r="D544" t="s">
        <v>25</v>
      </c>
      <c r="E544">
        <v>60</v>
      </c>
      <c r="F544" t="s">
        <v>31</v>
      </c>
      <c r="G544" t="s">
        <v>41</v>
      </c>
      <c r="H544" t="s">
        <v>1119</v>
      </c>
      <c r="I544">
        <v>10</v>
      </c>
      <c r="J544">
        <v>19</v>
      </c>
      <c r="K544">
        <v>108747</v>
      </c>
      <c r="L544">
        <v>2.1</v>
      </c>
      <c r="M544" t="s">
        <v>43</v>
      </c>
      <c r="N544">
        <v>90</v>
      </c>
    </row>
    <row r="545" spans="1:14" x14ac:dyDescent="0.35">
      <c r="A545" t="s">
        <v>1120</v>
      </c>
      <c r="B545" t="s">
        <v>23</v>
      </c>
      <c r="C545" t="s">
        <v>49</v>
      </c>
      <c r="D545" t="s">
        <v>25</v>
      </c>
      <c r="E545">
        <v>53</v>
      </c>
      <c r="F545" t="s">
        <v>37</v>
      </c>
      <c r="G545" t="s">
        <v>71</v>
      </c>
      <c r="H545" t="s">
        <v>1121</v>
      </c>
      <c r="I545">
        <v>12</v>
      </c>
      <c r="J545">
        <v>14</v>
      </c>
      <c r="K545">
        <v>322770</v>
      </c>
      <c r="L545">
        <v>5</v>
      </c>
      <c r="M545" t="s">
        <v>43</v>
      </c>
      <c r="N545">
        <v>73</v>
      </c>
    </row>
    <row r="546" spans="1:14" x14ac:dyDescent="0.35">
      <c r="A546" t="s">
        <v>1122</v>
      </c>
      <c r="B546" t="s">
        <v>40</v>
      </c>
      <c r="C546" t="s">
        <v>24</v>
      </c>
      <c r="D546" t="s">
        <v>25</v>
      </c>
      <c r="E546">
        <v>50</v>
      </c>
      <c r="F546" t="s">
        <v>46</v>
      </c>
      <c r="G546" t="s">
        <v>41</v>
      </c>
      <c r="H546" t="s">
        <v>1123</v>
      </c>
      <c r="I546">
        <v>1</v>
      </c>
      <c r="J546">
        <v>5</v>
      </c>
      <c r="K546">
        <v>67470</v>
      </c>
      <c r="L546">
        <v>3.8</v>
      </c>
      <c r="M546" t="s">
        <v>43</v>
      </c>
      <c r="N546">
        <v>74</v>
      </c>
    </row>
    <row r="547" spans="1:14" x14ac:dyDescent="0.35">
      <c r="A547" t="s">
        <v>1124</v>
      </c>
      <c r="B547" t="s">
        <v>35</v>
      </c>
      <c r="C547" t="s">
        <v>36</v>
      </c>
      <c r="D547" t="s">
        <v>17</v>
      </c>
      <c r="E547">
        <v>25</v>
      </c>
      <c r="F547" t="s">
        <v>31</v>
      </c>
      <c r="G547" t="s">
        <v>19</v>
      </c>
      <c r="H547" t="s">
        <v>1125</v>
      </c>
      <c r="I547">
        <v>2</v>
      </c>
      <c r="J547">
        <v>3</v>
      </c>
      <c r="K547">
        <v>344685</v>
      </c>
      <c r="L547">
        <v>2.2000000000000002</v>
      </c>
      <c r="M547" t="s">
        <v>21</v>
      </c>
      <c r="N547">
        <v>43</v>
      </c>
    </row>
    <row r="548" spans="1:14" x14ac:dyDescent="0.35">
      <c r="A548" t="s">
        <v>1126</v>
      </c>
      <c r="B548" t="s">
        <v>55</v>
      </c>
      <c r="C548" t="s">
        <v>56</v>
      </c>
      <c r="D548" t="s">
        <v>17</v>
      </c>
      <c r="E548">
        <v>54</v>
      </c>
      <c r="F548" t="s">
        <v>46</v>
      </c>
      <c r="G548" t="s">
        <v>88</v>
      </c>
      <c r="H548" t="s">
        <v>762</v>
      </c>
      <c r="I548">
        <v>18</v>
      </c>
      <c r="J548">
        <v>20</v>
      </c>
      <c r="K548">
        <v>372511</v>
      </c>
      <c r="L548">
        <v>3.3</v>
      </c>
      <c r="M548" t="s">
        <v>21</v>
      </c>
      <c r="N548">
        <v>39</v>
      </c>
    </row>
    <row r="549" spans="1:14" x14ac:dyDescent="0.35">
      <c r="A549" t="s">
        <v>1127</v>
      </c>
      <c r="B549" t="s">
        <v>69</v>
      </c>
      <c r="C549" t="s">
        <v>16</v>
      </c>
      <c r="D549" t="s">
        <v>17</v>
      </c>
      <c r="E549">
        <v>33</v>
      </c>
      <c r="F549" t="s">
        <v>79</v>
      </c>
      <c r="G549" t="s">
        <v>32</v>
      </c>
      <c r="H549" t="s">
        <v>1128</v>
      </c>
      <c r="I549">
        <v>11</v>
      </c>
      <c r="J549">
        <v>12</v>
      </c>
      <c r="K549">
        <v>379727</v>
      </c>
      <c r="L549">
        <v>2.1</v>
      </c>
      <c r="M549" t="s">
        <v>43</v>
      </c>
      <c r="N549">
        <v>71</v>
      </c>
    </row>
    <row r="550" spans="1:14" x14ac:dyDescent="0.35">
      <c r="A550" t="s">
        <v>1129</v>
      </c>
      <c r="B550" t="s">
        <v>40</v>
      </c>
      <c r="C550" t="s">
        <v>64</v>
      </c>
      <c r="D550" t="s">
        <v>17</v>
      </c>
      <c r="E550">
        <v>31</v>
      </c>
      <c r="F550" t="s">
        <v>70</v>
      </c>
      <c r="G550" t="s">
        <v>88</v>
      </c>
      <c r="H550" t="s">
        <v>142</v>
      </c>
      <c r="I550">
        <v>13</v>
      </c>
      <c r="J550">
        <v>20</v>
      </c>
      <c r="K550">
        <v>223010</v>
      </c>
      <c r="L550">
        <v>2.4</v>
      </c>
      <c r="M550" t="s">
        <v>21</v>
      </c>
      <c r="N550">
        <v>47</v>
      </c>
    </row>
    <row r="551" spans="1:14" x14ac:dyDescent="0.35">
      <c r="A551" t="s">
        <v>1130</v>
      </c>
      <c r="B551" t="s">
        <v>35</v>
      </c>
      <c r="C551" t="s">
        <v>49</v>
      </c>
      <c r="D551" t="s">
        <v>17</v>
      </c>
      <c r="E551">
        <v>41</v>
      </c>
      <c r="F551" t="s">
        <v>31</v>
      </c>
      <c r="G551" t="s">
        <v>32</v>
      </c>
      <c r="H551" t="s">
        <v>1131</v>
      </c>
      <c r="I551">
        <v>7</v>
      </c>
      <c r="J551">
        <v>17</v>
      </c>
      <c r="K551">
        <v>180044</v>
      </c>
      <c r="L551">
        <v>2.1</v>
      </c>
      <c r="M551" t="s">
        <v>43</v>
      </c>
      <c r="N551">
        <v>89</v>
      </c>
    </row>
    <row r="552" spans="1:14" x14ac:dyDescent="0.35">
      <c r="A552" t="s">
        <v>1132</v>
      </c>
      <c r="B552" t="s">
        <v>23</v>
      </c>
      <c r="C552" t="s">
        <v>64</v>
      </c>
      <c r="D552" t="s">
        <v>17</v>
      </c>
      <c r="E552">
        <v>33</v>
      </c>
      <c r="F552" t="s">
        <v>18</v>
      </c>
      <c r="G552" t="s">
        <v>71</v>
      </c>
      <c r="H552" t="s">
        <v>1133</v>
      </c>
      <c r="I552">
        <v>12</v>
      </c>
      <c r="J552">
        <v>19</v>
      </c>
      <c r="K552">
        <v>365659</v>
      </c>
      <c r="L552">
        <v>3.1</v>
      </c>
      <c r="M552" t="s">
        <v>43</v>
      </c>
      <c r="N552">
        <v>82</v>
      </c>
    </row>
    <row r="553" spans="1:14" x14ac:dyDescent="0.35">
      <c r="A553" t="s">
        <v>1134</v>
      </c>
      <c r="B553" t="s">
        <v>23</v>
      </c>
      <c r="C553" t="s">
        <v>49</v>
      </c>
      <c r="D553" t="s">
        <v>17</v>
      </c>
      <c r="E553">
        <v>43</v>
      </c>
      <c r="F553" t="s">
        <v>70</v>
      </c>
      <c r="G553" t="s">
        <v>19</v>
      </c>
      <c r="H553" t="s">
        <v>1135</v>
      </c>
      <c r="I553">
        <v>4</v>
      </c>
      <c r="J553">
        <v>6</v>
      </c>
      <c r="K553">
        <v>119310</v>
      </c>
      <c r="L553">
        <v>4.9000000000000004</v>
      </c>
      <c r="M553" t="s">
        <v>21</v>
      </c>
      <c r="N553">
        <v>64</v>
      </c>
    </row>
    <row r="554" spans="1:14" x14ac:dyDescent="0.35">
      <c r="A554" t="s">
        <v>1136</v>
      </c>
      <c r="B554" t="s">
        <v>111</v>
      </c>
      <c r="C554" t="s">
        <v>93</v>
      </c>
      <c r="D554" t="s">
        <v>25</v>
      </c>
      <c r="E554">
        <v>26</v>
      </c>
      <c r="F554" t="s">
        <v>31</v>
      </c>
      <c r="G554" t="s">
        <v>88</v>
      </c>
      <c r="H554" t="s">
        <v>1137</v>
      </c>
      <c r="I554">
        <v>10</v>
      </c>
      <c r="J554">
        <v>20</v>
      </c>
      <c r="K554">
        <v>426466</v>
      </c>
      <c r="L554">
        <v>3.8</v>
      </c>
      <c r="M554" t="s">
        <v>43</v>
      </c>
      <c r="N554">
        <v>98</v>
      </c>
    </row>
    <row r="555" spans="1:14" x14ac:dyDescent="0.35">
      <c r="A555" t="s">
        <v>1138</v>
      </c>
      <c r="B555" t="s">
        <v>69</v>
      </c>
      <c r="C555" t="s">
        <v>49</v>
      </c>
      <c r="D555" t="s">
        <v>17</v>
      </c>
      <c r="E555">
        <v>22</v>
      </c>
      <c r="F555" t="s">
        <v>18</v>
      </c>
      <c r="G555" t="s">
        <v>26</v>
      </c>
      <c r="H555" t="s">
        <v>1139</v>
      </c>
      <c r="I555">
        <v>13</v>
      </c>
      <c r="J555">
        <v>20</v>
      </c>
      <c r="K555">
        <v>209909</v>
      </c>
      <c r="L555">
        <v>3.9</v>
      </c>
      <c r="M555" t="s">
        <v>43</v>
      </c>
      <c r="N555">
        <v>99</v>
      </c>
    </row>
    <row r="556" spans="1:14" x14ac:dyDescent="0.35">
      <c r="A556" t="s">
        <v>1140</v>
      </c>
      <c r="B556" t="s">
        <v>69</v>
      </c>
      <c r="C556" t="s">
        <v>49</v>
      </c>
      <c r="D556" t="s">
        <v>17</v>
      </c>
      <c r="E556">
        <v>49</v>
      </c>
      <c r="F556" t="s">
        <v>18</v>
      </c>
      <c r="G556" t="s">
        <v>61</v>
      </c>
      <c r="H556" t="s">
        <v>1141</v>
      </c>
      <c r="I556">
        <v>11</v>
      </c>
      <c r="J556">
        <v>14</v>
      </c>
      <c r="K556">
        <v>83634</v>
      </c>
      <c r="L556">
        <v>4.5999999999999996</v>
      </c>
      <c r="M556" t="s">
        <v>21</v>
      </c>
      <c r="N556">
        <v>47</v>
      </c>
    </row>
    <row r="557" spans="1:14" x14ac:dyDescent="0.35">
      <c r="A557" t="s">
        <v>1142</v>
      </c>
      <c r="B557" t="s">
        <v>69</v>
      </c>
      <c r="C557" t="s">
        <v>52</v>
      </c>
      <c r="D557" t="s">
        <v>25</v>
      </c>
      <c r="E557">
        <v>21</v>
      </c>
      <c r="F557" t="s">
        <v>70</v>
      </c>
      <c r="G557" t="s">
        <v>71</v>
      </c>
      <c r="H557" t="s">
        <v>1143</v>
      </c>
      <c r="I557">
        <v>16</v>
      </c>
      <c r="J557">
        <v>18</v>
      </c>
      <c r="K557">
        <v>114996</v>
      </c>
      <c r="L557">
        <v>3.7</v>
      </c>
      <c r="M557" t="s">
        <v>43</v>
      </c>
      <c r="N557">
        <v>91</v>
      </c>
    </row>
    <row r="558" spans="1:14" x14ac:dyDescent="0.35">
      <c r="A558" t="s">
        <v>1144</v>
      </c>
      <c r="B558" t="s">
        <v>23</v>
      </c>
      <c r="C558" t="s">
        <v>56</v>
      </c>
      <c r="D558" t="s">
        <v>17</v>
      </c>
      <c r="E558">
        <v>42</v>
      </c>
      <c r="F558" t="s">
        <v>18</v>
      </c>
      <c r="G558" t="s">
        <v>71</v>
      </c>
      <c r="H558" t="s">
        <v>1145</v>
      </c>
      <c r="I558">
        <v>9</v>
      </c>
      <c r="J558">
        <v>12</v>
      </c>
      <c r="K558">
        <v>108284</v>
      </c>
      <c r="L558">
        <v>4.8</v>
      </c>
      <c r="M558" t="s">
        <v>43</v>
      </c>
      <c r="N558">
        <v>100</v>
      </c>
    </row>
    <row r="559" spans="1:14" x14ac:dyDescent="0.35">
      <c r="A559" t="s">
        <v>1146</v>
      </c>
      <c r="B559" t="s">
        <v>69</v>
      </c>
      <c r="C559" t="s">
        <v>49</v>
      </c>
      <c r="D559" t="s">
        <v>25</v>
      </c>
      <c r="E559">
        <v>56</v>
      </c>
      <c r="F559" t="s">
        <v>37</v>
      </c>
      <c r="G559" t="s">
        <v>32</v>
      </c>
      <c r="H559" t="s">
        <v>1147</v>
      </c>
      <c r="I559">
        <v>17</v>
      </c>
      <c r="J559">
        <v>22</v>
      </c>
      <c r="K559">
        <v>111998</v>
      </c>
      <c r="L559">
        <v>3.2</v>
      </c>
      <c r="M559" t="s">
        <v>43</v>
      </c>
      <c r="N559">
        <v>98</v>
      </c>
    </row>
    <row r="560" spans="1:14" x14ac:dyDescent="0.35">
      <c r="A560" t="s">
        <v>1148</v>
      </c>
      <c r="B560" t="s">
        <v>69</v>
      </c>
      <c r="C560" t="s">
        <v>93</v>
      </c>
      <c r="D560" t="s">
        <v>25</v>
      </c>
      <c r="E560">
        <v>44</v>
      </c>
      <c r="F560" t="s">
        <v>31</v>
      </c>
      <c r="G560" t="s">
        <v>26</v>
      </c>
      <c r="H560" t="s">
        <v>1149</v>
      </c>
      <c r="I560">
        <v>18</v>
      </c>
      <c r="J560">
        <v>24</v>
      </c>
      <c r="K560">
        <v>297476</v>
      </c>
      <c r="L560">
        <v>2.7</v>
      </c>
      <c r="M560" t="s">
        <v>43</v>
      </c>
      <c r="N560">
        <v>77</v>
      </c>
    </row>
    <row r="561" spans="1:14" x14ac:dyDescent="0.35">
      <c r="A561" t="s">
        <v>1150</v>
      </c>
      <c r="B561" t="s">
        <v>111</v>
      </c>
      <c r="C561" t="s">
        <v>82</v>
      </c>
      <c r="D561" t="s">
        <v>17</v>
      </c>
      <c r="E561">
        <v>27</v>
      </c>
      <c r="F561" t="s">
        <v>74</v>
      </c>
      <c r="G561" t="s">
        <v>75</v>
      </c>
      <c r="H561" t="s">
        <v>1151</v>
      </c>
      <c r="I561">
        <v>6</v>
      </c>
      <c r="J561">
        <v>9</v>
      </c>
      <c r="K561">
        <v>277350</v>
      </c>
      <c r="L561">
        <v>4.3</v>
      </c>
      <c r="M561" t="s">
        <v>43</v>
      </c>
      <c r="N561">
        <v>98</v>
      </c>
    </row>
    <row r="562" spans="1:14" x14ac:dyDescent="0.35">
      <c r="A562" t="s">
        <v>1152</v>
      </c>
      <c r="B562" t="s">
        <v>55</v>
      </c>
      <c r="C562" t="s">
        <v>16</v>
      </c>
      <c r="D562" t="s">
        <v>25</v>
      </c>
      <c r="E562">
        <v>35</v>
      </c>
      <c r="F562" t="s">
        <v>79</v>
      </c>
      <c r="G562" t="s">
        <v>85</v>
      </c>
      <c r="H562" t="s">
        <v>395</v>
      </c>
      <c r="I562">
        <v>11</v>
      </c>
      <c r="J562">
        <v>20</v>
      </c>
      <c r="K562">
        <v>488045</v>
      </c>
      <c r="L562">
        <v>3.7</v>
      </c>
      <c r="M562" t="s">
        <v>43</v>
      </c>
      <c r="N562">
        <v>96</v>
      </c>
    </row>
    <row r="563" spans="1:14" x14ac:dyDescent="0.35">
      <c r="A563" t="s">
        <v>1153</v>
      </c>
      <c r="B563" t="s">
        <v>29</v>
      </c>
      <c r="C563" t="s">
        <v>16</v>
      </c>
      <c r="D563" t="s">
        <v>25</v>
      </c>
      <c r="E563">
        <v>41</v>
      </c>
      <c r="F563" t="s">
        <v>74</v>
      </c>
      <c r="G563" t="s">
        <v>26</v>
      </c>
      <c r="H563" t="s">
        <v>1154</v>
      </c>
      <c r="I563">
        <v>20</v>
      </c>
      <c r="J563">
        <v>24</v>
      </c>
      <c r="K563">
        <v>308582</v>
      </c>
      <c r="L563">
        <v>4.9000000000000004</v>
      </c>
      <c r="M563" t="s">
        <v>43</v>
      </c>
      <c r="N563">
        <v>92</v>
      </c>
    </row>
    <row r="564" spans="1:14" x14ac:dyDescent="0.35">
      <c r="A564" t="s">
        <v>1155</v>
      </c>
      <c r="B564" t="s">
        <v>69</v>
      </c>
      <c r="C564" t="s">
        <v>82</v>
      </c>
      <c r="D564" t="s">
        <v>17</v>
      </c>
      <c r="E564">
        <v>53</v>
      </c>
      <c r="F564" t="s">
        <v>70</v>
      </c>
      <c r="G564" t="s">
        <v>19</v>
      </c>
      <c r="H564" t="s">
        <v>1156</v>
      </c>
      <c r="I564">
        <v>9</v>
      </c>
      <c r="J564">
        <v>18</v>
      </c>
      <c r="K564">
        <v>398445</v>
      </c>
      <c r="L564">
        <v>2.1</v>
      </c>
      <c r="M564" t="s">
        <v>21</v>
      </c>
      <c r="N564">
        <v>66</v>
      </c>
    </row>
    <row r="565" spans="1:14" x14ac:dyDescent="0.35">
      <c r="A565" t="s">
        <v>1157</v>
      </c>
      <c r="B565" t="s">
        <v>29</v>
      </c>
      <c r="C565" t="s">
        <v>24</v>
      </c>
      <c r="D565" t="s">
        <v>25</v>
      </c>
      <c r="E565">
        <v>22</v>
      </c>
      <c r="F565" t="s">
        <v>37</v>
      </c>
      <c r="G565" t="s">
        <v>32</v>
      </c>
      <c r="H565" t="s">
        <v>645</v>
      </c>
      <c r="I565">
        <v>15</v>
      </c>
      <c r="J565">
        <v>18</v>
      </c>
      <c r="K565">
        <v>413785</v>
      </c>
      <c r="L565">
        <v>4</v>
      </c>
      <c r="M565" t="s">
        <v>21</v>
      </c>
      <c r="N565">
        <v>53</v>
      </c>
    </row>
    <row r="566" spans="1:14" x14ac:dyDescent="0.35">
      <c r="A566" t="s">
        <v>1158</v>
      </c>
      <c r="B566" t="s">
        <v>15</v>
      </c>
      <c r="C566" t="s">
        <v>52</v>
      </c>
      <c r="D566" t="s">
        <v>17</v>
      </c>
      <c r="E566">
        <v>45</v>
      </c>
      <c r="F566" t="s">
        <v>46</v>
      </c>
      <c r="G566" t="s">
        <v>19</v>
      </c>
      <c r="H566" t="s">
        <v>97</v>
      </c>
      <c r="I566">
        <v>17</v>
      </c>
      <c r="J566">
        <v>24</v>
      </c>
      <c r="K566">
        <v>363811</v>
      </c>
      <c r="L566">
        <v>2.2000000000000002</v>
      </c>
      <c r="M566" t="s">
        <v>21</v>
      </c>
      <c r="N566">
        <v>70</v>
      </c>
    </row>
    <row r="567" spans="1:14" x14ac:dyDescent="0.35">
      <c r="A567" t="s">
        <v>1159</v>
      </c>
      <c r="B567" t="s">
        <v>29</v>
      </c>
      <c r="C567" t="s">
        <v>30</v>
      </c>
      <c r="D567" t="s">
        <v>25</v>
      </c>
      <c r="E567">
        <v>56</v>
      </c>
      <c r="F567" t="s">
        <v>70</v>
      </c>
      <c r="G567" t="s">
        <v>41</v>
      </c>
      <c r="H567" t="s">
        <v>1160</v>
      </c>
      <c r="I567">
        <v>12</v>
      </c>
      <c r="J567">
        <v>18</v>
      </c>
      <c r="K567">
        <v>261638</v>
      </c>
      <c r="L567">
        <v>4.2</v>
      </c>
      <c r="M567" t="s">
        <v>43</v>
      </c>
      <c r="N567">
        <v>74</v>
      </c>
    </row>
    <row r="568" spans="1:14" x14ac:dyDescent="0.35">
      <c r="A568" t="s">
        <v>1161</v>
      </c>
      <c r="B568" t="s">
        <v>69</v>
      </c>
      <c r="C568" t="s">
        <v>82</v>
      </c>
      <c r="D568" t="s">
        <v>17</v>
      </c>
      <c r="E568">
        <v>30</v>
      </c>
      <c r="F568" t="s">
        <v>31</v>
      </c>
      <c r="G568" t="s">
        <v>19</v>
      </c>
      <c r="H568" t="s">
        <v>1162</v>
      </c>
      <c r="I568">
        <v>15</v>
      </c>
      <c r="J568">
        <v>16</v>
      </c>
      <c r="K568">
        <v>50197</v>
      </c>
      <c r="L568">
        <v>3.8</v>
      </c>
      <c r="M568" t="s">
        <v>43</v>
      </c>
      <c r="N568">
        <v>97</v>
      </c>
    </row>
    <row r="569" spans="1:14" x14ac:dyDescent="0.35">
      <c r="A569" t="s">
        <v>1163</v>
      </c>
      <c r="B569" t="s">
        <v>23</v>
      </c>
      <c r="C569" t="s">
        <v>49</v>
      </c>
      <c r="D569" t="s">
        <v>17</v>
      </c>
      <c r="E569">
        <v>42</v>
      </c>
      <c r="F569" t="s">
        <v>46</v>
      </c>
      <c r="G569" t="s">
        <v>71</v>
      </c>
      <c r="H569" t="s">
        <v>1164</v>
      </c>
      <c r="I569">
        <v>8</v>
      </c>
      <c r="J569">
        <v>10</v>
      </c>
      <c r="K569">
        <v>221813</v>
      </c>
      <c r="L569">
        <v>3.2</v>
      </c>
      <c r="M569" t="s">
        <v>21</v>
      </c>
      <c r="N569">
        <v>58</v>
      </c>
    </row>
    <row r="570" spans="1:14" x14ac:dyDescent="0.35">
      <c r="A570" t="s">
        <v>1165</v>
      </c>
      <c r="B570" t="s">
        <v>29</v>
      </c>
      <c r="C570" t="s">
        <v>24</v>
      </c>
      <c r="D570" t="s">
        <v>17</v>
      </c>
      <c r="E570">
        <v>48</v>
      </c>
      <c r="F570" t="s">
        <v>46</v>
      </c>
      <c r="G570" t="s">
        <v>88</v>
      </c>
      <c r="H570" t="s">
        <v>1166</v>
      </c>
      <c r="I570">
        <v>14</v>
      </c>
      <c r="J570">
        <v>15</v>
      </c>
      <c r="K570">
        <v>459960</v>
      </c>
      <c r="L570">
        <v>2.2000000000000002</v>
      </c>
      <c r="M570" t="s">
        <v>21</v>
      </c>
      <c r="N570">
        <v>42</v>
      </c>
    </row>
    <row r="571" spans="1:14" x14ac:dyDescent="0.35">
      <c r="A571" t="s">
        <v>1167</v>
      </c>
      <c r="B571" t="s">
        <v>29</v>
      </c>
      <c r="C571" t="s">
        <v>56</v>
      </c>
      <c r="D571" t="s">
        <v>25</v>
      </c>
      <c r="E571">
        <v>39</v>
      </c>
      <c r="F571" t="s">
        <v>18</v>
      </c>
      <c r="G571" t="s">
        <v>88</v>
      </c>
      <c r="H571" t="s">
        <v>974</v>
      </c>
      <c r="I571">
        <v>15</v>
      </c>
      <c r="J571">
        <v>25</v>
      </c>
      <c r="K571">
        <v>311872</v>
      </c>
      <c r="L571">
        <v>3.8</v>
      </c>
      <c r="M571" t="s">
        <v>21</v>
      </c>
      <c r="N571">
        <v>63</v>
      </c>
    </row>
    <row r="572" spans="1:14" x14ac:dyDescent="0.35">
      <c r="A572" t="s">
        <v>1168</v>
      </c>
      <c r="B572" t="s">
        <v>40</v>
      </c>
      <c r="C572" t="s">
        <v>16</v>
      </c>
      <c r="D572" t="s">
        <v>17</v>
      </c>
      <c r="E572">
        <v>39</v>
      </c>
      <c r="F572" t="s">
        <v>31</v>
      </c>
      <c r="G572" t="s">
        <v>85</v>
      </c>
      <c r="H572" t="s">
        <v>134</v>
      </c>
      <c r="I572">
        <v>8</v>
      </c>
      <c r="J572">
        <v>15</v>
      </c>
      <c r="K572">
        <v>474971</v>
      </c>
      <c r="L572">
        <v>2.6</v>
      </c>
      <c r="M572" t="s">
        <v>43</v>
      </c>
      <c r="N572">
        <v>83</v>
      </c>
    </row>
    <row r="573" spans="1:14" x14ac:dyDescent="0.35">
      <c r="A573" t="s">
        <v>1169</v>
      </c>
      <c r="B573" t="s">
        <v>96</v>
      </c>
      <c r="C573" t="s">
        <v>49</v>
      </c>
      <c r="D573" t="s">
        <v>25</v>
      </c>
      <c r="E573">
        <v>32</v>
      </c>
      <c r="F573" t="s">
        <v>46</v>
      </c>
      <c r="G573" t="s">
        <v>85</v>
      </c>
      <c r="H573" t="s">
        <v>1170</v>
      </c>
      <c r="I573">
        <v>12</v>
      </c>
      <c r="J573">
        <v>18</v>
      </c>
      <c r="K573">
        <v>175827</v>
      </c>
      <c r="L573">
        <v>2.8</v>
      </c>
      <c r="M573" t="s">
        <v>43</v>
      </c>
      <c r="N573">
        <v>86</v>
      </c>
    </row>
    <row r="574" spans="1:14" x14ac:dyDescent="0.35">
      <c r="A574" t="s">
        <v>1171</v>
      </c>
      <c r="B574" t="s">
        <v>96</v>
      </c>
      <c r="C574" t="s">
        <v>49</v>
      </c>
      <c r="D574" t="s">
        <v>25</v>
      </c>
      <c r="E574">
        <v>25</v>
      </c>
      <c r="F574" t="s">
        <v>79</v>
      </c>
      <c r="G574" t="s">
        <v>85</v>
      </c>
      <c r="H574" t="s">
        <v>1172</v>
      </c>
      <c r="I574">
        <v>9</v>
      </c>
      <c r="J574">
        <v>11</v>
      </c>
      <c r="K574">
        <v>69426</v>
      </c>
      <c r="L574">
        <v>2</v>
      </c>
      <c r="M574" t="s">
        <v>21</v>
      </c>
      <c r="N574">
        <v>56</v>
      </c>
    </row>
    <row r="575" spans="1:14" x14ac:dyDescent="0.35">
      <c r="A575" t="s">
        <v>1173</v>
      </c>
      <c r="B575" t="s">
        <v>29</v>
      </c>
      <c r="C575" t="s">
        <v>52</v>
      </c>
      <c r="D575" t="s">
        <v>25</v>
      </c>
      <c r="E575">
        <v>36</v>
      </c>
      <c r="F575" t="s">
        <v>18</v>
      </c>
      <c r="G575" t="s">
        <v>71</v>
      </c>
      <c r="H575" t="s">
        <v>1174</v>
      </c>
      <c r="I575">
        <v>9</v>
      </c>
      <c r="J575">
        <v>19</v>
      </c>
      <c r="K575">
        <v>57882</v>
      </c>
      <c r="L575">
        <v>2.8</v>
      </c>
      <c r="M575" t="s">
        <v>21</v>
      </c>
      <c r="N575">
        <v>53</v>
      </c>
    </row>
    <row r="576" spans="1:14" x14ac:dyDescent="0.35">
      <c r="A576" t="s">
        <v>1175</v>
      </c>
      <c r="B576" t="s">
        <v>15</v>
      </c>
      <c r="C576" t="s">
        <v>30</v>
      </c>
      <c r="D576" t="s">
        <v>17</v>
      </c>
      <c r="E576">
        <v>31</v>
      </c>
      <c r="F576" t="s">
        <v>37</v>
      </c>
      <c r="G576" t="s">
        <v>88</v>
      </c>
      <c r="H576" t="s">
        <v>899</v>
      </c>
      <c r="I576">
        <v>12</v>
      </c>
      <c r="J576">
        <v>21</v>
      </c>
      <c r="K576">
        <v>221097</v>
      </c>
      <c r="L576">
        <v>2.2999999999999998</v>
      </c>
      <c r="M576" t="s">
        <v>21</v>
      </c>
      <c r="N576">
        <v>42</v>
      </c>
    </row>
    <row r="577" spans="1:14" x14ac:dyDescent="0.35">
      <c r="A577" t="s">
        <v>1176</v>
      </c>
      <c r="B577" t="s">
        <v>111</v>
      </c>
      <c r="C577" t="s">
        <v>82</v>
      </c>
      <c r="D577" t="s">
        <v>17</v>
      </c>
      <c r="E577">
        <v>28</v>
      </c>
      <c r="F577" t="s">
        <v>74</v>
      </c>
      <c r="G577" t="s">
        <v>85</v>
      </c>
      <c r="H577" t="s">
        <v>1177</v>
      </c>
      <c r="I577">
        <v>15</v>
      </c>
      <c r="J577">
        <v>21</v>
      </c>
      <c r="K577">
        <v>492654</v>
      </c>
      <c r="L577">
        <v>4.0999999999999996</v>
      </c>
      <c r="M577" t="s">
        <v>21</v>
      </c>
      <c r="N577">
        <v>68</v>
      </c>
    </row>
    <row r="578" spans="1:14" x14ac:dyDescent="0.35">
      <c r="A578" t="s">
        <v>1178</v>
      </c>
      <c r="B578" t="s">
        <v>111</v>
      </c>
      <c r="C578" t="s">
        <v>93</v>
      </c>
      <c r="D578" t="s">
        <v>25</v>
      </c>
      <c r="E578">
        <v>39</v>
      </c>
      <c r="F578" t="s">
        <v>37</v>
      </c>
      <c r="G578" t="s">
        <v>26</v>
      </c>
      <c r="H578" t="s">
        <v>1179</v>
      </c>
      <c r="I578">
        <v>15</v>
      </c>
      <c r="J578">
        <v>18</v>
      </c>
      <c r="K578">
        <v>51744</v>
      </c>
      <c r="L578">
        <v>3.9</v>
      </c>
      <c r="M578" t="s">
        <v>21</v>
      </c>
      <c r="N578">
        <v>32</v>
      </c>
    </row>
    <row r="579" spans="1:14" x14ac:dyDescent="0.35">
      <c r="A579" t="s">
        <v>1180</v>
      </c>
      <c r="B579" t="s">
        <v>45</v>
      </c>
      <c r="C579" t="s">
        <v>93</v>
      </c>
      <c r="D579" t="s">
        <v>25</v>
      </c>
      <c r="E579">
        <v>27</v>
      </c>
      <c r="F579" t="s">
        <v>70</v>
      </c>
      <c r="G579" t="s">
        <v>75</v>
      </c>
      <c r="H579" t="s">
        <v>1181</v>
      </c>
      <c r="I579">
        <v>0</v>
      </c>
      <c r="J579">
        <v>5</v>
      </c>
      <c r="K579">
        <v>423968</v>
      </c>
      <c r="L579">
        <v>2.4</v>
      </c>
      <c r="M579" t="s">
        <v>21</v>
      </c>
      <c r="N579">
        <v>46</v>
      </c>
    </row>
    <row r="580" spans="1:14" x14ac:dyDescent="0.35">
      <c r="A580" t="s">
        <v>1182</v>
      </c>
      <c r="B580" t="s">
        <v>29</v>
      </c>
      <c r="C580" t="s">
        <v>49</v>
      </c>
      <c r="D580" t="s">
        <v>25</v>
      </c>
      <c r="E580">
        <v>55</v>
      </c>
      <c r="F580" t="s">
        <v>46</v>
      </c>
      <c r="G580" t="s">
        <v>61</v>
      </c>
      <c r="H580" t="s">
        <v>1183</v>
      </c>
      <c r="I580">
        <v>14</v>
      </c>
      <c r="J580">
        <v>17</v>
      </c>
      <c r="K580">
        <v>195989</v>
      </c>
      <c r="L580">
        <v>2.9</v>
      </c>
      <c r="M580" t="s">
        <v>21</v>
      </c>
      <c r="N580">
        <v>58</v>
      </c>
    </row>
    <row r="581" spans="1:14" x14ac:dyDescent="0.35">
      <c r="A581" t="s">
        <v>1184</v>
      </c>
      <c r="B581" t="s">
        <v>23</v>
      </c>
      <c r="C581" t="s">
        <v>49</v>
      </c>
      <c r="D581" t="s">
        <v>17</v>
      </c>
      <c r="E581">
        <v>59</v>
      </c>
      <c r="F581" t="s">
        <v>79</v>
      </c>
      <c r="G581" t="s">
        <v>19</v>
      </c>
      <c r="H581" t="s">
        <v>1185</v>
      </c>
      <c r="I581">
        <v>14</v>
      </c>
      <c r="J581">
        <v>23</v>
      </c>
      <c r="K581">
        <v>88504</v>
      </c>
      <c r="L581">
        <v>4.5</v>
      </c>
      <c r="M581" t="s">
        <v>43</v>
      </c>
      <c r="N581">
        <v>86</v>
      </c>
    </row>
    <row r="582" spans="1:14" x14ac:dyDescent="0.35">
      <c r="A582" t="s">
        <v>1186</v>
      </c>
      <c r="B582" t="s">
        <v>111</v>
      </c>
      <c r="C582" t="s">
        <v>93</v>
      </c>
      <c r="D582" t="s">
        <v>17</v>
      </c>
      <c r="E582">
        <v>37</v>
      </c>
      <c r="F582" t="s">
        <v>37</v>
      </c>
      <c r="G582" t="s">
        <v>41</v>
      </c>
      <c r="H582" t="s">
        <v>1187</v>
      </c>
      <c r="I582">
        <v>5</v>
      </c>
      <c r="J582">
        <v>6</v>
      </c>
      <c r="K582">
        <v>396359</v>
      </c>
      <c r="L582">
        <v>2.1</v>
      </c>
      <c r="M582" t="s">
        <v>43</v>
      </c>
      <c r="N582">
        <v>92</v>
      </c>
    </row>
    <row r="583" spans="1:14" x14ac:dyDescent="0.35">
      <c r="A583" t="s">
        <v>1188</v>
      </c>
      <c r="B583" t="s">
        <v>78</v>
      </c>
      <c r="C583" t="s">
        <v>82</v>
      </c>
      <c r="D583" t="s">
        <v>25</v>
      </c>
      <c r="E583">
        <v>44</v>
      </c>
      <c r="F583" t="s">
        <v>74</v>
      </c>
      <c r="G583" t="s">
        <v>85</v>
      </c>
      <c r="H583" t="s">
        <v>1189</v>
      </c>
      <c r="I583">
        <v>8</v>
      </c>
      <c r="J583">
        <v>11</v>
      </c>
      <c r="K583">
        <v>489298</v>
      </c>
      <c r="L583">
        <v>2.9</v>
      </c>
      <c r="M583" t="s">
        <v>21</v>
      </c>
      <c r="N583">
        <v>40</v>
      </c>
    </row>
    <row r="584" spans="1:14" x14ac:dyDescent="0.35">
      <c r="A584" t="s">
        <v>1190</v>
      </c>
      <c r="B584" t="s">
        <v>96</v>
      </c>
      <c r="C584" t="s">
        <v>56</v>
      </c>
      <c r="D584" t="s">
        <v>25</v>
      </c>
      <c r="E584">
        <v>56</v>
      </c>
      <c r="F584" t="s">
        <v>31</v>
      </c>
      <c r="G584" t="s">
        <v>19</v>
      </c>
      <c r="H584" t="s">
        <v>1191</v>
      </c>
      <c r="I584">
        <v>3</v>
      </c>
      <c r="J584">
        <v>8</v>
      </c>
      <c r="K584">
        <v>395432</v>
      </c>
      <c r="L584">
        <v>3.4</v>
      </c>
      <c r="M584" t="s">
        <v>43</v>
      </c>
      <c r="N584">
        <v>91</v>
      </c>
    </row>
    <row r="585" spans="1:14" x14ac:dyDescent="0.35">
      <c r="A585" t="s">
        <v>1192</v>
      </c>
      <c r="B585" t="s">
        <v>35</v>
      </c>
      <c r="C585" t="s">
        <v>30</v>
      </c>
      <c r="D585" t="s">
        <v>17</v>
      </c>
      <c r="E585">
        <v>38</v>
      </c>
      <c r="F585" t="s">
        <v>18</v>
      </c>
      <c r="G585" t="s">
        <v>19</v>
      </c>
      <c r="H585" t="s">
        <v>1193</v>
      </c>
      <c r="I585">
        <v>19</v>
      </c>
      <c r="J585">
        <v>19</v>
      </c>
      <c r="K585">
        <v>53422</v>
      </c>
      <c r="L585">
        <v>4.3</v>
      </c>
      <c r="M585" t="s">
        <v>21</v>
      </c>
      <c r="N585">
        <v>54</v>
      </c>
    </row>
    <row r="586" spans="1:14" x14ac:dyDescent="0.35">
      <c r="A586" t="s">
        <v>1194</v>
      </c>
      <c r="B586" t="s">
        <v>40</v>
      </c>
      <c r="C586" t="s">
        <v>56</v>
      </c>
      <c r="D586" t="s">
        <v>17</v>
      </c>
      <c r="E586">
        <v>33</v>
      </c>
      <c r="F586" t="s">
        <v>74</v>
      </c>
      <c r="G586" t="s">
        <v>32</v>
      </c>
      <c r="H586" t="s">
        <v>1195</v>
      </c>
      <c r="I586">
        <v>6</v>
      </c>
      <c r="J586">
        <v>7</v>
      </c>
      <c r="K586">
        <v>299489</v>
      </c>
      <c r="L586">
        <v>3.1</v>
      </c>
      <c r="M586" t="s">
        <v>21</v>
      </c>
      <c r="N586">
        <v>60</v>
      </c>
    </row>
    <row r="587" spans="1:14" x14ac:dyDescent="0.35">
      <c r="A587" t="s">
        <v>1196</v>
      </c>
      <c r="B587" t="s">
        <v>60</v>
      </c>
      <c r="C587" t="s">
        <v>93</v>
      </c>
      <c r="D587" t="s">
        <v>25</v>
      </c>
      <c r="E587">
        <v>46</v>
      </c>
      <c r="F587" t="s">
        <v>46</v>
      </c>
      <c r="G587" t="s">
        <v>26</v>
      </c>
      <c r="H587" t="s">
        <v>1197</v>
      </c>
      <c r="I587">
        <v>1</v>
      </c>
      <c r="J587">
        <v>2</v>
      </c>
      <c r="K587">
        <v>260301</v>
      </c>
      <c r="L587">
        <v>4.7</v>
      </c>
      <c r="M587" t="s">
        <v>21</v>
      </c>
      <c r="N587">
        <v>67</v>
      </c>
    </row>
    <row r="588" spans="1:14" x14ac:dyDescent="0.35">
      <c r="A588" t="s">
        <v>1198</v>
      </c>
      <c r="B588" t="s">
        <v>69</v>
      </c>
      <c r="C588" t="s">
        <v>16</v>
      </c>
      <c r="D588" t="s">
        <v>25</v>
      </c>
      <c r="E588">
        <v>28</v>
      </c>
      <c r="F588" t="s">
        <v>37</v>
      </c>
      <c r="G588" t="s">
        <v>57</v>
      </c>
      <c r="H588" t="s">
        <v>1199</v>
      </c>
      <c r="I588">
        <v>19</v>
      </c>
      <c r="J588">
        <v>24</v>
      </c>
      <c r="K588">
        <v>244632</v>
      </c>
      <c r="L588">
        <v>3.9</v>
      </c>
      <c r="M588" t="s">
        <v>43</v>
      </c>
      <c r="N588">
        <v>84</v>
      </c>
    </row>
    <row r="589" spans="1:14" x14ac:dyDescent="0.35">
      <c r="A589" t="s">
        <v>1200</v>
      </c>
      <c r="B589" t="s">
        <v>69</v>
      </c>
      <c r="C589" t="s">
        <v>82</v>
      </c>
      <c r="D589" t="s">
        <v>17</v>
      </c>
      <c r="E589">
        <v>45</v>
      </c>
      <c r="F589" t="s">
        <v>31</v>
      </c>
      <c r="G589" t="s">
        <v>57</v>
      </c>
      <c r="H589" t="s">
        <v>1201</v>
      </c>
      <c r="I589">
        <v>18</v>
      </c>
      <c r="J589">
        <v>19</v>
      </c>
      <c r="K589">
        <v>385042</v>
      </c>
      <c r="L589">
        <v>4.8</v>
      </c>
      <c r="M589" t="s">
        <v>21</v>
      </c>
      <c r="N589">
        <v>32</v>
      </c>
    </row>
    <row r="590" spans="1:14" x14ac:dyDescent="0.35">
      <c r="A590" t="s">
        <v>1202</v>
      </c>
      <c r="B590" t="s">
        <v>60</v>
      </c>
      <c r="C590" t="s">
        <v>24</v>
      </c>
      <c r="D590" t="s">
        <v>17</v>
      </c>
      <c r="E590">
        <v>49</v>
      </c>
      <c r="F590" t="s">
        <v>46</v>
      </c>
      <c r="G590" t="s">
        <v>32</v>
      </c>
      <c r="H590" t="s">
        <v>1203</v>
      </c>
      <c r="I590">
        <v>9</v>
      </c>
      <c r="J590">
        <v>19</v>
      </c>
      <c r="K590">
        <v>343931</v>
      </c>
      <c r="L590">
        <v>4.2</v>
      </c>
      <c r="M590" t="s">
        <v>43</v>
      </c>
      <c r="N590">
        <v>99</v>
      </c>
    </row>
    <row r="591" spans="1:14" x14ac:dyDescent="0.35">
      <c r="A591" t="s">
        <v>1204</v>
      </c>
      <c r="B591" t="s">
        <v>111</v>
      </c>
      <c r="C591" t="s">
        <v>56</v>
      </c>
      <c r="D591" t="s">
        <v>25</v>
      </c>
      <c r="E591">
        <v>25</v>
      </c>
      <c r="F591" t="s">
        <v>31</v>
      </c>
      <c r="G591" t="s">
        <v>71</v>
      </c>
      <c r="H591" t="s">
        <v>1205</v>
      </c>
      <c r="I591">
        <v>19</v>
      </c>
      <c r="J591">
        <v>26</v>
      </c>
      <c r="K591">
        <v>451305</v>
      </c>
      <c r="L591">
        <v>3.7</v>
      </c>
      <c r="M591" t="s">
        <v>21</v>
      </c>
      <c r="N591">
        <v>51</v>
      </c>
    </row>
    <row r="592" spans="1:14" x14ac:dyDescent="0.35">
      <c r="A592" t="s">
        <v>1206</v>
      </c>
      <c r="B592" t="s">
        <v>111</v>
      </c>
      <c r="C592" t="s">
        <v>52</v>
      </c>
      <c r="D592" t="s">
        <v>17</v>
      </c>
      <c r="E592">
        <v>36</v>
      </c>
      <c r="F592" t="s">
        <v>74</v>
      </c>
      <c r="G592" t="s">
        <v>75</v>
      </c>
      <c r="H592" t="s">
        <v>1207</v>
      </c>
      <c r="I592">
        <v>11</v>
      </c>
      <c r="J592">
        <v>12</v>
      </c>
      <c r="K592">
        <v>104352</v>
      </c>
      <c r="L592">
        <v>2.8</v>
      </c>
      <c r="M592" t="s">
        <v>43</v>
      </c>
      <c r="N592">
        <v>87</v>
      </c>
    </row>
    <row r="593" spans="1:14" x14ac:dyDescent="0.35">
      <c r="A593" t="s">
        <v>1208</v>
      </c>
      <c r="B593" t="s">
        <v>40</v>
      </c>
      <c r="C593" t="s">
        <v>93</v>
      </c>
      <c r="D593" t="s">
        <v>17</v>
      </c>
      <c r="E593">
        <v>29</v>
      </c>
      <c r="F593" t="s">
        <v>70</v>
      </c>
      <c r="G593" t="s">
        <v>57</v>
      </c>
      <c r="H593" t="s">
        <v>1209</v>
      </c>
      <c r="I593">
        <v>6</v>
      </c>
      <c r="J593">
        <v>6</v>
      </c>
      <c r="K593">
        <v>231773</v>
      </c>
      <c r="L593">
        <v>3.2</v>
      </c>
      <c r="M593" t="s">
        <v>43</v>
      </c>
      <c r="N593">
        <v>89</v>
      </c>
    </row>
    <row r="594" spans="1:14" x14ac:dyDescent="0.35">
      <c r="A594" t="s">
        <v>1210</v>
      </c>
      <c r="B594" t="s">
        <v>55</v>
      </c>
      <c r="C594" t="s">
        <v>16</v>
      </c>
      <c r="D594" t="s">
        <v>17</v>
      </c>
      <c r="E594">
        <v>30</v>
      </c>
      <c r="F594" t="s">
        <v>18</v>
      </c>
      <c r="G594" t="s">
        <v>19</v>
      </c>
      <c r="H594" t="s">
        <v>1211</v>
      </c>
      <c r="I594">
        <v>4</v>
      </c>
      <c r="J594">
        <v>11</v>
      </c>
      <c r="K594">
        <v>310400</v>
      </c>
      <c r="L594">
        <v>3.1</v>
      </c>
      <c r="M594" t="s">
        <v>21</v>
      </c>
      <c r="N594">
        <v>66</v>
      </c>
    </row>
    <row r="595" spans="1:14" x14ac:dyDescent="0.35">
      <c r="A595" t="s">
        <v>1212</v>
      </c>
      <c r="B595" t="s">
        <v>29</v>
      </c>
      <c r="C595" t="s">
        <v>36</v>
      </c>
      <c r="D595" t="s">
        <v>25</v>
      </c>
      <c r="E595">
        <v>49</v>
      </c>
      <c r="F595" t="s">
        <v>37</v>
      </c>
      <c r="G595" t="s">
        <v>19</v>
      </c>
      <c r="H595" t="s">
        <v>1213</v>
      </c>
      <c r="I595">
        <v>16</v>
      </c>
      <c r="J595">
        <v>23</v>
      </c>
      <c r="K595">
        <v>427991</v>
      </c>
      <c r="L595">
        <v>3.9</v>
      </c>
      <c r="M595" t="s">
        <v>43</v>
      </c>
      <c r="N595">
        <v>100</v>
      </c>
    </row>
    <row r="596" spans="1:14" x14ac:dyDescent="0.35">
      <c r="A596" t="s">
        <v>1214</v>
      </c>
      <c r="B596" t="s">
        <v>40</v>
      </c>
      <c r="C596" t="s">
        <v>52</v>
      </c>
      <c r="D596" t="s">
        <v>25</v>
      </c>
      <c r="E596">
        <v>56</v>
      </c>
      <c r="F596" t="s">
        <v>70</v>
      </c>
      <c r="G596" t="s">
        <v>71</v>
      </c>
      <c r="H596" t="s">
        <v>867</v>
      </c>
      <c r="I596">
        <v>7</v>
      </c>
      <c r="J596">
        <v>7</v>
      </c>
      <c r="K596">
        <v>154190</v>
      </c>
      <c r="L596">
        <v>2.4</v>
      </c>
      <c r="M596" t="s">
        <v>21</v>
      </c>
      <c r="N596">
        <v>44</v>
      </c>
    </row>
    <row r="597" spans="1:14" x14ac:dyDescent="0.35">
      <c r="A597" t="s">
        <v>1215</v>
      </c>
      <c r="B597" t="s">
        <v>78</v>
      </c>
      <c r="C597" t="s">
        <v>93</v>
      </c>
      <c r="D597" t="s">
        <v>17</v>
      </c>
      <c r="E597">
        <v>60</v>
      </c>
      <c r="F597" t="s">
        <v>74</v>
      </c>
      <c r="G597" t="s">
        <v>71</v>
      </c>
      <c r="H597" t="s">
        <v>1216</v>
      </c>
      <c r="I597">
        <v>4</v>
      </c>
      <c r="J597">
        <v>12</v>
      </c>
      <c r="K597">
        <v>157925</v>
      </c>
      <c r="L597">
        <v>4</v>
      </c>
      <c r="M597" t="s">
        <v>43</v>
      </c>
      <c r="N597">
        <v>93</v>
      </c>
    </row>
    <row r="598" spans="1:14" x14ac:dyDescent="0.35">
      <c r="A598" t="s">
        <v>1217</v>
      </c>
      <c r="B598" t="s">
        <v>45</v>
      </c>
      <c r="C598" t="s">
        <v>49</v>
      </c>
      <c r="D598" t="s">
        <v>25</v>
      </c>
      <c r="E598">
        <v>48</v>
      </c>
      <c r="F598" t="s">
        <v>18</v>
      </c>
      <c r="G598" t="s">
        <v>57</v>
      </c>
      <c r="H598" t="s">
        <v>1218</v>
      </c>
      <c r="I598">
        <v>17</v>
      </c>
      <c r="J598">
        <v>27</v>
      </c>
      <c r="K598">
        <v>343580</v>
      </c>
      <c r="L598">
        <v>3.2</v>
      </c>
      <c r="M598" t="s">
        <v>21</v>
      </c>
      <c r="N598">
        <v>61</v>
      </c>
    </row>
    <row r="599" spans="1:14" x14ac:dyDescent="0.35">
      <c r="A599" t="s">
        <v>1219</v>
      </c>
      <c r="B599" t="s">
        <v>45</v>
      </c>
      <c r="C599" t="s">
        <v>36</v>
      </c>
      <c r="D599" t="s">
        <v>25</v>
      </c>
      <c r="E599">
        <v>28</v>
      </c>
      <c r="F599" t="s">
        <v>74</v>
      </c>
      <c r="G599" t="s">
        <v>75</v>
      </c>
      <c r="H599" t="s">
        <v>1220</v>
      </c>
      <c r="I599">
        <v>6</v>
      </c>
      <c r="J599">
        <v>15</v>
      </c>
      <c r="K599">
        <v>118719</v>
      </c>
      <c r="L599">
        <v>4.4000000000000004</v>
      </c>
      <c r="M599" t="s">
        <v>21</v>
      </c>
      <c r="N599">
        <v>70</v>
      </c>
    </row>
    <row r="600" spans="1:14" x14ac:dyDescent="0.35">
      <c r="A600" t="s">
        <v>1221</v>
      </c>
      <c r="B600" t="s">
        <v>55</v>
      </c>
      <c r="C600" t="s">
        <v>52</v>
      </c>
      <c r="D600" t="s">
        <v>25</v>
      </c>
      <c r="E600">
        <v>34</v>
      </c>
      <c r="F600" t="s">
        <v>46</v>
      </c>
      <c r="G600" t="s">
        <v>85</v>
      </c>
      <c r="H600" t="s">
        <v>1222</v>
      </c>
      <c r="I600">
        <v>0</v>
      </c>
      <c r="J600">
        <v>4</v>
      </c>
      <c r="K600">
        <v>456622</v>
      </c>
      <c r="L600">
        <v>2.6</v>
      </c>
      <c r="M600" t="s">
        <v>21</v>
      </c>
      <c r="N600">
        <v>46</v>
      </c>
    </row>
    <row r="601" spans="1:14" x14ac:dyDescent="0.35">
      <c r="A601" t="s">
        <v>1223</v>
      </c>
      <c r="B601" t="s">
        <v>29</v>
      </c>
      <c r="C601" t="s">
        <v>82</v>
      </c>
      <c r="D601" t="s">
        <v>25</v>
      </c>
      <c r="E601">
        <v>48</v>
      </c>
      <c r="F601" t="s">
        <v>70</v>
      </c>
      <c r="G601" t="s">
        <v>88</v>
      </c>
      <c r="H601" t="s">
        <v>1224</v>
      </c>
      <c r="I601">
        <v>14</v>
      </c>
      <c r="J601">
        <v>21</v>
      </c>
      <c r="K601">
        <v>468356</v>
      </c>
      <c r="L601">
        <v>2.4</v>
      </c>
      <c r="M601" t="s">
        <v>43</v>
      </c>
      <c r="N601">
        <v>72</v>
      </c>
    </row>
    <row r="602" spans="1:14" x14ac:dyDescent="0.35">
      <c r="A602" t="s">
        <v>1225</v>
      </c>
      <c r="B602" t="s">
        <v>40</v>
      </c>
      <c r="C602" t="s">
        <v>64</v>
      </c>
      <c r="D602" t="s">
        <v>17</v>
      </c>
      <c r="E602">
        <v>32</v>
      </c>
      <c r="F602" t="s">
        <v>18</v>
      </c>
      <c r="G602" t="s">
        <v>19</v>
      </c>
      <c r="H602" t="s">
        <v>1226</v>
      </c>
      <c r="I602">
        <v>4</v>
      </c>
      <c r="J602">
        <v>14</v>
      </c>
      <c r="K602">
        <v>332652</v>
      </c>
      <c r="L602">
        <v>3.6</v>
      </c>
      <c r="M602" t="s">
        <v>21</v>
      </c>
      <c r="N602">
        <v>44</v>
      </c>
    </row>
    <row r="603" spans="1:14" x14ac:dyDescent="0.35">
      <c r="A603" t="s">
        <v>1227</v>
      </c>
      <c r="B603" t="s">
        <v>35</v>
      </c>
      <c r="C603" t="s">
        <v>16</v>
      </c>
      <c r="D603" t="s">
        <v>25</v>
      </c>
      <c r="E603">
        <v>42</v>
      </c>
      <c r="F603" t="s">
        <v>79</v>
      </c>
      <c r="G603" t="s">
        <v>71</v>
      </c>
      <c r="H603" t="s">
        <v>1228</v>
      </c>
      <c r="I603">
        <v>1</v>
      </c>
      <c r="J603">
        <v>6</v>
      </c>
      <c r="K603">
        <v>455476</v>
      </c>
      <c r="L603">
        <v>4.7</v>
      </c>
      <c r="M603" t="s">
        <v>43</v>
      </c>
      <c r="N603">
        <v>78</v>
      </c>
    </row>
    <row r="604" spans="1:14" x14ac:dyDescent="0.35">
      <c r="A604" t="s">
        <v>1229</v>
      </c>
      <c r="B604" t="s">
        <v>35</v>
      </c>
      <c r="C604" t="s">
        <v>93</v>
      </c>
      <c r="D604" t="s">
        <v>17</v>
      </c>
      <c r="E604">
        <v>34</v>
      </c>
      <c r="F604" t="s">
        <v>74</v>
      </c>
      <c r="G604" t="s">
        <v>26</v>
      </c>
      <c r="H604" t="s">
        <v>1230</v>
      </c>
      <c r="I604">
        <v>20</v>
      </c>
      <c r="J604">
        <v>27</v>
      </c>
      <c r="K604">
        <v>54017</v>
      </c>
      <c r="L604">
        <v>5</v>
      </c>
      <c r="M604" t="s">
        <v>21</v>
      </c>
      <c r="N604">
        <v>33</v>
      </c>
    </row>
    <row r="605" spans="1:14" x14ac:dyDescent="0.35">
      <c r="A605" t="s">
        <v>1231</v>
      </c>
      <c r="B605" t="s">
        <v>35</v>
      </c>
      <c r="C605" t="s">
        <v>64</v>
      </c>
      <c r="D605" t="s">
        <v>17</v>
      </c>
      <c r="E605">
        <v>31</v>
      </c>
      <c r="F605" t="s">
        <v>18</v>
      </c>
      <c r="G605" t="s">
        <v>19</v>
      </c>
      <c r="H605" t="s">
        <v>1232</v>
      </c>
      <c r="I605">
        <v>12</v>
      </c>
      <c r="J605">
        <v>15</v>
      </c>
      <c r="K605">
        <v>491206</v>
      </c>
      <c r="L605">
        <v>4.7</v>
      </c>
      <c r="M605" t="s">
        <v>43</v>
      </c>
      <c r="N605">
        <v>88</v>
      </c>
    </row>
    <row r="606" spans="1:14" x14ac:dyDescent="0.35">
      <c r="A606" t="s">
        <v>1233</v>
      </c>
      <c r="B606" t="s">
        <v>60</v>
      </c>
      <c r="C606" t="s">
        <v>36</v>
      </c>
      <c r="D606" t="s">
        <v>25</v>
      </c>
      <c r="E606">
        <v>48</v>
      </c>
      <c r="F606" t="s">
        <v>37</v>
      </c>
      <c r="G606" t="s">
        <v>71</v>
      </c>
      <c r="H606" t="s">
        <v>1234</v>
      </c>
      <c r="I606">
        <v>19</v>
      </c>
      <c r="J606">
        <v>26</v>
      </c>
      <c r="K606">
        <v>186180</v>
      </c>
      <c r="L606">
        <v>2.7</v>
      </c>
      <c r="M606" t="s">
        <v>21</v>
      </c>
      <c r="N606">
        <v>44</v>
      </c>
    </row>
    <row r="607" spans="1:14" x14ac:dyDescent="0.35">
      <c r="A607" t="s">
        <v>1235</v>
      </c>
      <c r="B607" t="s">
        <v>35</v>
      </c>
      <c r="C607" t="s">
        <v>93</v>
      </c>
      <c r="D607" t="s">
        <v>17</v>
      </c>
      <c r="E607">
        <v>44</v>
      </c>
      <c r="F607" t="s">
        <v>31</v>
      </c>
      <c r="G607" t="s">
        <v>71</v>
      </c>
      <c r="H607" t="s">
        <v>729</v>
      </c>
      <c r="I607">
        <v>10</v>
      </c>
      <c r="J607">
        <v>14</v>
      </c>
      <c r="K607">
        <v>235788</v>
      </c>
      <c r="L607">
        <v>4.2</v>
      </c>
      <c r="M607" t="s">
        <v>21</v>
      </c>
      <c r="N607">
        <v>58</v>
      </c>
    </row>
    <row r="608" spans="1:14" x14ac:dyDescent="0.35">
      <c r="A608" t="s">
        <v>1236</v>
      </c>
      <c r="B608" t="s">
        <v>45</v>
      </c>
      <c r="C608" t="s">
        <v>56</v>
      </c>
      <c r="D608" t="s">
        <v>17</v>
      </c>
      <c r="E608">
        <v>30</v>
      </c>
      <c r="F608" t="s">
        <v>37</v>
      </c>
      <c r="G608" t="s">
        <v>88</v>
      </c>
      <c r="H608" t="s">
        <v>1237</v>
      </c>
      <c r="I608">
        <v>13</v>
      </c>
      <c r="J608">
        <v>16</v>
      </c>
      <c r="K608">
        <v>451992</v>
      </c>
      <c r="L608">
        <v>2.5</v>
      </c>
      <c r="M608" t="s">
        <v>43</v>
      </c>
      <c r="N608">
        <v>74</v>
      </c>
    </row>
    <row r="609" spans="1:14" x14ac:dyDescent="0.35">
      <c r="A609" t="s">
        <v>1238</v>
      </c>
      <c r="B609" t="s">
        <v>78</v>
      </c>
      <c r="C609" t="s">
        <v>30</v>
      </c>
      <c r="D609" t="s">
        <v>17</v>
      </c>
      <c r="E609">
        <v>50</v>
      </c>
      <c r="F609" t="s">
        <v>37</v>
      </c>
      <c r="G609" t="s">
        <v>19</v>
      </c>
      <c r="H609" t="s">
        <v>1239</v>
      </c>
      <c r="I609">
        <v>20</v>
      </c>
      <c r="J609">
        <v>26</v>
      </c>
      <c r="K609">
        <v>124701</v>
      </c>
      <c r="L609">
        <v>4</v>
      </c>
      <c r="M609" t="s">
        <v>21</v>
      </c>
      <c r="N609">
        <v>69</v>
      </c>
    </row>
    <row r="610" spans="1:14" x14ac:dyDescent="0.35">
      <c r="A610" t="s">
        <v>1240</v>
      </c>
      <c r="B610" t="s">
        <v>96</v>
      </c>
      <c r="C610" t="s">
        <v>64</v>
      </c>
      <c r="D610" t="s">
        <v>25</v>
      </c>
      <c r="E610">
        <v>43</v>
      </c>
      <c r="F610" t="s">
        <v>74</v>
      </c>
      <c r="G610" t="s">
        <v>26</v>
      </c>
      <c r="H610" t="s">
        <v>1241</v>
      </c>
      <c r="I610">
        <v>10</v>
      </c>
      <c r="J610">
        <v>19</v>
      </c>
      <c r="K610">
        <v>200287</v>
      </c>
      <c r="L610">
        <v>4.5999999999999996</v>
      </c>
      <c r="M610" t="s">
        <v>21</v>
      </c>
      <c r="N610">
        <v>40</v>
      </c>
    </row>
    <row r="611" spans="1:14" x14ac:dyDescent="0.35">
      <c r="A611" t="s">
        <v>1242</v>
      </c>
      <c r="B611" t="s">
        <v>15</v>
      </c>
      <c r="C611" t="s">
        <v>56</v>
      </c>
      <c r="D611" t="s">
        <v>25</v>
      </c>
      <c r="E611">
        <v>46</v>
      </c>
      <c r="F611" t="s">
        <v>46</v>
      </c>
      <c r="G611" t="s">
        <v>71</v>
      </c>
      <c r="H611" t="s">
        <v>1243</v>
      </c>
      <c r="I611">
        <v>12</v>
      </c>
      <c r="J611">
        <v>18</v>
      </c>
      <c r="K611">
        <v>106416</v>
      </c>
      <c r="L611">
        <v>4.8</v>
      </c>
      <c r="M611" t="s">
        <v>43</v>
      </c>
      <c r="N611">
        <v>99</v>
      </c>
    </row>
    <row r="612" spans="1:14" x14ac:dyDescent="0.35">
      <c r="A612" t="s">
        <v>1244</v>
      </c>
      <c r="B612" t="s">
        <v>23</v>
      </c>
      <c r="C612" t="s">
        <v>36</v>
      </c>
      <c r="D612" t="s">
        <v>17</v>
      </c>
      <c r="E612">
        <v>41</v>
      </c>
      <c r="F612" t="s">
        <v>18</v>
      </c>
      <c r="G612" t="s">
        <v>26</v>
      </c>
      <c r="H612" t="s">
        <v>1245</v>
      </c>
      <c r="I612">
        <v>16</v>
      </c>
      <c r="J612">
        <v>17</v>
      </c>
      <c r="K612">
        <v>235318</v>
      </c>
      <c r="L612">
        <v>2.7</v>
      </c>
      <c r="M612" t="s">
        <v>43</v>
      </c>
      <c r="N612">
        <v>85</v>
      </c>
    </row>
    <row r="613" spans="1:14" x14ac:dyDescent="0.35">
      <c r="A613" t="s">
        <v>1246</v>
      </c>
      <c r="B613" t="s">
        <v>69</v>
      </c>
      <c r="C613" t="s">
        <v>64</v>
      </c>
      <c r="D613" t="s">
        <v>25</v>
      </c>
      <c r="E613">
        <v>41</v>
      </c>
      <c r="F613" t="s">
        <v>79</v>
      </c>
      <c r="G613" t="s">
        <v>19</v>
      </c>
      <c r="H613" t="s">
        <v>1247</v>
      </c>
      <c r="I613">
        <v>9</v>
      </c>
      <c r="J613">
        <v>19</v>
      </c>
      <c r="K613">
        <v>301095</v>
      </c>
      <c r="L613">
        <v>3.1</v>
      </c>
      <c r="M613" t="s">
        <v>21</v>
      </c>
      <c r="N613">
        <v>67</v>
      </c>
    </row>
    <row r="614" spans="1:14" x14ac:dyDescent="0.35">
      <c r="A614" t="s">
        <v>1248</v>
      </c>
      <c r="B614" t="s">
        <v>29</v>
      </c>
      <c r="C614" t="s">
        <v>30</v>
      </c>
      <c r="D614" t="s">
        <v>17</v>
      </c>
      <c r="E614">
        <v>47</v>
      </c>
      <c r="F614" t="s">
        <v>74</v>
      </c>
      <c r="G614" t="s">
        <v>88</v>
      </c>
      <c r="H614" t="s">
        <v>1249</v>
      </c>
      <c r="I614">
        <v>11</v>
      </c>
      <c r="J614">
        <v>12</v>
      </c>
      <c r="K614">
        <v>179347</v>
      </c>
      <c r="L614">
        <v>3.1</v>
      </c>
      <c r="M614" t="s">
        <v>43</v>
      </c>
      <c r="N614">
        <v>81</v>
      </c>
    </row>
    <row r="615" spans="1:14" x14ac:dyDescent="0.35">
      <c r="A615" t="s">
        <v>1250</v>
      </c>
      <c r="B615" t="s">
        <v>55</v>
      </c>
      <c r="C615" t="s">
        <v>56</v>
      </c>
      <c r="D615" t="s">
        <v>17</v>
      </c>
      <c r="E615">
        <v>27</v>
      </c>
      <c r="F615" t="s">
        <v>31</v>
      </c>
      <c r="G615" t="s">
        <v>88</v>
      </c>
      <c r="H615" t="s">
        <v>1251</v>
      </c>
      <c r="I615">
        <v>19</v>
      </c>
      <c r="J615">
        <v>26</v>
      </c>
      <c r="K615">
        <v>210017</v>
      </c>
      <c r="L615">
        <v>2.7</v>
      </c>
      <c r="M615" t="s">
        <v>43</v>
      </c>
      <c r="N615">
        <v>76</v>
      </c>
    </row>
    <row r="616" spans="1:14" x14ac:dyDescent="0.35">
      <c r="A616" t="s">
        <v>1252</v>
      </c>
      <c r="B616" t="s">
        <v>69</v>
      </c>
      <c r="C616" t="s">
        <v>56</v>
      </c>
      <c r="D616" t="s">
        <v>17</v>
      </c>
      <c r="E616">
        <v>60</v>
      </c>
      <c r="F616" t="s">
        <v>31</v>
      </c>
      <c r="G616" t="s">
        <v>85</v>
      </c>
      <c r="H616" t="s">
        <v>1253</v>
      </c>
      <c r="I616">
        <v>19</v>
      </c>
      <c r="J616">
        <v>27</v>
      </c>
      <c r="K616">
        <v>258895</v>
      </c>
      <c r="L616">
        <v>4.7</v>
      </c>
      <c r="M616" t="s">
        <v>43</v>
      </c>
      <c r="N616">
        <v>86</v>
      </c>
    </row>
    <row r="617" spans="1:14" x14ac:dyDescent="0.35">
      <c r="A617" t="s">
        <v>1254</v>
      </c>
      <c r="B617" t="s">
        <v>35</v>
      </c>
      <c r="C617" t="s">
        <v>36</v>
      </c>
      <c r="D617" t="s">
        <v>25</v>
      </c>
      <c r="E617">
        <v>46</v>
      </c>
      <c r="F617" t="s">
        <v>46</v>
      </c>
      <c r="G617" t="s">
        <v>75</v>
      </c>
      <c r="H617" t="s">
        <v>1255</v>
      </c>
      <c r="I617">
        <v>17</v>
      </c>
      <c r="J617">
        <v>18</v>
      </c>
      <c r="K617">
        <v>329694</v>
      </c>
      <c r="L617">
        <v>4.3</v>
      </c>
      <c r="M617" t="s">
        <v>43</v>
      </c>
      <c r="N617">
        <v>77</v>
      </c>
    </row>
    <row r="618" spans="1:14" x14ac:dyDescent="0.35">
      <c r="A618" t="s">
        <v>1256</v>
      </c>
      <c r="B618" t="s">
        <v>45</v>
      </c>
      <c r="C618" t="s">
        <v>93</v>
      </c>
      <c r="D618" t="s">
        <v>25</v>
      </c>
      <c r="E618">
        <v>36</v>
      </c>
      <c r="F618" t="s">
        <v>31</v>
      </c>
      <c r="G618" t="s">
        <v>61</v>
      </c>
      <c r="H618" t="s">
        <v>1257</v>
      </c>
      <c r="I618">
        <v>4</v>
      </c>
      <c r="J618">
        <v>12</v>
      </c>
      <c r="K618">
        <v>433092</v>
      </c>
      <c r="L618">
        <v>2.7</v>
      </c>
      <c r="M618" t="s">
        <v>43</v>
      </c>
      <c r="N618">
        <v>97</v>
      </c>
    </row>
    <row r="619" spans="1:14" x14ac:dyDescent="0.35">
      <c r="A619" t="s">
        <v>1258</v>
      </c>
      <c r="B619" t="s">
        <v>111</v>
      </c>
      <c r="C619" t="s">
        <v>49</v>
      </c>
      <c r="D619" t="s">
        <v>17</v>
      </c>
      <c r="E619">
        <v>32</v>
      </c>
      <c r="F619" t="s">
        <v>79</v>
      </c>
      <c r="G619" t="s">
        <v>26</v>
      </c>
      <c r="H619" t="s">
        <v>1259</v>
      </c>
      <c r="I619">
        <v>5</v>
      </c>
      <c r="J619">
        <v>8</v>
      </c>
      <c r="K619">
        <v>461363</v>
      </c>
      <c r="L619">
        <v>4.4000000000000004</v>
      </c>
      <c r="M619" t="s">
        <v>43</v>
      </c>
      <c r="N619">
        <v>85</v>
      </c>
    </row>
    <row r="620" spans="1:14" x14ac:dyDescent="0.35">
      <c r="A620" t="s">
        <v>1260</v>
      </c>
      <c r="B620" t="s">
        <v>60</v>
      </c>
      <c r="C620" t="s">
        <v>56</v>
      </c>
      <c r="D620" t="s">
        <v>25</v>
      </c>
      <c r="E620">
        <v>45</v>
      </c>
      <c r="F620" t="s">
        <v>31</v>
      </c>
      <c r="G620" t="s">
        <v>57</v>
      </c>
      <c r="H620" t="s">
        <v>1261</v>
      </c>
      <c r="I620">
        <v>20</v>
      </c>
      <c r="J620">
        <v>22</v>
      </c>
      <c r="K620">
        <v>411956</v>
      </c>
      <c r="L620">
        <v>2.7</v>
      </c>
      <c r="M620" t="s">
        <v>21</v>
      </c>
      <c r="N620">
        <v>51</v>
      </c>
    </row>
    <row r="621" spans="1:14" x14ac:dyDescent="0.35">
      <c r="A621" t="s">
        <v>1262</v>
      </c>
      <c r="B621" t="s">
        <v>45</v>
      </c>
      <c r="C621" t="s">
        <v>56</v>
      </c>
      <c r="D621" t="s">
        <v>25</v>
      </c>
      <c r="E621">
        <v>32</v>
      </c>
      <c r="F621" t="s">
        <v>74</v>
      </c>
      <c r="G621" t="s">
        <v>71</v>
      </c>
      <c r="H621" t="s">
        <v>1263</v>
      </c>
      <c r="I621">
        <v>20</v>
      </c>
      <c r="J621">
        <v>29</v>
      </c>
      <c r="K621">
        <v>151245</v>
      </c>
      <c r="L621">
        <v>2</v>
      </c>
      <c r="M621" t="s">
        <v>43</v>
      </c>
      <c r="N621">
        <v>90</v>
      </c>
    </row>
    <row r="622" spans="1:14" x14ac:dyDescent="0.35">
      <c r="A622" t="s">
        <v>1264</v>
      </c>
      <c r="B622" t="s">
        <v>29</v>
      </c>
      <c r="C622" t="s">
        <v>52</v>
      </c>
      <c r="D622" t="s">
        <v>17</v>
      </c>
      <c r="E622">
        <v>35</v>
      </c>
      <c r="F622" t="s">
        <v>74</v>
      </c>
      <c r="G622" t="s">
        <v>85</v>
      </c>
      <c r="H622" t="s">
        <v>1025</v>
      </c>
      <c r="I622">
        <v>18</v>
      </c>
      <c r="J622">
        <v>28</v>
      </c>
      <c r="K622">
        <v>178441</v>
      </c>
      <c r="L622">
        <v>2.2999999999999998</v>
      </c>
      <c r="M622" t="s">
        <v>21</v>
      </c>
      <c r="N622">
        <v>38</v>
      </c>
    </row>
    <row r="623" spans="1:14" x14ac:dyDescent="0.35">
      <c r="A623" t="s">
        <v>1265</v>
      </c>
      <c r="B623" t="s">
        <v>78</v>
      </c>
      <c r="C623" t="s">
        <v>16</v>
      </c>
      <c r="D623" t="s">
        <v>25</v>
      </c>
      <c r="E623">
        <v>38</v>
      </c>
      <c r="F623" t="s">
        <v>79</v>
      </c>
      <c r="G623" t="s">
        <v>75</v>
      </c>
      <c r="H623" t="s">
        <v>1266</v>
      </c>
      <c r="I623">
        <v>2</v>
      </c>
      <c r="J623">
        <v>8</v>
      </c>
      <c r="K623">
        <v>182608</v>
      </c>
      <c r="L623">
        <v>2.1</v>
      </c>
      <c r="M623" t="s">
        <v>43</v>
      </c>
      <c r="N623">
        <v>84</v>
      </c>
    </row>
    <row r="624" spans="1:14" x14ac:dyDescent="0.35">
      <c r="A624" t="s">
        <v>1267</v>
      </c>
      <c r="B624" t="s">
        <v>55</v>
      </c>
      <c r="C624" t="s">
        <v>16</v>
      </c>
      <c r="D624" t="s">
        <v>25</v>
      </c>
      <c r="E624">
        <v>40</v>
      </c>
      <c r="F624" t="s">
        <v>31</v>
      </c>
      <c r="G624" t="s">
        <v>75</v>
      </c>
      <c r="H624" t="s">
        <v>1268</v>
      </c>
      <c r="I624">
        <v>18</v>
      </c>
      <c r="J624">
        <v>21</v>
      </c>
      <c r="K624">
        <v>377644</v>
      </c>
      <c r="L624">
        <v>5</v>
      </c>
      <c r="M624" t="s">
        <v>21</v>
      </c>
      <c r="N624">
        <v>58</v>
      </c>
    </row>
    <row r="625" spans="1:14" x14ac:dyDescent="0.35">
      <c r="A625" t="s">
        <v>1269</v>
      </c>
      <c r="B625" t="s">
        <v>78</v>
      </c>
      <c r="C625" t="s">
        <v>16</v>
      </c>
      <c r="D625" t="s">
        <v>25</v>
      </c>
      <c r="E625">
        <v>31</v>
      </c>
      <c r="F625" t="s">
        <v>74</v>
      </c>
      <c r="G625" t="s">
        <v>85</v>
      </c>
      <c r="H625" t="s">
        <v>1270</v>
      </c>
      <c r="I625">
        <v>11</v>
      </c>
      <c r="J625">
        <v>14</v>
      </c>
      <c r="K625">
        <v>62133</v>
      </c>
      <c r="L625">
        <v>3.5</v>
      </c>
      <c r="M625" t="s">
        <v>43</v>
      </c>
      <c r="N625">
        <v>88</v>
      </c>
    </row>
    <row r="626" spans="1:14" x14ac:dyDescent="0.35">
      <c r="A626" t="s">
        <v>1271</v>
      </c>
      <c r="B626" t="s">
        <v>29</v>
      </c>
      <c r="C626" t="s">
        <v>30</v>
      </c>
      <c r="D626" t="s">
        <v>17</v>
      </c>
      <c r="E626">
        <v>32</v>
      </c>
      <c r="F626" t="s">
        <v>37</v>
      </c>
      <c r="G626" t="s">
        <v>71</v>
      </c>
      <c r="H626" t="s">
        <v>1272</v>
      </c>
      <c r="I626">
        <v>18</v>
      </c>
      <c r="J626">
        <v>18</v>
      </c>
      <c r="K626">
        <v>432338</v>
      </c>
      <c r="L626">
        <v>3.4</v>
      </c>
      <c r="M626" t="s">
        <v>43</v>
      </c>
      <c r="N626">
        <v>72</v>
      </c>
    </row>
    <row r="627" spans="1:14" x14ac:dyDescent="0.35">
      <c r="A627" t="s">
        <v>1273</v>
      </c>
      <c r="B627" t="s">
        <v>35</v>
      </c>
      <c r="C627" t="s">
        <v>24</v>
      </c>
      <c r="D627" t="s">
        <v>17</v>
      </c>
      <c r="E627">
        <v>41</v>
      </c>
      <c r="F627" t="s">
        <v>70</v>
      </c>
      <c r="G627" t="s">
        <v>19</v>
      </c>
      <c r="H627" t="s">
        <v>1274</v>
      </c>
      <c r="I627">
        <v>13</v>
      </c>
      <c r="J627">
        <v>16</v>
      </c>
      <c r="K627">
        <v>353249</v>
      </c>
      <c r="L627">
        <v>2.5</v>
      </c>
      <c r="M627" t="s">
        <v>21</v>
      </c>
      <c r="N627">
        <v>36</v>
      </c>
    </row>
    <row r="628" spans="1:14" x14ac:dyDescent="0.35">
      <c r="A628" t="s">
        <v>1275</v>
      </c>
      <c r="B628" t="s">
        <v>15</v>
      </c>
      <c r="C628" t="s">
        <v>24</v>
      </c>
      <c r="D628" t="s">
        <v>25</v>
      </c>
      <c r="E628">
        <v>28</v>
      </c>
      <c r="F628" t="s">
        <v>79</v>
      </c>
      <c r="G628" t="s">
        <v>57</v>
      </c>
      <c r="H628" t="s">
        <v>934</v>
      </c>
      <c r="I628">
        <v>5</v>
      </c>
      <c r="J628">
        <v>10</v>
      </c>
      <c r="K628">
        <v>307230</v>
      </c>
      <c r="L628">
        <v>4.0999999999999996</v>
      </c>
      <c r="M628" t="s">
        <v>43</v>
      </c>
      <c r="N628">
        <v>86</v>
      </c>
    </row>
    <row r="629" spans="1:14" x14ac:dyDescent="0.35">
      <c r="A629" t="s">
        <v>1276</v>
      </c>
      <c r="B629" t="s">
        <v>78</v>
      </c>
      <c r="C629" t="s">
        <v>30</v>
      </c>
      <c r="D629" t="s">
        <v>25</v>
      </c>
      <c r="E629">
        <v>51</v>
      </c>
      <c r="F629" t="s">
        <v>79</v>
      </c>
      <c r="G629" t="s">
        <v>75</v>
      </c>
      <c r="H629" t="s">
        <v>1277</v>
      </c>
      <c r="I629">
        <v>8</v>
      </c>
      <c r="J629">
        <v>8</v>
      </c>
      <c r="K629">
        <v>90301</v>
      </c>
      <c r="L629">
        <v>2.2999999999999998</v>
      </c>
      <c r="M629" t="s">
        <v>21</v>
      </c>
      <c r="N629">
        <v>51</v>
      </c>
    </row>
    <row r="630" spans="1:14" x14ac:dyDescent="0.35">
      <c r="A630" t="s">
        <v>1278</v>
      </c>
      <c r="B630" t="s">
        <v>69</v>
      </c>
      <c r="C630" t="s">
        <v>49</v>
      </c>
      <c r="D630" t="s">
        <v>25</v>
      </c>
      <c r="E630">
        <v>55</v>
      </c>
      <c r="F630" t="s">
        <v>37</v>
      </c>
      <c r="G630" t="s">
        <v>61</v>
      </c>
      <c r="H630" t="s">
        <v>762</v>
      </c>
      <c r="I630">
        <v>10</v>
      </c>
      <c r="J630">
        <v>17</v>
      </c>
      <c r="K630">
        <v>50808</v>
      </c>
      <c r="L630">
        <v>3.4</v>
      </c>
      <c r="M630" t="s">
        <v>43</v>
      </c>
      <c r="N630">
        <v>93</v>
      </c>
    </row>
    <row r="631" spans="1:14" x14ac:dyDescent="0.35">
      <c r="A631" t="s">
        <v>1279</v>
      </c>
      <c r="B631" t="s">
        <v>45</v>
      </c>
      <c r="C631" t="s">
        <v>16</v>
      </c>
      <c r="D631" t="s">
        <v>17</v>
      </c>
      <c r="E631">
        <v>53</v>
      </c>
      <c r="F631" t="s">
        <v>79</v>
      </c>
      <c r="G631" t="s">
        <v>32</v>
      </c>
      <c r="H631" t="s">
        <v>1280</v>
      </c>
      <c r="I631">
        <v>4</v>
      </c>
      <c r="J631">
        <v>4</v>
      </c>
      <c r="K631">
        <v>84786</v>
      </c>
      <c r="L631">
        <v>4.9000000000000004</v>
      </c>
      <c r="M631" t="s">
        <v>43</v>
      </c>
      <c r="N631">
        <v>90</v>
      </c>
    </row>
    <row r="632" spans="1:14" x14ac:dyDescent="0.35">
      <c r="A632" t="s">
        <v>1281</v>
      </c>
      <c r="B632" t="s">
        <v>40</v>
      </c>
      <c r="C632" t="s">
        <v>93</v>
      </c>
      <c r="D632" t="s">
        <v>25</v>
      </c>
      <c r="E632">
        <v>36</v>
      </c>
      <c r="F632" t="s">
        <v>79</v>
      </c>
      <c r="G632" t="s">
        <v>19</v>
      </c>
      <c r="H632" t="s">
        <v>1282</v>
      </c>
      <c r="I632">
        <v>20</v>
      </c>
      <c r="J632">
        <v>27</v>
      </c>
      <c r="K632">
        <v>188549</v>
      </c>
      <c r="L632">
        <v>2.5</v>
      </c>
      <c r="M632" t="s">
        <v>21</v>
      </c>
      <c r="N632">
        <v>57</v>
      </c>
    </row>
    <row r="633" spans="1:14" x14ac:dyDescent="0.35">
      <c r="A633" t="s">
        <v>1283</v>
      </c>
      <c r="B633" t="s">
        <v>15</v>
      </c>
      <c r="C633" t="s">
        <v>16</v>
      </c>
      <c r="D633" t="s">
        <v>25</v>
      </c>
      <c r="E633">
        <v>58</v>
      </c>
      <c r="F633" t="s">
        <v>31</v>
      </c>
      <c r="G633" t="s">
        <v>75</v>
      </c>
      <c r="H633" t="s">
        <v>1284</v>
      </c>
      <c r="I633">
        <v>20</v>
      </c>
      <c r="J633">
        <v>23</v>
      </c>
      <c r="K633">
        <v>122112</v>
      </c>
      <c r="L633">
        <v>4</v>
      </c>
      <c r="M633" t="s">
        <v>43</v>
      </c>
      <c r="N633">
        <v>83</v>
      </c>
    </row>
    <row r="634" spans="1:14" x14ac:dyDescent="0.35">
      <c r="A634" t="s">
        <v>1285</v>
      </c>
      <c r="B634" t="s">
        <v>55</v>
      </c>
      <c r="C634" t="s">
        <v>52</v>
      </c>
      <c r="D634" t="s">
        <v>25</v>
      </c>
      <c r="E634">
        <v>32</v>
      </c>
      <c r="F634" t="s">
        <v>37</v>
      </c>
      <c r="G634" t="s">
        <v>41</v>
      </c>
      <c r="H634" t="s">
        <v>1286</v>
      </c>
      <c r="I634">
        <v>17</v>
      </c>
      <c r="J634">
        <v>19</v>
      </c>
      <c r="K634">
        <v>262626</v>
      </c>
      <c r="L634">
        <v>4.9000000000000004</v>
      </c>
      <c r="M634" t="s">
        <v>43</v>
      </c>
      <c r="N634">
        <v>93</v>
      </c>
    </row>
    <row r="635" spans="1:14" x14ac:dyDescent="0.35">
      <c r="A635" t="s">
        <v>1287</v>
      </c>
      <c r="B635" t="s">
        <v>55</v>
      </c>
      <c r="C635" t="s">
        <v>93</v>
      </c>
      <c r="D635" t="s">
        <v>17</v>
      </c>
      <c r="E635">
        <v>54</v>
      </c>
      <c r="F635" t="s">
        <v>18</v>
      </c>
      <c r="G635" t="s">
        <v>32</v>
      </c>
      <c r="H635" t="s">
        <v>1288</v>
      </c>
      <c r="I635">
        <v>17</v>
      </c>
      <c r="J635">
        <v>19</v>
      </c>
      <c r="K635">
        <v>333365</v>
      </c>
      <c r="L635">
        <v>2.8</v>
      </c>
      <c r="M635" t="s">
        <v>21</v>
      </c>
      <c r="N635">
        <v>62</v>
      </c>
    </row>
    <row r="636" spans="1:14" x14ac:dyDescent="0.35">
      <c r="A636" t="s">
        <v>1289</v>
      </c>
      <c r="B636" t="s">
        <v>15</v>
      </c>
      <c r="C636" t="s">
        <v>24</v>
      </c>
      <c r="D636" t="s">
        <v>25</v>
      </c>
      <c r="E636">
        <v>47</v>
      </c>
      <c r="F636" t="s">
        <v>18</v>
      </c>
      <c r="G636" t="s">
        <v>71</v>
      </c>
      <c r="H636" t="s">
        <v>1290</v>
      </c>
      <c r="I636">
        <v>5</v>
      </c>
      <c r="J636">
        <v>7</v>
      </c>
      <c r="K636">
        <v>52648</v>
      </c>
      <c r="L636">
        <v>3.5</v>
      </c>
      <c r="M636" t="s">
        <v>43</v>
      </c>
      <c r="N636">
        <v>86</v>
      </c>
    </row>
    <row r="637" spans="1:14" x14ac:dyDescent="0.35">
      <c r="A637" t="s">
        <v>1291</v>
      </c>
      <c r="B637" t="s">
        <v>111</v>
      </c>
      <c r="C637" t="s">
        <v>16</v>
      </c>
      <c r="D637" t="s">
        <v>25</v>
      </c>
      <c r="E637">
        <v>33</v>
      </c>
      <c r="F637" t="s">
        <v>37</v>
      </c>
      <c r="G637" t="s">
        <v>75</v>
      </c>
      <c r="H637" t="s">
        <v>192</v>
      </c>
      <c r="I637">
        <v>12</v>
      </c>
      <c r="J637">
        <v>21</v>
      </c>
      <c r="K637">
        <v>155859</v>
      </c>
      <c r="L637">
        <v>4.8</v>
      </c>
      <c r="M637" t="s">
        <v>43</v>
      </c>
      <c r="N637">
        <v>100</v>
      </c>
    </row>
    <row r="638" spans="1:14" x14ac:dyDescent="0.35">
      <c r="A638" t="s">
        <v>1292</v>
      </c>
      <c r="B638" t="s">
        <v>40</v>
      </c>
      <c r="C638" t="s">
        <v>24</v>
      </c>
      <c r="D638" t="s">
        <v>25</v>
      </c>
      <c r="E638">
        <v>53</v>
      </c>
      <c r="F638" t="s">
        <v>79</v>
      </c>
      <c r="G638" t="s">
        <v>85</v>
      </c>
      <c r="H638" t="s">
        <v>1293</v>
      </c>
      <c r="I638">
        <v>11</v>
      </c>
      <c r="J638">
        <v>20</v>
      </c>
      <c r="K638">
        <v>367541</v>
      </c>
      <c r="L638">
        <v>4</v>
      </c>
      <c r="M638" t="s">
        <v>43</v>
      </c>
      <c r="N638">
        <v>94</v>
      </c>
    </row>
    <row r="639" spans="1:14" x14ac:dyDescent="0.35">
      <c r="A639" t="s">
        <v>1294</v>
      </c>
      <c r="B639" t="s">
        <v>45</v>
      </c>
      <c r="C639" t="s">
        <v>36</v>
      </c>
      <c r="D639" t="s">
        <v>17</v>
      </c>
      <c r="E639">
        <v>32</v>
      </c>
      <c r="F639" t="s">
        <v>79</v>
      </c>
      <c r="G639" t="s">
        <v>41</v>
      </c>
      <c r="H639" t="s">
        <v>1295</v>
      </c>
      <c r="I639">
        <v>14</v>
      </c>
      <c r="J639">
        <v>15</v>
      </c>
      <c r="K639">
        <v>440436</v>
      </c>
      <c r="L639">
        <v>4.2</v>
      </c>
      <c r="M639" t="s">
        <v>21</v>
      </c>
      <c r="N639">
        <v>39</v>
      </c>
    </row>
    <row r="640" spans="1:14" x14ac:dyDescent="0.35">
      <c r="A640" t="s">
        <v>1296</v>
      </c>
      <c r="B640" t="s">
        <v>60</v>
      </c>
      <c r="C640" t="s">
        <v>82</v>
      </c>
      <c r="D640" t="s">
        <v>17</v>
      </c>
      <c r="E640">
        <v>43</v>
      </c>
      <c r="F640" t="s">
        <v>31</v>
      </c>
      <c r="G640" t="s">
        <v>88</v>
      </c>
      <c r="H640" t="s">
        <v>1297</v>
      </c>
      <c r="I640">
        <v>18</v>
      </c>
      <c r="J640">
        <v>22</v>
      </c>
      <c r="K640">
        <v>189796</v>
      </c>
      <c r="L640">
        <v>2.2999999999999998</v>
      </c>
      <c r="M640" t="s">
        <v>43</v>
      </c>
      <c r="N640">
        <v>77</v>
      </c>
    </row>
    <row r="641" spans="1:14" x14ac:dyDescent="0.35">
      <c r="A641" t="s">
        <v>1298</v>
      </c>
      <c r="B641" t="s">
        <v>55</v>
      </c>
      <c r="C641" t="s">
        <v>36</v>
      </c>
      <c r="D641" t="s">
        <v>17</v>
      </c>
      <c r="E641">
        <v>50</v>
      </c>
      <c r="F641" t="s">
        <v>31</v>
      </c>
      <c r="G641" t="s">
        <v>19</v>
      </c>
      <c r="H641" t="s">
        <v>1299</v>
      </c>
      <c r="I641">
        <v>10</v>
      </c>
      <c r="J641">
        <v>13</v>
      </c>
      <c r="K641">
        <v>297713</v>
      </c>
      <c r="L641">
        <v>3.1</v>
      </c>
      <c r="M641" t="s">
        <v>43</v>
      </c>
      <c r="N641">
        <v>96</v>
      </c>
    </row>
    <row r="642" spans="1:14" x14ac:dyDescent="0.35">
      <c r="A642" t="s">
        <v>1300</v>
      </c>
      <c r="B642" t="s">
        <v>35</v>
      </c>
      <c r="C642" t="s">
        <v>56</v>
      </c>
      <c r="D642" t="s">
        <v>25</v>
      </c>
      <c r="E642">
        <v>43</v>
      </c>
      <c r="F642" t="s">
        <v>31</v>
      </c>
      <c r="G642" t="s">
        <v>85</v>
      </c>
      <c r="H642" t="s">
        <v>1301</v>
      </c>
      <c r="I642">
        <v>16</v>
      </c>
      <c r="J642">
        <v>25</v>
      </c>
      <c r="K642">
        <v>111417</v>
      </c>
      <c r="L642">
        <v>4.5999999999999996</v>
      </c>
      <c r="M642" t="s">
        <v>43</v>
      </c>
      <c r="N642">
        <v>85</v>
      </c>
    </row>
    <row r="643" spans="1:14" x14ac:dyDescent="0.35">
      <c r="A643" t="s">
        <v>1302</v>
      </c>
      <c r="B643" t="s">
        <v>69</v>
      </c>
      <c r="C643" t="s">
        <v>64</v>
      </c>
      <c r="D643" t="s">
        <v>25</v>
      </c>
      <c r="E643">
        <v>45</v>
      </c>
      <c r="F643" t="s">
        <v>46</v>
      </c>
      <c r="G643" t="s">
        <v>88</v>
      </c>
      <c r="H643" t="s">
        <v>1303</v>
      </c>
      <c r="I643">
        <v>4</v>
      </c>
      <c r="J643">
        <v>11</v>
      </c>
      <c r="K643">
        <v>86522</v>
      </c>
      <c r="L643">
        <v>2.7</v>
      </c>
      <c r="M643" t="s">
        <v>21</v>
      </c>
      <c r="N643">
        <v>43</v>
      </c>
    </row>
    <row r="644" spans="1:14" x14ac:dyDescent="0.35">
      <c r="A644" t="s">
        <v>1304</v>
      </c>
      <c r="B644" t="s">
        <v>15</v>
      </c>
      <c r="C644" t="s">
        <v>16</v>
      </c>
      <c r="D644" t="s">
        <v>17</v>
      </c>
      <c r="E644">
        <v>38</v>
      </c>
      <c r="F644" t="s">
        <v>46</v>
      </c>
      <c r="G644" t="s">
        <v>26</v>
      </c>
      <c r="H644" t="s">
        <v>1305</v>
      </c>
      <c r="I644">
        <v>13</v>
      </c>
      <c r="J644">
        <v>18</v>
      </c>
      <c r="K644">
        <v>163987</v>
      </c>
      <c r="L644">
        <v>4.5</v>
      </c>
      <c r="M644" t="s">
        <v>21</v>
      </c>
      <c r="N644">
        <v>54</v>
      </c>
    </row>
    <row r="645" spans="1:14" x14ac:dyDescent="0.35">
      <c r="A645" t="s">
        <v>1306</v>
      </c>
      <c r="B645" t="s">
        <v>96</v>
      </c>
      <c r="C645" t="s">
        <v>82</v>
      </c>
      <c r="D645" t="s">
        <v>17</v>
      </c>
      <c r="E645">
        <v>28</v>
      </c>
      <c r="F645" t="s">
        <v>74</v>
      </c>
      <c r="G645" t="s">
        <v>61</v>
      </c>
      <c r="H645" t="s">
        <v>1307</v>
      </c>
      <c r="I645">
        <v>12</v>
      </c>
      <c r="J645">
        <v>16</v>
      </c>
      <c r="K645">
        <v>66000</v>
      </c>
      <c r="L645">
        <v>3.8</v>
      </c>
      <c r="M645" t="s">
        <v>43</v>
      </c>
      <c r="N645">
        <v>94</v>
      </c>
    </row>
    <row r="646" spans="1:14" x14ac:dyDescent="0.35">
      <c r="A646" t="s">
        <v>1308</v>
      </c>
      <c r="B646" t="s">
        <v>45</v>
      </c>
      <c r="C646" t="s">
        <v>82</v>
      </c>
      <c r="D646" t="s">
        <v>25</v>
      </c>
      <c r="E646">
        <v>49</v>
      </c>
      <c r="F646" t="s">
        <v>31</v>
      </c>
      <c r="G646" t="s">
        <v>19</v>
      </c>
      <c r="H646" t="s">
        <v>1309</v>
      </c>
      <c r="I646">
        <v>5</v>
      </c>
      <c r="J646">
        <v>15</v>
      </c>
      <c r="K646">
        <v>284933</v>
      </c>
      <c r="L646">
        <v>4.0999999999999996</v>
      </c>
      <c r="M646" t="s">
        <v>43</v>
      </c>
      <c r="N646">
        <v>99</v>
      </c>
    </row>
    <row r="647" spans="1:14" x14ac:dyDescent="0.35">
      <c r="A647" t="s">
        <v>1310</v>
      </c>
      <c r="B647" t="s">
        <v>15</v>
      </c>
      <c r="C647" t="s">
        <v>52</v>
      </c>
      <c r="D647" t="s">
        <v>17</v>
      </c>
      <c r="E647">
        <v>55</v>
      </c>
      <c r="F647" t="s">
        <v>79</v>
      </c>
      <c r="G647" t="s">
        <v>41</v>
      </c>
      <c r="H647" t="s">
        <v>600</v>
      </c>
      <c r="I647">
        <v>13</v>
      </c>
      <c r="J647">
        <v>18</v>
      </c>
      <c r="K647">
        <v>496951</v>
      </c>
      <c r="L647">
        <v>4.0999999999999996</v>
      </c>
      <c r="M647" t="s">
        <v>43</v>
      </c>
      <c r="N647">
        <v>97</v>
      </c>
    </row>
    <row r="648" spans="1:14" x14ac:dyDescent="0.35">
      <c r="A648" t="s">
        <v>1311</v>
      </c>
      <c r="B648" t="s">
        <v>78</v>
      </c>
      <c r="C648" t="s">
        <v>24</v>
      </c>
      <c r="D648" t="s">
        <v>25</v>
      </c>
      <c r="E648">
        <v>34</v>
      </c>
      <c r="F648" t="s">
        <v>31</v>
      </c>
      <c r="G648" t="s">
        <v>75</v>
      </c>
      <c r="H648" t="s">
        <v>310</v>
      </c>
      <c r="I648">
        <v>5</v>
      </c>
      <c r="J648">
        <v>7</v>
      </c>
      <c r="K648">
        <v>169945</v>
      </c>
      <c r="L648">
        <v>2.8</v>
      </c>
      <c r="M648" t="s">
        <v>43</v>
      </c>
      <c r="N648">
        <v>100</v>
      </c>
    </row>
    <row r="649" spans="1:14" x14ac:dyDescent="0.35">
      <c r="A649" t="s">
        <v>1312</v>
      </c>
      <c r="B649" t="s">
        <v>111</v>
      </c>
      <c r="C649" t="s">
        <v>93</v>
      </c>
      <c r="D649" t="s">
        <v>25</v>
      </c>
      <c r="E649">
        <v>38</v>
      </c>
      <c r="F649" t="s">
        <v>79</v>
      </c>
      <c r="G649" t="s">
        <v>19</v>
      </c>
      <c r="H649" t="s">
        <v>1313</v>
      </c>
      <c r="I649">
        <v>2</v>
      </c>
      <c r="J649">
        <v>5</v>
      </c>
      <c r="K649">
        <v>88213</v>
      </c>
      <c r="L649">
        <v>3.6</v>
      </c>
      <c r="M649" t="s">
        <v>21</v>
      </c>
      <c r="N649">
        <v>42</v>
      </c>
    </row>
    <row r="650" spans="1:14" x14ac:dyDescent="0.35">
      <c r="A650" t="s">
        <v>1314</v>
      </c>
      <c r="B650" t="s">
        <v>40</v>
      </c>
      <c r="C650" t="s">
        <v>16</v>
      </c>
      <c r="D650" t="s">
        <v>17</v>
      </c>
      <c r="E650">
        <v>32</v>
      </c>
      <c r="F650" t="s">
        <v>79</v>
      </c>
      <c r="G650" t="s">
        <v>61</v>
      </c>
      <c r="H650" t="s">
        <v>1315</v>
      </c>
      <c r="I650">
        <v>15</v>
      </c>
      <c r="J650">
        <v>22</v>
      </c>
      <c r="K650">
        <v>333973</v>
      </c>
      <c r="L650">
        <v>2.2999999999999998</v>
      </c>
      <c r="M650" t="s">
        <v>21</v>
      </c>
      <c r="N650">
        <v>51</v>
      </c>
    </row>
    <row r="651" spans="1:14" x14ac:dyDescent="0.35">
      <c r="A651" t="s">
        <v>1316</v>
      </c>
      <c r="B651" t="s">
        <v>29</v>
      </c>
      <c r="C651" t="s">
        <v>93</v>
      </c>
      <c r="D651" t="s">
        <v>17</v>
      </c>
      <c r="E651">
        <v>50</v>
      </c>
      <c r="F651" t="s">
        <v>46</v>
      </c>
      <c r="G651" t="s">
        <v>41</v>
      </c>
      <c r="H651" t="s">
        <v>1317</v>
      </c>
      <c r="I651">
        <v>7</v>
      </c>
      <c r="J651">
        <v>15</v>
      </c>
      <c r="K651">
        <v>252942</v>
      </c>
      <c r="L651">
        <v>2.2999999999999998</v>
      </c>
      <c r="M651" t="s">
        <v>43</v>
      </c>
      <c r="N651">
        <v>84</v>
      </c>
    </row>
    <row r="652" spans="1:14" x14ac:dyDescent="0.35">
      <c r="A652" t="s">
        <v>1318</v>
      </c>
      <c r="B652" t="s">
        <v>55</v>
      </c>
      <c r="C652" t="s">
        <v>82</v>
      </c>
      <c r="D652" t="s">
        <v>25</v>
      </c>
      <c r="E652">
        <v>23</v>
      </c>
      <c r="F652" t="s">
        <v>37</v>
      </c>
      <c r="G652" t="s">
        <v>61</v>
      </c>
      <c r="H652" t="s">
        <v>1319</v>
      </c>
      <c r="I652">
        <v>10</v>
      </c>
      <c r="J652">
        <v>15</v>
      </c>
      <c r="K652">
        <v>464007</v>
      </c>
      <c r="L652">
        <v>4.7</v>
      </c>
      <c r="M652" t="s">
        <v>43</v>
      </c>
      <c r="N652">
        <v>96</v>
      </c>
    </row>
    <row r="653" spans="1:14" x14ac:dyDescent="0.35">
      <c r="A653" t="s">
        <v>1320</v>
      </c>
      <c r="B653" t="s">
        <v>29</v>
      </c>
      <c r="C653" t="s">
        <v>30</v>
      </c>
      <c r="D653" t="s">
        <v>17</v>
      </c>
      <c r="E653">
        <v>45</v>
      </c>
      <c r="F653" t="s">
        <v>37</v>
      </c>
      <c r="G653" t="s">
        <v>75</v>
      </c>
      <c r="H653" t="s">
        <v>1321</v>
      </c>
      <c r="I653">
        <v>17</v>
      </c>
      <c r="J653">
        <v>24</v>
      </c>
      <c r="K653">
        <v>177143</v>
      </c>
      <c r="L653">
        <v>2.5</v>
      </c>
      <c r="M653" t="s">
        <v>43</v>
      </c>
      <c r="N653">
        <v>84</v>
      </c>
    </row>
    <row r="654" spans="1:14" x14ac:dyDescent="0.35">
      <c r="A654" t="s">
        <v>1322</v>
      </c>
      <c r="B654" t="s">
        <v>96</v>
      </c>
      <c r="C654" t="s">
        <v>30</v>
      </c>
      <c r="D654" t="s">
        <v>17</v>
      </c>
      <c r="E654">
        <v>56</v>
      </c>
      <c r="F654" t="s">
        <v>37</v>
      </c>
      <c r="G654" t="s">
        <v>85</v>
      </c>
      <c r="H654" t="s">
        <v>1323</v>
      </c>
      <c r="I654">
        <v>7</v>
      </c>
      <c r="J654">
        <v>16</v>
      </c>
      <c r="K654">
        <v>197937</v>
      </c>
      <c r="L654">
        <v>3.7</v>
      </c>
      <c r="M654" t="s">
        <v>21</v>
      </c>
      <c r="N654">
        <v>60</v>
      </c>
    </row>
    <row r="655" spans="1:14" x14ac:dyDescent="0.35">
      <c r="A655" t="s">
        <v>1324</v>
      </c>
      <c r="B655" t="s">
        <v>35</v>
      </c>
      <c r="C655" t="s">
        <v>36</v>
      </c>
      <c r="D655" t="s">
        <v>25</v>
      </c>
      <c r="E655">
        <v>39</v>
      </c>
      <c r="F655" t="s">
        <v>31</v>
      </c>
      <c r="G655" t="s">
        <v>88</v>
      </c>
      <c r="H655" t="s">
        <v>1325</v>
      </c>
      <c r="I655">
        <v>9</v>
      </c>
      <c r="J655">
        <v>11</v>
      </c>
      <c r="K655">
        <v>209928</v>
      </c>
      <c r="L655">
        <v>2.7</v>
      </c>
      <c r="M655" t="s">
        <v>21</v>
      </c>
      <c r="N655">
        <v>48</v>
      </c>
    </row>
    <row r="656" spans="1:14" x14ac:dyDescent="0.35">
      <c r="A656" t="s">
        <v>1326</v>
      </c>
      <c r="B656" t="s">
        <v>45</v>
      </c>
      <c r="C656" t="s">
        <v>93</v>
      </c>
      <c r="D656" t="s">
        <v>17</v>
      </c>
      <c r="E656">
        <v>59</v>
      </c>
      <c r="F656" t="s">
        <v>74</v>
      </c>
      <c r="G656" t="s">
        <v>57</v>
      </c>
      <c r="H656" t="s">
        <v>1327</v>
      </c>
      <c r="I656">
        <v>13</v>
      </c>
      <c r="J656">
        <v>15</v>
      </c>
      <c r="K656">
        <v>125859</v>
      </c>
      <c r="L656">
        <v>4.4000000000000004</v>
      </c>
      <c r="M656" t="s">
        <v>21</v>
      </c>
      <c r="N656">
        <v>58</v>
      </c>
    </row>
    <row r="657" spans="1:14" x14ac:dyDescent="0.35">
      <c r="A657" t="s">
        <v>1328</v>
      </c>
      <c r="B657" t="s">
        <v>23</v>
      </c>
      <c r="C657" t="s">
        <v>56</v>
      </c>
      <c r="D657" t="s">
        <v>17</v>
      </c>
      <c r="E657">
        <v>44</v>
      </c>
      <c r="F657" t="s">
        <v>18</v>
      </c>
      <c r="G657" t="s">
        <v>88</v>
      </c>
      <c r="H657" t="s">
        <v>1329</v>
      </c>
      <c r="I657">
        <v>18</v>
      </c>
      <c r="J657">
        <v>21</v>
      </c>
      <c r="K657">
        <v>128181</v>
      </c>
      <c r="L657">
        <v>4.0999999999999996</v>
      </c>
      <c r="M657" t="s">
        <v>21</v>
      </c>
      <c r="N657">
        <v>34</v>
      </c>
    </row>
    <row r="658" spans="1:14" x14ac:dyDescent="0.35">
      <c r="A658" t="s">
        <v>1330</v>
      </c>
      <c r="B658" t="s">
        <v>96</v>
      </c>
      <c r="C658" t="s">
        <v>56</v>
      </c>
      <c r="D658" t="s">
        <v>17</v>
      </c>
      <c r="E658">
        <v>40</v>
      </c>
      <c r="F658" t="s">
        <v>74</v>
      </c>
      <c r="G658" t="s">
        <v>41</v>
      </c>
      <c r="H658" t="s">
        <v>1331</v>
      </c>
      <c r="I658">
        <v>8</v>
      </c>
      <c r="J658">
        <v>17</v>
      </c>
      <c r="K658">
        <v>469178</v>
      </c>
      <c r="L658">
        <v>4</v>
      </c>
      <c r="M658" t="s">
        <v>21</v>
      </c>
      <c r="N658">
        <v>34</v>
      </c>
    </row>
    <row r="659" spans="1:14" x14ac:dyDescent="0.35">
      <c r="A659" t="s">
        <v>1332</v>
      </c>
      <c r="B659" t="s">
        <v>69</v>
      </c>
      <c r="C659" t="s">
        <v>30</v>
      </c>
      <c r="D659" t="s">
        <v>17</v>
      </c>
      <c r="E659">
        <v>54</v>
      </c>
      <c r="F659" t="s">
        <v>46</v>
      </c>
      <c r="G659" t="s">
        <v>41</v>
      </c>
      <c r="H659" t="s">
        <v>871</v>
      </c>
      <c r="I659">
        <v>17</v>
      </c>
      <c r="J659">
        <v>17</v>
      </c>
      <c r="K659">
        <v>492113</v>
      </c>
      <c r="L659">
        <v>3.9</v>
      </c>
      <c r="M659" t="s">
        <v>21</v>
      </c>
      <c r="N659">
        <v>62</v>
      </c>
    </row>
    <row r="660" spans="1:14" x14ac:dyDescent="0.35">
      <c r="A660" t="s">
        <v>1333</v>
      </c>
      <c r="B660" t="s">
        <v>23</v>
      </c>
      <c r="C660" t="s">
        <v>49</v>
      </c>
      <c r="D660" t="s">
        <v>25</v>
      </c>
      <c r="E660">
        <v>47</v>
      </c>
      <c r="F660" t="s">
        <v>70</v>
      </c>
      <c r="G660" t="s">
        <v>19</v>
      </c>
      <c r="H660" t="s">
        <v>1334</v>
      </c>
      <c r="I660">
        <v>4</v>
      </c>
      <c r="J660">
        <v>14</v>
      </c>
      <c r="K660">
        <v>459312</v>
      </c>
      <c r="L660">
        <v>5</v>
      </c>
      <c r="M660" t="s">
        <v>43</v>
      </c>
      <c r="N660">
        <v>75</v>
      </c>
    </row>
    <row r="661" spans="1:14" x14ac:dyDescent="0.35">
      <c r="A661" t="s">
        <v>1335</v>
      </c>
      <c r="B661" t="s">
        <v>15</v>
      </c>
      <c r="C661" t="s">
        <v>36</v>
      </c>
      <c r="D661" t="s">
        <v>17</v>
      </c>
      <c r="E661">
        <v>59</v>
      </c>
      <c r="F661" t="s">
        <v>74</v>
      </c>
      <c r="G661" t="s">
        <v>41</v>
      </c>
      <c r="H661" t="s">
        <v>369</v>
      </c>
      <c r="I661">
        <v>10</v>
      </c>
      <c r="J661">
        <v>11</v>
      </c>
      <c r="K661">
        <v>202212</v>
      </c>
      <c r="L661">
        <v>4.2</v>
      </c>
      <c r="M661" t="s">
        <v>21</v>
      </c>
      <c r="N661">
        <v>44</v>
      </c>
    </row>
    <row r="662" spans="1:14" x14ac:dyDescent="0.35">
      <c r="A662" t="s">
        <v>1336</v>
      </c>
      <c r="B662" t="s">
        <v>55</v>
      </c>
      <c r="C662" t="s">
        <v>82</v>
      </c>
      <c r="D662" t="s">
        <v>25</v>
      </c>
      <c r="E662">
        <v>26</v>
      </c>
      <c r="F662" t="s">
        <v>37</v>
      </c>
      <c r="G662" t="s">
        <v>71</v>
      </c>
      <c r="H662" t="s">
        <v>1337</v>
      </c>
      <c r="I662">
        <v>17</v>
      </c>
      <c r="J662">
        <v>22</v>
      </c>
      <c r="K662">
        <v>239216</v>
      </c>
      <c r="L662">
        <v>2.1</v>
      </c>
      <c r="M662" t="s">
        <v>43</v>
      </c>
      <c r="N662">
        <v>77</v>
      </c>
    </row>
    <row r="663" spans="1:14" x14ac:dyDescent="0.35">
      <c r="A663" t="s">
        <v>1338</v>
      </c>
      <c r="B663" t="s">
        <v>23</v>
      </c>
      <c r="C663" t="s">
        <v>24</v>
      </c>
      <c r="D663" t="s">
        <v>17</v>
      </c>
      <c r="E663">
        <v>35</v>
      </c>
      <c r="F663" t="s">
        <v>74</v>
      </c>
      <c r="G663" t="s">
        <v>75</v>
      </c>
      <c r="H663" t="s">
        <v>1339</v>
      </c>
      <c r="I663">
        <v>8</v>
      </c>
      <c r="J663">
        <v>11</v>
      </c>
      <c r="K663">
        <v>231139</v>
      </c>
      <c r="L663">
        <v>4.4000000000000004</v>
      </c>
      <c r="M663" t="s">
        <v>43</v>
      </c>
      <c r="N663">
        <v>84</v>
      </c>
    </row>
    <row r="664" spans="1:14" x14ac:dyDescent="0.35">
      <c r="A664" t="s">
        <v>1340</v>
      </c>
      <c r="B664" t="s">
        <v>40</v>
      </c>
      <c r="C664" t="s">
        <v>36</v>
      </c>
      <c r="D664" t="s">
        <v>25</v>
      </c>
      <c r="E664">
        <v>45</v>
      </c>
      <c r="F664" t="s">
        <v>70</v>
      </c>
      <c r="G664" t="s">
        <v>85</v>
      </c>
      <c r="H664" t="s">
        <v>280</v>
      </c>
      <c r="I664">
        <v>17</v>
      </c>
      <c r="J664">
        <v>23</v>
      </c>
      <c r="K664">
        <v>441913</v>
      </c>
      <c r="L664">
        <v>4.0999999999999996</v>
      </c>
      <c r="M664" t="s">
        <v>21</v>
      </c>
      <c r="N664">
        <v>32</v>
      </c>
    </row>
    <row r="665" spans="1:14" x14ac:dyDescent="0.35">
      <c r="A665" t="s">
        <v>1341</v>
      </c>
      <c r="B665" t="s">
        <v>35</v>
      </c>
      <c r="C665" t="s">
        <v>64</v>
      </c>
      <c r="D665" t="s">
        <v>17</v>
      </c>
      <c r="E665">
        <v>57</v>
      </c>
      <c r="F665" t="s">
        <v>31</v>
      </c>
      <c r="G665" t="s">
        <v>71</v>
      </c>
      <c r="H665" t="s">
        <v>1342</v>
      </c>
      <c r="I665">
        <v>17</v>
      </c>
      <c r="J665">
        <v>25</v>
      </c>
      <c r="K665">
        <v>90588</v>
      </c>
      <c r="L665">
        <v>4</v>
      </c>
      <c r="M665" t="s">
        <v>43</v>
      </c>
      <c r="N665">
        <v>100</v>
      </c>
    </row>
    <row r="666" spans="1:14" x14ac:dyDescent="0.35">
      <c r="A666" t="s">
        <v>1343</v>
      </c>
      <c r="B666" t="s">
        <v>55</v>
      </c>
      <c r="C666" t="s">
        <v>93</v>
      </c>
      <c r="D666" t="s">
        <v>17</v>
      </c>
      <c r="E666">
        <v>36</v>
      </c>
      <c r="F666" t="s">
        <v>18</v>
      </c>
      <c r="G666" t="s">
        <v>75</v>
      </c>
      <c r="H666" t="s">
        <v>1344</v>
      </c>
      <c r="I666">
        <v>20</v>
      </c>
      <c r="J666">
        <v>25</v>
      </c>
      <c r="K666">
        <v>168678</v>
      </c>
      <c r="L666">
        <v>3.9</v>
      </c>
      <c r="M666" t="s">
        <v>43</v>
      </c>
      <c r="N666">
        <v>93</v>
      </c>
    </row>
    <row r="667" spans="1:14" x14ac:dyDescent="0.35">
      <c r="A667" t="s">
        <v>1345</v>
      </c>
      <c r="B667" t="s">
        <v>96</v>
      </c>
      <c r="C667" t="s">
        <v>49</v>
      </c>
      <c r="D667" t="s">
        <v>17</v>
      </c>
      <c r="E667">
        <v>36</v>
      </c>
      <c r="F667" t="s">
        <v>46</v>
      </c>
      <c r="G667" t="s">
        <v>85</v>
      </c>
      <c r="H667" t="s">
        <v>1346</v>
      </c>
      <c r="I667">
        <v>15</v>
      </c>
      <c r="J667">
        <v>15</v>
      </c>
      <c r="K667">
        <v>61188</v>
      </c>
      <c r="L667">
        <v>3.3</v>
      </c>
      <c r="M667" t="s">
        <v>21</v>
      </c>
      <c r="N667">
        <v>40</v>
      </c>
    </row>
    <row r="668" spans="1:14" x14ac:dyDescent="0.35">
      <c r="A668" t="s">
        <v>1347</v>
      </c>
      <c r="B668" t="s">
        <v>55</v>
      </c>
      <c r="C668" t="s">
        <v>49</v>
      </c>
      <c r="D668" t="s">
        <v>17</v>
      </c>
      <c r="E668">
        <v>31</v>
      </c>
      <c r="F668" t="s">
        <v>74</v>
      </c>
      <c r="G668" t="s">
        <v>61</v>
      </c>
      <c r="H668" t="s">
        <v>1348</v>
      </c>
      <c r="I668">
        <v>12</v>
      </c>
      <c r="J668">
        <v>14</v>
      </c>
      <c r="K668">
        <v>168000</v>
      </c>
      <c r="L668">
        <v>4.9000000000000004</v>
      </c>
      <c r="M668" t="s">
        <v>43</v>
      </c>
      <c r="N668">
        <v>74</v>
      </c>
    </row>
    <row r="669" spans="1:14" x14ac:dyDescent="0.35">
      <c r="A669" t="s">
        <v>1349</v>
      </c>
      <c r="B669" t="s">
        <v>45</v>
      </c>
      <c r="C669" t="s">
        <v>24</v>
      </c>
      <c r="D669" t="s">
        <v>25</v>
      </c>
      <c r="E669">
        <v>51</v>
      </c>
      <c r="F669" t="s">
        <v>74</v>
      </c>
      <c r="G669" t="s">
        <v>61</v>
      </c>
      <c r="H669" t="s">
        <v>1007</v>
      </c>
      <c r="I669">
        <v>14</v>
      </c>
      <c r="J669">
        <v>21</v>
      </c>
      <c r="K669">
        <v>371907</v>
      </c>
      <c r="L669">
        <v>2.9</v>
      </c>
      <c r="M669" t="s">
        <v>21</v>
      </c>
      <c r="N669">
        <v>50</v>
      </c>
    </row>
    <row r="670" spans="1:14" x14ac:dyDescent="0.35">
      <c r="A670" t="s">
        <v>1350</v>
      </c>
      <c r="B670" t="s">
        <v>60</v>
      </c>
      <c r="C670" t="s">
        <v>49</v>
      </c>
      <c r="D670" t="s">
        <v>17</v>
      </c>
      <c r="E670">
        <v>22</v>
      </c>
      <c r="F670" t="s">
        <v>70</v>
      </c>
      <c r="G670" t="s">
        <v>61</v>
      </c>
      <c r="H670" t="s">
        <v>1351</v>
      </c>
      <c r="I670">
        <v>3</v>
      </c>
      <c r="J670">
        <v>13</v>
      </c>
      <c r="K670">
        <v>69711</v>
      </c>
      <c r="L670">
        <v>5</v>
      </c>
      <c r="M670" t="s">
        <v>43</v>
      </c>
      <c r="N670">
        <v>90</v>
      </c>
    </row>
    <row r="671" spans="1:14" x14ac:dyDescent="0.35">
      <c r="A671" t="s">
        <v>1352</v>
      </c>
      <c r="B671" t="s">
        <v>35</v>
      </c>
      <c r="C671" t="s">
        <v>49</v>
      </c>
      <c r="D671" t="s">
        <v>17</v>
      </c>
      <c r="E671">
        <v>48</v>
      </c>
      <c r="F671" t="s">
        <v>70</v>
      </c>
      <c r="G671" t="s">
        <v>19</v>
      </c>
      <c r="H671" t="s">
        <v>1353</v>
      </c>
      <c r="I671">
        <v>15</v>
      </c>
      <c r="J671">
        <v>16</v>
      </c>
      <c r="K671">
        <v>268976</v>
      </c>
      <c r="L671">
        <v>2.8</v>
      </c>
      <c r="M671" t="s">
        <v>43</v>
      </c>
      <c r="N671">
        <v>82</v>
      </c>
    </row>
    <row r="672" spans="1:14" x14ac:dyDescent="0.35">
      <c r="A672" t="s">
        <v>1354</v>
      </c>
      <c r="B672" t="s">
        <v>29</v>
      </c>
      <c r="C672" t="s">
        <v>52</v>
      </c>
      <c r="D672" t="s">
        <v>17</v>
      </c>
      <c r="E672">
        <v>59</v>
      </c>
      <c r="F672" t="s">
        <v>18</v>
      </c>
      <c r="G672" t="s">
        <v>57</v>
      </c>
      <c r="H672" t="s">
        <v>1355</v>
      </c>
      <c r="I672">
        <v>2</v>
      </c>
      <c r="J672">
        <v>2</v>
      </c>
      <c r="K672">
        <v>90074</v>
      </c>
      <c r="L672">
        <v>3.4</v>
      </c>
      <c r="M672" t="s">
        <v>21</v>
      </c>
      <c r="N672">
        <v>49</v>
      </c>
    </row>
    <row r="673" spans="1:14" x14ac:dyDescent="0.35">
      <c r="A673" t="s">
        <v>1356</v>
      </c>
      <c r="B673" t="s">
        <v>15</v>
      </c>
      <c r="C673" t="s">
        <v>30</v>
      </c>
      <c r="D673" t="s">
        <v>17</v>
      </c>
      <c r="E673">
        <v>33</v>
      </c>
      <c r="F673" t="s">
        <v>74</v>
      </c>
      <c r="G673" t="s">
        <v>57</v>
      </c>
      <c r="H673" t="s">
        <v>1357</v>
      </c>
      <c r="I673">
        <v>13</v>
      </c>
      <c r="J673">
        <v>19</v>
      </c>
      <c r="K673">
        <v>119633</v>
      </c>
      <c r="L673">
        <v>4.5999999999999996</v>
      </c>
      <c r="M673" t="s">
        <v>21</v>
      </c>
      <c r="N673">
        <v>35</v>
      </c>
    </row>
    <row r="674" spans="1:14" x14ac:dyDescent="0.35">
      <c r="A674" t="s">
        <v>1358</v>
      </c>
      <c r="B674" t="s">
        <v>23</v>
      </c>
      <c r="C674" t="s">
        <v>24</v>
      </c>
      <c r="D674" t="s">
        <v>17</v>
      </c>
      <c r="E674">
        <v>35</v>
      </c>
      <c r="F674" t="s">
        <v>18</v>
      </c>
      <c r="G674" t="s">
        <v>61</v>
      </c>
      <c r="H674" t="s">
        <v>443</v>
      </c>
      <c r="I674">
        <v>6</v>
      </c>
      <c r="J674">
        <v>13</v>
      </c>
      <c r="K674">
        <v>98089</v>
      </c>
      <c r="L674">
        <v>2.2999999999999998</v>
      </c>
      <c r="M674" t="s">
        <v>21</v>
      </c>
      <c r="N674">
        <v>37</v>
      </c>
    </row>
    <row r="675" spans="1:14" x14ac:dyDescent="0.35">
      <c r="A675" t="s">
        <v>1359</v>
      </c>
      <c r="B675" t="s">
        <v>96</v>
      </c>
      <c r="C675" t="s">
        <v>30</v>
      </c>
      <c r="D675" t="s">
        <v>17</v>
      </c>
      <c r="E675">
        <v>48</v>
      </c>
      <c r="F675" t="s">
        <v>18</v>
      </c>
      <c r="G675" t="s">
        <v>75</v>
      </c>
      <c r="H675" t="s">
        <v>1360</v>
      </c>
      <c r="I675">
        <v>15</v>
      </c>
      <c r="J675">
        <v>24</v>
      </c>
      <c r="K675">
        <v>378386</v>
      </c>
      <c r="L675">
        <v>2.6</v>
      </c>
      <c r="M675" t="s">
        <v>21</v>
      </c>
      <c r="N675">
        <v>47</v>
      </c>
    </row>
    <row r="676" spans="1:14" x14ac:dyDescent="0.35">
      <c r="A676" t="s">
        <v>1361</v>
      </c>
      <c r="B676" t="s">
        <v>45</v>
      </c>
      <c r="C676" t="s">
        <v>64</v>
      </c>
      <c r="D676" t="s">
        <v>25</v>
      </c>
      <c r="E676">
        <v>58</v>
      </c>
      <c r="F676" t="s">
        <v>70</v>
      </c>
      <c r="G676" t="s">
        <v>26</v>
      </c>
      <c r="H676" t="s">
        <v>1362</v>
      </c>
      <c r="I676">
        <v>9</v>
      </c>
      <c r="J676">
        <v>19</v>
      </c>
      <c r="K676">
        <v>329349</v>
      </c>
      <c r="L676">
        <v>4.5999999999999996</v>
      </c>
      <c r="M676" t="s">
        <v>43</v>
      </c>
      <c r="N676">
        <v>84</v>
      </c>
    </row>
    <row r="677" spans="1:14" x14ac:dyDescent="0.35">
      <c r="A677" t="s">
        <v>1363</v>
      </c>
      <c r="B677" t="s">
        <v>78</v>
      </c>
      <c r="C677" t="s">
        <v>30</v>
      </c>
      <c r="D677" t="s">
        <v>17</v>
      </c>
      <c r="E677">
        <v>52</v>
      </c>
      <c r="F677" t="s">
        <v>74</v>
      </c>
      <c r="G677" t="s">
        <v>88</v>
      </c>
      <c r="H677" t="s">
        <v>1364</v>
      </c>
      <c r="I677">
        <v>4</v>
      </c>
      <c r="J677">
        <v>6</v>
      </c>
      <c r="K677">
        <v>318546</v>
      </c>
      <c r="L677">
        <v>3.5</v>
      </c>
      <c r="M677" t="s">
        <v>43</v>
      </c>
      <c r="N677">
        <v>74</v>
      </c>
    </row>
    <row r="678" spans="1:14" x14ac:dyDescent="0.35">
      <c r="A678" t="s">
        <v>1365</v>
      </c>
      <c r="B678" t="s">
        <v>35</v>
      </c>
      <c r="C678" t="s">
        <v>36</v>
      </c>
      <c r="D678" t="s">
        <v>17</v>
      </c>
      <c r="E678">
        <v>34</v>
      </c>
      <c r="F678" t="s">
        <v>79</v>
      </c>
      <c r="G678" t="s">
        <v>19</v>
      </c>
      <c r="H678" t="s">
        <v>1366</v>
      </c>
      <c r="I678">
        <v>6</v>
      </c>
      <c r="J678">
        <v>12</v>
      </c>
      <c r="K678">
        <v>178048</v>
      </c>
      <c r="L678">
        <v>3.2</v>
      </c>
      <c r="M678" t="s">
        <v>21</v>
      </c>
      <c r="N678">
        <v>61</v>
      </c>
    </row>
    <row r="679" spans="1:14" x14ac:dyDescent="0.35">
      <c r="A679" t="s">
        <v>1367</v>
      </c>
      <c r="B679" t="s">
        <v>55</v>
      </c>
      <c r="C679" t="s">
        <v>49</v>
      </c>
      <c r="D679" t="s">
        <v>17</v>
      </c>
      <c r="E679">
        <v>36</v>
      </c>
      <c r="F679" t="s">
        <v>74</v>
      </c>
      <c r="G679" t="s">
        <v>32</v>
      </c>
      <c r="H679" t="s">
        <v>1368</v>
      </c>
      <c r="I679">
        <v>15</v>
      </c>
      <c r="J679">
        <v>23</v>
      </c>
      <c r="K679">
        <v>256850</v>
      </c>
      <c r="L679">
        <v>4.7</v>
      </c>
      <c r="M679" t="s">
        <v>21</v>
      </c>
      <c r="N679">
        <v>61</v>
      </c>
    </row>
    <row r="680" spans="1:14" x14ac:dyDescent="0.35">
      <c r="A680" t="s">
        <v>1369</v>
      </c>
      <c r="B680" t="s">
        <v>15</v>
      </c>
      <c r="C680" t="s">
        <v>64</v>
      </c>
      <c r="D680" t="s">
        <v>25</v>
      </c>
      <c r="E680">
        <v>43</v>
      </c>
      <c r="F680" t="s">
        <v>79</v>
      </c>
      <c r="G680" t="s">
        <v>41</v>
      </c>
      <c r="H680" t="s">
        <v>1370</v>
      </c>
      <c r="I680">
        <v>18</v>
      </c>
      <c r="J680">
        <v>25</v>
      </c>
      <c r="K680">
        <v>256797</v>
      </c>
      <c r="L680">
        <v>3.5</v>
      </c>
      <c r="M680" t="s">
        <v>43</v>
      </c>
      <c r="N680">
        <v>98</v>
      </c>
    </row>
    <row r="681" spans="1:14" x14ac:dyDescent="0.35">
      <c r="A681" t="s">
        <v>1371</v>
      </c>
      <c r="B681" t="s">
        <v>15</v>
      </c>
      <c r="C681" t="s">
        <v>24</v>
      </c>
      <c r="D681" t="s">
        <v>25</v>
      </c>
      <c r="E681">
        <v>24</v>
      </c>
      <c r="F681" t="s">
        <v>70</v>
      </c>
      <c r="G681" t="s">
        <v>75</v>
      </c>
      <c r="H681" t="s">
        <v>1372</v>
      </c>
      <c r="I681">
        <v>13</v>
      </c>
      <c r="J681">
        <v>17</v>
      </c>
      <c r="K681">
        <v>485676</v>
      </c>
      <c r="L681">
        <v>2.6</v>
      </c>
      <c r="M681" t="s">
        <v>21</v>
      </c>
      <c r="N681">
        <v>39</v>
      </c>
    </row>
    <row r="682" spans="1:14" x14ac:dyDescent="0.35">
      <c r="A682" t="s">
        <v>1373</v>
      </c>
      <c r="B682" t="s">
        <v>60</v>
      </c>
      <c r="C682" t="s">
        <v>56</v>
      </c>
      <c r="D682" t="s">
        <v>25</v>
      </c>
      <c r="E682">
        <v>24</v>
      </c>
      <c r="F682" t="s">
        <v>31</v>
      </c>
      <c r="G682" t="s">
        <v>75</v>
      </c>
      <c r="H682" t="s">
        <v>1374</v>
      </c>
      <c r="I682">
        <v>8</v>
      </c>
      <c r="J682">
        <v>10</v>
      </c>
      <c r="K682">
        <v>158039</v>
      </c>
      <c r="L682">
        <v>2.2000000000000002</v>
      </c>
      <c r="M682" t="s">
        <v>43</v>
      </c>
      <c r="N682">
        <v>73</v>
      </c>
    </row>
    <row r="683" spans="1:14" x14ac:dyDescent="0.35">
      <c r="A683" t="s">
        <v>1375</v>
      </c>
      <c r="B683" t="s">
        <v>29</v>
      </c>
      <c r="C683" t="s">
        <v>64</v>
      </c>
      <c r="D683" t="s">
        <v>25</v>
      </c>
      <c r="E683">
        <v>55</v>
      </c>
      <c r="F683" t="s">
        <v>46</v>
      </c>
      <c r="G683" t="s">
        <v>71</v>
      </c>
      <c r="H683" t="s">
        <v>1376</v>
      </c>
      <c r="I683">
        <v>1</v>
      </c>
      <c r="J683">
        <v>8</v>
      </c>
      <c r="K683">
        <v>337321</v>
      </c>
      <c r="L683">
        <v>4.5999999999999996</v>
      </c>
      <c r="M683" t="s">
        <v>43</v>
      </c>
      <c r="N683">
        <v>77</v>
      </c>
    </row>
    <row r="684" spans="1:14" x14ac:dyDescent="0.35">
      <c r="A684" t="s">
        <v>1377</v>
      </c>
      <c r="B684" t="s">
        <v>111</v>
      </c>
      <c r="C684" t="s">
        <v>30</v>
      </c>
      <c r="D684" t="s">
        <v>25</v>
      </c>
      <c r="E684">
        <v>50</v>
      </c>
      <c r="F684" t="s">
        <v>74</v>
      </c>
      <c r="G684" t="s">
        <v>75</v>
      </c>
      <c r="H684" t="s">
        <v>1378</v>
      </c>
      <c r="I684">
        <v>14</v>
      </c>
      <c r="J684">
        <v>24</v>
      </c>
      <c r="K684">
        <v>132244</v>
      </c>
      <c r="L684">
        <v>3.9</v>
      </c>
      <c r="M684" t="s">
        <v>43</v>
      </c>
      <c r="N684">
        <v>86</v>
      </c>
    </row>
    <row r="685" spans="1:14" x14ac:dyDescent="0.35">
      <c r="A685" t="s">
        <v>1379</v>
      </c>
      <c r="B685" t="s">
        <v>15</v>
      </c>
      <c r="C685" t="s">
        <v>82</v>
      </c>
      <c r="D685" t="s">
        <v>17</v>
      </c>
      <c r="E685">
        <v>37</v>
      </c>
      <c r="F685" t="s">
        <v>46</v>
      </c>
      <c r="G685" t="s">
        <v>61</v>
      </c>
      <c r="H685" t="s">
        <v>1380</v>
      </c>
      <c r="I685">
        <v>9</v>
      </c>
      <c r="J685">
        <v>16</v>
      </c>
      <c r="K685">
        <v>375804</v>
      </c>
      <c r="L685">
        <v>2.7</v>
      </c>
      <c r="M685" t="s">
        <v>43</v>
      </c>
      <c r="N685">
        <v>82</v>
      </c>
    </row>
    <row r="686" spans="1:14" x14ac:dyDescent="0.35">
      <c r="A686" t="s">
        <v>1381</v>
      </c>
      <c r="B686" t="s">
        <v>96</v>
      </c>
      <c r="C686" t="s">
        <v>30</v>
      </c>
      <c r="D686" t="s">
        <v>17</v>
      </c>
      <c r="E686">
        <v>50</v>
      </c>
      <c r="F686" t="s">
        <v>18</v>
      </c>
      <c r="G686" t="s">
        <v>57</v>
      </c>
      <c r="H686" t="s">
        <v>1382</v>
      </c>
      <c r="I686">
        <v>13</v>
      </c>
      <c r="J686">
        <v>14</v>
      </c>
      <c r="K686">
        <v>278689</v>
      </c>
      <c r="L686">
        <v>2.7</v>
      </c>
      <c r="M686" t="s">
        <v>21</v>
      </c>
      <c r="N686">
        <v>36</v>
      </c>
    </row>
    <row r="687" spans="1:14" x14ac:dyDescent="0.35">
      <c r="A687" t="s">
        <v>1383</v>
      </c>
      <c r="B687" t="s">
        <v>35</v>
      </c>
      <c r="C687" t="s">
        <v>64</v>
      </c>
      <c r="D687" t="s">
        <v>25</v>
      </c>
      <c r="E687">
        <v>60</v>
      </c>
      <c r="F687" t="s">
        <v>74</v>
      </c>
      <c r="G687" t="s">
        <v>75</v>
      </c>
      <c r="H687" t="s">
        <v>1384</v>
      </c>
      <c r="I687">
        <v>16</v>
      </c>
      <c r="J687">
        <v>23</v>
      </c>
      <c r="K687">
        <v>353762</v>
      </c>
      <c r="L687">
        <v>2.1</v>
      </c>
      <c r="M687" t="s">
        <v>21</v>
      </c>
      <c r="N687">
        <v>52</v>
      </c>
    </row>
    <row r="688" spans="1:14" x14ac:dyDescent="0.35">
      <c r="A688" t="s">
        <v>1385</v>
      </c>
      <c r="B688" t="s">
        <v>96</v>
      </c>
      <c r="C688" t="s">
        <v>82</v>
      </c>
      <c r="D688" t="s">
        <v>25</v>
      </c>
      <c r="E688">
        <v>26</v>
      </c>
      <c r="F688" t="s">
        <v>70</v>
      </c>
      <c r="G688" t="s">
        <v>75</v>
      </c>
      <c r="H688" t="s">
        <v>1386</v>
      </c>
      <c r="I688">
        <v>19</v>
      </c>
      <c r="J688">
        <v>20</v>
      </c>
      <c r="K688">
        <v>248428</v>
      </c>
      <c r="L688">
        <v>3.5</v>
      </c>
      <c r="M688" t="s">
        <v>21</v>
      </c>
      <c r="N688">
        <v>32</v>
      </c>
    </row>
    <row r="689" spans="1:14" x14ac:dyDescent="0.35">
      <c r="A689" t="s">
        <v>1387</v>
      </c>
      <c r="B689" t="s">
        <v>96</v>
      </c>
      <c r="C689" t="s">
        <v>52</v>
      </c>
      <c r="D689" t="s">
        <v>17</v>
      </c>
      <c r="E689">
        <v>48</v>
      </c>
      <c r="F689" t="s">
        <v>46</v>
      </c>
      <c r="G689" t="s">
        <v>85</v>
      </c>
      <c r="H689" t="s">
        <v>1388</v>
      </c>
      <c r="I689">
        <v>17</v>
      </c>
      <c r="J689">
        <v>21</v>
      </c>
      <c r="K689">
        <v>259539</v>
      </c>
      <c r="L689">
        <v>2.8</v>
      </c>
      <c r="M689" t="s">
        <v>21</v>
      </c>
      <c r="N689">
        <v>46</v>
      </c>
    </row>
    <row r="690" spans="1:14" x14ac:dyDescent="0.35">
      <c r="A690" t="s">
        <v>1389</v>
      </c>
      <c r="B690" t="s">
        <v>55</v>
      </c>
      <c r="C690" t="s">
        <v>24</v>
      </c>
      <c r="D690" t="s">
        <v>17</v>
      </c>
      <c r="E690">
        <v>43</v>
      </c>
      <c r="F690" t="s">
        <v>79</v>
      </c>
      <c r="G690" t="s">
        <v>61</v>
      </c>
      <c r="H690" t="s">
        <v>1390</v>
      </c>
      <c r="I690">
        <v>4</v>
      </c>
      <c r="J690">
        <v>12</v>
      </c>
      <c r="K690">
        <v>62727</v>
      </c>
      <c r="L690">
        <v>3.1</v>
      </c>
      <c r="M690" t="s">
        <v>43</v>
      </c>
      <c r="N690">
        <v>82</v>
      </c>
    </row>
    <row r="691" spans="1:14" x14ac:dyDescent="0.35">
      <c r="A691" t="s">
        <v>1391</v>
      </c>
      <c r="B691" t="s">
        <v>60</v>
      </c>
      <c r="C691" t="s">
        <v>52</v>
      </c>
      <c r="D691" t="s">
        <v>17</v>
      </c>
      <c r="E691">
        <v>54</v>
      </c>
      <c r="F691" t="s">
        <v>46</v>
      </c>
      <c r="G691" t="s">
        <v>57</v>
      </c>
      <c r="H691" t="s">
        <v>230</v>
      </c>
      <c r="I691">
        <v>8</v>
      </c>
      <c r="J691">
        <v>13</v>
      </c>
      <c r="K691">
        <v>483715</v>
      </c>
      <c r="L691">
        <v>3.2</v>
      </c>
      <c r="M691" t="s">
        <v>21</v>
      </c>
      <c r="N691">
        <v>51</v>
      </c>
    </row>
    <row r="692" spans="1:14" x14ac:dyDescent="0.35">
      <c r="A692" t="s">
        <v>1392</v>
      </c>
      <c r="B692" t="s">
        <v>69</v>
      </c>
      <c r="C692" t="s">
        <v>93</v>
      </c>
      <c r="D692" t="s">
        <v>17</v>
      </c>
      <c r="E692">
        <v>36</v>
      </c>
      <c r="F692" t="s">
        <v>79</v>
      </c>
      <c r="G692" t="s">
        <v>88</v>
      </c>
      <c r="H692" t="s">
        <v>1393</v>
      </c>
      <c r="I692">
        <v>14</v>
      </c>
      <c r="J692">
        <v>18</v>
      </c>
      <c r="K692">
        <v>172718</v>
      </c>
      <c r="L692">
        <v>2.4</v>
      </c>
      <c r="M692" t="s">
        <v>43</v>
      </c>
      <c r="N692">
        <v>71</v>
      </c>
    </row>
    <row r="693" spans="1:14" x14ac:dyDescent="0.35">
      <c r="A693" t="s">
        <v>1394</v>
      </c>
      <c r="B693" t="s">
        <v>111</v>
      </c>
      <c r="C693" t="s">
        <v>49</v>
      </c>
      <c r="D693" t="s">
        <v>17</v>
      </c>
      <c r="E693">
        <v>54</v>
      </c>
      <c r="F693" t="s">
        <v>74</v>
      </c>
      <c r="G693" t="s">
        <v>75</v>
      </c>
      <c r="H693" t="s">
        <v>1395</v>
      </c>
      <c r="I693">
        <v>16</v>
      </c>
      <c r="J693">
        <v>16</v>
      </c>
      <c r="K693">
        <v>464521</v>
      </c>
      <c r="L693">
        <v>3.2</v>
      </c>
      <c r="M693" t="s">
        <v>43</v>
      </c>
      <c r="N693">
        <v>71</v>
      </c>
    </row>
    <row r="694" spans="1:14" x14ac:dyDescent="0.35">
      <c r="A694" t="s">
        <v>1396</v>
      </c>
      <c r="B694" t="s">
        <v>55</v>
      </c>
      <c r="C694" t="s">
        <v>24</v>
      </c>
      <c r="D694" t="s">
        <v>17</v>
      </c>
      <c r="E694">
        <v>41</v>
      </c>
      <c r="F694" t="s">
        <v>79</v>
      </c>
      <c r="G694" t="s">
        <v>26</v>
      </c>
      <c r="H694" t="s">
        <v>1299</v>
      </c>
      <c r="I694">
        <v>4</v>
      </c>
      <c r="J694">
        <v>8</v>
      </c>
      <c r="K694">
        <v>462265</v>
      </c>
      <c r="L694">
        <v>2.4</v>
      </c>
      <c r="M694" t="s">
        <v>21</v>
      </c>
      <c r="N694">
        <v>64</v>
      </c>
    </row>
    <row r="695" spans="1:14" x14ac:dyDescent="0.35">
      <c r="A695" t="s">
        <v>1397</v>
      </c>
      <c r="B695" t="s">
        <v>35</v>
      </c>
      <c r="C695" t="s">
        <v>82</v>
      </c>
      <c r="D695" t="s">
        <v>17</v>
      </c>
      <c r="E695">
        <v>39</v>
      </c>
      <c r="F695" t="s">
        <v>18</v>
      </c>
      <c r="G695" t="s">
        <v>85</v>
      </c>
      <c r="H695" t="s">
        <v>1398</v>
      </c>
      <c r="I695">
        <v>11</v>
      </c>
      <c r="J695">
        <v>16</v>
      </c>
      <c r="K695">
        <v>230221</v>
      </c>
      <c r="L695">
        <v>5</v>
      </c>
      <c r="M695" t="s">
        <v>43</v>
      </c>
      <c r="N695">
        <v>75</v>
      </c>
    </row>
    <row r="696" spans="1:14" x14ac:dyDescent="0.35">
      <c r="A696" t="s">
        <v>1399</v>
      </c>
      <c r="B696" t="s">
        <v>45</v>
      </c>
      <c r="C696" t="s">
        <v>52</v>
      </c>
      <c r="D696" t="s">
        <v>17</v>
      </c>
      <c r="E696">
        <v>57</v>
      </c>
      <c r="F696" t="s">
        <v>18</v>
      </c>
      <c r="G696" t="s">
        <v>41</v>
      </c>
      <c r="H696" t="s">
        <v>1400</v>
      </c>
      <c r="I696">
        <v>2</v>
      </c>
      <c r="J696">
        <v>3</v>
      </c>
      <c r="K696">
        <v>466489</v>
      </c>
      <c r="L696">
        <v>4.9000000000000004</v>
      </c>
      <c r="M696" t="s">
        <v>43</v>
      </c>
      <c r="N696">
        <v>77</v>
      </c>
    </row>
    <row r="697" spans="1:14" x14ac:dyDescent="0.35">
      <c r="A697" t="s">
        <v>1401</v>
      </c>
      <c r="B697" t="s">
        <v>78</v>
      </c>
      <c r="C697" t="s">
        <v>36</v>
      </c>
      <c r="D697" t="s">
        <v>17</v>
      </c>
      <c r="E697">
        <v>52</v>
      </c>
      <c r="F697" t="s">
        <v>18</v>
      </c>
      <c r="G697" t="s">
        <v>61</v>
      </c>
      <c r="H697" t="s">
        <v>602</v>
      </c>
      <c r="I697">
        <v>0</v>
      </c>
      <c r="J697">
        <v>4</v>
      </c>
      <c r="K697">
        <v>324730</v>
      </c>
      <c r="L697">
        <v>3.4</v>
      </c>
      <c r="M697" t="s">
        <v>21</v>
      </c>
      <c r="N697">
        <v>30</v>
      </c>
    </row>
    <row r="698" spans="1:14" x14ac:dyDescent="0.35">
      <c r="A698" t="s">
        <v>1402</v>
      </c>
      <c r="B698" t="s">
        <v>15</v>
      </c>
      <c r="C698" t="s">
        <v>30</v>
      </c>
      <c r="D698" t="s">
        <v>17</v>
      </c>
      <c r="E698">
        <v>55</v>
      </c>
      <c r="F698" t="s">
        <v>70</v>
      </c>
      <c r="G698" t="s">
        <v>88</v>
      </c>
      <c r="H698" t="s">
        <v>1403</v>
      </c>
      <c r="I698">
        <v>2</v>
      </c>
      <c r="J698">
        <v>7</v>
      </c>
      <c r="K698">
        <v>239140</v>
      </c>
      <c r="L698">
        <v>3.3</v>
      </c>
      <c r="M698" t="s">
        <v>21</v>
      </c>
      <c r="N698">
        <v>43</v>
      </c>
    </row>
    <row r="699" spans="1:14" x14ac:dyDescent="0.35">
      <c r="A699" t="s">
        <v>1404</v>
      </c>
      <c r="B699" t="s">
        <v>45</v>
      </c>
      <c r="C699" t="s">
        <v>16</v>
      </c>
      <c r="D699" t="s">
        <v>25</v>
      </c>
      <c r="E699">
        <v>25</v>
      </c>
      <c r="F699" t="s">
        <v>74</v>
      </c>
      <c r="G699" t="s">
        <v>88</v>
      </c>
      <c r="H699" t="s">
        <v>1405</v>
      </c>
      <c r="I699">
        <v>1</v>
      </c>
      <c r="J699">
        <v>7</v>
      </c>
      <c r="K699">
        <v>83294</v>
      </c>
      <c r="L699">
        <v>5</v>
      </c>
      <c r="M699" t="s">
        <v>21</v>
      </c>
      <c r="N699">
        <v>32</v>
      </c>
    </row>
    <row r="700" spans="1:14" x14ac:dyDescent="0.35">
      <c r="A700" t="s">
        <v>1406</v>
      </c>
      <c r="B700" t="s">
        <v>96</v>
      </c>
      <c r="C700" t="s">
        <v>82</v>
      </c>
      <c r="D700" t="s">
        <v>25</v>
      </c>
      <c r="E700">
        <v>29</v>
      </c>
      <c r="F700" t="s">
        <v>37</v>
      </c>
      <c r="G700" t="s">
        <v>41</v>
      </c>
      <c r="H700" t="s">
        <v>1407</v>
      </c>
      <c r="I700">
        <v>12</v>
      </c>
      <c r="J700">
        <v>17</v>
      </c>
      <c r="K700">
        <v>343608</v>
      </c>
      <c r="L700">
        <v>3.9</v>
      </c>
      <c r="M700" t="s">
        <v>43</v>
      </c>
      <c r="N700">
        <v>88</v>
      </c>
    </row>
    <row r="701" spans="1:14" x14ac:dyDescent="0.35">
      <c r="A701" t="s">
        <v>1408</v>
      </c>
      <c r="B701" t="s">
        <v>111</v>
      </c>
      <c r="C701" t="s">
        <v>93</v>
      </c>
      <c r="D701" t="s">
        <v>17</v>
      </c>
      <c r="E701">
        <v>59</v>
      </c>
      <c r="F701" t="s">
        <v>74</v>
      </c>
      <c r="G701" t="s">
        <v>61</v>
      </c>
      <c r="H701" t="s">
        <v>1409</v>
      </c>
      <c r="I701">
        <v>13</v>
      </c>
      <c r="J701">
        <v>22</v>
      </c>
      <c r="K701">
        <v>355355</v>
      </c>
      <c r="L701">
        <v>3.6</v>
      </c>
      <c r="M701" t="s">
        <v>21</v>
      </c>
      <c r="N701">
        <v>62</v>
      </c>
    </row>
    <row r="702" spans="1:14" x14ac:dyDescent="0.35">
      <c r="A702" t="s">
        <v>1410</v>
      </c>
      <c r="B702" t="s">
        <v>96</v>
      </c>
      <c r="C702" t="s">
        <v>36</v>
      </c>
      <c r="D702" t="s">
        <v>25</v>
      </c>
      <c r="E702">
        <v>54</v>
      </c>
      <c r="F702" t="s">
        <v>18</v>
      </c>
      <c r="G702" t="s">
        <v>61</v>
      </c>
      <c r="H702" t="s">
        <v>1411</v>
      </c>
      <c r="I702">
        <v>20</v>
      </c>
      <c r="J702">
        <v>26</v>
      </c>
      <c r="K702">
        <v>284777</v>
      </c>
      <c r="L702">
        <v>3.7</v>
      </c>
      <c r="M702" t="s">
        <v>21</v>
      </c>
      <c r="N702">
        <v>32</v>
      </c>
    </row>
    <row r="703" spans="1:14" x14ac:dyDescent="0.35">
      <c r="A703" t="s">
        <v>1412</v>
      </c>
      <c r="B703" t="s">
        <v>55</v>
      </c>
      <c r="C703" t="s">
        <v>30</v>
      </c>
      <c r="D703" t="s">
        <v>17</v>
      </c>
      <c r="E703">
        <v>60</v>
      </c>
      <c r="F703" t="s">
        <v>31</v>
      </c>
      <c r="G703" t="s">
        <v>26</v>
      </c>
      <c r="H703" t="s">
        <v>1413</v>
      </c>
      <c r="I703">
        <v>2</v>
      </c>
      <c r="J703">
        <v>4</v>
      </c>
      <c r="K703">
        <v>499071</v>
      </c>
      <c r="L703">
        <v>2.1</v>
      </c>
      <c r="M703" t="s">
        <v>21</v>
      </c>
      <c r="N703">
        <v>43</v>
      </c>
    </row>
    <row r="704" spans="1:14" x14ac:dyDescent="0.35">
      <c r="A704" t="s">
        <v>1414</v>
      </c>
      <c r="B704" t="s">
        <v>96</v>
      </c>
      <c r="C704" t="s">
        <v>93</v>
      </c>
      <c r="D704" t="s">
        <v>25</v>
      </c>
      <c r="E704">
        <v>45</v>
      </c>
      <c r="F704" t="s">
        <v>79</v>
      </c>
      <c r="G704" t="s">
        <v>26</v>
      </c>
      <c r="H704" t="s">
        <v>1415</v>
      </c>
      <c r="I704">
        <v>3</v>
      </c>
      <c r="J704">
        <v>10</v>
      </c>
      <c r="K704">
        <v>393943</v>
      </c>
      <c r="L704">
        <v>2.8</v>
      </c>
      <c r="M704" t="s">
        <v>21</v>
      </c>
      <c r="N704">
        <v>36</v>
      </c>
    </row>
    <row r="705" spans="1:14" x14ac:dyDescent="0.35">
      <c r="A705" t="s">
        <v>1416</v>
      </c>
      <c r="B705" t="s">
        <v>29</v>
      </c>
      <c r="C705" t="s">
        <v>30</v>
      </c>
      <c r="D705" t="s">
        <v>17</v>
      </c>
      <c r="E705">
        <v>53</v>
      </c>
      <c r="F705" t="s">
        <v>37</v>
      </c>
      <c r="G705" t="s">
        <v>71</v>
      </c>
      <c r="H705" t="s">
        <v>1417</v>
      </c>
      <c r="I705">
        <v>20</v>
      </c>
      <c r="J705">
        <v>23</v>
      </c>
      <c r="K705">
        <v>286731</v>
      </c>
      <c r="L705">
        <v>5</v>
      </c>
      <c r="M705" t="s">
        <v>43</v>
      </c>
      <c r="N705">
        <v>100</v>
      </c>
    </row>
    <row r="706" spans="1:14" x14ac:dyDescent="0.35">
      <c r="A706" t="s">
        <v>1418</v>
      </c>
      <c r="B706" t="s">
        <v>55</v>
      </c>
      <c r="C706" t="s">
        <v>30</v>
      </c>
      <c r="D706" t="s">
        <v>25</v>
      </c>
      <c r="E706">
        <v>29</v>
      </c>
      <c r="F706" t="s">
        <v>74</v>
      </c>
      <c r="G706" t="s">
        <v>75</v>
      </c>
      <c r="H706" t="s">
        <v>1419</v>
      </c>
      <c r="I706">
        <v>10</v>
      </c>
      <c r="J706">
        <v>18</v>
      </c>
      <c r="K706">
        <v>93617</v>
      </c>
      <c r="L706">
        <v>4.5</v>
      </c>
      <c r="M706" t="s">
        <v>43</v>
      </c>
      <c r="N706">
        <v>87</v>
      </c>
    </row>
    <row r="707" spans="1:14" x14ac:dyDescent="0.35">
      <c r="A707" t="s">
        <v>1420</v>
      </c>
      <c r="B707" t="s">
        <v>55</v>
      </c>
      <c r="C707" t="s">
        <v>36</v>
      </c>
      <c r="D707" t="s">
        <v>17</v>
      </c>
      <c r="E707">
        <v>44</v>
      </c>
      <c r="F707" t="s">
        <v>46</v>
      </c>
      <c r="G707" t="s">
        <v>71</v>
      </c>
      <c r="H707" t="s">
        <v>1421</v>
      </c>
      <c r="I707">
        <v>1</v>
      </c>
      <c r="J707">
        <v>11</v>
      </c>
      <c r="K707">
        <v>450551</v>
      </c>
      <c r="L707">
        <v>3.9</v>
      </c>
      <c r="M707" t="s">
        <v>43</v>
      </c>
      <c r="N707">
        <v>97</v>
      </c>
    </row>
    <row r="708" spans="1:14" x14ac:dyDescent="0.35">
      <c r="A708" t="s">
        <v>1422</v>
      </c>
      <c r="B708" t="s">
        <v>96</v>
      </c>
      <c r="C708" t="s">
        <v>24</v>
      </c>
      <c r="D708" t="s">
        <v>25</v>
      </c>
      <c r="E708">
        <v>26</v>
      </c>
      <c r="F708" t="s">
        <v>70</v>
      </c>
      <c r="G708" t="s">
        <v>75</v>
      </c>
      <c r="H708" t="s">
        <v>1423</v>
      </c>
      <c r="I708">
        <v>7</v>
      </c>
      <c r="J708">
        <v>8</v>
      </c>
      <c r="K708">
        <v>80406</v>
      </c>
      <c r="L708">
        <v>3.1</v>
      </c>
      <c r="M708" t="s">
        <v>43</v>
      </c>
      <c r="N708">
        <v>79</v>
      </c>
    </row>
    <row r="709" spans="1:14" x14ac:dyDescent="0.35">
      <c r="A709" t="s">
        <v>1424</v>
      </c>
      <c r="B709" t="s">
        <v>78</v>
      </c>
      <c r="C709" t="s">
        <v>93</v>
      </c>
      <c r="D709" t="s">
        <v>17</v>
      </c>
      <c r="E709">
        <v>35</v>
      </c>
      <c r="F709" t="s">
        <v>18</v>
      </c>
      <c r="G709" t="s">
        <v>61</v>
      </c>
      <c r="H709" t="s">
        <v>1425</v>
      </c>
      <c r="I709">
        <v>8</v>
      </c>
      <c r="J709">
        <v>18</v>
      </c>
      <c r="K709">
        <v>168988</v>
      </c>
      <c r="L709">
        <v>5</v>
      </c>
      <c r="M709" t="s">
        <v>21</v>
      </c>
      <c r="N709">
        <v>68</v>
      </c>
    </row>
    <row r="710" spans="1:14" x14ac:dyDescent="0.35">
      <c r="A710" t="s">
        <v>1426</v>
      </c>
      <c r="B710" t="s">
        <v>15</v>
      </c>
      <c r="C710" t="s">
        <v>64</v>
      </c>
      <c r="D710" t="s">
        <v>25</v>
      </c>
      <c r="E710">
        <v>37</v>
      </c>
      <c r="F710" t="s">
        <v>74</v>
      </c>
      <c r="G710" t="s">
        <v>57</v>
      </c>
      <c r="H710" t="s">
        <v>954</v>
      </c>
      <c r="I710">
        <v>11</v>
      </c>
      <c r="J710">
        <v>12</v>
      </c>
      <c r="K710">
        <v>424228</v>
      </c>
      <c r="L710">
        <v>3.1</v>
      </c>
      <c r="M710" t="s">
        <v>43</v>
      </c>
      <c r="N710">
        <v>97</v>
      </c>
    </row>
    <row r="711" spans="1:14" x14ac:dyDescent="0.35">
      <c r="A711" t="s">
        <v>1427</v>
      </c>
      <c r="B711" t="s">
        <v>35</v>
      </c>
      <c r="C711" t="s">
        <v>82</v>
      </c>
      <c r="D711" t="s">
        <v>25</v>
      </c>
      <c r="E711">
        <v>33</v>
      </c>
      <c r="F711" t="s">
        <v>70</v>
      </c>
      <c r="G711" t="s">
        <v>57</v>
      </c>
      <c r="H711" t="s">
        <v>1428</v>
      </c>
      <c r="I711">
        <v>17</v>
      </c>
      <c r="J711">
        <v>26</v>
      </c>
      <c r="K711">
        <v>351310</v>
      </c>
      <c r="L711">
        <v>3.1</v>
      </c>
      <c r="M711" t="s">
        <v>43</v>
      </c>
      <c r="N711">
        <v>91</v>
      </c>
    </row>
    <row r="712" spans="1:14" x14ac:dyDescent="0.35">
      <c r="A712" t="s">
        <v>1429</v>
      </c>
      <c r="B712" t="s">
        <v>29</v>
      </c>
      <c r="C712" t="s">
        <v>82</v>
      </c>
      <c r="D712" t="s">
        <v>17</v>
      </c>
      <c r="E712">
        <v>24</v>
      </c>
      <c r="F712" t="s">
        <v>37</v>
      </c>
      <c r="G712" t="s">
        <v>26</v>
      </c>
      <c r="H712" t="s">
        <v>1430</v>
      </c>
      <c r="I712">
        <v>17</v>
      </c>
      <c r="J712">
        <v>20</v>
      </c>
      <c r="K712">
        <v>497271</v>
      </c>
      <c r="L712">
        <v>2.2999999999999998</v>
      </c>
      <c r="M712" t="s">
        <v>21</v>
      </c>
      <c r="N712">
        <v>40</v>
      </c>
    </row>
    <row r="713" spans="1:14" x14ac:dyDescent="0.35">
      <c r="A713" t="s">
        <v>1431</v>
      </c>
      <c r="B713" t="s">
        <v>45</v>
      </c>
      <c r="C713" t="s">
        <v>82</v>
      </c>
      <c r="D713" t="s">
        <v>25</v>
      </c>
      <c r="E713">
        <v>39</v>
      </c>
      <c r="F713" t="s">
        <v>31</v>
      </c>
      <c r="G713" t="s">
        <v>88</v>
      </c>
      <c r="H713" t="s">
        <v>1432</v>
      </c>
      <c r="I713">
        <v>16</v>
      </c>
      <c r="J713">
        <v>21</v>
      </c>
      <c r="K713">
        <v>461680</v>
      </c>
      <c r="L713">
        <v>4.9000000000000004</v>
      </c>
      <c r="M713" t="s">
        <v>21</v>
      </c>
      <c r="N713">
        <v>32</v>
      </c>
    </row>
    <row r="714" spans="1:14" x14ac:dyDescent="0.35">
      <c r="A714" t="s">
        <v>1433</v>
      </c>
      <c r="B714" t="s">
        <v>29</v>
      </c>
      <c r="C714" t="s">
        <v>30</v>
      </c>
      <c r="D714" t="s">
        <v>25</v>
      </c>
      <c r="E714">
        <v>30</v>
      </c>
      <c r="F714" t="s">
        <v>31</v>
      </c>
      <c r="G714" t="s">
        <v>26</v>
      </c>
      <c r="H714" t="s">
        <v>1434</v>
      </c>
      <c r="I714">
        <v>1</v>
      </c>
      <c r="J714">
        <v>9</v>
      </c>
      <c r="K714">
        <v>205159</v>
      </c>
      <c r="L714">
        <v>2.1</v>
      </c>
      <c r="M714" t="s">
        <v>21</v>
      </c>
      <c r="N714">
        <v>69</v>
      </c>
    </row>
    <row r="715" spans="1:14" x14ac:dyDescent="0.35">
      <c r="A715" t="s">
        <v>1435</v>
      </c>
      <c r="B715" t="s">
        <v>35</v>
      </c>
      <c r="C715" t="s">
        <v>64</v>
      </c>
      <c r="D715" t="s">
        <v>25</v>
      </c>
      <c r="E715">
        <v>58</v>
      </c>
      <c r="F715" t="s">
        <v>79</v>
      </c>
      <c r="G715" t="s">
        <v>32</v>
      </c>
      <c r="H715" t="s">
        <v>1436</v>
      </c>
      <c r="I715">
        <v>0</v>
      </c>
      <c r="J715">
        <v>3</v>
      </c>
      <c r="K715">
        <v>158452</v>
      </c>
      <c r="L715">
        <v>5</v>
      </c>
      <c r="M715" t="s">
        <v>43</v>
      </c>
      <c r="N715">
        <v>76</v>
      </c>
    </row>
    <row r="716" spans="1:14" x14ac:dyDescent="0.35">
      <c r="A716" t="s">
        <v>1437</v>
      </c>
      <c r="B716" t="s">
        <v>78</v>
      </c>
      <c r="C716" t="s">
        <v>36</v>
      </c>
      <c r="D716" t="s">
        <v>25</v>
      </c>
      <c r="E716">
        <v>50</v>
      </c>
      <c r="F716" t="s">
        <v>37</v>
      </c>
      <c r="G716" t="s">
        <v>71</v>
      </c>
      <c r="H716" t="s">
        <v>1438</v>
      </c>
      <c r="I716">
        <v>0</v>
      </c>
      <c r="J716">
        <v>8</v>
      </c>
      <c r="K716">
        <v>90696</v>
      </c>
      <c r="L716">
        <v>5</v>
      </c>
      <c r="M716" t="s">
        <v>21</v>
      </c>
      <c r="N716">
        <v>65</v>
      </c>
    </row>
    <row r="717" spans="1:14" x14ac:dyDescent="0.35">
      <c r="A717" t="s">
        <v>1439</v>
      </c>
      <c r="B717" t="s">
        <v>78</v>
      </c>
      <c r="C717" t="s">
        <v>52</v>
      </c>
      <c r="D717" t="s">
        <v>25</v>
      </c>
      <c r="E717">
        <v>22</v>
      </c>
      <c r="F717" t="s">
        <v>31</v>
      </c>
      <c r="G717" t="s">
        <v>61</v>
      </c>
      <c r="H717" t="s">
        <v>1440</v>
      </c>
      <c r="I717">
        <v>13</v>
      </c>
      <c r="J717">
        <v>22</v>
      </c>
      <c r="K717">
        <v>442738</v>
      </c>
      <c r="L717">
        <v>4.3</v>
      </c>
      <c r="M717" t="s">
        <v>43</v>
      </c>
      <c r="N717">
        <v>99</v>
      </c>
    </row>
    <row r="718" spans="1:14" x14ac:dyDescent="0.35">
      <c r="A718" t="s">
        <v>1441</v>
      </c>
      <c r="B718" t="s">
        <v>111</v>
      </c>
      <c r="C718" t="s">
        <v>82</v>
      </c>
      <c r="D718" t="s">
        <v>25</v>
      </c>
      <c r="E718">
        <v>36</v>
      </c>
      <c r="F718" t="s">
        <v>70</v>
      </c>
      <c r="G718" t="s">
        <v>32</v>
      </c>
      <c r="H718" t="s">
        <v>1442</v>
      </c>
      <c r="I718">
        <v>15</v>
      </c>
      <c r="J718">
        <v>23</v>
      </c>
      <c r="K718">
        <v>490457</v>
      </c>
      <c r="L718">
        <v>4.2</v>
      </c>
      <c r="M718" t="s">
        <v>43</v>
      </c>
      <c r="N718">
        <v>79</v>
      </c>
    </row>
    <row r="719" spans="1:14" x14ac:dyDescent="0.35">
      <c r="A719" t="s">
        <v>1443</v>
      </c>
      <c r="B719" t="s">
        <v>23</v>
      </c>
      <c r="C719" t="s">
        <v>30</v>
      </c>
      <c r="D719" t="s">
        <v>25</v>
      </c>
      <c r="E719">
        <v>48</v>
      </c>
      <c r="F719" t="s">
        <v>31</v>
      </c>
      <c r="G719" t="s">
        <v>19</v>
      </c>
      <c r="H719" t="s">
        <v>1444</v>
      </c>
      <c r="I719">
        <v>19</v>
      </c>
      <c r="J719">
        <v>23</v>
      </c>
      <c r="K719">
        <v>141739</v>
      </c>
      <c r="L719">
        <v>2.7</v>
      </c>
      <c r="M719" t="s">
        <v>43</v>
      </c>
      <c r="N719">
        <v>71</v>
      </c>
    </row>
    <row r="720" spans="1:14" x14ac:dyDescent="0.35">
      <c r="A720" t="s">
        <v>1445</v>
      </c>
      <c r="B720" t="s">
        <v>111</v>
      </c>
      <c r="C720" t="s">
        <v>16</v>
      </c>
      <c r="D720" t="s">
        <v>25</v>
      </c>
      <c r="E720">
        <v>59</v>
      </c>
      <c r="F720" t="s">
        <v>70</v>
      </c>
      <c r="G720" t="s">
        <v>61</v>
      </c>
      <c r="H720" t="s">
        <v>1446</v>
      </c>
      <c r="I720">
        <v>4</v>
      </c>
      <c r="J720">
        <v>13</v>
      </c>
      <c r="K720">
        <v>297609</v>
      </c>
      <c r="L720">
        <v>4.9000000000000004</v>
      </c>
      <c r="M720" t="s">
        <v>21</v>
      </c>
      <c r="N720">
        <v>58</v>
      </c>
    </row>
    <row r="721" spans="1:14" x14ac:dyDescent="0.35">
      <c r="A721" t="s">
        <v>1447</v>
      </c>
      <c r="B721" t="s">
        <v>111</v>
      </c>
      <c r="C721" t="s">
        <v>93</v>
      </c>
      <c r="D721" t="s">
        <v>25</v>
      </c>
      <c r="E721">
        <v>43</v>
      </c>
      <c r="F721" t="s">
        <v>31</v>
      </c>
      <c r="G721" t="s">
        <v>19</v>
      </c>
      <c r="H721" t="s">
        <v>1448</v>
      </c>
      <c r="I721">
        <v>19</v>
      </c>
      <c r="J721">
        <v>28</v>
      </c>
      <c r="K721">
        <v>346534</v>
      </c>
      <c r="L721">
        <v>4.9000000000000004</v>
      </c>
      <c r="M721" t="s">
        <v>21</v>
      </c>
      <c r="N721">
        <v>38</v>
      </c>
    </row>
    <row r="722" spans="1:14" x14ac:dyDescent="0.35">
      <c r="A722" t="s">
        <v>1449</v>
      </c>
      <c r="B722" t="s">
        <v>35</v>
      </c>
      <c r="C722" t="s">
        <v>16</v>
      </c>
      <c r="D722" t="s">
        <v>25</v>
      </c>
      <c r="E722">
        <v>40</v>
      </c>
      <c r="F722" t="s">
        <v>74</v>
      </c>
      <c r="G722" t="s">
        <v>61</v>
      </c>
      <c r="H722" t="s">
        <v>1450</v>
      </c>
      <c r="I722">
        <v>0</v>
      </c>
      <c r="J722">
        <v>9</v>
      </c>
      <c r="K722">
        <v>119525</v>
      </c>
      <c r="L722">
        <v>4.0999999999999996</v>
      </c>
      <c r="M722" t="s">
        <v>43</v>
      </c>
      <c r="N722">
        <v>81</v>
      </c>
    </row>
    <row r="723" spans="1:14" x14ac:dyDescent="0.35">
      <c r="A723" t="s">
        <v>1451</v>
      </c>
      <c r="B723" t="s">
        <v>55</v>
      </c>
      <c r="C723" t="s">
        <v>30</v>
      </c>
      <c r="D723" t="s">
        <v>17</v>
      </c>
      <c r="E723">
        <v>30</v>
      </c>
      <c r="F723" t="s">
        <v>31</v>
      </c>
      <c r="G723" t="s">
        <v>41</v>
      </c>
      <c r="H723" t="s">
        <v>1452</v>
      </c>
      <c r="I723">
        <v>20</v>
      </c>
      <c r="J723">
        <v>20</v>
      </c>
      <c r="K723">
        <v>85141</v>
      </c>
      <c r="L723">
        <v>2.2000000000000002</v>
      </c>
      <c r="M723" t="s">
        <v>43</v>
      </c>
      <c r="N723">
        <v>97</v>
      </c>
    </row>
    <row r="724" spans="1:14" x14ac:dyDescent="0.35">
      <c r="A724" t="s">
        <v>1453</v>
      </c>
      <c r="B724" t="s">
        <v>35</v>
      </c>
      <c r="C724" t="s">
        <v>82</v>
      </c>
      <c r="D724" t="s">
        <v>17</v>
      </c>
      <c r="E724">
        <v>36</v>
      </c>
      <c r="F724" t="s">
        <v>74</v>
      </c>
      <c r="G724" t="s">
        <v>57</v>
      </c>
      <c r="H724" t="s">
        <v>1454</v>
      </c>
      <c r="I724">
        <v>19</v>
      </c>
      <c r="J724">
        <v>22</v>
      </c>
      <c r="K724">
        <v>112816</v>
      </c>
      <c r="L724">
        <v>3.2</v>
      </c>
      <c r="M724" t="s">
        <v>43</v>
      </c>
      <c r="N724">
        <v>75</v>
      </c>
    </row>
    <row r="725" spans="1:14" x14ac:dyDescent="0.35">
      <c r="A725" t="s">
        <v>1455</v>
      </c>
      <c r="B725" t="s">
        <v>15</v>
      </c>
      <c r="C725" t="s">
        <v>24</v>
      </c>
      <c r="D725" t="s">
        <v>25</v>
      </c>
      <c r="E725">
        <v>52</v>
      </c>
      <c r="F725" t="s">
        <v>79</v>
      </c>
      <c r="G725" t="s">
        <v>19</v>
      </c>
      <c r="H725" t="s">
        <v>1456</v>
      </c>
      <c r="I725">
        <v>1</v>
      </c>
      <c r="J725">
        <v>6</v>
      </c>
      <c r="K725">
        <v>107088</v>
      </c>
      <c r="L725">
        <v>4.2</v>
      </c>
      <c r="M725" t="s">
        <v>43</v>
      </c>
      <c r="N725">
        <v>80</v>
      </c>
    </row>
    <row r="726" spans="1:14" x14ac:dyDescent="0.35">
      <c r="A726" t="s">
        <v>1457</v>
      </c>
      <c r="B726" t="s">
        <v>40</v>
      </c>
      <c r="C726" t="s">
        <v>64</v>
      </c>
      <c r="D726" t="s">
        <v>25</v>
      </c>
      <c r="E726">
        <v>49</v>
      </c>
      <c r="F726" t="s">
        <v>46</v>
      </c>
      <c r="G726" t="s">
        <v>71</v>
      </c>
      <c r="H726" t="s">
        <v>1458</v>
      </c>
      <c r="I726">
        <v>13</v>
      </c>
      <c r="J726">
        <v>16</v>
      </c>
      <c r="K726">
        <v>85398</v>
      </c>
      <c r="L726">
        <v>2.2000000000000002</v>
      </c>
      <c r="M726" t="s">
        <v>43</v>
      </c>
      <c r="N726">
        <v>82</v>
      </c>
    </row>
    <row r="727" spans="1:14" x14ac:dyDescent="0.35">
      <c r="A727" t="s">
        <v>1459</v>
      </c>
      <c r="B727" t="s">
        <v>29</v>
      </c>
      <c r="C727" t="s">
        <v>36</v>
      </c>
      <c r="D727" t="s">
        <v>17</v>
      </c>
      <c r="E727">
        <v>45</v>
      </c>
      <c r="F727" t="s">
        <v>70</v>
      </c>
      <c r="G727" t="s">
        <v>71</v>
      </c>
      <c r="H727" t="s">
        <v>1325</v>
      </c>
      <c r="I727">
        <v>8</v>
      </c>
      <c r="J727">
        <v>9</v>
      </c>
      <c r="K727">
        <v>498104</v>
      </c>
      <c r="L727">
        <v>3.4</v>
      </c>
      <c r="M727" t="s">
        <v>21</v>
      </c>
      <c r="N727">
        <v>63</v>
      </c>
    </row>
    <row r="728" spans="1:14" x14ac:dyDescent="0.35">
      <c r="A728" t="s">
        <v>1460</v>
      </c>
      <c r="B728" t="s">
        <v>40</v>
      </c>
      <c r="C728" t="s">
        <v>49</v>
      </c>
      <c r="D728" t="s">
        <v>17</v>
      </c>
      <c r="E728">
        <v>22</v>
      </c>
      <c r="F728" t="s">
        <v>79</v>
      </c>
      <c r="G728" t="s">
        <v>71</v>
      </c>
      <c r="H728" t="s">
        <v>1461</v>
      </c>
      <c r="I728">
        <v>9</v>
      </c>
      <c r="J728">
        <v>9</v>
      </c>
      <c r="K728">
        <v>108344</v>
      </c>
      <c r="L728">
        <v>4.0999999999999996</v>
      </c>
      <c r="M728" t="s">
        <v>43</v>
      </c>
      <c r="N728">
        <v>76</v>
      </c>
    </row>
    <row r="729" spans="1:14" x14ac:dyDescent="0.35">
      <c r="A729" t="s">
        <v>1462</v>
      </c>
      <c r="B729" t="s">
        <v>23</v>
      </c>
      <c r="C729" t="s">
        <v>36</v>
      </c>
      <c r="D729" t="s">
        <v>25</v>
      </c>
      <c r="E729">
        <v>28</v>
      </c>
      <c r="F729" t="s">
        <v>31</v>
      </c>
      <c r="G729" t="s">
        <v>41</v>
      </c>
      <c r="H729" t="s">
        <v>1013</v>
      </c>
      <c r="I729">
        <v>0</v>
      </c>
      <c r="J729">
        <v>0</v>
      </c>
      <c r="K729">
        <v>80482</v>
      </c>
      <c r="L729">
        <v>3.4</v>
      </c>
      <c r="M729" t="s">
        <v>21</v>
      </c>
      <c r="N729">
        <v>62</v>
      </c>
    </row>
    <row r="730" spans="1:14" x14ac:dyDescent="0.35">
      <c r="A730" t="s">
        <v>1463</v>
      </c>
      <c r="B730" t="s">
        <v>35</v>
      </c>
      <c r="C730" t="s">
        <v>93</v>
      </c>
      <c r="D730" t="s">
        <v>17</v>
      </c>
      <c r="E730">
        <v>24</v>
      </c>
      <c r="F730" t="s">
        <v>18</v>
      </c>
      <c r="G730" t="s">
        <v>32</v>
      </c>
      <c r="H730" t="s">
        <v>1464</v>
      </c>
      <c r="I730">
        <v>6</v>
      </c>
      <c r="J730">
        <v>13</v>
      </c>
      <c r="K730">
        <v>373395</v>
      </c>
      <c r="L730">
        <v>3.3</v>
      </c>
      <c r="M730" t="s">
        <v>21</v>
      </c>
      <c r="N730">
        <v>34</v>
      </c>
    </row>
    <row r="731" spans="1:14" x14ac:dyDescent="0.35">
      <c r="A731" t="s">
        <v>1465</v>
      </c>
      <c r="B731" t="s">
        <v>40</v>
      </c>
      <c r="C731" t="s">
        <v>93</v>
      </c>
      <c r="D731" t="s">
        <v>25</v>
      </c>
      <c r="E731">
        <v>34</v>
      </c>
      <c r="F731" t="s">
        <v>46</v>
      </c>
      <c r="G731" t="s">
        <v>61</v>
      </c>
      <c r="H731" t="s">
        <v>1466</v>
      </c>
      <c r="I731">
        <v>13</v>
      </c>
      <c r="J731">
        <v>13</v>
      </c>
      <c r="K731">
        <v>397760</v>
      </c>
      <c r="L731">
        <v>2.1</v>
      </c>
      <c r="M731" t="s">
        <v>21</v>
      </c>
      <c r="N731">
        <v>30</v>
      </c>
    </row>
    <row r="732" spans="1:14" x14ac:dyDescent="0.35">
      <c r="A732" t="s">
        <v>1467</v>
      </c>
      <c r="B732" t="s">
        <v>96</v>
      </c>
      <c r="C732" t="s">
        <v>24</v>
      </c>
      <c r="D732" t="s">
        <v>25</v>
      </c>
      <c r="E732">
        <v>50</v>
      </c>
      <c r="F732" t="s">
        <v>70</v>
      </c>
      <c r="G732" t="s">
        <v>71</v>
      </c>
      <c r="H732" t="s">
        <v>1468</v>
      </c>
      <c r="I732">
        <v>19</v>
      </c>
      <c r="J732">
        <v>24</v>
      </c>
      <c r="K732">
        <v>434269</v>
      </c>
      <c r="L732">
        <v>3.3</v>
      </c>
      <c r="M732" t="s">
        <v>43</v>
      </c>
      <c r="N732">
        <v>84</v>
      </c>
    </row>
    <row r="733" spans="1:14" x14ac:dyDescent="0.35">
      <c r="A733" t="s">
        <v>1469</v>
      </c>
      <c r="B733" t="s">
        <v>111</v>
      </c>
      <c r="C733" t="s">
        <v>82</v>
      </c>
      <c r="D733" t="s">
        <v>17</v>
      </c>
      <c r="E733">
        <v>35</v>
      </c>
      <c r="F733" t="s">
        <v>31</v>
      </c>
      <c r="G733" t="s">
        <v>41</v>
      </c>
      <c r="H733" t="s">
        <v>1470</v>
      </c>
      <c r="I733">
        <v>10</v>
      </c>
      <c r="J733">
        <v>12</v>
      </c>
      <c r="K733">
        <v>450082</v>
      </c>
      <c r="L733">
        <v>2.2999999999999998</v>
      </c>
      <c r="M733" t="s">
        <v>43</v>
      </c>
      <c r="N733">
        <v>86</v>
      </c>
    </row>
    <row r="734" spans="1:14" x14ac:dyDescent="0.35">
      <c r="A734" t="s">
        <v>1471</v>
      </c>
      <c r="B734" t="s">
        <v>96</v>
      </c>
      <c r="C734" t="s">
        <v>82</v>
      </c>
      <c r="D734" t="s">
        <v>25</v>
      </c>
      <c r="E734">
        <v>29</v>
      </c>
      <c r="F734" t="s">
        <v>74</v>
      </c>
      <c r="G734" t="s">
        <v>61</v>
      </c>
      <c r="H734" t="s">
        <v>1472</v>
      </c>
      <c r="I734">
        <v>10</v>
      </c>
      <c r="J734">
        <v>20</v>
      </c>
      <c r="K734">
        <v>124399</v>
      </c>
      <c r="L734">
        <v>4.8</v>
      </c>
      <c r="M734" t="s">
        <v>21</v>
      </c>
      <c r="N734">
        <v>52</v>
      </c>
    </row>
    <row r="735" spans="1:14" x14ac:dyDescent="0.35">
      <c r="A735" t="s">
        <v>1473</v>
      </c>
      <c r="B735" t="s">
        <v>15</v>
      </c>
      <c r="C735" t="s">
        <v>16</v>
      </c>
      <c r="D735" t="s">
        <v>25</v>
      </c>
      <c r="E735">
        <v>44</v>
      </c>
      <c r="F735" t="s">
        <v>70</v>
      </c>
      <c r="G735" t="s">
        <v>26</v>
      </c>
      <c r="H735" t="s">
        <v>1474</v>
      </c>
      <c r="I735">
        <v>8</v>
      </c>
      <c r="J735">
        <v>11</v>
      </c>
      <c r="K735">
        <v>279960</v>
      </c>
      <c r="L735">
        <v>2</v>
      </c>
      <c r="M735" t="s">
        <v>43</v>
      </c>
      <c r="N735">
        <v>81</v>
      </c>
    </row>
    <row r="736" spans="1:14" x14ac:dyDescent="0.35">
      <c r="A736" t="s">
        <v>1475</v>
      </c>
      <c r="B736" t="s">
        <v>69</v>
      </c>
      <c r="C736" t="s">
        <v>52</v>
      </c>
      <c r="D736" t="s">
        <v>17</v>
      </c>
      <c r="E736">
        <v>33</v>
      </c>
      <c r="F736" t="s">
        <v>46</v>
      </c>
      <c r="G736" t="s">
        <v>57</v>
      </c>
      <c r="H736" t="s">
        <v>1476</v>
      </c>
      <c r="I736">
        <v>20</v>
      </c>
      <c r="J736">
        <v>20</v>
      </c>
      <c r="K736">
        <v>73911</v>
      </c>
      <c r="L736">
        <v>4.9000000000000004</v>
      </c>
      <c r="M736" t="s">
        <v>43</v>
      </c>
      <c r="N736">
        <v>84</v>
      </c>
    </row>
    <row r="737" spans="1:14" x14ac:dyDescent="0.35">
      <c r="A737" t="s">
        <v>1477</v>
      </c>
      <c r="B737" t="s">
        <v>60</v>
      </c>
      <c r="C737" t="s">
        <v>52</v>
      </c>
      <c r="D737" t="s">
        <v>17</v>
      </c>
      <c r="E737">
        <v>34</v>
      </c>
      <c r="F737" t="s">
        <v>46</v>
      </c>
      <c r="G737" t="s">
        <v>26</v>
      </c>
      <c r="H737" t="s">
        <v>1478</v>
      </c>
      <c r="I737">
        <v>4</v>
      </c>
      <c r="J737">
        <v>9</v>
      </c>
      <c r="K737">
        <v>154371</v>
      </c>
      <c r="L737">
        <v>4</v>
      </c>
      <c r="M737" t="s">
        <v>43</v>
      </c>
      <c r="N737">
        <v>93</v>
      </c>
    </row>
    <row r="738" spans="1:14" x14ac:dyDescent="0.35">
      <c r="A738" t="s">
        <v>1479</v>
      </c>
      <c r="B738" t="s">
        <v>111</v>
      </c>
      <c r="C738" t="s">
        <v>49</v>
      </c>
      <c r="D738" t="s">
        <v>17</v>
      </c>
      <c r="E738">
        <v>41</v>
      </c>
      <c r="F738" t="s">
        <v>18</v>
      </c>
      <c r="G738" t="s">
        <v>32</v>
      </c>
      <c r="H738" t="s">
        <v>1480</v>
      </c>
      <c r="I738">
        <v>18</v>
      </c>
      <c r="J738">
        <v>28</v>
      </c>
      <c r="K738">
        <v>491409</v>
      </c>
      <c r="L738">
        <v>4.7</v>
      </c>
      <c r="M738" t="s">
        <v>21</v>
      </c>
      <c r="N738">
        <v>51</v>
      </c>
    </row>
    <row r="739" spans="1:14" x14ac:dyDescent="0.35">
      <c r="A739" t="s">
        <v>1481</v>
      </c>
      <c r="B739" t="s">
        <v>45</v>
      </c>
      <c r="C739" t="s">
        <v>24</v>
      </c>
      <c r="D739" t="s">
        <v>17</v>
      </c>
      <c r="E739">
        <v>22</v>
      </c>
      <c r="F739" t="s">
        <v>31</v>
      </c>
      <c r="G739" t="s">
        <v>19</v>
      </c>
      <c r="H739" t="s">
        <v>1482</v>
      </c>
      <c r="I739">
        <v>15</v>
      </c>
      <c r="J739">
        <v>23</v>
      </c>
      <c r="K739">
        <v>188493</v>
      </c>
      <c r="L739">
        <v>3</v>
      </c>
      <c r="M739" t="s">
        <v>21</v>
      </c>
      <c r="N739">
        <v>32</v>
      </c>
    </row>
    <row r="740" spans="1:14" x14ac:dyDescent="0.35">
      <c r="A740" t="s">
        <v>1483</v>
      </c>
      <c r="B740" t="s">
        <v>45</v>
      </c>
      <c r="C740" t="s">
        <v>93</v>
      </c>
      <c r="D740" t="s">
        <v>25</v>
      </c>
      <c r="E740">
        <v>58</v>
      </c>
      <c r="F740" t="s">
        <v>79</v>
      </c>
      <c r="G740" t="s">
        <v>57</v>
      </c>
      <c r="H740" t="s">
        <v>1484</v>
      </c>
      <c r="I740">
        <v>10</v>
      </c>
      <c r="J740">
        <v>13</v>
      </c>
      <c r="K740">
        <v>264935</v>
      </c>
      <c r="L740">
        <v>2.4</v>
      </c>
      <c r="M740" t="s">
        <v>21</v>
      </c>
      <c r="N740">
        <v>54</v>
      </c>
    </row>
    <row r="741" spans="1:14" x14ac:dyDescent="0.35">
      <c r="A741" t="s">
        <v>1485</v>
      </c>
      <c r="B741" t="s">
        <v>69</v>
      </c>
      <c r="C741" t="s">
        <v>24</v>
      </c>
      <c r="D741" t="s">
        <v>17</v>
      </c>
      <c r="E741">
        <v>57</v>
      </c>
      <c r="F741" t="s">
        <v>18</v>
      </c>
      <c r="G741" t="s">
        <v>57</v>
      </c>
      <c r="H741" t="s">
        <v>1486</v>
      </c>
      <c r="I741">
        <v>0</v>
      </c>
      <c r="J741">
        <v>3</v>
      </c>
      <c r="K741">
        <v>298783</v>
      </c>
      <c r="L741">
        <v>3.3</v>
      </c>
      <c r="M741" t="s">
        <v>21</v>
      </c>
      <c r="N741">
        <v>54</v>
      </c>
    </row>
    <row r="742" spans="1:14" x14ac:dyDescent="0.35">
      <c r="A742" t="s">
        <v>1487</v>
      </c>
      <c r="B742" t="s">
        <v>111</v>
      </c>
      <c r="C742" t="s">
        <v>56</v>
      </c>
      <c r="D742" t="s">
        <v>17</v>
      </c>
      <c r="E742">
        <v>50</v>
      </c>
      <c r="F742" t="s">
        <v>79</v>
      </c>
      <c r="G742" t="s">
        <v>32</v>
      </c>
      <c r="H742" t="s">
        <v>1488</v>
      </c>
      <c r="I742">
        <v>8</v>
      </c>
      <c r="J742">
        <v>13</v>
      </c>
      <c r="K742">
        <v>96787</v>
      </c>
      <c r="L742">
        <v>2.6</v>
      </c>
      <c r="M742" t="s">
        <v>21</v>
      </c>
      <c r="N742">
        <v>50</v>
      </c>
    </row>
    <row r="743" spans="1:14" x14ac:dyDescent="0.35">
      <c r="A743" t="s">
        <v>1489</v>
      </c>
      <c r="B743" t="s">
        <v>78</v>
      </c>
      <c r="C743" t="s">
        <v>82</v>
      </c>
      <c r="D743" t="s">
        <v>25</v>
      </c>
      <c r="E743">
        <v>54</v>
      </c>
      <c r="F743" t="s">
        <v>74</v>
      </c>
      <c r="G743" t="s">
        <v>57</v>
      </c>
      <c r="H743" t="s">
        <v>1490</v>
      </c>
      <c r="I743">
        <v>7</v>
      </c>
      <c r="J743">
        <v>17</v>
      </c>
      <c r="K743">
        <v>348862</v>
      </c>
      <c r="L743">
        <v>3.6</v>
      </c>
      <c r="M743" t="s">
        <v>21</v>
      </c>
      <c r="N743">
        <v>61</v>
      </c>
    </row>
    <row r="744" spans="1:14" x14ac:dyDescent="0.35">
      <c r="A744" t="s">
        <v>1491</v>
      </c>
      <c r="B744" t="s">
        <v>29</v>
      </c>
      <c r="C744" t="s">
        <v>24</v>
      </c>
      <c r="D744" t="s">
        <v>17</v>
      </c>
      <c r="E744">
        <v>39</v>
      </c>
      <c r="F744" t="s">
        <v>37</v>
      </c>
      <c r="G744" t="s">
        <v>32</v>
      </c>
      <c r="H744" t="s">
        <v>1492</v>
      </c>
      <c r="I744">
        <v>0</v>
      </c>
      <c r="J744">
        <v>4</v>
      </c>
      <c r="K744">
        <v>406301</v>
      </c>
      <c r="L744">
        <v>2.8</v>
      </c>
      <c r="M744" t="s">
        <v>21</v>
      </c>
      <c r="N744">
        <v>44</v>
      </c>
    </row>
    <row r="745" spans="1:14" x14ac:dyDescent="0.35">
      <c r="A745" t="s">
        <v>1493</v>
      </c>
      <c r="B745" t="s">
        <v>69</v>
      </c>
      <c r="C745" t="s">
        <v>49</v>
      </c>
      <c r="D745" t="s">
        <v>17</v>
      </c>
      <c r="E745">
        <v>24</v>
      </c>
      <c r="F745" t="s">
        <v>31</v>
      </c>
      <c r="G745" t="s">
        <v>71</v>
      </c>
      <c r="H745" t="s">
        <v>1494</v>
      </c>
      <c r="I745">
        <v>15</v>
      </c>
      <c r="J745">
        <v>19</v>
      </c>
      <c r="K745">
        <v>86404</v>
      </c>
      <c r="L745">
        <v>3</v>
      </c>
      <c r="M745" t="s">
        <v>21</v>
      </c>
      <c r="N745">
        <v>70</v>
      </c>
    </row>
    <row r="746" spans="1:14" x14ac:dyDescent="0.35">
      <c r="A746" t="s">
        <v>1495</v>
      </c>
      <c r="B746" t="s">
        <v>96</v>
      </c>
      <c r="C746" t="s">
        <v>30</v>
      </c>
      <c r="D746" t="s">
        <v>17</v>
      </c>
      <c r="E746">
        <v>47</v>
      </c>
      <c r="F746" t="s">
        <v>37</v>
      </c>
      <c r="G746" t="s">
        <v>71</v>
      </c>
      <c r="H746" t="s">
        <v>1496</v>
      </c>
      <c r="I746">
        <v>14</v>
      </c>
      <c r="J746">
        <v>24</v>
      </c>
      <c r="K746">
        <v>494164</v>
      </c>
      <c r="L746">
        <v>2.6</v>
      </c>
      <c r="M746" t="s">
        <v>43</v>
      </c>
      <c r="N746">
        <v>79</v>
      </c>
    </row>
    <row r="747" spans="1:14" x14ac:dyDescent="0.35">
      <c r="A747" t="s">
        <v>1497</v>
      </c>
      <c r="B747" t="s">
        <v>96</v>
      </c>
      <c r="C747" t="s">
        <v>30</v>
      </c>
      <c r="D747" t="s">
        <v>25</v>
      </c>
      <c r="E747">
        <v>50</v>
      </c>
      <c r="F747" t="s">
        <v>70</v>
      </c>
      <c r="G747" t="s">
        <v>57</v>
      </c>
      <c r="H747" t="s">
        <v>1498</v>
      </c>
      <c r="I747">
        <v>0</v>
      </c>
      <c r="J747">
        <v>9</v>
      </c>
      <c r="K747">
        <v>287258</v>
      </c>
      <c r="L747">
        <v>3.6</v>
      </c>
      <c r="M747" t="s">
        <v>43</v>
      </c>
      <c r="N747">
        <v>76</v>
      </c>
    </row>
    <row r="748" spans="1:14" x14ac:dyDescent="0.35">
      <c r="A748" t="s">
        <v>1499</v>
      </c>
      <c r="B748" t="s">
        <v>45</v>
      </c>
      <c r="C748" t="s">
        <v>56</v>
      </c>
      <c r="D748" t="s">
        <v>25</v>
      </c>
      <c r="E748">
        <v>29</v>
      </c>
      <c r="F748" t="s">
        <v>46</v>
      </c>
      <c r="G748" t="s">
        <v>88</v>
      </c>
      <c r="H748" t="s">
        <v>1500</v>
      </c>
      <c r="I748">
        <v>2</v>
      </c>
      <c r="J748">
        <v>11</v>
      </c>
      <c r="K748">
        <v>91627</v>
      </c>
      <c r="L748">
        <v>4.7</v>
      </c>
      <c r="M748" t="s">
        <v>43</v>
      </c>
      <c r="N748">
        <v>83</v>
      </c>
    </row>
    <row r="749" spans="1:14" x14ac:dyDescent="0.35">
      <c r="A749" t="s">
        <v>1501</v>
      </c>
      <c r="B749" t="s">
        <v>69</v>
      </c>
      <c r="C749" t="s">
        <v>82</v>
      </c>
      <c r="D749" t="s">
        <v>25</v>
      </c>
      <c r="E749">
        <v>31</v>
      </c>
      <c r="F749" t="s">
        <v>46</v>
      </c>
      <c r="G749" t="s">
        <v>26</v>
      </c>
      <c r="H749" t="s">
        <v>1502</v>
      </c>
      <c r="I749">
        <v>4</v>
      </c>
      <c r="J749">
        <v>12</v>
      </c>
      <c r="K749">
        <v>178945</v>
      </c>
      <c r="L749">
        <v>4.3</v>
      </c>
      <c r="M749" t="s">
        <v>43</v>
      </c>
      <c r="N749">
        <v>100</v>
      </c>
    </row>
    <row r="750" spans="1:14" x14ac:dyDescent="0.35">
      <c r="A750" t="s">
        <v>1503</v>
      </c>
      <c r="B750" t="s">
        <v>69</v>
      </c>
      <c r="C750" t="s">
        <v>49</v>
      </c>
      <c r="D750" t="s">
        <v>17</v>
      </c>
      <c r="E750">
        <v>50</v>
      </c>
      <c r="F750" t="s">
        <v>74</v>
      </c>
      <c r="G750" t="s">
        <v>75</v>
      </c>
      <c r="H750" t="s">
        <v>1504</v>
      </c>
      <c r="I750">
        <v>7</v>
      </c>
      <c r="J750">
        <v>16</v>
      </c>
      <c r="K750">
        <v>320140</v>
      </c>
      <c r="L750">
        <v>3.8</v>
      </c>
      <c r="M750" t="s">
        <v>21</v>
      </c>
      <c r="N750">
        <v>41</v>
      </c>
    </row>
    <row r="751" spans="1:14" x14ac:dyDescent="0.35">
      <c r="A751" t="s">
        <v>1505</v>
      </c>
      <c r="B751" t="s">
        <v>55</v>
      </c>
      <c r="C751" t="s">
        <v>36</v>
      </c>
      <c r="D751" t="s">
        <v>17</v>
      </c>
      <c r="E751">
        <v>27</v>
      </c>
      <c r="F751" t="s">
        <v>18</v>
      </c>
      <c r="G751" t="s">
        <v>61</v>
      </c>
      <c r="H751" t="s">
        <v>1506</v>
      </c>
      <c r="I751">
        <v>3</v>
      </c>
      <c r="J751">
        <v>4</v>
      </c>
      <c r="K751">
        <v>442156</v>
      </c>
      <c r="L751">
        <v>3.9</v>
      </c>
      <c r="M751" t="s">
        <v>21</v>
      </c>
      <c r="N751">
        <v>43</v>
      </c>
    </row>
    <row r="752" spans="1:14" x14ac:dyDescent="0.35">
      <c r="A752" t="s">
        <v>1507</v>
      </c>
      <c r="B752" t="s">
        <v>23</v>
      </c>
      <c r="C752" t="s">
        <v>64</v>
      </c>
      <c r="D752" t="s">
        <v>25</v>
      </c>
      <c r="E752">
        <v>51</v>
      </c>
      <c r="F752" t="s">
        <v>79</v>
      </c>
      <c r="G752" t="s">
        <v>75</v>
      </c>
      <c r="H752" t="s">
        <v>1508</v>
      </c>
      <c r="I752">
        <v>18</v>
      </c>
      <c r="J752">
        <v>18</v>
      </c>
      <c r="K752">
        <v>495832</v>
      </c>
      <c r="L752">
        <v>2.6</v>
      </c>
      <c r="M752" t="s">
        <v>43</v>
      </c>
      <c r="N752">
        <v>74</v>
      </c>
    </row>
    <row r="753" spans="1:14" x14ac:dyDescent="0.35">
      <c r="A753" t="s">
        <v>1509</v>
      </c>
      <c r="B753" t="s">
        <v>60</v>
      </c>
      <c r="C753" t="s">
        <v>49</v>
      </c>
      <c r="D753" t="s">
        <v>25</v>
      </c>
      <c r="E753">
        <v>30</v>
      </c>
      <c r="F753" t="s">
        <v>79</v>
      </c>
      <c r="G753" t="s">
        <v>32</v>
      </c>
      <c r="H753" t="s">
        <v>1510</v>
      </c>
      <c r="I753">
        <v>9</v>
      </c>
      <c r="J753">
        <v>19</v>
      </c>
      <c r="K753">
        <v>341833</v>
      </c>
      <c r="L753">
        <v>4.4000000000000004</v>
      </c>
      <c r="M753" t="s">
        <v>21</v>
      </c>
      <c r="N753">
        <v>33</v>
      </c>
    </row>
    <row r="754" spans="1:14" x14ac:dyDescent="0.35">
      <c r="A754" t="s">
        <v>1511</v>
      </c>
      <c r="B754" t="s">
        <v>35</v>
      </c>
      <c r="C754" t="s">
        <v>82</v>
      </c>
      <c r="D754" t="s">
        <v>17</v>
      </c>
      <c r="E754">
        <v>27</v>
      </c>
      <c r="F754" t="s">
        <v>79</v>
      </c>
      <c r="G754" t="s">
        <v>32</v>
      </c>
      <c r="H754" t="s">
        <v>1342</v>
      </c>
      <c r="I754">
        <v>1</v>
      </c>
      <c r="J754">
        <v>1</v>
      </c>
      <c r="K754">
        <v>154613</v>
      </c>
      <c r="L754">
        <v>2.2999999999999998</v>
      </c>
      <c r="M754" t="s">
        <v>43</v>
      </c>
      <c r="N754">
        <v>100</v>
      </c>
    </row>
    <row r="755" spans="1:14" x14ac:dyDescent="0.35">
      <c r="A755" t="s">
        <v>1512</v>
      </c>
      <c r="B755" t="s">
        <v>111</v>
      </c>
      <c r="C755" t="s">
        <v>16</v>
      </c>
      <c r="D755" t="s">
        <v>25</v>
      </c>
      <c r="E755">
        <v>41</v>
      </c>
      <c r="F755" t="s">
        <v>31</v>
      </c>
      <c r="G755" t="s">
        <v>32</v>
      </c>
      <c r="H755" t="s">
        <v>461</v>
      </c>
      <c r="I755">
        <v>10</v>
      </c>
      <c r="J755">
        <v>16</v>
      </c>
      <c r="K755">
        <v>432793</v>
      </c>
      <c r="L755">
        <v>4.0999999999999996</v>
      </c>
      <c r="M755" t="s">
        <v>21</v>
      </c>
      <c r="N755">
        <v>42</v>
      </c>
    </row>
    <row r="756" spans="1:14" x14ac:dyDescent="0.35">
      <c r="A756" t="s">
        <v>1513</v>
      </c>
      <c r="B756" t="s">
        <v>35</v>
      </c>
      <c r="C756" t="s">
        <v>30</v>
      </c>
      <c r="D756" t="s">
        <v>17</v>
      </c>
      <c r="E756">
        <v>21</v>
      </c>
      <c r="F756" t="s">
        <v>31</v>
      </c>
      <c r="G756" t="s">
        <v>41</v>
      </c>
      <c r="H756" t="s">
        <v>1514</v>
      </c>
      <c r="I756">
        <v>10</v>
      </c>
      <c r="J756">
        <v>10</v>
      </c>
      <c r="K756">
        <v>153123</v>
      </c>
      <c r="L756">
        <v>3.1</v>
      </c>
      <c r="M756" t="s">
        <v>43</v>
      </c>
      <c r="N756">
        <v>71</v>
      </c>
    </row>
    <row r="757" spans="1:14" x14ac:dyDescent="0.35">
      <c r="A757" t="s">
        <v>1515</v>
      </c>
      <c r="B757" t="s">
        <v>29</v>
      </c>
      <c r="C757" t="s">
        <v>16</v>
      </c>
      <c r="D757" t="s">
        <v>25</v>
      </c>
      <c r="E757">
        <v>47</v>
      </c>
      <c r="F757" t="s">
        <v>37</v>
      </c>
      <c r="G757" t="s">
        <v>85</v>
      </c>
      <c r="H757" t="s">
        <v>184</v>
      </c>
      <c r="I757">
        <v>12</v>
      </c>
      <c r="J757">
        <v>18</v>
      </c>
      <c r="K757">
        <v>263154</v>
      </c>
      <c r="L757">
        <v>3.8</v>
      </c>
      <c r="M757" t="s">
        <v>43</v>
      </c>
      <c r="N757">
        <v>99</v>
      </c>
    </row>
    <row r="758" spans="1:14" x14ac:dyDescent="0.35">
      <c r="A758" t="s">
        <v>1516</v>
      </c>
      <c r="B758" t="s">
        <v>23</v>
      </c>
      <c r="C758" t="s">
        <v>49</v>
      </c>
      <c r="D758" t="s">
        <v>25</v>
      </c>
      <c r="E758">
        <v>46</v>
      </c>
      <c r="F758" t="s">
        <v>37</v>
      </c>
      <c r="G758" t="s">
        <v>57</v>
      </c>
      <c r="H758" t="s">
        <v>1517</v>
      </c>
      <c r="I758">
        <v>5</v>
      </c>
      <c r="J758">
        <v>5</v>
      </c>
      <c r="K758">
        <v>401897</v>
      </c>
      <c r="L758">
        <v>3.8</v>
      </c>
      <c r="M758" t="s">
        <v>43</v>
      </c>
      <c r="N758">
        <v>96</v>
      </c>
    </row>
    <row r="759" spans="1:14" x14ac:dyDescent="0.35">
      <c r="A759" t="s">
        <v>1518</v>
      </c>
      <c r="B759" t="s">
        <v>29</v>
      </c>
      <c r="C759" t="s">
        <v>30</v>
      </c>
      <c r="D759" t="s">
        <v>25</v>
      </c>
      <c r="E759">
        <v>36</v>
      </c>
      <c r="F759" t="s">
        <v>74</v>
      </c>
      <c r="G759" t="s">
        <v>71</v>
      </c>
      <c r="H759" t="s">
        <v>1519</v>
      </c>
      <c r="I759">
        <v>16</v>
      </c>
      <c r="J759">
        <v>25</v>
      </c>
      <c r="K759">
        <v>240648</v>
      </c>
      <c r="L759">
        <v>4.0999999999999996</v>
      </c>
      <c r="M759" t="s">
        <v>43</v>
      </c>
      <c r="N759">
        <v>72</v>
      </c>
    </row>
    <row r="760" spans="1:14" x14ac:dyDescent="0.35">
      <c r="A760" t="s">
        <v>1520</v>
      </c>
      <c r="B760" t="s">
        <v>29</v>
      </c>
      <c r="C760" t="s">
        <v>16</v>
      </c>
      <c r="D760" t="s">
        <v>17</v>
      </c>
      <c r="E760">
        <v>38</v>
      </c>
      <c r="F760" t="s">
        <v>18</v>
      </c>
      <c r="G760" t="s">
        <v>61</v>
      </c>
      <c r="H760" t="s">
        <v>1521</v>
      </c>
      <c r="I760">
        <v>5</v>
      </c>
      <c r="J760">
        <v>10</v>
      </c>
      <c r="K760">
        <v>276879</v>
      </c>
      <c r="L760">
        <v>4.3</v>
      </c>
      <c r="M760" t="s">
        <v>43</v>
      </c>
      <c r="N760">
        <v>94</v>
      </c>
    </row>
    <row r="761" spans="1:14" x14ac:dyDescent="0.35">
      <c r="A761" t="s">
        <v>1522</v>
      </c>
      <c r="B761" t="s">
        <v>60</v>
      </c>
      <c r="C761" t="s">
        <v>56</v>
      </c>
      <c r="D761" t="s">
        <v>17</v>
      </c>
      <c r="E761">
        <v>45</v>
      </c>
      <c r="F761" t="s">
        <v>18</v>
      </c>
      <c r="G761" t="s">
        <v>57</v>
      </c>
      <c r="H761" t="s">
        <v>1523</v>
      </c>
      <c r="I761">
        <v>7</v>
      </c>
      <c r="J761">
        <v>16</v>
      </c>
      <c r="K761">
        <v>483978</v>
      </c>
      <c r="L761">
        <v>4.7</v>
      </c>
      <c r="M761" t="s">
        <v>43</v>
      </c>
      <c r="N761">
        <v>76</v>
      </c>
    </row>
    <row r="762" spans="1:14" x14ac:dyDescent="0.35">
      <c r="A762" t="s">
        <v>1524</v>
      </c>
      <c r="B762" t="s">
        <v>35</v>
      </c>
      <c r="C762" t="s">
        <v>93</v>
      </c>
      <c r="D762" t="s">
        <v>17</v>
      </c>
      <c r="E762">
        <v>44</v>
      </c>
      <c r="F762" t="s">
        <v>31</v>
      </c>
      <c r="G762" t="s">
        <v>41</v>
      </c>
      <c r="H762" t="s">
        <v>1525</v>
      </c>
      <c r="I762">
        <v>19</v>
      </c>
      <c r="J762">
        <v>20</v>
      </c>
      <c r="K762">
        <v>282312</v>
      </c>
      <c r="L762">
        <v>2.6</v>
      </c>
      <c r="M762" t="s">
        <v>43</v>
      </c>
      <c r="N762">
        <v>84</v>
      </c>
    </row>
    <row r="763" spans="1:14" x14ac:dyDescent="0.35">
      <c r="A763" t="s">
        <v>1526</v>
      </c>
      <c r="B763" t="s">
        <v>29</v>
      </c>
      <c r="C763" t="s">
        <v>24</v>
      </c>
      <c r="D763" t="s">
        <v>17</v>
      </c>
      <c r="E763">
        <v>50</v>
      </c>
      <c r="F763" t="s">
        <v>79</v>
      </c>
      <c r="G763" t="s">
        <v>71</v>
      </c>
      <c r="H763" t="s">
        <v>1527</v>
      </c>
      <c r="I763">
        <v>12</v>
      </c>
      <c r="J763">
        <v>21</v>
      </c>
      <c r="K763">
        <v>128821</v>
      </c>
      <c r="L763">
        <v>2.9</v>
      </c>
      <c r="M763" t="s">
        <v>43</v>
      </c>
      <c r="N763">
        <v>92</v>
      </c>
    </row>
    <row r="764" spans="1:14" x14ac:dyDescent="0.35">
      <c r="A764" t="s">
        <v>1528</v>
      </c>
      <c r="B764" t="s">
        <v>45</v>
      </c>
      <c r="C764" t="s">
        <v>24</v>
      </c>
      <c r="D764" t="s">
        <v>25</v>
      </c>
      <c r="E764">
        <v>49</v>
      </c>
      <c r="F764" t="s">
        <v>70</v>
      </c>
      <c r="G764" t="s">
        <v>57</v>
      </c>
      <c r="H764" t="s">
        <v>1529</v>
      </c>
      <c r="I764">
        <v>0</v>
      </c>
      <c r="J764">
        <v>4</v>
      </c>
      <c r="K764">
        <v>299489</v>
      </c>
      <c r="L764">
        <v>3.6</v>
      </c>
      <c r="M764" t="s">
        <v>43</v>
      </c>
      <c r="N764">
        <v>86</v>
      </c>
    </row>
    <row r="765" spans="1:14" x14ac:dyDescent="0.35">
      <c r="A765" t="s">
        <v>1530</v>
      </c>
      <c r="B765" t="s">
        <v>111</v>
      </c>
      <c r="C765" t="s">
        <v>24</v>
      </c>
      <c r="D765" t="s">
        <v>17</v>
      </c>
      <c r="E765">
        <v>43</v>
      </c>
      <c r="F765" t="s">
        <v>79</v>
      </c>
      <c r="G765" t="s">
        <v>57</v>
      </c>
      <c r="H765" t="s">
        <v>735</v>
      </c>
      <c r="I765">
        <v>4</v>
      </c>
      <c r="J765">
        <v>11</v>
      </c>
      <c r="K765">
        <v>425565</v>
      </c>
      <c r="L765">
        <v>4</v>
      </c>
      <c r="M765" t="s">
        <v>21</v>
      </c>
      <c r="N765">
        <v>69</v>
      </c>
    </row>
    <row r="766" spans="1:14" x14ac:dyDescent="0.35">
      <c r="A766" t="s">
        <v>1531</v>
      </c>
      <c r="B766" t="s">
        <v>60</v>
      </c>
      <c r="C766" t="s">
        <v>36</v>
      </c>
      <c r="D766" t="s">
        <v>17</v>
      </c>
      <c r="E766">
        <v>31</v>
      </c>
      <c r="F766" t="s">
        <v>79</v>
      </c>
      <c r="G766" t="s">
        <v>57</v>
      </c>
      <c r="H766" t="s">
        <v>1532</v>
      </c>
      <c r="I766">
        <v>0</v>
      </c>
      <c r="J766">
        <v>10</v>
      </c>
      <c r="K766">
        <v>493832</v>
      </c>
      <c r="L766">
        <v>4.8</v>
      </c>
      <c r="M766" t="s">
        <v>21</v>
      </c>
      <c r="N766">
        <v>31</v>
      </c>
    </row>
    <row r="767" spans="1:14" x14ac:dyDescent="0.35">
      <c r="A767" t="s">
        <v>1533</v>
      </c>
      <c r="B767" t="s">
        <v>69</v>
      </c>
      <c r="C767" t="s">
        <v>24</v>
      </c>
      <c r="D767" t="s">
        <v>17</v>
      </c>
      <c r="E767">
        <v>57</v>
      </c>
      <c r="F767" t="s">
        <v>18</v>
      </c>
      <c r="G767" t="s">
        <v>57</v>
      </c>
      <c r="H767" t="s">
        <v>1534</v>
      </c>
      <c r="I767">
        <v>11</v>
      </c>
      <c r="J767">
        <v>20</v>
      </c>
      <c r="K767">
        <v>202846</v>
      </c>
      <c r="L767">
        <v>2.1</v>
      </c>
      <c r="M767" t="s">
        <v>21</v>
      </c>
      <c r="N767">
        <v>62</v>
      </c>
    </row>
    <row r="768" spans="1:14" x14ac:dyDescent="0.35">
      <c r="A768" t="s">
        <v>1535</v>
      </c>
      <c r="B768" t="s">
        <v>60</v>
      </c>
      <c r="C768" t="s">
        <v>52</v>
      </c>
      <c r="D768" t="s">
        <v>25</v>
      </c>
      <c r="E768">
        <v>32</v>
      </c>
      <c r="F768" t="s">
        <v>18</v>
      </c>
      <c r="G768" t="s">
        <v>57</v>
      </c>
      <c r="H768" t="s">
        <v>1266</v>
      </c>
      <c r="I768">
        <v>6</v>
      </c>
      <c r="J768">
        <v>13</v>
      </c>
      <c r="K768">
        <v>492819</v>
      </c>
      <c r="L768">
        <v>2.2000000000000002</v>
      </c>
      <c r="M768" t="s">
        <v>43</v>
      </c>
      <c r="N768">
        <v>97</v>
      </c>
    </row>
    <row r="769" spans="1:14" x14ac:dyDescent="0.35">
      <c r="A769" t="s">
        <v>1536</v>
      </c>
      <c r="B769" t="s">
        <v>96</v>
      </c>
      <c r="C769" t="s">
        <v>64</v>
      </c>
      <c r="D769" t="s">
        <v>17</v>
      </c>
      <c r="E769">
        <v>41</v>
      </c>
      <c r="F769" t="s">
        <v>74</v>
      </c>
      <c r="G769" t="s">
        <v>57</v>
      </c>
      <c r="H769" t="s">
        <v>1537</v>
      </c>
      <c r="I769">
        <v>17</v>
      </c>
      <c r="J769">
        <v>19</v>
      </c>
      <c r="K769">
        <v>459812</v>
      </c>
      <c r="L769">
        <v>3.2</v>
      </c>
      <c r="M769" t="s">
        <v>43</v>
      </c>
      <c r="N769">
        <v>95</v>
      </c>
    </row>
    <row r="770" spans="1:14" x14ac:dyDescent="0.35">
      <c r="A770" t="s">
        <v>1538</v>
      </c>
      <c r="B770" t="s">
        <v>96</v>
      </c>
      <c r="C770" t="s">
        <v>64</v>
      </c>
      <c r="D770" t="s">
        <v>17</v>
      </c>
      <c r="E770">
        <v>47</v>
      </c>
      <c r="F770" t="s">
        <v>79</v>
      </c>
      <c r="G770" t="s">
        <v>41</v>
      </c>
      <c r="H770" t="s">
        <v>1539</v>
      </c>
      <c r="I770">
        <v>0</v>
      </c>
      <c r="J770">
        <v>2</v>
      </c>
      <c r="K770">
        <v>421811</v>
      </c>
      <c r="L770">
        <v>3.5</v>
      </c>
      <c r="M770" t="s">
        <v>21</v>
      </c>
      <c r="N770">
        <v>32</v>
      </c>
    </row>
    <row r="771" spans="1:14" x14ac:dyDescent="0.35">
      <c r="A771" t="s">
        <v>1540</v>
      </c>
      <c r="B771" t="s">
        <v>78</v>
      </c>
      <c r="C771" t="s">
        <v>16</v>
      </c>
      <c r="D771" t="s">
        <v>17</v>
      </c>
      <c r="E771">
        <v>28</v>
      </c>
      <c r="F771" t="s">
        <v>31</v>
      </c>
      <c r="G771" t="s">
        <v>41</v>
      </c>
      <c r="H771" t="s">
        <v>1541</v>
      </c>
      <c r="I771">
        <v>20</v>
      </c>
      <c r="J771">
        <v>20</v>
      </c>
      <c r="K771">
        <v>194199</v>
      </c>
      <c r="L771">
        <v>4.4000000000000004</v>
      </c>
      <c r="M771" t="s">
        <v>21</v>
      </c>
      <c r="N771">
        <v>37</v>
      </c>
    </row>
    <row r="772" spans="1:14" x14ac:dyDescent="0.35">
      <c r="A772" t="s">
        <v>1542</v>
      </c>
      <c r="B772" t="s">
        <v>15</v>
      </c>
      <c r="C772" t="s">
        <v>36</v>
      </c>
      <c r="D772" t="s">
        <v>25</v>
      </c>
      <c r="E772">
        <v>22</v>
      </c>
      <c r="F772" t="s">
        <v>31</v>
      </c>
      <c r="G772" t="s">
        <v>57</v>
      </c>
      <c r="H772" t="s">
        <v>1543</v>
      </c>
      <c r="I772">
        <v>2</v>
      </c>
      <c r="J772">
        <v>5</v>
      </c>
      <c r="K772">
        <v>331724</v>
      </c>
      <c r="L772">
        <v>4.5</v>
      </c>
      <c r="M772" t="s">
        <v>43</v>
      </c>
      <c r="N772">
        <v>100</v>
      </c>
    </row>
    <row r="773" spans="1:14" x14ac:dyDescent="0.35">
      <c r="A773" t="s">
        <v>1544</v>
      </c>
      <c r="B773" t="s">
        <v>45</v>
      </c>
      <c r="C773" t="s">
        <v>93</v>
      </c>
      <c r="D773" t="s">
        <v>17</v>
      </c>
      <c r="E773">
        <v>46</v>
      </c>
      <c r="F773" t="s">
        <v>37</v>
      </c>
      <c r="G773" t="s">
        <v>57</v>
      </c>
      <c r="H773" t="s">
        <v>600</v>
      </c>
      <c r="I773">
        <v>2</v>
      </c>
      <c r="J773">
        <v>8</v>
      </c>
      <c r="K773">
        <v>292018</v>
      </c>
      <c r="L773">
        <v>2.2000000000000002</v>
      </c>
      <c r="M773" t="s">
        <v>21</v>
      </c>
      <c r="N773">
        <v>50</v>
      </c>
    </row>
    <row r="774" spans="1:14" x14ac:dyDescent="0.35">
      <c r="A774" t="s">
        <v>1545</v>
      </c>
      <c r="B774" t="s">
        <v>60</v>
      </c>
      <c r="C774" t="s">
        <v>36</v>
      </c>
      <c r="D774" t="s">
        <v>17</v>
      </c>
      <c r="E774">
        <v>34</v>
      </c>
      <c r="F774" t="s">
        <v>74</v>
      </c>
      <c r="G774" t="s">
        <v>26</v>
      </c>
      <c r="H774" t="s">
        <v>1546</v>
      </c>
      <c r="I774">
        <v>15</v>
      </c>
      <c r="J774">
        <v>23</v>
      </c>
      <c r="K774">
        <v>463726</v>
      </c>
      <c r="L774">
        <v>3.9</v>
      </c>
      <c r="M774" t="s">
        <v>21</v>
      </c>
      <c r="N774">
        <v>58</v>
      </c>
    </row>
    <row r="775" spans="1:14" x14ac:dyDescent="0.35">
      <c r="A775" t="s">
        <v>1547</v>
      </c>
      <c r="B775" t="s">
        <v>23</v>
      </c>
      <c r="C775" t="s">
        <v>56</v>
      </c>
      <c r="D775" t="s">
        <v>17</v>
      </c>
      <c r="E775">
        <v>34</v>
      </c>
      <c r="F775" t="s">
        <v>18</v>
      </c>
      <c r="G775" t="s">
        <v>57</v>
      </c>
      <c r="H775" t="s">
        <v>1548</v>
      </c>
      <c r="I775">
        <v>0</v>
      </c>
      <c r="J775">
        <v>5</v>
      </c>
      <c r="K775">
        <v>434499</v>
      </c>
      <c r="L775">
        <v>2.2999999999999998</v>
      </c>
      <c r="M775" t="s">
        <v>21</v>
      </c>
      <c r="N775">
        <v>51</v>
      </c>
    </row>
    <row r="776" spans="1:14" x14ac:dyDescent="0.35">
      <c r="A776" t="s">
        <v>1549</v>
      </c>
      <c r="B776" t="s">
        <v>96</v>
      </c>
      <c r="C776" t="s">
        <v>82</v>
      </c>
      <c r="D776" t="s">
        <v>25</v>
      </c>
      <c r="E776">
        <v>23</v>
      </c>
      <c r="F776" t="s">
        <v>70</v>
      </c>
      <c r="G776" t="s">
        <v>19</v>
      </c>
      <c r="H776" t="s">
        <v>1550</v>
      </c>
      <c r="I776">
        <v>2</v>
      </c>
      <c r="J776">
        <v>2</v>
      </c>
      <c r="K776">
        <v>474068</v>
      </c>
      <c r="L776">
        <v>3.7</v>
      </c>
      <c r="M776" t="s">
        <v>21</v>
      </c>
      <c r="N776">
        <v>63</v>
      </c>
    </row>
    <row r="777" spans="1:14" x14ac:dyDescent="0.35">
      <c r="A777" t="s">
        <v>1551</v>
      </c>
      <c r="B777" t="s">
        <v>45</v>
      </c>
      <c r="C777" t="s">
        <v>24</v>
      </c>
      <c r="D777" t="s">
        <v>25</v>
      </c>
      <c r="E777">
        <v>44</v>
      </c>
      <c r="F777" t="s">
        <v>18</v>
      </c>
      <c r="G777" t="s">
        <v>85</v>
      </c>
      <c r="H777" t="s">
        <v>1552</v>
      </c>
      <c r="I777">
        <v>1</v>
      </c>
      <c r="J777">
        <v>4</v>
      </c>
      <c r="K777">
        <v>382604</v>
      </c>
      <c r="L777">
        <v>2.9</v>
      </c>
      <c r="M777" t="s">
        <v>43</v>
      </c>
      <c r="N777">
        <v>92</v>
      </c>
    </row>
    <row r="778" spans="1:14" x14ac:dyDescent="0.35">
      <c r="A778" t="s">
        <v>1553</v>
      </c>
      <c r="B778" t="s">
        <v>15</v>
      </c>
      <c r="C778" t="s">
        <v>82</v>
      </c>
      <c r="D778" t="s">
        <v>17</v>
      </c>
      <c r="E778">
        <v>38</v>
      </c>
      <c r="F778" t="s">
        <v>70</v>
      </c>
      <c r="G778" t="s">
        <v>75</v>
      </c>
      <c r="H778" t="s">
        <v>1554</v>
      </c>
      <c r="I778">
        <v>2</v>
      </c>
      <c r="J778">
        <v>3</v>
      </c>
      <c r="K778">
        <v>294929</v>
      </c>
      <c r="L778">
        <v>4.5</v>
      </c>
      <c r="M778" t="s">
        <v>43</v>
      </c>
      <c r="N778">
        <v>91</v>
      </c>
    </row>
    <row r="779" spans="1:14" x14ac:dyDescent="0.35">
      <c r="A779" t="s">
        <v>1555</v>
      </c>
      <c r="B779" t="s">
        <v>15</v>
      </c>
      <c r="C779" t="s">
        <v>93</v>
      </c>
      <c r="D779" t="s">
        <v>17</v>
      </c>
      <c r="E779">
        <v>56</v>
      </c>
      <c r="F779" t="s">
        <v>70</v>
      </c>
      <c r="G779" t="s">
        <v>26</v>
      </c>
      <c r="H779" t="s">
        <v>1556</v>
      </c>
      <c r="I779">
        <v>13</v>
      </c>
      <c r="J779">
        <v>18</v>
      </c>
      <c r="K779">
        <v>218970</v>
      </c>
      <c r="L779">
        <v>2.9</v>
      </c>
      <c r="M779" t="s">
        <v>43</v>
      </c>
      <c r="N779">
        <v>74</v>
      </c>
    </row>
    <row r="780" spans="1:14" x14ac:dyDescent="0.35">
      <c r="A780" t="s">
        <v>1557</v>
      </c>
      <c r="B780" t="s">
        <v>45</v>
      </c>
      <c r="C780" t="s">
        <v>93</v>
      </c>
      <c r="D780" t="s">
        <v>17</v>
      </c>
      <c r="E780">
        <v>29</v>
      </c>
      <c r="F780" t="s">
        <v>46</v>
      </c>
      <c r="G780" t="s">
        <v>26</v>
      </c>
      <c r="H780" t="s">
        <v>1558</v>
      </c>
      <c r="I780">
        <v>20</v>
      </c>
      <c r="J780">
        <v>27</v>
      </c>
      <c r="K780">
        <v>90124</v>
      </c>
      <c r="L780">
        <v>2.2999999999999998</v>
      </c>
      <c r="M780" t="s">
        <v>21</v>
      </c>
      <c r="N780">
        <v>40</v>
      </c>
    </row>
    <row r="781" spans="1:14" x14ac:dyDescent="0.35">
      <c r="A781" t="s">
        <v>1559</v>
      </c>
      <c r="B781" t="s">
        <v>55</v>
      </c>
      <c r="C781" t="s">
        <v>36</v>
      </c>
      <c r="D781" t="s">
        <v>17</v>
      </c>
      <c r="E781">
        <v>21</v>
      </c>
      <c r="F781" t="s">
        <v>31</v>
      </c>
      <c r="G781" t="s">
        <v>61</v>
      </c>
      <c r="H781" t="s">
        <v>1560</v>
      </c>
      <c r="I781">
        <v>14</v>
      </c>
      <c r="J781">
        <v>23</v>
      </c>
      <c r="K781">
        <v>207268</v>
      </c>
      <c r="L781">
        <v>2.1</v>
      </c>
      <c r="M781" t="s">
        <v>43</v>
      </c>
      <c r="N781">
        <v>90</v>
      </c>
    </row>
    <row r="782" spans="1:14" x14ac:dyDescent="0.35">
      <c r="A782" t="s">
        <v>1561</v>
      </c>
      <c r="B782" t="s">
        <v>69</v>
      </c>
      <c r="C782" t="s">
        <v>16</v>
      </c>
      <c r="D782" t="s">
        <v>17</v>
      </c>
      <c r="E782">
        <v>52</v>
      </c>
      <c r="F782" t="s">
        <v>31</v>
      </c>
      <c r="G782" t="s">
        <v>88</v>
      </c>
      <c r="H782" t="s">
        <v>889</v>
      </c>
      <c r="I782">
        <v>12</v>
      </c>
      <c r="J782">
        <v>18</v>
      </c>
      <c r="K782">
        <v>400986</v>
      </c>
      <c r="L782">
        <v>3.9</v>
      </c>
      <c r="M782" t="s">
        <v>43</v>
      </c>
      <c r="N782">
        <v>79</v>
      </c>
    </row>
    <row r="783" spans="1:14" x14ac:dyDescent="0.35">
      <c r="A783" t="s">
        <v>1562</v>
      </c>
      <c r="B783" t="s">
        <v>96</v>
      </c>
      <c r="C783" t="s">
        <v>93</v>
      </c>
      <c r="D783" t="s">
        <v>25</v>
      </c>
      <c r="E783">
        <v>38</v>
      </c>
      <c r="F783" t="s">
        <v>46</v>
      </c>
      <c r="G783" t="s">
        <v>57</v>
      </c>
      <c r="H783" t="s">
        <v>1563</v>
      </c>
      <c r="I783">
        <v>7</v>
      </c>
      <c r="J783">
        <v>7</v>
      </c>
      <c r="K783">
        <v>124034</v>
      </c>
      <c r="L783">
        <v>4.5999999999999996</v>
      </c>
      <c r="M783" t="s">
        <v>21</v>
      </c>
      <c r="N783">
        <v>68</v>
      </c>
    </row>
    <row r="784" spans="1:14" x14ac:dyDescent="0.35">
      <c r="A784" t="s">
        <v>1564</v>
      </c>
      <c r="B784" t="s">
        <v>60</v>
      </c>
      <c r="C784" t="s">
        <v>16</v>
      </c>
      <c r="D784" t="s">
        <v>17</v>
      </c>
      <c r="E784">
        <v>34</v>
      </c>
      <c r="F784" t="s">
        <v>46</v>
      </c>
      <c r="G784" t="s">
        <v>61</v>
      </c>
      <c r="H784" t="s">
        <v>1565</v>
      </c>
      <c r="I784">
        <v>20</v>
      </c>
      <c r="J784">
        <v>27</v>
      </c>
      <c r="K784">
        <v>428556</v>
      </c>
      <c r="L784">
        <v>4.3</v>
      </c>
      <c r="M784" t="s">
        <v>43</v>
      </c>
      <c r="N784">
        <v>95</v>
      </c>
    </row>
    <row r="785" spans="1:14" x14ac:dyDescent="0.35">
      <c r="A785" t="s">
        <v>1566</v>
      </c>
      <c r="B785" t="s">
        <v>111</v>
      </c>
      <c r="C785" t="s">
        <v>93</v>
      </c>
      <c r="D785" t="s">
        <v>17</v>
      </c>
      <c r="E785">
        <v>21</v>
      </c>
      <c r="F785" t="s">
        <v>46</v>
      </c>
      <c r="G785" t="s">
        <v>88</v>
      </c>
      <c r="H785" t="s">
        <v>1567</v>
      </c>
      <c r="I785">
        <v>18</v>
      </c>
      <c r="J785">
        <v>28</v>
      </c>
      <c r="K785">
        <v>312700</v>
      </c>
      <c r="L785">
        <v>2.4</v>
      </c>
      <c r="M785" t="s">
        <v>21</v>
      </c>
      <c r="N785">
        <v>38</v>
      </c>
    </row>
    <row r="786" spans="1:14" x14ac:dyDescent="0.35">
      <c r="A786" t="s">
        <v>1568</v>
      </c>
      <c r="B786" t="s">
        <v>69</v>
      </c>
      <c r="C786" t="s">
        <v>52</v>
      </c>
      <c r="D786" t="s">
        <v>17</v>
      </c>
      <c r="E786">
        <v>55</v>
      </c>
      <c r="F786" t="s">
        <v>70</v>
      </c>
      <c r="G786" t="s">
        <v>19</v>
      </c>
      <c r="H786" t="s">
        <v>126</v>
      </c>
      <c r="I786">
        <v>11</v>
      </c>
      <c r="J786">
        <v>19</v>
      </c>
      <c r="K786">
        <v>368366</v>
      </c>
      <c r="L786">
        <v>2.2999999999999998</v>
      </c>
      <c r="M786" t="s">
        <v>43</v>
      </c>
      <c r="N786">
        <v>75</v>
      </c>
    </row>
    <row r="787" spans="1:14" x14ac:dyDescent="0.35">
      <c r="A787" t="s">
        <v>1569</v>
      </c>
      <c r="B787" t="s">
        <v>45</v>
      </c>
      <c r="C787" t="s">
        <v>52</v>
      </c>
      <c r="D787" t="s">
        <v>25</v>
      </c>
      <c r="E787">
        <v>54</v>
      </c>
      <c r="F787" t="s">
        <v>31</v>
      </c>
      <c r="G787" t="s">
        <v>75</v>
      </c>
      <c r="H787" t="s">
        <v>1570</v>
      </c>
      <c r="I787">
        <v>19</v>
      </c>
      <c r="J787">
        <v>27</v>
      </c>
      <c r="K787">
        <v>182538</v>
      </c>
      <c r="L787">
        <v>4.3</v>
      </c>
      <c r="M787" t="s">
        <v>43</v>
      </c>
      <c r="N787">
        <v>94</v>
      </c>
    </row>
    <row r="788" spans="1:14" x14ac:dyDescent="0.35">
      <c r="A788" t="s">
        <v>1571</v>
      </c>
      <c r="B788" t="s">
        <v>96</v>
      </c>
      <c r="C788" t="s">
        <v>56</v>
      </c>
      <c r="D788" t="s">
        <v>25</v>
      </c>
      <c r="E788">
        <v>25</v>
      </c>
      <c r="F788" t="s">
        <v>37</v>
      </c>
      <c r="G788" t="s">
        <v>41</v>
      </c>
      <c r="H788" t="s">
        <v>1572</v>
      </c>
      <c r="I788">
        <v>10</v>
      </c>
      <c r="J788">
        <v>18</v>
      </c>
      <c r="K788">
        <v>308429</v>
      </c>
      <c r="L788">
        <v>4</v>
      </c>
      <c r="M788" t="s">
        <v>43</v>
      </c>
      <c r="N788">
        <v>90</v>
      </c>
    </row>
    <row r="789" spans="1:14" x14ac:dyDescent="0.35">
      <c r="A789" t="s">
        <v>1573</v>
      </c>
      <c r="B789" t="s">
        <v>55</v>
      </c>
      <c r="C789" t="s">
        <v>64</v>
      </c>
      <c r="D789" t="s">
        <v>17</v>
      </c>
      <c r="E789">
        <v>22</v>
      </c>
      <c r="F789" t="s">
        <v>37</v>
      </c>
      <c r="G789" t="s">
        <v>32</v>
      </c>
      <c r="H789" t="s">
        <v>1574</v>
      </c>
      <c r="I789">
        <v>16</v>
      </c>
      <c r="J789">
        <v>16</v>
      </c>
      <c r="K789">
        <v>480759</v>
      </c>
      <c r="L789">
        <v>2.1</v>
      </c>
      <c r="M789" t="s">
        <v>21</v>
      </c>
      <c r="N789">
        <v>70</v>
      </c>
    </row>
    <row r="790" spans="1:14" x14ac:dyDescent="0.35">
      <c r="A790" t="s">
        <v>1575</v>
      </c>
      <c r="B790" t="s">
        <v>35</v>
      </c>
      <c r="C790" t="s">
        <v>24</v>
      </c>
      <c r="D790" t="s">
        <v>17</v>
      </c>
      <c r="E790">
        <v>60</v>
      </c>
      <c r="F790" t="s">
        <v>70</v>
      </c>
      <c r="G790" t="s">
        <v>85</v>
      </c>
      <c r="H790" t="s">
        <v>1170</v>
      </c>
      <c r="I790">
        <v>9</v>
      </c>
      <c r="J790">
        <v>14</v>
      </c>
      <c r="K790">
        <v>407123</v>
      </c>
      <c r="L790">
        <v>4.8</v>
      </c>
      <c r="M790" t="s">
        <v>43</v>
      </c>
      <c r="N790">
        <v>71</v>
      </c>
    </row>
    <row r="791" spans="1:14" x14ac:dyDescent="0.35">
      <c r="A791" t="s">
        <v>1576</v>
      </c>
      <c r="B791" t="s">
        <v>96</v>
      </c>
      <c r="C791" t="s">
        <v>52</v>
      </c>
      <c r="D791" t="s">
        <v>25</v>
      </c>
      <c r="E791">
        <v>60</v>
      </c>
      <c r="F791" t="s">
        <v>74</v>
      </c>
      <c r="G791" t="s">
        <v>41</v>
      </c>
      <c r="H791" t="s">
        <v>663</v>
      </c>
      <c r="I791">
        <v>1</v>
      </c>
      <c r="J791">
        <v>8</v>
      </c>
      <c r="K791">
        <v>155556</v>
      </c>
      <c r="L791">
        <v>4.3</v>
      </c>
      <c r="M791" t="s">
        <v>21</v>
      </c>
      <c r="N791">
        <v>61</v>
      </c>
    </row>
    <row r="792" spans="1:14" x14ac:dyDescent="0.35">
      <c r="A792" t="s">
        <v>1577</v>
      </c>
      <c r="B792" t="s">
        <v>23</v>
      </c>
      <c r="C792" t="s">
        <v>24</v>
      </c>
      <c r="D792" t="s">
        <v>17</v>
      </c>
      <c r="E792">
        <v>43</v>
      </c>
      <c r="F792" t="s">
        <v>74</v>
      </c>
      <c r="G792" t="s">
        <v>32</v>
      </c>
      <c r="H792" t="s">
        <v>1578</v>
      </c>
      <c r="I792">
        <v>0</v>
      </c>
      <c r="J792">
        <v>4</v>
      </c>
      <c r="K792">
        <v>308390</v>
      </c>
      <c r="L792">
        <v>2.9</v>
      </c>
      <c r="M792" t="s">
        <v>21</v>
      </c>
      <c r="N792">
        <v>57</v>
      </c>
    </row>
    <row r="793" spans="1:14" x14ac:dyDescent="0.35">
      <c r="A793" t="s">
        <v>1579</v>
      </c>
      <c r="B793" t="s">
        <v>45</v>
      </c>
      <c r="C793" t="s">
        <v>49</v>
      </c>
      <c r="D793" t="s">
        <v>25</v>
      </c>
      <c r="E793">
        <v>52</v>
      </c>
      <c r="F793" t="s">
        <v>46</v>
      </c>
      <c r="G793" t="s">
        <v>71</v>
      </c>
      <c r="H793" t="s">
        <v>1580</v>
      </c>
      <c r="I793">
        <v>10</v>
      </c>
      <c r="J793">
        <v>16</v>
      </c>
      <c r="K793">
        <v>270311</v>
      </c>
      <c r="L793">
        <v>4.4000000000000004</v>
      </c>
      <c r="M793" t="s">
        <v>43</v>
      </c>
      <c r="N793">
        <v>86</v>
      </c>
    </row>
    <row r="794" spans="1:14" x14ac:dyDescent="0.35">
      <c r="A794" t="s">
        <v>1581</v>
      </c>
      <c r="B794" t="s">
        <v>23</v>
      </c>
      <c r="C794" t="s">
        <v>36</v>
      </c>
      <c r="D794" t="s">
        <v>17</v>
      </c>
      <c r="E794">
        <v>24</v>
      </c>
      <c r="F794" t="s">
        <v>79</v>
      </c>
      <c r="G794" t="s">
        <v>71</v>
      </c>
      <c r="H794" t="s">
        <v>1582</v>
      </c>
      <c r="I794">
        <v>12</v>
      </c>
      <c r="J794">
        <v>13</v>
      </c>
      <c r="K794">
        <v>323139</v>
      </c>
      <c r="L794">
        <v>4.7</v>
      </c>
      <c r="M794" t="s">
        <v>21</v>
      </c>
      <c r="N794">
        <v>70</v>
      </c>
    </row>
    <row r="795" spans="1:14" x14ac:dyDescent="0.35">
      <c r="A795" t="s">
        <v>1583</v>
      </c>
      <c r="B795" t="s">
        <v>45</v>
      </c>
      <c r="C795" t="s">
        <v>52</v>
      </c>
      <c r="D795" t="s">
        <v>25</v>
      </c>
      <c r="E795">
        <v>59</v>
      </c>
      <c r="F795" t="s">
        <v>74</v>
      </c>
      <c r="G795" t="s">
        <v>88</v>
      </c>
      <c r="H795" t="s">
        <v>1584</v>
      </c>
      <c r="I795">
        <v>20</v>
      </c>
      <c r="J795">
        <v>20</v>
      </c>
      <c r="K795">
        <v>364587</v>
      </c>
      <c r="L795">
        <v>3.4</v>
      </c>
      <c r="M795" t="s">
        <v>21</v>
      </c>
      <c r="N795">
        <v>52</v>
      </c>
    </row>
    <row r="796" spans="1:14" x14ac:dyDescent="0.35">
      <c r="A796" t="s">
        <v>1585</v>
      </c>
      <c r="B796" t="s">
        <v>60</v>
      </c>
      <c r="C796" t="s">
        <v>24</v>
      </c>
      <c r="D796" t="s">
        <v>17</v>
      </c>
      <c r="E796">
        <v>48</v>
      </c>
      <c r="F796" t="s">
        <v>74</v>
      </c>
      <c r="G796" t="s">
        <v>61</v>
      </c>
      <c r="H796" t="s">
        <v>1586</v>
      </c>
      <c r="I796">
        <v>0</v>
      </c>
      <c r="J796">
        <v>0</v>
      </c>
      <c r="K796">
        <v>260097</v>
      </c>
      <c r="L796">
        <v>5</v>
      </c>
      <c r="M796" t="s">
        <v>43</v>
      </c>
      <c r="N796">
        <v>72</v>
      </c>
    </row>
    <row r="797" spans="1:14" x14ac:dyDescent="0.35">
      <c r="A797" t="s">
        <v>1587</v>
      </c>
      <c r="B797" t="s">
        <v>23</v>
      </c>
      <c r="C797" t="s">
        <v>56</v>
      </c>
      <c r="D797" t="s">
        <v>25</v>
      </c>
      <c r="E797">
        <v>38</v>
      </c>
      <c r="F797" t="s">
        <v>37</v>
      </c>
      <c r="G797" t="s">
        <v>61</v>
      </c>
      <c r="H797" t="s">
        <v>1588</v>
      </c>
      <c r="I797">
        <v>0</v>
      </c>
      <c r="J797">
        <v>8</v>
      </c>
      <c r="K797">
        <v>402640</v>
      </c>
      <c r="L797">
        <v>2.2000000000000002</v>
      </c>
      <c r="M797" t="s">
        <v>43</v>
      </c>
      <c r="N797">
        <v>91</v>
      </c>
    </row>
    <row r="798" spans="1:14" x14ac:dyDescent="0.35">
      <c r="A798" t="s">
        <v>1589</v>
      </c>
      <c r="B798" t="s">
        <v>96</v>
      </c>
      <c r="C798" t="s">
        <v>56</v>
      </c>
      <c r="D798" t="s">
        <v>25</v>
      </c>
      <c r="E798">
        <v>48</v>
      </c>
      <c r="F798" t="s">
        <v>31</v>
      </c>
      <c r="G798" t="s">
        <v>41</v>
      </c>
      <c r="H798" t="s">
        <v>1590</v>
      </c>
      <c r="I798">
        <v>17</v>
      </c>
      <c r="J798">
        <v>20</v>
      </c>
      <c r="K798">
        <v>176558</v>
      </c>
      <c r="L798">
        <v>3.1</v>
      </c>
      <c r="M798" t="s">
        <v>21</v>
      </c>
      <c r="N798">
        <v>46</v>
      </c>
    </row>
    <row r="799" spans="1:14" x14ac:dyDescent="0.35">
      <c r="A799" t="s">
        <v>1591</v>
      </c>
      <c r="B799" t="s">
        <v>29</v>
      </c>
      <c r="C799" t="s">
        <v>82</v>
      </c>
      <c r="D799" t="s">
        <v>17</v>
      </c>
      <c r="E799">
        <v>55</v>
      </c>
      <c r="F799" t="s">
        <v>18</v>
      </c>
      <c r="G799" t="s">
        <v>71</v>
      </c>
      <c r="H799" t="s">
        <v>1592</v>
      </c>
      <c r="I799">
        <v>13</v>
      </c>
      <c r="J799">
        <v>15</v>
      </c>
      <c r="K799">
        <v>161888</v>
      </c>
      <c r="L799">
        <v>4.9000000000000004</v>
      </c>
      <c r="M799" t="s">
        <v>43</v>
      </c>
      <c r="N799">
        <v>76</v>
      </c>
    </row>
    <row r="800" spans="1:14" x14ac:dyDescent="0.35">
      <c r="A800" t="s">
        <v>1593</v>
      </c>
      <c r="B800" t="s">
        <v>45</v>
      </c>
      <c r="C800" t="s">
        <v>64</v>
      </c>
      <c r="D800" t="s">
        <v>25</v>
      </c>
      <c r="E800">
        <v>24</v>
      </c>
      <c r="F800" t="s">
        <v>70</v>
      </c>
      <c r="G800" t="s">
        <v>26</v>
      </c>
      <c r="H800" t="s">
        <v>1594</v>
      </c>
      <c r="I800">
        <v>0</v>
      </c>
      <c r="J800">
        <v>4</v>
      </c>
      <c r="K800">
        <v>190929</v>
      </c>
      <c r="L800">
        <v>3.6</v>
      </c>
      <c r="M800" t="s">
        <v>43</v>
      </c>
      <c r="N800">
        <v>97</v>
      </c>
    </row>
    <row r="801" spans="1:14" x14ac:dyDescent="0.35">
      <c r="A801" t="s">
        <v>1595</v>
      </c>
      <c r="B801" t="s">
        <v>45</v>
      </c>
      <c r="C801" t="s">
        <v>82</v>
      </c>
      <c r="D801" t="s">
        <v>25</v>
      </c>
      <c r="E801">
        <v>34</v>
      </c>
      <c r="F801" t="s">
        <v>70</v>
      </c>
      <c r="G801" t="s">
        <v>75</v>
      </c>
      <c r="H801" t="s">
        <v>903</v>
      </c>
      <c r="I801">
        <v>4</v>
      </c>
      <c r="J801">
        <v>12</v>
      </c>
      <c r="K801">
        <v>245283</v>
      </c>
      <c r="L801">
        <v>3.4</v>
      </c>
      <c r="M801" t="s">
        <v>43</v>
      </c>
      <c r="N801">
        <v>74</v>
      </c>
    </row>
    <row r="802" spans="1:14" x14ac:dyDescent="0.35">
      <c r="A802" t="s">
        <v>1596</v>
      </c>
      <c r="B802" t="s">
        <v>45</v>
      </c>
      <c r="C802" t="s">
        <v>64</v>
      </c>
      <c r="D802" t="s">
        <v>25</v>
      </c>
      <c r="E802">
        <v>36</v>
      </c>
      <c r="F802" t="s">
        <v>70</v>
      </c>
      <c r="G802" t="s">
        <v>19</v>
      </c>
      <c r="H802" t="s">
        <v>1597</v>
      </c>
      <c r="I802">
        <v>6</v>
      </c>
      <c r="J802">
        <v>11</v>
      </c>
      <c r="K802">
        <v>486013</v>
      </c>
      <c r="L802">
        <v>3</v>
      </c>
      <c r="M802" t="s">
        <v>43</v>
      </c>
      <c r="N802">
        <v>98</v>
      </c>
    </row>
    <row r="803" spans="1:14" x14ac:dyDescent="0.35">
      <c r="A803" t="s">
        <v>1598</v>
      </c>
      <c r="B803" t="s">
        <v>55</v>
      </c>
      <c r="C803" t="s">
        <v>93</v>
      </c>
      <c r="D803" t="s">
        <v>25</v>
      </c>
      <c r="E803">
        <v>25</v>
      </c>
      <c r="F803" t="s">
        <v>79</v>
      </c>
      <c r="G803" t="s">
        <v>85</v>
      </c>
      <c r="H803" t="s">
        <v>1599</v>
      </c>
      <c r="I803">
        <v>18</v>
      </c>
      <c r="J803">
        <v>21</v>
      </c>
      <c r="K803">
        <v>489926</v>
      </c>
      <c r="L803">
        <v>4</v>
      </c>
      <c r="M803" t="s">
        <v>21</v>
      </c>
      <c r="N803">
        <v>39</v>
      </c>
    </row>
    <row r="804" spans="1:14" x14ac:dyDescent="0.35">
      <c r="A804" t="s">
        <v>1600</v>
      </c>
      <c r="B804" t="s">
        <v>96</v>
      </c>
      <c r="C804" t="s">
        <v>93</v>
      </c>
      <c r="D804" t="s">
        <v>17</v>
      </c>
      <c r="E804">
        <v>52</v>
      </c>
      <c r="F804" t="s">
        <v>46</v>
      </c>
      <c r="G804" t="s">
        <v>88</v>
      </c>
      <c r="H804" t="s">
        <v>1601</v>
      </c>
      <c r="I804">
        <v>15</v>
      </c>
      <c r="J804">
        <v>24</v>
      </c>
      <c r="K804">
        <v>407350</v>
      </c>
      <c r="L804">
        <v>3.9</v>
      </c>
      <c r="M804" t="s">
        <v>43</v>
      </c>
      <c r="N804">
        <v>100</v>
      </c>
    </row>
    <row r="805" spans="1:14" x14ac:dyDescent="0.35">
      <c r="A805" t="s">
        <v>1602</v>
      </c>
      <c r="B805" t="s">
        <v>40</v>
      </c>
      <c r="C805" t="s">
        <v>16</v>
      </c>
      <c r="D805" t="s">
        <v>17</v>
      </c>
      <c r="E805">
        <v>43</v>
      </c>
      <c r="F805" t="s">
        <v>37</v>
      </c>
      <c r="G805" t="s">
        <v>26</v>
      </c>
      <c r="H805" t="s">
        <v>1603</v>
      </c>
      <c r="I805">
        <v>14</v>
      </c>
      <c r="J805">
        <v>14</v>
      </c>
      <c r="K805">
        <v>268682</v>
      </c>
      <c r="L805">
        <v>4.5999999999999996</v>
      </c>
      <c r="M805" t="s">
        <v>21</v>
      </c>
      <c r="N805">
        <v>67</v>
      </c>
    </row>
    <row r="806" spans="1:14" x14ac:dyDescent="0.35">
      <c r="A806" t="s">
        <v>1604</v>
      </c>
      <c r="B806" t="s">
        <v>96</v>
      </c>
      <c r="C806" t="s">
        <v>64</v>
      </c>
      <c r="D806" t="s">
        <v>17</v>
      </c>
      <c r="E806">
        <v>36</v>
      </c>
      <c r="F806" t="s">
        <v>70</v>
      </c>
      <c r="G806" t="s">
        <v>88</v>
      </c>
      <c r="H806" t="s">
        <v>1374</v>
      </c>
      <c r="I806">
        <v>4</v>
      </c>
      <c r="J806">
        <v>7</v>
      </c>
      <c r="K806">
        <v>447332</v>
      </c>
      <c r="L806">
        <v>4.2</v>
      </c>
      <c r="M806" t="s">
        <v>43</v>
      </c>
      <c r="N806">
        <v>86</v>
      </c>
    </row>
    <row r="807" spans="1:14" x14ac:dyDescent="0.35">
      <c r="A807" t="s">
        <v>1605</v>
      </c>
      <c r="B807" t="s">
        <v>111</v>
      </c>
      <c r="C807" t="s">
        <v>30</v>
      </c>
      <c r="D807" t="s">
        <v>25</v>
      </c>
      <c r="E807">
        <v>46</v>
      </c>
      <c r="F807" t="s">
        <v>70</v>
      </c>
      <c r="G807" t="s">
        <v>71</v>
      </c>
      <c r="H807" t="s">
        <v>1606</v>
      </c>
      <c r="I807">
        <v>9</v>
      </c>
      <c r="J807">
        <v>11</v>
      </c>
      <c r="K807">
        <v>314498</v>
      </c>
      <c r="L807">
        <v>2.1</v>
      </c>
      <c r="M807" t="s">
        <v>21</v>
      </c>
      <c r="N807">
        <v>45</v>
      </c>
    </row>
    <row r="808" spans="1:14" x14ac:dyDescent="0.35">
      <c r="A808" t="s">
        <v>1607</v>
      </c>
      <c r="B808" t="s">
        <v>40</v>
      </c>
      <c r="C808" t="s">
        <v>30</v>
      </c>
      <c r="D808" t="s">
        <v>25</v>
      </c>
      <c r="E808">
        <v>43</v>
      </c>
      <c r="F808" t="s">
        <v>46</v>
      </c>
      <c r="G808" t="s">
        <v>19</v>
      </c>
      <c r="H808" t="s">
        <v>1608</v>
      </c>
      <c r="I808">
        <v>0</v>
      </c>
      <c r="J808">
        <v>6</v>
      </c>
      <c r="K808">
        <v>403710</v>
      </c>
      <c r="L808">
        <v>2.9</v>
      </c>
      <c r="M808" t="s">
        <v>43</v>
      </c>
      <c r="N808">
        <v>95</v>
      </c>
    </row>
    <row r="809" spans="1:14" x14ac:dyDescent="0.35">
      <c r="A809" t="s">
        <v>1609</v>
      </c>
      <c r="B809" t="s">
        <v>23</v>
      </c>
      <c r="C809" t="s">
        <v>56</v>
      </c>
      <c r="D809" t="s">
        <v>17</v>
      </c>
      <c r="E809">
        <v>33</v>
      </c>
      <c r="F809" t="s">
        <v>79</v>
      </c>
      <c r="G809" t="s">
        <v>32</v>
      </c>
      <c r="H809" t="s">
        <v>206</v>
      </c>
      <c r="I809">
        <v>0</v>
      </c>
      <c r="J809">
        <v>8</v>
      </c>
      <c r="K809">
        <v>92320</v>
      </c>
      <c r="L809">
        <v>2.1</v>
      </c>
      <c r="M809" t="s">
        <v>43</v>
      </c>
      <c r="N809">
        <v>84</v>
      </c>
    </row>
    <row r="810" spans="1:14" x14ac:dyDescent="0.35">
      <c r="A810" t="s">
        <v>1610</v>
      </c>
      <c r="B810" t="s">
        <v>78</v>
      </c>
      <c r="C810" t="s">
        <v>64</v>
      </c>
      <c r="D810" t="s">
        <v>17</v>
      </c>
      <c r="E810">
        <v>21</v>
      </c>
      <c r="F810" t="s">
        <v>18</v>
      </c>
      <c r="G810" t="s">
        <v>26</v>
      </c>
      <c r="H810" t="s">
        <v>1611</v>
      </c>
      <c r="I810">
        <v>11</v>
      </c>
      <c r="J810">
        <v>15</v>
      </c>
      <c r="K810">
        <v>270308</v>
      </c>
      <c r="L810">
        <v>3.8</v>
      </c>
      <c r="M810" t="s">
        <v>43</v>
      </c>
      <c r="N810">
        <v>98</v>
      </c>
    </row>
    <row r="811" spans="1:14" x14ac:dyDescent="0.35">
      <c r="A811" t="s">
        <v>1612</v>
      </c>
      <c r="B811" t="s">
        <v>35</v>
      </c>
      <c r="C811" t="s">
        <v>56</v>
      </c>
      <c r="D811" t="s">
        <v>17</v>
      </c>
      <c r="E811">
        <v>39</v>
      </c>
      <c r="F811" t="s">
        <v>79</v>
      </c>
      <c r="G811" t="s">
        <v>75</v>
      </c>
      <c r="H811" t="s">
        <v>1539</v>
      </c>
      <c r="I811">
        <v>6</v>
      </c>
      <c r="J811">
        <v>6</v>
      </c>
      <c r="K811">
        <v>166967</v>
      </c>
      <c r="L811">
        <v>3.3</v>
      </c>
      <c r="M811" t="s">
        <v>21</v>
      </c>
      <c r="N811">
        <v>65</v>
      </c>
    </row>
    <row r="812" spans="1:14" x14ac:dyDescent="0.35">
      <c r="A812" t="s">
        <v>1613</v>
      </c>
      <c r="B812" t="s">
        <v>40</v>
      </c>
      <c r="C812" t="s">
        <v>82</v>
      </c>
      <c r="D812" t="s">
        <v>17</v>
      </c>
      <c r="E812">
        <v>38</v>
      </c>
      <c r="F812" t="s">
        <v>31</v>
      </c>
      <c r="G812" t="s">
        <v>88</v>
      </c>
      <c r="H812" t="s">
        <v>89</v>
      </c>
      <c r="I812">
        <v>11</v>
      </c>
      <c r="J812">
        <v>11</v>
      </c>
      <c r="K812">
        <v>257059</v>
      </c>
      <c r="L812">
        <v>2.1</v>
      </c>
      <c r="M812" t="s">
        <v>43</v>
      </c>
      <c r="N812">
        <v>82</v>
      </c>
    </row>
    <row r="813" spans="1:14" x14ac:dyDescent="0.35">
      <c r="A813" t="s">
        <v>1614</v>
      </c>
      <c r="B813" t="s">
        <v>45</v>
      </c>
      <c r="C813" t="s">
        <v>36</v>
      </c>
      <c r="D813" t="s">
        <v>25</v>
      </c>
      <c r="E813">
        <v>21</v>
      </c>
      <c r="F813" t="s">
        <v>31</v>
      </c>
      <c r="G813" t="s">
        <v>61</v>
      </c>
      <c r="H813" t="s">
        <v>1615</v>
      </c>
      <c r="I813">
        <v>6</v>
      </c>
      <c r="J813">
        <v>12</v>
      </c>
      <c r="K813">
        <v>131303</v>
      </c>
      <c r="L813">
        <v>3.9</v>
      </c>
      <c r="M813" t="s">
        <v>21</v>
      </c>
      <c r="N813">
        <v>46</v>
      </c>
    </row>
    <row r="814" spans="1:14" x14ac:dyDescent="0.35">
      <c r="A814" t="s">
        <v>1616</v>
      </c>
      <c r="B814" t="s">
        <v>23</v>
      </c>
      <c r="C814" t="s">
        <v>49</v>
      </c>
      <c r="D814" t="s">
        <v>25</v>
      </c>
      <c r="E814">
        <v>26</v>
      </c>
      <c r="F814" t="s">
        <v>74</v>
      </c>
      <c r="G814" t="s">
        <v>85</v>
      </c>
      <c r="H814" t="s">
        <v>1617</v>
      </c>
      <c r="I814">
        <v>1</v>
      </c>
      <c r="J814">
        <v>10</v>
      </c>
      <c r="K814">
        <v>235366</v>
      </c>
      <c r="L814">
        <v>3.7</v>
      </c>
      <c r="M814" t="s">
        <v>43</v>
      </c>
      <c r="N814">
        <v>81</v>
      </c>
    </row>
    <row r="815" spans="1:14" x14ac:dyDescent="0.35">
      <c r="A815" t="s">
        <v>1618</v>
      </c>
      <c r="B815" t="s">
        <v>29</v>
      </c>
      <c r="C815" t="s">
        <v>56</v>
      </c>
      <c r="D815" t="s">
        <v>17</v>
      </c>
      <c r="E815">
        <v>24</v>
      </c>
      <c r="F815" t="s">
        <v>31</v>
      </c>
      <c r="G815" t="s">
        <v>75</v>
      </c>
      <c r="H815" t="s">
        <v>1619</v>
      </c>
      <c r="I815">
        <v>0</v>
      </c>
      <c r="J815">
        <v>3</v>
      </c>
      <c r="K815">
        <v>358459</v>
      </c>
      <c r="L815">
        <v>3</v>
      </c>
      <c r="M815" t="s">
        <v>43</v>
      </c>
      <c r="N815">
        <v>94</v>
      </c>
    </row>
    <row r="816" spans="1:14" x14ac:dyDescent="0.35">
      <c r="A816" t="s">
        <v>1620</v>
      </c>
      <c r="B816" t="s">
        <v>96</v>
      </c>
      <c r="C816" t="s">
        <v>30</v>
      </c>
      <c r="D816" t="s">
        <v>25</v>
      </c>
      <c r="E816">
        <v>48</v>
      </c>
      <c r="F816" t="s">
        <v>79</v>
      </c>
      <c r="G816" t="s">
        <v>26</v>
      </c>
      <c r="H816" t="s">
        <v>1621</v>
      </c>
      <c r="I816">
        <v>17</v>
      </c>
      <c r="J816">
        <v>27</v>
      </c>
      <c r="K816">
        <v>439773</v>
      </c>
      <c r="L816">
        <v>3.9</v>
      </c>
      <c r="M816" t="s">
        <v>21</v>
      </c>
      <c r="N816">
        <v>37</v>
      </c>
    </row>
    <row r="817" spans="1:14" x14ac:dyDescent="0.35">
      <c r="A817" t="s">
        <v>1622</v>
      </c>
      <c r="B817" t="s">
        <v>35</v>
      </c>
      <c r="C817" t="s">
        <v>93</v>
      </c>
      <c r="D817" t="s">
        <v>25</v>
      </c>
      <c r="E817">
        <v>49</v>
      </c>
      <c r="F817" t="s">
        <v>79</v>
      </c>
      <c r="G817" t="s">
        <v>32</v>
      </c>
      <c r="H817" t="s">
        <v>1623</v>
      </c>
      <c r="I817">
        <v>16</v>
      </c>
      <c r="J817">
        <v>26</v>
      </c>
      <c r="K817">
        <v>166877</v>
      </c>
      <c r="L817">
        <v>4.7</v>
      </c>
      <c r="M817" t="s">
        <v>43</v>
      </c>
      <c r="N817">
        <v>91</v>
      </c>
    </row>
    <row r="818" spans="1:14" x14ac:dyDescent="0.35">
      <c r="A818" t="s">
        <v>1624</v>
      </c>
      <c r="B818" t="s">
        <v>23</v>
      </c>
      <c r="C818" t="s">
        <v>52</v>
      </c>
      <c r="D818" t="s">
        <v>25</v>
      </c>
      <c r="E818">
        <v>36</v>
      </c>
      <c r="F818" t="s">
        <v>37</v>
      </c>
      <c r="G818" t="s">
        <v>19</v>
      </c>
      <c r="H818" t="s">
        <v>1625</v>
      </c>
      <c r="I818">
        <v>0</v>
      </c>
      <c r="J818">
        <v>2</v>
      </c>
      <c r="K818">
        <v>407270</v>
      </c>
      <c r="L818">
        <v>2.4</v>
      </c>
      <c r="M818" t="s">
        <v>21</v>
      </c>
      <c r="N818">
        <v>31</v>
      </c>
    </row>
    <row r="819" spans="1:14" x14ac:dyDescent="0.35">
      <c r="A819" t="s">
        <v>1626</v>
      </c>
      <c r="B819" t="s">
        <v>69</v>
      </c>
      <c r="C819" t="s">
        <v>93</v>
      </c>
      <c r="D819" t="s">
        <v>25</v>
      </c>
      <c r="E819">
        <v>40</v>
      </c>
      <c r="F819" t="s">
        <v>70</v>
      </c>
      <c r="G819" t="s">
        <v>41</v>
      </c>
      <c r="H819" t="s">
        <v>254</v>
      </c>
      <c r="I819">
        <v>10</v>
      </c>
      <c r="J819">
        <v>16</v>
      </c>
      <c r="K819">
        <v>112290</v>
      </c>
      <c r="L819">
        <v>2.6</v>
      </c>
      <c r="M819" t="s">
        <v>21</v>
      </c>
      <c r="N819">
        <v>42</v>
      </c>
    </row>
    <row r="820" spans="1:14" x14ac:dyDescent="0.35">
      <c r="A820" t="s">
        <v>1627</v>
      </c>
      <c r="B820" t="s">
        <v>35</v>
      </c>
      <c r="C820" t="s">
        <v>64</v>
      </c>
      <c r="D820" t="s">
        <v>25</v>
      </c>
      <c r="E820">
        <v>48</v>
      </c>
      <c r="F820" t="s">
        <v>18</v>
      </c>
      <c r="G820" t="s">
        <v>19</v>
      </c>
      <c r="H820" t="s">
        <v>1628</v>
      </c>
      <c r="I820">
        <v>11</v>
      </c>
      <c r="J820">
        <v>15</v>
      </c>
      <c r="K820">
        <v>305243</v>
      </c>
      <c r="L820">
        <v>4.4000000000000004</v>
      </c>
      <c r="M820" t="s">
        <v>21</v>
      </c>
      <c r="N820">
        <v>66</v>
      </c>
    </row>
    <row r="821" spans="1:14" x14ac:dyDescent="0.35">
      <c r="A821" t="s">
        <v>1629</v>
      </c>
      <c r="B821" t="s">
        <v>29</v>
      </c>
      <c r="C821" t="s">
        <v>93</v>
      </c>
      <c r="D821" t="s">
        <v>17</v>
      </c>
      <c r="E821">
        <v>52</v>
      </c>
      <c r="F821" t="s">
        <v>18</v>
      </c>
      <c r="G821" t="s">
        <v>57</v>
      </c>
      <c r="H821" t="s">
        <v>1630</v>
      </c>
      <c r="I821">
        <v>8</v>
      </c>
      <c r="J821">
        <v>10</v>
      </c>
      <c r="K821">
        <v>354218</v>
      </c>
      <c r="L821">
        <v>5</v>
      </c>
      <c r="M821" t="s">
        <v>43</v>
      </c>
      <c r="N821">
        <v>86</v>
      </c>
    </row>
    <row r="822" spans="1:14" x14ac:dyDescent="0.35">
      <c r="A822" t="s">
        <v>1631</v>
      </c>
      <c r="B822" t="s">
        <v>78</v>
      </c>
      <c r="C822" t="s">
        <v>30</v>
      </c>
      <c r="D822" t="s">
        <v>17</v>
      </c>
      <c r="E822">
        <v>27</v>
      </c>
      <c r="F822" t="s">
        <v>74</v>
      </c>
      <c r="G822" t="s">
        <v>71</v>
      </c>
      <c r="H822" t="s">
        <v>1632</v>
      </c>
      <c r="I822">
        <v>10</v>
      </c>
      <c r="J822">
        <v>12</v>
      </c>
      <c r="K822">
        <v>126536</v>
      </c>
      <c r="L822">
        <v>4.5</v>
      </c>
      <c r="M822" t="s">
        <v>43</v>
      </c>
      <c r="N822">
        <v>81</v>
      </c>
    </row>
    <row r="823" spans="1:14" x14ac:dyDescent="0.35">
      <c r="A823" t="s">
        <v>1633</v>
      </c>
      <c r="B823" t="s">
        <v>78</v>
      </c>
      <c r="C823" t="s">
        <v>82</v>
      </c>
      <c r="D823" t="s">
        <v>17</v>
      </c>
      <c r="E823">
        <v>55</v>
      </c>
      <c r="F823" t="s">
        <v>74</v>
      </c>
      <c r="G823" t="s">
        <v>26</v>
      </c>
      <c r="H823" t="s">
        <v>1634</v>
      </c>
      <c r="I823">
        <v>13</v>
      </c>
      <c r="J823">
        <v>16</v>
      </c>
      <c r="K823">
        <v>444601</v>
      </c>
      <c r="L823">
        <v>3.3</v>
      </c>
      <c r="M823" t="s">
        <v>43</v>
      </c>
      <c r="N823">
        <v>74</v>
      </c>
    </row>
    <row r="824" spans="1:14" x14ac:dyDescent="0.35">
      <c r="A824" t="s">
        <v>1635</v>
      </c>
      <c r="B824" t="s">
        <v>78</v>
      </c>
      <c r="C824" t="s">
        <v>49</v>
      </c>
      <c r="D824" t="s">
        <v>25</v>
      </c>
      <c r="E824">
        <v>21</v>
      </c>
      <c r="F824" t="s">
        <v>31</v>
      </c>
      <c r="G824" t="s">
        <v>26</v>
      </c>
      <c r="H824" t="s">
        <v>1636</v>
      </c>
      <c r="I824">
        <v>20</v>
      </c>
      <c r="J824">
        <v>21</v>
      </c>
      <c r="K824">
        <v>379998</v>
      </c>
      <c r="L824">
        <v>2</v>
      </c>
      <c r="M824" t="s">
        <v>43</v>
      </c>
      <c r="N824">
        <v>93</v>
      </c>
    </row>
    <row r="825" spans="1:14" x14ac:dyDescent="0.35">
      <c r="A825" t="s">
        <v>1637</v>
      </c>
      <c r="B825" t="s">
        <v>35</v>
      </c>
      <c r="C825" t="s">
        <v>16</v>
      </c>
      <c r="D825" t="s">
        <v>17</v>
      </c>
      <c r="E825">
        <v>26</v>
      </c>
      <c r="F825" t="s">
        <v>70</v>
      </c>
      <c r="G825" t="s">
        <v>41</v>
      </c>
      <c r="H825" t="s">
        <v>1638</v>
      </c>
      <c r="I825">
        <v>3</v>
      </c>
      <c r="J825">
        <v>9</v>
      </c>
      <c r="K825">
        <v>97650</v>
      </c>
      <c r="L825">
        <v>3.5</v>
      </c>
      <c r="M825" t="s">
        <v>43</v>
      </c>
      <c r="N825">
        <v>97</v>
      </c>
    </row>
    <row r="826" spans="1:14" x14ac:dyDescent="0.35">
      <c r="A826" t="s">
        <v>1639</v>
      </c>
      <c r="B826" t="s">
        <v>55</v>
      </c>
      <c r="C826" t="s">
        <v>24</v>
      </c>
      <c r="D826" t="s">
        <v>17</v>
      </c>
      <c r="E826">
        <v>50</v>
      </c>
      <c r="F826" t="s">
        <v>18</v>
      </c>
      <c r="G826" t="s">
        <v>41</v>
      </c>
      <c r="H826" t="s">
        <v>1502</v>
      </c>
      <c r="I826">
        <v>2</v>
      </c>
      <c r="J826">
        <v>6</v>
      </c>
      <c r="K826">
        <v>381475</v>
      </c>
      <c r="L826">
        <v>4.2</v>
      </c>
      <c r="M826" t="s">
        <v>43</v>
      </c>
      <c r="N826">
        <v>79</v>
      </c>
    </row>
    <row r="827" spans="1:14" x14ac:dyDescent="0.35">
      <c r="A827" t="s">
        <v>1640</v>
      </c>
      <c r="B827" t="s">
        <v>23</v>
      </c>
      <c r="C827" t="s">
        <v>30</v>
      </c>
      <c r="D827" t="s">
        <v>25</v>
      </c>
      <c r="E827">
        <v>55</v>
      </c>
      <c r="F827" t="s">
        <v>46</v>
      </c>
      <c r="G827" t="s">
        <v>26</v>
      </c>
      <c r="H827" t="s">
        <v>1641</v>
      </c>
      <c r="I827">
        <v>1</v>
      </c>
      <c r="J827">
        <v>2</v>
      </c>
      <c r="K827">
        <v>306058</v>
      </c>
      <c r="L827">
        <v>2.2999999999999998</v>
      </c>
      <c r="M827" t="s">
        <v>43</v>
      </c>
      <c r="N827">
        <v>87</v>
      </c>
    </row>
    <row r="828" spans="1:14" x14ac:dyDescent="0.35">
      <c r="A828" t="s">
        <v>1642</v>
      </c>
      <c r="B828" t="s">
        <v>35</v>
      </c>
      <c r="C828" t="s">
        <v>52</v>
      </c>
      <c r="D828" t="s">
        <v>17</v>
      </c>
      <c r="E828">
        <v>43</v>
      </c>
      <c r="F828" t="s">
        <v>31</v>
      </c>
      <c r="G828" t="s">
        <v>19</v>
      </c>
      <c r="H828" t="s">
        <v>1643</v>
      </c>
      <c r="I828">
        <v>12</v>
      </c>
      <c r="J828">
        <v>22</v>
      </c>
      <c r="K828">
        <v>400083</v>
      </c>
      <c r="L828">
        <v>4.7</v>
      </c>
      <c r="M828" t="s">
        <v>21</v>
      </c>
      <c r="N828">
        <v>41</v>
      </c>
    </row>
    <row r="829" spans="1:14" x14ac:dyDescent="0.35">
      <c r="A829" t="s">
        <v>1644</v>
      </c>
      <c r="B829" t="s">
        <v>40</v>
      </c>
      <c r="C829" t="s">
        <v>49</v>
      </c>
      <c r="D829" t="s">
        <v>17</v>
      </c>
      <c r="E829">
        <v>33</v>
      </c>
      <c r="F829" t="s">
        <v>18</v>
      </c>
      <c r="G829" t="s">
        <v>32</v>
      </c>
      <c r="H829" t="s">
        <v>1645</v>
      </c>
      <c r="I829">
        <v>18</v>
      </c>
      <c r="J829">
        <v>20</v>
      </c>
      <c r="K829">
        <v>324179</v>
      </c>
      <c r="L829">
        <v>2.1</v>
      </c>
      <c r="M829" t="s">
        <v>43</v>
      </c>
      <c r="N829">
        <v>82</v>
      </c>
    </row>
    <row r="830" spans="1:14" x14ac:dyDescent="0.35">
      <c r="A830" t="s">
        <v>1646</v>
      </c>
      <c r="B830" t="s">
        <v>23</v>
      </c>
      <c r="C830" t="s">
        <v>64</v>
      </c>
      <c r="D830" t="s">
        <v>25</v>
      </c>
      <c r="E830">
        <v>29</v>
      </c>
      <c r="F830" t="s">
        <v>37</v>
      </c>
      <c r="G830" t="s">
        <v>26</v>
      </c>
      <c r="H830" t="s">
        <v>1647</v>
      </c>
      <c r="I830">
        <v>20</v>
      </c>
      <c r="J830">
        <v>20</v>
      </c>
      <c r="K830">
        <v>59477</v>
      </c>
      <c r="L830">
        <v>2.7</v>
      </c>
      <c r="M830" t="s">
        <v>21</v>
      </c>
      <c r="N830">
        <v>34</v>
      </c>
    </row>
    <row r="831" spans="1:14" x14ac:dyDescent="0.35">
      <c r="A831" t="s">
        <v>1648</v>
      </c>
      <c r="B831" t="s">
        <v>69</v>
      </c>
      <c r="C831" t="s">
        <v>24</v>
      </c>
      <c r="D831" t="s">
        <v>25</v>
      </c>
      <c r="E831">
        <v>57</v>
      </c>
      <c r="F831" t="s">
        <v>31</v>
      </c>
      <c r="G831" t="s">
        <v>57</v>
      </c>
      <c r="H831" t="s">
        <v>1649</v>
      </c>
      <c r="I831">
        <v>9</v>
      </c>
      <c r="J831">
        <v>15</v>
      </c>
      <c r="K831">
        <v>359673</v>
      </c>
      <c r="L831">
        <v>3.4</v>
      </c>
      <c r="M831" t="s">
        <v>43</v>
      </c>
      <c r="N831">
        <v>76</v>
      </c>
    </row>
    <row r="832" spans="1:14" x14ac:dyDescent="0.35">
      <c r="A832" t="s">
        <v>1650</v>
      </c>
      <c r="B832" t="s">
        <v>29</v>
      </c>
      <c r="C832" t="s">
        <v>16</v>
      </c>
      <c r="D832" t="s">
        <v>25</v>
      </c>
      <c r="E832">
        <v>27</v>
      </c>
      <c r="F832" t="s">
        <v>74</v>
      </c>
      <c r="G832" t="s">
        <v>19</v>
      </c>
      <c r="H832" t="s">
        <v>347</v>
      </c>
      <c r="I832">
        <v>5</v>
      </c>
      <c r="J832">
        <v>7</v>
      </c>
      <c r="K832">
        <v>245800</v>
      </c>
      <c r="L832">
        <v>2.9</v>
      </c>
      <c r="M832" t="s">
        <v>21</v>
      </c>
      <c r="N832">
        <v>54</v>
      </c>
    </row>
    <row r="833" spans="1:14" x14ac:dyDescent="0.35">
      <c r="A833" t="s">
        <v>1651</v>
      </c>
      <c r="B833" t="s">
        <v>69</v>
      </c>
      <c r="C833" t="s">
        <v>49</v>
      </c>
      <c r="D833" t="s">
        <v>25</v>
      </c>
      <c r="E833">
        <v>44</v>
      </c>
      <c r="F833" t="s">
        <v>74</v>
      </c>
      <c r="G833" t="s">
        <v>71</v>
      </c>
      <c r="H833" t="s">
        <v>1241</v>
      </c>
      <c r="I833">
        <v>6</v>
      </c>
      <c r="J833">
        <v>7</v>
      </c>
      <c r="K833">
        <v>125582</v>
      </c>
      <c r="L833">
        <v>4.4000000000000004</v>
      </c>
      <c r="M833" t="s">
        <v>43</v>
      </c>
      <c r="N833">
        <v>89</v>
      </c>
    </row>
    <row r="834" spans="1:14" x14ac:dyDescent="0.35">
      <c r="A834" t="s">
        <v>1652</v>
      </c>
      <c r="B834" t="s">
        <v>23</v>
      </c>
      <c r="C834" t="s">
        <v>56</v>
      </c>
      <c r="D834" t="s">
        <v>17</v>
      </c>
      <c r="E834">
        <v>22</v>
      </c>
      <c r="F834" t="s">
        <v>79</v>
      </c>
      <c r="G834" t="s">
        <v>19</v>
      </c>
      <c r="H834" t="s">
        <v>1653</v>
      </c>
      <c r="I834">
        <v>14</v>
      </c>
      <c r="J834">
        <v>22</v>
      </c>
      <c r="K834">
        <v>471514</v>
      </c>
      <c r="L834">
        <v>2.5</v>
      </c>
      <c r="M834" t="s">
        <v>21</v>
      </c>
      <c r="N834">
        <v>60</v>
      </c>
    </row>
    <row r="835" spans="1:14" x14ac:dyDescent="0.35">
      <c r="A835" t="s">
        <v>1654</v>
      </c>
      <c r="B835" t="s">
        <v>111</v>
      </c>
      <c r="C835" t="s">
        <v>49</v>
      </c>
      <c r="D835" t="s">
        <v>25</v>
      </c>
      <c r="E835">
        <v>33</v>
      </c>
      <c r="F835" t="s">
        <v>74</v>
      </c>
      <c r="G835" t="s">
        <v>85</v>
      </c>
      <c r="H835" t="s">
        <v>1655</v>
      </c>
      <c r="I835">
        <v>9</v>
      </c>
      <c r="J835">
        <v>9</v>
      </c>
      <c r="K835">
        <v>186916</v>
      </c>
      <c r="L835">
        <v>4.0999999999999996</v>
      </c>
      <c r="M835" t="s">
        <v>21</v>
      </c>
      <c r="N835">
        <v>42</v>
      </c>
    </row>
    <row r="836" spans="1:14" x14ac:dyDescent="0.35">
      <c r="A836" t="s">
        <v>1656</v>
      </c>
      <c r="B836" t="s">
        <v>35</v>
      </c>
      <c r="C836" t="s">
        <v>93</v>
      </c>
      <c r="D836" t="s">
        <v>25</v>
      </c>
      <c r="E836">
        <v>31</v>
      </c>
      <c r="F836" t="s">
        <v>79</v>
      </c>
      <c r="G836" t="s">
        <v>61</v>
      </c>
      <c r="H836" t="s">
        <v>1657</v>
      </c>
      <c r="I836">
        <v>8</v>
      </c>
      <c r="J836">
        <v>8</v>
      </c>
      <c r="K836">
        <v>153172</v>
      </c>
      <c r="L836">
        <v>3.1</v>
      </c>
      <c r="M836" t="s">
        <v>43</v>
      </c>
      <c r="N836">
        <v>94</v>
      </c>
    </row>
    <row r="837" spans="1:14" x14ac:dyDescent="0.35">
      <c r="A837" t="s">
        <v>1658</v>
      </c>
      <c r="B837" t="s">
        <v>40</v>
      </c>
      <c r="C837" t="s">
        <v>64</v>
      </c>
      <c r="D837" t="s">
        <v>25</v>
      </c>
      <c r="E837">
        <v>32</v>
      </c>
      <c r="F837" t="s">
        <v>37</v>
      </c>
      <c r="G837" t="s">
        <v>88</v>
      </c>
      <c r="H837" t="s">
        <v>1659</v>
      </c>
      <c r="I837">
        <v>11</v>
      </c>
      <c r="J837">
        <v>15</v>
      </c>
      <c r="K837">
        <v>98727</v>
      </c>
      <c r="L837">
        <v>2.2999999999999998</v>
      </c>
      <c r="M837" t="s">
        <v>21</v>
      </c>
      <c r="N837">
        <v>35</v>
      </c>
    </row>
    <row r="838" spans="1:14" x14ac:dyDescent="0.35">
      <c r="A838" t="s">
        <v>1660</v>
      </c>
      <c r="B838" t="s">
        <v>69</v>
      </c>
      <c r="C838" t="s">
        <v>30</v>
      </c>
      <c r="D838" t="s">
        <v>25</v>
      </c>
      <c r="E838">
        <v>60</v>
      </c>
      <c r="F838" t="s">
        <v>31</v>
      </c>
      <c r="G838" t="s">
        <v>41</v>
      </c>
      <c r="H838" t="s">
        <v>1661</v>
      </c>
      <c r="I838">
        <v>4</v>
      </c>
      <c r="J838">
        <v>8</v>
      </c>
      <c r="K838">
        <v>498173</v>
      </c>
      <c r="L838">
        <v>3.5</v>
      </c>
      <c r="M838" t="s">
        <v>21</v>
      </c>
      <c r="N838">
        <v>59</v>
      </c>
    </row>
    <row r="839" spans="1:14" x14ac:dyDescent="0.35">
      <c r="A839" t="s">
        <v>1662</v>
      </c>
      <c r="B839" t="s">
        <v>40</v>
      </c>
      <c r="C839" t="s">
        <v>93</v>
      </c>
      <c r="D839" t="s">
        <v>17</v>
      </c>
      <c r="E839">
        <v>45</v>
      </c>
      <c r="F839" t="s">
        <v>70</v>
      </c>
      <c r="G839" t="s">
        <v>57</v>
      </c>
      <c r="H839" t="s">
        <v>1663</v>
      </c>
      <c r="I839">
        <v>20</v>
      </c>
      <c r="J839">
        <v>22</v>
      </c>
      <c r="K839">
        <v>486222</v>
      </c>
      <c r="L839">
        <v>3.5</v>
      </c>
      <c r="M839" t="s">
        <v>21</v>
      </c>
      <c r="N839">
        <v>64</v>
      </c>
    </row>
    <row r="840" spans="1:14" x14ac:dyDescent="0.35">
      <c r="A840" t="s">
        <v>1664</v>
      </c>
      <c r="B840" t="s">
        <v>15</v>
      </c>
      <c r="C840" t="s">
        <v>36</v>
      </c>
      <c r="D840" t="s">
        <v>25</v>
      </c>
      <c r="E840">
        <v>26</v>
      </c>
      <c r="F840" t="s">
        <v>74</v>
      </c>
      <c r="G840" t="s">
        <v>26</v>
      </c>
      <c r="H840" t="s">
        <v>1665</v>
      </c>
      <c r="I840">
        <v>3</v>
      </c>
      <c r="J840">
        <v>3</v>
      </c>
      <c r="K840">
        <v>66952</v>
      </c>
      <c r="L840">
        <v>3.5</v>
      </c>
      <c r="M840" t="s">
        <v>43</v>
      </c>
      <c r="N840">
        <v>73</v>
      </c>
    </row>
    <row r="841" spans="1:14" x14ac:dyDescent="0.35">
      <c r="A841" t="s">
        <v>1666</v>
      </c>
      <c r="B841" t="s">
        <v>96</v>
      </c>
      <c r="C841" t="s">
        <v>36</v>
      </c>
      <c r="D841" t="s">
        <v>25</v>
      </c>
      <c r="E841">
        <v>44</v>
      </c>
      <c r="F841" t="s">
        <v>31</v>
      </c>
      <c r="G841" t="s">
        <v>57</v>
      </c>
      <c r="H841" t="s">
        <v>1667</v>
      </c>
      <c r="I841">
        <v>8</v>
      </c>
      <c r="J841">
        <v>11</v>
      </c>
      <c r="K841">
        <v>297441</v>
      </c>
      <c r="L841">
        <v>3.2</v>
      </c>
      <c r="M841" t="s">
        <v>21</v>
      </c>
      <c r="N841">
        <v>65</v>
      </c>
    </row>
    <row r="842" spans="1:14" x14ac:dyDescent="0.35">
      <c r="A842" t="s">
        <v>1668</v>
      </c>
      <c r="B842" t="s">
        <v>35</v>
      </c>
      <c r="C842" t="s">
        <v>64</v>
      </c>
      <c r="D842" t="s">
        <v>17</v>
      </c>
      <c r="E842">
        <v>45</v>
      </c>
      <c r="F842" t="s">
        <v>37</v>
      </c>
      <c r="G842" t="s">
        <v>57</v>
      </c>
      <c r="H842" t="s">
        <v>1669</v>
      </c>
      <c r="I842">
        <v>6</v>
      </c>
      <c r="J842">
        <v>13</v>
      </c>
      <c r="K842">
        <v>326902</v>
      </c>
      <c r="L842">
        <v>3.9</v>
      </c>
      <c r="M842" t="s">
        <v>21</v>
      </c>
      <c r="N842">
        <v>56</v>
      </c>
    </row>
    <row r="843" spans="1:14" x14ac:dyDescent="0.35">
      <c r="A843" t="s">
        <v>1670</v>
      </c>
      <c r="B843" t="s">
        <v>55</v>
      </c>
      <c r="C843" t="s">
        <v>93</v>
      </c>
      <c r="D843" t="s">
        <v>17</v>
      </c>
      <c r="E843">
        <v>47</v>
      </c>
      <c r="F843" t="s">
        <v>37</v>
      </c>
      <c r="G843" t="s">
        <v>88</v>
      </c>
      <c r="H843" t="s">
        <v>1671</v>
      </c>
      <c r="I843">
        <v>12</v>
      </c>
      <c r="J843">
        <v>19</v>
      </c>
      <c r="K843">
        <v>315511</v>
      </c>
      <c r="L843">
        <v>4</v>
      </c>
      <c r="M843" t="s">
        <v>21</v>
      </c>
      <c r="N843">
        <v>68</v>
      </c>
    </row>
    <row r="844" spans="1:14" x14ac:dyDescent="0.35">
      <c r="A844" t="s">
        <v>1672</v>
      </c>
      <c r="B844" t="s">
        <v>29</v>
      </c>
      <c r="C844" t="s">
        <v>82</v>
      </c>
      <c r="D844" t="s">
        <v>25</v>
      </c>
      <c r="E844">
        <v>32</v>
      </c>
      <c r="F844" t="s">
        <v>74</v>
      </c>
      <c r="G844" t="s">
        <v>75</v>
      </c>
      <c r="H844" t="s">
        <v>1673</v>
      </c>
      <c r="I844">
        <v>13</v>
      </c>
      <c r="J844">
        <v>13</v>
      </c>
      <c r="K844">
        <v>79475</v>
      </c>
      <c r="L844">
        <v>4.5</v>
      </c>
      <c r="M844" t="s">
        <v>43</v>
      </c>
      <c r="N844">
        <v>80</v>
      </c>
    </row>
    <row r="845" spans="1:14" x14ac:dyDescent="0.35">
      <c r="A845" t="s">
        <v>1674</v>
      </c>
      <c r="B845" t="s">
        <v>45</v>
      </c>
      <c r="C845" t="s">
        <v>56</v>
      </c>
      <c r="D845" t="s">
        <v>25</v>
      </c>
      <c r="E845">
        <v>25</v>
      </c>
      <c r="F845" t="s">
        <v>37</v>
      </c>
      <c r="G845" t="s">
        <v>61</v>
      </c>
      <c r="H845" t="s">
        <v>1675</v>
      </c>
      <c r="I845">
        <v>6</v>
      </c>
      <c r="J845">
        <v>10</v>
      </c>
      <c r="K845">
        <v>53878</v>
      </c>
      <c r="L845">
        <v>3.7</v>
      </c>
      <c r="M845" t="s">
        <v>21</v>
      </c>
      <c r="N845">
        <v>70</v>
      </c>
    </row>
    <row r="846" spans="1:14" x14ac:dyDescent="0.35">
      <c r="A846" t="s">
        <v>1676</v>
      </c>
      <c r="B846" t="s">
        <v>60</v>
      </c>
      <c r="C846" t="s">
        <v>52</v>
      </c>
      <c r="D846" t="s">
        <v>17</v>
      </c>
      <c r="E846">
        <v>41</v>
      </c>
      <c r="F846" t="s">
        <v>70</v>
      </c>
      <c r="G846" t="s">
        <v>26</v>
      </c>
      <c r="H846" t="s">
        <v>1677</v>
      </c>
      <c r="I846">
        <v>10</v>
      </c>
      <c r="J846">
        <v>14</v>
      </c>
      <c r="K846">
        <v>362850</v>
      </c>
      <c r="L846">
        <v>4.0999999999999996</v>
      </c>
      <c r="M846" t="s">
        <v>21</v>
      </c>
      <c r="N846">
        <v>43</v>
      </c>
    </row>
    <row r="847" spans="1:14" x14ac:dyDescent="0.35">
      <c r="A847" t="s">
        <v>1678</v>
      </c>
      <c r="B847" t="s">
        <v>55</v>
      </c>
      <c r="C847" t="s">
        <v>56</v>
      </c>
      <c r="D847" t="s">
        <v>17</v>
      </c>
      <c r="E847">
        <v>24</v>
      </c>
      <c r="F847" t="s">
        <v>79</v>
      </c>
      <c r="G847" t="s">
        <v>57</v>
      </c>
      <c r="H847" t="s">
        <v>409</v>
      </c>
      <c r="I847">
        <v>2</v>
      </c>
      <c r="J847">
        <v>4</v>
      </c>
      <c r="K847">
        <v>145434</v>
      </c>
      <c r="L847">
        <v>3.8</v>
      </c>
      <c r="M847" t="s">
        <v>21</v>
      </c>
      <c r="N847">
        <v>38</v>
      </c>
    </row>
    <row r="848" spans="1:14" x14ac:dyDescent="0.35">
      <c r="A848" t="s">
        <v>1679</v>
      </c>
      <c r="B848" t="s">
        <v>23</v>
      </c>
      <c r="C848" t="s">
        <v>82</v>
      </c>
      <c r="D848" t="s">
        <v>25</v>
      </c>
      <c r="E848">
        <v>41</v>
      </c>
      <c r="F848" t="s">
        <v>31</v>
      </c>
      <c r="G848" t="s">
        <v>26</v>
      </c>
      <c r="H848" t="s">
        <v>1680</v>
      </c>
      <c r="I848">
        <v>5</v>
      </c>
      <c r="J848">
        <v>6</v>
      </c>
      <c r="K848">
        <v>449411</v>
      </c>
      <c r="L848">
        <v>2.7</v>
      </c>
      <c r="M848" t="s">
        <v>21</v>
      </c>
      <c r="N848">
        <v>55</v>
      </c>
    </row>
    <row r="849" spans="1:14" x14ac:dyDescent="0.35">
      <c r="A849" t="s">
        <v>1681</v>
      </c>
      <c r="B849" t="s">
        <v>15</v>
      </c>
      <c r="C849" t="s">
        <v>24</v>
      </c>
      <c r="D849" t="s">
        <v>17</v>
      </c>
      <c r="E849">
        <v>50</v>
      </c>
      <c r="F849" t="s">
        <v>46</v>
      </c>
      <c r="G849" t="s">
        <v>32</v>
      </c>
      <c r="H849" t="s">
        <v>1682</v>
      </c>
      <c r="I849">
        <v>17</v>
      </c>
      <c r="J849">
        <v>24</v>
      </c>
      <c r="K849">
        <v>391473</v>
      </c>
      <c r="L849">
        <v>4.5</v>
      </c>
      <c r="M849" t="s">
        <v>21</v>
      </c>
      <c r="N849">
        <v>36</v>
      </c>
    </row>
    <row r="850" spans="1:14" x14ac:dyDescent="0.35">
      <c r="A850" t="s">
        <v>1683</v>
      </c>
      <c r="B850" t="s">
        <v>35</v>
      </c>
      <c r="C850" t="s">
        <v>49</v>
      </c>
      <c r="D850" t="s">
        <v>17</v>
      </c>
      <c r="E850">
        <v>44</v>
      </c>
      <c r="F850" t="s">
        <v>74</v>
      </c>
      <c r="G850" t="s">
        <v>41</v>
      </c>
      <c r="H850" t="s">
        <v>258</v>
      </c>
      <c r="I850">
        <v>20</v>
      </c>
      <c r="J850">
        <v>29</v>
      </c>
      <c r="K850">
        <v>175353</v>
      </c>
      <c r="L850">
        <v>2.8</v>
      </c>
      <c r="M850" t="s">
        <v>21</v>
      </c>
      <c r="N850">
        <v>57</v>
      </c>
    </row>
    <row r="851" spans="1:14" x14ac:dyDescent="0.35">
      <c r="A851" t="s">
        <v>1684</v>
      </c>
      <c r="B851" t="s">
        <v>60</v>
      </c>
      <c r="C851" t="s">
        <v>49</v>
      </c>
      <c r="D851" t="s">
        <v>17</v>
      </c>
      <c r="E851">
        <v>47</v>
      </c>
      <c r="F851" t="s">
        <v>46</v>
      </c>
      <c r="G851" t="s">
        <v>61</v>
      </c>
      <c r="H851" t="s">
        <v>1685</v>
      </c>
      <c r="I851">
        <v>7</v>
      </c>
      <c r="J851">
        <v>10</v>
      </c>
      <c r="K851">
        <v>226380</v>
      </c>
      <c r="L851">
        <v>2.6</v>
      </c>
      <c r="M851" t="s">
        <v>43</v>
      </c>
      <c r="N851">
        <v>93</v>
      </c>
    </row>
    <row r="852" spans="1:14" x14ac:dyDescent="0.35">
      <c r="A852" t="s">
        <v>1686</v>
      </c>
      <c r="B852" t="s">
        <v>69</v>
      </c>
      <c r="C852" t="s">
        <v>82</v>
      </c>
      <c r="D852" t="s">
        <v>17</v>
      </c>
      <c r="E852">
        <v>38</v>
      </c>
      <c r="F852" t="s">
        <v>70</v>
      </c>
      <c r="G852" t="s">
        <v>75</v>
      </c>
      <c r="H852" t="s">
        <v>1687</v>
      </c>
      <c r="I852">
        <v>13</v>
      </c>
      <c r="J852">
        <v>14</v>
      </c>
      <c r="K852">
        <v>372762</v>
      </c>
      <c r="L852">
        <v>2.9</v>
      </c>
      <c r="M852" t="s">
        <v>43</v>
      </c>
      <c r="N852">
        <v>91</v>
      </c>
    </row>
    <row r="853" spans="1:14" x14ac:dyDescent="0.35">
      <c r="A853" t="s">
        <v>1688</v>
      </c>
      <c r="B853" t="s">
        <v>23</v>
      </c>
      <c r="C853" t="s">
        <v>52</v>
      </c>
      <c r="D853" t="s">
        <v>17</v>
      </c>
      <c r="E853">
        <v>57</v>
      </c>
      <c r="F853" t="s">
        <v>79</v>
      </c>
      <c r="G853" t="s">
        <v>85</v>
      </c>
      <c r="H853" t="s">
        <v>1689</v>
      </c>
      <c r="I853">
        <v>14</v>
      </c>
      <c r="J853">
        <v>21</v>
      </c>
      <c r="K853">
        <v>74500</v>
      </c>
      <c r="L853">
        <v>5</v>
      </c>
      <c r="M853" t="s">
        <v>43</v>
      </c>
      <c r="N853">
        <v>100</v>
      </c>
    </row>
    <row r="854" spans="1:14" x14ac:dyDescent="0.35">
      <c r="A854" t="s">
        <v>1690</v>
      </c>
      <c r="B854" t="s">
        <v>15</v>
      </c>
      <c r="C854" t="s">
        <v>30</v>
      </c>
      <c r="D854" t="s">
        <v>25</v>
      </c>
      <c r="E854">
        <v>23</v>
      </c>
      <c r="F854" t="s">
        <v>79</v>
      </c>
      <c r="G854" t="s">
        <v>75</v>
      </c>
      <c r="H854" t="s">
        <v>1691</v>
      </c>
      <c r="I854">
        <v>20</v>
      </c>
      <c r="J854">
        <v>27</v>
      </c>
      <c r="K854">
        <v>134226</v>
      </c>
      <c r="L854">
        <v>3.7</v>
      </c>
      <c r="M854" t="s">
        <v>43</v>
      </c>
      <c r="N854">
        <v>95</v>
      </c>
    </row>
    <row r="855" spans="1:14" x14ac:dyDescent="0.35">
      <c r="A855" t="s">
        <v>1692</v>
      </c>
      <c r="B855" t="s">
        <v>45</v>
      </c>
      <c r="C855" t="s">
        <v>52</v>
      </c>
      <c r="D855" t="s">
        <v>25</v>
      </c>
      <c r="E855">
        <v>28</v>
      </c>
      <c r="F855" t="s">
        <v>70</v>
      </c>
      <c r="G855" t="s">
        <v>71</v>
      </c>
      <c r="H855" t="s">
        <v>552</v>
      </c>
      <c r="I855">
        <v>10</v>
      </c>
      <c r="J855">
        <v>20</v>
      </c>
      <c r="K855">
        <v>107958</v>
      </c>
      <c r="L855">
        <v>2.6</v>
      </c>
      <c r="M855" t="s">
        <v>21</v>
      </c>
      <c r="N855">
        <v>45</v>
      </c>
    </row>
    <row r="856" spans="1:14" x14ac:dyDescent="0.35">
      <c r="A856" t="s">
        <v>1693</v>
      </c>
      <c r="B856" t="s">
        <v>69</v>
      </c>
      <c r="C856" t="s">
        <v>64</v>
      </c>
      <c r="D856" t="s">
        <v>25</v>
      </c>
      <c r="E856">
        <v>45</v>
      </c>
      <c r="F856" t="s">
        <v>46</v>
      </c>
      <c r="G856" t="s">
        <v>61</v>
      </c>
      <c r="H856" t="s">
        <v>1037</v>
      </c>
      <c r="I856">
        <v>3</v>
      </c>
      <c r="J856">
        <v>10</v>
      </c>
      <c r="K856">
        <v>95761</v>
      </c>
      <c r="L856">
        <v>4.4000000000000004</v>
      </c>
      <c r="M856" t="s">
        <v>21</v>
      </c>
      <c r="N856">
        <v>58</v>
      </c>
    </row>
    <row r="857" spans="1:14" x14ac:dyDescent="0.35">
      <c r="A857" t="s">
        <v>1694</v>
      </c>
      <c r="B857" t="s">
        <v>29</v>
      </c>
      <c r="C857" t="s">
        <v>82</v>
      </c>
      <c r="D857" t="s">
        <v>25</v>
      </c>
      <c r="E857">
        <v>22</v>
      </c>
      <c r="F857" t="s">
        <v>31</v>
      </c>
      <c r="G857" t="s">
        <v>19</v>
      </c>
      <c r="H857" t="s">
        <v>1695</v>
      </c>
      <c r="I857">
        <v>6</v>
      </c>
      <c r="J857">
        <v>15</v>
      </c>
      <c r="K857">
        <v>147756</v>
      </c>
      <c r="L857">
        <v>3.8</v>
      </c>
      <c r="M857" t="s">
        <v>43</v>
      </c>
      <c r="N857">
        <v>82</v>
      </c>
    </row>
    <row r="858" spans="1:14" x14ac:dyDescent="0.35">
      <c r="A858" t="s">
        <v>1696</v>
      </c>
      <c r="B858" t="s">
        <v>35</v>
      </c>
      <c r="C858" t="s">
        <v>24</v>
      </c>
      <c r="D858" t="s">
        <v>17</v>
      </c>
      <c r="E858">
        <v>59</v>
      </c>
      <c r="F858" t="s">
        <v>70</v>
      </c>
      <c r="G858" t="s">
        <v>26</v>
      </c>
      <c r="H858" t="s">
        <v>65</v>
      </c>
      <c r="I858">
        <v>20</v>
      </c>
      <c r="J858">
        <v>26</v>
      </c>
      <c r="K858">
        <v>407532</v>
      </c>
      <c r="L858">
        <v>3.4</v>
      </c>
      <c r="M858" t="s">
        <v>21</v>
      </c>
      <c r="N858">
        <v>41</v>
      </c>
    </row>
    <row r="859" spans="1:14" x14ac:dyDescent="0.35">
      <c r="A859" t="s">
        <v>1697</v>
      </c>
      <c r="B859" t="s">
        <v>111</v>
      </c>
      <c r="C859" t="s">
        <v>52</v>
      </c>
      <c r="D859" t="s">
        <v>25</v>
      </c>
      <c r="E859">
        <v>40</v>
      </c>
      <c r="F859" t="s">
        <v>31</v>
      </c>
      <c r="G859" t="s">
        <v>88</v>
      </c>
      <c r="H859" t="s">
        <v>1698</v>
      </c>
      <c r="I859">
        <v>10</v>
      </c>
      <c r="J859">
        <v>16</v>
      </c>
      <c r="K859">
        <v>346733</v>
      </c>
      <c r="L859">
        <v>3.4</v>
      </c>
      <c r="M859" t="s">
        <v>21</v>
      </c>
      <c r="N859">
        <v>64</v>
      </c>
    </row>
    <row r="860" spans="1:14" x14ac:dyDescent="0.35">
      <c r="A860" t="s">
        <v>1699</v>
      </c>
      <c r="B860" t="s">
        <v>96</v>
      </c>
      <c r="C860" t="s">
        <v>82</v>
      </c>
      <c r="D860" t="s">
        <v>17</v>
      </c>
      <c r="E860">
        <v>45</v>
      </c>
      <c r="F860" t="s">
        <v>18</v>
      </c>
      <c r="G860" t="s">
        <v>88</v>
      </c>
      <c r="H860" t="s">
        <v>762</v>
      </c>
      <c r="I860">
        <v>19</v>
      </c>
      <c r="J860">
        <v>26</v>
      </c>
      <c r="K860">
        <v>333661</v>
      </c>
      <c r="L860">
        <v>5</v>
      </c>
      <c r="M860" t="s">
        <v>43</v>
      </c>
      <c r="N860">
        <v>85</v>
      </c>
    </row>
    <row r="861" spans="1:14" x14ac:dyDescent="0.35">
      <c r="A861" t="s">
        <v>1700</v>
      </c>
      <c r="B861" t="s">
        <v>69</v>
      </c>
      <c r="C861" t="s">
        <v>16</v>
      </c>
      <c r="D861" t="s">
        <v>25</v>
      </c>
      <c r="E861">
        <v>26</v>
      </c>
      <c r="F861" t="s">
        <v>18</v>
      </c>
      <c r="G861" t="s">
        <v>32</v>
      </c>
      <c r="H861" t="s">
        <v>1701</v>
      </c>
      <c r="I861">
        <v>6</v>
      </c>
      <c r="J861">
        <v>10</v>
      </c>
      <c r="K861">
        <v>276974</v>
      </c>
      <c r="L861">
        <v>3.7</v>
      </c>
      <c r="M861" t="s">
        <v>21</v>
      </c>
      <c r="N861">
        <v>40</v>
      </c>
    </row>
    <row r="862" spans="1:14" x14ac:dyDescent="0.35">
      <c r="A862" t="s">
        <v>1702</v>
      </c>
      <c r="B862" t="s">
        <v>55</v>
      </c>
      <c r="C862" t="s">
        <v>49</v>
      </c>
      <c r="D862" t="s">
        <v>17</v>
      </c>
      <c r="E862">
        <v>50</v>
      </c>
      <c r="F862" t="s">
        <v>37</v>
      </c>
      <c r="G862" t="s">
        <v>26</v>
      </c>
      <c r="H862" t="s">
        <v>1703</v>
      </c>
      <c r="I862">
        <v>20</v>
      </c>
      <c r="J862">
        <v>23</v>
      </c>
      <c r="K862">
        <v>252963</v>
      </c>
      <c r="L862">
        <v>4.9000000000000004</v>
      </c>
      <c r="M862" t="s">
        <v>21</v>
      </c>
      <c r="N862">
        <v>35</v>
      </c>
    </row>
    <row r="863" spans="1:14" x14ac:dyDescent="0.35">
      <c r="A863" t="s">
        <v>1704</v>
      </c>
      <c r="B863" t="s">
        <v>111</v>
      </c>
      <c r="C863" t="s">
        <v>30</v>
      </c>
      <c r="D863" t="s">
        <v>17</v>
      </c>
      <c r="E863">
        <v>42</v>
      </c>
      <c r="F863" t="s">
        <v>46</v>
      </c>
      <c r="G863" t="s">
        <v>41</v>
      </c>
      <c r="H863" t="s">
        <v>1705</v>
      </c>
      <c r="I863">
        <v>16</v>
      </c>
      <c r="J863">
        <v>25</v>
      </c>
      <c r="K863">
        <v>362501</v>
      </c>
      <c r="L863">
        <v>2.7</v>
      </c>
      <c r="M863" t="s">
        <v>21</v>
      </c>
      <c r="N863">
        <v>58</v>
      </c>
    </row>
    <row r="864" spans="1:14" x14ac:dyDescent="0.35">
      <c r="A864" t="s">
        <v>1706</v>
      </c>
      <c r="B864" t="s">
        <v>35</v>
      </c>
      <c r="C864" t="s">
        <v>56</v>
      </c>
      <c r="D864" t="s">
        <v>25</v>
      </c>
      <c r="E864">
        <v>60</v>
      </c>
      <c r="F864" t="s">
        <v>79</v>
      </c>
      <c r="G864" t="s">
        <v>85</v>
      </c>
      <c r="H864" t="s">
        <v>1707</v>
      </c>
      <c r="I864">
        <v>18</v>
      </c>
      <c r="J864">
        <v>22</v>
      </c>
      <c r="K864">
        <v>488045</v>
      </c>
      <c r="L864">
        <v>3.8</v>
      </c>
      <c r="M864" t="s">
        <v>21</v>
      </c>
      <c r="N864">
        <v>46</v>
      </c>
    </row>
    <row r="865" spans="1:14" x14ac:dyDescent="0.35">
      <c r="A865" t="s">
        <v>1708</v>
      </c>
      <c r="B865" t="s">
        <v>23</v>
      </c>
      <c r="C865" t="s">
        <v>16</v>
      </c>
      <c r="D865" t="s">
        <v>17</v>
      </c>
      <c r="E865">
        <v>49</v>
      </c>
      <c r="F865" t="s">
        <v>79</v>
      </c>
      <c r="G865" t="s">
        <v>61</v>
      </c>
      <c r="H865" t="s">
        <v>1709</v>
      </c>
      <c r="I865">
        <v>5</v>
      </c>
      <c r="J865">
        <v>7</v>
      </c>
      <c r="K865">
        <v>51147</v>
      </c>
      <c r="L865">
        <v>5</v>
      </c>
      <c r="M865" t="s">
        <v>21</v>
      </c>
      <c r="N865">
        <v>43</v>
      </c>
    </row>
    <row r="866" spans="1:14" x14ac:dyDescent="0.35">
      <c r="A866" t="s">
        <v>1710</v>
      </c>
      <c r="B866" t="s">
        <v>78</v>
      </c>
      <c r="C866" t="s">
        <v>64</v>
      </c>
      <c r="D866" t="s">
        <v>17</v>
      </c>
      <c r="E866">
        <v>55</v>
      </c>
      <c r="F866" t="s">
        <v>31</v>
      </c>
      <c r="G866" t="s">
        <v>88</v>
      </c>
      <c r="H866" t="s">
        <v>1711</v>
      </c>
      <c r="I866">
        <v>12</v>
      </c>
      <c r="J866">
        <v>20</v>
      </c>
      <c r="K866">
        <v>261308</v>
      </c>
      <c r="L866">
        <v>3.1</v>
      </c>
      <c r="M866" t="s">
        <v>21</v>
      </c>
      <c r="N866">
        <v>38</v>
      </c>
    </row>
    <row r="867" spans="1:14" x14ac:dyDescent="0.35">
      <c r="A867" t="s">
        <v>1712</v>
      </c>
      <c r="B867" t="s">
        <v>23</v>
      </c>
      <c r="C867" t="s">
        <v>16</v>
      </c>
      <c r="D867" t="s">
        <v>17</v>
      </c>
      <c r="E867">
        <v>34</v>
      </c>
      <c r="F867" t="s">
        <v>37</v>
      </c>
      <c r="G867" t="s">
        <v>32</v>
      </c>
      <c r="H867" t="s">
        <v>1713</v>
      </c>
      <c r="I867">
        <v>1</v>
      </c>
      <c r="J867">
        <v>2</v>
      </c>
      <c r="K867">
        <v>215520</v>
      </c>
      <c r="L867">
        <v>2.6</v>
      </c>
      <c r="M867" t="s">
        <v>43</v>
      </c>
      <c r="N867">
        <v>81</v>
      </c>
    </row>
    <row r="868" spans="1:14" x14ac:dyDescent="0.35">
      <c r="A868" t="s">
        <v>1714</v>
      </c>
      <c r="B868" t="s">
        <v>35</v>
      </c>
      <c r="C868" t="s">
        <v>49</v>
      </c>
      <c r="D868" t="s">
        <v>25</v>
      </c>
      <c r="E868">
        <v>45</v>
      </c>
      <c r="F868" t="s">
        <v>70</v>
      </c>
      <c r="G868" t="s">
        <v>75</v>
      </c>
      <c r="H868" t="s">
        <v>1715</v>
      </c>
      <c r="I868">
        <v>5</v>
      </c>
      <c r="J868">
        <v>11</v>
      </c>
      <c r="K868">
        <v>452725</v>
      </c>
      <c r="L868">
        <v>3.3</v>
      </c>
      <c r="M868" t="s">
        <v>21</v>
      </c>
      <c r="N868">
        <v>57</v>
      </c>
    </row>
    <row r="869" spans="1:14" x14ac:dyDescent="0.35">
      <c r="A869" t="s">
        <v>1716</v>
      </c>
      <c r="B869" t="s">
        <v>69</v>
      </c>
      <c r="C869" t="s">
        <v>93</v>
      </c>
      <c r="D869" t="s">
        <v>25</v>
      </c>
      <c r="E869">
        <v>36</v>
      </c>
      <c r="F869" t="s">
        <v>74</v>
      </c>
      <c r="G869" t="s">
        <v>71</v>
      </c>
      <c r="H869" t="s">
        <v>1717</v>
      </c>
      <c r="I869">
        <v>17</v>
      </c>
      <c r="J869">
        <v>21</v>
      </c>
      <c r="K869">
        <v>241361</v>
      </c>
      <c r="L869">
        <v>3.8</v>
      </c>
      <c r="M869" t="s">
        <v>43</v>
      </c>
      <c r="N869">
        <v>85</v>
      </c>
    </row>
    <row r="870" spans="1:14" x14ac:dyDescent="0.35">
      <c r="A870" t="s">
        <v>1718</v>
      </c>
      <c r="B870" t="s">
        <v>29</v>
      </c>
      <c r="C870" t="s">
        <v>30</v>
      </c>
      <c r="D870" t="s">
        <v>17</v>
      </c>
      <c r="E870">
        <v>31</v>
      </c>
      <c r="F870" t="s">
        <v>46</v>
      </c>
      <c r="G870" t="s">
        <v>71</v>
      </c>
      <c r="H870" t="s">
        <v>1719</v>
      </c>
      <c r="I870">
        <v>1</v>
      </c>
      <c r="J870">
        <v>1</v>
      </c>
      <c r="K870">
        <v>95526</v>
      </c>
      <c r="L870">
        <v>4.0999999999999996</v>
      </c>
      <c r="M870" t="s">
        <v>21</v>
      </c>
      <c r="N870">
        <v>43</v>
      </c>
    </row>
    <row r="871" spans="1:14" x14ac:dyDescent="0.35">
      <c r="A871" t="s">
        <v>1720</v>
      </c>
      <c r="B871" t="s">
        <v>96</v>
      </c>
      <c r="C871" t="s">
        <v>16</v>
      </c>
      <c r="D871" t="s">
        <v>25</v>
      </c>
      <c r="E871">
        <v>25</v>
      </c>
      <c r="F871" t="s">
        <v>74</v>
      </c>
      <c r="G871" t="s">
        <v>88</v>
      </c>
      <c r="H871" t="s">
        <v>1721</v>
      </c>
      <c r="I871">
        <v>8</v>
      </c>
      <c r="J871">
        <v>14</v>
      </c>
      <c r="K871">
        <v>484837</v>
      </c>
      <c r="L871">
        <v>4.3</v>
      </c>
      <c r="M871" t="s">
        <v>43</v>
      </c>
      <c r="N871">
        <v>96</v>
      </c>
    </row>
    <row r="872" spans="1:14" x14ac:dyDescent="0.35">
      <c r="A872" t="s">
        <v>1722</v>
      </c>
      <c r="B872" t="s">
        <v>40</v>
      </c>
      <c r="C872" t="s">
        <v>93</v>
      </c>
      <c r="D872" t="s">
        <v>25</v>
      </c>
      <c r="E872">
        <v>55</v>
      </c>
      <c r="F872" t="s">
        <v>31</v>
      </c>
      <c r="G872" t="s">
        <v>26</v>
      </c>
      <c r="H872" t="s">
        <v>1723</v>
      </c>
      <c r="I872">
        <v>10</v>
      </c>
      <c r="J872">
        <v>16</v>
      </c>
      <c r="K872">
        <v>55486</v>
      </c>
      <c r="L872">
        <v>3.2</v>
      </c>
      <c r="M872" t="s">
        <v>43</v>
      </c>
      <c r="N872">
        <v>85</v>
      </c>
    </row>
    <row r="873" spans="1:14" x14ac:dyDescent="0.35">
      <c r="A873" t="s">
        <v>1724</v>
      </c>
      <c r="B873" t="s">
        <v>60</v>
      </c>
      <c r="C873" t="s">
        <v>49</v>
      </c>
      <c r="D873" t="s">
        <v>17</v>
      </c>
      <c r="E873">
        <v>33</v>
      </c>
      <c r="F873" t="s">
        <v>31</v>
      </c>
      <c r="G873" t="s">
        <v>61</v>
      </c>
      <c r="H873" t="s">
        <v>1725</v>
      </c>
      <c r="I873">
        <v>18</v>
      </c>
      <c r="J873">
        <v>27</v>
      </c>
      <c r="K873">
        <v>111282</v>
      </c>
      <c r="L873">
        <v>3.7</v>
      </c>
      <c r="M873" t="s">
        <v>21</v>
      </c>
      <c r="N873">
        <v>51</v>
      </c>
    </row>
    <row r="874" spans="1:14" x14ac:dyDescent="0.35">
      <c r="A874" t="s">
        <v>1726</v>
      </c>
      <c r="B874" t="s">
        <v>55</v>
      </c>
      <c r="C874" t="s">
        <v>30</v>
      </c>
      <c r="D874" t="s">
        <v>17</v>
      </c>
      <c r="E874">
        <v>39</v>
      </c>
      <c r="F874" t="s">
        <v>74</v>
      </c>
      <c r="G874" t="s">
        <v>19</v>
      </c>
      <c r="H874" t="s">
        <v>1727</v>
      </c>
      <c r="I874">
        <v>15</v>
      </c>
      <c r="J874">
        <v>23</v>
      </c>
      <c r="K874">
        <v>441492</v>
      </c>
      <c r="L874">
        <v>2.5</v>
      </c>
      <c r="M874" t="s">
        <v>43</v>
      </c>
      <c r="N874">
        <v>71</v>
      </c>
    </row>
    <row r="875" spans="1:14" x14ac:dyDescent="0.35">
      <c r="A875" t="s">
        <v>1728</v>
      </c>
      <c r="B875" t="s">
        <v>29</v>
      </c>
      <c r="C875" t="s">
        <v>64</v>
      </c>
      <c r="D875" t="s">
        <v>25</v>
      </c>
      <c r="E875">
        <v>30</v>
      </c>
      <c r="F875" t="s">
        <v>31</v>
      </c>
      <c r="G875" t="s">
        <v>61</v>
      </c>
      <c r="H875" t="s">
        <v>1729</v>
      </c>
      <c r="I875">
        <v>1</v>
      </c>
      <c r="J875">
        <v>4</v>
      </c>
      <c r="K875">
        <v>364133</v>
      </c>
      <c r="L875">
        <v>3.5</v>
      </c>
      <c r="M875" t="s">
        <v>43</v>
      </c>
      <c r="N875">
        <v>77</v>
      </c>
    </row>
    <row r="876" spans="1:14" x14ac:dyDescent="0.35">
      <c r="A876" t="s">
        <v>1730</v>
      </c>
      <c r="B876" t="s">
        <v>111</v>
      </c>
      <c r="C876" t="s">
        <v>64</v>
      </c>
      <c r="D876" t="s">
        <v>25</v>
      </c>
      <c r="E876">
        <v>49</v>
      </c>
      <c r="F876" t="s">
        <v>79</v>
      </c>
      <c r="G876" t="s">
        <v>71</v>
      </c>
      <c r="H876" t="s">
        <v>1731</v>
      </c>
      <c r="I876">
        <v>10</v>
      </c>
      <c r="J876">
        <v>14</v>
      </c>
      <c r="K876">
        <v>419442</v>
      </c>
      <c r="L876">
        <v>4.3</v>
      </c>
      <c r="M876" t="s">
        <v>21</v>
      </c>
      <c r="N876">
        <v>40</v>
      </c>
    </row>
    <row r="877" spans="1:14" x14ac:dyDescent="0.35">
      <c r="A877" t="s">
        <v>1732</v>
      </c>
      <c r="B877" t="s">
        <v>45</v>
      </c>
      <c r="C877" t="s">
        <v>93</v>
      </c>
      <c r="D877" t="s">
        <v>25</v>
      </c>
      <c r="E877">
        <v>44</v>
      </c>
      <c r="F877" t="s">
        <v>18</v>
      </c>
      <c r="G877" t="s">
        <v>26</v>
      </c>
      <c r="H877" t="s">
        <v>1733</v>
      </c>
      <c r="I877">
        <v>19</v>
      </c>
      <c r="J877">
        <v>25</v>
      </c>
      <c r="K877">
        <v>51694</v>
      </c>
      <c r="L877">
        <v>3</v>
      </c>
      <c r="M877" t="s">
        <v>43</v>
      </c>
      <c r="N877">
        <v>92</v>
      </c>
    </row>
    <row r="878" spans="1:14" x14ac:dyDescent="0.35">
      <c r="A878" t="s">
        <v>1734</v>
      </c>
      <c r="B878" t="s">
        <v>60</v>
      </c>
      <c r="C878" t="s">
        <v>49</v>
      </c>
      <c r="D878" t="s">
        <v>17</v>
      </c>
      <c r="E878">
        <v>41</v>
      </c>
      <c r="F878" t="s">
        <v>37</v>
      </c>
      <c r="G878" t="s">
        <v>61</v>
      </c>
      <c r="H878" t="s">
        <v>1735</v>
      </c>
      <c r="I878">
        <v>20</v>
      </c>
      <c r="J878">
        <v>25</v>
      </c>
      <c r="K878">
        <v>233631</v>
      </c>
      <c r="L878">
        <v>3.2</v>
      </c>
      <c r="M878" t="s">
        <v>43</v>
      </c>
      <c r="N878">
        <v>91</v>
      </c>
    </row>
    <row r="879" spans="1:14" x14ac:dyDescent="0.35">
      <c r="A879" t="s">
        <v>1736</v>
      </c>
      <c r="B879" t="s">
        <v>111</v>
      </c>
      <c r="C879" t="s">
        <v>56</v>
      </c>
      <c r="D879" t="s">
        <v>17</v>
      </c>
      <c r="E879">
        <v>47</v>
      </c>
      <c r="F879" t="s">
        <v>79</v>
      </c>
      <c r="G879" t="s">
        <v>71</v>
      </c>
      <c r="H879" t="s">
        <v>1737</v>
      </c>
      <c r="I879">
        <v>10</v>
      </c>
      <c r="J879">
        <v>19</v>
      </c>
      <c r="K879">
        <v>225196</v>
      </c>
      <c r="L879">
        <v>3.1</v>
      </c>
      <c r="M879" t="s">
        <v>21</v>
      </c>
      <c r="N879">
        <v>36</v>
      </c>
    </row>
    <row r="880" spans="1:14" x14ac:dyDescent="0.35">
      <c r="A880" t="s">
        <v>1738</v>
      </c>
      <c r="B880" t="s">
        <v>60</v>
      </c>
      <c r="C880" t="s">
        <v>56</v>
      </c>
      <c r="D880" t="s">
        <v>25</v>
      </c>
      <c r="E880">
        <v>58</v>
      </c>
      <c r="F880" t="s">
        <v>70</v>
      </c>
      <c r="G880" t="s">
        <v>41</v>
      </c>
      <c r="H880" t="s">
        <v>1739</v>
      </c>
      <c r="I880">
        <v>9</v>
      </c>
      <c r="J880">
        <v>16</v>
      </c>
      <c r="K880">
        <v>476729</v>
      </c>
      <c r="L880">
        <v>4.3</v>
      </c>
      <c r="M880" t="s">
        <v>43</v>
      </c>
      <c r="N880">
        <v>89</v>
      </c>
    </row>
    <row r="881" spans="1:14" x14ac:dyDescent="0.35">
      <c r="A881" t="s">
        <v>1740</v>
      </c>
      <c r="B881" t="s">
        <v>23</v>
      </c>
      <c r="C881" t="s">
        <v>93</v>
      </c>
      <c r="D881" t="s">
        <v>25</v>
      </c>
      <c r="E881">
        <v>57</v>
      </c>
      <c r="F881" t="s">
        <v>70</v>
      </c>
      <c r="G881" t="s">
        <v>85</v>
      </c>
      <c r="H881" t="s">
        <v>1741</v>
      </c>
      <c r="I881">
        <v>1</v>
      </c>
      <c r="J881">
        <v>2</v>
      </c>
      <c r="K881">
        <v>319201</v>
      </c>
      <c r="L881">
        <v>3.6</v>
      </c>
      <c r="M881" t="s">
        <v>21</v>
      </c>
      <c r="N881">
        <v>34</v>
      </c>
    </row>
    <row r="882" spans="1:14" x14ac:dyDescent="0.35">
      <c r="A882" t="s">
        <v>1742</v>
      </c>
      <c r="B882" t="s">
        <v>40</v>
      </c>
      <c r="C882" t="s">
        <v>93</v>
      </c>
      <c r="D882" t="s">
        <v>17</v>
      </c>
      <c r="E882">
        <v>27</v>
      </c>
      <c r="F882" t="s">
        <v>18</v>
      </c>
      <c r="G882" t="s">
        <v>19</v>
      </c>
      <c r="H882" t="s">
        <v>1743</v>
      </c>
      <c r="I882">
        <v>12</v>
      </c>
      <c r="J882">
        <v>13</v>
      </c>
      <c r="K882">
        <v>322316</v>
      </c>
      <c r="L882">
        <v>3</v>
      </c>
      <c r="M882" t="s">
        <v>43</v>
      </c>
      <c r="N882">
        <v>76</v>
      </c>
    </row>
    <row r="883" spans="1:14" x14ac:dyDescent="0.35">
      <c r="A883" t="s">
        <v>1744</v>
      </c>
      <c r="B883" t="s">
        <v>15</v>
      </c>
      <c r="C883" t="s">
        <v>52</v>
      </c>
      <c r="D883" t="s">
        <v>25</v>
      </c>
      <c r="E883">
        <v>42</v>
      </c>
      <c r="F883" t="s">
        <v>37</v>
      </c>
      <c r="G883" t="s">
        <v>57</v>
      </c>
      <c r="H883" t="s">
        <v>1745</v>
      </c>
      <c r="I883">
        <v>15</v>
      </c>
      <c r="J883">
        <v>20</v>
      </c>
      <c r="K883">
        <v>106981</v>
      </c>
      <c r="L883">
        <v>3.6</v>
      </c>
      <c r="M883" t="s">
        <v>43</v>
      </c>
      <c r="N883">
        <v>98</v>
      </c>
    </row>
    <row r="884" spans="1:14" x14ac:dyDescent="0.35">
      <c r="A884" t="s">
        <v>1746</v>
      </c>
      <c r="B884" t="s">
        <v>40</v>
      </c>
      <c r="C884" t="s">
        <v>30</v>
      </c>
      <c r="D884" t="s">
        <v>17</v>
      </c>
      <c r="E884">
        <v>34</v>
      </c>
      <c r="F884" t="s">
        <v>37</v>
      </c>
      <c r="G884" t="s">
        <v>19</v>
      </c>
      <c r="H884" t="s">
        <v>1747</v>
      </c>
      <c r="I884">
        <v>4</v>
      </c>
      <c r="J884">
        <v>10</v>
      </c>
      <c r="K884">
        <v>415352</v>
      </c>
      <c r="L884">
        <v>3.7</v>
      </c>
      <c r="M884" t="s">
        <v>43</v>
      </c>
      <c r="N884">
        <v>80</v>
      </c>
    </row>
    <row r="885" spans="1:14" x14ac:dyDescent="0.35">
      <c r="A885" t="s">
        <v>1748</v>
      </c>
      <c r="B885" t="s">
        <v>96</v>
      </c>
      <c r="C885" t="s">
        <v>64</v>
      </c>
      <c r="D885" t="s">
        <v>25</v>
      </c>
      <c r="E885">
        <v>33</v>
      </c>
      <c r="F885" t="s">
        <v>37</v>
      </c>
      <c r="G885" t="s">
        <v>75</v>
      </c>
      <c r="H885" t="s">
        <v>1749</v>
      </c>
      <c r="I885">
        <v>18</v>
      </c>
      <c r="J885">
        <v>28</v>
      </c>
      <c r="K885">
        <v>367385</v>
      </c>
      <c r="L885">
        <v>3.3</v>
      </c>
      <c r="M885" t="s">
        <v>21</v>
      </c>
      <c r="N885">
        <v>51</v>
      </c>
    </row>
    <row r="886" spans="1:14" x14ac:dyDescent="0.35">
      <c r="A886" t="s">
        <v>1750</v>
      </c>
      <c r="B886" t="s">
        <v>55</v>
      </c>
      <c r="C886" t="s">
        <v>36</v>
      </c>
      <c r="D886" t="s">
        <v>25</v>
      </c>
      <c r="E886">
        <v>55</v>
      </c>
      <c r="F886" t="s">
        <v>74</v>
      </c>
      <c r="G886" t="s">
        <v>41</v>
      </c>
      <c r="H886" t="s">
        <v>1751</v>
      </c>
      <c r="I886">
        <v>14</v>
      </c>
      <c r="J886">
        <v>19</v>
      </c>
      <c r="K886">
        <v>434548</v>
      </c>
      <c r="L886">
        <v>3.8</v>
      </c>
      <c r="M886" t="s">
        <v>21</v>
      </c>
      <c r="N886">
        <v>68</v>
      </c>
    </row>
    <row r="887" spans="1:14" x14ac:dyDescent="0.35">
      <c r="A887" t="s">
        <v>1752</v>
      </c>
      <c r="B887" t="s">
        <v>23</v>
      </c>
      <c r="C887" t="s">
        <v>16</v>
      </c>
      <c r="D887" t="s">
        <v>17</v>
      </c>
      <c r="E887">
        <v>36</v>
      </c>
      <c r="F887" t="s">
        <v>79</v>
      </c>
      <c r="G887" t="s">
        <v>41</v>
      </c>
      <c r="H887" t="s">
        <v>1753</v>
      </c>
      <c r="I887">
        <v>3</v>
      </c>
      <c r="J887">
        <v>3</v>
      </c>
      <c r="K887">
        <v>341557</v>
      </c>
      <c r="L887">
        <v>2.1</v>
      </c>
      <c r="M887" t="s">
        <v>21</v>
      </c>
      <c r="N887">
        <v>45</v>
      </c>
    </row>
    <row r="888" spans="1:14" x14ac:dyDescent="0.35">
      <c r="A888" t="s">
        <v>1754</v>
      </c>
      <c r="B888" t="s">
        <v>35</v>
      </c>
      <c r="C888" t="s">
        <v>56</v>
      </c>
      <c r="D888" t="s">
        <v>25</v>
      </c>
      <c r="E888">
        <v>34</v>
      </c>
      <c r="F888" t="s">
        <v>79</v>
      </c>
      <c r="G888" t="s">
        <v>26</v>
      </c>
      <c r="H888" t="s">
        <v>1755</v>
      </c>
      <c r="I888">
        <v>9</v>
      </c>
      <c r="J888">
        <v>10</v>
      </c>
      <c r="K888">
        <v>419546</v>
      </c>
      <c r="L888">
        <v>2.5</v>
      </c>
      <c r="M888" t="s">
        <v>43</v>
      </c>
      <c r="N888">
        <v>76</v>
      </c>
    </row>
    <row r="889" spans="1:14" x14ac:dyDescent="0.35">
      <c r="A889" t="s">
        <v>1756</v>
      </c>
      <c r="B889" t="s">
        <v>69</v>
      </c>
      <c r="C889" t="s">
        <v>36</v>
      </c>
      <c r="D889" t="s">
        <v>17</v>
      </c>
      <c r="E889">
        <v>31</v>
      </c>
      <c r="F889" t="s">
        <v>46</v>
      </c>
      <c r="G889" t="s">
        <v>41</v>
      </c>
      <c r="H889" t="s">
        <v>919</v>
      </c>
      <c r="I889">
        <v>19</v>
      </c>
      <c r="J889">
        <v>23</v>
      </c>
      <c r="K889">
        <v>148803</v>
      </c>
      <c r="L889">
        <v>3.7</v>
      </c>
      <c r="M889" t="s">
        <v>21</v>
      </c>
      <c r="N889">
        <v>47</v>
      </c>
    </row>
    <row r="890" spans="1:14" x14ac:dyDescent="0.35">
      <c r="A890" t="s">
        <v>1757</v>
      </c>
      <c r="B890" t="s">
        <v>15</v>
      </c>
      <c r="C890" t="s">
        <v>56</v>
      </c>
      <c r="D890" t="s">
        <v>17</v>
      </c>
      <c r="E890">
        <v>54</v>
      </c>
      <c r="F890" t="s">
        <v>37</v>
      </c>
      <c r="G890" t="s">
        <v>32</v>
      </c>
      <c r="H890" t="s">
        <v>1758</v>
      </c>
      <c r="I890">
        <v>0</v>
      </c>
      <c r="J890">
        <v>10</v>
      </c>
      <c r="K890">
        <v>164917</v>
      </c>
      <c r="L890">
        <v>3.8</v>
      </c>
      <c r="M890" t="s">
        <v>21</v>
      </c>
      <c r="N890">
        <v>50</v>
      </c>
    </row>
    <row r="891" spans="1:14" x14ac:dyDescent="0.35">
      <c r="A891" t="s">
        <v>1759</v>
      </c>
      <c r="B891" t="s">
        <v>69</v>
      </c>
      <c r="C891" t="s">
        <v>36</v>
      </c>
      <c r="D891" t="s">
        <v>25</v>
      </c>
      <c r="E891">
        <v>29</v>
      </c>
      <c r="F891" t="s">
        <v>46</v>
      </c>
      <c r="G891" t="s">
        <v>71</v>
      </c>
      <c r="H891" t="s">
        <v>1760</v>
      </c>
      <c r="I891">
        <v>14</v>
      </c>
      <c r="J891">
        <v>16</v>
      </c>
      <c r="K891">
        <v>205135</v>
      </c>
      <c r="L891">
        <v>2.1</v>
      </c>
      <c r="M891" t="s">
        <v>43</v>
      </c>
      <c r="N891">
        <v>78</v>
      </c>
    </row>
    <row r="892" spans="1:14" x14ac:dyDescent="0.35">
      <c r="A892" t="s">
        <v>1761</v>
      </c>
      <c r="B892" t="s">
        <v>45</v>
      </c>
      <c r="C892" t="s">
        <v>52</v>
      </c>
      <c r="D892" t="s">
        <v>25</v>
      </c>
      <c r="E892">
        <v>24</v>
      </c>
      <c r="F892" t="s">
        <v>79</v>
      </c>
      <c r="G892" t="s">
        <v>85</v>
      </c>
      <c r="H892" t="s">
        <v>1762</v>
      </c>
      <c r="I892">
        <v>20</v>
      </c>
      <c r="J892">
        <v>24</v>
      </c>
      <c r="K892">
        <v>386594</v>
      </c>
      <c r="L892">
        <v>4</v>
      </c>
      <c r="M892" t="s">
        <v>21</v>
      </c>
      <c r="N892">
        <v>62</v>
      </c>
    </row>
    <row r="893" spans="1:14" x14ac:dyDescent="0.35">
      <c r="A893" t="s">
        <v>1763</v>
      </c>
      <c r="B893" t="s">
        <v>29</v>
      </c>
      <c r="C893" t="s">
        <v>30</v>
      </c>
      <c r="D893" t="s">
        <v>17</v>
      </c>
      <c r="E893">
        <v>54</v>
      </c>
      <c r="F893" t="s">
        <v>79</v>
      </c>
      <c r="G893" t="s">
        <v>71</v>
      </c>
      <c r="H893" t="s">
        <v>1764</v>
      </c>
      <c r="I893">
        <v>2</v>
      </c>
      <c r="J893">
        <v>5</v>
      </c>
      <c r="K893">
        <v>69119</v>
      </c>
      <c r="L893">
        <v>4.7</v>
      </c>
      <c r="M893" t="s">
        <v>21</v>
      </c>
      <c r="N893">
        <v>36</v>
      </c>
    </row>
    <row r="894" spans="1:14" x14ac:dyDescent="0.35">
      <c r="A894" t="s">
        <v>1765</v>
      </c>
      <c r="B894" t="s">
        <v>45</v>
      </c>
      <c r="C894" t="s">
        <v>30</v>
      </c>
      <c r="D894" t="s">
        <v>17</v>
      </c>
      <c r="E894">
        <v>27</v>
      </c>
      <c r="F894" t="s">
        <v>79</v>
      </c>
      <c r="G894" t="s">
        <v>85</v>
      </c>
      <c r="H894" t="s">
        <v>693</v>
      </c>
      <c r="I894">
        <v>3</v>
      </c>
      <c r="J894">
        <v>5</v>
      </c>
      <c r="K894">
        <v>173985</v>
      </c>
      <c r="L894">
        <v>3.6</v>
      </c>
      <c r="M894" t="s">
        <v>43</v>
      </c>
      <c r="N894">
        <v>95</v>
      </c>
    </row>
    <row r="895" spans="1:14" x14ac:dyDescent="0.35">
      <c r="A895" t="s">
        <v>1766</v>
      </c>
      <c r="B895" t="s">
        <v>78</v>
      </c>
      <c r="C895" t="s">
        <v>16</v>
      </c>
      <c r="D895" t="s">
        <v>17</v>
      </c>
      <c r="E895">
        <v>58</v>
      </c>
      <c r="F895" t="s">
        <v>74</v>
      </c>
      <c r="G895" t="s">
        <v>71</v>
      </c>
      <c r="H895" t="s">
        <v>1767</v>
      </c>
      <c r="I895">
        <v>12</v>
      </c>
      <c r="J895">
        <v>14</v>
      </c>
      <c r="K895">
        <v>235678</v>
      </c>
      <c r="L895">
        <v>4.9000000000000004</v>
      </c>
      <c r="M895" t="s">
        <v>43</v>
      </c>
      <c r="N895">
        <v>99</v>
      </c>
    </row>
    <row r="896" spans="1:14" x14ac:dyDescent="0.35">
      <c r="A896" t="s">
        <v>1768</v>
      </c>
      <c r="B896" t="s">
        <v>35</v>
      </c>
      <c r="C896" t="s">
        <v>82</v>
      </c>
      <c r="D896" t="s">
        <v>17</v>
      </c>
      <c r="E896">
        <v>59</v>
      </c>
      <c r="F896" t="s">
        <v>46</v>
      </c>
      <c r="G896" t="s">
        <v>57</v>
      </c>
      <c r="H896" t="s">
        <v>1769</v>
      </c>
      <c r="I896">
        <v>9</v>
      </c>
      <c r="J896">
        <v>12</v>
      </c>
      <c r="K896">
        <v>371253</v>
      </c>
      <c r="L896">
        <v>3.8</v>
      </c>
      <c r="M896" t="s">
        <v>21</v>
      </c>
      <c r="N896">
        <v>67</v>
      </c>
    </row>
    <row r="897" spans="1:14" x14ac:dyDescent="0.35">
      <c r="A897" t="s">
        <v>1770</v>
      </c>
      <c r="B897" t="s">
        <v>45</v>
      </c>
      <c r="C897" t="s">
        <v>93</v>
      </c>
      <c r="D897" t="s">
        <v>17</v>
      </c>
      <c r="E897">
        <v>38</v>
      </c>
      <c r="F897" t="s">
        <v>31</v>
      </c>
      <c r="G897" t="s">
        <v>85</v>
      </c>
      <c r="H897" t="s">
        <v>1771</v>
      </c>
      <c r="I897">
        <v>17</v>
      </c>
      <c r="J897">
        <v>25</v>
      </c>
      <c r="K897">
        <v>380884</v>
      </c>
      <c r="L897">
        <v>2.7</v>
      </c>
      <c r="M897" t="s">
        <v>43</v>
      </c>
      <c r="N897">
        <v>76</v>
      </c>
    </row>
    <row r="898" spans="1:14" x14ac:dyDescent="0.35">
      <c r="A898" t="s">
        <v>1772</v>
      </c>
      <c r="B898" t="s">
        <v>69</v>
      </c>
      <c r="C898" t="s">
        <v>56</v>
      </c>
      <c r="D898" t="s">
        <v>25</v>
      </c>
      <c r="E898">
        <v>22</v>
      </c>
      <c r="F898" t="s">
        <v>79</v>
      </c>
      <c r="G898" t="s">
        <v>19</v>
      </c>
      <c r="H898" t="s">
        <v>1309</v>
      </c>
      <c r="I898">
        <v>4</v>
      </c>
      <c r="J898">
        <v>9</v>
      </c>
      <c r="K898">
        <v>377337</v>
      </c>
      <c r="L898">
        <v>2.4</v>
      </c>
      <c r="M898" t="s">
        <v>21</v>
      </c>
      <c r="N898">
        <v>67</v>
      </c>
    </row>
    <row r="899" spans="1:14" x14ac:dyDescent="0.35">
      <c r="A899" t="s">
        <v>1773</v>
      </c>
      <c r="B899" t="s">
        <v>55</v>
      </c>
      <c r="C899" t="s">
        <v>52</v>
      </c>
      <c r="D899" t="s">
        <v>17</v>
      </c>
      <c r="E899">
        <v>37</v>
      </c>
      <c r="F899" t="s">
        <v>31</v>
      </c>
      <c r="G899" t="s">
        <v>75</v>
      </c>
      <c r="H899" t="s">
        <v>1021</v>
      </c>
      <c r="I899">
        <v>4</v>
      </c>
      <c r="J899">
        <v>4</v>
      </c>
      <c r="K899">
        <v>382921</v>
      </c>
      <c r="L899">
        <v>3.7</v>
      </c>
      <c r="M899" t="s">
        <v>21</v>
      </c>
      <c r="N899">
        <v>61</v>
      </c>
    </row>
    <row r="900" spans="1:14" x14ac:dyDescent="0.35">
      <c r="A900" t="s">
        <v>1774</v>
      </c>
      <c r="B900" t="s">
        <v>96</v>
      </c>
      <c r="C900" t="s">
        <v>52</v>
      </c>
      <c r="D900" t="s">
        <v>17</v>
      </c>
      <c r="E900">
        <v>35</v>
      </c>
      <c r="F900" t="s">
        <v>74</v>
      </c>
      <c r="G900" t="s">
        <v>26</v>
      </c>
      <c r="H900" t="s">
        <v>1775</v>
      </c>
      <c r="I900">
        <v>12</v>
      </c>
      <c r="J900">
        <v>21</v>
      </c>
      <c r="K900">
        <v>407436</v>
      </c>
      <c r="L900">
        <v>4.5</v>
      </c>
      <c r="M900" t="s">
        <v>43</v>
      </c>
      <c r="N900">
        <v>88</v>
      </c>
    </row>
    <row r="901" spans="1:14" x14ac:dyDescent="0.35">
      <c r="A901" t="s">
        <v>1776</v>
      </c>
      <c r="B901" t="s">
        <v>23</v>
      </c>
      <c r="C901" t="s">
        <v>36</v>
      </c>
      <c r="D901" t="s">
        <v>17</v>
      </c>
      <c r="E901">
        <v>23</v>
      </c>
      <c r="F901" t="s">
        <v>31</v>
      </c>
      <c r="G901" t="s">
        <v>32</v>
      </c>
      <c r="H901" t="s">
        <v>1777</v>
      </c>
      <c r="I901">
        <v>10</v>
      </c>
      <c r="J901">
        <v>14</v>
      </c>
      <c r="K901">
        <v>93536</v>
      </c>
      <c r="L901">
        <v>3.5</v>
      </c>
      <c r="M901" t="s">
        <v>43</v>
      </c>
      <c r="N901">
        <v>77</v>
      </c>
    </row>
    <row r="902" spans="1:14" x14ac:dyDescent="0.35">
      <c r="A902" t="s">
        <v>1778</v>
      </c>
      <c r="B902" t="s">
        <v>96</v>
      </c>
      <c r="C902" t="s">
        <v>24</v>
      </c>
      <c r="D902" t="s">
        <v>25</v>
      </c>
      <c r="E902">
        <v>40</v>
      </c>
      <c r="F902" t="s">
        <v>31</v>
      </c>
      <c r="G902" t="s">
        <v>88</v>
      </c>
      <c r="H902" t="s">
        <v>1779</v>
      </c>
      <c r="I902">
        <v>19</v>
      </c>
      <c r="J902">
        <v>28</v>
      </c>
      <c r="K902">
        <v>160209</v>
      </c>
      <c r="L902">
        <v>3.3</v>
      </c>
      <c r="M902" t="s">
        <v>21</v>
      </c>
      <c r="N902">
        <v>55</v>
      </c>
    </row>
    <row r="903" spans="1:14" x14ac:dyDescent="0.35">
      <c r="A903" t="s">
        <v>1780</v>
      </c>
      <c r="B903" t="s">
        <v>45</v>
      </c>
      <c r="C903" t="s">
        <v>64</v>
      </c>
      <c r="D903" t="s">
        <v>17</v>
      </c>
      <c r="E903">
        <v>33</v>
      </c>
      <c r="F903" t="s">
        <v>74</v>
      </c>
      <c r="G903" t="s">
        <v>75</v>
      </c>
      <c r="H903" t="s">
        <v>1781</v>
      </c>
      <c r="I903">
        <v>18</v>
      </c>
      <c r="J903">
        <v>27</v>
      </c>
      <c r="K903">
        <v>381895</v>
      </c>
      <c r="L903">
        <v>4.7</v>
      </c>
      <c r="M903" t="s">
        <v>43</v>
      </c>
      <c r="N903">
        <v>82</v>
      </c>
    </row>
    <row r="904" spans="1:14" x14ac:dyDescent="0.35">
      <c r="A904" t="s">
        <v>1782</v>
      </c>
      <c r="B904" t="s">
        <v>78</v>
      </c>
      <c r="C904" t="s">
        <v>49</v>
      </c>
      <c r="D904" t="s">
        <v>25</v>
      </c>
      <c r="E904">
        <v>43</v>
      </c>
      <c r="F904" t="s">
        <v>70</v>
      </c>
      <c r="G904" t="s">
        <v>71</v>
      </c>
      <c r="H904" t="s">
        <v>1783</v>
      </c>
      <c r="I904">
        <v>14</v>
      </c>
      <c r="J904">
        <v>22</v>
      </c>
      <c r="K904">
        <v>207667</v>
      </c>
      <c r="L904">
        <v>2.7</v>
      </c>
      <c r="M904" t="s">
        <v>21</v>
      </c>
      <c r="N904">
        <v>59</v>
      </c>
    </row>
    <row r="905" spans="1:14" x14ac:dyDescent="0.35">
      <c r="A905" t="s">
        <v>1784</v>
      </c>
      <c r="B905" t="s">
        <v>78</v>
      </c>
      <c r="C905" t="s">
        <v>36</v>
      </c>
      <c r="D905" t="s">
        <v>25</v>
      </c>
      <c r="E905">
        <v>26</v>
      </c>
      <c r="F905" t="s">
        <v>31</v>
      </c>
      <c r="G905" t="s">
        <v>41</v>
      </c>
      <c r="H905" t="s">
        <v>1785</v>
      </c>
      <c r="I905">
        <v>3</v>
      </c>
      <c r="J905">
        <v>11</v>
      </c>
      <c r="K905">
        <v>66598</v>
      </c>
      <c r="L905">
        <v>3.8</v>
      </c>
      <c r="M905" t="s">
        <v>21</v>
      </c>
      <c r="N905">
        <v>48</v>
      </c>
    </row>
    <row r="906" spans="1:14" x14ac:dyDescent="0.35">
      <c r="A906" t="s">
        <v>1786</v>
      </c>
      <c r="B906" t="s">
        <v>40</v>
      </c>
      <c r="C906" t="s">
        <v>49</v>
      </c>
      <c r="D906" t="s">
        <v>17</v>
      </c>
      <c r="E906">
        <v>38</v>
      </c>
      <c r="F906" t="s">
        <v>79</v>
      </c>
      <c r="G906" t="s">
        <v>41</v>
      </c>
      <c r="H906" t="s">
        <v>1787</v>
      </c>
      <c r="I906">
        <v>0</v>
      </c>
      <c r="J906">
        <v>3</v>
      </c>
      <c r="K906">
        <v>315378</v>
      </c>
      <c r="L906">
        <v>2</v>
      </c>
      <c r="M906" t="s">
        <v>21</v>
      </c>
      <c r="N906">
        <v>48</v>
      </c>
    </row>
    <row r="907" spans="1:14" x14ac:dyDescent="0.35">
      <c r="A907" t="s">
        <v>1788</v>
      </c>
      <c r="B907" t="s">
        <v>40</v>
      </c>
      <c r="C907" t="s">
        <v>82</v>
      </c>
      <c r="D907" t="s">
        <v>25</v>
      </c>
      <c r="E907">
        <v>27</v>
      </c>
      <c r="F907" t="s">
        <v>74</v>
      </c>
      <c r="G907" t="s">
        <v>61</v>
      </c>
      <c r="H907" t="s">
        <v>1789</v>
      </c>
      <c r="I907">
        <v>15</v>
      </c>
      <c r="J907">
        <v>25</v>
      </c>
      <c r="K907">
        <v>317711</v>
      </c>
      <c r="L907">
        <v>2.2999999999999998</v>
      </c>
      <c r="M907" t="s">
        <v>43</v>
      </c>
      <c r="N907">
        <v>75</v>
      </c>
    </row>
    <row r="908" spans="1:14" x14ac:dyDescent="0.35">
      <c r="A908" t="s">
        <v>1790</v>
      </c>
      <c r="B908" t="s">
        <v>45</v>
      </c>
      <c r="C908" t="s">
        <v>82</v>
      </c>
      <c r="D908" t="s">
        <v>25</v>
      </c>
      <c r="E908">
        <v>56</v>
      </c>
      <c r="F908" t="s">
        <v>37</v>
      </c>
      <c r="G908" t="s">
        <v>41</v>
      </c>
      <c r="H908" t="s">
        <v>1791</v>
      </c>
      <c r="I908">
        <v>11</v>
      </c>
      <c r="J908">
        <v>11</v>
      </c>
      <c r="K908">
        <v>223766</v>
      </c>
      <c r="L908">
        <v>2.5</v>
      </c>
      <c r="M908" t="s">
        <v>43</v>
      </c>
      <c r="N908">
        <v>72</v>
      </c>
    </row>
    <row r="909" spans="1:14" x14ac:dyDescent="0.35">
      <c r="A909" t="s">
        <v>1792</v>
      </c>
      <c r="B909" t="s">
        <v>55</v>
      </c>
      <c r="C909" t="s">
        <v>56</v>
      </c>
      <c r="D909" t="s">
        <v>25</v>
      </c>
      <c r="E909">
        <v>31</v>
      </c>
      <c r="F909" t="s">
        <v>79</v>
      </c>
      <c r="G909" t="s">
        <v>19</v>
      </c>
      <c r="H909" t="s">
        <v>1793</v>
      </c>
      <c r="I909">
        <v>14</v>
      </c>
      <c r="J909">
        <v>23</v>
      </c>
      <c r="K909">
        <v>462263</v>
      </c>
      <c r="L909">
        <v>4.0999999999999996</v>
      </c>
      <c r="M909" t="s">
        <v>43</v>
      </c>
      <c r="N909">
        <v>84</v>
      </c>
    </row>
    <row r="910" spans="1:14" x14ac:dyDescent="0.35">
      <c r="A910" t="s">
        <v>1794</v>
      </c>
      <c r="B910" t="s">
        <v>111</v>
      </c>
      <c r="C910" t="s">
        <v>93</v>
      </c>
      <c r="D910" t="s">
        <v>17</v>
      </c>
      <c r="E910">
        <v>52</v>
      </c>
      <c r="F910" t="s">
        <v>18</v>
      </c>
      <c r="G910" t="s">
        <v>19</v>
      </c>
      <c r="H910" t="s">
        <v>1795</v>
      </c>
      <c r="I910">
        <v>5</v>
      </c>
      <c r="J910">
        <v>10</v>
      </c>
      <c r="K910">
        <v>51208</v>
      </c>
      <c r="L910">
        <v>3.7</v>
      </c>
      <c r="M910" t="s">
        <v>21</v>
      </c>
      <c r="N910">
        <v>63</v>
      </c>
    </row>
    <row r="911" spans="1:14" x14ac:dyDescent="0.35">
      <c r="A911" t="s">
        <v>1796</v>
      </c>
      <c r="B911" t="s">
        <v>45</v>
      </c>
      <c r="C911" t="s">
        <v>52</v>
      </c>
      <c r="D911" t="s">
        <v>25</v>
      </c>
      <c r="E911">
        <v>54</v>
      </c>
      <c r="F911" t="s">
        <v>18</v>
      </c>
      <c r="G911" t="s">
        <v>61</v>
      </c>
      <c r="H911" t="s">
        <v>1797</v>
      </c>
      <c r="I911">
        <v>14</v>
      </c>
      <c r="J911">
        <v>16</v>
      </c>
      <c r="K911">
        <v>87165</v>
      </c>
      <c r="L911">
        <v>4.2</v>
      </c>
      <c r="M911" t="s">
        <v>43</v>
      </c>
      <c r="N911">
        <v>96</v>
      </c>
    </row>
    <row r="912" spans="1:14" x14ac:dyDescent="0.35">
      <c r="A912" t="s">
        <v>1798</v>
      </c>
      <c r="B912" t="s">
        <v>15</v>
      </c>
      <c r="C912" t="s">
        <v>64</v>
      </c>
      <c r="D912" t="s">
        <v>17</v>
      </c>
      <c r="E912">
        <v>43</v>
      </c>
      <c r="F912" t="s">
        <v>31</v>
      </c>
      <c r="G912" t="s">
        <v>75</v>
      </c>
      <c r="H912" t="s">
        <v>1799</v>
      </c>
      <c r="I912">
        <v>15</v>
      </c>
      <c r="J912">
        <v>15</v>
      </c>
      <c r="K912">
        <v>203739</v>
      </c>
      <c r="L912">
        <v>3.4</v>
      </c>
      <c r="M912" t="s">
        <v>21</v>
      </c>
      <c r="N912">
        <v>59</v>
      </c>
    </row>
    <row r="913" spans="1:14" x14ac:dyDescent="0.35">
      <c r="A913" t="s">
        <v>1800</v>
      </c>
      <c r="B913" t="s">
        <v>23</v>
      </c>
      <c r="C913" t="s">
        <v>52</v>
      </c>
      <c r="D913" t="s">
        <v>17</v>
      </c>
      <c r="E913">
        <v>45</v>
      </c>
      <c r="F913" t="s">
        <v>70</v>
      </c>
      <c r="G913" t="s">
        <v>61</v>
      </c>
      <c r="H913" t="s">
        <v>1801</v>
      </c>
      <c r="I913">
        <v>6</v>
      </c>
      <c r="J913">
        <v>14</v>
      </c>
      <c r="K913">
        <v>286803</v>
      </c>
      <c r="L913">
        <v>4.3</v>
      </c>
      <c r="M913" t="s">
        <v>43</v>
      </c>
      <c r="N913">
        <v>72</v>
      </c>
    </row>
    <row r="914" spans="1:14" x14ac:dyDescent="0.35">
      <c r="A914" t="s">
        <v>1802</v>
      </c>
      <c r="B914" t="s">
        <v>60</v>
      </c>
      <c r="C914" t="s">
        <v>16</v>
      </c>
      <c r="D914" t="s">
        <v>17</v>
      </c>
      <c r="E914">
        <v>27</v>
      </c>
      <c r="F914" t="s">
        <v>18</v>
      </c>
      <c r="G914" t="s">
        <v>75</v>
      </c>
      <c r="H914" t="s">
        <v>1803</v>
      </c>
      <c r="I914">
        <v>17</v>
      </c>
      <c r="J914">
        <v>27</v>
      </c>
      <c r="K914">
        <v>381504</v>
      </c>
      <c r="L914">
        <v>3.2</v>
      </c>
      <c r="M914" t="s">
        <v>21</v>
      </c>
      <c r="N914">
        <v>70</v>
      </c>
    </row>
    <row r="915" spans="1:14" x14ac:dyDescent="0.35">
      <c r="A915" t="s">
        <v>1804</v>
      </c>
      <c r="B915" t="s">
        <v>23</v>
      </c>
      <c r="C915" t="s">
        <v>93</v>
      </c>
      <c r="D915" t="s">
        <v>25</v>
      </c>
      <c r="E915">
        <v>28</v>
      </c>
      <c r="F915" t="s">
        <v>74</v>
      </c>
      <c r="G915" t="s">
        <v>26</v>
      </c>
      <c r="H915" t="s">
        <v>1805</v>
      </c>
      <c r="I915">
        <v>13</v>
      </c>
      <c r="J915">
        <v>20</v>
      </c>
      <c r="K915">
        <v>299661</v>
      </c>
      <c r="L915">
        <v>3.9</v>
      </c>
      <c r="M915" t="s">
        <v>43</v>
      </c>
      <c r="N915">
        <v>80</v>
      </c>
    </row>
    <row r="916" spans="1:14" x14ac:dyDescent="0.35">
      <c r="A916" t="s">
        <v>1806</v>
      </c>
      <c r="B916" t="s">
        <v>29</v>
      </c>
      <c r="C916" t="s">
        <v>52</v>
      </c>
      <c r="D916" t="s">
        <v>25</v>
      </c>
      <c r="E916">
        <v>35</v>
      </c>
      <c r="F916" t="s">
        <v>70</v>
      </c>
      <c r="G916" t="s">
        <v>88</v>
      </c>
      <c r="H916" t="s">
        <v>1807</v>
      </c>
      <c r="I916">
        <v>19</v>
      </c>
      <c r="J916">
        <v>19</v>
      </c>
      <c r="K916">
        <v>71547</v>
      </c>
      <c r="L916">
        <v>3.9</v>
      </c>
      <c r="M916" t="s">
        <v>21</v>
      </c>
      <c r="N916">
        <v>31</v>
      </c>
    </row>
    <row r="917" spans="1:14" x14ac:dyDescent="0.35">
      <c r="A917" t="s">
        <v>1808</v>
      </c>
      <c r="B917" t="s">
        <v>111</v>
      </c>
      <c r="C917" t="s">
        <v>49</v>
      </c>
      <c r="D917" t="s">
        <v>25</v>
      </c>
      <c r="E917">
        <v>32</v>
      </c>
      <c r="F917" t="s">
        <v>79</v>
      </c>
      <c r="G917" t="s">
        <v>41</v>
      </c>
      <c r="H917" t="s">
        <v>1809</v>
      </c>
      <c r="I917">
        <v>0</v>
      </c>
      <c r="J917">
        <v>5</v>
      </c>
      <c r="K917">
        <v>68963</v>
      </c>
      <c r="L917">
        <v>5</v>
      </c>
      <c r="M917" t="s">
        <v>21</v>
      </c>
      <c r="N917">
        <v>44</v>
      </c>
    </row>
    <row r="918" spans="1:14" x14ac:dyDescent="0.35">
      <c r="A918" t="s">
        <v>1810</v>
      </c>
      <c r="B918" t="s">
        <v>60</v>
      </c>
      <c r="C918" t="s">
        <v>64</v>
      </c>
      <c r="D918" t="s">
        <v>25</v>
      </c>
      <c r="E918">
        <v>28</v>
      </c>
      <c r="F918" t="s">
        <v>18</v>
      </c>
      <c r="G918" t="s">
        <v>88</v>
      </c>
      <c r="H918" t="s">
        <v>1811</v>
      </c>
      <c r="I918">
        <v>2</v>
      </c>
      <c r="J918">
        <v>3</v>
      </c>
      <c r="K918">
        <v>235096</v>
      </c>
      <c r="L918">
        <v>2</v>
      </c>
      <c r="M918" t="s">
        <v>21</v>
      </c>
      <c r="N918">
        <v>38</v>
      </c>
    </row>
    <row r="919" spans="1:14" x14ac:dyDescent="0.35">
      <c r="A919" t="s">
        <v>1812</v>
      </c>
      <c r="B919" t="s">
        <v>15</v>
      </c>
      <c r="C919" t="s">
        <v>24</v>
      </c>
      <c r="D919" t="s">
        <v>25</v>
      </c>
      <c r="E919">
        <v>25</v>
      </c>
      <c r="F919" t="s">
        <v>18</v>
      </c>
      <c r="G919" t="s">
        <v>85</v>
      </c>
      <c r="H919" t="s">
        <v>1813</v>
      </c>
      <c r="I919">
        <v>6</v>
      </c>
      <c r="J919">
        <v>6</v>
      </c>
      <c r="K919">
        <v>232891</v>
      </c>
      <c r="L919">
        <v>3.3</v>
      </c>
      <c r="M919" t="s">
        <v>43</v>
      </c>
      <c r="N919">
        <v>94</v>
      </c>
    </row>
    <row r="920" spans="1:14" x14ac:dyDescent="0.35">
      <c r="A920" t="s">
        <v>1814</v>
      </c>
      <c r="B920" t="s">
        <v>23</v>
      </c>
      <c r="C920" t="s">
        <v>30</v>
      </c>
      <c r="D920" t="s">
        <v>25</v>
      </c>
      <c r="E920">
        <v>43</v>
      </c>
      <c r="F920" t="s">
        <v>74</v>
      </c>
      <c r="G920" t="s">
        <v>85</v>
      </c>
      <c r="H920" t="s">
        <v>1815</v>
      </c>
      <c r="I920">
        <v>11</v>
      </c>
      <c r="J920">
        <v>21</v>
      </c>
      <c r="K920">
        <v>157560</v>
      </c>
      <c r="L920">
        <v>2.5</v>
      </c>
      <c r="M920" t="s">
        <v>21</v>
      </c>
      <c r="N920">
        <v>38</v>
      </c>
    </row>
    <row r="921" spans="1:14" x14ac:dyDescent="0.35">
      <c r="A921" t="s">
        <v>1816</v>
      </c>
      <c r="B921" t="s">
        <v>29</v>
      </c>
      <c r="C921" t="s">
        <v>93</v>
      </c>
      <c r="D921" t="s">
        <v>25</v>
      </c>
      <c r="E921">
        <v>50</v>
      </c>
      <c r="F921" t="s">
        <v>46</v>
      </c>
      <c r="G921" t="s">
        <v>26</v>
      </c>
      <c r="H921" t="s">
        <v>1817</v>
      </c>
      <c r="I921">
        <v>11</v>
      </c>
      <c r="J921">
        <v>19</v>
      </c>
      <c r="K921">
        <v>259498</v>
      </c>
      <c r="L921">
        <v>3.3</v>
      </c>
      <c r="M921" t="s">
        <v>43</v>
      </c>
      <c r="N921">
        <v>72</v>
      </c>
    </row>
    <row r="922" spans="1:14" x14ac:dyDescent="0.35">
      <c r="A922" t="s">
        <v>1818</v>
      </c>
      <c r="B922" t="s">
        <v>96</v>
      </c>
      <c r="C922" t="s">
        <v>36</v>
      </c>
      <c r="D922" t="s">
        <v>25</v>
      </c>
      <c r="E922">
        <v>42</v>
      </c>
      <c r="F922" t="s">
        <v>37</v>
      </c>
      <c r="G922" t="s">
        <v>88</v>
      </c>
      <c r="H922" t="s">
        <v>1819</v>
      </c>
      <c r="I922">
        <v>6</v>
      </c>
      <c r="J922">
        <v>6</v>
      </c>
      <c r="K922">
        <v>72104</v>
      </c>
      <c r="L922">
        <v>4.7</v>
      </c>
      <c r="M922" t="s">
        <v>21</v>
      </c>
      <c r="N922">
        <v>51</v>
      </c>
    </row>
    <row r="923" spans="1:14" x14ac:dyDescent="0.35">
      <c r="A923" t="s">
        <v>1820</v>
      </c>
      <c r="B923" t="s">
        <v>111</v>
      </c>
      <c r="C923" t="s">
        <v>56</v>
      </c>
      <c r="D923" t="s">
        <v>17</v>
      </c>
      <c r="E923">
        <v>41</v>
      </c>
      <c r="F923" t="s">
        <v>37</v>
      </c>
      <c r="G923" t="s">
        <v>19</v>
      </c>
      <c r="H923" t="s">
        <v>1821</v>
      </c>
      <c r="I923">
        <v>12</v>
      </c>
      <c r="J923">
        <v>18</v>
      </c>
      <c r="K923">
        <v>363185</v>
      </c>
      <c r="L923">
        <v>4.8</v>
      </c>
      <c r="M923" t="s">
        <v>43</v>
      </c>
      <c r="N923">
        <v>75</v>
      </c>
    </row>
    <row r="924" spans="1:14" x14ac:dyDescent="0.35">
      <c r="A924" t="s">
        <v>1822</v>
      </c>
      <c r="B924" t="s">
        <v>45</v>
      </c>
      <c r="C924" t="s">
        <v>82</v>
      </c>
      <c r="D924" t="s">
        <v>17</v>
      </c>
      <c r="E924">
        <v>42</v>
      </c>
      <c r="F924" t="s">
        <v>79</v>
      </c>
      <c r="G924" t="s">
        <v>71</v>
      </c>
      <c r="H924" t="s">
        <v>1823</v>
      </c>
      <c r="I924">
        <v>9</v>
      </c>
      <c r="J924">
        <v>12</v>
      </c>
      <c r="K924">
        <v>331640</v>
      </c>
      <c r="L924">
        <v>2.8</v>
      </c>
      <c r="M924" t="s">
        <v>43</v>
      </c>
      <c r="N924">
        <v>87</v>
      </c>
    </row>
    <row r="925" spans="1:14" x14ac:dyDescent="0.35">
      <c r="A925" t="s">
        <v>1824</v>
      </c>
      <c r="B925" t="s">
        <v>15</v>
      </c>
      <c r="C925" t="s">
        <v>82</v>
      </c>
      <c r="D925" t="s">
        <v>25</v>
      </c>
      <c r="E925">
        <v>21</v>
      </c>
      <c r="F925" t="s">
        <v>31</v>
      </c>
      <c r="G925" t="s">
        <v>71</v>
      </c>
      <c r="H925" t="s">
        <v>1825</v>
      </c>
      <c r="I925">
        <v>20</v>
      </c>
      <c r="J925">
        <v>21</v>
      </c>
      <c r="K925">
        <v>203957</v>
      </c>
      <c r="L925">
        <v>3.7</v>
      </c>
      <c r="M925" t="s">
        <v>43</v>
      </c>
      <c r="N925">
        <v>92</v>
      </c>
    </row>
    <row r="926" spans="1:14" x14ac:dyDescent="0.35">
      <c r="A926" t="s">
        <v>1826</v>
      </c>
      <c r="B926" t="s">
        <v>96</v>
      </c>
      <c r="C926" t="s">
        <v>49</v>
      </c>
      <c r="D926" t="s">
        <v>17</v>
      </c>
      <c r="E926">
        <v>57</v>
      </c>
      <c r="F926" t="s">
        <v>18</v>
      </c>
      <c r="G926" t="s">
        <v>75</v>
      </c>
      <c r="H926" t="s">
        <v>1827</v>
      </c>
      <c r="I926">
        <v>9</v>
      </c>
      <c r="J926">
        <v>14</v>
      </c>
      <c r="K926">
        <v>494304</v>
      </c>
      <c r="L926">
        <v>2.2000000000000002</v>
      </c>
      <c r="M926" t="s">
        <v>21</v>
      </c>
      <c r="N926">
        <v>38</v>
      </c>
    </row>
    <row r="927" spans="1:14" x14ac:dyDescent="0.35">
      <c r="A927" t="s">
        <v>1828</v>
      </c>
      <c r="B927" t="s">
        <v>60</v>
      </c>
      <c r="C927" t="s">
        <v>64</v>
      </c>
      <c r="D927" t="s">
        <v>25</v>
      </c>
      <c r="E927">
        <v>35</v>
      </c>
      <c r="F927" t="s">
        <v>74</v>
      </c>
      <c r="G927" t="s">
        <v>26</v>
      </c>
      <c r="H927" t="s">
        <v>1829</v>
      </c>
      <c r="I927">
        <v>12</v>
      </c>
      <c r="J927">
        <v>22</v>
      </c>
      <c r="K927">
        <v>171031</v>
      </c>
      <c r="L927">
        <v>4.0999999999999996</v>
      </c>
      <c r="M927" t="s">
        <v>21</v>
      </c>
      <c r="N927">
        <v>56</v>
      </c>
    </row>
    <row r="928" spans="1:14" x14ac:dyDescent="0.35">
      <c r="A928" t="s">
        <v>1830</v>
      </c>
      <c r="B928" t="s">
        <v>111</v>
      </c>
      <c r="C928" t="s">
        <v>64</v>
      </c>
      <c r="D928" t="s">
        <v>17</v>
      </c>
      <c r="E928">
        <v>33</v>
      </c>
      <c r="F928" t="s">
        <v>74</v>
      </c>
      <c r="G928" t="s">
        <v>71</v>
      </c>
      <c r="H928" t="s">
        <v>97</v>
      </c>
      <c r="I928">
        <v>16</v>
      </c>
      <c r="J928">
        <v>26</v>
      </c>
      <c r="K928">
        <v>359966</v>
      </c>
      <c r="L928">
        <v>4.2</v>
      </c>
      <c r="M928" t="s">
        <v>21</v>
      </c>
      <c r="N928">
        <v>57</v>
      </c>
    </row>
    <row r="929" spans="1:14" x14ac:dyDescent="0.35">
      <c r="A929" t="s">
        <v>1831</v>
      </c>
      <c r="B929" t="s">
        <v>60</v>
      </c>
      <c r="C929" t="s">
        <v>93</v>
      </c>
      <c r="D929" t="s">
        <v>25</v>
      </c>
      <c r="E929">
        <v>27</v>
      </c>
      <c r="F929" t="s">
        <v>37</v>
      </c>
      <c r="G929" t="s">
        <v>61</v>
      </c>
      <c r="H929" t="s">
        <v>399</v>
      </c>
      <c r="I929">
        <v>3</v>
      </c>
      <c r="J929">
        <v>10</v>
      </c>
      <c r="K929">
        <v>419585</v>
      </c>
      <c r="L929">
        <v>4.2</v>
      </c>
      <c r="M929" t="s">
        <v>21</v>
      </c>
      <c r="N929">
        <v>49</v>
      </c>
    </row>
    <row r="930" spans="1:14" x14ac:dyDescent="0.35">
      <c r="A930" t="s">
        <v>1832</v>
      </c>
      <c r="B930" t="s">
        <v>35</v>
      </c>
      <c r="C930" t="s">
        <v>24</v>
      </c>
      <c r="D930" t="s">
        <v>25</v>
      </c>
      <c r="E930">
        <v>58</v>
      </c>
      <c r="F930" t="s">
        <v>18</v>
      </c>
      <c r="G930" t="s">
        <v>57</v>
      </c>
      <c r="H930" t="s">
        <v>1833</v>
      </c>
      <c r="I930">
        <v>0</v>
      </c>
      <c r="J930">
        <v>10</v>
      </c>
      <c r="K930">
        <v>178007</v>
      </c>
      <c r="L930">
        <v>2.2000000000000002</v>
      </c>
      <c r="M930" t="s">
        <v>43</v>
      </c>
      <c r="N930">
        <v>88</v>
      </c>
    </row>
    <row r="931" spans="1:14" x14ac:dyDescent="0.35">
      <c r="A931" t="s">
        <v>1834</v>
      </c>
      <c r="B931" t="s">
        <v>60</v>
      </c>
      <c r="C931" t="s">
        <v>16</v>
      </c>
      <c r="D931" t="s">
        <v>17</v>
      </c>
      <c r="E931">
        <v>58</v>
      </c>
      <c r="F931" t="s">
        <v>70</v>
      </c>
      <c r="G931" t="s">
        <v>61</v>
      </c>
      <c r="H931" t="s">
        <v>1835</v>
      </c>
      <c r="I931">
        <v>13</v>
      </c>
      <c r="J931">
        <v>14</v>
      </c>
      <c r="K931">
        <v>396483</v>
      </c>
      <c r="L931">
        <v>4.2</v>
      </c>
      <c r="M931" t="s">
        <v>21</v>
      </c>
      <c r="N931">
        <v>47</v>
      </c>
    </row>
    <row r="932" spans="1:14" x14ac:dyDescent="0.35">
      <c r="A932" t="s">
        <v>1836</v>
      </c>
      <c r="B932" t="s">
        <v>55</v>
      </c>
      <c r="C932" t="s">
        <v>93</v>
      </c>
      <c r="D932" t="s">
        <v>17</v>
      </c>
      <c r="E932">
        <v>43</v>
      </c>
      <c r="F932" t="s">
        <v>79</v>
      </c>
      <c r="G932" t="s">
        <v>32</v>
      </c>
      <c r="H932" t="s">
        <v>1837</v>
      </c>
      <c r="I932">
        <v>16</v>
      </c>
      <c r="J932">
        <v>22</v>
      </c>
      <c r="K932">
        <v>334610</v>
      </c>
      <c r="L932">
        <v>4.0999999999999996</v>
      </c>
      <c r="M932" t="s">
        <v>43</v>
      </c>
      <c r="N932">
        <v>85</v>
      </c>
    </row>
    <row r="933" spans="1:14" x14ac:dyDescent="0.35">
      <c r="A933" t="s">
        <v>1838</v>
      </c>
      <c r="B933" t="s">
        <v>40</v>
      </c>
      <c r="C933" t="s">
        <v>49</v>
      </c>
      <c r="D933" t="s">
        <v>25</v>
      </c>
      <c r="E933">
        <v>53</v>
      </c>
      <c r="F933" t="s">
        <v>70</v>
      </c>
      <c r="G933" t="s">
        <v>41</v>
      </c>
      <c r="H933" t="s">
        <v>1839</v>
      </c>
      <c r="I933">
        <v>12</v>
      </c>
      <c r="J933">
        <v>15</v>
      </c>
      <c r="K933">
        <v>126035</v>
      </c>
      <c r="L933">
        <v>2.6</v>
      </c>
      <c r="M933" t="s">
        <v>21</v>
      </c>
      <c r="N933">
        <v>70</v>
      </c>
    </row>
    <row r="934" spans="1:14" x14ac:dyDescent="0.35">
      <c r="A934" t="s">
        <v>1840</v>
      </c>
      <c r="B934" t="s">
        <v>23</v>
      </c>
      <c r="C934" t="s">
        <v>82</v>
      </c>
      <c r="D934" t="s">
        <v>17</v>
      </c>
      <c r="E934">
        <v>27</v>
      </c>
      <c r="F934" t="s">
        <v>79</v>
      </c>
      <c r="G934" t="s">
        <v>75</v>
      </c>
      <c r="H934" t="s">
        <v>1841</v>
      </c>
      <c r="I934">
        <v>12</v>
      </c>
      <c r="J934">
        <v>22</v>
      </c>
      <c r="K934">
        <v>99298</v>
      </c>
      <c r="L934">
        <v>2.4</v>
      </c>
      <c r="M934" t="s">
        <v>43</v>
      </c>
      <c r="N934">
        <v>82</v>
      </c>
    </row>
    <row r="935" spans="1:14" x14ac:dyDescent="0.35">
      <c r="A935" t="s">
        <v>1842</v>
      </c>
      <c r="B935" t="s">
        <v>60</v>
      </c>
      <c r="C935" t="s">
        <v>93</v>
      </c>
      <c r="D935" t="s">
        <v>17</v>
      </c>
      <c r="E935">
        <v>37</v>
      </c>
      <c r="F935" t="s">
        <v>79</v>
      </c>
      <c r="G935" t="s">
        <v>88</v>
      </c>
      <c r="H935" t="s">
        <v>845</v>
      </c>
      <c r="I935">
        <v>14</v>
      </c>
      <c r="J935">
        <v>17</v>
      </c>
      <c r="K935">
        <v>203604</v>
      </c>
      <c r="L935">
        <v>2.9</v>
      </c>
      <c r="M935" t="s">
        <v>43</v>
      </c>
      <c r="N935">
        <v>83</v>
      </c>
    </row>
    <row r="936" spans="1:14" x14ac:dyDescent="0.35">
      <c r="A936" t="s">
        <v>1843</v>
      </c>
      <c r="B936" t="s">
        <v>45</v>
      </c>
      <c r="C936" t="s">
        <v>49</v>
      </c>
      <c r="D936" t="s">
        <v>17</v>
      </c>
      <c r="E936">
        <v>56</v>
      </c>
      <c r="F936" t="s">
        <v>79</v>
      </c>
      <c r="G936" t="s">
        <v>19</v>
      </c>
      <c r="H936" t="s">
        <v>1844</v>
      </c>
      <c r="I936">
        <v>12</v>
      </c>
      <c r="J936">
        <v>19</v>
      </c>
      <c r="K936">
        <v>407946</v>
      </c>
      <c r="L936">
        <v>3.7</v>
      </c>
      <c r="M936" t="s">
        <v>43</v>
      </c>
      <c r="N936">
        <v>75</v>
      </c>
    </row>
    <row r="937" spans="1:14" x14ac:dyDescent="0.35">
      <c r="A937" t="s">
        <v>1845</v>
      </c>
      <c r="B937" t="s">
        <v>96</v>
      </c>
      <c r="C937" t="s">
        <v>49</v>
      </c>
      <c r="D937" t="s">
        <v>17</v>
      </c>
      <c r="E937">
        <v>58</v>
      </c>
      <c r="F937" t="s">
        <v>46</v>
      </c>
      <c r="G937" t="s">
        <v>88</v>
      </c>
      <c r="H937" t="s">
        <v>1846</v>
      </c>
      <c r="I937">
        <v>15</v>
      </c>
      <c r="J937">
        <v>15</v>
      </c>
      <c r="K937">
        <v>392713</v>
      </c>
      <c r="L937">
        <v>2.4</v>
      </c>
      <c r="M937" t="s">
        <v>43</v>
      </c>
      <c r="N937">
        <v>100</v>
      </c>
    </row>
    <row r="938" spans="1:14" x14ac:dyDescent="0.35">
      <c r="A938" t="s">
        <v>1847</v>
      </c>
      <c r="B938" t="s">
        <v>69</v>
      </c>
      <c r="C938" t="s">
        <v>24</v>
      </c>
      <c r="D938" t="s">
        <v>25</v>
      </c>
      <c r="E938">
        <v>57</v>
      </c>
      <c r="F938" t="s">
        <v>46</v>
      </c>
      <c r="G938" t="s">
        <v>61</v>
      </c>
      <c r="H938" t="s">
        <v>1848</v>
      </c>
      <c r="I938">
        <v>5</v>
      </c>
      <c r="J938">
        <v>7</v>
      </c>
      <c r="K938">
        <v>425192</v>
      </c>
      <c r="L938">
        <v>2.6</v>
      </c>
      <c r="M938" t="s">
        <v>21</v>
      </c>
      <c r="N938">
        <v>58</v>
      </c>
    </row>
    <row r="939" spans="1:14" x14ac:dyDescent="0.35">
      <c r="A939" t="s">
        <v>1849</v>
      </c>
      <c r="B939" t="s">
        <v>35</v>
      </c>
      <c r="C939" t="s">
        <v>30</v>
      </c>
      <c r="D939" t="s">
        <v>25</v>
      </c>
      <c r="E939">
        <v>31</v>
      </c>
      <c r="F939" t="s">
        <v>46</v>
      </c>
      <c r="G939" t="s">
        <v>75</v>
      </c>
      <c r="H939" t="s">
        <v>1850</v>
      </c>
      <c r="I939">
        <v>13</v>
      </c>
      <c r="J939">
        <v>20</v>
      </c>
      <c r="K939">
        <v>484678</v>
      </c>
      <c r="L939">
        <v>4.5</v>
      </c>
      <c r="M939" t="s">
        <v>21</v>
      </c>
      <c r="N939">
        <v>65</v>
      </c>
    </row>
    <row r="940" spans="1:14" x14ac:dyDescent="0.35">
      <c r="A940" t="s">
        <v>1851</v>
      </c>
      <c r="B940" t="s">
        <v>78</v>
      </c>
      <c r="C940" t="s">
        <v>24</v>
      </c>
      <c r="D940" t="s">
        <v>17</v>
      </c>
      <c r="E940">
        <v>36</v>
      </c>
      <c r="F940" t="s">
        <v>70</v>
      </c>
      <c r="G940" t="s">
        <v>85</v>
      </c>
      <c r="H940" t="s">
        <v>467</v>
      </c>
      <c r="I940">
        <v>15</v>
      </c>
      <c r="J940">
        <v>19</v>
      </c>
      <c r="K940">
        <v>317461</v>
      </c>
      <c r="L940">
        <v>4.3</v>
      </c>
      <c r="M940" t="s">
        <v>21</v>
      </c>
      <c r="N940">
        <v>64</v>
      </c>
    </row>
    <row r="941" spans="1:14" x14ac:dyDescent="0.35">
      <c r="A941" t="s">
        <v>1852</v>
      </c>
      <c r="B941" t="s">
        <v>29</v>
      </c>
      <c r="C941" t="s">
        <v>36</v>
      </c>
      <c r="D941" t="s">
        <v>17</v>
      </c>
      <c r="E941">
        <v>59</v>
      </c>
      <c r="F941" t="s">
        <v>18</v>
      </c>
      <c r="G941" t="s">
        <v>32</v>
      </c>
      <c r="H941" t="s">
        <v>1853</v>
      </c>
      <c r="I941">
        <v>4</v>
      </c>
      <c r="J941">
        <v>14</v>
      </c>
      <c r="K941">
        <v>148695</v>
      </c>
      <c r="L941">
        <v>2.1</v>
      </c>
      <c r="M941" t="s">
        <v>43</v>
      </c>
      <c r="N941">
        <v>98</v>
      </c>
    </row>
    <row r="942" spans="1:14" x14ac:dyDescent="0.35">
      <c r="A942" t="s">
        <v>1854</v>
      </c>
      <c r="B942" t="s">
        <v>45</v>
      </c>
      <c r="C942" t="s">
        <v>24</v>
      </c>
      <c r="D942" t="s">
        <v>25</v>
      </c>
      <c r="E942">
        <v>39</v>
      </c>
      <c r="F942" t="s">
        <v>37</v>
      </c>
      <c r="G942" t="s">
        <v>19</v>
      </c>
      <c r="H942" t="s">
        <v>1855</v>
      </c>
      <c r="I942">
        <v>4</v>
      </c>
      <c r="J942">
        <v>9</v>
      </c>
      <c r="K942">
        <v>307795</v>
      </c>
      <c r="L942">
        <v>2.6</v>
      </c>
      <c r="M942" t="s">
        <v>21</v>
      </c>
      <c r="N942">
        <v>65</v>
      </c>
    </row>
    <row r="943" spans="1:14" x14ac:dyDescent="0.35">
      <c r="A943" t="s">
        <v>1856</v>
      </c>
      <c r="B943" t="s">
        <v>55</v>
      </c>
      <c r="C943" t="s">
        <v>52</v>
      </c>
      <c r="D943" t="s">
        <v>25</v>
      </c>
      <c r="E943">
        <v>21</v>
      </c>
      <c r="F943" t="s">
        <v>70</v>
      </c>
      <c r="G943" t="s">
        <v>61</v>
      </c>
      <c r="H943" t="s">
        <v>1857</v>
      </c>
      <c r="I943">
        <v>20</v>
      </c>
      <c r="J943">
        <v>23</v>
      </c>
      <c r="K943">
        <v>318976</v>
      </c>
      <c r="L943">
        <v>2</v>
      </c>
      <c r="M943" t="s">
        <v>43</v>
      </c>
      <c r="N943">
        <v>93</v>
      </c>
    </row>
    <row r="944" spans="1:14" x14ac:dyDescent="0.35">
      <c r="A944" t="s">
        <v>1858</v>
      </c>
      <c r="B944" t="s">
        <v>40</v>
      </c>
      <c r="C944" t="s">
        <v>56</v>
      </c>
      <c r="D944" t="s">
        <v>25</v>
      </c>
      <c r="E944">
        <v>29</v>
      </c>
      <c r="F944" t="s">
        <v>70</v>
      </c>
      <c r="G944" t="s">
        <v>71</v>
      </c>
      <c r="H944" t="s">
        <v>1859</v>
      </c>
      <c r="I944">
        <v>6</v>
      </c>
      <c r="J944">
        <v>13</v>
      </c>
      <c r="K944">
        <v>242375</v>
      </c>
      <c r="L944">
        <v>3</v>
      </c>
      <c r="M944" t="s">
        <v>21</v>
      </c>
      <c r="N944">
        <v>70</v>
      </c>
    </row>
    <row r="945" spans="1:14" x14ac:dyDescent="0.35">
      <c r="A945" t="s">
        <v>1860</v>
      </c>
      <c r="B945" t="s">
        <v>29</v>
      </c>
      <c r="C945" t="s">
        <v>52</v>
      </c>
      <c r="D945" t="s">
        <v>25</v>
      </c>
      <c r="E945">
        <v>25</v>
      </c>
      <c r="F945" t="s">
        <v>18</v>
      </c>
      <c r="G945" t="s">
        <v>61</v>
      </c>
      <c r="H945" t="s">
        <v>1861</v>
      </c>
      <c r="I945">
        <v>16</v>
      </c>
      <c r="J945">
        <v>24</v>
      </c>
      <c r="K945">
        <v>463099</v>
      </c>
      <c r="L945">
        <v>3.5</v>
      </c>
      <c r="M945" t="s">
        <v>43</v>
      </c>
      <c r="N945">
        <v>93</v>
      </c>
    </row>
    <row r="946" spans="1:14" x14ac:dyDescent="0.35">
      <c r="A946" t="s">
        <v>1862</v>
      </c>
      <c r="B946" t="s">
        <v>29</v>
      </c>
      <c r="C946" t="s">
        <v>52</v>
      </c>
      <c r="D946" t="s">
        <v>17</v>
      </c>
      <c r="E946">
        <v>26</v>
      </c>
      <c r="F946" t="s">
        <v>31</v>
      </c>
      <c r="G946" t="s">
        <v>26</v>
      </c>
      <c r="H946" t="s">
        <v>1863</v>
      </c>
      <c r="I946">
        <v>3</v>
      </c>
      <c r="J946">
        <v>5</v>
      </c>
      <c r="K946">
        <v>106298</v>
      </c>
      <c r="L946">
        <v>4.3</v>
      </c>
      <c r="M946" t="s">
        <v>43</v>
      </c>
      <c r="N946">
        <v>93</v>
      </c>
    </row>
    <row r="947" spans="1:14" x14ac:dyDescent="0.35">
      <c r="A947" t="s">
        <v>1864</v>
      </c>
      <c r="B947" t="s">
        <v>29</v>
      </c>
      <c r="C947" t="s">
        <v>36</v>
      </c>
      <c r="D947" t="s">
        <v>17</v>
      </c>
      <c r="E947">
        <v>38</v>
      </c>
      <c r="F947" t="s">
        <v>18</v>
      </c>
      <c r="G947" t="s">
        <v>61</v>
      </c>
      <c r="H947" t="s">
        <v>982</v>
      </c>
      <c r="I947">
        <v>1</v>
      </c>
      <c r="J947">
        <v>7</v>
      </c>
      <c r="K947">
        <v>471536</v>
      </c>
      <c r="L947">
        <v>4</v>
      </c>
      <c r="M947" t="s">
        <v>43</v>
      </c>
      <c r="N947">
        <v>76</v>
      </c>
    </row>
    <row r="948" spans="1:14" x14ac:dyDescent="0.35">
      <c r="A948" t="s">
        <v>1865</v>
      </c>
      <c r="B948" t="s">
        <v>35</v>
      </c>
      <c r="C948" t="s">
        <v>30</v>
      </c>
      <c r="D948" t="s">
        <v>25</v>
      </c>
      <c r="E948">
        <v>23</v>
      </c>
      <c r="F948" t="s">
        <v>74</v>
      </c>
      <c r="G948" t="s">
        <v>19</v>
      </c>
      <c r="H948" t="s">
        <v>1866</v>
      </c>
      <c r="I948">
        <v>11</v>
      </c>
      <c r="J948">
        <v>17</v>
      </c>
      <c r="K948">
        <v>113490</v>
      </c>
      <c r="L948">
        <v>2.5</v>
      </c>
      <c r="M948" t="s">
        <v>43</v>
      </c>
      <c r="N948">
        <v>71</v>
      </c>
    </row>
    <row r="949" spans="1:14" x14ac:dyDescent="0.35">
      <c r="A949" t="s">
        <v>1867</v>
      </c>
      <c r="B949" t="s">
        <v>29</v>
      </c>
      <c r="C949" t="s">
        <v>93</v>
      </c>
      <c r="D949" t="s">
        <v>25</v>
      </c>
      <c r="E949">
        <v>56</v>
      </c>
      <c r="F949" t="s">
        <v>46</v>
      </c>
      <c r="G949" t="s">
        <v>26</v>
      </c>
      <c r="H949" t="s">
        <v>1868</v>
      </c>
      <c r="I949">
        <v>11</v>
      </c>
      <c r="J949">
        <v>11</v>
      </c>
      <c r="K949">
        <v>361308</v>
      </c>
      <c r="L949">
        <v>4.5999999999999996</v>
      </c>
      <c r="M949" t="s">
        <v>43</v>
      </c>
      <c r="N949">
        <v>92</v>
      </c>
    </row>
    <row r="950" spans="1:14" x14ac:dyDescent="0.35">
      <c r="A950" t="s">
        <v>1869</v>
      </c>
      <c r="B950" t="s">
        <v>60</v>
      </c>
      <c r="C950" t="s">
        <v>36</v>
      </c>
      <c r="D950" t="s">
        <v>17</v>
      </c>
      <c r="E950">
        <v>46</v>
      </c>
      <c r="F950" t="s">
        <v>46</v>
      </c>
      <c r="G950" t="s">
        <v>71</v>
      </c>
      <c r="H950" t="s">
        <v>1870</v>
      </c>
      <c r="I950">
        <v>5</v>
      </c>
      <c r="J950">
        <v>9</v>
      </c>
      <c r="K950">
        <v>269783</v>
      </c>
      <c r="L950">
        <v>4.0999999999999996</v>
      </c>
      <c r="M950" t="s">
        <v>43</v>
      </c>
      <c r="N950">
        <v>96</v>
      </c>
    </row>
    <row r="951" spans="1:14" x14ac:dyDescent="0.35">
      <c r="A951" t="s">
        <v>1871</v>
      </c>
      <c r="B951" t="s">
        <v>111</v>
      </c>
      <c r="C951" t="s">
        <v>36</v>
      </c>
      <c r="D951" t="s">
        <v>17</v>
      </c>
      <c r="E951">
        <v>41</v>
      </c>
      <c r="F951" t="s">
        <v>18</v>
      </c>
      <c r="G951" t="s">
        <v>88</v>
      </c>
      <c r="H951" t="s">
        <v>1425</v>
      </c>
      <c r="I951">
        <v>16</v>
      </c>
      <c r="J951">
        <v>17</v>
      </c>
      <c r="K951">
        <v>185758</v>
      </c>
      <c r="L951">
        <v>4.7</v>
      </c>
      <c r="M951" t="s">
        <v>43</v>
      </c>
      <c r="N951">
        <v>89</v>
      </c>
    </row>
    <row r="952" spans="1:14" x14ac:dyDescent="0.35">
      <c r="A952" t="s">
        <v>1872</v>
      </c>
      <c r="B952" t="s">
        <v>78</v>
      </c>
      <c r="C952" t="s">
        <v>49</v>
      </c>
      <c r="D952" t="s">
        <v>17</v>
      </c>
      <c r="E952">
        <v>24</v>
      </c>
      <c r="F952" t="s">
        <v>70</v>
      </c>
      <c r="G952" t="s">
        <v>75</v>
      </c>
      <c r="H952" t="s">
        <v>1873</v>
      </c>
      <c r="I952">
        <v>12</v>
      </c>
      <c r="J952">
        <v>19</v>
      </c>
      <c r="K952">
        <v>314568</v>
      </c>
      <c r="L952">
        <v>2</v>
      </c>
      <c r="M952" t="s">
        <v>21</v>
      </c>
      <c r="N952">
        <v>66</v>
      </c>
    </row>
    <row r="953" spans="1:14" x14ac:dyDescent="0.35">
      <c r="A953" t="s">
        <v>1874</v>
      </c>
      <c r="B953" t="s">
        <v>15</v>
      </c>
      <c r="C953" t="s">
        <v>52</v>
      </c>
      <c r="D953" t="s">
        <v>25</v>
      </c>
      <c r="E953">
        <v>48</v>
      </c>
      <c r="F953" t="s">
        <v>74</v>
      </c>
      <c r="G953" t="s">
        <v>41</v>
      </c>
      <c r="H953" t="s">
        <v>1875</v>
      </c>
      <c r="I953">
        <v>11</v>
      </c>
      <c r="J953">
        <v>17</v>
      </c>
      <c r="K953">
        <v>210778</v>
      </c>
      <c r="L953">
        <v>2.2999999999999998</v>
      </c>
      <c r="M953" t="s">
        <v>43</v>
      </c>
      <c r="N953">
        <v>92</v>
      </c>
    </row>
    <row r="954" spans="1:14" x14ac:dyDescent="0.35">
      <c r="A954" t="s">
        <v>1876</v>
      </c>
      <c r="B954" t="s">
        <v>60</v>
      </c>
      <c r="C954" t="s">
        <v>36</v>
      </c>
      <c r="D954" t="s">
        <v>17</v>
      </c>
      <c r="E954">
        <v>49</v>
      </c>
      <c r="F954" t="s">
        <v>31</v>
      </c>
      <c r="G954" t="s">
        <v>19</v>
      </c>
      <c r="H954" t="s">
        <v>1009</v>
      </c>
      <c r="I954">
        <v>20</v>
      </c>
      <c r="J954">
        <v>25</v>
      </c>
      <c r="K954">
        <v>436475</v>
      </c>
      <c r="L954">
        <v>4</v>
      </c>
      <c r="M954" t="s">
        <v>43</v>
      </c>
      <c r="N954">
        <v>76</v>
      </c>
    </row>
    <row r="955" spans="1:14" x14ac:dyDescent="0.35">
      <c r="A955" t="s">
        <v>1877</v>
      </c>
      <c r="B955" t="s">
        <v>35</v>
      </c>
      <c r="C955" t="s">
        <v>36</v>
      </c>
      <c r="D955" t="s">
        <v>25</v>
      </c>
      <c r="E955">
        <v>30</v>
      </c>
      <c r="F955" t="s">
        <v>74</v>
      </c>
      <c r="G955" t="s">
        <v>26</v>
      </c>
      <c r="H955" t="s">
        <v>1878</v>
      </c>
      <c r="I955">
        <v>1</v>
      </c>
      <c r="J955">
        <v>5</v>
      </c>
      <c r="K955">
        <v>193299</v>
      </c>
      <c r="L955">
        <v>2</v>
      </c>
      <c r="M955" t="s">
        <v>21</v>
      </c>
      <c r="N955">
        <v>66</v>
      </c>
    </row>
    <row r="956" spans="1:14" x14ac:dyDescent="0.35">
      <c r="A956" t="s">
        <v>1879</v>
      </c>
      <c r="B956" t="s">
        <v>29</v>
      </c>
      <c r="C956" t="s">
        <v>93</v>
      </c>
      <c r="D956" t="s">
        <v>17</v>
      </c>
      <c r="E956">
        <v>38</v>
      </c>
      <c r="F956" t="s">
        <v>31</v>
      </c>
      <c r="G956" t="s">
        <v>61</v>
      </c>
      <c r="H956" t="s">
        <v>1880</v>
      </c>
      <c r="I956">
        <v>5</v>
      </c>
      <c r="J956">
        <v>11</v>
      </c>
      <c r="K956">
        <v>366719</v>
      </c>
      <c r="L956">
        <v>3.7</v>
      </c>
      <c r="M956" t="s">
        <v>43</v>
      </c>
      <c r="N956">
        <v>92</v>
      </c>
    </row>
    <row r="957" spans="1:14" x14ac:dyDescent="0.35">
      <c r="A957" t="s">
        <v>1881</v>
      </c>
      <c r="B957" t="s">
        <v>69</v>
      </c>
      <c r="C957" t="s">
        <v>49</v>
      </c>
      <c r="D957" t="s">
        <v>17</v>
      </c>
      <c r="E957">
        <v>44</v>
      </c>
      <c r="F957" t="s">
        <v>37</v>
      </c>
      <c r="G957" t="s">
        <v>75</v>
      </c>
      <c r="H957" t="s">
        <v>1882</v>
      </c>
      <c r="I957">
        <v>5</v>
      </c>
      <c r="J957">
        <v>15</v>
      </c>
      <c r="K957">
        <v>134358</v>
      </c>
      <c r="L957">
        <v>4.0999999999999996</v>
      </c>
      <c r="M957" t="s">
        <v>43</v>
      </c>
      <c r="N957">
        <v>95</v>
      </c>
    </row>
    <row r="958" spans="1:14" x14ac:dyDescent="0.35">
      <c r="A958" t="s">
        <v>1883</v>
      </c>
      <c r="B958" t="s">
        <v>45</v>
      </c>
      <c r="C958" t="s">
        <v>30</v>
      </c>
      <c r="D958" t="s">
        <v>17</v>
      </c>
      <c r="E958">
        <v>40</v>
      </c>
      <c r="F958" t="s">
        <v>31</v>
      </c>
      <c r="G958" t="s">
        <v>88</v>
      </c>
      <c r="H958" t="s">
        <v>1884</v>
      </c>
      <c r="I958">
        <v>7</v>
      </c>
      <c r="J958">
        <v>12</v>
      </c>
      <c r="K958">
        <v>89831</v>
      </c>
      <c r="L958">
        <v>4.3</v>
      </c>
      <c r="M958" t="s">
        <v>43</v>
      </c>
      <c r="N958">
        <v>77</v>
      </c>
    </row>
    <row r="959" spans="1:14" x14ac:dyDescent="0.35">
      <c r="A959" t="s">
        <v>1885</v>
      </c>
      <c r="B959" t="s">
        <v>23</v>
      </c>
      <c r="C959" t="s">
        <v>82</v>
      </c>
      <c r="D959" t="s">
        <v>17</v>
      </c>
      <c r="E959">
        <v>57</v>
      </c>
      <c r="F959" t="s">
        <v>37</v>
      </c>
      <c r="G959" t="s">
        <v>41</v>
      </c>
      <c r="H959" t="s">
        <v>1886</v>
      </c>
      <c r="I959">
        <v>9</v>
      </c>
      <c r="J959">
        <v>11</v>
      </c>
      <c r="K959">
        <v>323424</v>
      </c>
      <c r="L959">
        <v>4.3</v>
      </c>
      <c r="M959" t="s">
        <v>43</v>
      </c>
      <c r="N959">
        <v>80</v>
      </c>
    </row>
    <row r="960" spans="1:14" x14ac:dyDescent="0.35">
      <c r="A960" t="s">
        <v>1887</v>
      </c>
      <c r="B960" t="s">
        <v>40</v>
      </c>
      <c r="C960" t="s">
        <v>36</v>
      </c>
      <c r="D960" t="s">
        <v>25</v>
      </c>
      <c r="E960">
        <v>57</v>
      </c>
      <c r="F960" t="s">
        <v>46</v>
      </c>
      <c r="G960" t="s">
        <v>32</v>
      </c>
      <c r="H960" t="s">
        <v>1888</v>
      </c>
      <c r="I960">
        <v>6</v>
      </c>
      <c r="J960">
        <v>11</v>
      </c>
      <c r="K960">
        <v>200351</v>
      </c>
      <c r="L960">
        <v>4.2</v>
      </c>
      <c r="M960" t="s">
        <v>21</v>
      </c>
      <c r="N960">
        <v>54</v>
      </c>
    </row>
    <row r="961" spans="1:14" x14ac:dyDescent="0.35">
      <c r="A961" t="s">
        <v>1889</v>
      </c>
      <c r="B961" t="s">
        <v>45</v>
      </c>
      <c r="C961" t="s">
        <v>93</v>
      </c>
      <c r="D961" t="s">
        <v>17</v>
      </c>
      <c r="E961">
        <v>58</v>
      </c>
      <c r="F961" t="s">
        <v>18</v>
      </c>
      <c r="G961" t="s">
        <v>41</v>
      </c>
      <c r="H961" t="s">
        <v>1890</v>
      </c>
      <c r="I961">
        <v>14</v>
      </c>
      <c r="J961">
        <v>14</v>
      </c>
      <c r="K961">
        <v>483025</v>
      </c>
      <c r="L961">
        <v>2.2000000000000002</v>
      </c>
      <c r="M961" t="s">
        <v>21</v>
      </c>
      <c r="N961">
        <v>46</v>
      </c>
    </row>
    <row r="962" spans="1:14" x14ac:dyDescent="0.35">
      <c r="A962" t="s">
        <v>1891</v>
      </c>
      <c r="B962" t="s">
        <v>78</v>
      </c>
      <c r="C962" t="s">
        <v>93</v>
      </c>
      <c r="D962" t="s">
        <v>25</v>
      </c>
      <c r="E962">
        <v>47</v>
      </c>
      <c r="F962" t="s">
        <v>74</v>
      </c>
      <c r="G962" t="s">
        <v>75</v>
      </c>
      <c r="H962" t="s">
        <v>1892</v>
      </c>
      <c r="I962">
        <v>20</v>
      </c>
      <c r="J962">
        <v>23</v>
      </c>
      <c r="K962">
        <v>127181</v>
      </c>
      <c r="L962">
        <v>2.1</v>
      </c>
      <c r="M962" t="s">
        <v>21</v>
      </c>
      <c r="N962">
        <v>64</v>
      </c>
    </row>
    <row r="963" spans="1:14" x14ac:dyDescent="0.35">
      <c r="A963" t="s">
        <v>1893</v>
      </c>
      <c r="B963" t="s">
        <v>15</v>
      </c>
      <c r="C963" t="s">
        <v>64</v>
      </c>
      <c r="D963" t="s">
        <v>17</v>
      </c>
      <c r="E963">
        <v>27</v>
      </c>
      <c r="F963" t="s">
        <v>31</v>
      </c>
      <c r="G963" t="s">
        <v>88</v>
      </c>
      <c r="H963" t="s">
        <v>1634</v>
      </c>
      <c r="I963">
        <v>11</v>
      </c>
      <c r="J963">
        <v>14</v>
      </c>
      <c r="K963">
        <v>229682</v>
      </c>
      <c r="L963">
        <v>3.1</v>
      </c>
      <c r="M963" t="s">
        <v>43</v>
      </c>
      <c r="N963">
        <v>98</v>
      </c>
    </row>
    <row r="964" spans="1:14" x14ac:dyDescent="0.35">
      <c r="A964" t="s">
        <v>1894</v>
      </c>
      <c r="B964" t="s">
        <v>15</v>
      </c>
      <c r="C964" t="s">
        <v>56</v>
      </c>
      <c r="D964" t="s">
        <v>25</v>
      </c>
      <c r="E964">
        <v>46</v>
      </c>
      <c r="F964" t="s">
        <v>79</v>
      </c>
      <c r="G964" t="s">
        <v>75</v>
      </c>
      <c r="H964" t="s">
        <v>1895</v>
      </c>
      <c r="I964">
        <v>20</v>
      </c>
      <c r="J964">
        <v>24</v>
      </c>
      <c r="K964">
        <v>328536</v>
      </c>
      <c r="L964">
        <v>2.2999999999999998</v>
      </c>
      <c r="M964" t="s">
        <v>21</v>
      </c>
      <c r="N964">
        <v>37</v>
      </c>
    </row>
    <row r="965" spans="1:14" x14ac:dyDescent="0.35">
      <c r="A965" t="s">
        <v>1896</v>
      </c>
      <c r="B965" t="s">
        <v>55</v>
      </c>
      <c r="C965" t="s">
        <v>24</v>
      </c>
      <c r="D965" t="s">
        <v>25</v>
      </c>
      <c r="E965">
        <v>60</v>
      </c>
      <c r="F965" t="s">
        <v>31</v>
      </c>
      <c r="G965" t="s">
        <v>88</v>
      </c>
      <c r="H965" t="s">
        <v>1897</v>
      </c>
      <c r="I965">
        <v>16</v>
      </c>
      <c r="J965">
        <v>23</v>
      </c>
      <c r="K965">
        <v>461259</v>
      </c>
      <c r="L965">
        <v>3.9</v>
      </c>
      <c r="M965" t="s">
        <v>21</v>
      </c>
      <c r="N965">
        <v>68</v>
      </c>
    </row>
    <row r="966" spans="1:14" x14ac:dyDescent="0.35">
      <c r="A966" t="s">
        <v>1898</v>
      </c>
      <c r="B966" t="s">
        <v>29</v>
      </c>
      <c r="C966" t="s">
        <v>36</v>
      </c>
      <c r="D966" t="s">
        <v>25</v>
      </c>
      <c r="E966">
        <v>41</v>
      </c>
      <c r="F966" t="s">
        <v>46</v>
      </c>
      <c r="G966" t="s">
        <v>85</v>
      </c>
      <c r="H966" t="s">
        <v>1899</v>
      </c>
      <c r="I966">
        <v>15</v>
      </c>
      <c r="J966">
        <v>19</v>
      </c>
      <c r="K966">
        <v>55862</v>
      </c>
      <c r="L966">
        <v>4.7</v>
      </c>
      <c r="M966" t="s">
        <v>21</v>
      </c>
      <c r="N966">
        <v>47</v>
      </c>
    </row>
    <row r="967" spans="1:14" x14ac:dyDescent="0.35">
      <c r="A967" t="s">
        <v>1900</v>
      </c>
      <c r="B967" t="s">
        <v>111</v>
      </c>
      <c r="C967" t="s">
        <v>49</v>
      </c>
      <c r="D967" t="s">
        <v>25</v>
      </c>
      <c r="E967">
        <v>46</v>
      </c>
      <c r="F967" t="s">
        <v>79</v>
      </c>
      <c r="G967" t="s">
        <v>41</v>
      </c>
      <c r="H967" t="s">
        <v>1901</v>
      </c>
      <c r="I967">
        <v>6</v>
      </c>
      <c r="J967">
        <v>7</v>
      </c>
      <c r="K967">
        <v>225438</v>
      </c>
      <c r="L967">
        <v>2.6</v>
      </c>
      <c r="M967" t="s">
        <v>43</v>
      </c>
      <c r="N967">
        <v>96</v>
      </c>
    </row>
    <row r="968" spans="1:14" x14ac:dyDescent="0.35">
      <c r="A968" t="s">
        <v>1902</v>
      </c>
      <c r="B968" t="s">
        <v>35</v>
      </c>
      <c r="C968" t="s">
        <v>93</v>
      </c>
      <c r="D968" t="s">
        <v>17</v>
      </c>
      <c r="E968">
        <v>60</v>
      </c>
      <c r="F968" t="s">
        <v>37</v>
      </c>
      <c r="G968" t="s">
        <v>26</v>
      </c>
      <c r="H968" t="s">
        <v>1903</v>
      </c>
      <c r="I968">
        <v>5</v>
      </c>
      <c r="J968">
        <v>9</v>
      </c>
      <c r="K968">
        <v>72772</v>
      </c>
      <c r="L968">
        <v>5</v>
      </c>
      <c r="M968" t="s">
        <v>21</v>
      </c>
      <c r="N968">
        <v>53</v>
      </c>
    </row>
    <row r="969" spans="1:14" x14ac:dyDescent="0.35">
      <c r="A969" t="s">
        <v>1904</v>
      </c>
      <c r="B969" t="s">
        <v>23</v>
      </c>
      <c r="C969" t="s">
        <v>49</v>
      </c>
      <c r="D969" t="s">
        <v>25</v>
      </c>
      <c r="E969">
        <v>35</v>
      </c>
      <c r="F969" t="s">
        <v>74</v>
      </c>
      <c r="G969" t="s">
        <v>57</v>
      </c>
      <c r="H969" t="s">
        <v>1905</v>
      </c>
      <c r="I969">
        <v>5</v>
      </c>
      <c r="J969">
        <v>12</v>
      </c>
      <c r="K969">
        <v>450645</v>
      </c>
      <c r="L969">
        <v>2.6</v>
      </c>
      <c r="M969" t="s">
        <v>43</v>
      </c>
      <c r="N969">
        <v>83</v>
      </c>
    </row>
    <row r="970" spans="1:14" x14ac:dyDescent="0.35">
      <c r="A970" t="s">
        <v>1906</v>
      </c>
      <c r="B970" t="s">
        <v>96</v>
      </c>
      <c r="C970" t="s">
        <v>64</v>
      </c>
      <c r="D970" t="s">
        <v>25</v>
      </c>
      <c r="E970">
        <v>29</v>
      </c>
      <c r="F970" t="s">
        <v>46</v>
      </c>
      <c r="G970" t="s">
        <v>75</v>
      </c>
      <c r="H970" t="s">
        <v>1907</v>
      </c>
      <c r="I970">
        <v>15</v>
      </c>
      <c r="J970">
        <v>23</v>
      </c>
      <c r="K970">
        <v>153440</v>
      </c>
      <c r="L970">
        <v>4.8</v>
      </c>
      <c r="M970" t="s">
        <v>43</v>
      </c>
      <c r="N970">
        <v>76</v>
      </c>
    </row>
    <row r="971" spans="1:14" x14ac:dyDescent="0.35">
      <c r="A971" t="s">
        <v>1908</v>
      </c>
      <c r="B971" t="s">
        <v>111</v>
      </c>
      <c r="C971" t="s">
        <v>49</v>
      </c>
      <c r="D971" t="s">
        <v>25</v>
      </c>
      <c r="E971">
        <v>44</v>
      </c>
      <c r="F971" t="s">
        <v>46</v>
      </c>
      <c r="G971" t="s">
        <v>88</v>
      </c>
      <c r="H971" t="s">
        <v>1909</v>
      </c>
      <c r="I971">
        <v>11</v>
      </c>
      <c r="J971">
        <v>21</v>
      </c>
      <c r="K971">
        <v>385714</v>
      </c>
      <c r="L971">
        <v>4.3</v>
      </c>
      <c r="M971" t="s">
        <v>43</v>
      </c>
      <c r="N971">
        <v>99</v>
      </c>
    </row>
    <row r="972" spans="1:14" x14ac:dyDescent="0.35">
      <c r="A972" t="s">
        <v>1910</v>
      </c>
      <c r="B972" t="s">
        <v>111</v>
      </c>
      <c r="C972" t="s">
        <v>16</v>
      </c>
      <c r="D972" t="s">
        <v>17</v>
      </c>
      <c r="E972">
        <v>52</v>
      </c>
      <c r="F972" t="s">
        <v>37</v>
      </c>
      <c r="G972" t="s">
        <v>32</v>
      </c>
      <c r="H972" t="s">
        <v>1911</v>
      </c>
      <c r="I972">
        <v>1</v>
      </c>
      <c r="J972">
        <v>9</v>
      </c>
      <c r="K972">
        <v>231353</v>
      </c>
      <c r="L972">
        <v>2.6</v>
      </c>
      <c r="M972" t="s">
        <v>43</v>
      </c>
      <c r="N972">
        <v>80</v>
      </c>
    </row>
    <row r="973" spans="1:14" x14ac:dyDescent="0.35">
      <c r="A973" t="s">
        <v>1912</v>
      </c>
      <c r="B973" t="s">
        <v>45</v>
      </c>
      <c r="C973" t="s">
        <v>56</v>
      </c>
      <c r="D973" t="s">
        <v>25</v>
      </c>
      <c r="E973">
        <v>29</v>
      </c>
      <c r="F973" t="s">
        <v>31</v>
      </c>
      <c r="G973" t="s">
        <v>19</v>
      </c>
      <c r="H973" t="s">
        <v>1913</v>
      </c>
      <c r="I973">
        <v>3</v>
      </c>
      <c r="J973">
        <v>9</v>
      </c>
      <c r="K973">
        <v>218460</v>
      </c>
      <c r="L973">
        <v>4.5999999999999996</v>
      </c>
      <c r="M973" t="s">
        <v>21</v>
      </c>
      <c r="N973">
        <v>38</v>
      </c>
    </row>
    <row r="974" spans="1:14" x14ac:dyDescent="0.35">
      <c r="A974" t="s">
        <v>1914</v>
      </c>
      <c r="B974" t="s">
        <v>60</v>
      </c>
      <c r="C974" t="s">
        <v>24</v>
      </c>
      <c r="D974" t="s">
        <v>17</v>
      </c>
      <c r="E974">
        <v>21</v>
      </c>
      <c r="F974" t="s">
        <v>79</v>
      </c>
      <c r="G974" t="s">
        <v>85</v>
      </c>
      <c r="H974" t="s">
        <v>1915</v>
      </c>
      <c r="I974">
        <v>3</v>
      </c>
      <c r="J974">
        <v>11</v>
      </c>
      <c r="K974">
        <v>296947</v>
      </c>
      <c r="L974">
        <v>2.2000000000000002</v>
      </c>
      <c r="M974" t="s">
        <v>43</v>
      </c>
      <c r="N974">
        <v>88</v>
      </c>
    </row>
    <row r="975" spans="1:14" x14ac:dyDescent="0.35">
      <c r="A975" t="s">
        <v>1916</v>
      </c>
      <c r="B975" t="s">
        <v>23</v>
      </c>
      <c r="C975" t="s">
        <v>93</v>
      </c>
      <c r="D975" t="s">
        <v>17</v>
      </c>
      <c r="E975">
        <v>23</v>
      </c>
      <c r="F975" t="s">
        <v>18</v>
      </c>
      <c r="G975" t="s">
        <v>61</v>
      </c>
      <c r="H975" t="s">
        <v>1917</v>
      </c>
      <c r="I975">
        <v>13</v>
      </c>
      <c r="J975">
        <v>14</v>
      </c>
      <c r="K975">
        <v>454909</v>
      </c>
      <c r="L975">
        <v>4.4000000000000004</v>
      </c>
      <c r="M975" t="s">
        <v>43</v>
      </c>
      <c r="N975">
        <v>76</v>
      </c>
    </row>
    <row r="976" spans="1:14" x14ac:dyDescent="0.35">
      <c r="A976" t="s">
        <v>1918</v>
      </c>
      <c r="B976" t="s">
        <v>55</v>
      </c>
      <c r="C976" t="s">
        <v>82</v>
      </c>
      <c r="D976" t="s">
        <v>17</v>
      </c>
      <c r="E976">
        <v>51</v>
      </c>
      <c r="F976" t="s">
        <v>70</v>
      </c>
      <c r="G976" t="s">
        <v>61</v>
      </c>
      <c r="H976" t="s">
        <v>1919</v>
      </c>
      <c r="I976">
        <v>13</v>
      </c>
      <c r="J976">
        <v>21</v>
      </c>
      <c r="K976">
        <v>458295</v>
      </c>
      <c r="L976">
        <v>4.7</v>
      </c>
      <c r="M976" t="s">
        <v>43</v>
      </c>
      <c r="N976">
        <v>83</v>
      </c>
    </row>
    <row r="977" spans="1:14" x14ac:dyDescent="0.35">
      <c r="A977" t="s">
        <v>1920</v>
      </c>
      <c r="B977" t="s">
        <v>35</v>
      </c>
      <c r="C977" t="s">
        <v>56</v>
      </c>
      <c r="D977" t="s">
        <v>25</v>
      </c>
      <c r="E977">
        <v>41</v>
      </c>
      <c r="F977" t="s">
        <v>18</v>
      </c>
      <c r="G977" t="s">
        <v>19</v>
      </c>
      <c r="H977" t="s">
        <v>1921</v>
      </c>
      <c r="I977">
        <v>12</v>
      </c>
      <c r="J977">
        <v>19</v>
      </c>
      <c r="K977">
        <v>442150</v>
      </c>
      <c r="L977">
        <v>2</v>
      </c>
      <c r="M977" t="s">
        <v>43</v>
      </c>
      <c r="N977">
        <v>83</v>
      </c>
    </row>
    <row r="978" spans="1:14" x14ac:dyDescent="0.35">
      <c r="A978" t="s">
        <v>1922</v>
      </c>
      <c r="B978" t="s">
        <v>69</v>
      </c>
      <c r="C978" t="s">
        <v>16</v>
      </c>
      <c r="D978" t="s">
        <v>25</v>
      </c>
      <c r="E978">
        <v>30</v>
      </c>
      <c r="F978" t="s">
        <v>70</v>
      </c>
      <c r="G978" t="s">
        <v>32</v>
      </c>
      <c r="H978" t="s">
        <v>1923</v>
      </c>
      <c r="I978">
        <v>18</v>
      </c>
      <c r="J978">
        <v>18</v>
      </c>
      <c r="K978">
        <v>199232</v>
      </c>
      <c r="L978">
        <v>3.7</v>
      </c>
      <c r="M978" t="s">
        <v>43</v>
      </c>
      <c r="N978">
        <v>79</v>
      </c>
    </row>
    <row r="979" spans="1:14" x14ac:dyDescent="0.35">
      <c r="A979" t="s">
        <v>1924</v>
      </c>
      <c r="B979" t="s">
        <v>111</v>
      </c>
      <c r="C979" t="s">
        <v>49</v>
      </c>
      <c r="D979" t="s">
        <v>17</v>
      </c>
      <c r="E979">
        <v>58</v>
      </c>
      <c r="F979" t="s">
        <v>74</v>
      </c>
      <c r="G979" t="s">
        <v>85</v>
      </c>
      <c r="H979" t="s">
        <v>1925</v>
      </c>
      <c r="I979">
        <v>8</v>
      </c>
      <c r="J979">
        <v>15</v>
      </c>
      <c r="K979">
        <v>121555</v>
      </c>
      <c r="L979">
        <v>2.2999999999999998</v>
      </c>
      <c r="M979" t="s">
        <v>43</v>
      </c>
      <c r="N979">
        <v>82</v>
      </c>
    </row>
    <row r="980" spans="1:14" x14ac:dyDescent="0.35">
      <c r="A980" t="s">
        <v>1926</v>
      </c>
      <c r="B980" t="s">
        <v>29</v>
      </c>
      <c r="C980" t="s">
        <v>64</v>
      </c>
      <c r="D980" t="s">
        <v>25</v>
      </c>
      <c r="E980">
        <v>55</v>
      </c>
      <c r="F980" t="s">
        <v>70</v>
      </c>
      <c r="G980" t="s">
        <v>61</v>
      </c>
      <c r="H980" t="s">
        <v>1927</v>
      </c>
      <c r="I980">
        <v>6</v>
      </c>
      <c r="J980">
        <v>11</v>
      </c>
      <c r="K980">
        <v>481559</v>
      </c>
      <c r="L980">
        <v>4.4000000000000004</v>
      </c>
      <c r="M980" t="s">
        <v>43</v>
      </c>
      <c r="N980">
        <v>94</v>
      </c>
    </row>
    <row r="981" spans="1:14" x14ac:dyDescent="0.35">
      <c r="A981" t="s">
        <v>1928</v>
      </c>
      <c r="B981" t="s">
        <v>35</v>
      </c>
      <c r="C981" t="s">
        <v>52</v>
      </c>
      <c r="D981" t="s">
        <v>17</v>
      </c>
      <c r="E981">
        <v>49</v>
      </c>
      <c r="F981" t="s">
        <v>74</v>
      </c>
      <c r="G981" t="s">
        <v>85</v>
      </c>
      <c r="H981" t="s">
        <v>1929</v>
      </c>
      <c r="I981">
        <v>1</v>
      </c>
      <c r="J981">
        <v>8</v>
      </c>
      <c r="K981">
        <v>358579</v>
      </c>
      <c r="L981">
        <v>3</v>
      </c>
      <c r="M981" t="s">
        <v>43</v>
      </c>
      <c r="N981">
        <v>99</v>
      </c>
    </row>
    <row r="982" spans="1:14" x14ac:dyDescent="0.35">
      <c r="A982" t="s">
        <v>1930</v>
      </c>
      <c r="B982" t="s">
        <v>96</v>
      </c>
      <c r="C982" t="s">
        <v>24</v>
      </c>
      <c r="D982" t="s">
        <v>25</v>
      </c>
      <c r="E982">
        <v>25</v>
      </c>
      <c r="F982" t="s">
        <v>31</v>
      </c>
      <c r="G982" t="s">
        <v>85</v>
      </c>
      <c r="H982" t="s">
        <v>1931</v>
      </c>
      <c r="I982">
        <v>8</v>
      </c>
      <c r="J982">
        <v>17</v>
      </c>
      <c r="K982">
        <v>340558</v>
      </c>
      <c r="L982">
        <v>2.6</v>
      </c>
      <c r="M982" t="s">
        <v>43</v>
      </c>
      <c r="N982">
        <v>76</v>
      </c>
    </row>
    <row r="983" spans="1:14" x14ac:dyDescent="0.35">
      <c r="A983" t="s">
        <v>1932</v>
      </c>
      <c r="B983" t="s">
        <v>96</v>
      </c>
      <c r="C983" t="s">
        <v>36</v>
      </c>
      <c r="D983" t="s">
        <v>17</v>
      </c>
      <c r="E983">
        <v>57</v>
      </c>
      <c r="F983" t="s">
        <v>31</v>
      </c>
      <c r="G983" t="s">
        <v>75</v>
      </c>
      <c r="H983" t="s">
        <v>1933</v>
      </c>
      <c r="I983">
        <v>0</v>
      </c>
      <c r="J983">
        <v>2</v>
      </c>
      <c r="K983">
        <v>281836</v>
      </c>
      <c r="L983">
        <v>2.8</v>
      </c>
      <c r="M983" t="s">
        <v>43</v>
      </c>
      <c r="N983">
        <v>97</v>
      </c>
    </row>
    <row r="984" spans="1:14" x14ac:dyDescent="0.35">
      <c r="A984" t="s">
        <v>1934</v>
      </c>
      <c r="B984" t="s">
        <v>45</v>
      </c>
      <c r="C984" t="s">
        <v>82</v>
      </c>
      <c r="D984" t="s">
        <v>25</v>
      </c>
      <c r="E984">
        <v>41</v>
      </c>
      <c r="F984" t="s">
        <v>46</v>
      </c>
      <c r="G984" t="s">
        <v>85</v>
      </c>
      <c r="H984" t="s">
        <v>156</v>
      </c>
      <c r="I984">
        <v>20</v>
      </c>
      <c r="J984">
        <v>29</v>
      </c>
      <c r="K984">
        <v>431253</v>
      </c>
      <c r="L984">
        <v>2.9</v>
      </c>
      <c r="M984" t="s">
        <v>21</v>
      </c>
      <c r="N984">
        <v>37</v>
      </c>
    </row>
    <row r="985" spans="1:14" x14ac:dyDescent="0.35">
      <c r="A985" t="s">
        <v>1935</v>
      </c>
      <c r="B985" t="s">
        <v>40</v>
      </c>
      <c r="C985" t="s">
        <v>16</v>
      </c>
      <c r="D985" t="s">
        <v>25</v>
      </c>
      <c r="E985">
        <v>22</v>
      </c>
      <c r="F985" t="s">
        <v>79</v>
      </c>
      <c r="G985" t="s">
        <v>41</v>
      </c>
      <c r="H985" t="s">
        <v>1936</v>
      </c>
      <c r="I985">
        <v>10</v>
      </c>
      <c r="J985">
        <v>15</v>
      </c>
      <c r="K985">
        <v>387856</v>
      </c>
      <c r="L985">
        <v>3.7</v>
      </c>
      <c r="M985" t="s">
        <v>43</v>
      </c>
      <c r="N985">
        <v>89</v>
      </c>
    </row>
    <row r="986" spans="1:14" x14ac:dyDescent="0.35">
      <c r="A986" t="s">
        <v>1937</v>
      </c>
      <c r="B986" t="s">
        <v>55</v>
      </c>
      <c r="C986" t="s">
        <v>36</v>
      </c>
      <c r="D986" t="s">
        <v>25</v>
      </c>
      <c r="E986">
        <v>45</v>
      </c>
      <c r="F986" t="s">
        <v>74</v>
      </c>
      <c r="G986" t="s">
        <v>32</v>
      </c>
      <c r="H986" t="s">
        <v>663</v>
      </c>
      <c r="I986">
        <v>18</v>
      </c>
      <c r="J986">
        <v>19</v>
      </c>
      <c r="K986">
        <v>395910</v>
      </c>
      <c r="L986">
        <v>3.4</v>
      </c>
      <c r="M986" t="s">
        <v>21</v>
      </c>
      <c r="N986">
        <v>43</v>
      </c>
    </row>
    <row r="987" spans="1:14" x14ac:dyDescent="0.35">
      <c r="A987" t="s">
        <v>1938</v>
      </c>
      <c r="B987" t="s">
        <v>111</v>
      </c>
      <c r="C987" t="s">
        <v>64</v>
      </c>
      <c r="D987" t="s">
        <v>17</v>
      </c>
      <c r="E987">
        <v>46</v>
      </c>
      <c r="F987" t="s">
        <v>70</v>
      </c>
      <c r="G987" t="s">
        <v>85</v>
      </c>
      <c r="H987" t="s">
        <v>1939</v>
      </c>
      <c r="I987">
        <v>12</v>
      </c>
      <c r="J987">
        <v>18</v>
      </c>
      <c r="K987">
        <v>350252</v>
      </c>
      <c r="L987">
        <v>4.9000000000000004</v>
      </c>
      <c r="M987" t="s">
        <v>43</v>
      </c>
      <c r="N987">
        <v>75</v>
      </c>
    </row>
    <row r="988" spans="1:14" x14ac:dyDescent="0.35">
      <c r="A988" t="s">
        <v>1940</v>
      </c>
      <c r="B988" t="s">
        <v>45</v>
      </c>
      <c r="C988" t="s">
        <v>82</v>
      </c>
      <c r="D988" t="s">
        <v>25</v>
      </c>
      <c r="E988">
        <v>26</v>
      </c>
      <c r="F988" t="s">
        <v>79</v>
      </c>
      <c r="G988" t="s">
        <v>88</v>
      </c>
      <c r="H988" t="s">
        <v>1941</v>
      </c>
      <c r="I988">
        <v>11</v>
      </c>
      <c r="J988">
        <v>16</v>
      </c>
      <c r="K988">
        <v>56162</v>
      </c>
      <c r="L988">
        <v>3.2</v>
      </c>
      <c r="M988" t="s">
        <v>43</v>
      </c>
      <c r="N988">
        <v>73</v>
      </c>
    </row>
    <row r="989" spans="1:14" x14ac:dyDescent="0.35">
      <c r="A989" t="s">
        <v>1942</v>
      </c>
      <c r="B989" t="s">
        <v>60</v>
      </c>
      <c r="C989" t="s">
        <v>16</v>
      </c>
      <c r="D989" t="s">
        <v>25</v>
      </c>
      <c r="E989">
        <v>27</v>
      </c>
      <c r="F989" t="s">
        <v>70</v>
      </c>
      <c r="G989" t="s">
        <v>26</v>
      </c>
      <c r="H989" t="s">
        <v>1943</v>
      </c>
      <c r="I989">
        <v>16</v>
      </c>
      <c r="J989">
        <v>21</v>
      </c>
      <c r="K989">
        <v>201057</v>
      </c>
      <c r="L989">
        <v>3.2</v>
      </c>
      <c r="M989" t="s">
        <v>43</v>
      </c>
      <c r="N989">
        <v>83</v>
      </c>
    </row>
    <row r="990" spans="1:14" x14ac:dyDescent="0.35">
      <c r="A990" t="s">
        <v>1944</v>
      </c>
      <c r="B990" t="s">
        <v>96</v>
      </c>
      <c r="C990" t="s">
        <v>36</v>
      </c>
      <c r="D990" t="s">
        <v>17</v>
      </c>
      <c r="E990">
        <v>31</v>
      </c>
      <c r="F990" t="s">
        <v>46</v>
      </c>
      <c r="G990" t="s">
        <v>61</v>
      </c>
      <c r="H990" t="s">
        <v>1945</v>
      </c>
      <c r="I990">
        <v>12</v>
      </c>
      <c r="J990">
        <v>18</v>
      </c>
      <c r="K990">
        <v>463636</v>
      </c>
      <c r="L990">
        <v>3.4</v>
      </c>
      <c r="M990" t="s">
        <v>21</v>
      </c>
      <c r="N990">
        <v>57</v>
      </c>
    </row>
    <row r="991" spans="1:14" x14ac:dyDescent="0.35">
      <c r="A991" t="s">
        <v>1946</v>
      </c>
      <c r="B991" t="s">
        <v>96</v>
      </c>
      <c r="C991" t="s">
        <v>93</v>
      </c>
      <c r="D991" t="s">
        <v>17</v>
      </c>
      <c r="E991">
        <v>30</v>
      </c>
      <c r="F991" t="s">
        <v>31</v>
      </c>
      <c r="G991" t="s">
        <v>85</v>
      </c>
      <c r="H991" t="s">
        <v>1947</v>
      </c>
      <c r="I991">
        <v>3</v>
      </c>
      <c r="J991">
        <v>4</v>
      </c>
      <c r="K991">
        <v>491108</v>
      </c>
      <c r="L991">
        <v>2.8</v>
      </c>
      <c r="M991" t="s">
        <v>21</v>
      </c>
      <c r="N991">
        <v>66</v>
      </c>
    </row>
    <row r="992" spans="1:14" x14ac:dyDescent="0.35">
      <c r="A992" t="s">
        <v>1948</v>
      </c>
      <c r="B992" t="s">
        <v>69</v>
      </c>
      <c r="C992" t="s">
        <v>52</v>
      </c>
      <c r="D992" t="s">
        <v>17</v>
      </c>
      <c r="E992">
        <v>41</v>
      </c>
      <c r="F992" t="s">
        <v>31</v>
      </c>
      <c r="G992" t="s">
        <v>32</v>
      </c>
      <c r="H992" t="s">
        <v>1949</v>
      </c>
      <c r="I992">
        <v>4</v>
      </c>
      <c r="J992">
        <v>5</v>
      </c>
      <c r="K992">
        <v>327873</v>
      </c>
      <c r="L992">
        <v>4.7</v>
      </c>
      <c r="M992" t="s">
        <v>43</v>
      </c>
      <c r="N992">
        <v>100</v>
      </c>
    </row>
    <row r="993" spans="1:14" x14ac:dyDescent="0.35">
      <c r="A993" t="s">
        <v>1950</v>
      </c>
      <c r="B993" t="s">
        <v>35</v>
      </c>
      <c r="C993" t="s">
        <v>16</v>
      </c>
      <c r="D993" t="s">
        <v>25</v>
      </c>
      <c r="E993">
        <v>56</v>
      </c>
      <c r="F993" t="s">
        <v>79</v>
      </c>
      <c r="G993" t="s">
        <v>19</v>
      </c>
      <c r="H993" t="s">
        <v>1951</v>
      </c>
      <c r="I993">
        <v>12</v>
      </c>
      <c r="J993">
        <v>13</v>
      </c>
      <c r="K993">
        <v>227920</v>
      </c>
      <c r="L993">
        <v>4.0999999999999996</v>
      </c>
      <c r="M993" t="s">
        <v>21</v>
      </c>
      <c r="N993">
        <v>57</v>
      </c>
    </row>
    <row r="994" spans="1:14" x14ac:dyDescent="0.35">
      <c r="A994" t="s">
        <v>1952</v>
      </c>
      <c r="B994" t="s">
        <v>55</v>
      </c>
      <c r="C994" t="s">
        <v>56</v>
      </c>
      <c r="D994" t="s">
        <v>17</v>
      </c>
      <c r="E994">
        <v>23</v>
      </c>
      <c r="F994" t="s">
        <v>70</v>
      </c>
      <c r="G994" t="s">
        <v>85</v>
      </c>
      <c r="H994" t="s">
        <v>1953</v>
      </c>
      <c r="I994">
        <v>3</v>
      </c>
      <c r="J994">
        <v>6</v>
      </c>
      <c r="K994">
        <v>139791</v>
      </c>
      <c r="L994">
        <v>2.8</v>
      </c>
      <c r="M994" t="s">
        <v>43</v>
      </c>
      <c r="N994">
        <v>90</v>
      </c>
    </row>
    <row r="995" spans="1:14" x14ac:dyDescent="0.35">
      <c r="A995" t="s">
        <v>1954</v>
      </c>
      <c r="B995" t="s">
        <v>111</v>
      </c>
      <c r="C995" t="s">
        <v>24</v>
      </c>
      <c r="D995" t="s">
        <v>25</v>
      </c>
      <c r="E995">
        <v>50</v>
      </c>
      <c r="F995" t="s">
        <v>37</v>
      </c>
      <c r="G995" t="s">
        <v>85</v>
      </c>
      <c r="H995" t="s">
        <v>1955</v>
      </c>
      <c r="I995">
        <v>16</v>
      </c>
      <c r="J995">
        <v>22</v>
      </c>
      <c r="K995">
        <v>167137</v>
      </c>
      <c r="L995">
        <v>2.6</v>
      </c>
      <c r="M995" t="s">
        <v>43</v>
      </c>
      <c r="N995">
        <v>84</v>
      </c>
    </row>
    <row r="996" spans="1:14" x14ac:dyDescent="0.35">
      <c r="A996" t="s">
        <v>1956</v>
      </c>
      <c r="B996" t="s">
        <v>55</v>
      </c>
      <c r="C996" t="s">
        <v>36</v>
      </c>
      <c r="D996" t="s">
        <v>17</v>
      </c>
      <c r="E996">
        <v>49</v>
      </c>
      <c r="F996" t="s">
        <v>74</v>
      </c>
      <c r="G996" t="s">
        <v>57</v>
      </c>
      <c r="H996" t="s">
        <v>1957</v>
      </c>
      <c r="I996">
        <v>11</v>
      </c>
      <c r="J996">
        <v>13</v>
      </c>
      <c r="K996">
        <v>192749</v>
      </c>
      <c r="L996">
        <v>4.0999999999999996</v>
      </c>
      <c r="M996" t="s">
        <v>21</v>
      </c>
      <c r="N996">
        <v>67</v>
      </c>
    </row>
    <row r="997" spans="1:14" x14ac:dyDescent="0.35">
      <c r="A997" t="s">
        <v>1958</v>
      </c>
      <c r="B997" t="s">
        <v>69</v>
      </c>
      <c r="C997" t="s">
        <v>56</v>
      </c>
      <c r="D997" t="s">
        <v>25</v>
      </c>
      <c r="E997">
        <v>40</v>
      </c>
      <c r="F997" t="s">
        <v>70</v>
      </c>
      <c r="G997" t="s">
        <v>26</v>
      </c>
      <c r="H997" t="s">
        <v>1959</v>
      </c>
      <c r="I997">
        <v>20</v>
      </c>
      <c r="J997">
        <v>28</v>
      </c>
      <c r="K997">
        <v>358204</v>
      </c>
      <c r="L997">
        <v>2</v>
      </c>
      <c r="M997" t="s">
        <v>43</v>
      </c>
      <c r="N997">
        <v>84</v>
      </c>
    </row>
    <row r="998" spans="1:14" x14ac:dyDescent="0.35">
      <c r="A998" t="s">
        <v>1960</v>
      </c>
      <c r="B998" t="s">
        <v>29</v>
      </c>
      <c r="C998" t="s">
        <v>56</v>
      </c>
      <c r="D998" t="s">
        <v>25</v>
      </c>
      <c r="E998">
        <v>54</v>
      </c>
      <c r="F998" t="s">
        <v>46</v>
      </c>
      <c r="G998" t="s">
        <v>41</v>
      </c>
      <c r="H998" t="s">
        <v>1961</v>
      </c>
      <c r="I998">
        <v>13</v>
      </c>
      <c r="J998">
        <v>16</v>
      </c>
      <c r="K998">
        <v>415363</v>
      </c>
      <c r="L998">
        <v>3.1</v>
      </c>
      <c r="M998" t="s">
        <v>43</v>
      </c>
      <c r="N998">
        <v>92</v>
      </c>
    </row>
    <row r="999" spans="1:14" x14ac:dyDescent="0.35">
      <c r="A999" t="s">
        <v>1962</v>
      </c>
      <c r="B999" t="s">
        <v>45</v>
      </c>
      <c r="C999" t="s">
        <v>64</v>
      </c>
      <c r="D999" t="s">
        <v>25</v>
      </c>
      <c r="E999">
        <v>59</v>
      </c>
      <c r="F999" t="s">
        <v>31</v>
      </c>
      <c r="G999" t="s">
        <v>88</v>
      </c>
      <c r="H999" t="s">
        <v>1963</v>
      </c>
      <c r="I999">
        <v>15</v>
      </c>
      <c r="J999">
        <v>22</v>
      </c>
      <c r="K999">
        <v>284802</v>
      </c>
      <c r="L999">
        <v>4</v>
      </c>
      <c r="M999" t="s">
        <v>21</v>
      </c>
      <c r="N999">
        <v>43</v>
      </c>
    </row>
    <row r="1000" spans="1:14" x14ac:dyDescent="0.35">
      <c r="A1000" t="s">
        <v>1964</v>
      </c>
      <c r="B1000" t="s">
        <v>111</v>
      </c>
      <c r="C1000" t="s">
        <v>36</v>
      </c>
      <c r="D1000" t="s">
        <v>25</v>
      </c>
      <c r="E1000">
        <v>27</v>
      </c>
      <c r="F1000" t="s">
        <v>70</v>
      </c>
      <c r="G1000" t="s">
        <v>61</v>
      </c>
      <c r="H1000" t="s">
        <v>1965</v>
      </c>
      <c r="I1000">
        <v>7</v>
      </c>
      <c r="J1000">
        <v>14</v>
      </c>
      <c r="K1000">
        <v>410191</v>
      </c>
      <c r="L1000">
        <v>2.8</v>
      </c>
      <c r="M1000" t="s">
        <v>43</v>
      </c>
      <c r="N1000">
        <v>81</v>
      </c>
    </row>
    <row r="1001" spans="1:14" x14ac:dyDescent="0.35">
      <c r="A1001" t="s">
        <v>1966</v>
      </c>
      <c r="B1001" t="s">
        <v>55</v>
      </c>
      <c r="C1001" t="s">
        <v>16</v>
      </c>
      <c r="D1001" t="s">
        <v>17</v>
      </c>
      <c r="E1001">
        <v>36</v>
      </c>
      <c r="F1001" t="s">
        <v>70</v>
      </c>
      <c r="G1001" t="s">
        <v>61</v>
      </c>
      <c r="H1001" t="s">
        <v>1546</v>
      </c>
      <c r="I1001">
        <v>8</v>
      </c>
      <c r="J1001">
        <v>12</v>
      </c>
      <c r="K1001">
        <v>436148</v>
      </c>
      <c r="L1001">
        <v>4.7</v>
      </c>
      <c r="M1001" t="s">
        <v>43</v>
      </c>
      <c r="N1001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FDE4-56D7-4849-8910-5036E0A03C0B}">
  <dimension ref="A2:B147"/>
  <sheetViews>
    <sheetView topLeftCell="A129" workbookViewId="0">
      <selection activeCell="D149" sqref="D149"/>
    </sheetView>
  </sheetViews>
  <sheetFormatPr defaultRowHeight="14.5" x14ac:dyDescent="0.35"/>
  <cols>
    <col min="1" max="1" width="12.36328125" bestFit="1" customWidth="1"/>
    <col min="2" max="2" width="21.26953125" bestFit="1" customWidth="1"/>
  </cols>
  <sheetData>
    <row r="2" spans="1:2" x14ac:dyDescent="0.35">
      <c r="A2" t="s">
        <v>1984</v>
      </c>
    </row>
    <row r="3" spans="1:2" x14ac:dyDescent="0.35">
      <c r="A3" s="2" t="s">
        <v>1982</v>
      </c>
      <c r="B3" t="s">
        <v>1981</v>
      </c>
    </row>
    <row r="4" spans="1:2" x14ac:dyDescent="0.35">
      <c r="A4" s="3" t="s">
        <v>71</v>
      </c>
      <c r="B4" s="1">
        <v>114</v>
      </c>
    </row>
    <row r="5" spans="1:2" x14ac:dyDescent="0.35">
      <c r="A5" s="3" t="s">
        <v>26</v>
      </c>
      <c r="B5" s="1">
        <v>113</v>
      </c>
    </row>
    <row r="6" spans="1:2" x14ac:dyDescent="0.35">
      <c r="A6" s="3" t="s">
        <v>61</v>
      </c>
      <c r="B6" s="1">
        <v>103</v>
      </c>
    </row>
    <row r="7" spans="1:2" x14ac:dyDescent="0.35">
      <c r="A7" s="3" t="s">
        <v>19</v>
      </c>
      <c r="B7" s="1">
        <v>103</v>
      </c>
    </row>
    <row r="8" spans="1:2" x14ac:dyDescent="0.35">
      <c r="A8" s="3" t="s">
        <v>88</v>
      </c>
      <c r="B8" s="1">
        <v>102</v>
      </c>
    </row>
    <row r="9" spans="1:2" x14ac:dyDescent="0.35">
      <c r="A9" s="3" t="s">
        <v>41</v>
      </c>
      <c r="B9" s="1">
        <v>100</v>
      </c>
    </row>
    <row r="10" spans="1:2" x14ac:dyDescent="0.35">
      <c r="A10" s="3" t="s">
        <v>57</v>
      </c>
      <c r="B10" s="1">
        <v>95</v>
      </c>
    </row>
    <row r="11" spans="1:2" x14ac:dyDescent="0.35">
      <c r="A11" s="3" t="s">
        <v>85</v>
      </c>
      <c r="B11" s="1">
        <v>95</v>
      </c>
    </row>
    <row r="12" spans="1:2" x14ac:dyDescent="0.35">
      <c r="A12" s="3" t="s">
        <v>75</v>
      </c>
      <c r="B12" s="1">
        <v>94</v>
      </c>
    </row>
    <row r="13" spans="1:2" x14ac:dyDescent="0.35">
      <c r="A13" s="3" t="s">
        <v>32</v>
      </c>
      <c r="B13" s="1">
        <v>81</v>
      </c>
    </row>
    <row r="14" spans="1:2" x14ac:dyDescent="0.35">
      <c r="A14" s="3" t="s">
        <v>1983</v>
      </c>
      <c r="B14" s="1">
        <v>1000</v>
      </c>
    </row>
    <row r="21" spans="1:2" x14ac:dyDescent="0.35">
      <c r="A21" t="s">
        <v>1986</v>
      </c>
    </row>
    <row r="22" spans="1:2" x14ac:dyDescent="0.35">
      <c r="A22" s="2" t="s">
        <v>1982</v>
      </c>
      <c r="B22" t="s">
        <v>1985</v>
      </c>
    </row>
    <row r="23" spans="1:2" x14ac:dyDescent="0.35">
      <c r="A23" s="3" t="s">
        <v>43</v>
      </c>
      <c r="B23" s="1">
        <v>7725</v>
      </c>
    </row>
    <row r="24" spans="1:2" x14ac:dyDescent="0.35">
      <c r="A24" s="3" t="s">
        <v>21</v>
      </c>
      <c r="B24" s="1">
        <v>7357</v>
      </c>
    </row>
    <row r="25" spans="1:2" x14ac:dyDescent="0.35">
      <c r="A25" s="3" t="s">
        <v>1983</v>
      </c>
      <c r="B25" s="1">
        <v>15082</v>
      </c>
    </row>
    <row r="34" spans="1:2" x14ac:dyDescent="0.35">
      <c r="A34" t="s">
        <v>1988</v>
      </c>
    </row>
    <row r="35" spans="1:2" x14ac:dyDescent="0.35">
      <c r="A35" s="2" t="s">
        <v>1982</v>
      </c>
      <c r="B35" t="s">
        <v>1987</v>
      </c>
    </row>
    <row r="36" spans="1:2" x14ac:dyDescent="0.35">
      <c r="A36" s="3" t="s">
        <v>70</v>
      </c>
      <c r="B36" s="1">
        <v>510.2</v>
      </c>
    </row>
    <row r="37" spans="1:2" x14ac:dyDescent="0.35">
      <c r="A37" s="3" t="s">
        <v>37</v>
      </c>
      <c r="B37" s="1">
        <v>448.60000000000008</v>
      </c>
    </row>
    <row r="38" spans="1:2" x14ac:dyDescent="0.35">
      <c r="A38" s="3" t="s">
        <v>18</v>
      </c>
      <c r="B38" s="1">
        <v>484.7</v>
      </c>
    </row>
    <row r="39" spans="1:2" x14ac:dyDescent="0.35">
      <c r="A39" s="3" t="s">
        <v>31</v>
      </c>
      <c r="B39" s="1">
        <v>502.7</v>
      </c>
    </row>
    <row r="40" spans="1:2" x14ac:dyDescent="0.35">
      <c r="A40" s="3" t="s">
        <v>74</v>
      </c>
      <c r="B40" s="1">
        <v>592.49999999999977</v>
      </c>
    </row>
    <row r="41" spans="1:2" x14ac:dyDescent="0.35">
      <c r="A41" s="3" t="s">
        <v>79</v>
      </c>
      <c r="B41" s="1">
        <v>468.60000000000014</v>
      </c>
    </row>
    <row r="42" spans="1:2" x14ac:dyDescent="0.35">
      <c r="A42" s="3" t="s">
        <v>46</v>
      </c>
      <c r="B42" s="1">
        <v>484.59999999999991</v>
      </c>
    </row>
    <row r="43" spans="1:2" x14ac:dyDescent="0.35">
      <c r="A43" s="3" t="s">
        <v>1983</v>
      </c>
      <c r="B43" s="1">
        <v>3491.9</v>
      </c>
    </row>
    <row r="53" spans="1:2" x14ac:dyDescent="0.35">
      <c r="A53" t="s">
        <v>1990</v>
      </c>
    </row>
    <row r="54" spans="1:2" x14ac:dyDescent="0.35">
      <c r="A54" s="2" t="s">
        <v>1982</v>
      </c>
      <c r="B54" t="s">
        <v>1989</v>
      </c>
    </row>
    <row r="55" spans="1:2" x14ac:dyDescent="0.35">
      <c r="A55" s="3" t="s">
        <v>74</v>
      </c>
      <c r="B55" s="1">
        <v>164</v>
      </c>
    </row>
    <row r="56" spans="1:2" x14ac:dyDescent="0.35">
      <c r="A56" s="3" t="s">
        <v>70</v>
      </c>
      <c r="B56" s="1">
        <v>151</v>
      </c>
    </row>
    <row r="57" spans="1:2" x14ac:dyDescent="0.35">
      <c r="A57" s="3" t="s">
        <v>31</v>
      </c>
      <c r="B57" s="1">
        <v>149</v>
      </c>
    </row>
    <row r="58" spans="1:2" x14ac:dyDescent="0.35">
      <c r="A58" s="3" t="s">
        <v>18</v>
      </c>
      <c r="B58" s="1">
        <v>137</v>
      </c>
    </row>
    <row r="59" spans="1:2" x14ac:dyDescent="0.35">
      <c r="A59" s="3" t="s">
        <v>79</v>
      </c>
      <c r="B59" s="1">
        <v>136</v>
      </c>
    </row>
    <row r="60" spans="1:2" x14ac:dyDescent="0.35">
      <c r="A60" s="3" t="s">
        <v>46</v>
      </c>
      <c r="B60" s="1">
        <v>134</v>
      </c>
    </row>
    <row r="61" spans="1:2" x14ac:dyDescent="0.35">
      <c r="A61" s="3" t="s">
        <v>37</v>
      </c>
      <c r="B61" s="1">
        <v>129</v>
      </c>
    </row>
    <row r="62" spans="1:2" x14ac:dyDescent="0.35">
      <c r="A62" s="3" t="s">
        <v>1983</v>
      </c>
      <c r="B62" s="1">
        <v>1000</v>
      </c>
    </row>
    <row r="70" spans="1:2" x14ac:dyDescent="0.35">
      <c r="A70" t="s">
        <v>1991</v>
      </c>
    </row>
    <row r="71" spans="1:2" x14ac:dyDescent="0.35">
      <c r="A71" s="2" t="s">
        <v>1982</v>
      </c>
      <c r="B71" t="s">
        <v>1989</v>
      </c>
    </row>
    <row r="72" spans="1:2" x14ac:dyDescent="0.35">
      <c r="A72" s="3" t="s">
        <v>25</v>
      </c>
      <c r="B72" s="1">
        <v>503</v>
      </c>
    </row>
    <row r="73" spans="1:2" x14ac:dyDescent="0.35">
      <c r="A73" s="3" t="s">
        <v>17</v>
      </c>
      <c r="B73" s="1">
        <v>497</v>
      </c>
    </row>
    <row r="74" spans="1:2" x14ac:dyDescent="0.35">
      <c r="A74" s="3" t="s">
        <v>1983</v>
      </c>
      <c r="B74" s="1">
        <v>1000</v>
      </c>
    </row>
    <row r="82" spans="1:2" x14ac:dyDescent="0.35">
      <c r="A82" t="s">
        <v>1992</v>
      </c>
    </row>
    <row r="83" spans="1:2" x14ac:dyDescent="0.35">
      <c r="A83" s="2" t="s">
        <v>1982</v>
      </c>
      <c r="B83" t="s">
        <v>1989</v>
      </c>
    </row>
    <row r="84" spans="1:2" x14ac:dyDescent="0.35">
      <c r="A84" s="3" t="s">
        <v>19</v>
      </c>
      <c r="B84" s="1">
        <v>103</v>
      </c>
    </row>
    <row r="85" spans="1:2" x14ac:dyDescent="0.35">
      <c r="A85" s="3" t="s">
        <v>57</v>
      </c>
      <c r="B85" s="1">
        <v>95</v>
      </c>
    </row>
    <row r="86" spans="1:2" x14ac:dyDescent="0.35">
      <c r="A86" s="3" t="s">
        <v>41</v>
      </c>
      <c r="B86" s="1">
        <v>100</v>
      </c>
    </row>
    <row r="87" spans="1:2" x14ac:dyDescent="0.35">
      <c r="A87" s="3" t="s">
        <v>71</v>
      </c>
      <c r="B87" s="1">
        <v>114</v>
      </c>
    </row>
    <row r="88" spans="1:2" x14ac:dyDescent="0.35">
      <c r="A88" s="3" t="s">
        <v>85</v>
      </c>
      <c r="B88" s="1">
        <v>95</v>
      </c>
    </row>
    <row r="89" spans="1:2" x14ac:dyDescent="0.35">
      <c r="A89" s="3" t="s">
        <v>61</v>
      </c>
      <c r="B89" s="1">
        <v>103</v>
      </c>
    </row>
    <row r="90" spans="1:2" x14ac:dyDescent="0.35">
      <c r="A90" s="3" t="s">
        <v>26</v>
      </c>
      <c r="B90" s="1">
        <v>113</v>
      </c>
    </row>
    <row r="91" spans="1:2" x14ac:dyDescent="0.35">
      <c r="A91" s="3" t="s">
        <v>88</v>
      </c>
      <c r="B91" s="1">
        <v>102</v>
      </c>
    </row>
    <row r="92" spans="1:2" x14ac:dyDescent="0.35">
      <c r="A92" s="3" t="s">
        <v>75</v>
      </c>
      <c r="B92" s="1">
        <v>94</v>
      </c>
    </row>
    <row r="93" spans="1:2" x14ac:dyDescent="0.35">
      <c r="A93" s="3" t="s">
        <v>32</v>
      </c>
      <c r="B93" s="1">
        <v>81</v>
      </c>
    </row>
    <row r="94" spans="1:2" x14ac:dyDescent="0.35">
      <c r="A94" s="3" t="s">
        <v>1983</v>
      </c>
      <c r="B94" s="1">
        <v>1000</v>
      </c>
    </row>
    <row r="101" spans="1:2" x14ac:dyDescent="0.35">
      <c r="A101" t="s">
        <v>1993</v>
      </c>
    </row>
    <row r="102" spans="1:2" x14ac:dyDescent="0.35">
      <c r="A102" s="2" t="s">
        <v>1982</v>
      </c>
      <c r="B102" t="s">
        <v>1989</v>
      </c>
    </row>
    <row r="103" spans="1:2" x14ac:dyDescent="0.35">
      <c r="A103" s="3">
        <v>2</v>
      </c>
      <c r="B103" s="1">
        <v>38</v>
      </c>
    </row>
    <row r="104" spans="1:2" x14ac:dyDescent="0.35">
      <c r="A104" s="3">
        <v>2.1</v>
      </c>
      <c r="B104" s="1">
        <v>40</v>
      </c>
    </row>
    <row r="105" spans="1:2" x14ac:dyDescent="0.35">
      <c r="A105" s="3">
        <v>2.2000000000000002</v>
      </c>
      <c r="B105" s="1">
        <v>31</v>
      </c>
    </row>
    <row r="106" spans="1:2" x14ac:dyDescent="0.35">
      <c r="A106" s="3">
        <v>2.2999999999999998</v>
      </c>
      <c r="B106" s="1">
        <v>34</v>
      </c>
    </row>
    <row r="107" spans="1:2" x14ac:dyDescent="0.35">
      <c r="A107" s="3">
        <v>2.4</v>
      </c>
      <c r="B107" s="1">
        <v>27</v>
      </c>
    </row>
    <row r="108" spans="1:2" x14ac:dyDescent="0.35">
      <c r="A108" s="3">
        <v>2.5</v>
      </c>
      <c r="B108" s="1">
        <v>34</v>
      </c>
    </row>
    <row r="109" spans="1:2" x14ac:dyDescent="0.35">
      <c r="A109" s="3">
        <v>2.6</v>
      </c>
      <c r="B109" s="1">
        <v>38</v>
      </c>
    </row>
    <row r="110" spans="1:2" x14ac:dyDescent="0.35">
      <c r="A110" s="3">
        <v>2.7</v>
      </c>
      <c r="B110" s="1">
        <v>31</v>
      </c>
    </row>
    <row r="111" spans="1:2" x14ac:dyDescent="0.35">
      <c r="A111" s="3">
        <v>2.8</v>
      </c>
      <c r="B111" s="1">
        <v>26</v>
      </c>
    </row>
    <row r="112" spans="1:2" x14ac:dyDescent="0.35">
      <c r="A112" s="3">
        <v>2.9</v>
      </c>
      <c r="B112" s="1">
        <v>30</v>
      </c>
    </row>
    <row r="113" spans="1:2" x14ac:dyDescent="0.35">
      <c r="A113" s="3">
        <v>3</v>
      </c>
      <c r="B113" s="1">
        <v>21</v>
      </c>
    </row>
    <row r="114" spans="1:2" x14ac:dyDescent="0.35">
      <c r="A114" s="3">
        <v>3.1</v>
      </c>
      <c r="B114" s="1">
        <v>37</v>
      </c>
    </row>
    <row r="115" spans="1:2" x14ac:dyDescent="0.35">
      <c r="A115" s="3">
        <v>3.2</v>
      </c>
      <c r="B115" s="1">
        <v>33</v>
      </c>
    </row>
    <row r="116" spans="1:2" x14ac:dyDescent="0.35">
      <c r="A116" s="3">
        <v>3.3</v>
      </c>
      <c r="B116" s="1">
        <v>27</v>
      </c>
    </row>
    <row r="117" spans="1:2" x14ac:dyDescent="0.35">
      <c r="A117" s="3">
        <v>3.4</v>
      </c>
      <c r="B117" s="1">
        <v>25</v>
      </c>
    </row>
    <row r="118" spans="1:2" x14ac:dyDescent="0.35">
      <c r="A118" s="3">
        <v>3.5</v>
      </c>
      <c r="B118" s="1">
        <v>36</v>
      </c>
    </row>
    <row r="119" spans="1:2" x14ac:dyDescent="0.35">
      <c r="A119" s="3">
        <v>3.6</v>
      </c>
      <c r="B119" s="1">
        <v>29</v>
      </c>
    </row>
    <row r="120" spans="1:2" x14ac:dyDescent="0.35">
      <c r="A120" s="3">
        <v>3.7</v>
      </c>
      <c r="B120" s="1">
        <v>42</v>
      </c>
    </row>
    <row r="121" spans="1:2" x14ac:dyDescent="0.35">
      <c r="A121" s="3">
        <v>3.8</v>
      </c>
      <c r="B121" s="1">
        <v>32</v>
      </c>
    </row>
    <row r="122" spans="1:2" x14ac:dyDescent="0.35">
      <c r="A122" s="3">
        <v>3.9</v>
      </c>
      <c r="B122" s="1">
        <v>37</v>
      </c>
    </row>
    <row r="123" spans="1:2" x14ac:dyDescent="0.35">
      <c r="A123" s="3">
        <v>4</v>
      </c>
      <c r="B123" s="1">
        <v>27</v>
      </c>
    </row>
    <row r="124" spans="1:2" x14ac:dyDescent="0.35">
      <c r="A124" s="3">
        <v>4.0999999999999996</v>
      </c>
      <c r="B124" s="1">
        <v>34</v>
      </c>
    </row>
    <row r="125" spans="1:2" x14ac:dyDescent="0.35">
      <c r="A125" s="3">
        <v>4.2</v>
      </c>
      <c r="B125" s="1">
        <v>31</v>
      </c>
    </row>
    <row r="126" spans="1:2" x14ac:dyDescent="0.35">
      <c r="A126" s="3">
        <v>4.3</v>
      </c>
      <c r="B126" s="1">
        <v>43</v>
      </c>
    </row>
    <row r="127" spans="1:2" x14ac:dyDescent="0.35">
      <c r="A127" s="3">
        <v>4.4000000000000004</v>
      </c>
      <c r="B127" s="1">
        <v>31</v>
      </c>
    </row>
    <row r="128" spans="1:2" x14ac:dyDescent="0.35">
      <c r="A128" s="3">
        <v>4.5</v>
      </c>
      <c r="B128" s="1">
        <v>33</v>
      </c>
    </row>
    <row r="129" spans="1:2" x14ac:dyDescent="0.35">
      <c r="A129" s="3">
        <v>4.5999999999999996</v>
      </c>
      <c r="B129" s="1">
        <v>22</v>
      </c>
    </row>
    <row r="130" spans="1:2" x14ac:dyDescent="0.35">
      <c r="A130" s="3">
        <v>4.7</v>
      </c>
      <c r="B130" s="1">
        <v>37</v>
      </c>
    </row>
    <row r="131" spans="1:2" x14ac:dyDescent="0.35">
      <c r="A131" s="3">
        <v>4.8</v>
      </c>
      <c r="B131" s="1">
        <v>27</v>
      </c>
    </row>
    <row r="132" spans="1:2" x14ac:dyDescent="0.35">
      <c r="A132" s="3">
        <v>4.9000000000000004</v>
      </c>
      <c r="B132" s="1">
        <v>28</v>
      </c>
    </row>
    <row r="133" spans="1:2" x14ac:dyDescent="0.35">
      <c r="A133" s="3">
        <v>5</v>
      </c>
      <c r="B133" s="1">
        <v>39</v>
      </c>
    </row>
    <row r="134" spans="1:2" x14ac:dyDescent="0.35">
      <c r="A134" s="3" t="s">
        <v>1983</v>
      </c>
      <c r="B134" s="1">
        <v>1000</v>
      </c>
    </row>
    <row r="143" spans="1:2" x14ac:dyDescent="0.35">
      <c r="A143" t="s">
        <v>1986</v>
      </c>
    </row>
    <row r="144" spans="1:2" x14ac:dyDescent="0.35">
      <c r="A144" s="2" t="s">
        <v>1982</v>
      </c>
      <c r="B144" t="s">
        <v>1985</v>
      </c>
    </row>
    <row r="145" spans="1:2" x14ac:dyDescent="0.35">
      <c r="A145" s="3" t="s">
        <v>43</v>
      </c>
      <c r="B145" s="1">
        <v>7725</v>
      </c>
    </row>
    <row r="146" spans="1:2" x14ac:dyDescent="0.35">
      <c r="A146" s="3" t="s">
        <v>21</v>
      </c>
      <c r="B146" s="1">
        <v>7357</v>
      </c>
    </row>
    <row r="147" spans="1:2" x14ac:dyDescent="0.35">
      <c r="A147" s="3" t="s">
        <v>1983</v>
      </c>
      <c r="B147" s="1">
        <v>15082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76A2-4CAC-41AD-8450-1CB4EE5A8541}">
  <dimension ref="A1:AD1001"/>
  <sheetViews>
    <sheetView tabSelected="1" topLeftCell="U1" workbookViewId="0">
      <selection activeCell="AE1" sqref="AE1"/>
    </sheetView>
  </sheetViews>
  <sheetFormatPr defaultRowHeight="14.5" x14ac:dyDescent="0.35"/>
  <cols>
    <col min="1" max="1" width="12.81640625" customWidth="1"/>
    <col min="2" max="2" width="11.36328125" customWidth="1"/>
    <col min="3" max="3" width="11.08984375" customWidth="1"/>
    <col min="4" max="4" width="9" customWidth="1"/>
    <col min="6" max="6" width="13.08984375" customWidth="1"/>
    <col min="7" max="7" width="14.6328125" customWidth="1"/>
    <col min="8" max="8" width="10.26953125" customWidth="1"/>
    <col min="9" max="9" width="17.1796875" customWidth="1"/>
    <col min="10" max="10" width="20.7265625" customWidth="1"/>
    <col min="12" max="12" width="18.90625" customWidth="1"/>
    <col min="13" max="13" width="15.26953125" customWidth="1"/>
    <col min="14" max="14" width="21.36328125" customWidth="1"/>
    <col min="15" max="15" width="22.54296875" customWidth="1"/>
    <col min="16" max="16" width="15.36328125" customWidth="1"/>
    <col min="17" max="17" width="16.90625" customWidth="1"/>
    <col min="18" max="18" width="12.81640625" customWidth="1"/>
    <col min="20" max="20" width="15.1796875" customWidth="1"/>
    <col min="21" max="21" width="16" customWidth="1"/>
    <col min="22" max="22" width="17.1796875" customWidth="1"/>
    <col min="23" max="23" width="17.7265625" customWidth="1"/>
    <col min="24" max="24" width="8.7265625" customWidth="1"/>
    <col min="28" max="28" width="23.1796875" customWidth="1"/>
    <col min="30" max="30" width="18.2695312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1967</v>
      </c>
      <c r="P1" t="s">
        <v>1968</v>
      </c>
      <c r="Q1" t="s">
        <v>1969</v>
      </c>
      <c r="R1" t="s">
        <v>1970</v>
      </c>
      <c r="S1" t="s">
        <v>1971</v>
      </c>
      <c r="T1" t="s">
        <v>1972</v>
      </c>
      <c r="U1" t="s">
        <v>1973</v>
      </c>
      <c r="V1" t="s">
        <v>1974</v>
      </c>
      <c r="W1" t="s">
        <v>1975</v>
      </c>
      <c r="X1" t="s">
        <v>1976</v>
      </c>
      <c r="Y1" t="s">
        <v>1977</v>
      </c>
      <c r="Z1" t="s">
        <v>1978</v>
      </c>
      <c r="AA1" t="s">
        <v>1979</v>
      </c>
      <c r="AB1" t="s">
        <v>1980</v>
      </c>
      <c r="AC1" t="s">
        <v>1994</v>
      </c>
      <c r="AD1" t="s">
        <v>1995</v>
      </c>
    </row>
    <row r="2" spans="1:30" x14ac:dyDescent="0.35">
      <c r="A2" t="s">
        <v>14</v>
      </c>
      <c r="B2" t="s">
        <v>15</v>
      </c>
      <c r="C2" t="s">
        <v>16</v>
      </c>
      <c r="D2" t="s">
        <v>17</v>
      </c>
      <c r="E2">
        <v>22</v>
      </c>
      <c r="F2" t="s">
        <v>18</v>
      </c>
      <c r="G2" t="s">
        <v>19</v>
      </c>
      <c r="H2" t="s">
        <v>20</v>
      </c>
      <c r="I2">
        <v>6</v>
      </c>
      <c r="J2">
        <v>12</v>
      </c>
      <c r="K2">
        <v>76973</v>
      </c>
      <c r="L2">
        <v>2.7</v>
      </c>
      <c r="M2" t="s">
        <v>21</v>
      </c>
      <c r="N2">
        <v>59</v>
      </c>
      <c r="O2">
        <f t="shared" ref="O2:O65" si="0">COUNTA(A2:A1001)</f>
        <v>1000</v>
      </c>
      <c r="P2">
        <f t="shared" ref="P2:P65" si="1">COUNTIF(D2:D1001,"Male")</f>
        <v>497</v>
      </c>
      <c r="Q2">
        <f t="shared" ref="Q2:Q65" si="2">COUNTIF(D2:D1001,"Female")</f>
        <v>503</v>
      </c>
      <c r="R2">
        <f t="shared" ref="R2:R65" si="3">497/1001*100</f>
        <v>49.650349650349654</v>
      </c>
      <c r="S2" s="1">
        <f t="shared" ref="S2:S65" si="4">503/1001*100</f>
        <v>50.24975024975025</v>
      </c>
      <c r="T2" s="1">
        <f t="shared" ref="T2:T65" si="5">COUNTIF(M2:M1001,"Yes")</f>
        <v>475</v>
      </c>
      <c r="U2" s="1">
        <f t="shared" ref="U2:U65" si="6">COUNTIF(M2:M1001,"No")</f>
        <v>525</v>
      </c>
      <c r="V2" s="1">
        <f t="shared" ref="V2:V65" si="7">475/1000*100</f>
        <v>47.5</v>
      </c>
      <c r="W2" s="1">
        <f t="shared" ref="W2:W65" si="8">525/1000*100</f>
        <v>52.5</v>
      </c>
      <c r="X2" s="1">
        <f t="shared" ref="X2:X65" si="9">AVERAGE(J2:J1001)</f>
        <v>15.082000000000001</v>
      </c>
      <c r="Y2" s="1">
        <f t="shared" ref="Y2:Y65" si="10">COUNTIF(F2:F1001,"Marketing")</f>
        <v>164</v>
      </c>
      <c r="Z2" s="1">
        <f t="shared" ref="Z2:Z65" si="11">COUNTIF(F2:F1001,"IT")</f>
        <v>149</v>
      </c>
      <c r="AA2" s="1">
        <f t="shared" ref="AA2:AA65" si="12">AVERAGEIF(F2:F1001,"Marketing",L2:L1001)</f>
        <v>3.6128048780487791</v>
      </c>
      <c r="AB2" s="1">
        <f t="shared" ref="AB2:AB65" si="13">AVERAGEIF(F2:F1001,"IT",L2:L1001)</f>
        <v>3.3738255033557047</v>
      </c>
      <c r="AC2" s="1">
        <f t="shared" ref="AC2:AC65" si="14">IF(M2="yes",1,0)</f>
        <v>1</v>
      </c>
      <c r="AD2" s="1">
        <f t="shared" ref="AD2:AD65" si="15">CORREL(J2:J1001,AC2:AC1001)</f>
        <v>5.5972969927908053E-2</v>
      </c>
    </row>
    <row r="3" spans="1:30" x14ac:dyDescent="0.35">
      <c r="A3" t="s">
        <v>22</v>
      </c>
      <c r="B3" t="s">
        <v>23</v>
      </c>
      <c r="C3" t="s">
        <v>24</v>
      </c>
      <c r="D3" t="s">
        <v>25</v>
      </c>
      <c r="E3">
        <v>44</v>
      </c>
      <c r="F3" t="s">
        <v>18</v>
      </c>
      <c r="G3" t="s">
        <v>26</v>
      </c>
      <c r="H3" t="s">
        <v>27</v>
      </c>
      <c r="I3">
        <v>1</v>
      </c>
      <c r="J3">
        <v>4</v>
      </c>
      <c r="K3">
        <v>322395</v>
      </c>
      <c r="L3">
        <v>2.2000000000000002</v>
      </c>
      <c r="M3" t="s">
        <v>21</v>
      </c>
      <c r="N3">
        <v>41</v>
      </c>
      <c r="O3">
        <f t="shared" si="0"/>
        <v>999</v>
      </c>
      <c r="P3">
        <f t="shared" si="1"/>
        <v>496</v>
      </c>
      <c r="Q3">
        <f t="shared" si="2"/>
        <v>503</v>
      </c>
      <c r="R3">
        <f t="shared" si="3"/>
        <v>49.650349650349654</v>
      </c>
      <c r="S3" s="1">
        <f t="shared" si="4"/>
        <v>50.24975024975025</v>
      </c>
      <c r="T3" s="1">
        <f t="shared" si="5"/>
        <v>474</v>
      </c>
      <c r="U3" s="1">
        <f t="shared" si="6"/>
        <v>525</v>
      </c>
      <c r="V3" s="1">
        <f t="shared" si="7"/>
        <v>47.5</v>
      </c>
      <c r="W3" s="1">
        <f t="shared" si="8"/>
        <v>52.5</v>
      </c>
      <c r="X3" s="1">
        <f t="shared" si="9"/>
        <v>15.085085085085085</v>
      </c>
      <c r="Y3" s="1">
        <f t="shared" si="10"/>
        <v>164</v>
      </c>
      <c r="Z3" s="1">
        <f t="shared" si="11"/>
        <v>149</v>
      </c>
      <c r="AA3" s="1">
        <f t="shared" si="12"/>
        <v>3.6128048780487791</v>
      </c>
      <c r="AB3" s="1">
        <f t="shared" si="13"/>
        <v>3.3738255033557047</v>
      </c>
      <c r="AC3" s="1">
        <f t="shared" si="14"/>
        <v>1</v>
      </c>
      <c r="AD3" s="1">
        <f t="shared" si="15"/>
        <v>5.6479455770146375E-2</v>
      </c>
    </row>
    <row r="4" spans="1:30" x14ac:dyDescent="0.35">
      <c r="A4" t="s">
        <v>28</v>
      </c>
      <c r="B4" t="s">
        <v>29</v>
      </c>
      <c r="C4" t="s">
        <v>30</v>
      </c>
      <c r="D4" t="s">
        <v>17</v>
      </c>
      <c r="E4">
        <v>26</v>
      </c>
      <c r="F4" t="s">
        <v>31</v>
      </c>
      <c r="G4" t="s">
        <v>32</v>
      </c>
      <c r="H4" t="s">
        <v>33</v>
      </c>
      <c r="I4">
        <v>15</v>
      </c>
      <c r="J4">
        <v>22</v>
      </c>
      <c r="K4">
        <v>238004</v>
      </c>
      <c r="L4">
        <v>3.7</v>
      </c>
      <c r="M4" t="s">
        <v>21</v>
      </c>
      <c r="N4">
        <v>59</v>
      </c>
      <c r="O4">
        <f t="shared" si="0"/>
        <v>998</v>
      </c>
      <c r="P4">
        <f t="shared" si="1"/>
        <v>496</v>
      </c>
      <c r="Q4">
        <f t="shared" si="2"/>
        <v>502</v>
      </c>
      <c r="R4">
        <f t="shared" si="3"/>
        <v>49.650349650349654</v>
      </c>
      <c r="S4" s="1">
        <f t="shared" si="4"/>
        <v>50.24975024975025</v>
      </c>
      <c r="T4" s="1">
        <f t="shared" si="5"/>
        <v>473</v>
      </c>
      <c r="U4" s="1">
        <f t="shared" si="6"/>
        <v>525</v>
      </c>
      <c r="V4" s="1">
        <f t="shared" si="7"/>
        <v>47.5</v>
      </c>
      <c r="W4" s="1">
        <f t="shared" si="8"/>
        <v>52.5</v>
      </c>
      <c r="X4" s="1">
        <f t="shared" si="9"/>
        <v>15.096192384769539</v>
      </c>
      <c r="Y4" s="1">
        <f t="shared" si="10"/>
        <v>164</v>
      </c>
      <c r="Z4" s="1">
        <f t="shared" si="11"/>
        <v>149</v>
      </c>
      <c r="AA4" s="1">
        <f t="shared" si="12"/>
        <v>3.6128048780487791</v>
      </c>
      <c r="AB4" s="1">
        <f t="shared" si="13"/>
        <v>3.3738255033557047</v>
      </c>
      <c r="AC4" s="1">
        <f t="shared" si="14"/>
        <v>1</v>
      </c>
      <c r="AD4" s="1">
        <f t="shared" si="15"/>
        <v>5.827880732791637E-2</v>
      </c>
    </row>
    <row r="5" spans="1:30" x14ac:dyDescent="0.35">
      <c r="A5" t="s">
        <v>34</v>
      </c>
      <c r="B5" t="s">
        <v>35</v>
      </c>
      <c r="C5" t="s">
        <v>36</v>
      </c>
      <c r="D5" t="s">
        <v>25</v>
      </c>
      <c r="E5">
        <v>45</v>
      </c>
      <c r="F5" t="s">
        <v>37</v>
      </c>
      <c r="G5" t="s">
        <v>26</v>
      </c>
      <c r="H5" t="s">
        <v>38</v>
      </c>
      <c r="I5">
        <v>19</v>
      </c>
      <c r="J5">
        <v>22</v>
      </c>
      <c r="K5">
        <v>431668</v>
      </c>
      <c r="L5">
        <v>2.5</v>
      </c>
      <c r="M5" t="s">
        <v>21</v>
      </c>
      <c r="N5">
        <v>58</v>
      </c>
      <c r="O5">
        <f t="shared" si="0"/>
        <v>997</v>
      </c>
      <c r="P5">
        <f t="shared" si="1"/>
        <v>495</v>
      </c>
      <c r="Q5">
        <f t="shared" si="2"/>
        <v>502</v>
      </c>
      <c r="R5">
        <f t="shared" si="3"/>
        <v>49.650349650349654</v>
      </c>
      <c r="S5" s="1">
        <f t="shared" si="4"/>
        <v>50.24975024975025</v>
      </c>
      <c r="T5" s="1">
        <f t="shared" si="5"/>
        <v>472</v>
      </c>
      <c r="U5" s="1">
        <f t="shared" si="6"/>
        <v>525</v>
      </c>
      <c r="V5" s="1">
        <f t="shared" si="7"/>
        <v>47.5</v>
      </c>
      <c r="W5" s="1">
        <f t="shared" si="8"/>
        <v>52.5</v>
      </c>
      <c r="X5" s="1">
        <f t="shared" si="9"/>
        <v>15.08926780341023</v>
      </c>
      <c r="Y5" s="1">
        <f t="shared" si="10"/>
        <v>164</v>
      </c>
      <c r="Z5" s="1">
        <f t="shared" si="11"/>
        <v>148</v>
      </c>
      <c r="AA5" s="1">
        <f t="shared" si="12"/>
        <v>3.6128048780487791</v>
      </c>
      <c r="AB5" s="1">
        <f t="shared" si="13"/>
        <v>3.3716216216216215</v>
      </c>
      <c r="AC5" s="1">
        <f t="shared" si="14"/>
        <v>1</v>
      </c>
      <c r="AD5" s="1">
        <f t="shared" si="15"/>
        <v>5.7282731410433968E-2</v>
      </c>
    </row>
    <row r="6" spans="1:30" x14ac:dyDescent="0.35">
      <c r="A6" t="s">
        <v>39</v>
      </c>
      <c r="B6" t="s">
        <v>40</v>
      </c>
      <c r="C6" t="s">
        <v>36</v>
      </c>
      <c r="D6" t="s">
        <v>17</v>
      </c>
      <c r="E6">
        <v>35</v>
      </c>
      <c r="F6" t="s">
        <v>18</v>
      </c>
      <c r="G6" t="s">
        <v>41</v>
      </c>
      <c r="H6" t="s">
        <v>42</v>
      </c>
      <c r="I6">
        <v>6</v>
      </c>
      <c r="J6">
        <v>11</v>
      </c>
      <c r="K6">
        <v>413516</v>
      </c>
      <c r="L6">
        <v>3.8</v>
      </c>
      <c r="M6" t="s">
        <v>43</v>
      </c>
      <c r="N6">
        <v>86</v>
      </c>
      <c r="O6">
        <f t="shared" si="0"/>
        <v>996</v>
      </c>
      <c r="P6">
        <f t="shared" si="1"/>
        <v>495</v>
      </c>
      <c r="Q6">
        <f t="shared" si="2"/>
        <v>501</v>
      </c>
      <c r="R6">
        <f t="shared" si="3"/>
        <v>49.650349650349654</v>
      </c>
      <c r="S6" s="1">
        <f t="shared" si="4"/>
        <v>50.24975024975025</v>
      </c>
      <c r="T6" s="1">
        <f t="shared" si="5"/>
        <v>471</v>
      </c>
      <c r="U6" s="1">
        <f t="shared" si="6"/>
        <v>525</v>
      </c>
      <c r="V6" s="1">
        <f t="shared" si="7"/>
        <v>47.5</v>
      </c>
      <c r="W6" s="1">
        <f t="shared" si="8"/>
        <v>52.5</v>
      </c>
      <c r="X6" s="1">
        <f t="shared" si="9"/>
        <v>15.082329317269076</v>
      </c>
      <c r="Y6" s="1">
        <f t="shared" si="10"/>
        <v>164</v>
      </c>
      <c r="Z6" s="1">
        <f t="shared" si="11"/>
        <v>148</v>
      </c>
      <c r="AA6" s="1">
        <f t="shared" si="12"/>
        <v>3.6128048780487791</v>
      </c>
      <c r="AB6" s="1">
        <f t="shared" si="13"/>
        <v>3.3716216216216215</v>
      </c>
      <c r="AC6" s="1">
        <f t="shared" si="14"/>
        <v>0</v>
      </c>
      <c r="AD6" s="1">
        <f t="shared" si="15"/>
        <v>5.6282536719376546E-2</v>
      </c>
    </row>
    <row r="7" spans="1:30" x14ac:dyDescent="0.35">
      <c r="A7" t="s">
        <v>44</v>
      </c>
      <c r="B7" t="s">
        <v>45</v>
      </c>
      <c r="C7" t="s">
        <v>30</v>
      </c>
      <c r="D7" t="s">
        <v>17</v>
      </c>
      <c r="E7">
        <v>31</v>
      </c>
      <c r="F7" t="s">
        <v>46</v>
      </c>
      <c r="G7" t="s">
        <v>32</v>
      </c>
      <c r="H7" t="s">
        <v>47</v>
      </c>
      <c r="I7">
        <v>13</v>
      </c>
      <c r="J7">
        <v>13</v>
      </c>
      <c r="K7">
        <v>379556</v>
      </c>
      <c r="L7">
        <v>4.9000000000000004</v>
      </c>
      <c r="M7" t="s">
        <v>21</v>
      </c>
      <c r="N7">
        <v>39</v>
      </c>
      <c r="O7">
        <f t="shared" si="0"/>
        <v>995</v>
      </c>
      <c r="P7">
        <f t="shared" si="1"/>
        <v>494</v>
      </c>
      <c r="Q7">
        <f t="shared" si="2"/>
        <v>501</v>
      </c>
      <c r="R7">
        <f t="shared" si="3"/>
        <v>49.650349650349654</v>
      </c>
      <c r="S7" s="1">
        <f t="shared" si="4"/>
        <v>50.24975024975025</v>
      </c>
      <c r="T7" s="1">
        <f t="shared" si="5"/>
        <v>471</v>
      </c>
      <c r="U7" s="1">
        <f t="shared" si="6"/>
        <v>524</v>
      </c>
      <c r="V7" s="1">
        <f t="shared" si="7"/>
        <v>47.5</v>
      </c>
      <c r="W7" s="1">
        <f t="shared" si="8"/>
        <v>52.5</v>
      </c>
      <c r="X7" s="1">
        <f t="shared" si="9"/>
        <v>15.086432160804019</v>
      </c>
      <c r="Y7" s="1">
        <f t="shared" si="10"/>
        <v>164</v>
      </c>
      <c r="Z7" s="1">
        <f t="shared" si="11"/>
        <v>148</v>
      </c>
      <c r="AA7" s="1">
        <f t="shared" si="12"/>
        <v>3.6128048780487791</v>
      </c>
      <c r="AB7" s="1">
        <f t="shared" si="13"/>
        <v>3.3716216216216215</v>
      </c>
      <c r="AC7" s="1">
        <f t="shared" si="14"/>
        <v>1</v>
      </c>
      <c r="AD7" s="1">
        <f t="shared" si="15"/>
        <v>5.5754583888989261E-2</v>
      </c>
    </row>
    <row r="8" spans="1:30" x14ac:dyDescent="0.35">
      <c r="A8" t="s">
        <v>48</v>
      </c>
      <c r="B8" t="s">
        <v>29</v>
      </c>
      <c r="C8" t="s">
        <v>49</v>
      </c>
      <c r="D8" t="s">
        <v>17</v>
      </c>
      <c r="E8">
        <v>35</v>
      </c>
      <c r="F8" t="s">
        <v>18</v>
      </c>
      <c r="G8" t="s">
        <v>26</v>
      </c>
      <c r="H8" t="s">
        <v>50</v>
      </c>
      <c r="I8">
        <v>10</v>
      </c>
      <c r="J8">
        <v>14</v>
      </c>
      <c r="K8">
        <v>373482</v>
      </c>
      <c r="L8">
        <v>2.4</v>
      </c>
      <c r="M8" t="s">
        <v>21</v>
      </c>
      <c r="N8">
        <v>58</v>
      </c>
      <c r="O8">
        <f t="shared" si="0"/>
        <v>994</v>
      </c>
      <c r="P8">
        <f t="shared" si="1"/>
        <v>493</v>
      </c>
      <c r="Q8">
        <f t="shared" si="2"/>
        <v>501</v>
      </c>
      <c r="R8">
        <f t="shared" si="3"/>
        <v>49.650349650349654</v>
      </c>
      <c r="S8" s="1">
        <f t="shared" si="4"/>
        <v>50.24975024975025</v>
      </c>
      <c r="T8" s="1">
        <f t="shared" si="5"/>
        <v>470</v>
      </c>
      <c r="U8" s="1">
        <f t="shared" si="6"/>
        <v>524</v>
      </c>
      <c r="V8" s="1">
        <f t="shared" si="7"/>
        <v>47.5</v>
      </c>
      <c r="W8" s="1">
        <f t="shared" si="8"/>
        <v>52.5</v>
      </c>
      <c r="X8" s="1">
        <f t="shared" si="9"/>
        <v>15.088531187122737</v>
      </c>
      <c r="Y8" s="1">
        <f t="shared" si="10"/>
        <v>164</v>
      </c>
      <c r="Z8" s="1">
        <f t="shared" si="11"/>
        <v>148</v>
      </c>
      <c r="AA8" s="1">
        <f t="shared" si="12"/>
        <v>3.6128048780487791</v>
      </c>
      <c r="AB8" s="1">
        <f t="shared" si="13"/>
        <v>3.3716216216216215</v>
      </c>
      <c r="AC8" s="1">
        <f t="shared" si="14"/>
        <v>1</v>
      </c>
      <c r="AD8" s="1">
        <f t="shared" si="15"/>
        <v>5.6109147216949033E-2</v>
      </c>
    </row>
    <row r="9" spans="1:30" x14ac:dyDescent="0.35">
      <c r="A9" t="s">
        <v>51</v>
      </c>
      <c r="B9" t="s">
        <v>29</v>
      </c>
      <c r="C9" t="s">
        <v>52</v>
      </c>
      <c r="D9" t="s">
        <v>25</v>
      </c>
      <c r="E9">
        <v>40</v>
      </c>
      <c r="F9" t="s">
        <v>31</v>
      </c>
      <c r="G9" t="s">
        <v>32</v>
      </c>
      <c r="H9" t="s">
        <v>53</v>
      </c>
      <c r="I9">
        <v>5</v>
      </c>
      <c r="J9">
        <v>11</v>
      </c>
      <c r="K9">
        <v>197515</v>
      </c>
      <c r="L9">
        <v>3.2</v>
      </c>
      <c r="M9" t="s">
        <v>21</v>
      </c>
      <c r="N9">
        <v>30</v>
      </c>
      <c r="O9">
        <f t="shared" si="0"/>
        <v>993</v>
      </c>
      <c r="P9">
        <f t="shared" si="1"/>
        <v>492</v>
      </c>
      <c r="Q9">
        <f t="shared" si="2"/>
        <v>501</v>
      </c>
      <c r="R9">
        <f t="shared" si="3"/>
        <v>49.650349650349654</v>
      </c>
      <c r="S9" s="1">
        <f t="shared" si="4"/>
        <v>50.24975024975025</v>
      </c>
      <c r="T9" s="1">
        <f t="shared" si="5"/>
        <v>469</v>
      </c>
      <c r="U9" s="1">
        <f t="shared" si="6"/>
        <v>524</v>
      </c>
      <c r="V9" s="1">
        <f t="shared" si="7"/>
        <v>47.5</v>
      </c>
      <c r="W9" s="1">
        <f t="shared" si="8"/>
        <v>52.5</v>
      </c>
      <c r="X9" s="1">
        <f t="shared" si="9"/>
        <v>15.089627391742196</v>
      </c>
      <c r="Y9" s="1">
        <f t="shared" si="10"/>
        <v>164</v>
      </c>
      <c r="Z9" s="1">
        <f t="shared" si="11"/>
        <v>148</v>
      </c>
      <c r="AA9" s="1">
        <f t="shared" si="12"/>
        <v>3.6128048780487791</v>
      </c>
      <c r="AB9" s="1">
        <f t="shared" si="13"/>
        <v>3.3716216216216215</v>
      </c>
      <c r="AC9" s="1">
        <f t="shared" si="14"/>
        <v>1</v>
      </c>
      <c r="AD9" s="1">
        <f t="shared" si="15"/>
        <v>5.6308992548385457E-2</v>
      </c>
    </row>
    <row r="10" spans="1:30" x14ac:dyDescent="0.35">
      <c r="A10" t="s">
        <v>54</v>
      </c>
      <c r="B10" t="s">
        <v>55</v>
      </c>
      <c r="C10" t="s">
        <v>56</v>
      </c>
      <c r="D10" t="s">
        <v>17</v>
      </c>
      <c r="E10">
        <v>29</v>
      </c>
      <c r="F10" t="s">
        <v>37</v>
      </c>
      <c r="G10" t="s">
        <v>57</v>
      </c>
      <c r="H10" t="s">
        <v>58</v>
      </c>
      <c r="I10">
        <v>12</v>
      </c>
      <c r="J10">
        <v>18</v>
      </c>
      <c r="K10">
        <v>411948</v>
      </c>
      <c r="L10">
        <v>4.4000000000000004</v>
      </c>
      <c r="M10" t="s">
        <v>43</v>
      </c>
      <c r="N10">
        <v>83</v>
      </c>
      <c r="O10">
        <f t="shared" si="0"/>
        <v>992</v>
      </c>
      <c r="P10">
        <f t="shared" si="1"/>
        <v>492</v>
      </c>
      <c r="Q10">
        <f t="shared" si="2"/>
        <v>500</v>
      </c>
      <c r="R10">
        <f t="shared" si="3"/>
        <v>49.650349650349654</v>
      </c>
      <c r="S10" s="1">
        <f t="shared" si="4"/>
        <v>50.24975024975025</v>
      </c>
      <c r="T10" s="1">
        <f t="shared" si="5"/>
        <v>468</v>
      </c>
      <c r="U10" s="1">
        <f t="shared" si="6"/>
        <v>524</v>
      </c>
      <c r="V10" s="1">
        <f t="shared" si="7"/>
        <v>47.5</v>
      </c>
      <c r="W10" s="1">
        <f t="shared" si="8"/>
        <v>52.5</v>
      </c>
      <c r="X10" s="1">
        <f t="shared" si="9"/>
        <v>15.09375</v>
      </c>
      <c r="Y10" s="1">
        <f t="shared" si="10"/>
        <v>164</v>
      </c>
      <c r="Z10" s="1">
        <f t="shared" si="11"/>
        <v>147</v>
      </c>
      <c r="AA10" s="1">
        <f t="shared" si="12"/>
        <v>3.6128048780487791</v>
      </c>
      <c r="AB10" s="1">
        <f t="shared" si="13"/>
        <v>3.3727891156462584</v>
      </c>
      <c r="AC10" s="1">
        <f t="shared" si="14"/>
        <v>0</v>
      </c>
      <c r="AD10" s="1">
        <f t="shared" si="15"/>
        <v>5.6981518683780215E-2</v>
      </c>
    </row>
    <row r="11" spans="1:30" x14ac:dyDescent="0.35">
      <c r="A11" t="s">
        <v>59</v>
      </c>
      <c r="B11" t="s">
        <v>60</v>
      </c>
      <c r="C11" t="s">
        <v>16</v>
      </c>
      <c r="D11" t="s">
        <v>17</v>
      </c>
      <c r="E11">
        <v>53</v>
      </c>
      <c r="F11" t="s">
        <v>31</v>
      </c>
      <c r="G11" t="s">
        <v>61</v>
      </c>
      <c r="H11" t="s">
        <v>62</v>
      </c>
      <c r="I11">
        <v>16</v>
      </c>
      <c r="J11">
        <v>22</v>
      </c>
      <c r="K11">
        <v>387513</v>
      </c>
      <c r="L11">
        <v>2.4</v>
      </c>
      <c r="M11" t="s">
        <v>21</v>
      </c>
      <c r="N11">
        <v>58</v>
      </c>
      <c r="O11">
        <f t="shared" si="0"/>
        <v>991</v>
      </c>
      <c r="P11">
        <f t="shared" si="1"/>
        <v>491</v>
      </c>
      <c r="Q11">
        <f t="shared" si="2"/>
        <v>500</v>
      </c>
      <c r="R11">
        <f t="shared" si="3"/>
        <v>49.650349650349654</v>
      </c>
      <c r="S11" s="1">
        <f t="shared" si="4"/>
        <v>50.24975024975025</v>
      </c>
      <c r="T11" s="1">
        <f t="shared" si="5"/>
        <v>468</v>
      </c>
      <c r="U11" s="1">
        <f t="shared" si="6"/>
        <v>523</v>
      </c>
      <c r="V11" s="1">
        <f t="shared" si="7"/>
        <v>47.5</v>
      </c>
      <c r="W11" s="1">
        <f t="shared" si="8"/>
        <v>52.5</v>
      </c>
      <c r="X11" s="1">
        <f t="shared" si="9"/>
        <v>15.090817356205852</v>
      </c>
      <c r="Y11" s="1">
        <f t="shared" si="10"/>
        <v>164</v>
      </c>
      <c r="Z11" s="1">
        <f t="shared" si="11"/>
        <v>147</v>
      </c>
      <c r="AA11" s="1">
        <f t="shared" si="12"/>
        <v>3.6128048780487791</v>
      </c>
      <c r="AB11" s="1">
        <f t="shared" si="13"/>
        <v>3.3727891156462584</v>
      </c>
      <c r="AC11" s="1">
        <f t="shared" si="14"/>
        <v>1</v>
      </c>
      <c r="AD11" s="1">
        <f t="shared" si="15"/>
        <v>5.7413309470907975E-2</v>
      </c>
    </row>
    <row r="12" spans="1:30" x14ac:dyDescent="0.35">
      <c r="A12" t="s">
        <v>63</v>
      </c>
      <c r="B12" t="s">
        <v>60</v>
      </c>
      <c r="C12" t="s">
        <v>64</v>
      </c>
      <c r="D12" t="s">
        <v>25</v>
      </c>
      <c r="E12">
        <v>58</v>
      </c>
      <c r="F12" t="s">
        <v>18</v>
      </c>
      <c r="G12" t="s">
        <v>61</v>
      </c>
      <c r="H12" t="s">
        <v>65</v>
      </c>
      <c r="I12">
        <v>19</v>
      </c>
      <c r="J12">
        <v>24</v>
      </c>
      <c r="K12">
        <v>355198</v>
      </c>
      <c r="L12">
        <v>4.0999999999999996</v>
      </c>
      <c r="M12" t="s">
        <v>21</v>
      </c>
      <c r="N12">
        <v>54</v>
      </c>
      <c r="O12">
        <f t="shared" si="0"/>
        <v>990</v>
      </c>
      <c r="P12">
        <f t="shared" si="1"/>
        <v>490</v>
      </c>
      <c r="Q12">
        <f t="shared" si="2"/>
        <v>500</v>
      </c>
      <c r="R12">
        <f t="shared" si="3"/>
        <v>49.650349650349654</v>
      </c>
      <c r="S12" s="1">
        <f t="shared" si="4"/>
        <v>50.24975024975025</v>
      </c>
      <c r="T12" s="1">
        <f t="shared" si="5"/>
        <v>467</v>
      </c>
      <c r="U12" s="1">
        <f t="shared" si="6"/>
        <v>523</v>
      </c>
      <c r="V12" s="1">
        <f t="shared" si="7"/>
        <v>47.5</v>
      </c>
      <c r="W12" s="1">
        <f t="shared" si="8"/>
        <v>52.5</v>
      </c>
      <c r="X12" s="1">
        <f t="shared" si="9"/>
        <v>15.083838383838383</v>
      </c>
      <c r="Y12" s="1">
        <f t="shared" si="10"/>
        <v>164</v>
      </c>
      <c r="Z12" s="1">
        <f t="shared" si="11"/>
        <v>146</v>
      </c>
      <c r="AA12" s="1">
        <f t="shared" si="12"/>
        <v>3.6128048780487791</v>
      </c>
      <c r="AB12" s="1">
        <f t="shared" si="13"/>
        <v>3.3794520547945206</v>
      </c>
      <c r="AC12" s="1">
        <f t="shared" si="14"/>
        <v>1</v>
      </c>
      <c r="AD12" s="1">
        <f t="shared" si="15"/>
        <v>5.6407092849586497E-2</v>
      </c>
    </row>
    <row r="13" spans="1:30" x14ac:dyDescent="0.35">
      <c r="A13" t="s">
        <v>66</v>
      </c>
      <c r="B13" t="s">
        <v>23</v>
      </c>
      <c r="C13" t="s">
        <v>49</v>
      </c>
      <c r="D13" t="s">
        <v>25</v>
      </c>
      <c r="E13">
        <v>59</v>
      </c>
      <c r="F13" t="s">
        <v>46</v>
      </c>
      <c r="G13" t="s">
        <v>19</v>
      </c>
      <c r="H13" t="s">
        <v>67</v>
      </c>
      <c r="I13">
        <v>15</v>
      </c>
      <c r="J13">
        <v>17</v>
      </c>
      <c r="K13">
        <v>426728</v>
      </c>
      <c r="L13">
        <v>3.2</v>
      </c>
      <c r="M13" t="s">
        <v>21</v>
      </c>
      <c r="N13">
        <v>39</v>
      </c>
      <c r="O13">
        <f t="shared" si="0"/>
        <v>989</v>
      </c>
      <c r="P13">
        <f t="shared" si="1"/>
        <v>490</v>
      </c>
      <c r="Q13">
        <f t="shared" si="2"/>
        <v>499</v>
      </c>
      <c r="R13">
        <f t="shared" si="3"/>
        <v>49.650349650349654</v>
      </c>
      <c r="S13" s="1">
        <f t="shared" si="4"/>
        <v>50.24975024975025</v>
      </c>
      <c r="T13" s="1">
        <f t="shared" si="5"/>
        <v>466</v>
      </c>
      <c r="U13" s="1">
        <f t="shared" si="6"/>
        <v>523</v>
      </c>
      <c r="V13" s="1">
        <f t="shared" si="7"/>
        <v>47.5</v>
      </c>
      <c r="W13" s="1">
        <f t="shared" si="8"/>
        <v>52.5</v>
      </c>
      <c r="X13" s="1">
        <f t="shared" si="9"/>
        <v>15.074823053589485</v>
      </c>
      <c r="Y13" s="1">
        <f t="shared" si="10"/>
        <v>164</v>
      </c>
      <c r="Z13" s="1">
        <f t="shared" si="11"/>
        <v>146</v>
      </c>
      <c r="AA13" s="1">
        <f t="shared" si="12"/>
        <v>3.6128048780487791</v>
      </c>
      <c r="AB13" s="1">
        <f t="shared" si="13"/>
        <v>3.3794520547945206</v>
      </c>
      <c r="AC13" s="1">
        <f t="shared" si="14"/>
        <v>1</v>
      </c>
      <c r="AD13" s="1">
        <f t="shared" si="15"/>
        <v>5.510545033878949E-2</v>
      </c>
    </row>
    <row r="14" spans="1:30" x14ac:dyDescent="0.35">
      <c r="A14" t="s">
        <v>68</v>
      </c>
      <c r="B14" t="s">
        <v>69</v>
      </c>
      <c r="C14" t="s">
        <v>36</v>
      </c>
      <c r="D14" t="s">
        <v>25</v>
      </c>
      <c r="E14">
        <v>47</v>
      </c>
      <c r="F14" t="s">
        <v>70</v>
      </c>
      <c r="G14" t="s">
        <v>71</v>
      </c>
      <c r="H14" t="s">
        <v>72</v>
      </c>
      <c r="I14">
        <v>15</v>
      </c>
      <c r="J14">
        <v>18</v>
      </c>
      <c r="K14">
        <v>236668</v>
      </c>
      <c r="L14">
        <v>3.2</v>
      </c>
      <c r="M14" t="s">
        <v>21</v>
      </c>
      <c r="N14">
        <v>47</v>
      </c>
      <c r="O14">
        <f t="shared" si="0"/>
        <v>988</v>
      </c>
      <c r="P14">
        <f t="shared" si="1"/>
        <v>490</v>
      </c>
      <c r="Q14">
        <f t="shared" si="2"/>
        <v>498</v>
      </c>
      <c r="R14">
        <f t="shared" si="3"/>
        <v>49.650349650349654</v>
      </c>
      <c r="S14" s="1">
        <f t="shared" si="4"/>
        <v>50.24975024975025</v>
      </c>
      <c r="T14" s="1">
        <f t="shared" si="5"/>
        <v>465</v>
      </c>
      <c r="U14" s="1">
        <f t="shared" si="6"/>
        <v>523</v>
      </c>
      <c r="V14" s="1">
        <f t="shared" si="7"/>
        <v>47.5</v>
      </c>
      <c r="W14" s="1">
        <f t="shared" si="8"/>
        <v>52.5</v>
      </c>
      <c r="X14" s="1">
        <f t="shared" si="9"/>
        <v>15.072874493927126</v>
      </c>
      <c r="Y14" s="1">
        <f t="shared" si="10"/>
        <v>164</v>
      </c>
      <c r="Z14" s="1">
        <f t="shared" si="11"/>
        <v>146</v>
      </c>
      <c r="AA14" s="1">
        <f t="shared" si="12"/>
        <v>3.6128048780487791</v>
      </c>
      <c r="AB14" s="1">
        <f t="shared" si="13"/>
        <v>3.3794520547945206</v>
      </c>
      <c r="AC14" s="1">
        <f t="shared" si="14"/>
        <v>1</v>
      </c>
      <c r="AD14" s="1">
        <f t="shared" si="15"/>
        <v>5.4840255392154737E-2</v>
      </c>
    </row>
    <row r="15" spans="1:30" x14ac:dyDescent="0.35">
      <c r="A15" t="s">
        <v>73</v>
      </c>
      <c r="B15" t="s">
        <v>23</v>
      </c>
      <c r="C15" t="s">
        <v>36</v>
      </c>
      <c r="D15" t="s">
        <v>17</v>
      </c>
      <c r="E15">
        <v>50</v>
      </c>
      <c r="F15" t="s">
        <v>74</v>
      </c>
      <c r="G15" t="s">
        <v>75</v>
      </c>
      <c r="H15" t="s">
        <v>76</v>
      </c>
      <c r="I15">
        <v>7</v>
      </c>
      <c r="J15">
        <v>11</v>
      </c>
      <c r="K15">
        <v>376538</v>
      </c>
      <c r="L15">
        <v>3.1</v>
      </c>
      <c r="M15" t="s">
        <v>43</v>
      </c>
      <c r="N15">
        <v>71</v>
      </c>
      <c r="O15">
        <f t="shared" si="0"/>
        <v>987</v>
      </c>
      <c r="P15">
        <f t="shared" si="1"/>
        <v>490</v>
      </c>
      <c r="Q15">
        <f t="shared" si="2"/>
        <v>497</v>
      </c>
      <c r="R15">
        <f t="shared" si="3"/>
        <v>49.650349650349654</v>
      </c>
      <c r="S15" s="1">
        <f t="shared" si="4"/>
        <v>50.24975024975025</v>
      </c>
      <c r="T15" s="1">
        <f t="shared" si="5"/>
        <v>464</v>
      </c>
      <c r="U15" s="1">
        <f t="shared" si="6"/>
        <v>523</v>
      </c>
      <c r="V15" s="1">
        <f t="shared" si="7"/>
        <v>47.5</v>
      </c>
      <c r="W15" s="1">
        <f t="shared" si="8"/>
        <v>52.5</v>
      </c>
      <c r="X15" s="1">
        <f t="shared" si="9"/>
        <v>15.069908814589665</v>
      </c>
      <c r="Y15" s="1">
        <f t="shared" si="10"/>
        <v>164</v>
      </c>
      <c r="Z15" s="1">
        <f t="shared" si="11"/>
        <v>146</v>
      </c>
      <c r="AA15" s="1">
        <f t="shared" si="12"/>
        <v>3.6128048780487791</v>
      </c>
      <c r="AB15" s="1">
        <f t="shared" si="13"/>
        <v>3.3794520547945206</v>
      </c>
      <c r="AC15" s="1">
        <f t="shared" si="14"/>
        <v>0</v>
      </c>
      <c r="AD15" s="1">
        <f t="shared" si="15"/>
        <v>5.4421613472591321E-2</v>
      </c>
    </row>
    <row r="16" spans="1:30" x14ac:dyDescent="0.35">
      <c r="A16" t="s">
        <v>77</v>
      </c>
      <c r="B16" t="s">
        <v>78</v>
      </c>
      <c r="C16" t="s">
        <v>24</v>
      </c>
      <c r="D16" t="s">
        <v>17</v>
      </c>
      <c r="E16">
        <v>39</v>
      </c>
      <c r="F16" t="s">
        <v>79</v>
      </c>
      <c r="G16" t="s">
        <v>19</v>
      </c>
      <c r="H16" t="s">
        <v>80</v>
      </c>
      <c r="I16">
        <v>20</v>
      </c>
      <c r="J16">
        <v>24</v>
      </c>
      <c r="K16">
        <v>309955</v>
      </c>
      <c r="L16">
        <v>4.7</v>
      </c>
      <c r="M16" t="s">
        <v>21</v>
      </c>
      <c r="N16">
        <v>44</v>
      </c>
      <c r="O16">
        <f t="shared" si="0"/>
        <v>986</v>
      </c>
      <c r="P16">
        <f t="shared" si="1"/>
        <v>489</v>
      </c>
      <c r="Q16">
        <f t="shared" si="2"/>
        <v>497</v>
      </c>
      <c r="R16">
        <f t="shared" si="3"/>
        <v>49.650349650349654</v>
      </c>
      <c r="S16" s="1">
        <f t="shared" si="4"/>
        <v>50.24975024975025</v>
      </c>
      <c r="T16" s="1">
        <f t="shared" si="5"/>
        <v>464</v>
      </c>
      <c r="U16" s="1">
        <f t="shared" si="6"/>
        <v>522</v>
      </c>
      <c r="V16" s="1">
        <f t="shared" si="7"/>
        <v>47.5</v>
      </c>
      <c r="W16" s="1">
        <f t="shared" si="8"/>
        <v>52.5</v>
      </c>
      <c r="X16" s="1">
        <f t="shared" si="9"/>
        <v>15.074036511156187</v>
      </c>
      <c r="Y16" s="1">
        <f t="shared" si="10"/>
        <v>163</v>
      </c>
      <c r="Z16" s="1">
        <f t="shared" si="11"/>
        <v>146</v>
      </c>
      <c r="AA16" s="1">
        <f t="shared" si="12"/>
        <v>3.6159509202453974</v>
      </c>
      <c r="AB16" s="1">
        <f t="shared" si="13"/>
        <v>3.3794520547945206</v>
      </c>
      <c r="AC16" s="1">
        <f t="shared" si="14"/>
        <v>1</v>
      </c>
      <c r="AD16" s="1">
        <f t="shared" si="15"/>
        <v>5.3893606966996847E-2</v>
      </c>
    </row>
    <row r="17" spans="1:30" x14ac:dyDescent="0.35">
      <c r="A17" t="s">
        <v>81</v>
      </c>
      <c r="B17" t="s">
        <v>55</v>
      </c>
      <c r="C17" t="s">
        <v>82</v>
      </c>
      <c r="D17" t="s">
        <v>17</v>
      </c>
      <c r="E17">
        <v>24</v>
      </c>
      <c r="F17" t="s">
        <v>37</v>
      </c>
      <c r="G17" t="s">
        <v>41</v>
      </c>
      <c r="H17" t="s">
        <v>83</v>
      </c>
      <c r="I17">
        <v>2</v>
      </c>
      <c r="J17">
        <v>9</v>
      </c>
      <c r="K17">
        <v>284007</v>
      </c>
      <c r="L17">
        <v>4.0999999999999996</v>
      </c>
      <c r="M17" t="s">
        <v>21</v>
      </c>
      <c r="N17">
        <v>39</v>
      </c>
      <c r="O17">
        <f t="shared" si="0"/>
        <v>985</v>
      </c>
      <c r="P17">
        <f t="shared" si="1"/>
        <v>488</v>
      </c>
      <c r="Q17">
        <f t="shared" si="2"/>
        <v>497</v>
      </c>
      <c r="R17">
        <f t="shared" si="3"/>
        <v>49.650349650349654</v>
      </c>
      <c r="S17" s="1">
        <f t="shared" si="4"/>
        <v>50.24975024975025</v>
      </c>
      <c r="T17" s="1">
        <f t="shared" si="5"/>
        <v>463</v>
      </c>
      <c r="U17" s="1">
        <f t="shared" si="6"/>
        <v>522</v>
      </c>
      <c r="V17" s="1">
        <f t="shared" si="7"/>
        <v>47.5</v>
      </c>
      <c r="W17" s="1">
        <f t="shared" si="8"/>
        <v>52.5</v>
      </c>
      <c r="X17" s="1">
        <f t="shared" si="9"/>
        <v>15.064974619289339</v>
      </c>
      <c r="Y17" s="1">
        <f t="shared" si="10"/>
        <v>163</v>
      </c>
      <c r="Z17" s="1">
        <f t="shared" si="11"/>
        <v>146</v>
      </c>
      <c r="AA17" s="1">
        <f t="shared" si="12"/>
        <v>3.6159509202453974</v>
      </c>
      <c r="AB17" s="1">
        <f t="shared" si="13"/>
        <v>3.3794520547945206</v>
      </c>
      <c r="AC17" s="1">
        <f t="shared" si="14"/>
        <v>1</v>
      </c>
      <c r="AD17" s="1">
        <f t="shared" si="15"/>
        <v>5.2579822066313633E-2</v>
      </c>
    </row>
    <row r="18" spans="1:30" x14ac:dyDescent="0.35">
      <c r="A18" t="s">
        <v>84</v>
      </c>
      <c r="B18" t="s">
        <v>29</v>
      </c>
      <c r="C18" t="s">
        <v>30</v>
      </c>
      <c r="D18" t="s">
        <v>17</v>
      </c>
      <c r="E18">
        <v>30</v>
      </c>
      <c r="F18" t="s">
        <v>31</v>
      </c>
      <c r="G18" t="s">
        <v>85</v>
      </c>
      <c r="H18" t="s">
        <v>86</v>
      </c>
      <c r="I18">
        <v>11</v>
      </c>
      <c r="J18">
        <v>17</v>
      </c>
      <c r="K18">
        <v>88826</v>
      </c>
      <c r="L18">
        <v>3.4</v>
      </c>
      <c r="M18" t="s">
        <v>21</v>
      </c>
      <c r="N18">
        <v>46</v>
      </c>
      <c r="O18">
        <f t="shared" si="0"/>
        <v>984</v>
      </c>
      <c r="P18">
        <f t="shared" si="1"/>
        <v>487</v>
      </c>
      <c r="Q18">
        <f t="shared" si="2"/>
        <v>497</v>
      </c>
      <c r="R18">
        <f t="shared" si="3"/>
        <v>49.650349650349654</v>
      </c>
      <c r="S18" s="1">
        <f t="shared" si="4"/>
        <v>50.24975024975025</v>
      </c>
      <c r="T18" s="1">
        <f t="shared" si="5"/>
        <v>462</v>
      </c>
      <c r="U18" s="1">
        <f t="shared" si="6"/>
        <v>522</v>
      </c>
      <c r="V18" s="1">
        <f t="shared" si="7"/>
        <v>47.5</v>
      </c>
      <c r="W18" s="1">
        <f t="shared" si="8"/>
        <v>52.5</v>
      </c>
      <c r="X18" s="1">
        <f t="shared" si="9"/>
        <v>15.071138211382113</v>
      </c>
      <c r="Y18" s="1">
        <f t="shared" si="10"/>
        <v>163</v>
      </c>
      <c r="Z18" s="1">
        <f t="shared" si="11"/>
        <v>146</v>
      </c>
      <c r="AA18" s="1">
        <f t="shared" si="12"/>
        <v>3.6159509202453974</v>
      </c>
      <c r="AB18" s="1">
        <f t="shared" si="13"/>
        <v>3.3794520547945206</v>
      </c>
      <c r="AC18" s="1">
        <f t="shared" si="14"/>
        <v>1</v>
      </c>
      <c r="AD18" s="1">
        <f t="shared" si="15"/>
        <v>5.3576942565501065E-2</v>
      </c>
    </row>
    <row r="19" spans="1:30" x14ac:dyDescent="0.35">
      <c r="A19" t="s">
        <v>87</v>
      </c>
      <c r="B19" t="s">
        <v>78</v>
      </c>
      <c r="C19" t="s">
        <v>64</v>
      </c>
      <c r="D19" t="s">
        <v>25</v>
      </c>
      <c r="E19">
        <v>59</v>
      </c>
      <c r="F19" t="s">
        <v>79</v>
      </c>
      <c r="G19" t="s">
        <v>88</v>
      </c>
      <c r="H19" t="s">
        <v>89</v>
      </c>
      <c r="I19">
        <v>14</v>
      </c>
      <c r="J19">
        <v>15</v>
      </c>
      <c r="K19">
        <v>414042</v>
      </c>
      <c r="L19">
        <v>2</v>
      </c>
      <c r="M19" t="s">
        <v>21</v>
      </c>
      <c r="N19">
        <v>52</v>
      </c>
      <c r="O19">
        <f t="shared" si="0"/>
        <v>983</v>
      </c>
      <c r="P19">
        <f t="shared" si="1"/>
        <v>486</v>
      </c>
      <c r="Q19">
        <f t="shared" si="2"/>
        <v>497</v>
      </c>
      <c r="R19">
        <f t="shared" si="3"/>
        <v>49.650349650349654</v>
      </c>
      <c r="S19" s="1">
        <f t="shared" si="4"/>
        <v>50.24975024975025</v>
      </c>
      <c r="T19" s="1">
        <f t="shared" si="5"/>
        <v>461</v>
      </c>
      <c r="U19" s="1">
        <f t="shared" si="6"/>
        <v>522</v>
      </c>
      <c r="V19" s="1">
        <f t="shared" si="7"/>
        <v>47.5</v>
      </c>
      <c r="W19" s="1">
        <f t="shared" si="8"/>
        <v>52.5</v>
      </c>
      <c r="X19" s="1">
        <f t="shared" si="9"/>
        <v>15.069175991861648</v>
      </c>
      <c r="Y19" s="1">
        <f t="shared" si="10"/>
        <v>163</v>
      </c>
      <c r="Z19" s="1">
        <f t="shared" si="11"/>
        <v>145</v>
      </c>
      <c r="AA19" s="1">
        <f t="shared" si="12"/>
        <v>3.6159509202453974</v>
      </c>
      <c r="AB19" s="1">
        <f t="shared" si="13"/>
        <v>3.3793103448275863</v>
      </c>
      <c r="AC19" s="1">
        <f t="shared" si="14"/>
        <v>1</v>
      </c>
      <c r="AD19" s="1">
        <f t="shared" si="15"/>
        <v>5.3308388210560567E-2</v>
      </c>
    </row>
    <row r="20" spans="1:30" x14ac:dyDescent="0.35">
      <c r="A20" t="s">
        <v>90</v>
      </c>
      <c r="B20" t="s">
        <v>15</v>
      </c>
      <c r="C20" t="s">
        <v>36</v>
      </c>
      <c r="D20" t="s">
        <v>17</v>
      </c>
      <c r="E20">
        <v>60</v>
      </c>
      <c r="F20" t="s">
        <v>79</v>
      </c>
      <c r="G20" t="s">
        <v>57</v>
      </c>
      <c r="H20" t="s">
        <v>91</v>
      </c>
      <c r="I20">
        <v>0</v>
      </c>
      <c r="J20">
        <v>3</v>
      </c>
      <c r="K20">
        <v>98434</v>
      </c>
      <c r="L20">
        <v>2.8</v>
      </c>
      <c r="M20" t="s">
        <v>43</v>
      </c>
      <c r="N20">
        <v>94</v>
      </c>
      <c r="O20">
        <f t="shared" si="0"/>
        <v>982</v>
      </c>
      <c r="P20">
        <f t="shared" si="1"/>
        <v>486</v>
      </c>
      <c r="Q20">
        <f t="shared" si="2"/>
        <v>496</v>
      </c>
      <c r="R20">
        <f t="shared" si="3"/>
        <v>49.650349650349654</v>
      </c>
      <c r="S20" s="1">
        <f t="shared" si="4"/>
        <v>50.24975024975025</v>
      </c>
      <c r="T20" s="1">
        <f t="shared" si="5"/>
        <v>460</v>
      </c>
      <c r="U20" s="1">
        <f t="shared" si="6"/>
        <v>522</v>
      </c>
      <c r="V20" s="1">
        <f t="shared" si="7"/>
        <v>47.5</v>
      </c>
      <c r="W20" s="1">
        <f t="shared" si="8"/>
        <v>52.5</v>
      </c>
      <c r="X20" s="1">
        <f t="shared" si="9"/>
        <v>15.069246435845214</v>
      </c>
      <c r="Y20" s="1">
        <f t="shared" si="10"/>
        <v>163</v>
      </c>
      <c r="Z20" s="1">
        <f t="shared" si="11"/>
        <v>145</v>
      </c>
      <c r="AA20" s="1">
        <f t="shared" si="12"/>
        <v>3.6159509202453974</v>
      </c>
      <c r="AB20" s="1">
        <f t="shared" si="13"/>
        <v>3.3793103448275863</v>
      </c>
      <c r="AC20" s="1">
        <f t="shared" si="14"/>
        <v>0</v>
      </c>
      <c r="AD20" s="1">
        <f t="shared" si="15"/>
        <v>5.3349981596828862E-2</v>
      </c>
    </row>
    <row r="21" spans="1:30" x14ac:dyDescent="0.35">
      <c r="A21" t="s">
        <v>92</v>
      </c>
      <c r="B21" t="s">
        <v>45</v>
      </c>
      <c r="C21" t="s">
        <v>93</v>
      </c>
      <c r="D21" t="s">
        <v>17</v>
      </c>
      <c r="E21">
        <v>24</v>
      </c>
      <c r="F21" t="s">
        <v>74</v>
      </c>
      <c r="G21" t="s">
        <v>57</v>
      </c>
      <c r="H21" t="s">
        <v>94</v>
      </c>
      <c r="I21">
        <v>7</v>
      </c>
      <c r="J21">
        <v>7</v>
      </c>
      <c r="K21">
        <v>179791</v>
      </c>
      <c r="L21">
        <v>3.5</v>
      </c>
      <c r="M21" t="s">
        <v>21</v>
      </c>
      <c r="N21">
        <v>70</v>
      </c>
      <c r="O21">
        <f t="shared" si="0"/>
        <v>981</v>
      </c>
      <c r="P21">
        <f t="shared" si="1"/>
        <v>485</v>
      </c>
      <c r="Q21">
        <f t="shared" si="2"/>
        <v>496</v>
      </c>
      <c r="R21">
        <f t="shared" si="3"/>
        <v>49.650349650349654</v>
      </c>
      <c r="S21" s="1">
        <f t="shared" si="4"/>
        <v>50.24975024975025</v>
      </c>
      <c r="T21" s="1">
        <f t="shared" si="5"/>
        <v>460</v>
      </c>
      <c r="U21" s="1">
        <f t="shared" si="6"/>
        <v>521</v>
      </c>
      <c r="V21" s="1">
        <f t="shared" si="7"/>
        <v>47.5</v>
      </c>
      <c r="W21" s="1">
        <f t="shared" si="8"/>
        <v>52.5</v>
      </c>
      <c r="X21" s="1">
        <f t="shared" si="9"/>
        <v>15.081549439347604</v>
      </c>
      <c r="Y21" s="1">
        <f t="shared" si="10"/>
        <v>163</v>
      </c>
      <c r="Z21" s="1">
        <f t="shared" si="11"/>
        <v>145</v>
      </c>
      <c r="AA21" s="1">
        <f t="shared" si="12"/>
        <v>3.6159509202453974</v>
      </c>
      <c r="AB21" s="1">
        <f t="shared" si="13"/>
        <v>3.3793103448275863</v>
      </c>
      <c r="AC21" s="1">
        <f t="shared" si="14"/>
        <v>1</v>
      </c>
      <c r="AD21" s="1">
        <f t="shared" si="15"/>
        <v>5.1786591307005275E-2</v>
      </c>
    </row>
    <row r="22" spans="1:30" x14ac:dyDescent="0.35">
      <c r="A22" t="s">
        <v>95</v>
      </c>
      <c r="B22" t="s">
        <v>96</v>
      </c>
      <c r="C22" t="s">
        <v>52</v>
      </c>
      <c r="D22" t="s">
        <v>25</v>
      </c>
      <c r="E22">
        <v>57</v>
      </c>
      <c r="F22" t="s">
        <v>70</v>
      </c>
      <c r="G22" t="s">
        <v>71</v>
      </c>
      <c r="H22" t="s">
        <v>97</v>
      </c>
      <c r="I22">
        <v>14</v>
      </c>
      <c r="J22">
        <v>14</v>
      </c>
      <c r="K22">
        <v>320269</v>
      </c>
      <c r="L22">
        <v>3.5</v>
      </c>
      <c r="M22" t="s">
        <v>21</v>
      </c>
      <c r="N22">
        <v>31</v>
      </c>
      <c r="O22">
        <f t="shared" si="0"/>
        <v>980</v>
      </c>
      <c r="P22">
        <f t="shared" si="1"/>
        <v>484</v>
      </c>
      <c r="Q22">
        <f t="shared" si="2"/>
        <v>496</v>
      </c>
      <c r="R22">
        <f t="shared" si="3"/>
        <v>49.650349650349654</v>
      </c>
      <c r="S22" s="1">
        <f t="shared" si="4"/>
        <v>50.24975024975025</v>
      </c>
      <c r="T22" s="1">
        <f t="shared" si="5"/>
        <v>459</v>
      </c>
      <c r="U22" s="1">
        <f t="shared" si="6"/>
        <v>521</v>
      </c>
      <c r="V22" s="1">
        <f t="shared" si="7"/>
        <v>47.5</v>
      </c>
      <c r="W22" s="1">
        <f t="shared" si="8"/>
        <v>52.5</v>
      </c>
      <c r="X22" s="1">
        <f t="shared" si="9"/>
        <v>15.089795918367347</v>
      </c>
      <c r="Y22" s="1">
        <f t="shared" si="10"/>
        <v>162</v>
      </c>
      <c r="Z22" s="1">
        <f t="shared" si="11"/>
        <v>145</v>
      </c>
      <c r="AA22" s="1">
        <f t="shared" si="12"/>
        <v>3.6166666666666649</v>
      </c>
      <c r="AB22" s="1">
        <f t="shared" si="13"/>
        <v>3.3793103448275863</v>
      </c>
      <c r="AC22" s="1">
        <f t="shared" si="14"/>
        <v>1</v>
      </c>
      <c r="AD22" s="1">
        <f t="shared" si="15"/>
        <v>5.3122112829562591E-2</v>
      </c>
    </row>
    <row r="23" spans="1:30" x14ac:dyDescent="0.35">
      <c r="A23" t="s">
        <v>98</v>
      </c>
      <c r="B23" t="s">
        <v>35</v>
      </c>
      <c r="C23" t="s">
        <v>64</v>
      </c>
      <c r="D23" t="s">
        <v>25</v>
      </c>
      <c r="E23">
        <v>30</v>
      </c>
      <c r="F23" t="s">
        <v>18</v>
      </c>
      <c r="G23" t="s">
        <v>19</v>
      </c>
      <c r="H23" t="s">
        <v>99</v>
      </c>
      <c r="I23">
        <v>10</v>
      </c>
      <c r="J23">
        <v>15</v>
      </c>
      <c r="K23">
        <v>358890</v>
      </c>
      <c r="L23">
        <v>2.7</v>
      </c>
      <c r="M23" t="s">
        <v>43</v>
      </c>
      <c r="N23">
        <v>86</v>
      </c>
      <c r="O23">
        <f t="shared" si="0"/>
        <v>979</v>
      </c>
      <c r="P23">
        <f t="shared" si="1"/>
        <v>484</v>
      </c>
      <c r="Q23">
        <f t="shared" si="2"/>
        <v>495</v>
      </c>
      <c r="R23">
        <f t="shared" si="3"/>
        <v>49.650349650349654</v>
      </c>
      <c r="S23" s="1">
        <f t="shared" si="4"/>
        <v>50.24975024975025</v>
      </c>
      <c r="T23" s="1">
        <f t="shared" si="5"/>
        <v>458</v>
      </c>
      <c r="U23" s="1">
        <f t="shared" si="6"/>
        <v>521</v>
      </c>
      <c r="V23" s="1">
        <f t="shared" si="7"/>
        <v>47.5</v>
      </c>
      <c r="W23" s="1">
        <f t="shared" si="8"/>
        <v>52.5</v>
      </c>
      <c r="X23" s="1">
        <f t="shared" si="9"/>
        <v>15.090909090909092</v>
      </c>
      <c r="Y23" s="1">
        <f t="shared" si="10"/>
        <v>162</v>
      </c>
      <c r="Z23" s="1">
        <f t="shared" si="11"/>
        <v>145</v>
      </c>
      <c r="AA23" s="1">
        <f t="shared" si="12"/>
        <v>3.6166666666666649</v>
      </c>
      <c r="AB23" s="1">
        <f t="shared" si="13"/>
        <v>3.3793103448275863</v>
      </c>
      <c r="AC23" s="1">
        <f t="shared" si="14"/>
        <v>0</v>
      </c>
      <c r="AD23" s="1">
        <f t="shared" si="15"/>
        <v>5.3325076170895491E-2</v>
      </c>
    </row>
    <row r="24" spans="1:30" x14ac:dyDescent="0.35">
      <c r="A24" t="s">
        <v>100</v>
      </c>
      <c r="B24" t="s">
        <v>45</v>
      </c>
      <c r="C24" t="s">
        <v>36</v>
      </c>
      <c r="D24" t="s">
        <v>25</v>
      </c>
      <c r="E24">
        <v>53</v>
      </c>
      <c r="F24" t="s">
        <v>46</v>
      </c>
      <c r="G24" t="s">
        <v>19</v>
      </c>
      <c r="H24" t="s">
        <v>101</v>
      </c>
      <c r="I24">
        <v>7</v>
      </c>
      <c r="J24">
        <v>11</v>
      </c>
      <c r="K24">
        <v>145610</v>
      </c>
      <c r="L24">
        <v>5</v>
      </c>
      <c r="M24" t="s">
        <v>21</v>
      </c>
      <c r="N24">
        <v>69</v>
      </c>
      <c r="O24">
        <f t="shared" si="0"/>
        <v>978</v>
      </c>
      <c r="P24">
        <f t="shared" si="1"/>
        <v>484</v>
      </c>
      <c r="Q24">
        <f t="shared" si="2"/>
        <v>494</v>
      </c>
      <c r="R24">
        <f t="shared" si="3"/>
        <v>49.650349650349654</v>
      </c>
      <c r="S24" s="1">
        <f t="shared" si="4"/>
        <v>50.24975024975025</v>
      </c>
      <c r="T24" s="1">
        <f t="shared" si="5"/>
        <v>458</v>
      </c>
      <c r="U24" s="1">
        <f t="shared" si="6"/>
        <v>520</v>
      </c>
      <c r="V24" s="1">
        <f t="shared" si="7"/>
        <v>47.5</v>
      </c>
      <c r="W24" s="1">
        <f t="shared" si="8"/>
        <v>52.5</v>
      </c>
      <c r="X24" s="1">
        <f t="shared" si="9"/>
        <v>15.091002044989775</v>
      </c>
      <c r="Y24" s="1">
        <f t="shared" si="10"/>
        <v>162</v>
      </c>
      <c r="Z24" s="1">
        <f t="shared" si="11"/>
        <v>145</v>
      </c>
      <c r="AA24" s="1">
        <f t="shared" si="12"/>
        <v>3.6166666666666649</v>
      </c>
      <c r="AB24" s="1">
        <f t="shared" si="13"/>
        <v>3.3793103448275863</v>
      </c>
      <c r="AC24" s="1">
        <f t="shared" si="14"/>
        <v>1</v>
      </c>
      <c r="AD24" s="1">
        <f t="shared" si="15"/>
        <v>5.333647026180359E-2</v>
      </c>
    </row>
    <row r="25" spans="1:30" x14ac:dyDescent="0.35">
      <c r="A25" t="s">
        <v>102</v>
      </c>
      <c r="B25" t="s">
        <v>96</v>
      </c>
      <c r="C25" t="s">
        <v>52</v>
      </c>
      <c r="D25" t="s">
        <v>25</v>
      </c>
      <c r="E25">
        <v>51</v>
      </c>
      <c r="F25" t="s">
        <v>37</v>
      </c>
      <c r="G25" t="s">
        <v>32</v>
      </c>
      <c r="H25" t="s">
        <v>103</v>
      </c>
      <c r="I25">
        <v>7</v>
      </c>
      <c r="J25">
        <v>12</v>
      </c>
      <c r="K25">
        <v>373472</v>
      </c>
      <c r="L25">
        <v>3.5</v>
      </c>
      <c r="M25" t="s">
        <v>21</v>
      </c>
      <c r="N25">
        <v>47</v>
      </c>
      <c r="O25">
        <f t="shared" si="0"/>
        <v>977</v>
      </c>
      <c r="P25">
        <f t="shared" si="1"/>
        <v>484</v>
      </c>
      <c r="Q25">
        <f t="shared" si="2"/>
        <v>493</v>
      </c>
      <c r="R25">
        <f t="shared" si="3"/>
        <v>49.650349650349654</v>
      </c>
      <c r="S25" s="1">
        <f t="shared" si="4"/>
        <v>50.24975024975025</v>
      </c>
      <c r="T25" s="1">
        <f t="shared" si="5"/>
        <v>457</v>
      </c>
      <c r="U25" s="1">
        <f t="shared" si="6"/>
        <v>520</v>
      </c>
      <c r="V25" s="1">
        <f t="shared" si="7"/>
        <v>47.5</v>
      </c>
      <c r="W25" s="1">
        <f t="shared" si="8"/>
        <v>52.5</v>
      </c>
      <c r="X25" s="1">
        <f t="shared" si="9"/>
        <v>15.095189355168884</v>
      </c>
      <c r="Y25" s="1">
        <f t="shared" si="10"/>
        <v>162</v>
      </c>
      <c r="Z25" s="1">
        <f t="shared" si="11"/>
        <v>145</v>
      </c>
      <c r="AA25" s="1">
        <f t="shared" si="12"/>
        <v>3.6166666666666649</v>
      </c>
      <c r="AB25" s="1">
        <f t="shared" si="13"/>
        <v>3.3793103448275863</v>
      </c>
      <c r="AC25" s="1">
        <f t="shared" si="14"/>
        <v>1</v>
      </c>
      <c r="AD25" s="1">
        <f t="shared" si="15"/>
        <v>5.4021550055308065E-2</v>
      </c>
    </row>
    <row r="26" spans="1:30" x14ac:dyDescent="0.35">
      <c r="A26" t="s">
        <v>104</v>
      </c>
      <c r="B26" t="s">
        <v>60</v>
      </c>
      <c r="C26" t="s">
        <v>93</v>
      </c>
      <c r="D26" t="s">
        <v>17</v>
      </c>
      <c r="E26">
        <v>34</v>
      </c>
      <c r="F26" t="s">
        <v>74</v>
      </c>
      <c r="G26" t="s">
        <v>41</v>
      </c>
      <c r="H26" t="s">
        <v>105</v>
      </c>
      <c r="I26">
        <v>4</v>
      </c>
      <c r="J26">
        <v>9</v>
      </c>
      <c r="K26">
        <v>172231</v>
      </c>
      <c r="L26">
        <v>3.7</v>
      </c>
      <c r="M26" t="s">
        <v>43</v>
      </c>
      <c r="N26">
        <v>87</v>
      </c>
      <c r="O26">
        <f t="shared" si="0"/>
        <v>976</v>
      </c>
      <c r="P26">
        <f t="shared" si="1"/>
        <v>484</v>
      </c>
      <c r="Q26">
        <f t="shared" si="2"/>
        <v>492</v>
      </c>
      <c r="R26">
        <f t="shared" si="3"/>
        <v>49.650349650349654</v>
      </c>
      <c r="S26" s="1">
        <f t="shared" si="4"/>
        <v>50.24975024975025</v>
      </c>
      <c r="T26" s="1">
        <f t="shared" si="5"/>
        <v>456</v>
      </c>
      <c r="U26" s="1">
        <f t="shared" si="6"/>
        <v>520</v>
      </c>
      <c r="V26" s="1">
        <f t="shared" si="7"/>
        <v>47.5</v>
      </c>
      <c r="W26" s="1">
        <f t="shared" si="8"/>
        <v>52.5</v>
      </c>
      <c r="X26" s="1">
        <f t="shared" si="9"/>
        <v>15.098360655737705</v>
      </c>
      <c r="Y26" s="1">
        <f t="shared" si="10"/>
        <v>162</v>
      </c>
      <c r="Z26" s="1">
        <f t="shared" si="11"/>
        <v>145</v>
      </c>
      <c r="AA26" s="1">
        <f t="shared" si="12"/>
        <v>3.6166666666666649</v>
      </c>
      <c r="AB26" s="1">
        <f t="shared" si="13"/>
        <v>3.3793103448275863</v>
      </c>
      <c r="AC26" s="1">
        <f t="shared" si="14"/>
        <v>0</v>
      </c>
      <c r="AD26" s="1">
        <f t="shared" si="15"/>
        <v>5.4547071959378794E-2</v>
      </c>
    </row>
    <row r="27" spans="1:30" x14ac:dyDescent="0.35">
      <c r="A27" t="s">
        <v>106</v>
      </c>
      <c r="B27" t="s">
        <v>23</v>
      </c>
      <c r="C27" t="s">
        <v>49</v>
      </c>
      <c r="D27" t="s">
        <v>17</v>
      </c>
      <c r="E27">
        <v>29</v>
      </c>
      <c r="F27" t="s">
        <v>31</v>
      </c>
      <c r="G27" t="s">
        <v>71</v>
      </c>
      <c r="H27" t="s">
        <v>107</v>
      </c>
      <c r="I27">
        <v>18</v>
      </c>
      <c r="J27">
        <v>24</v>
      </c>
      <c r="K27">
        <v>201847</v>
      </c>
      <c r="L27">
        <v>2.4</v>
      </c>
      <c r="M27" t="s">
        <v>21</v>
      </c>
      <c r="N27">
        <v>48</v>
      </c>
      <c r="O27">
        <f t="shared" si="0"/>
        <v>975</v>
      </c>
      <c r="P27">
        <f t="shared" si="1"/>
        <v>483</v>
      </c>
      <c r="Q27">
        <f t="shared" si="2"/>
        <v>492</v>
      </c>
      <c r="R27">
        <f t="shared" si="3"/>
        <v>49.650349650349654</v>
      </c>
      <c r="S27" s="1">
        <f t="shared" si="4"/>
        <v>50.24975024975025</v>
      </c>
      <c r="T27" s="1">
        <f t="shared" si="5"/>
        <v>456</v>
      </c>
      <c r="U27" s="1">
        <f t="shared" si="6"/>
        <v>519</v>
      </c>
      <c r="V27" s="1">
        <f t="shared" si="7"/>
        <v>47.5</v>
      </c>
      <c r="W27" s="1">
        <f t="shared" si="8"/>
        <v>52.5</v>
      </c>
      <c r="X27" s="1">
        <f t="shared" si="9"/>
        <v>15.104615384615384</v>
      </c>
      <c r="Y27" s="1">
        <f t="shared" si="10"/>
        <v>161</v>
      </c>
      <c r="Z27" s="1">
        <f t="shared" si="11"/>
        <v>145</v>
      </c>
      <c r="AA27" s="1">
        <f t="shared" si="12"/>
        <v>3.6161490683229802</v>
      </c>
      <c r="AB27" s="1">
        <f t="shared" si="13"/>
        <v>3.3793103448275863</v>
      </c>
      <c r="AC27" s="1">
        <f t="shared" si="14"/>
        <v>1</v>
      </c>
      <c r="AD27" s="1">
        <f t="shared" si="15"/>
        <v>5.3747721135456103E-2</v>
      </c>
    </row>
    <row r="28" spans="1:30" x14ac:dyDescent="0.35">
      <c r="A28" t="s">
        <v>108</v>
      </c>
      <c r="B28" t="s">
        <v>96</v>
      </c>
      <c r="C28" t="s">
        <v>49</v>
      </c>
      <c r="D28" t="s">
        <v>17</v>
      </c>
      <c r="E28">
        <v>38</v>
      </c>
      <c r="F28" t="s">
        <v>37</v>
      </c>
      <c r="G28" t="s">
        <v>57</v>
      </c>
      <c r="H28" t="s">
        <v>109</v>
      </c>
      <c r="I28">
        <v>13</v>
      </c>
      <c r="J28">
        <v>19</v>
      </c>
      <c r="K28">
        <v>341223</v>
      </c>
      <c r="L28">
        <v>4.5</v>
      </c>
      <c r="M28" t="s">
        <v>43</v>
      </c>
      <c r="N28">
        <v>97</v>
      </c>
      <c r="O28">
        <f t="shared" si="0"/>
        <v>974</v>
      </c>
      <c r="P28">
        <f t="shared" si="1"/>
        <v>482</v>
      </c>
      <c r="Q28">
        <f t="shared" si="2"/>
        <v>492</v>
      </c>
      <c r="R28">
        <f t="shared" si="3"/>
        <v>49.650349650349654</v>
      </c>
      <c r="S28" s="1">
        <f t="shared" si="4"/>
        <v>50.24975024975025</v>
      </c>
      <c r="T28" s="1">
        <f t="shared" si="5"/>
        <v>455</v>
      </c>
      <c r="U28" s="1">
        <f t="shared" si="6"/>
        <v>519</v>
      </c>
      <c r="V28" s="1">
        <f t="shared" si="7"/>
        <v>47.5</v>
      </c>
      <c r="W28" s="1">
        <f t="shared" si="8"/>
        <v>52.5</v>
      </c>
      <c r="X28" s="1">
        <f t="shared" si="9"/>
        <v>15.095482546201232</v>
      </c>
      <c r="Y28" s="1">
        <f t="shared" si="10"/>
        <v>161</v>
      </c>
      <c r="Z28" s="1">
        <f t="shared" si="11"/>
        <v>144</v>
      </c>
      <c r="AA28" s="1">
        <f t="shared" si="12"/>
        <v>3.6161490683229802</v>
      </c>
      <c r="AB28" s="1">
        <f t="shared" si="13"/>
        <v>3.3861111111111111</v>
      </c>
      <c r="AC28" s="1">
        <f t="shared" si="14"/>
        <v>0</v>
      </c>
      <c r="AD28" s="1">
        <f t="shared" si="15"/>
        <v>5.2417410888878052E-2</v>
      </c>
    </row>
    <row r="29" spans="1:30" x14ac:dyDescent="0.35">
      <c r="A29" t="s">
        <v>110</v>
      </c>
      <c r="B29" t="s">
        <v>111</v>
      </c>
      <c r="C29" t="s">
        <v>36</v>
      </c>
      <c r="D29" t="s">
        <v>25</v>
      </c>
      <c r="E29">
        <v>58</v>
      </c>
      <c r="F29" t="s">
        <v>37</v>
      </c>
      <c r="G29" t="s">
        <v>26</v>
      </c>
      <c r="H29" t="s">
        <v>112</v>
      </c>
      <c r="I29">
        <v>15</v>
      </c>
      <c r="J29">
        <v>25</v>
      </c>
      <c r="K29">
        <v>182045</v>
      </c>
      <c r="L29">
        <v>5</v>
      </c>
      <c r="M29" t="s">
        <v>21</v>
      </c>
      <c r="N29">
        <v>45</v>
      </c>
      <c r="O29">
        <f t="shared" si="0"/>
        <v>973</v>
      </c>
      <c r="P29">
        <f t="shared" si="1"/>
        <v>481</v>
      </c>
      <c r="Q29">
        <f t="shared" si="2"/>
        <v>492</v>
      </c>
      <c r="R29">
        <f t="shared" si="3"/>
        <v>49.650349650349654</v>
      </c>
      <c r="S29" s="1">
        <f t="shared" si="4"/>
        <v>50.24975024975025</v>
      </c>
      <c r="T29" s="1">
        <f t="shared" si="5"/>
        <v>455</v>
      </c>
      <c r="U29" s="1">
        <f t="shared" si="6"/>
        <v>518</v>
      </c>
      <c r="V29" s="1">
        <f t="shared" si="7"/>
        <v>47.5</v>
      </c>
      <c r="W29" s="1">
        <f t="shared" si="8"/>
        <v>52.5</v>
      </c>
      <c r="X29" s="1">
        <f t="shared" si="9"/>
        <v>15.091469681397738</v>
      </c>
      <c r="Y29" s="1">
        <f t="shared" si="10"/>
        <v>161</v>
      </c>
      <c r="Z29" s="1">
        <f t="shared" si="11"/>
        <v>144</v>
      </c>
      <c r="AA29" s="1">
        <f t="shared" si="12"/>
        <v>3.6161490683229802</v>
      </c>
      <c r="AB29" s="1">
        <f t="shared" si="13"/>
        <v>3.3861111111111111</v>
      </c>
      <c r="AC29" s="1">
        <f t="shared" si="14"/>
        <v>1</v>
      </c>
      <c r="AD29" s="1">
        <f t="shared" si="15"/>
        <v>5.2992003701057659E-2</v>
      </c>
    </row>
    <row r="30" spans="1:30" x14ac:dyDescent="0.35">
      <c r="A30" t="s">
        <v>113</v>
      </c>
      <c r="B30" t="s">
        <v>40</v>
      </c>
      <c r="C30" t="s">
        <v>56</v>
      </c>
      <c r="D30" t="s">
        <v>25</v>
      </c>
      <c r="E30">
        <v>28</v>
      </c>
      <c r="F30" t="s">
        <v>18</v>
      </c>
      <c r="G30" t="s">
        <v>88</v>
      </c>
      <c r="H30" t="s">
        <v>114</v>
      </c>
      <c r="I30">
        <v>11</v>
      </c>
      <c r="J30">
        <v>21</v>
      </c>
      <c r="K30">
        <v>429973</v>
      </c>
      <c r="L30">
        <v>2.1</v>
      </c>
      <c r="M30" t="s">
        <v>43</v>
      </c>
      <c r="N30">
        <v>82</v>
      </c>
      <c r="O30">
        <f t="shared" si="0"/>
        <v>972</v>
      </c>
      <c r="P30">
        <f t="shared" si="1"/>
        <v>481</v>
      </c>
      <c r="Q30">
        <f t="shared" si="2"/>
        <v>491</v>
      </c>
      <c r="R30">
        <f t="shared" si="3"/>
        <v>49.650349650349654</v>
      </c>
      <c r="S30" s="1">
        <f t="shared" si="4"/>
        <v>50.24975024975025</v>
      </c>
      <c r="T30" s="1">
        <f t="shared" si="5"/>
        <v>454</v>
      </c>
      <c r="U30" s="1">
        <f t="shared" si="6"/>
        <v>518</v>
      </c>
      <c r="V30" s="1">
        <f t="shared" si="7"/>
        <v>47.5</v>
      </c>
      <c r="W30" s="1">
        <f t="shared" si="8"/>
        <v>52.5</v>
      </c>
      <c r="X30" s="1">
        <f t="shared" si="9"/>
        <v>15.081275720164609</v>
      </c>
      <c r="Y30" s="1">
        <f t="shared" si="10"/>
        <v>161</v>
      </c>
      <c r="Z30" s="1">
        <f t="shared" si="11"/>
        <v>144</v>
      </c>
      <c r="AA30" s="1">
        <f t="shared" si="12"/>
        <v>3.6161490683229802</v>
      </c>
      <c r="AB30" s="1">
        <f t="shared" si="13"/>
        <v>3.3861111111111111</v>
      </c>
      <c r="AC30" s="1">
        <f t="shared" si="14"/>
        <v>0</v>
      </c>
      <c r="AD30" s="1">
        <f t="shared" si="15"/>
        <v>5.1507603145911074E-2</v>
      </c>
    </row>
    <row r="31" spans="1:30" x14ac:dyDescent="0.35">
      <c r="A31" t="s">
        <v>115</v>
      </c>
      <c r="B31" t="s">
        <v>96</v>
      </c>
      <c r="C31" t="s">
        <v>36</v>
      </c>
      <c r="D31" t="s">
        <v>17</v>
      </c>
      <c r="E31">
        <v>29</v>
      </c>
      <c r="F31" t="s">
        <v>79</v>
      </c>
      <c r="G31" t="s">
        <v>26</v>
      </c>
      <c r="H31" t="s">
        <v>116</v>
      </c>
      <c r="I31">
        <v>8</v>
      </c>
      <c r="J31">
        <v>15</v>
      </c>
      <c r="K31">
        <v>360137</v>
      </c>
      <c r="L31">
        <v>2.2999999999999998</v>
      </c>
      <c r="M31" t="s">
        <v>43</v>
      </c>
      <c r="N31">
        <v>99</v>
      </c>
      <c r="O31">
        <f t="shared" si="0"/>
        <v>971</v>
      </c>
      <c r="P31">
        <f t="shared" si="1"/>
        <v>481</v>
      </c>
      <c r="Q31">
        <f t="shared" si="2"/>
        <v>490</v>
      </c>
      <c r="R31">
        <f t="shared" si="3"/>
        <v>49.650349650349654</v>
      </c>
      <c r="S31" s="1">
        <f t="shared" si="4"/>
        <v>50.24975024975025</v>
      </c>
      <c r="T31" s="1">
        <f t="shared" si="5"/>
        <v>454</v>
      </c>
      <c r="U31" s="1">
        <f t="shared" si="6"/>
        <v>517</v>
      </c>
      <c r="V31" s="1">
        <f t="shared" si="7"/>
        <v>47.5</v>
      </c>
      <c r="W31" s="1">
        <f t="shared" si="8"/>
        <v>52.5</v>
      </c>
      <c r="X31" s="1">
        <f t="shared" si="9"/>
        <v>15.075180226570545</v>
      </c>
      <c r="Y31" s="1">
        <f t="shared" si="10"/>
        <v>161</v>
      </c>
      <c r="Z31" s="1">
        <f t="shared" si="11"/>
        <v>144</v>
      </c>
      <c r="AA31" s="1">
        <f t="shared" si="12"/>
        <v>3.6161490683229802</v>
      </c>
      <c r="AB31" s="1">
        <f t="shared" si="13"/>
        <v>3.3861111111111111</v>
      </c>
      <c r="AC31" s="1">
        <f t="shared" si="14"/>
        <v>0</v>
      </c>
      <c r="AD31" s="1">
        <f t="shared" si="15"/>
        <v>5.2374362245092197E-2</v>
      </c>
    </row>
    <row r="32" spans="1:30" x14ac:dyDescent="0.35">
      <c r="A32" t="s">
        <v>117</v>
      </c>
      <c r="B32" t="s">
        <v>23</v>
      </c>
      <c r="C32" t="s">
        <v>49</v>
      </c>
      <c r="D32" t="s">
        <v>25</v>
      </c>
      <c r="E32">
        <v>47</v>
      </c>
      <c r="F32" t="s">
        <v>46</v>
      </c>
      <c r="G32" t="s">
        <v>32</v>
      </c>
      <c r="H32" t="s">
        <v>118</v>
      </c>
      <c r="I32">
        <v>10</v>
      </c>
      <c r="J32">
        <v>13</v>
      </c>
      <c r="K32">
        <v>88669</v>
      </c>
      <c r="L32">
        <v>4.5999999999999996</v>
      </c>
      <c r="M32" t="s">
        <v>43</v>
      </c>
      <c r="N32">
        <v>79</v>
      </c>
      <c r="O32">
        <f t="shared" si="0"/>
        <v>970</v>
      </c>
      <c r="P32">
        <f t="shared" si="1"/>
        <v>480</v>
      </c>
      <c r="Q32">
        <f t="shared" si="2"/>
        <v>490</v>
      </c>
      <c r="R32">
        <f t="shared" si="3"/>
        <v>49.650349650349654</v>
      </c>
      <c r="S32" s="1">
        <f t="shared" si="4"/>
        <v>50.24975024975025</v>
      </c>
      <c r="T32" s="1">
        <f t="shared" si="5"/>
        <v>454</v>
      </c>
      <c r="U32" s="1">
        <f t="shared" si="6"/>
        <v>516</v>
      </c>
      <c r="V32" s="1">
        <f t="shared" si="7"/>
        <v>47.5</v>
      </c>
      <c r="W32" s="1">
        <f t="shared" si="8"/>
        <v>52.5</v>
      </c>
      <c r="X32" s="1">
        <f t="shared" si="9"/>
        <v>15.075257731958763</v>
      </c>
      <c r="Y32" s="1">
        <f t="shared" si="10"/>
        <v>161</v>
      </c>
      <c r="Z32" s="1">
        <f t="shared" si="11"/>
        <v>144</v>
      </c>
      <c r="AA32" s="1">
        <f t="shared" si="12"/>
        <v>3.6161490683229802</v>
      </c>
      <c r="AB32" s="1">
        <f t="shared" si="13"/>
        <v>3.3861111111111111</v>
      </c>
      <c r="AC32" s="1">
        <f t="shared" si="14"/>
        <v>0</v>
      </c>
      <c r="AD32" s="1">
        <f t="shared" si="15"/>
        <v>5.2387605111892638E-2</v>
      </c>
    </row>
    <row r="33" spans="1:30" x14ac:dyDescent="0.35">
      <c r="A33" t="s">
        <v>119</v>
      </c>
      <c r="B33" t="s">
        <v>96</v>
      </c>
      <c r="C33" t="s">
        <v>24</v>
      </c>
      <c r="D33" t="s">
        <v>25</v>
      </c>
      <c r="E33">
        <v>50</v>
      </c>
      <c r="F33" t="s">
        <v>31</v>
      </c>
      <c r="G33" t="s">
        <v>85</v>
      </c>
      <c r="H33" t="s">
        <v>120</v>
      </c>
      <c r="I33">
        <v>8</v>
      </c>
      <c r="J33">
        <v>9</v>
      </c>
      <c r="K33">
        <v>122281</v>
      </c>
      <c r="L33">
        <v>3.3</v>
      </c>
      <c r="M33" t="s">
        <v>21</v>
      </c>
      <c r="N33">
        <v>42</v>
      </c>
      <c r="O33">
        <f t="shared" si="0"/>
        <v>969</v>
      </c>
      <c r="P33">
        <f t="shared" si="1"/>
        <v>480</v>
      </c>
      <c r="Q33">
        <f t="shared" si="2"/>
        <v>489</v>
      </c>
      <c r="R33">
        <f t="shared" si="3"/>
        <v>49.650349650349654</v>
      </c>
      <c r="S33" s="1">
        <f t="shared" si="4"/>
        <v>50.24975024975025</v>
      </c>
      <c r="T33" s="1">
        <f t="shared" si="5"/>
        <v>454</v>
      </c>
      <c r="U33" s="1">
        <f t="shared" si="6"/>
        <v>515</v>
      </c>
      <c r="V33" s="1">
        <f t="shared" si="7"/>
        <v>47.5</v>
      </c>
      <c r="W33" s="1">
        <f t="shared" si="8"/>
        <v>52.5</v>
      </c>
      <c r="X33" s="1">
        <f t="shared" si="9"/>
        <v>15.077399380804954</v>
      </c>
      <c r="Y33" s="1">
        <f t="shared" si="10"/>
        <v>161</v>
      </c>
      <c r="Z33" s="1">
        <f t="shared" si="11"/>
        <v>144</v>
      </c>
      <c r="AA33" s="1">
        <f t="shared" si="12"/>
        <v>3.6161490683229802</v>
      </c>
      <c r="AB33" s="1">
        <f t="shared" si="13"/>
        <v>3.3861111111111111</v>
      </c>
      <c r="AC33" s="1">
        <f t="shared" si="14"/>
        <v>1</v>
      </c>
      <c r="AD33" s="1">
        <f t="shared" si="15"/>
        <v>5.2123993093514571E-2</v>
      </c>
    </row>
    <row r="34" spans="1:30" x14ac:dyDescent="0.35">
      <c r="A34" t="s">
        <v>121</v>
      </c>
      <c r="B34" t="s">
        <v>55</v>
      </c>
      <c r="C34" t="s">
        <v>52</v>
      </c>
      <c r="D34" t="s">
        <v>25</v>
      </c>
      <c r="E34">
        <v>26</v>
      </c>
      <c r="F34" t="s">
        <v>18</v>
      </c>
      <c r="G34" t="s">
        <v>61</v>
      </c>
      <c r="H34" t="s">
        <v>122</v>
      </c>
      <c r="I34">
        <v>5</v>
      </c>
      <c r="J34">
        <v>5</v>
      </c>
      <c r="K34">
        <v>380373</v>
      </c>
      <c r="L34">
        <v>4.9000000000000004</v>
      </c>
      <c r="M34" t="s">
        <v>43</v>
      </c>
      <c r="N34">
        <v>73</v>
      </c>
      <c r="O34">
        <f t="shared" si="0"/>
        <v>968</v>
      </c>
      <c r="P34">
        <f t="shared" si="1"/>
        <v>480</v>
      </c>
      <c r="Q34">
        <f t="shared" si="2"/>
        <v>488</v>
      </c>
      <c r="R34">
        <f t="shared" si="3"/>
        <v>49.650349650349654</v>
      </c>
      <c r="S34" s="1">
        <f t="shared" si="4"/>
        <v>50.24975024975025</v>
      </c>
      <c r="T34" s="1">
        <f t="shared" si="5"/>
        <v>453</v>
      </c>
      <c r="U34" s="1">
        <f t="shared" si="6"/>
        <v>515</v>
      </c>
      <c r="V34" s="1">
        <f t="shared" si="7"/>
        <v>47.5</v>
      </c>
      <c r="W34" s="1">
        <f t="shared" si="8"/>
        <v>52.5</v>
      </c>
      <c r="X34" s="1">
        <f t="shared" si="9"/>
        <v>15.083677685950413</v>
      </c>
      <c r="Y34" s="1">
        <f t="shared" si="10"/>
        <v>161</v>
      </c>
      <c r="Z34" s="1">
        <f t="shared" si="11"/>
        <v>143</v>
      </c>
      <c r="AA34" s="1">
        <f t="shared" si="12"/>
        <v>3.6161490683229802</v>
      </c>
      <c r="AB34" s="1">
        <f t="shared" si="13"/>
        <v>3.3867132867132863</v>
      </c>
      <c r="AC34" s="1">
        <f t="shared" si="14"/>
        <v>0</v>
      </c>
      <c r="AD34" s="1">
        <f t="shared" si="15"/>
        <v>5.3140010990578308E-2</v>
      </c>
    </row>
    <row r="35" spans="1:30" x14ac:dyDescent="0.35">
      <c r="A35" t="s">
        <v>123</v>
      </c>
      <c r="B35" t="s">
        <v>35</v>
      </c>
      <c r="C35" t="s">
        <v>24</v>
      </c>
      <c r="D35" t="s">
        <v>17</v>
      </c>
      <c r="E35">
        <v>23</v>
      </c>
      <c r="F35" t="s">
        <v>18</v>
      </c>
      <c r="G35" t="s">
        <v>57</v>
      </c>
      <c r="H35" t="s">
        <v>124</v>
      </c>
      <c r="I35">
        <v>16</v>
      </c>
      <c r="J35">
        <v>26</v>
      </c>
      <c r="K35">
        <v>136820</v>
      </c>
      <c r="L35">
        <v>5</v>
      </c>
      <c r="M35" t="s">
        <v>21</v>
      </c>
      <c r="N35">
        <v>57</v>
      </c>
      <c r="O35">
        <f t="shared" si="0"/>
        <v>967</v>
      </c>
      <c r="P35">
        <f t="shared" si="1"/>
        <v>480</v>
      </c>
      <c r="Q35">
        <f t="shared" si="2"/>
        <v>487</v>
      </c>
      <c r="R35">
        <f t="shared" si="3"/>
        <v>49.650349650349654</v>
      </c>
      <c r="S35" s="1">
        <f t="shared" si="4"/>
        <v>50.24975024975025</v>
      </c>
      <c r="T35" s="1">
        <f t="shared" si="5"/>
        <v>453</v>
      </c>
      <c r="U35" s="1">
        <f t="shared" si="6"/>
        <v>514</v>
      </c>
      <c r="V35" s="1">
        <f t="shared" si="7"/>
        <v>47.5</v>
      </c>
      <c r="W35" s="1">
        <f t="shared" si="8"/>
        <v>52.5</v>
      </c>
      <c r="X35" s="1">
        <f t="shared" si="9"/>
        <v>15.094105480868667</v>
      </c>
      <c r="Y35" s="1">
        <f t="shared" si="10"/>
        <v>161</v>
      </c>
      <c r="Z35" s="1">
        <f t="shared" si="11"/>
        <v>143</v>
      </c>
      <c r="AA35" s="1">
        <f t="shared" si="12"/>
        <v>3.6161490683229802</v>
      </c>
      <c r="AB35" s="1">
        <f t="shared" si="13"/>
        <v>3.3867132867132863</v>
      </c>
      <c r="AC35" s="1">
        <f t="shared" si="14"/>
        <v>1</v>
      </c>
      <c r="AD35" s="1">
        <f t="shared" si="15"/>
        <v>5.1810670895371481E-2</v>
      </c>
    </row>
    <row r="36" spans="1:30" x14ac:dyDescent="0.35">
      <c r="A36" t="s">
        <v>125</v>
      </c>
      <c r="B36" t="s">
        <v>45</v>
      </c>
      <c r="C36" t="s">
        <v>36</v>
      </c>
      <c r="D36" t="s">
        <v>17</v>
      </c>
      <c r="E36">
        <v>50</v>
      </c>
      <c r="F36" t="s">
        <v>70</v>
      </c>
      <c r="G36" t="s">
        <v>88</v>
      </c>
      <c r="H36" t="s">
        <v>126</v>
      </c>
      <c r="I36">
        <v>3</v>
      </c>
      <c r="J36">
        <v>5</v>
      </c>
      <c r="K36">
        <v>234541</v>
      </c>
      <c r="L36">
        <v>4.5999999999999996</v>
      </c>
      <c r="M36" t="s">
        <v>21</v>
      </c>
      <c r="N36">
        <v>40</v>
      </c>
      <c r="O36">
        <f t="shared" si="0"/>
        <v>966</v>
      </c>
      <c r="P36">
        <f t="shared" si="1"/>
        <v>479</v>
      </c>
      <c r="Q36">
        <f t="shared" si="2"/>
        <v>487</v>
      </c>
      <c r="R36">
        <f t="shared" si="3"/>
        <v>49.650349650349654</v>
      </c>
      <c r="S36" s="1">
        <f t="shared" si="4"/>
        <v>50.24975024975025</v>
      </c>
      <c r="T36" s="1">
        <f t="shared" si="5"/>
        <v>452</v>
      </c>
      <c r="U36" s="1">
        <f t="shared" si="6"/>
        <v>514</v>
      </c>
      <c r="V36" s="1">
        <f t="shared" si="7"/>
        <v>47.5</v>
      </c>
      <c r="W36" s="1">
        <f t="shared" si="8"/>
        <v>52.5</v>
      </c>
      <c r="X36" s="1">
        <f t="shared" si="9"/>
        <v>15.082815734989648</v>
      </c>
      <c r="Y36" s="1">
        <f t="shared" si="10"/>
        <v>161</v>
      </c>
      <c r="Z36" s="1">
        <f t="shared" si="11"/>
        <v>143</v>
      </c>
      <c r="AA36" s="1">
        <f t="shared" si="12"/>
        <v>3.6161490683229802</v>
      </c>
      <c r="AB36" s="1">
        <f t="shared" si="13"/>
        <v>3.3867132867132863</v>
      </c>
      <c r="AC36" s="1">
        <f t="shared" si="14"/>
        <v>1</v>
      </c>
      <c r="AD36" s="1">
        <f t="shared" si="15"/>
        <v>5.0170202594668589E-2</v>
      </c>
    </row>
    <row r="37" spans="1:30" x14ac:dyDescent="0.35">
      <c r="A37" t="s">
        <v>127</v>
      </c>
      <c r="B37" t="s">
        <v>40</v>
      </c>
      <c r="C37" t="s">
        <v>24</v>
      </c>
      <c r="D37" t="s">
        <v>25</v>
      </c>
      <c r="E37">
        <v>57</v>
      </c>
      <c r="F37" t="s">
        <v>18</v>
      </c>
      <c r="G37" t="s">
        <v>85</v>
      </c>
      <c r="H37" t="s">
        <v>128</v>
      </c>
      <c r="I37">
        <v>9</v>
      </c>
      <c r="J37">
        <v>13</v>
      </c>
      <c r="K37">
        <v>197341</v>
      </c>
      <c r="L37">
        <v>2.2999999999999998</v>
      </c>
      <c r="M37" t="s">
        <v>43</v>
      </c>
      <c r="N37">
        <v>74</v>
      </c>
      <c r="O37">
        <f t="shared" si="0"/>
        <v>965</v>
      </c>
      <c r="P37">
        <f t="shared" si="1"/>
        <v>478</v>
      </c>
      <c r="Q37">
        <f t="shared" si="2"/>
        <v>487</v>
      </c>
      <c r="R37">
        <f t="shared" si="3"/>
        <v>49.650349650349654</v>
      </c>
      <c r="S37" s="1">
        <f t="shared" si="4"/>
        <v>50.24975024975025</v>
      </c>
      <c r="T37" s="1">
        <f t="shared" si="5"/>
        <v>451</v>
      </c>
      <c r="U37" s="1">
        <f t="shared" si="6"/>
        <v>514</v>
      </c>
      <c r="V37" s="1">
        <f t="shared" si="7"/>
        <v>47.5</v>
      </c>
      <c r="W37" s="1">
        <f t="shared" si="8"/>
        <v>52.5</v>
      </c>
      <c r="X37" s="1">
        <f t="shared" si="9"/>
        <v>15.093264248704664</v>
      </c>
      <c r="Y37" s="1">
        <f t="shared" si="10"/>
        <v>161</v>
      </c>
      <c r="Z37" s="1">
        <f t="shared" si="11"/>
        <v>143</v>
      </c>
      <c r="AA37" s="1">
        <f t="shared" si="12"/>
        <v>3.6161490683229802</v>
      </c>
      <c r="AB37" s="1">
        <f t="shared" si="13"/>
        <v>3.3867132867132863</v>
      </c>
      <c r="AC37" s="1">
        <f t="shared" si="14"/>
        <v>0</v>
      </c>
      <c r="AD37" s="1">
        <f t="shared" si="15"/>
        <v>5.1865623668626758E-2</v>
      </c>
    </row>
    <row r="38" spans="1:30" x14ac:dyDescent="0.35">
      <c r="A38" t="s">
        <v>129</v>
      </c>
      <c r="B38" t="s">
        <v>15</v>
      </c>
      <c r="C38" t="s">
        <v>64</v>
      </c>
      <c r="D38" t="s">
        <v>17</v>
      </c>
      <c r="E38">
        <v>43</v>
      </c>
      <c r="F38" t="s">
        <v>46</v>
      </c>
      <c r="G38" t="s">
        <v>41</v>
      </c>
      <c r="H38" t="s">
        <v>130</v>
      </c>
      <c r="I38">
        <v>12</v>
      </c>
      <c r="J38">
        <v>17</v>
      </c>
      <c r="K38">
        <v>302053</v>
      </c>
      <c r="L38">
        <v>3.2</v>
      </c>
      <c r="M38" t="s">
        <v>43</v>
      </c>
      <c r="N38">
        <v>97</v>
      </c>
      <c r="O38">
        <f t="shared" si="0"/>
        <v>964</v>
      </c>
      <c r="P38">
        <f t="shared" si="1"/>
        <v>478</v>
      </c>
      <c r="Q38">
        <f t="shared" si="2"/>
        <v>486</v>
      </c>
      <c r="R38">
        <f t="shared" si="3"/>
        <v>49.650349650349654</v>
      </c>
      <c r="S38" s="1">
        <f t="shared" si="4"/>
        <v>50.24975024975025</v>
      </c>
      <c r="T38" s="1">
        <f t="shared" si="5"/>
        <v>451</v>
      </c>
      <c r="U38" s="1">
        <f t="shared" si="6"/>
        <v>513</v>
      </c>
      <c r="V38" s="1">
        <f t="shared" si="7"/>
        <v>47.5</v>
      </c>
      <c r="W38" s="1">
        <f t="shared" si="8"/>
        <v>52.5</v>
      </c>
      <c r="X38" s="1">
        <f t="shared" si="9"/>
        <v>15.095435684647303</v>
      </c>
      <c r="Y38" s="1">
        <f t="shared" si="10"/>
        <v>161</v>
      </c>
      <c r="Z38" s="1">
        <f t="shared" si="11"/>
        <v>143</v>
      </c>
      <c r="AA38" s="1">
        <f t="shared" si="12"/>
        <v>3.6161490683229802</v>
      </c>
      <c r="AB38" s="1">
        <f t="shared" si="13"/>
        <v>3.3867132867132863</v>
      </c>
      <c r="AC38" s="1">
        <f t="shared" si="14"/>
        <v>0</v>
      </c>
      <c r="AD38" s="1">
        <f t="shared" si="15"/>
        <v>5.1597848944379777E-2</v>
      </c>
    </row>
    <row r="39" spans="1:30" x14ac:dyDescent="0.35">
      <c r="A39" t="s">
        <v>131</v>
      </c>
      <c r="B39" t="s">
        <v>40</v>
      </c>
      <c r="C39" t="s">
        <v>49</v>
      </c>
      <c r="D39" t="s">
        <v>25</v>
      </c>
      <c r="E39">
        <v>54</v>
      </c>
      <c r="F39" t="s">
        <v>70</v>
      </c>
      <c r="G39" t="s">
        <v>75</v>
      </c>
      <c r="H39" t="s">
        <v>132</v>
      </c>
      <c r="I39">
        <v>13</v>
      </c>
      <c r="J39">
        <v>14</v>
      </c>
      <c r="K39">
        <v>238478</v>
      </c>
      <c r="L39">
        <v>3.9</v>
      </c>
      <c r="M39" t="s">
        <v>43</v>
      </c>
      <c r="N39">
        <v>73</v>
      </c>
      <c r="O39">
        <f t="shared" si="0"/>
        <v>963</v>
      </c>
      <c r="P39">
        <f t="shared" si="1"/>
        <v>477</v>
      </c>
      <c r="Q39">
        <f t="shared" si="2"/>
        <v>486</v>
      </c>
      <c r="R39">
        <f t="shared" si="3"/>
        <v>49.650349650349654</v>
      </c>
      <c r="S39" s="1">
        <f t="shared" si="4"/>
        <v>50.24975024975025</v>
      </c>
      <c r="T39" s="1">
        <f t="shared" si="5"/>
        <v>451</v>
      </c>
      <c r="U39" s="1">
        <f t="shared" si="6"/>
        <v>512</v>
      </c>
      <c r="V39" s="1">
        <f t="shared" si="7"/>
        <v>47.5</v>
      </c>
      <c r="W39" s="1">
        <f t="shared" si="8"/>
        <v>52.5</v>
      </c>
      <c r="X39" s="1">
        <f t="shared" si="9"/>
        <v>15.093457943925234</v>
      </c>
      <c r="Y39" s="1">
        <f t="shared" si="10"/>
        <v>161</v>
      </c>
      <c r="Z39" s="1">
        <f t="shared" si="11"/>
        <v>143</v>
      </c>
      <c r="AA39" s="1">
        <f t="shared" si="12"/>
        <v>3.6161490683229802</v>
      </c>
      <c r="AB39" s="1">
        <f t="shared" si="13"/>
        <v>3.3867132867132863</v>
      </c>
      <c r="AC39" s="1">
        <f t="shared" si="14"/>
        <v>0</v>
      </c>
      <c r="AD39" s="1">
        <f t="shared" si="15"/>
        <v>5.1891217285308655E-2</v>
      </c>
    </row>
    <row r="40" spans="1:30" x14ac:dyDescent="0.35">
      <c r="A40" t="s">
        <v>133</v>
      </c>
      <c r="B40" t="s">
        <v>45</v>
      </c>
      <c r="C40" t="s">
        <v>64</v>
      </c>
      <c r="D40" t="s">
        <v>17</v>
      </c>
      <c r="E40">
        <v>29</v>
      </c>
      <c r="F40" t="s">
        <v>37</v>
      </c>
      <c r="G40" t="s">
        <v>88</v>
      </c>
      <c r="H40" t="s">
        <v>134</v>
      </c>
      <c r="I40">
        <v>13</v>
      </c>
      <c r="J40">
        <v>20</v>
      </c>
      <c r="K40">
        <v>81330</v>
      </c>
      <c r="L40">
        <v>4.0999999999999996</v>
      </c>
      <c r="M40" t="s">
        <v>21</v>
      </c>
      <c r="N40">
        <v>32</v>
      </c>
      <c r="O40">
        <f t="shared" si="0"/>
        <v>962</v>
      </c>
      <c r="P40">
        <f t="shared" si="1"/>
        <v>477</v>
      </c>
      <c r="Q40">
        <f t="shared" si="2"/>
        <v>485</v>
      </c>
      <c r="R40">
        <f t="shared" si="3"/>
        <v>49.650349650349654</v>
      </c>
      <c r="S40" s="1">
        <f t="shared" si="4"/>
        <v>50.24975024975025</v>
      </c>
      <c r="T40" s="1">
        <f t="shared" si="5"/>
        <v>451</v>
      </c>
      <c r="U40" s="1">
        <f t="shared" si="6"/>
        <v>511</v>
      </c>
      <c r="V40" s="1">
        <f t="shared" si="7"/>
        <v>47.5</v>
      </c>
      <c r="W40" s="1">
        <f t="shared" si="8"/>
        <v>52.5</v>
      </c>
      <c r="X40" s="1">
        <f t="shared" si="9"/>
        <v>15.094594594594595</v>
      </c>
      <c r="Y40" s="1">
        <f t="shared" si="10"/>
        <v>161</v>
      </c>
      <c r="Z40" s="1">
        <f t="shared" si="11"/>
        <v>143</v>
      </c>
      <c r="AA40" s="1">
        <f t="shared" si="12"/>
        <v>3.6161490683229802</v>
      </c>
      <c r="AB40" s="1">
        <f t="shared" si="13"/>
        <v>3.3867132867132863</v>
      </c>
      <c r="AC40" s="1">
        <f t="shared" si="14"/>
        <v>1</v>
      </c>
      <c r="AD40" s="1">
        <f t="shared" si="15"/>
        <v>5.176169390973305E-2</v>
      </c>
    </row>
    <row r="41" spans="1:30" x14ac:dyDescent="0.35">
      <c r="A41" t="s">
        <v>135</v>
      </c>
      <c r="B41" t="s">
        <v>45</v>
      </c>
      <c r="C41" t="s">
        <v>56</v>
      </c>
      <c r="D41" t="s">
        <v>17</v>
      </c>
      <c r="E41">
        <v>58</v>
      </c>
      <c r="F41" t="s">
        <v>74</v>
      </c>
      <c r="G41" t="s">
        <v>85</v>
      </c>
      <c r="H41" t="s">
        <v>136</v>
      </c>
      <c r="I41">
        <v>7</v>
      </c>
      <c r="J41">
        <v>10</v>
      </c>
      <c r="K41">
        <v>421592</v>
      </c>
      <c r="L41">
        <v>2.2999999999999998</v>
      </c>
      <c r="M41" t="s">
        <v>43</v>
      </c>
      <c r="N41">
        <v>84</v>
      </c>
      <c r="O41">
        <f t="shared" si="0"/>
        <v>961</v>
      </c>
      <c r="P41">
        <f t="shared" si="1"/>
        <v>476</v>
      </c>
      <c r="Q41">
        <f t="shared" si="2"/>
        <v>485</v>
      </c>
      <c r="R41">
        <f t="shared" si="3"/>
        <v>49.650349650349654</v>
      </c>
      <c r="S41" s="1">
        <f t="shared" si="4"/>
        <v>50.24975024975025</v>
      </c>
      <c r="T41" s="1">
        <f t="shared" si="5"/>
        <v>450</v>
      </c>
      <c r="U41" s="1">
        <f t="shared" si="6"/>
        <v>511</v>
      </c>
      <c r="V41" s="1">
        <f t="shared" si="7"/>
        <v>47.5</v>
      </c>
      <c r="W41" s="1">
        <f t="shared" si="8"/>
        <v>52.5</v>
      </c>
      <c r="X41" s="1">
        <f t="shared" si="9"/>
        <v>15.0894901144641</v>
      </c>
      <c r="Y41" s="1">
        <f t="shared" si="10"/>
        <v>161</v>
      </c>
      <c r="Z41" s="1">
        <f t="shared" si="11"/>
        <v>143</v>
      </c>
      <c r="AA41" s="1">
        <f t="shared" si="12"/>
        <v>3.6161490683229802</v>
      </c>
      <c r="AB41" s="1">
        <f t="shared" si="13"/>
        <v>3.3867132867132863</v>
      </c>
      <c r="AC41" s="1">
        <f t="shared" si="14"/>
        <v>0</v>
      </c>
      <c r="AD41" s="1">
        <f t="shared" si="15"/>
        <v>5.1021624488803811E-2</v>
      </c>
    </row>
    <row r="42" spans="1:30" x14ac:dyDescent="0.35">
      <c r="A42" t="s">
        <v>137</v>
      </c>
      <c r="B42" t="s">
        <v>15</v>
      </c>
      <c r="C42" t="s">
        <v>93</v>
      </c>
      <c r="D42" t="s">
        <v>25</v>
      </c>
      <c r="E42">
        <v>27</v>
      </c>
      <c r="F42" t="s">
        <v>37</v>
      </c>
      <c r="G42" t="s">
        <v>32</v>
      </c>
      <c r="H42" t="s">
        <v>138</v>
      </c>
      <c r="I42">
        <v>3</v>
      </c>
      <c r="J42">
        <v>12</v>
      </c>
      <c r="K42">
        <v>111108</v>
      </c>
      <c r="L42">
        <v>3.3</v>
      </c>
      <c r="M42" t="s">
        <v>43</v>
      </c>
      <c r="N42">
        <v>94</v>
      </c>
      <c r="O42">
        <f t="shared" si="0"/>
        <v>960</v>
      </c>
      <c r="P42">
        <f t="shared" si="1"/>
        <v>475</v>
      </c>
      <c r="Q42">
        <f t="shared" si="2"/>
        <v>485</v>
      </c>
      <c r="R42">
        <f t="shared" si="3"/>
        <v>49.650349650349654</v>
      </c>
      <c r="S42" s="1">
        <f t="shared" si="4"/>
        <v>50.24975024975025</v>
      </c>
      <c r="T42" s="1">
        <f t="shared" si="5"/>
        <v>450</v>
      </c>
      <c r="U42" s="1">
        <f t="shared" si="6"/>
        <v>510</v>
      </c>
      <c r="V42" s="1">
        <f t="shared" si="7"/>
        <v>47.5</v>
      </c>
      <c r="W42" s="1">
        <f t="shared" si="8"/>
        <v>52.5</v>
      </c>
      <c r="X42" s="1">
        <f t="shared" si="9"/>
        <v>15.094791666666667</v>
      </c>
      <c r="Y42" s="1">
        <f t="shared" si="10"/>
        <v>160</v>
      </c>
      <c r="Z42" s="1">
        <f t="shared" si="11"/>
        <v>143</v>
      </c>
      <c r="AA42" s="1">
        <f t="shared" si="12"/>
        <v>3.6243749999999992</v>
      </c>
      <c r="AB42" s="1">
        <f t="shared" si="13"/>
        <v>3.3867132867132863</v>
      </c>
      <c r="AC42" s="1">
        <f t="shared" si="14"/>
        <v>0</v>
      </c>
      <c r="AD42" s="1">
        <f t="shared" si="15"/>
        <v>5.0341673078686019E-2</v>
      </c>
    </row>
    <row r="43" spans="1:30" x14ac:dyDescent="0.35">
      <c r="A43" t="s">
        <v>139</v>
      </c>
      <c r="B43" t="s">
        <v>45</v>
      </c>
      <c r="C43" t="s">
        <v>82</v>
      </c>
      <c r="D43" t="s">
        <v>17</v>
      </c>
      <c r="E43">
        <v>46</v>
      </c>
      <c r="F43" t="s">
        <v>70</v>
      </c>
      <c r="G43" t="s">
        <v>57</v>
      </c>
      <c r="H43" t="s">
        <v>140</v>
      </c>
      <c r="I43">
        <v>14</v>
      </c>
      <c r="J43">
        <v>24</v>
      </c>
      <c r="K43">
        <v>181880</v>
      </c>
      <c r="L43">
        <v>3.7</v>
      </c>
      <c r="M43" t="s">
        <v>21</v>
      </c>
      <c r="N43">
        <v>32</v>
      </c>
      <c r="O43">
        <f t="shared" si="0"/>
        <v>959</v>
      </c>
      <c r="P43">
        <f t="shared" si="1"/>
        <v>475</v>
      </c>
      <c r="Q43">
        <f t="shared" si="2"/>
        <v>484</v>
      </c>
      <c r="R43">
        <f t="shared" si="3"/>
        <v>49.650349650349654</v>
      </c>
      <c r="S43" s="1">
        <f t="shared" si="4"/>
        <v>50.24975024975025</v>
      </c>
      <c r="T43" s="1">
        <f t="shared" si="5"/>
        <v>450</v>
      </c>
      <c r="U43" s="1">
        <f t="shared" si="6"/>
        <v>509</v>
      </c>
      <c r="V43" s="1">
        <f t="shared" si="7"/>
        <v>47.5</v>
      </c>
      <c r="W43" s="1">
        <f t="shared" si="8"/>
        <v>52.5</v>
      </c>
      <c r="X43" s="1">
        <f t="shared" si="9"/>
        <v>15.098018769551617</v>
      </c>
      <c r="Y43" s="1">
        <f t="shared" si="10"/>
        <v>160</v>
      </c>
      <c r="Z43" s="1">
        <f t="shared" si="11"/>
        <v>143</v>
      </c>
      <c r="AA43" s="1">
        <f t="shared" si="12"/>
        <v>3.6243749999999992</v>
      </c>
      <c r="AB43" s="1">
        <f t="shared" si="13"/>
        <v>3.3867132867132863</v>
      </c>
      <c r="AC43" s="1">
        <f t="shared" si="14"/>
        <v>1</v>
      </c>
      <c r="AD43" s="1">
        <f t="shared" si="15"/>
        <v>4.9932964811901556E-2</v>
      </c>
    </row>
    <row r="44" spans="1:30" x14ac:dyDescent="0.35">
      <c r="A44" t="s">
        <v>141</v>
      </c>
      <c r="B44" t="s">
        <v>111</v>
      </c>
      <c r="C44" t="s">
        <v>30</v>
      </c>
      <c r="D44" t="s">
        <v>17</v>
      </c>
      <c r="E44">
        <v>42</v>
      </c>
      <c r="F44" t="s">
        <v>70</v>
      </c>
      <c r="G44" t="s">
        <v>85</v>
      </c>
      <c r="H44" t="s">
        <v>142</v>
      </c>
      <c r="I44">
        <v>11</v>
      </c>
      <c r="J44">
        <v>20</v>
      </c>
      <c r="K44">
        <v>289412</v>
      </c>
      <c r="L44">
        <v>4.4000000000000004</v>
      </c>
      <c r="M44" t="s">
        <v>43</v>
      </c>
      <c r="N44">
        <v>88</v>
      </c>
      <c r="O44">
        <f t="shared" si="0"/>
        <v>958</v>
      </c>
      <c r="P44">
        <f t="shared" si="1"/>
        <v>474</v>
      </c>
      <c r="Q44">
        <f t="shared" si="2"/>
        <v>484</v>
      </c>
      <c r="R44">
        <f t="shared" si="3"/>
        <v>49.650349650349654</v>
      </c>
      <c r="S44" s="1">
        <f t="shared" si="4"/>
        <v>50.24975024975025</v>
      </c>
      <c r="T44" s="1">
        <f t="shared" si="5"/>
        <v>449</v>
      </c>
      <c r="U44" s="1">
        <f t="shared" si="6"/>
        <v>509</v>
      </c>
      <c r="V44" s="1">
        <f t="shared" si="7"/>
        <v>47.5</v>
      </c>
      <c r="W44" s="1">
        <f t="shared" si="8"/>
        <v>52.5</v>
      </c>
      <c r="X44" s="1">
        <f t="shared" si="9"/>
        <v>15.088726513569938</v>
      </c>
      <c r="Y44" s="1">
        <f t="shared" si="10"/>
        <v>160</v>
      </c>
      <c r="Z44" s="1">
        <f t="shared" si="11"/>
        <v>143</v>
      </c>
      <c r="AA44" s="1">
        <f t="shared" si="12"/>
        <v>3.6243749999999992</v>
      </c>
      <c r="AB44" s="1">
        <f t="shared" si="13"/>
        <v>3.3867132867132863</v>
      </c>
      <c r="AC44" s="1">
        <f t="shared" si="14"/>
        <v>0</v>
      </c>
      <c r="AD44" s="1">
        <f t="shared" si="15"/>
        <v>4.857969503810395E-2</v>
      </c>
    </row>
    <row r="45" spans="1:30" x14ac:dyDescent="0.35">
      <c r="A45" t="s">
        <v>143</v>
      </c>
      <c r="B45" t="s">
        <v>69</v>
      </c>
      <c r="C45" t="s">
        <v>36</v>
      </c>
      <c r="D45" t="s">
        <v>25</v>
      </c>
      <c r="E45">
        <v>27</v>
      </c>
      <c r="F45" t="s">
        <v>18</v>
      </c>
      <c r="G45" t="s">
        <v>85</v>
      </c>
      <c r="H45" t="s">
        <v>144</v>
      </c>
      <c r="I45">
        <v>11</v>
      </c>
      <c r="J45">
        <v>12</v>
      </c>
      <c r="K45">
        <v>105033</v>
      </c>
      <c r="L45">
        <v>4.9000000000000004</v>
      </c>
      <c r="M45" t="s">
        <v>21</v>
      </c>
      <c r="N45">
        <v>64</v>
      </c>
      <c r="O45">
        <f t="shared" si="0"/>
        <v>957</v>
      </c>
      <c r="P45">
        <f t="shared" si="1"/>
        <v>473</v>
      </c>
      <c r="Q45">
        <f t="shared" si="2"/>
        <v>484</v>
      </c>
      <c r="R45">
        <f t="shared" si="3"/>
        <v>49.650349650349654</v>
      </c>
      <c r="S45" s="1">
        <f t="shared" si="4"/>
        <v>50.24975024975025</v>
      </c>
      <c r="T45" s="1">
        <f t="shared" si="5"/>
        <v>449</v>
      </c>
      <c r="U45" s="1">
        <f t="shared" si="6"/>
        <v>508</v>
      </c>
      <c r="V45" s="1">
        <f t="shared" si="7"/>
        <v>47.5</v>
      </c>
      <c r="W45" s="1">
        <f t="shared" si="8"/>
        <v>52.5</v>
      </c>
      <c r="X45" s="1">
        <f t="shared" si="9"/>
        <v>15.083594566353186</v>
      </c>
      <c r="Y45" s="1">
        <f t="shared" si="10"/>
        <v>160</v>
      </c>
      <c r="Z45" s="1">
        <f t="shared" si="11"/>
        <v>143</v>
      </c>
      <c r="AA45" s="1">
        <f t="shared" si="12"/>
        <v>3.6243749999999992</v>
      </c>
      <c r="AB45" s="1">
        <f t="shared" si="13"/>
        <v>3.3867132867132863</v>
      </c>
      <c r="AC45" s="1">
        <f t="shared" si="14"/>
        <v>1</v>
      </c>
      <c r="AD45" s="1">
        <f t="shared" si="15"/>
        <v>4.9309904364629002E-2</v>
      </c>
    </row>
    <row r="46" spans="1:30" x14ac:dyDescent="0.35">
      <c r="A46" t="s">
        <v>145</v>
      </c>
      <c r="B46" t="s">
        <v>60</v>
      </c>
      <c r="C46" t="s">
        <v>49</v>
      </c>
      <c r="D46" t="s">
        <v>25</v>
      </c>
      <c r="E46">
        <v>25</v>
      </c>
      <c r="F46" t="s">
        <v>74</v>
      </c>
      <c r="G46" t="s">
        <v>26</v>
      </c>
      <c r="H46" t="s">
        <v>146</v>
      </c>
      <c r="I46">
        <v>1</v>
      </c>
      <c r="J46">
        <v>2</v>
      </c>
      <c r="K46">
        <v>117159</v>
      </c>
      <c r="L46">
        <v>3.5</v>
      </c>
      <c r="M46" t="s">
        <v>43</v>
      </c>
      <c r="N46">
        <v>84</v>
      </c>
      <c r="O46">
        <f t="shared" si="0"/>
        <v>956</v>
      </c>
      <c r="P46">
        <f t="shared" si="1"/>
        <v>473</v>
      </c>
      <c r="Q46">
        <f t="shared" si="2"/>
        <v>483</v>
      </c>
      <c r="R46">
        <f t="shared" si="3"/>
        <v>49.650349650349654</v>
      </c>
      <c r="S46" s="1">
        <f t="shared" si="4"/>
        <v>50.24975024975025</v>
      </c>
      <c r="T46" s="1">
        <f t="shared" si="5"/>
        <v>448</v>
      </c>
      <c r="U46" s="1">
        <f t="shared" si="6"/>
        <v>508</v>
      </c>
      <c r="V46" s="1">
        <f t="shared" si="7"/>
        <v>47.5</v>
      </c>
      <c r="W46" s="1">
        <f t="shared" si="8"/>
        <v>52.5</v>
      </c>
      <c r="X46" s="1">
        <f t="shared" si="9"/>
        <v>15.086820083682008</v>
      </c>
      <c r="Y46" s="1">
        <f t="shared" si="10"/>
        <v>160</v>
      </c>
      <c r="Z46" s="1">
        <f t="shared" si="11"/>
        <v>143</v>
      </c>
      <c r="AA46" s="1">
        <f t="shared" si="12"/>
        <v>3.6243749999999992</v>
      </c>
      <c r="AB46" s="1">
        <f t="shared" si="13"/>
        <v>3.3867132867132863</v>
      </c>
      <c r="AC46" s="1">
        <f t="shared" si="14"/>
        <v>0</v>
      </c>
      <c r="AD46" s="1">
        <f t="shared" si="15"/>
        <v>4.9838822254297109E-2</v>
      </c>
    </row>
    <row r="47" spans="1:30" x14ac:dyDescent="0.35">
      <c r="A47" t="s">
        <v>147</v>
      </c>
      <c r="B47" t="s">
        <v>60</v>
      </c>
      <c r="C47" t="s">
        <v>49</v>
      </c>
      <c r="D47" t="s">
        <v>25</v>
      </c>
      <c r="E47">
        <v>23</v>
      </c>
      <c r="F47" t="s">
        <v>46</v>
      </c>
      <c r="G47" t="s">
        <v>41</v>
      </c>
      <c r="H47" t="s">
        <v>148</v>
      </c>
      <c r="I47">
        <v>15</v>
      </c>
      <c r="J47">
        <v>18</v>
      </c>
      <c r="K47">
        <v>102693</v>
      </c>
      <c r="L47">
        <v>4.5</v>
      </c>
      <c r="M47" t="s">
        <v>21</v>
      </c>
      <c r="N47">
        <v>30</v>
      </c>
      <c r="O47">
        <f t="shared" si="0"/>
        <v>955</v>
      </c>
      <c r="P47">
        <f t="shared" si="1"/>
        <v>473</v>
      </c>
      <c r="Q47">
        <f t="shared" si="2"/>
        <v>482</v>
      </c>
      <c r="R47">
        <f t="shared" si="3"/>
        <v>49.650349650349654</v>
      </c>
      <c r="S47" s="1">
        <f t="shared" si="4"/>
        <v>50.24975024975025</v>
      </c>
      <c r="T47" s="1">
        <f t="shared" si="5"/>
        <v>448</v>
      </c>
      <c r="U47" s="1">
        <f t="shared" si="6"/>
        <v>507</v>
      </c>
      <c r="V47" s="1">
        <f t="shared" si="7"/>
        <v>47.5</v>
      </c>
      <c r="W47" s="1">
        <f t="shared" si="8"/>
        <v>52.5</v>
      </c>
      <c r="X47" s="1">
        <f t="shared" si="9"/>
        <v>15.100523560209425</v>
      </c>
      <c r="Y47" s="1">
        <f t="shared" si="10"/>
        <v>159</v>
      </c>
      <c r="Z47" s="1">
        <f t="shared" si="11"/>
        <v>143</v>
      </c>
      <c r="AA47" s="1">
        <f t="shared" si="12"/>
        <v>3.6251572327044022</v>
      </c>
      <c r="AB47" s="1">
        <f t="shared" si="13"/>
        <v>3.3867132867132863</v>
      </c>
      <c r="AC47" s="1">
        <f t="shared" si="14"/>
        <v>1</v>
      </c>
      <c r="AD47" s="1">
        <f t="shared" si="15"/>
        <v>4.8097334490113032E-2</v>
      </c>
    </row>
    <row r="48" spans="1:30" x14ac:dyDescent="0.35">
      <c r="A48" t="s">
        <v>149</v>
      </c>
      <c r="B48" t="s">
        <v>35</v>
      </c>
      <c r="C48" t="s">
        <v>36</v>
      </c>
      <c r="D48" t="s">
        <v>17</v>
      </c>
      <c r="E48">
        <v>60</v>
      </c>
      <c r="F48" t="s">
        <v>74</v>
      </c>
      <c r="G48" t="s">
        <v>85</v>
      </c>
      <c r="H48" t="s">
        <v>150</v>
      </c>
      <c r="I48">
        <v>5</v>
      </c>
      <c r="J48">
        <v>10</v>
      </c>
      <c r="K48">
        <v>120596</v>
      </c>
      <c r="L48">
        <v>2.2999999999999998</v>
      </c>
      <c r="M48" t="s">
        <v>43</v>
      </c>
      <c r="N48">
        <v>93</v>
      </c>
      <c r="O48">
        <f t="shared" si="0"/>
        <v>954</v>
      </c>
      <c r="P48">
        <f t="shared" si="1"/>
        <v>473</v>
      </c>
      <c r="Q48">
        <f t="shared" si="2"/>
        <v>481</v>
      </c>
      <c r="R48">
        <f t="shared" si="3"/>
        <v>49.650349650349654</v>
      </c>
      <c r="S48" s="1">
        <f t="shared" si="4"/>
        <v>50.24975024975025</v>
      </c>
      <c r="T48" s="1">
        <f t="shared" si="5"/>
        <v>447</v>
      </c>
      <c r="U48" s="1">
        <f t="shared" si="6"/>
        <v>507</v>
      </c>
      <c r="V48" s="1">
        <f t="shared" si="7"/>
        <v>47.5</v>
      </c>
      <c r="W48" s="1">
        <f t="shared" si="8"/>
        <v>52.5</v>
      </c>
      <c r="X48" s="1">
        <f t="shared" si="9"/>
        <v>15.09748427672956</v>
      </c>
      <c r="Y48" s="1">
        <f t="shared" si="10"/>
        <v>159</v>
      </c>
      <c r="Z48" s="1">
        <f t="shared" si="11"/>
        <v>143</v>
      </c>
      <c r="AA48" s="1">
        <f t="shared" si="12"/>
        <v>3.6251572327044022</v>
      </c>
      <c r="AB48" s="1">
        <f t="shared" si="13"/>
        <v>3.3867132867132863</v>
      </c>
      <c r="AC48" s="1">
        <f t="shared" si="14"/>
        <v>0</v>
      </c>
      <c r="AD48" s="1">
        <f t="shared" si="15"/>
        <v>4.7663751252891143E-2</v>
      </c>
    </row>
    <row r="49" spans="1:30" x14ac:dyDescent="0.35">
      <c r="A49" t="s">
        <v>151</v>
      </c>
      <c r="B49" t="s">
        <v>35</v>
      </c>
      <c r="C49" t="s">
        <v>24</v>
      </c>
      <c r="D49" t="s">
        <v>17</v>
      </c>
      <c r="E49">
        <v>37</v>
      </c>
      <c r="F49" t="s">
        <v>70</v>
      </c>
      <c r="G49" t="s">
        <v>75</v>
      </c>
      <c r="H49" t="s">
        <v>152</v>
      </c>
      <c r="I49">
        <v>8</v>
      </c>
      <c r="J49">
        <v>17</v>
      </c>
      <c r="K49">
        <v>311750</v>
      </c>
      <c r="L49">
        <v>4.8</v>
      </c>
      <c r="M49" t="s">
        <v>43</v>
      </c>
      <c r="N49">
        <v>95</v>
      </c>
      <c r="O49">
        <f t="shared" si="0"/>
        <v>953</v>
      </c>
      <c r="P49">
        <f t="shared" si="1"/>
        <v>472</v>
      </c>
      <c r="Q49">
        <f t="shared" si="2"/>
        <v>481</v>
      </c>
      <c r="R49">
        <f t="shared" si="3"/>
        <v>49.650349650349654</v>
      </c>
      <c r="S49" s="1">
        <f t="shared" si="4"/>
        <v>50.24975024975025</v>
      </c>
      <c r="T49" s="1">
        <f t="shared" si="5"/>
        <v>447</v>
      </c>
      <c r="U49" s="1">
        <f t="shared" si="6"/>
        <v>506</v>
      </c>
      <c r="V49" s="1">
        <f t="shared" si="7"/>
        <v>47.5</v>
      </c>
      <c r="W49" s="1">
        <f t="shared" si="8"/>
        <v>52.5</v>
      </c>
      <c r="X49" s="1">
        <f t="shared" si="9"/>
        <v>15.102833158447009</v>
      </c>
      <c r="Y49" s="1">
        <f t="shared" si="10"/>
        <v>158</v>
      </c>
      <c r="Z49" s="1">
        <f t="shared" si="11"/>
        <v>143</v>
      </c>
      <c r="AA49" s="1">
        <f t="shared" si="12"/>
        <v>3.6335443037974677</v>
      </c>
      <c r="AB49" s="1">
        <f t="shared" si="13"/>
        <v>3.3867132867132863</v>
      </c>
      <c r="AC49" s="1">
        <f t="shared" si="14"/>
        <v>0</v>
      </c>
      <c r="AD49" s="1">
        <f t="shared" si="15"/>
        <v>4.6974872796120101E-2</v>
      </c>
    </row>
    <row r="50" spans="1:30" x14ac:dyDescent="0.35">
      <c r="A50" t="s">
        <v>153</v>
      </c>
      <c r="B50" t="s">
        <v>29</v>
      </c>
      <c r="C50" t="s">
        <v>16</v>
      </c>
      <c r="D50" t="s">
        <v>25</v>
      </c>
      <c r="E50">
        <v>50</v>
      </c>
      <c r="F50" t="s">
        <v>70</v>
      </c>
      <c r="G50" t="s">
        <v>61</v>
      </c>
      <c r="H50" t="s">
        <v>154</v>
      </c>
      <c r="I50">
        <v>17</v>
      </c>
      <c r="J50">
        <v>18</v>
      </c>
      <c r="K50">
        <v>464305</v>
      </c>
      <c r="L50">
        <v>2</v>
      </c>
      <c r="M50" t="s">
        <v>43</v>
      </c>
      <c r="N50">
        <v>100</v>
      </c>
      <c r="O50">
        <f t="shared" si="0"/>
        <v>952</v>
      </c>
      <c r="P50">
        <f t="shared" si="1"/>
        <v>471</v>
      </c>
      <c r="Q50">
        <f t="shared" si="2"/>
        <v>481</v>
      </c>
      <c r="R50">
        <f t="shared" si="3"/>
        <v>49.650349650349654</v>
      </c>
      <c r="S50" s="1">
        <f t="shared" si="4"/>
        <v>50.24975024975025</v>
      </c>
      <c r="T50" s="1">
        <f t="shared" si="5"/>
        <v>447</v>
      </c>
      <c r="U50" s="1">
        <f t="shared" si="6"/>
        <v>505</v>
      </c>
      <c r="V50" s="1">
        <f t="shared" si="7"/>
        <v>47.5</v>
      </c>
      <c r="W50" s="1">
        <f t="shared" si="8"/>
        <v>52.5</v>
      </c>
      <c r="X50" s="1">
        <f t="shared" si="9"/>
        <v>15.100840336134453</v>
      </c>
      <c r="Y50" s="1">
        <f t="shared" si="10"/>
        <v>158</v>
      </c>
      <c r="Z50" s="1">
        <f t="shared" si="11"/>
        <v>143</v>
      </c>
      <c r="AA50" s="1">
        <f t="shared" si="12"/>
        <v>3.6335443037974677</v>
      </c>
      <c r="AB50" s="1">
        <f t="shared" si="13"/>
        <v>3.3867132867132863</v>
      </c>
      <c r="AC50" s="1">
        <f t="shared" si="14"/>
        <v>0</v>
      </c>
      <c r="AD50" s="1">
        <f t="shared" si="15"/>
        <v>4.7268571855685802E-2</v>
      </c>
    </row>
    <row r="51" spans="1:30" x14ac:dyDescent="0.35">
      <c r="A51" t="s">
        <v>155</v>
      </c>
      <c r="B51" t="s">
        <v>55</v>
      </c>
      <c r="C51" t="s">
        <v>24</v>
      </c>
      <c r="D51" t="s">
        <v>17</v>
      </c>
      <c r="E51">
        <v>25</v>
      </c>
      <c r="F51" t="s">
        <v>46</v>
      </c>
      <c r="G51" t="s">
        <v>71</v>
      </c>
      <c r="H51" t="s">
        <v>156</v>
      </c>
      <c r="I51">
        <v>16</v>
      </c>
      <c r="J51">
        <v>21</v>
      </c>
      <c r="K51">
        <v>436779</v>
      </c>
      <c r="L51">
        <v>3.4</v>
      </c>
      <c r="M51" t="s">
        <v>43</v>
      </c>
      <c r="N51">
        <v>99</v>
      </c>
      <c r="O51">
        <f t="shared" si="0"/>
        <v>951</v>
      </c>
      <c r="P51">
        <f t="shared" si="1"/>
        <v>471</v>
      </c>
      <c r="Q51">
        <f t="shared" si="2"/>
        <v>480</v>
      </c>
      <c r="R51">
        <f t="shared" si="3"/>
        <v>49.650349650349654</v>
      </c>
      <c r="S51" s="1">
        <f t="shared" si="4"/>
        <v>50.24975024975025</v>
      </c>
      <c r="T51" s="1">
        <f t="shared" si="5"/>
        <v>447</v>
      </c>
      <c r="U51" s="1">
        <f t="shared" si="6"/>
        <v>504</v>
      </c>
      <c r="V51" s="1">
        <f t="shared" si="7"/>
        <v>47.5</v>
      </c>
      <c r="W51" s="1">
        <f t="shared" si="8"/>
        <v>52.5</v>
      </c>
      <c r="X51" s="1">
        <f t="shared" si="9"/>
        <v>15.097791798107256</v>
      </c>
      <c r="Y51" s="1">
        <f t="shared" si="10"/>
        <v>158</v>
      </c>
      <c r="Z51" s="1">
        <f t="shared" si="11"/>
        <v>143</v>
      </c>
      <c r="AA51" s="1">
        <f t="shared" si="12"/>
        <v>3.6335443037974677</v>
      </c>
      <c r="AB51" s="1">
        <f t="shared" si="13"/>
        <v>3.3867132867132863</v>
      </c>
      <c r="AC51" s="1">
        <f t="shared" si="14"/>
        <v>0</v>
      </c>
      <c r="AD51" s="1">
        <f t="shared" si="15"/>
        <v>4.7708253500573547E-2</v>
      </c>
    </row>
    <row r="52" spans="1:30" x14ac:dyDescent="0.35">
      <c r="A52" t="s">
        <v>157</v>
      </c>
      <c r="B52" t="s">
        <v>78</v>
      </c>
      <c r="C52" t="s">
        <v>93</v>
      </c>
      <c r="D52" t="s">
        <v>25</v>
      </c>
      <c r="E52">
        <v>34</v>
      </c>
      <c r="F52" t="s">
        <v>79</v>
      </c>
      <c r="G52" t="s">
        <v>26</v>
      </c>
      <c r="H52" t="s">
        <v>158</v>
      </c>
      <c r="I52">
        <v>0</v>
      </c>
      <c r="J52">
        <v>2</v>
      </c>
      <c r="K52">
        <v>297577</v>
      </c>
      <c r="L52">
        <v>3.6</v>
      </c>
      <c r="M52" t="s">
        <v>43</v>
      </c>
      <c r="N52">
        <v>100</v>
      </c>
      <c r="O52">
        <f t="shared" si="0"/>
        <v>950</v>
      </c>
      <c r="P52">
        <f t="shared" si="1"/>
        <v>470</v>
      </c>
      <c r="Q52">
        <f t="shared" si="2"/>
        <v>480</v>
      </c>
      <c r="R52">
        <f t="shared" si="3"/>
        <v>49.650349650349654</v>
      </c>
      <c r="S52" s="1">
        <f t="shared" si="4"/>
        <v>50.24975024975025</v>
      </c>
      <c r="T52" s="1">
        <f t="shared" si="5"/>
        <v>447</v>
      </c>
      <c r="U52" s="1">
        <f t="shared" si="6"/>
        <v>503</v>
      </c>
      <c r="V52" s="1">
        <f t="shared" si="7"/>
        <v>47.5</v>
      </c>
      <c r="W52" s="1">
        <f t="shared" si="8"/>
        <v>52.5</v>
      </c>
      <c r="X52" s="1">
        <f t="shared" si="9"/>
        <v>15.09157894736842</v>
      </c>
      <c r="Y52" s="1">
        <f t="shared" si="10"/>
        <v>158</v>
      </c>
      <c r="Z52" s="1">
        <f t="shared" si="11"/>
        <v>143</v>
      </c>
      <c r="AA52" s="1">
        <f t="shared" si="12"/>
        <v>3.6335443037974677</v>
      </c>
      <c r="AB52" s="1">
        <f t="shared" si="13"/>
        <v>3.3867132867132863</v>
      </c>
      <c r="AC52" s="1">
        <f t="shared" si="14"/>
        <v>0</v>
      </c>
      <c r="AD52" s="1">
        <f t="shared" si="15"/>
        <v>4.8591764468668863E-2</v>
      </c>
    </row>
    <row r="53" spans="1:30" x14ac:dyDescent="0.35">
      <c r="A53" t="s">
        <v>159</v>
      </c>
      <c r="B53" t="s">
        <v>23</v>
      </c>
      <c r="C53" t="s">
        <v>64</v>
      </c>
      <c r="D53" t="s">
        <v>25</v>
      </c>
      <c r="E53">
        <v>55</v>
      </c>
      <c r="F53" t="s">
        <v>18</v>
      </c>
      <c r="G53" t="s">
        <v>57</v>
      </c>
      <c r="H53" t="s">
        <v>160</v>
      </c>
      <c r="I53">
        <v>13</v>
      </c>
      <c r="J53">
        <v>14</v>
      </c>
      <c r="K53">
        <v>383983</v>
      </c>
      <c r="L53">
        <v>4.8</v>
      </c>
      <c r="M53" t="s">
        <v>21</v>
      </c>
      <c r="N53">
        <v>67</v>
      </c>
      <c r="O53">
        <f t="shared" si="0"/>
        <v>949</v>
      </c>
      <c r="P53">
        <f t="shared" si="1"/>
        <v>470</v>
      </c>
      <c r="Q53">
        <f t="shared" si="2"/>
        <v>479</v>
      </c>
      <c r="R53">
        <f t="shared" si="3"/>
        <v>49.650349650349654</v>
      </c>
      <c r="S53" s="1">
        <f t="shared" si="4"/>
        <v>50.24975024975025</v>
      </c>
      <c r="T53" s="1">
        <f t="shared" si="5"/>
        <v>447</v>
      </c>
      <c r="U53" s="1">
        <f t="shared" si="6"/>
        <v>502</v>
      </c>
      <c r="V53" s="1">
        <f t="shared" si="7"/>
        <v>47.5</v>
      </c>
      <c r="W53" s="1">
        <f t="shared" si="8"/>
        <v>52.5</v>
      </c>
      <c r="X53" s="1">
        <f t="shared" si="9"/>
        <v>15.105374077976817</v>
      </c>
      <c r="Y53" s="1">
        <f t="shared" si="10"/>
        <v>158</v>
      </c>
      <c r="Z53" s="1">
        <f t="shared" si="11"/>
        <v>143</v>
      </c>
      <c r="AA53" s="1">
        <f t="shared" si="12"/>
        <v>3.6335443037974677</v>
      </c>
      <c r="AB53" s="1">
        <f t="shared" si="13"/>
        <v>3.3867132867132863</v>
      </c>
      <c r="AC53" s="1">
        <f t="shared" si="14"/>
        <v>1</v>
      </c>
      <c r="AD53" s="1">
        <f t="shared" si="15"/>
        <v>4.6829377427376813E-2</v>
      </c>
    </row>
    <row r="54" spans="1:30" x14ac:dyDescent="0.35">
      <c r="A54" t="s">
        <v>161</v>
      </c>
      <c r="B54" t="s">
        <v>60</v>
      </c>
      <c r="C54" t="s">
        <v>30</v>
      </c>
      <c r="D54" t="s">
        <v>17</v>
      </c>
      <c r="E54">
        <v>46</v>
      </c>
      <c r="F54" t="s">
        <v>70</v>
      </c>
      <c r="G54" t="s">
        <v>32</v>
      </c>
      <c r="H54" t="s">
        <v>162</v>
      </c>
      <c r="I54">
        <v>4</v>
      </c>
      <c r="J54">
        <v>5</v>
      </c>
      <c r="K54">
        <v>324413</v>
      </c>
      <c r="L54">
        <v>2</v>
      </c>
      <c r="M54" t="s">
        <v>21</v>
      </c>
      <c r="N54">
        <v>61</v>
      </c>
      <c r="O54">
        <f t="shared" si="0"/>
        <v>948</v>
      </c>
      <c r="P54">
        <f t="shared" si="1"/>
        <v>470</v>
      </c>
      <c r="Q54">
        <f t="shared" si="2"/>
        <v>478</v>
      </c>
      <c r="R54">
        <f t="shared" si="3"/>
        <v>49.650349650349654</v>
      </c>
      <c r="S54" s="1">
        <f t="shared" si="4"/>
        <v>50.24975024975025</v>
      </c>
      <c r="T54" s="1">
        <f t="shared" si="5"/>
        <v>446</v>
      </c>
      <c r="U54" s="1">
        <f t="shared" si="6"/>
        <v>502</v>
      </c>
      <c r="V54" s="1">
        <f t="shared" si="7"/>
        <v>47.5</v>
      </c>
      <c r="W54" s="1">
        <f t="shared" si="8"/>
        <v>52.5</v>
      </c>
      <c r="X54" s="1">
        <f t="shared" si="9"/>
        <v>15.106540084388186</v>
      </c>
      <c r="Y54" s="1">
        <f t="shared" si="10"/>
        <v>158</v>
      </c>
      <c r="Z54" s="1">
        <f t="shared" si="11"/>
        <v>143</v>
      </c>
      <c r="AA54" s="1">
        <f t="shared" si="12"/>
        <v>3.6335443037974677</v>
      </c>
      <c r="AB54" s="1">
        <f t="shared" si="13"/>
        <v>3.3867132867132863</v>
      </c>
      <c r="AC54" s="1">
        <f t="shared" si="14"/>
        <v>1</v>
      </c>
      <c r="AD54" s="1">
        <f t="shared" si="15"/>
        <v>4.7035986519201378E-2</v>
      </c>
    </row>
    <row r="55" spans="1:30" x14ac:dyDescent="0.35">
      <c r="A55" t="s">
        <v>163</v>
      </c>
      <c r="B55" t="s">
        <v>78</v>
      </c>
      <c r="C55" t="s">
        <v>24</v>
      </c>
      <c r="D55" t="s">
        <v>25</v>
      </c>
      <c r="E55">
        <v>32</v>
      </c>
      <c r="F55" t="s">
        <v>74</v>
      </c>
      <c r="G55" t="s">
        <v>75</v>
      </c>
      <c r="H55" t="s">
        <v>164</v>
      </c>
      <c r="I55">
        <v>8</v>
      </c>
      <c r="J55">
        <v>16</v>
      </c>
      <c r="K55">
        <v>269874</v>
      </c>
      <c r="L55">
        <v>4.8</v>
      </c>
      <c r="M55" t="s">
        <v>21</v>
      </c>
      <c r="N55">
        <v>47</v>
      </c>
      <c r="O55">
        <f t="shared" si="0"/>
        <v>947</v>
      </c>
      <c r="P55">
        <f t="shared" si="1"/>
        <v>469</v>
      </c>
      <c r="Q55">
        <f t="shared" si="2"/>
        <v>478</v>
      </c>
      <c r="R55">
        <f t="shared" si="3"/>
        <v>49.650349650349654</v>
      </c>
      <c r="S55" s="1">
        <f t="shared" si="4"/>
        <v>50.24975024975025</v>
      </c>
      <c r="T55" s="1">
        <f t="shared" si="5"/>
        <v>445</v>
      </c>
      <c r="U55" s="1">
        <f t="shared" si="6"/>
        <v>502</v>
      </c>
      <c r="V55" s="1">
        <f t="shared" si="7"/>
        <v>47.5</v>
      </c>
      <c r="W55" s="1">
        <f t="shared" si="8"/>
        <v>52.5</v>
      </c>
      <c r="X55" s="1">
        <f t="shared" si="9"/>
        <v>15.117212249208025</v>
      </c>
      <c r="Y55" s="1">
        <f t="shared" si="10"/>
        <v>158</v>
      </c>
      <c r="Z55" s="1">
        <f t="shared" si="11"/>
        <v>143</v>
      </c>
      <c r="AA55" s="1">
        <f t="shared" si="12"/>
        <v>3.6335443037974677</v>
      </c>
      <c r="AB55" s="1">
        <f t="shared" si="13"/>
        <v>3.3867132867132863</v>
      </c>
      <c r="AC55" s="1">
        <f t="shared" si="14"/>
        <v>1</v>
      </c>
      <c r="AD55" s="1">
        <f t="shared" si="15"/>
        <v>4.8750726739709808E-2</v>
      </c>
    </row>
    <row r="56" spans="1:30" x14ac:dyDescent="0.35">
      <c r="A56" t="s">
        <v>165</v>
      </c>
      <c r="B56" t="s">
        <v>35</v>
      </c>
      <c r="C56" t="s">
        <v>49</v>
      </c>
      <c r="D56" t="s">
        <v>17</v>
      </c>
      <c r="E56">
        <v>26</v>
      </c>
      <c r="F56" t="s">
        <v>79</v>
      </c>
      <c r="G56" t="s">
        <v>61</v>
      </c>
      <c r="H56" t="s">
        <v>166</v>
      </c>
      <c r="I56">
        <v>18</v>
      </c>
      <c r="J56">
        <v>28</v>
      </c>
      <c r="K56">
        <v>462622</v>
      </c>
      <c r="L56">
        <v>3.7</v>
      </c>
      <c r="M56" t="s">
        <v>21</v>
      </c>
      <c r="N56">
        <v>65</v>
      </c>
      <c r="O56">
        <f t="shared" si="0"/>
        <v>946</v>
      </c>
      <c r="P56">
        <f t="shared" si="1"/>
        <v>469</v>
      </c>
      <c r="Q56">
        <f t="shared" si="2"/>
        <v>477</v>
      </c>
      <c r="R56">
        <f t="shared" si="3"/>
        <v>49.650349650349654</v>
      </c>
      <c r="S56" s="1">
        <f t="shared" si="4"/>
        <v>50.24975024975025</v>
      </c>
      <c r="T56" s="1">
        <f t="shared" si="5"/>
        <v>444</v>
      </c>
      <c r="U56" s="1">
        <f t="shared" si="6"/>
        <v>502</v>
      </c>
      <c r="V56" s="1">
        <f t="shared" si="7"/>
        <v>47.5</v>
      </c>
      <c r="W56" s="1">
        <f t="shared" si="8"/>
        <v>52.5</v>
      </c>
      <c r="X56" s="1">
        <f t="shared" si="9"/>
        <v>15.116279069767442</v>
      </c>
      <c r="Y56" s="1">
        <f t="shared" si="10"/>
        <v>157</v>
      </c>
      <c r="Z56" s="1">
        <f t="shared" si="11"/>
        <v>143</v>
      </c>
      <c r="AA56" s="1">
        <f t="shared" si="12"/>
        <v>3.6261146496815284</v>
      </c>
      <c r="AB56" s="1">
        <f t="shared" si="13"/>
        <v>3.3867132867132863</v>
      </c>
      <c r="AC56" s="1">
        <f t="shared" si="14"/>
        <v>1</v>
      </c>
      <c r="AD56" s="1">
        <f t="shared" si="15"/>
        <v>4.8637273809473539E-2</v>
      </c>
    </row>
    <row r="57" spans="1:30" x14ac:dyDescent="0.35">
      <c r="A57" t="s">
        <v>167</v>
      </c>
      <c r="B57" t="s">
        <v>35</v>
      </c>
      <c r="C57" t="s">
        <v>16</v>
      </c>
      <c r="D57" t="s">
        <v>25</v>
      </c>
      <c r="E57">
        <v>28</v>
      </c>
      <c r="F57" t="s">
        <v>74</v>
      </c>
      <c r="G57" t="s">
        <v>75</v>
      </c>
      <c r="H57" t="s">
        <v>168</v>
      </c>
      <c r="I57">
        <v>2</v>
      </c>
      <c r="J57">
        <v>2</v>
      </c>
      <c r="K57">
        <v>236596</v>
      </c>
      <c r="L57">
        <v>4.8</v>
      </c>
      <c r="M57" t="s">
        <v>43</v>
      </c>
      <c r="N57">
        <v>75</v>
      </c>
      <c r="O57">
        <f t="shared" si="0"/>
        <v>945</v>
      </c>
      <c r="P57">
        <f t="shared" si="1"/>
        <v>468</v>
      </c>
      <c r="Q57">
        <f t="shared" si="2"/>
        <v>477</v>
      </c>
      <c r="R57">
        <f t="shared" si="3"/>
        <v>49.650349650349654</v>
      </c>
      <c r="S57" s="1">
        <f t="shared" si="4"/>
        <v>50.24975024975025</v>
      </c>
      <c r="T57" s="1">
        <f t="shared" si="5"/>
        <v>443</v>
      </c>
      <c r="U57" s="1">
        <f t="shared" si="6"/>
        <v>502</v>
      </c>
      <c r="V57" s="1">
        <f t="shared" si="7"/>
        <v>47.5</v>
      </c>
      <c r="W57" s="1">
        <f t="shared" si="8"/>
        <v>52.5</v>
      </c>
      <c r="X57" s="1">
        <f t="shared" si="9"/>
        <v>15.102645502645503</v>
      </c>
      <c r="Y57" s="1">
        <f t="shared" si="10"/>
        <v>157</v>
      </c>
      <c r="Z57" s="1">
        <f t="shared" si="11"/>
        <v>143</v>
      </c>
      <c r="AA57" s="1">
        <f t="shared" si="12"/>
        <v>3.6261146496815284</v>
      </c>
      <c r="AB57" s="1">
        <f t="shared" si="13"/>
        <v>3.3867132867132863</v>
      </c>
      <c r="AC57" s="1">
        <f t="shared" si="14"/>
        <v>0</v>
      </c>
      <c r="AD57" s="1">
        <f t="shared" si="15"/>
        <v>4.66616220089862E-2</v>
      </c>
    </row>
    <row r="58" spans="1:30" x14ac:dyDescent="0.35">
      <c r="A58" t="s">
        <v>169</v>
      </c>
      <c r="B58" t="s">
        <v>96</v>
      </c>
      <c r="C58" t="s">
        <v>56</v>
      </c>
      <c r="D58" t="s">
        <v>25</v>
      </c>
      <c r="E58">
        <v>32</v>
      </c>
      <c r="F58" t="s">
        <v>46</v>
      </c>
      <c r="G58" t="s">
        <v>85</v>
      </c>
      <c r="H58" t="s">
        <v>170</v>
      </c>
      <c r="I58">
        <v>14</v>
      </c>
      <c r="J58">
        <v>21</v>
      </c>
      <c r="K58">
        <v>157410</v>
      </c>
      <c r="L58">
        <v>3.1</v>
      </c>
      <c r="M58" t="s">
        <v>21</v>
      </c>
      <c r="N58">
        <v>34</v>
      </c>
      <c r="O58">
        <f t="shared" si="0"/>
        <v>944</v>
      </c>
      <c r="P58">
        <f t="shared" si="1"/>
        <v>468</v>
      </c>
      <c r="Q58">
        <f t="shared" si="2"/>
        <v>476</v>
      </c>
      <c r="R58">
        <f t="shared" si="3"/>
        <v>49.650349650349654</v>
      </c>
      <c r="S58" s="1">
        <f t="shared" si="4"/>
        <v>50.24975024975025</v>
      </c>
      <c r="T58" s="1">
        <f t="shared" si="5"/>
        <v>443</v>
      </c>
      <c r="U58" s="1">
        <f t="shared" si="6"/>
        <v>501</v>
      </c>
      <c r="V58" s="1">
        <f t="shared" si="7"/>
        <v>47.5</v>
      </c>
      <c r="W58" s="1">
        <f t="shared" si="8"/>
        <v>52.5</v>
      </c>
      <c r="X58" s="1">
        <f t="shared" si="9"/>
        <v>15.116525423728813</v>
      </c>
      <c r="Y58" s="1">
        <f t="shared" si="10"/>
        <v>156</v>
      </c>
      <c r="Z58" s="1">
        <f t="shared" si="11"/>
        <v>143</v>
      </c>
      <c r="AA58" s="1">
        <f t="shared" si="12"/>
        <v>3.6185897435897436</v>
      </c>
      <c r="AB58" s="1">
        <f t="shared" si="13"/>
        <v>3.3867132867132863</v>
      </c>
      <c r="AC58" s="1">
        <f t="shared" si="14"/>
        <v>1</v>
      </c>
      <c r="AD58" s="1">
        <f t="shared" si="15"/>
        <v>4.4886545189724389E-2</v>
      </c>
    </row>
    <row r="59" spans="1:30" x14ac:dyDescent="0.35">
      <c r="A59" t="s">
        <v>171</v>
      </c>
      <c r="B59" t="s">
        <v>15</v>
      </c>
      <c r="C59" t="s">
        <v>36</v>
      </c>
      <c r="D59" t="s">
        <v>17</v>
      </c>
      <c r="E59">
        <v>60</v>
      </c>
      <c r="F59" t="s">
        <v>74</v>
      </c>
      <c r="G59" t="s">
        <v>19</v>
      </c>
      <c r="H59" t="s">
        <v>172</v>
      </c>
      <c r="I59">
        <v>2</v>
      </c>
      <c r="J59">
        <v>2</v>
      </c>
      <c r="K59">
        <v>484433</v>
      </c>
      <c r="L59">
        <v>5</v>
      </c>
      <c r="M59" t="s">
        <v>43</v>
      </c>
      <c r="N59">
        <v>84</v>
      </c>
      <c r="O59">
        <f t="shared" si="0"/>
        <v>943</v>
      </c>
      <c r="P59">
        <f t="shared" si="1"/>
        <v>468</v>
      </c>
      <c r="Q59">
        <f t="shared" si="2"/>
        <v>475</v>
      </c>
      <c r="R59">
        <f t="shared" si="3"/>
        <v>49.650349650349654</v>
      </c>
      <c r="S59" s="1">
        <f t="shared" si="4"/>
        <v>50.24975024975025</v>
      </c>
      <c r="T59" s="1">
        <f t="shared" si="5"/>
        <v>442</v>
      </c>
      <c r="U59" s="1">
        <f t="shared" si="6"/>
        <v>501</v>
      </c>
      <c r="V59" s="1">
        <f t="shared" si="7"/>
        <v>47.5</v>
      </c>
      <c r="W59" s="1">
        <f t="shared" si="8"/>
        <v>52.5</v>
      </c>
      <c r="X59" s="1">
        <f t="shared" si="9"/>
        <v>15.110286320254508</v>
      </c>
      <c r="Y59" s="1">
        <f t="shared" si="10"/>
        <v>156</v>
      </c>
      <c r="Z59" s="1">
        <f t="shared" si="11"/>
        <v>143</v>
      </c>
      <c r="AA59" s="1">
        <f t="shared" si="12"/>
        <v>3.6185897435897436</v>
      </c>
      <c r="AB59" s="1">
        <f t="shared" si="13"/>
        <v>3.3867132867132863</v>
      </c>
      <c r="AC59" s="1">
        <f t="shared" si="14"/>
        <v>0</v>
      </c>
      <c r="AD59" s="1">
        <f t="shared" si="15"/>
        <v>4.3971245940729285E-2</v>
      </c>
    </row>
    <row r="60" spans="1:30" x14ac:dyDescent="0.35">
      <c r="A60" t="s">
        <v>173</v>
      </c>
      <c r="B60" t="s">
        <v>29</v>
      </c>
      <c r="C60" t="s">
        <v>52</v>
      </c>
      <c r="D60" t="s">
        <v>17</v>
      </c>
      <c r="E60">
        <v>26</v>
      </c>
      <c r="F60" t="s">
        <v>18</v>
      </c>
      <c r="G60" t="s">
        <v>19</v>
      </c>
      <c r="H60" t="s">
        <v>174</v>
      </c>
      <c r="I60">
        <v>6</v>
      </c>
      <c r="J60">
        <v>7</v>
      </c>
      <c r="K60">
        <v>432516</v>
      </c>
      <c r="L60">
        <v>3.5</v>
      </c>
      <c r="M60" t="s">
        <v>43</v>
      </c>
      <c r="N60">
        <v>76</v>
      </c>
      <c r="O60">
        <f t="shared" si="0"/>
        <v>942</v>
      </c>
      <c r="P60">
        <f t="shared" si="1"/>
        <v>467</v>
      </c>
      <c r="Q60">
        <f t="shared" si="2"/>
        <v>475</v>
      </c>
      <c r="R60">
        <f t="shared" si="3"/>
        <v>49.650349650349654</v>
      </c>
      <c r="S60" s="1">
        <f t="shared" si="4"/>
        <v>50.24975024975025</v>
      </c>
      <c r="T60" s="1">
        <f t="shared" si="5"/>
        <v>442</v>
      </c>
      <c r="U60" s="1">
        <f t="shared" si="6"/>
        <v>500</v>
      </c>
      <c r="V60" s="1">
        <f t="shared" si="7"/>
        <v>47.5</v>
      </c>
      <c r="W60" s="1">
        <f t="shared" si="8"/>
        <v>52.5</v>
      </c>
      <c r="X60" s="1">
        <f t="shared" si="9"/>
        <v>15.124203821656051</v>
      </c>
      <c r="Y60" s="1">
        <f t="shared" si="10"/>
        <v>155</v>
      </c>
      <c r="Z60" s="1">
        <f t="shared" si="11"/>
        <v>143</v>
      </c>
      <c r="AA60" s="1">
        <f t="shared" si="12"/>
        <v>3.6096774193548389</v>
      </c>
      <c r="AB60" s="1">
        <f t="shared" si="13"/>
        <v>3.3867132867132863</v>
      </c>
      <c r="AC60" s="1">
        <f t="shared" si="14"/>
        <v>0</v>
      </c>
      <c r="AD60" s="1">
        <f t="shared" si="15"/>
        <v>4.2183137735437304E-2</v>
      </c>
    </row>
    <row r="61" spans="1:30" x14ac:dyDescent="0.35">
      <c r="A61" t="s">
        <v>175</v>
      </c>
      <c r="B61" t="s">
        <v>15</v>
      </c>
      <c r="C61" t="s">
        <v>36</v>
      </c>
      <c r="D61" t="s">
        <v>17</v>
      </c>
      <c r="E61">
        <v>31</v>
      </c>
      <c r="F61" t="s">
        <v>70</v>
      </c>
      <c r="G61" t="s">
        <v>41</v>
      </c>
      <c r="H61" t="s">
        <v>176</v>
      </c>
      <c r="I61">
        <v>3</v>
      </c>
      <c r="J61">
        <v>5</v>
      </c>
      <c r="K61">
        <v>420100</v>
      </c>
      <c r="L61">
        <v>3.5</v>
      </c>
      <c r="M61" t="s">
        <v>43</v>
      </c>
      <c r="N61">
        <v>72</v>
      </c>
      <c r="O61">
        <f t="shared" si="0"/>
        <v>941</v>
      </c>
      <c r="P61">
        <f t="shared" si="1"/>
        <v>466</v>
      </c>
      <c r="Q61">
        <f t="shared" si="2"/>
        <v>475</v>
      </c>
      <c r="R61">
        <f t="shared" si="3"/>
        <v>49.650349650349654</v>
      </c>
      <c r="S61" s="1">
        <f t="shared" si="4"/>
        <v>50.24975024975025</v>
      </c>
      <c r="T61" s="1">
        <f t="shared" si="5"/>
        <v>442</v>
      </c>
      <c r="U61" s="1">
        <f t="shared" si="6"/>
        <v>499</v>
      </c>
      <c r="V61" s="1">
        <f t="shared" si="7"/>
        <v>47.5</v>
      </c>
      <c r="W61" s="1">
        <f t="shared" si="8"/>
        <v>52.5</v>
      </c>
      <c r="X61" s="1">
        <f t="shared" si="9"/>
        <v>15.132837407013815</v>
      </c>
      <c r="Y61" s="1">
        <f t="shared" si="10"/>
        <v>155</v>
      </c>
      <c r="Z61" s="1">
        <f t="shared" si="11"/>
        <v>143</v>
      </c>
      <c r="AA61" s="1">
        <f t="shared" si="12"/>
        <v>3.6096774193548389</v>
      </c>
      <c r="AB61" s="1">
        <f t="shared" si="13"/>
        <v>3.3867132867132863</v>
      </c>
      <c r="AC61" s="1">
        <f t="shared" si="14"/>
        <v>0</v>
      </c>
      <c r="AD61" s="1">
        <f t="shared" si="15"/>
        <v>4.1058439766533263E-2</v>
      </c>
    </row>
    <row r="62" spans="1:30" x14ac:dyDescent="0.35">
      <c r="A62" t="s">
        <v>177</v>
      </c>
      <c r="B62" t="s">
        <v>29</v>
      </c>
      <c r="C62" t="s">
        <v>56</v>
      </c>
      <c r="D62" t="s">
        <v>25</v>
      </c>
      <c r="E62">
        <v>40</v>
      </c>
      <c r="F62" t="s">
        <v>31</v>
      </c>
      <c r="G62" t="s">
        <v>71</v>
      </c>
      <c r="H62" t="s">
        <v>178</v>
      </c>
      <c r="I62">
        <v>14</v>
      </c>
      <c r="J62">
        <v>19</v>
      </c>
      <c r="K62">
        <v>348308</v>
      </c>
      <c r="L62">
        <v>3.2</v>
      </c>
      <c r="M62" t="s">
        <v>43</v>
      </c>
      <c r="N62">
        <v>85</v>
      </c>
      <c r="O62">
        <f t="shared" si="0"/>
        <v>940</v>
      </c>
      <c r="P62">
        <f t="shared" si="1"/>
        <v>465</v>
      </c>
      <c r="Q62">
        <f t="shared" si="2"/>
        <v>475</v>
      </c>
      <c r="R62">
        <f t="shared" si="3"/>
        <v>49.650349650349654</v>
      </c>
      <c r="S62" s="1">
        <f t="shared" si="4"/>
        <v>50.24975024975025</v>
      </c>
      <c r="T62" s="1">
        <f t="shared" si="5"/>
        <v>442</v>
      </c>
      <c r="U62" s="1">
        <f t="shared" si="6"/>
        <v>498</v>
      </c>
      <c r="V62" s="1">
        <f t="shared" si="7"/>
        <v>47.5</v>
      </c>
      <c r="W62" s="1">
        <f t="shared" si="8"/>
        <v>52.5</v>
      </c>
      <c r="X62" s="1">
        <f t="shared" si="9"/>
        <v>15.143617021276595</v>
      </c>
      <c r="Y62" s="1">
        <f t="shared" si="10"/>
        <v>155</v>
      </c>
      <c r="Z62" s="1">
        <f t="shared" si="11"/>
        <v>143</v>
      </c>
      <c r="AA62" s="1">
        <f t="shared" si="12"/>
        <v>3.6096774193548389</v>
      </c>
      <c r="AB62" s="1">
        <f t="shared" si="13"/>
        <v>3.3867132867132863</v>
      </c>
      <c r="AC62" s="1">
        <f t="shared" si="14"/>
        <v>0</v>
      </c>
      <c r="AD62" s="1">
        <f t="shared" si="15"/>
        <v>3.9654737362152442E-2</v>
      </c>
    </row>
    <row r="63" spans="1:30" x14ac:dyDescent="0.35">
      <c r="A63" t="s">
        <v>179</v>
      </c>
      <c r="B63" t="s">
        <v>40</v>
      </c>
      <c r="C63" t="s">
        <v>16</v>
      </c>
      <c r="D63" t="s">
        <v>25</v>
      </c>
      <c r="E63">
        <v>44</v>
      </c>
      <c r="F63" t="s">
        <v>79</v>
      </c>
      <c r="G63" t="s">
        <v>26</v>
      </c>
      <c r="H63" t="s">
        <v>180</v>
      </c>
      <c r="I63">
        <v>1</v>
      </c>
      <c r="J63">
        <v>1</v>
      </c>
      <c r="K63">
        <v>392671</v>
      </c>
      <c r="L63">
        <v>4</v>
      </c>
      <c r="M63" t="s">
        <v>21</v>
      </c>
      <c r="N63">
        <v>54</v>
      </c>
      <c r="O63">
        <f t="shared" si="0"/>
        <v>939</v>
      </c>
      <c r="P63">
        <f t="shared" si="1"/>
        <v>465</v>
      </c>
      <c r="Q63">
        <f t="shared" si="2"/>
        <v>474</v>
      </c>
      <c r="R63">
        <f t="shared" si="3"/>
        <v>49.650349650349654</v>
      </c>
      <c r="S63" s="1">
        <f t="shared" si="4"/>
        <v>50.24975024975025</v>
      </c>
      <c r="T63" s="1">
        <f t="shared" si="5"/>
        <v>442</v>
      </c>
      <c r="U63" s="1">
        <f t="shared" si="6"/>
        <v>497</v>
      </c>
      <c r="V63" s="1">
        <f t="shared" si="7"/>
        <v>47.5</v>
      </c>
      <c r="W63" s="1">
        <f t="shared" si="8"/>
        <v>52.5</v>
      </c>
      <c r="X63" s="1">
        <f t="shared" si="9"/>
        <v>15.1395101171459</v>
      </c>
      <c r="Y63" s="1">
        <f t="shared" si="10"/>
        <v>155</v>
      </c>
      <c r="Z63" s="1">
        <f t="shared" si="11"/>
        <v>142</v>
      </c>
      <c r="AA63" s="1">
        <f t="shared" si="12"/>
        <v>3.6096774193548389</v>
      </c>
      <c r="AB63" s="1">
        <f t="shared" si="13"/>
        <v>3.3880281690140843</v>
      </c>
      <c r="AC63" s="1">
        <f t="shared" si="14"/>
        <v>1</v>
      </c>
      <c r="AD63" s="1">
        <f t="shared" si="15"/>
        <v>4.0240523471465804E-2</v>
      </c>
    </row>
    <row r="64" spans="1:30" x14ac:dyDescent="0.35">
      <c r="A64" t="s">
        <v>181</v>
      </c>
      <c r="B64" t="s">
        <v>15</v>
      </c>
      <c r="C64" t="s">
        <v>36</v>
      </c>
      <c r="D64" t="s">
        <v>25</v>
      </c>
      <c r="E64">
        <v>59</v>
      </c>
      <c r="F64" t="s">
        <v>79</v>
      </c>
      <c r="G64" t="s">
        <v>85</v>
      </c>
      <c r="H64" t="s">
        <v>182</v>
      </c>
      <c r="I64">
        <v>15</v>
      </c>
      <c r="J64">
        <v>17</v>
      </c>
      <c r="K64">
        <v>162271</v>
      </c>
      <c r="L64">
        <v>4</v>
      </c>
      <c r="M64" t="s">
        <v>21</v>
      </c>
      <c r="N64">
        <v>32</v>
      </c>
      <c r="O64">
        <f t="shared" si="0"/>
        <v>938</v>
      </c>
      <c r="P64">
        <f t="shared" si="1"/>
        <v>465</v>
      </c>
      <c r="Q64">
        <f t="shared" si="2"/>
        <v>473</v>
      </c>
      <c r="R64">
        <f t="shared" si="3"/>
        <v>49.650349650349654</v>
      </c>
      <c r="S64" s="1">
        <f t="shared" si="4"/>
        <v>50.24975024975025</v>
      </c>
      <c r="T64" s="1">
        <f t="shared" si="5"/>
        <v>441</v>
      </c>
      <c r="U64" s="1">
        <f t="shared" si="6"/>
        <v>497</v>
      </c>
      <c r="V64" s="1">
        <f t="shared" si="7"/>
        <v>47.5</v>
      </c>
      <c r="W64" s="1">
        <f t="shared" si="8"/>
        <v>52.5</v>
      </c>
      <c r="X64" s="1">
        <f t="shared" si="9"/>
        <v>15.154584221748401</v>
      </c>
      <c r="Y64" s="1">
        <f t="shared" si="10"/>
        <v>155</v>
      </c>
      <c r="Z64" s="1">
        <f t="shared" si="11"/>
        <v>142</v>
      </c>
      <c r="AA64" s="1">
        <f t="shared" si="12"/>
        <v>3.6096774193548389</v>
      </c>
      <c r="AB64" s="1">
        <f t="shared" si="13"/>
        <v>3.3880281690140843</v>
      </c>
      <c r="AC64" s="1">
        <f t="shared" si="14"/>
        <v>1</v>
      </c>
      <c r="AD64" s="1">
        <f t="shared" si="15"/>
        <v>4.2674441353414902E-2</v>
      </c>
    </row>
    <row r="65" spans="1:30" x14ac:dyDescent="0.35">
      <c r="A65" t="s">
        <v>183</v>
      </c>
      <c r="B65" t="s">
        <v>40</v>
      </c>
      <c r="C65" t="s">
        <v>82</v>
      </c>
      <c r="D65" t="s">
        <v>17</v>
      </c>
      <c r="E65">
        <v>39</v>
      </c>
      <c r="F65" t="s">
        <v>74</v>
      </c>
      <c r="G65" t="s">
        <v>75</v>
      </c>
      <c r="H65" t="s">
        <v>184</v>
      </c>
      <c r="I65">
        <v>10</v>
      </c>
      <c r="J65">
        <v>14</v>
      </c>
      <c r="K65">
        <v>335115</v>
      </c>
      <c r="L65">
        <v>2.1</v>
      </c>
      <c r="M65" t="s">
        <v>43</v>
      </c>
      <c r="N65">
        <v>83</v>
      </c>
      <c r="O65">
        <f t="shared" si="0"/>
        <v>937</v>
      </c>
      <c r="P65">
        <f t="shared" si="1"/>
        <v>465</v>
      </c>
      <c r="Q65">
        <f t="shared" si="2"/>
        <v>472</v>
      </c>
      <c r="R65">
        <f t="shared" si="3"/>
        <v>49.650349650349654</v>
      </c>
      <c r="S65" s="1">
        <f t="shared" si="4"/>
        <v>50.24975024975025</v>
      </c>
      <c r="T65" s="1">
        <f t="shared" si="5"/>
        <v>440</v>
      </c>
      <c r="U65" s="1">
        <f t="shared" si="6"/>
        <v>497</v>
      </c>
      <c r="V65" s="1">
        <f t="shared" si="7"/>
        <v>47.5</v>
      </c>
      <c r="W65" s="1">
        <f t="shared" si="8"/>
        <v>52.5</v>
      </c>
      <c r="X65" s="1">
        <f t="shared" si="9"/>
        <v>15.152614727854855</v>
      </c>
      <c r="Y65" s="1">
        <f t="shared" si="10"/>
        <v>155</v>
      </c>
      <c r="Z65" s="1">
        <f t="shared" si="11"/>
        <v>142</v>
      </c>
      <c r="AA65" s="1">
        <f t="shared" si="12"/>
        <v>3.6096774193548389</v>
      </c>
      <c r="AB65" s="1">
        <f t="shared" si="13"/>
        <v>3.3880281690140843</v>
      </c>
      <c r="AC65" s="1">
        <f t="shared" si="14"/>
        <v>0</v>
      </c>
      <c r="AD65" s="1">
        <f t="shared" si="15"/>
        <v>4.2398496411327126E-2</v>
      </c>
    </row>
    <row r="66" spans="1:30" x14ac:dyDescent="0.35">
      <c r="A66" t="s">
        <v>185</v>
      </c>
      <c r="B66" t="s">
        <v>15</v>
      </c>
      <c r="C66" t="s">
        <v>93</v>
      </c>
      <c r="D66" t="s">
        <v>17</v>
      </c>
      <c r="E66">
        <v>40</v>
      </c>
      <c r="F66" t="s">
        <v>74</v>
      </c>
      <c r="G66" t="s">
        <v>57</v>
      </c>
      <c r="H66" t="s">
        <v>186</v>
      </c>
      <c r="I66">
        <v>6</v>
      </c>
      <c r="J66">
        <v>6</v>
      </c>
      <c r="K66">
        <v>298322</v>
      </c>
      <c r="L66">
        <v>3.3</v>
      </c>
      <c r="M66" t="s">
        <v>21</v>
      </c>
      <c r="N66">
        <v>41</v>
      </c>
      <c r="O66">
        <f t="shared" ref="O66:O129" si="16">COUNTA(A66:A1065)</f>
        <v>936</v>
      </c>
      <c r="P66">
        <f t="shared" ref="P66:P129" si="17">COUNTIF(D66:D1065,"Male")</f>
        <v>464</v>
      </c>
      <c r="Q66">
        <f t="shared" ref="Q66:Q129" si="18">COUNTIF(D66:D1065,"Female")</f>
        <v>472</v>
      </c>
      <c r="R66">
        <f t="shared" ref="R66:R129" si="19">497/1001*100</f>
        <v>49.650349650349654</v>
      </c>
      <c r="S66" s="1">
        <f t="shared" ref="S66:S129" si="20">503/1001*100</f>
        <v>50.24975024975025</v>
      </c>
      <c r="T66" s="1">
        <f t="shared" ref="T66:T129" si="21">COUNTIF(M66:M1065,"Yes")</f>
        <v>440</v>
      </c>
      <c r="U66" s="1">
        <f t="shared" ref="U66:U129" si="22">COUNTIF(M66:M1065,"No")</f>
        <v>496</v>
      </c>
      <c r="V66" s="1">
        <f t="shared" ref="V66:V129" si="23">475/1000*100</f>
        <v>47.5</v>
      </c>
      <c r="W66" s="1">
        <f t="shared" ref="W66:W129" si="24">525/1000*100</f>
        <v>52.5</v>
      </c>
      <c r="X66" s="1">
        <f t="shared" ref="X66:X129" si="25">AVERAGE(J66:J1065)</f>
        <v>15.153846153846153</v>
      </c>
      <c r="Y66" s="1">
        <f t="shared" ref="Y66:Y129" si="26">COUNTIF(F66:F1065,"Marketing")</f>
        <v>154</v>
      </c>
      <c r="Z66" s="1">
        <f t="shared" ref="Z66:Z129" si="27">COUNTIF(F66:F1065,"IT")</f>
        <v>142</v>
      </c>
      <c r="AA66" s="1">
        <f t="shared" ref="AA66:AA129" si="28">AVERAGEIF(F66:F1065,"Marketing",L66:L1065)</f>
        <v>3.6194805194805193</v>
      </c>
      <c r="AB66" s="1">
        <f t="shared" ref="AB66:AB129" si="29">AVERAGEIF(F66:F1065,"IT",L66:L1065)</f>
        <v>3.3880281690140843</v>
      </c>
      <c r="AC66" s="1">
        <f t="shared" ref="AC66:AC129" si="30">IF(M66="yes",1,0)</f>
        <v>1</v>
      </c>
      <c r="AD66" s="1">
        <f t="shared" ref="AD66:AD129" si="31">CORREL(J66:J1065,AC66:AC1065)</f>
        <v>4.2251243730623875E-2</v>
      </c>
    </row>
    <row r="67" spans="1:30" x14ac:dyDescent="0.35">
      <c r="A67" t="s">
        <v>187</v>
      </c>
      <c r="B67" t="s">
        <v>55</v>
      </c>
      <c r="C67" t="s">
        <v>16</v>
      </c>
      <c r="D67" t="s">
        <v>25</v>
      </c>
      <c r="E67">
        <v>31</v>
      </c>
      <c r="F67" t="s">
        <v>46</v>
      </c>
      <c r="G67" t="s">
        <v>88</v>
      </c>
      <c r="H67" t="s">
        <v>188</v>
      </c>
      <c r="I67">
        <v>12</v>
      </c>
      <c r="J67">
        <v>18</v>
      </c>
      <c r="K67">
        <v>384071</v>
      </c>
      <c r="L67">
        <v>4.2</v>
      </c>
      <c r="M67" t="s">
        <v>43</v>
      </c>
      <c r="N67">
        <v>74</v>
      </c>
      <c r="O67">
        <f t="shared" si="16"/>
        <v>935</v>
      </c>
      <c r="P67">
        <f t="shared" si="17"/>
        <v>463</v>
      </c>
      <c r="Q67">
        <f t="shared" si="18"/>
        <v>472</v>
      </c>
      <c r="R67">
        <f t="shared" si="19"/>
        <v>49.650349650349654</v>
      </c>
      <c r="S67" s="1">
        <f t="shared" si="20"/>
        <v>50.24975024975025</v>
      </c>
      <c r="T67" s="1">
        <f t="shared" si="21"/>
        <v>439</v>
      </c>
      <c r="U67" s="1">
        <f t="shared" si="22"/>
        <v>496</v>
      </c>
      <c r="V67" s="1">
        <f t="shared" si="23"/>
        <v>47.5</v>
      </c>
      <c r="W67" s="1">
        <f t="shared" si="24"/>
        <v>52.5</v>
      </c>
      <c r="X67" s="1">
        <f t="shared" si="25"/>
        <v>15.163636363636364</v>
      </c>
      <c r="Y67" s="1">
        <f t="shared" si="26"/>
        <v>153</v>
      </c>
      <c r="Z67" s="1">
        <f t="shared" si="27"/>
        <v>142</v>
      </c>
      <c r="AA67" s="1">
        <f t="shared" si="28"/>
        <v>3.6215686274509804</v>
      </c>
      <c r="AB67" s="1">
        <f t="shared" si="29"/>
        <v>3.3880281690140843</v>
      </c>
      <c r="AC67" s="1">
        <f t="shared" si="30"/>
        <v>0</v>
      </c>
      <c r="AD67" s="1">
        <f t="shared" si="31"/>
        <v>4.382403595913504E-2</v>
      </c>
    </row>
    <row r="68" spans="1:30" x14ac:dyDescent="0.35">
      <c r="A68" t="s">
        <v>189</v>
      </c>
      <c r="B68" t="s">
        <v>111</v>
      </c>
      <c r="C68" t="s">
        <v>36</v>
      </c>
      <c r="D68" t="s">
        <v>25</v>
      </c>
      <c r="E68">
        <v>23</v>
      </c>
      <c r="F68" t="s">
        <v>70</v>
      </c>
      <c r="G68" t="s">
        <v>71</v>
      </c>
      <c r="H68" t="s">
        <v>190</v>
      </c>
      <c r="I68">
        <v>17</v>
      </c>
      <c r="J68">
        <v>20</v>
      </c>
      <c r="K68">
        <v>102615</v>
      </c>
      <c r="L68">
        <v>3.6</v>
      </c>
      <c r="M68" t="s">
        <v>43</v>
      </c>
      <c r="N68">
        <v>85</v>
      </c>
      <c r="O68">
        <f t="shared" si="16"/>
        <v>934</v>
      </c>
      <c r="P68">
        <f t="shared" si="17"/>
        <v>463</v>
      </c>
      <c r="Q68">
        <f t="shared" si="18"/>
        <v>471</v>
      </c>
      <c r="R68">
        <f t="shared" si="19"/>
        <v>49.650349650349654</v>
      </c>
      <c r="S68" s="1">
        <f t="shared" si="20"/>
        <v>50.24975024975025</v>
      </c>
      <c r="T68" s="1">
        <f t="shared" si="21"/>
        <v>439</v>
      </c>
      <c r="U68" s="1">
        <f t="shared" si="22"/>
        <v>495</v>
      </c>
      <c r="V68" s="1">
        <f t="shared" si="23"/>
        <v>47.5</v>
      </c>
      <c r="W68" s="1">
        <f t="shared" si="24"/>
        <v>52.5</v>
      </c>
      <c r="X68" s="1">
        <f t="shared" si="25"/>
        <v>15.160599571734476</v>
      </c>
      <c r="Y68" s="1">
        <f t="shared" si="26"/>
        <v>153</v>
      </c>
      <c r="Z68" s="1">
        <f t="shared" si="27"/>
        <v>142</v>
      </c>
      <c r="AA68" s="1">
        <f t="shared" si="28"/>
        <v>3.6215686274509804</v>
      </c>
      <c r="AB68" s="1">
        <f t="shared" si="29"/>
        <v>3.3880281690140843</v>
      </c>
      <c r="AC68" s="1">
        <f t="shared" si="30"/>
        <v>0</v>
      </c>
      <c r="AD68" s="1">
        <f t="shared" si="31"/>
        <v>4.4262886874374539E-2</v>
      </c>
    </row>
    <row r="69" spans="1:30" x14ac:dyDescent="0.35">
      <c r="A69" t="s">
        <v>191</v>
      </c>
      <c r="B69" t="s">
        <v>60</v>
      </c>
      <c r="C69" t="s">
        <v>49</v>
      </c>
      <c r="D69" t="s">
        <v>25</v>
      </c>
      <c r="E69">
        <v>25</v>
      </c>
      <c r="F69" t="s">
        <v>74</v>
      </c>
      <c r="G69" t="s">
        <v>32</v>
      </c>
      <c r="H69" t="s">
        <v>192</v>
      </c>
      <c r="I69">
        <v>8</v>
      </c>
      <c r="J69">
        <v>15</v>
      </c>
      <c r="K69">
        <v>97272</v>
      </c>
      <c r="L69">
        <v>2.4</v>
      </c>
      <c r="M69" t="s">
        <v>21</v>
      </c>
      <c r="N69">
        <v>59</v>
      </c>
      <c r="O69">
        <f t="shared" si="16"/>
        <v>933</v>
      </c>
      <c r="P69">
        <f t="shared" si="17"/>
        <v>463</v>
      </c>
      <c r="Q69">
        <f t="shared" si="18"/>
        <v>470</v>
      </c>
      <c r="R69">
        <f t="shared" si="19"/>
        <v>49.650349650349654</v>
      </c>
      <c r="S69" s="1">
        <f t="shared" si="20"/>
        <v>50.24975024975025</v>
      </c>
      <c r="T69" s="1">
        <f t="shared" si="21"/>
        <v>439</v>
      </c>
      <c r="U69" s="1">
        <f t="shared" si="22"/>
        <v>494</v>
      </c>
      <c r="V69" s="1">
        <f t="shared" si="23"/>
        <v>47.5</v>
      </c>
      <c r="W69" s="1">
        <f t="shared" si="24"/>
        <v>52.5</v>
      </c>
      <c r="X69" s="1">
        <f t="shared" si="25"/>
        <v>15.155412647374062</v>
      </c>
      <c r="Y69" s="1">
        <f t="shared" si="26"/>
        <v>153</v>
      </c>
      <c r="Z69" s="1">
        <f t="shared" si="27"/>
        <v>142</v>
      </c>
      <c r="AA69" s="1">
        <f t="shared" si="28"/>
        <v>3.6215686274509804</v>
      </c>
      <c r="AB69" s="1">
        <f t="shared" si="29"/>
        <v>3.3880281690140843</v>
      </c>
      <c r="AC69" s="1">
        <f t="shared" si="30"/>
        <v>1</v>
      </c>
      <c r="AD69" s="1">
        <f t="shared" si="31"/>
        <v>4.5003428728590637E-2</v>
      </c>
    </row>
    <row r="70" spans="1:30" x14ac:dyDescent="0.35">
      <c r="A70" t="s">
        <v>193</v>
      </c>
      <c r="B70" t="s">
        <v>78</v>
      </c>
      <c r="C70" t="s">
        <v>36</v>
      </c>
      <c r="D70" t="s">
        <v>25</v>
      </c>
      <c r="E70">
        <v>46</v>
      </c>
      <c r="F70" t="s">
        <v>74</v>
      </c>
      <c r="G70" t="s">
        <v>41</v>
      </c>
      <c r="H70" t="s">
        <v>194</v>
      </c>
      <c r="I70">
        <v>8</v>
      </c>
      <c r="J70">
        <v>8</v>
      </c>
      <c r="K70">
        <v>258370</v>
      </c>
      <c r="L70">
        <v>3.5</v>
      </c>
      <c r="M70" t="s">
        <v>43</v>
      </c>
      <c r="N70">
        <v>94</v>
      </c>
      <c r="O70">
        <f t="shared" si="16"/>
        <v>932</v>
      </c>
      <c r="P70">
        <f t="shared" si="17"/>
        <v>463</v>
      </c>
      <c r="Q70">
        <f t="shared" si="18"/>
        <v>469</v>
      </c>
      <c r="R70">
        <f t="shared" si="19"/>
        <v>49.650349650349654</v>
      </c>
      <c r="S70" s="1">
        <f t="shared" si="20"/>
        <v>50.24975024975025</v>
      </c>
      <c r="T70" s="1">
        <f t="shared" si="21"/>
        <v>438</v>
      </c>
      <c r="U70" s="1">
        <f t="shared" si="22"/>
        <v>494</v>
      </c>
      <c r="V70" s="1">
        <f t="shared" si="23"/>
        <v>47.5</v>
      </c>
      <c r="W70" s="1">
        <f t="shared" si="24"/>
        <v>52.5</v>
      </c>
      <c r="X70" s="1">
        <f t="shared" si="25"/>
        <v>15.155579399141631</v>
      </c>
      <c r="Y70" s="1">
        <f t="shared" si="26"/>
        <v>152</v>
      </c>
      <c r="Z70" s="1">
        <f t="shared" si="27"/>
        <v>142</v>
      </c>
      <c r="AA70" s="1">
        <f t="shared" si="28"/>
        <v>3.6296052631578943</v>
      </c>
      <c r="AB70" s="1">
        <f t="shared" si="29"/>
        <v>3.3880281690140843</v>
      </c>
      <c r="AC70" s="1">
        <f t="shared" si="30"/>
        <v>0</v>
      </c>
      <c r="AD70" s="1">
        <f t="shared" si="31"/>
        <v>4.5056255997891551E-2</v>
      </c>
    </row>
    <row r="71" spans="1:30" x14ac:dyDescent="0.35">
      <c r="A71" t="s">
        <v>195</v>
      </c>
      <c r="B71" t="s">
        <v>111</v>
      </c>
      <c r="C71" t="s">
        <v>24</v>
      </c>
      <c r="D71" t="s">
        <v>17</v>
      </c>
      <c r="E71">
        <v>45</v>
      </c>
      <c r="F71" t="s">
        <v>70</v>
      </c>
      <c r="G71" t="s">
        <v>71</v>
      </c>
      <c r="H71" t="s">
        <v>196</v>
      </c>
      <c r="I71">
        <v>17</v>
      </c>
      <c r="J71">
        <v>20</v>
      </c>
      <c r="K71">
        <v>234383</v>
      </c>
      <c r="L71">
        <v>2.5</v>
      </c>
      <c r="M71" t="s">
        <v>43</v>
      </c>
      <c r="N71">
        <v>81</v>
      </c>
      <c r="O71">
        <f t="shared" si="16"/>
        <v>931</v>
      </c>
      <c r="P71">
        <f t="shared" si="17"/>
        <v>463</v>
      </c>
      <c r="Q71">
        <f t="shared" si="18"/>
        <v>468</v>
      </c>
      <c r="R71">
        <f t="shared" si="19"/>
        <v>49.650349650349654</v>
      </c>
      <c r="S71" s="1">
        <f t="shared" si="20"/>
        <v>50.24975024975025</v>
      </c>
      <c r="T71" s="1">
        <f t="shared" si="21"/>
        <v>438</v>
      </c>
      <c r="U71" s="1">
        <f t="shared" si="22"/>
        <v>493</v>
      </c>
      <c r="V71" s="1">
        <f t="shared" si="23"/>
        <v>47.5</v>
      </c>
      <c r="W71" s="1">
        <f t="shared" si="24"/>
        <v>52.5</v>
      </c>
      <c r="X71" s="1">
        <f t="shared" si="25"/>
        <v>15.163265306122449</v>
      </c>
      <c r="Y71" s="1">
        <f t="shared" si="26"/>
        <v>151</v>
      </c>
      <c r="Z71" s="1">
        <f t="shared" si="27"/>
        <v>142</v>
      </c>
      <c r="AA71" s="1">
        <f t="shared" si="28"/>
        <v>3.6304635761589408</v>
      </c>
      <c r="AB71" s="1">
        <f t="shared" si="29"/>
        <v>3.3880281690140843</v>
      </c>
      <c r="AC71" s="1">
        <f t="shared" si="30"/>
        <v>0</v>
      </c>
      <c r="AD71" s="1">
        <f t="shared" si="31"/>
        <v>4.4055496620495502E-2</v>
      </c>
    </row>
    <row r="72" spans="1:30" x14ac:dyDescent="0.35">
      <c r="A72" t="s">
        <v>197</v>
      </c>
      <c r="B72" t="s">
        <v>111</v>
      </c>
      <c r="C72" t="s">
        <v>30</v>
      </c>
      <c r="D72" t="s">
        <v>17</v>
      </c>
      <c r="E72">
        <v>30</v>
      </c>
      <c r="F72" t="s">
        <v>37</v>
      </c>
      <c r="G72" t="s">
        <v>71</v>
      </c>
      <c r="H72" t="s">
        <v>198</v>
      </c>
      <c r="I72">
        <v>15</v>
      </c>
      <c r="J72">
        <v>25</v>
      </c>
      <c r="K72">
        <v>156521</v>
      </c>
      <c r="L72">
        <v>4.0999999999999996</v>
      </c>
      <c r="M72" t="s">
        <v>43</v>
      </c>
      <c r="N72">
        <v>75</v>
      </c>
      <c r="O72">
        <f t="shared" si="16"/>
        <v>930</v>
      </c>
      <c r="P72">
        <f t="shared" si="17"/>
        <v>462</v>
      </c>
      <c r="Q72">
        <f t="shared" si="18"/>
        <v>468</v>
      </c>
      <c r="R72">
        <f t="shared" si="19"/>
        <v>49.650349650349654</v>
      </c>
      <c r="S72" s="1">
        <f t="shared" si="20"/>
        <v>50.24975024975025</v>
      </c>
      <c r="T72" s="1">
        <f t="shared" si="21"/>
        <v>438</v>
      </c>
      <c r="U72" s="1">
        <f t="shared" si="22"/>
        <v>492</v>
      </c>
      <c r="V72" s="1">
        <f t="shared" si="23"/>
        <v>47.5</v>
      </c>
      <c r="W72" s="1">
        <f t="shared" si="24"/>
        <v>52.5</v>
      </c>
      <c r="X72" s="1">
        <f t="shared" si="25"/>
        <v>15.158064516129032</v>
      </c>
      <c r="Y72" s="1">
        <f t="shared" si="26"/>
        <v>151</v>
      </c>
      <c r="Z72" s="1">
        <f t="shared" si="27"/>
        <v>142</v>
      </c>
      <c r="AA72" s="1">
        <f t="shared" si="28"/>
        <v>3.6304635761589408</v>
      </c>
      <c r="AB72" s="1">
        <f t="shared" si="29"/>
        <v>3.3880281690140843</v>
      </c>
      <c r="AC72" s="1">
        <f t="shared" si="30"/>
        <v>0</v>
      </c>
      <c r="AD72" s="1">
        <f t="shared" si="31"/>
        <v>4.4797972381468813E-2</v>
      </c>
    </row>
    <row r="73" spans="1:30" x14ac:dyDescent="0.35">
      <c r="A73" t="s">
        <v>199</v>
      </c>
      <c r="B73" t="s">
        <v>111</v>
      </c>
      <c r="C73" t="s">
        <v>49</v>
      </c>
      <c r="D73" t="s">
        <v>25</v>
      </c>
      <c r="E73">
        <v>31</v>
      </c>
      <c r="F73" t="s">
        <v>74</v>
      </c>
      <c r="G73" t="s">
        <v>57</v>
      </c>
      <c r="H73" t="s">
        <v>200</v>
      </c>
      <c r="I73">
        <v>20</v>
      </c>
      <c r="J73">
        <v>22</v>
      </c>
      <c r="K73">
        <v>261854</v>
      </c>
      <c r="L73">
        <v>3.8</v>
      </c>
      <c r="M73" t="s">
        <v>21</v>
      </c>
      <c r="N73">
        <v>63</v>
      </c>
      <c r="O73">
        <f t="shared" si="16"/>
        <v>929</v>
      </c>
      <c r="P73">
        <f t="shared" si="17"/>
        <v>461</v>
      </c>
      <c r="Q73">
        <f t="shared" si="18"/>
        <v>468</v>
      </c>
      <c r="R73">
        <f t="shared" si="19"/>
        <v>49.650349650349654</v>
      </c>
      <c r="S73" s="1">
        <f t="shared" si="20"/>
        <v>50.24975024975025</v>
      </c>
      <c r="T73" s="1">
        <f t="shared" si="21"/>
        <v>438</v>
      </c>
      <c r="U73" s="1">
        <f t="shared" si="22"/>
        <v>491</v>
      </c>
      <c r="V73" s="1">
        <f t="shared" si="23"/>
        <v>47.5</v>
      </c>
      <c r="W73" s="1">
        <f t="shared" si="24"/>
        <v>52.5</v>
      </c>
      <c r="X73" s="1">
        <f t="shared" si="25"/>
        <v>15.147470398277719</v>
      </c>
      <c r="Y73" s="1">
        <f t="shared" si="26"/>
        <v>151</v>
      </c>
      <c r="Z73" s="1">
        <f t="shared" si="27"/>
        <v>142</v>
      </c>
      <c r="AA73" s="1">
        <f t="shared" si="28"/>
        <v>3.6304635761589408</v>
      </c>
      <c r="AB73" s="1">
        <f t="shared" si="29"/>
        <v>3.3880281690140843</v>
      </c>
      <c r="AC73" s="1">
        <f t="shared" si="30"/>
        <v>1</v>
      </c>
      <c r="AD73" s="1">
        <f t="shared" si="31"/>
        <v>4.6316587613362437E-2</v>
      </c>
    </row>
    <row r="74" spans="1:30" x14ac:dyDescent="0.35">
      <c r="A74" t="s">
        <v>201</v>
      </c>
      <c r="B74" t="s">
        <v>69</v>
      </c>
      <c r="C74" t="s">
        <v>64</v>
      </c>
      <c r="D74" t="s">
        <v>25</v>
      </c>
      <c r="E74">
        <v>50</v>
      </c>
      <c r="F74" t="s">
        <v>18</v>
      </c>
      <c r="G74" t="s">
        <v>61</v>
      </c>
      <c r="H74" t="s">
        <v>202</v>
      </c>
      <c r="I74">
        <v>17</v>
      </c>
      <c r="J74">
        <v>19</v>
      </c>
      <c r="K74">
        <v>449379</v>
      </c>
      <c r="L74">
        <v>2.9</v>
      </c>
      <c r="M74" t="s">
        <v>21</v>
      </c>
      <c r="N74">
        <v>69</v>
      </c>
      <c r="O74">
        <f t="shared" si="16"/>
        <v>928</v>
      </c>
      <c r="P74">
        <f t="shared" si="17"/>
        <v>461</v>
      </c>
      <c r="Q74">
        <f t="shared" si="18"/>
        <v>467</v>
      </c>
      <c r="R74">
        <f t="shared" si="19"/>
        <v>49.650349650349654</v>
      </c>
      <c r="S74" s="1">
        <f t="shared" si="20"/>
        <v>50.24975024975025</v>
      </c>
      <c r="T74" s="1">
        <f t="shared" si="21"/>
        <v>437</v>
      </c>
      <c r="U74" s="1">
        <f t="shared" si="22"/>
        <v>491</v>
      </c>
      <c r="V74" s="1">
        <f t="shared" si="23"/>
        <v>47.5</v>
      </c>
      <c r="W74" s="1">
        <f t="shared" si="24"/>
        <v>52.5</v>
      </c>
      <c r="X74" s="1">
        <f t="shared" si="25"/>
        <v>15.140086206896552</v>
      </c>
      <c r="Y74" s="1">
        <f t="shared" si="26"/>
        <v>150</v>
      </c>
      <c r="Z74" s="1">
        <f t="shared" si="27"/>
        <v>142</v>
      </c>
      <c r="AA74" s="1">
        <f t="shared" si="28"/>
        <v>3.6293333333333333</v>
      </c>
      <c r="AB74" s="1">
        <f t="shared" si="29"/>
        <v>3.3880281690140843</v>
      </c>
      <c r="AC74" s="1">
        <f t="shared" si="30"/>
        <v>1</v>
      </c>
      <c r="AD74" s="1">
        <f t="shared" si="31"/>
        <v>4.523635918783693E-2</v>
      </c>
    </row>
    <row r="75" spans="1:30" x14ac:dyDescent="0.35">
      <c r="A75" t="s">
        <v>203</v>
      </c>
      <c r="B75" t="s">
        <v>78</v>
      </c>
      <c r="C75" t="s">
        <v>30</v>
      </c>
      <c r="D75" t="s">
        <v>25</v>
      </c>
      <c r="E75">
        <v>35</v>
      </c>
      <c r="F75" t="s">
        <v>79</v>
      </c>
      <c r="G75" t="s">
        <v>75</v>
      </c>
      <c r="H75" t="s">
        <v>204</v>
      </c>
      <c r="I75">
        <v>9</v>
      </c>
      <c r="J75">
        <v>13</v>
      </c>
      <c r="K75">
        <v>122714</v>
      </c>
      <c r="L75">
        <v>4</v>
      </c>
      <c r="M75" t="s">
        <v>21</v>
      </c>
      <c r="N75">
        <v>59</v>
      </c>
      <c r="O75">
        <f t="shared" si="16"/>
        <v>927</v>
      </c>
      <c r="P75">
        <f t="shared" si="17"/>
        <v>461</v>
      </c>
      <c r="Q75">
        <f t="shared" si="18"/>
        <v>466</v>
      </c>
      <c r="R75">
        <f t="shared" si="19"/>
        <v>49.650349650349654</v>
      </c>
      <c r="S75" s="1">
        <f t="shared" si="20"/>
        <v>50.24975024975025</v>
      </c>
      <c r="T75" s="1">
        <f t="shared" si="21"/>
        <v>436</v>
      </c>
      <c r="U75" s="1">
        <f t="shared" si="22"/>
        <v>491</v>
      </c>
      <c r="V75" s="1">
        <f t="shared" si="23"/>
        <v>47.5</v>
      </c>
      <c r="W75" s="1">
        <f t="shared" si="24"/>
        <v>52.5</v>
      </c>
      <c r="X75" s="1">
        <f t="shared" si="25"/>
        <v>15.135922330097088</v>
      </c>
      <c r="Y75" s="1">
        <f t="shared" si="26"/>
        <v>150</v>
      </c>
      <c r="Z75" s="1">
        <f t="shared" si="27"/>
        <v>142</v>
      </c>
      <c r="AA75" s="1">
        <f t="shared" si="28"/>
        <v>3.6293333333333333</v>
      </c>
      <c r="AB75" s="1">
        <f t="shared" si="29"/>
        <v>3.3880281690140843</v>
      </c>
      <c r="AC75" s="1">
        <f t="shared" si="30"/>
        <v>1</v>
      </c>
      <c r="AD75" s="1">
        <f t="shared" si="31"/>
        <v>4.4632144212555916E-2</v>
      </c>
    </row>
    <row r="76" spans="1:30" x14ac:dyDescent="0.35">
      <c r="A76" t="s">
        <v>205</v>
      </c>
      <c r="B76" t="s">
        <v>111</v>
      </c>
      <c r="C76" t="s">
        <v>56</v>
      </c>
      <c r="D76" t="s">
        <v>17</v>
      </c>
      <c r="E76">
        <v>56</v>
      </c>
      <c r="F76" t="s">
        <v>37</v>
      </c>
      <c r="G76" t="s">
        <v>32</v>
      </c>
      <c r="H76" t="s">
        <v>206</v>
      </c>
      <c r="I76">
        <v>3</v>
      </c>
      <c r="J76">
        <v>9</v>
      </c>
      <c r="K76">
        <v>230173</v>
      </c>
      <c r="L76">
        <v>2.2999999999999998</v>
      </c>
      <c r="M76" t="s">
        <v>21</v>
      </c>
      <c r="N76">
        <v>51</v>
      </c>
      <c r="O76">
        <f t="shared" si="16"/>
        <v>926</v>
      </c>
      <c r="P76">
        <f t="shared" si="17"/>
        <v>461</v>
      </c>
      <c r="Q76">
        <f t="shared" si="18"/>
        <v>465</v>
      </c>
      <c r="R76">
        <f t="shared" si="19"/>
        <v>49.650349650349654</v>
      </c>
      <c r="S76" s="1">
        <f t="shared" si="20"/>
        <v>50.24975024975025</v>
      </c>
      <c r="T76" s="1">
        <f t="shared" si="21"/>
        <v>435</v>
      </c>
      <c r="U76" s="1">
        <f t="shared" si="22"/>
        <v>491</v>
      </c>
      <c r="V76" s="1">
        <f t="shared" si="23"/>
        <v>47.5</v>
      </c>
      <c r="W76" s="1">
        <f t="shared" si="24"/>
        <v>52.5</v>
      </c>
      <c r="X76" s="1">
        <f t="shared" si="25"/>
        <v>15.138228941684666</v>
      </c>
      <c r="Y76" s="1">
        <f t="shared" si="26"/>
        <v>150</v>
      </c>
      <c r="Z76" s="1">
        <f t="shared" si="27"/>
        <v>142</v>
      </c>
      <c r="AA76" s="1">
        <f t="shared" si="28"/>
        <v>3.6293333333333333</v>
      </c>
      <c r="AB76" s="1">
        <f t="shared" si="29"/>
        <v>3.3880281690140843</v>
      </c>
      <c r="AC76" s="1">
        <f t="shared" si="30"/>
        <v>1</v>
      </c>
      <c r="AD76" s="1">
        <f t="shared" si="31"/>
        <v>4.5015976583678376E-2</v>
      </c>
    </row>
    <row r="77" spans="1:30" x14ac:dyDescent="0.35">
      <c r="A77" t="s">
        <v>207</v>
      </c>
      <c r="B77" t="s">
        <v>96</v>
      </c>
      <c r="C77" t="s">
        <v>82</v>
      </c>
      <c r="D77" t="s">
        <v>25</v>
      </c>
      <c r="E77">
        <v>38</v>
      </c>
      <c r="F77" t="s">
        <v>18</v>
      </c>
      <c r="G77" t="s">
        <v>32</v>
      </c>
      <c r="H77" t="s">
        <v>208</v>
      </c>
      <c r="I77">
        <v>2</v>
      </c>
      <c r="J77">
        <v>5</v>
      </c>
      <c r="K77">
        <v>137600</v>
      </c>
      <c r="L77">
        <v>3.9</v>
      </c>
      <c r="M77" t="s">
        <v>21</v>
      </c>
      <c r="N77">
        <v>32</v>
      </c>
      <c r="O77">
        <f t="shared" si="16"/>
        <v>925</v>
      </c>
      <c r="P77">
        <f t="shared" si="17"/>
        <v>460</v>
      </c>
      <c r="Q77">
        <f t="shared" si="18"/>
        <v>465</v>
      </c>
      <c r="R77">
        <f t="shared" si="19"/>
        <v>49.650349650349654</v>
      </c>
      <c r="S77" s="1">
        <f t="shared" si="20"/>
        <v>50.24975024975025</v>
      </c>
      <c r="T77" s="1">
        <f t="shared" si="21"/>
        <v>434</v>
      </c>
      <c r="U77" s="1">
        <f t="shared" si="22"/>
        <v>491</v>
      </c>
      <c r="V77" s="1">
        <f t="shared" si="23"/>
        <v>47.5</v>
      </c>
      <c r="W77" s="1">
        <f t="shared" si="24"/>
        <v>52.5</v>
      </c>
      <c r="X77" s="1">
        <f t="shared" si="25"/>
        <v>15.144864864864864</v>
      </c>
      <c r="Y77" s="1">
        <f t="shared" si="26"/>
        <v>150</v>
      </c>
      <c r="Z77" s="1">
        <f t="shared" si="27"/>
        <v>142</v>
      </c>
      <c r="AA77" s="1">
        <f t="shared" si="28"/>
        <v>3.6293333333333333</v>
      </c>
      <c r="AB77" s="1">
        <f t="shared" si="29"/>
        <v>3.3880281690140843</v>
      </c>
      <c r="AC77" s="1">
        <f t="shared" si="30"/>
        <v>1</v>
      </c>
      <c r="AD77" s="1">
        <f t="shared" si="31"/>
        <v>4.6083197788603092E-2</v>
      </c>
    </row>
    <row r="78" spans="1:30" x14ac:dyDescent="0.35">
      <c r="A78" t="s">
        <v>209</v>
      </c>
      <c r="B78" t="s">
        <v>96</v>
      </c>
      <c r="C78" t="s">
        <v>49</v>
      </c>
      <c r="D78" t="s">
        <v>17</v>
      </c>
      <c r="E78">
        <v>49</v>
      </c>
      <c r="F78" t="s">
        <v>18</v>
      </c>
      <c r="G78" t="s">
        <v>61</v>
      </c>
      <c r="H78" t="s">
        <v>210</v>
      </c>
      <c r="I78">
        <v>17</v>
      </c>
      <c r="J78">
        <v>23</v>
      </c>
      <c r="K78">
        <v>297678</v>
      </c>
      <c r="L78">
        <v>2.7</v>
      </c>
      <c r="M78" t="s">
        <v>21</v>
      </c>
      <c r="N78">
        <v>61</v>
      </c>
      <c r="O78">
        <f t="shared" si="16"/>
        <v>924</v>
      </c>
      <c r="P78">
        <f t="shared" si="17"/>
        <v>460</v>
      </c>
      <c r="Q78">
        <f t="shared" si="18"/>
        <v>464</v>
      </c>
      <c r="R78">
        <f t="shared" si="19"/>
        <v>49.650349650349654</v>
      </c>
      <c r="S78" s="1">
        <f t="shared" si="20"/>
        <v>50.24975024975025</v>
      </c>
      <c r="T78" s="1">
        <f t="shared" si="21"/>
        <v>433</v>
      </c>
      <c r="U78" s="1">
        <f t="shared" si="22"/>
        <v>491</v>
      </c>
      <c r="V78" s="1">
        <f t="shared" si="23"/>
        <v>47.5</v>
      </c>
      <c r="W78" s="1">
        <f t="shared" si="24"/>
        <v>52.5</v>
      </c>
      <c r="X78" s="1">
        <f t="shared" si="25"/>
        <v>15.155844155844155</v>
      </c>
      <c r="Y78" s="1">
        <f t="shared" si="26"/>
        <v>150</v>
      </c>
      <c r="Z78" s="1">
        <f t="shared" si="27"/>
        <v>142</v>
      </c>
      <c r="AA78" s="1">
        <f t="shared" si="28"/>
        <v>3.6293333333333333</v>
      </c>
      <c r="AB78" s="1">
        <f t="shared" si="29"/>
        <v>3.3880281690140843</v>
      </c>
      <c r="AC78" s="1">
        <f t="shared" si="30"/>
        <v>1</v>
      </c>
      <c r="AD78" s="1">
        <f t="shared" si="31"/>
        <v>4.7856721059226059E-2</v>
      </c>
    </row>
    <row r="79" spans="1:30" x14ac:dyDescent="0.35">
      <c r="A79" t="s">
        <v>211</v>
      </c>
      <c r="B79" t="s">
        <v>29</v>
      </c>
      <c r="C79" t="s">
        <v>56</v>
      </c>
      <c r="D79" t="s">
        <v>25</v>
      </c>
      <c r="E79">
        <v>54</v>
      </c>
      <c r="F79" t="s">
        <v>18</v>
      </c>
      <c r="G79" t="s">
        <v>32</v>
      </c>
      <c r="H79" t="s">
        <v>212</v>
      </c>
      <c r="I79">
        <v>0</v>
      </c>
      <c r="J79">
        <v>7</v>
      </c>
      <c r="K79">
        <v>196114</v>
      </c>
      <c r="L79">
        <v>4.5</v>
      </c>
      <c r="M79" t="s">
        <v>43</v>
      </c>
      <c r="N79">
        <v>71</v>
      </c>
      <c r="O79">
        <f t="shared" si="16"/>
        <v>923</v>
      </c>
      <c r="P79">
        <f t="shared" si="17"/>
        <v>459</v>
      </c>
      <c r="Q79">
        <f t="shared" si="18"/>
        <v>464</v>
      </c>
      <c r="R79">
        <f t="shared" si="19"/>
        <v>49.650349650349654</v>
      </c>
      <c r="S79" s="1">
        <f t="shared" si="20"/>
        <v>50.24975024975025</v>
      </c>
      <c r="T79" s="1">
        <f t="shared" si="21"/>
        <v>432</v>
      </c>
      <c r="U79" s="1">
        <f t="shared" si="22"/>
        <v>491</v>
      </c>
      <c r="V79" s="1">
        <f t="shared" si="23"/>
        <v>47.5</v>
      </c>
      <c r="W79" s="1">
        <f t="shared" si="24"/>
        <v>52.5</v>
      </c>
      <c r="X79" s="1">
        <f t="shared" si="25"/>
        <v>15.147345612134345</v>
      </c>
      <c r="Y79" s="1">
        <f t="shared" si="26"/>
        <v>150</v>
      </c>
      <c r="Z79" s="1">
        <f t="shared" si="27"/>
        <v>142</v>
      </c>
      <c r="AA79" s="1">
        <f t="shared" si="28"/>
        <v>3.6293333333333333</v>
      </c>
      <c r="AB79" s="1">
        <f t="shared" si="29"/>
        <v>3.3880281690140843</v>
      </c>
      <c r="AC79" s="1">
        <f t="shared" si="30"/>
        <v>0</v>
      </c>
      <c r="AD79" s="1">
        <f t="shared" si="31"/>
        <v>4.6608556727574003E-2</v>
      </c>
    </row>
    <row r="80" spans="1:30" x14ac:dyDescent="0.35">
      <c r="A80" t="s">
        <v>213</v>
      </c>
      <c r="B80" t="s">
        <v>78</v>
      </c>
      <c r="C80" t="s">
        <v>16</v>
      </c>
      <c r="D80" t="s">
        <v>17</v>
      </c>
      <c r="E80">
        <v>21</v>
      </c>
      <c r="F80" t="s">
        <v>18</v>
      </c>
      <c r="G80" t="s">
        <v>26</v>
      </c>
      <c r="H80" t="s">
        <v>214</v>
      </c>
      <c r="I80">
        <v>15</v>
      </c>
      <c r="J80">
        <v>20</v>
      </c>
      <c r="K80">
        <v>134390</v>
      </c>
      <c r="L80">
        <v>3.3</v>
      </c>
      <c r="M80" t="s">
        <v>21</v>
      </c>
      <c r="N80">
        <v>35</v>
      </c>
      <c r="O80">
        <f t="shared" si="16"/>
        <v>922</v>
      </c>
      <c r="P80">
        <f t="shared" si="17"/>
        <v>459</v>
      </c>
      <c r="Q80">
        <f t="shared" si="18"/>
        <v>463</v>
      </c>
      <c r="R80">
        <f t="shared" si="19"/>
        <v>49.650349650349654</v>
      </c>
      <c r="S80" s="1">
        <f t="shared" si="20"/>
        <v>50.24975024975025</v>
      </c>
      <c r="T80" s="1">
        <f t="shared" si="21"/>
        <v>432</v>
      </c>
      <c r="U80" s="1">
        <f t="shared" si="22"/>
        <v>490</v>
      </c>
      <c r="V80" s="1">
        <f t="shared" si="23"/>
        <v>47.5</v>
      </c>
      <c r="W80" s="1">
        <f t="shared" si="24"/>
        <v>52.5</v>
      </c>
      <c r="X80" s="1">
        <f t="shared" si="25"/>
        <v>15.156182212581346</v>
      </c>
      <c r="Y80" s="1">
        <f t="shared" si="26"/>
        <v>150</v>
      </c>
      <c r="Z80" s="1">
        <f t="shared" si="27"/>
        <v>142</v>
      </c>
      <c r="AA80" s="1">
        <f t="shared" si="28"/>
        <v>3.6293333333333333</v>
      </c>
      <c r="AB80" s="1">
        <f t="shared" si="29"/>
        <v>3.3880281690140843</v>
      </c>
      <c r="AC80" s="1">
        <f t="shared" si="30"/>
        <v>1</v>
      </c>
      <c r="AD80" s="1">
        <f t="shared" si="31"/>
        <v>4.5465139797161783E-2</v>
      </c>
    </row>
    <row r="81" spans="1:30" x14ac:dyDescent="0.35">
      <c r="A81" t="s">
        <v>215</v>
      </c>
      <c r="B81" t="s">
        <v>15</v>
      </c>
      <c r="C81" t="s">
        <v>82</v>
      </c>
      <c r="D81" t="s">
        <v>25</v>
      </c>
      <c r="E81">
        <v>30</v>
      </c>
      <c r="F81" t="s">
        <v>31</v>
      </c>
      <c r="G81" t="s">
        <v>71</v>
      </c>
      <c r="H81" t="s">
        <v>216</v>
      </c>
      <c r="I81">
        <v>12</v>
      </c>
      <c r="J81">
        <v>18</v>
      </c>
      <c r="K81">
        <v>78003</v>
      </c>
      <c r="L81">
        <v>3.5</v>
      </c>
      <c r="M81" t="s">
        <v>21</v>
      </c>
      <c r="N81">
        <v>66</v>
      </c>
      <c r="O81">
        <f t="shared" si="16"/>
        <v>921</v>
      </c>
      <c r="P81">
        <f t="shared" si="17"/>
        <v>458</v>
      </c>
      <c r="Q81">
        <f t="shared" si="18"/>
        <v>463</v>
      </c>
      <c r="R81">
        <f t="shared" si="19"/>
        <v>49.650349650349654</v>
      </c>
      <c r="S81" s="1">
        <f t="shared" si="20"/>
        <v>50.24975024975025</v>
      </c>
      <c r="T81" s="1">
        <f t="shared" si="21"/>
        <v>431</v>
      </c>
      <c r="U81" s="1">
        <f t="shared" si="22"/>
        <v>490</v>
      </c>
      <c r="V81" s="1">
        <f t="shared" si="23"/>
        <v>47.5</v>
      </c>
      <c r="W81" s="1">
        <f t="shared" si="24"/>
        <v>52.5</v>
      </c>
      <c r="X81" s="1">
        <f t="shared" si="25"/>
        <v>15.150922909880565</v>
      </c>
      <c r="Y81" s="1">
        <f t="shared" si="26"/>
        <v>150</v>
      </c>
      <c r="Z81" s="1">
        <f t="shared" si="27"/>
        <v>142</v>
      </c>
      <c r="AA81" s="1">
        <f t="shared" si="28"/>
        <v>3.6293333333333333</v>
      </c>
      <c r="AB81" s="1">
        <f t="shared" si="29"/>
        <v>3.3880281690140843</v>
      </c>
      <c r="AC81" s="1">
        <f t="shared" si="30"/>
        <v>1</v>
      </c>
      <c r="AD81" s="1">
        <f t="shared" si="31"/>
        <v>4.4693913715397944E-2</v>
      </c>
    </row>
    <row r="82" spans="1:30" x14ac:dyDescent="0.35">
      <c r="A82" t="s">
        <v>217</v>
      </c>
      <c r="B82" t="s">
        <v>96</v>
      </c>
      <c r="C82" t="s">
        <v>52</v>
      </c>
      <c r="D82" t="s">
        <v>25</v>
      </c>
      <c r="E82">
        <v>30</v>
      </c>
      <c r="F82" t="s">
        <v>18</v>
      </c>
      <c r="G82" t="s">
        <v>88</v>
      </c>
      <c r="H82" t="s">
        <v>218</v>
      </c>
      <c r="I82">
        <v>2</v>
      </c>
      <c r="J82">
        <v>9</v>
      </c>
      <c r="K82">
        <v>156663</v>
      </c>
      <c r="L82">
        <v>2.8</v>
      </c>
      <c r="M82" t="s">
        <v>43</v>
      </c>
      <c r="N82">
        <v>89</v>
      </c>
      <c r="O82">
        <f t="shared" si="16"/>
        <v>920</v>
      </c>
      <c r="P82">
        <f t="shared" si="17"/>
        <v>458</v>
      </c>
      <c r="Q82">
        <f t="shared" si="18"/>
        <v>462</v>
      </c>
      <c r="R82">
        <f t="shared" si="19"/>
        <v>49.650349650349654</v>
      </c>
      <c r="S82" s="1">
        <f t="shared" si="20"/>
        <v>50.24975024975025</v>
      </c>
      <c r="T82" s="1">
        <f t="shared" si="21"/>
        <v>430</v>
      </c>
      <c r="U82" s="1">
        <f t="shared" si="22"/>
        <v>490</v>
      </c>
      <c r="V82" s="1">
        <f t="shared" si="23"/>
        <v>47.5</v>
      </c>
      <c r="W82" s="1">
        <f t="shared" si="24"/>
        <v>52.5</v>
      </c>
      <c r="X82" s="1">
        <f t="shared" si="25"/>
        <v>15.147826086956522</v>
      </c>
      <c r="Y82" s="1">
        <f t="shared" si="26"/>
        <v>150</v>
      </c>
      <c r="Z82" s="1">
        <f t="shared" si="27"/>
        <v>141</v>
      </c>
      <c r="AA82" s="1">
        <f t="shared" si="28"/>
        <v>3.6293333333333333</v>
      </c>
      <c r="AB82" s="1">
        <f t="shared" si="29"/>
        <v>3.387234042553191</v>
      </c>
      <c r="AC82" s="1">
        <f t="shared" si="30"/>
        <v>0</v>
      </c>
      <c r="AD82" s="1">
        <f t="shared" si="31"/>
        <v>4.4247576225823294E-2</v>
      </c>
    </row>
    <row r="83" spans="1:30" x14ac:dyDescent="0.35">
      <c r="A83" t="s">
        <v>219</v>
      </c>
      <c r="B83" t="s">
        <v>23</v>
      </c>
      <c r="C83" t="s">
        <v>30</v>
      </c>
      <c r="D83" t="s">
        <v>17</v>
      </c>
      <c r="E83">
        <v>59</v>
      </c>
      <c r="F83" t="s">
        <v>74</v>
      </c>
      <c r="G83" t="s">
        <v>88</v>
      </c>
      <c r="H83" t="s">
        <v>220</v>
      </c>
      <c r="I83">
        <v>1</v>
      </c>
      <c r="J83">
        <v>10</v>
      </c>
      <c r="K83">
        <v>109379</v>
      </c>
      <c r="L83">
        <v>2.4</v>
      </c>
      <c r="M83" t="s">
        <v>21</v>
      </c>
      <c r="N83">
        <v>48</v>
      </c>
      <c r="O83">
        <f t="shared" si="16"/>
        <v>919</v>
      </c>
      <c r="P83">
        <f t="shared" si="17"/>
        <v>458</v>
      </c>
      <c r="Q83">
        <f t="shared" si="18"/>
        <v>461</v>
      </c>
      <c r="R83">
        <f t="shared" si="19"/>
        <v>49.650349650349654</v>
      </c>
      <c r="S83" s="1">
        <f t="shared" si="20"/>
        <v>50.24975024975025</v>
      </c>
      <c r="T83" s="1">
        <f t="shared" si="21"/>
        <v>430</v>
      </c>
      <c r="U83" s="1">
        <f t="shared" si="22"/>
        <v>489</v>
      </c>
      <c r="V83" s="1">
        <f t="shared" si="23"/>
        <v>47.5</v>
      </c>
      <c r="W83" s="1">
        <f t="shared" si="24"/>
        <v>52.5</v>
      </c>
      <c r="X83" s="1">
        <f t="shared" si="25"/>
        <v>15.154515778019586</v>
      </c>
      <c r="Y83" s="1">
        <f t="shared" si="26"/>
        <v>150</v>
      </c>
      <c r="Z83" s="1">
        <f t="shared" si="27"/>
        <v>141</v>
      </c>
      <c r="AA83" s="1">
        <f t="shared" si="28"/>
        <v>3.6293333333333333</v>
      </c>
      <c r="AB83" s="1">
        <f t="shared" si="29"/>
        <v>3.387234042553191</v>
      </c>
      <c r="AC83" s="1">
        <f t="shared" si="30"/>
        <v>1</v>
      </c>
      <c r="AD83" s="1">
        <f t="shared" si="31"/>
        <v>4.3380611077383648E-2</v>
      </c>
    </row>
    <row r="84" spans="1:30" x14ac:dyDescent="0.35">
      <c r="A84" t="s">
        <v>221</v>
      </c>
      <c r="B84" t="s">
        <v>45</v>
      </c>
      <c r="C84" t="s">
        <v>56</v>
      </c>
      <c r="D84" t="s">
        <v>17</v>
      </c>
      <c r="E84">
        <v>25</v>
      </c>
      <c r="F84" t="s">
        <v>46</v>
      </c>
      <c r="G84" t="s">
        <v>88</v>
      </c>
      <c r="H84" t="s">
        <v>222</v>
      </c>
      <c r="I84">
        <v>10</v>
      </c>
      <c r="J84">
        <v>13</v>
      </c>
      <c r="K84">
        <v>312094</v>
      </c>
      <c r="L84">
        <v>4.5</v>
      </c>
      <c r="M84" t="s">
        <v>43</v>
      </c>
      <c r="N84">
        <v>97</v>
      </c>
      <c r="O84">
        <f t="shared" si="16"/>
        <v>918</v>
      </c>
      <c r="P84">
        <f t="shared" si="17"/>
        <v>457</v>
      </c>
      <c r="Q84">
        <f t="shared" si="18"/>
        <v>461</v>
      </c>
      <c r="R84">
        <f t="shared" si="19"/>
        <v>49.650349650349654</v>
      </c>
      <c r="S84" s="1">
        <f t="shared" si="20"/>
        <v>50.24975024975025</v>
      </c>
      <c r="T84" s="1">
        <f t="shared" si="21"/>
        <v>429</v>
      </c>
      <c r="U84" s="1">
        <f t="shared" si="22"/>
        <v>489</v>
      </c>
      <c r="V84" s="1">
        <f t="shared" si="23"/>
        <v>47.5</v>
      </c>
      <c r="W84" s="1">
        <f t="shared" si="24"/>
        <v>52.5</v>
      </c>
      <c r="X84" s="1">
        <f t="shared" si="25"/>
        <v>15.160130718954248</v>
      </c>
      <c r="Y84" s="1">
        <f t="shared" si="26"/>
        <v>149</v>
      </c>
      <c r="Z84" s="1">
        <f t="shared" si="27"/>
        <v>141</v>
      </c>
      <c r="AA84" s="1">
        <f t="shared" si="28"/>
        <v>3.6375838926174495</v>
      </c>
      <c r="AB84" s="1">
        <f t="shared" si="29"/>
        <v>3.387234042553191</v>
      </c>
      <c r="AC84" s="1">
        <f t="shared" si="30"/>
        <v>0</v>
      </c>
      <c r="AD84" s="1">
        <f t="shared" si="31"/>
        <v>4.4287337840908027E-2</v>
      </c>
    </row>
    <row r="85" spans="1:30" x14ac:dyDescent="0.35">
      <c r="A85" t="s">
        <v>223</v>
      </c>
      <c r="B85" t="s">
        <v>45</v>
      </c>
      <c r="C85" t="s">
        <v>93</v>
      </c>
      <c r="D85" t="s">
        <v>25</v>
      </c>
      <c r="E85">
        <v>38</v>
      </c>
      <c r="F85" t="s">
        <v>70</v>
      </c>
      <c r="G85" t="s">
        <v>26</v>
      </c>
      <c r="H85" t="s">
        <v>224</v>
      </c>
      <c r="I85">
        <v>17</v>
      </c>
      <c r="J85">
        <v>20</v>
      </c>
      <c r="K85">
        <v>124028</v>
      </c>
      <c r="L85">
        <v>2.5</v>
      </c>
      <c r="M85" t="s">
        <v>21</v>
      </c>
      <c r="N85">
        <v>68</v>
      </c>
      <c r="O85">
        <f t="shared" si="16"/>
        <v>917</v>
      </c>
      <c r="P85">
        <f t="shared" si="17"/>
        <v>456</v>
      </c>
      <c r="Q85">
        <f t="shared" si="18"/>
        <v>461</v>
      </c>
      <c r="R85">
        <f t="shared" si="19"/>
        <v>49.650349650349654</v>
      </c>
      <c r="S85" s="1">
        <f t="shared" si="20"/>
        <v>50.24975024975025</v>
      </c>
      <c r="T85" s="1">
        <f t="shared" si="21"/>
        <v>429</v>
      </c>
      <c r="U85" s="1">
        <f t="shared" si="22"/>
        <v>488</v>
      </c>
      <c r="V85" s="1">
        <f t="shared" si="23"/>
        <v>47.5</v>
      </c>
      <c r="W85" s="1">
        <f t="shared" si="24"/>
        <v>52.5</v>
      </c>
      <c r="X85" s="1">
        <f t="shared" si="25"/>
        <v>15.162486368593239</v>
      </c>
      <c r="Y85" s="1">
        <f t="shared" si="26"/>
        <v>149</v>
      </c>
      <c r="Z85" s="1">
        <f t="shared" si="27"/>
        <v>141</v>
      </c>
      <c r="AA85" s="1">
        <f t="shared" si="28"/>
        <v>3.6375838926174495</v>
      </c>
      <c r="AB85" s="1">
        <f t="shared" si="29"/>
        <v>3.387234042553191</v>
      </c>
      <c r="AC85" s="1">
        <f t="shared" si="30"/>
        <v>1</v>
      </c>
      <c r="AD85" s="1">
        <f t="shared" si="31"/>
        <v>4.3991734392606896E-2</v>
      </c>
    </row>
    <row r="86" spans="1:30" x14ac:dyDescent="0.35">
      <c r="A86" t="s">
        <v>225</v>
      </c>
      <c r="B86" t="s">
        <v>45</v>
      </c>
      <c r="C86" t="s">
        <v>24</v>
      </c>
      <c r="D86" t="s">
        <v>25</v>
      </c>
      <c r="E86">
        <v>34</v>
      </c>
      <c r="F86" t="s">
        <v>31</v>
      </c>
      <c r="G86" t="s">
        <v>26</v>
      </c>
      <c r="H86" t="s">
        <v>226</v>
      </c>
      <c r="I86">
        <v>12</v>
      </c>
      <c r="J86">
        <v>14</v>
      </c>
      <c r="K86">
        <v>261065</v>
      </c>
      <c r="L86">
        <v>4.5</v>
      </c>
      <c r="M86" t="s">
        <v>43</v>
      </c>
      <c r="N86">
        <v>100</v>
      </c>
      <c r="O86">
        <f t="shared" si="16"/>
        <v>916</v>
      </c>
      <c r="P86">
        <f t="shared" si="17"/>
        <v>456</v>
      </c>
      <c r="Q86">
        <f t="shared" si="18"/>
        <v>460</v>
      </c>
      <c r="R86">
        <f t="shared" si="19"/>
        <v>49.650349650349654</v>
      </c>
      <c r="S86" s="1">
        <f t="shared" si="20"/>
        <v>50.24975024975025</v>
      </c>
      <c r="T86" s="1">
        <f t="shared" si="21"/>
        <v>428</v>
      </c>
      <c r="U86" s="1">
        <f t="shared" si="22"/>
        <v>488</v>
      </c>
      <c r="V86" s="1">
        <f t="shared" si="23"/>
        <v>47.5</v>
      </c>
      <c r="W86" s="1">
        <f t="shared" si="24"/>
        <v>52.5</v>
      </c>
      <c r="X86" s="1">
        <f t="shared" si="25"/>
        <v>15.157205240174672</v>
      </c>
      <c r="Y86" s="1">
        <f t="shared" si="26"/>
        <v>149</v>
      </c>
      <c r="Z86" s="1">
        <f t="shared" si="27"/>
        <v>141</v>
      </c>
      <c r="AA86" s="1">
        <f t="shared" si="28"/>
        <v>3.6375838926174495</v>
      </c>
      <c r="AB86" s="1">
        <f t="shared" si="29"/>
        <v>3.387234042553191</v>
      </c>
      <c r="AC86" s="1">
        <f t="shared" si="30"/>
        <v>0</v>
      </c>
      <c r="AD86" s="1">
        <f t="shared" si="31"/>
        <v>4.3216167794424255E-2</v>
      </c>
    </row>
    <row r="87" spans="1:30" x14ac:dyDescent="0.35">
      <c r="A87" t="s">
        <v>227</v>
      </c>
      <c r="B87" t="s">
        <v>96</v>
      </c>
      <c r="C87" t="s">
        <v>36</v>
      </c>
      <c r="D87" t="s">
        <v>25</v>
      </c>
      <c r="E87">
        <v>59</v>
      </c>
      <c r="F87" t="s">
        <v>70</v>
      </c>
      <c r="G87" t="s">
        <v>26</v>
      </c>
      <c r="H87" t="s">
        <v>228</v>
      </c>
      <c r="I87">
        <v>17</v>
      </c>
      <c r="J87">
        <v>21</v>
      </c>
      <c r="K87">
        <v>486099</v>
      </c>
      <c r="L87">
        <v>4</v>
      </c>
      <c r="M87" t="s">
        <v>43</v>
      </c>
      <c r="N87">
        <v>75</v>
      </c>
      <c r="O87">
        <f t="shared" si="16"/>
        <v>915</v>
      </c>
      <c r="P87">
        <f t="shared" si="17"/>
        <v>456</v>
      </c>
      <c r="Q87">
        <f t="shared" si="18"/>
        <v>459</v>
      </c>
      <c r="R87">
        <f t="shared" si="19"/>
        <v>49.650349650349654</v>
      </c>
      <c r="S87" s="1">
        <f t="shared" si="20"/>
        <v>50.24975024975025</v>
      </c>
      <c r="T87" s="1">
        <f t="shared" si="21"/>
        <v>428</v>
      </c>
      <c r="U87" s="1">
        <f t="shared" si="22"/>
        <v>487</v>
      </c>
      <c r="V87" s="1">
        <f t="shared" si="23"/>
        <v>47.5</v>
      </c>
      <c r="W87" s="1">
        <f t="shared" si="24"/>
        <v>52.5</v>
      </c>
      <c r="X87" s="1">
        <f t="shared" si="25"/>
        <v>15.158469945355192</v>
      </c>
      <c r="Y87" s="1">
        <f t="shared" si="26"/>
        <v>149</v>
      </c>
      <c r="Z87" s="1">
        <f t="shared" si="27"/>
        <v>140</v>
      </c>
      <c r="AA87" s="1">
        <f t="shared" si="28"/>
        <v>3.6375838926174495</v>
      </c>
      <c r="AB87" s="1">
        <f t="shared" si="29"/>
        <v>3.379285714285714</v>
      </c>
      <c r="AC87" s="1">
        <f t="shared" si="30"/>
        <v>0</v>
      </c>
      <c r="AD87" s="1">
        <f t="shared" si="31"/>
        <v>4.3066366463682941E-2</v>
      </c>
    </row>
    <row r="88" spans="1:30" x14ac:dyDescent="0.35">
      <c r="A88" t="s">
        <v>229</v>
      </c>
      <c r="B88" t="s">
        <v>15</v>
      </c>
      <c r="C88" t="s">
        <v>93</v>
      </c>
      <c r="D88" t="s">
        <v>25</v>
      </c>
      <c r="E88">
        <v>31</v>
      </c>
      <c r="F88" t="s">
        <v>79</v>
      </c>
      <c r="G88" t="s">
        <v>71</v>
      </c>
      <c r="H88" t="s">
        <v>230</v>
      </c>
      <c r="I88">
        <v>0</v>
      </c>
      <c r="J88">
        <v>10</v>
      </c>
      <c r="K88">
        <v>364886</v>
      </c>
      <c r="L88">
        <v>2.2999999999999998</v>
      </c>
      <c r="M88" t="s">
        <v>43</v>
      </c>
      <c r="N88">
        <v>75</v>
      </c>
      <c r="O88">
        <f t="shared" si="16"/>
        <v>914</v>
      </c>
      <c r="P88">
        <f t="shared" si="17"/>
        <v>456</v>
      </c>
      <c r="Q88">
        <f t="shared" si="18"/>
        <v>458</v>
      </c>
      <c r="R88">
        <f t="shared" si="19"/>
        <v>49.650349650349654</v>
      </c>
      <c r="S88" s="1">
        <f t="shared" si="20"/>
        <v>50.24975024975025</v>
      </c>
      <c r="T88" s="1">
        <f t="shared" si="21"/>
        <v>428</v>
      </c>
      <c r="U88" s="1">
        <f t="shared" si="22"/>
        <v>486</v>
      </c>
      <c r="V88" s="1">
        <f t="shared" si="23"/>
        <v>47.5</v>
      </c>
      <c r="W88" s="1">
        <f t="shared" si="24"/>
        <v>52.5</v>
      </c>
      <c r="X88" s="1">
        <f t="shared" si="25"/>
        <v>15.152078774617069</v>
      </c>
      <c r="Y88" s="1">
        <f t="shared" si="26"/>
        <v>149</v>
      </c>
      <c r="Z88" s="1">
        <f t="shared" si="27"/>
        <v>140</v>
      </c>
      <c r="AA88" s="1">
        <f t="shared" si="28"/>
        <v>3.6375838926174495</v>
      </c>
      <c r="AB88" s="1">
        <f t="shared" si="29"/>
        <v>3.379285714285714</v>
      </c>
      <c r="AC88" s="1">
        <f t="shared" si="30"/>
        <v>0</v>
      </c>
      <c r="AD88" s="1">
        <f t="shared" si="31"/>
        <v>4.3969715774468503E-2</v>
      </c>
    </row>
    <row r="89" spans="1:30" x14ac:dyDescent="0.35">
      <c r="A89" t="s">
        <v>231</v>
      </c>
      <c r="B89" t="s">
        <v>15</v>
      </c>
      <c r="C89" t="s">
        <v>52</v>
      </c>
      <c r="D89" t="s">
        <v>25</v>
      </c>
      <c r="E89">
        <v>25</v>
      </c>
      <c r="F89" t="s">
        <v>37</v>
      </c>
      <c r="G89" t="s">
        <v>26</v>
      </c>
      <c r="H89" t="s">
        <v>232</v>
      </c>
      <c r="I89">
        <v>11</v>
      </c>
      <c r="J89">
        <v>14</v>
      </c>
      <c r="K89">
        <v>313310</v>
      </c>
      <c r="L89">
        <v>2.5</v>
      </c>
      <c r="M89" t="s">
        <v>43</v>
      </c>
      <c r="N89">
        <v>75</v>
      </c>
      <c r="O89">
        <f t="shared" si="16"/>
        <v>913</v>
      </c>
      <c r="P89">
        <f t="shared" si="17"/>
        <v>456</v>
      </c>
      <c r="Q89">
        <f t="shared" si="18"/>
        <v>457</v>
      </c>
      <c r="R89">
        <f t="shared" si="19"/>
        <v>49.650349650349654</v>
      </c>
      <c r="S89" s="1">
        <f t="shared" si="20"/>
        <v>50.24975024975025</v>
      </c>
      <c r="T89" s="1">
        <f t="shared" si="21"/>
        <v>428</v>
      </c>
      <c r="U89" s="1">
        <f t="shared" si="22"/>
        <v>485</v>
      </c>
      <c r="V89" s="1">
        <f t="shared" si="23"/>
        <v>47.5</v>
      </c>
      <c r="W89" s="1">
        <f t="shared" si="24"/>
        <v>52.5</v>
      </c>
      <c r="X89" s="1">
        <f t="shared" si="25"/>
        <v>15.157721796276013</v>
      </c>
      <c r="Y89" s="1">
        <f t="shared" si="26"/>
        <v>149</v>
      </c>
      <c r="Z89" s="1">
        <f t="shared" si="27"/>
        <v>140</v>
      </c>
      <c r="AA89" s="1">
        <f t="shared" si="28"/>
        <v>3.6375838926174495</v>
      </c>
      <c r="AB89" s="1">
        <f t="shared" si="29"/>
        <v>3.379285714285714</v>
      </c>
      <c r="AC89" s="1">
        <f t="shared" si="30"/>
        <v>0</v>
      </c>
      <c r="AD89" s="1">
        <f t="shared" si="31"/>
        <v>4.3239174716381029E-2</v>
      </c>
    </row>
    <row r="90" spans="1:30" x14ac:dyDescent="0.35">
      <c r="A90" t="s">
        <v>233</v>
      </c>
      <c r="B90" t="s">
        <v>15</v>
      </c>
      <c r="C90" t="s">
        <v>93</v>
      </c>
      <c r="D90" t="s">
        <v>25</v>
      </c>
      <c r="E90">
        <v>39</v>
      </c>
      <c r="F90" t="s">
        <v>18</v>
      </c>
      <c r="G90" t="s">
        <v>19</v>
      </c>
      <c r="H90" t="s">
        <v>234</v>
      </c>
      <c r="I90">
        <v>16</v>
      </c>
      <c r="J90">
        <v>24</v>
      </c>
      <c r="K90">
        <v>199525</v>
      </c>
      <c r="L90">
        <v>4.4000000000000004</v>
      </c>
      <c r="M90" t="s">
        <v>43</v>
      </c>
      <c r="N90">
        <v>83</v>
      </c>
      <c r="O90">
        <f t="shared" si="16"/>
        <v>912</v>
      </c>
      <c r="P90">
        <f t="shared" si="17"/>
        <v>456</v>
      </c>
      <c r="Q90">
        <f t="shared" si="18"/>
        <v>456</v>
      </c>
      <c r="R90">
        <f t="shared" si="19"/>
        <v>49.650349650349654</v>
      </c>
      <c r="S90" s="1">
        <f t="shared" si="20"/>
        <v>50.24975024975025</v>
      </c>
      <c r="T90" s="1">
        <f t="shared" si="21"/>
        <v>428</v>
      </c>
      <c r="U90" s="1">
        <f t="shared" si="22"/>
        <v>484</v>
      </c>
      <c r="V90" s="1">
        <f t="shared" si="23"/>
        <v>47.5</v>
      </c>
      <c r="W90" s="1">
        <f t="shared" si="24"/>
        <v>52.5</v>
      </c>
      <c r="X90" s="1">
        <f t="shared" si="25"/>
        <v>15.158991228070175</v>
      </c>
      <c r="Y90" s="1">
        <f t="shared" si="26"/>
        <v>149</v>
      </c>
      <c r="Z90" s="1">
        <f t="shared" si="27"/>
        <v>140</v>
      </c>
      <c r="AA90" s="1">
        <f t="shared" si="28"/>
        <v>3.6375838926174495</v>
      </c>
      <c r="AB90" s="1">
        <f t="shared" si="29"/>
        <v>3.379285714285714</v>
      </c>
      <c r="AC90" s="1">
        <f t="shared" si="30"/>
        <v>0</v>
      </c>
      <c r="AD90" s="1">
        <f t="shared" si="31"/>
        <v>4.3088572842276039E-2</v>
      </c>
    </row>
    <row r="91" spans="1:30" x14ac:dyDescent="0.35">
      <c r="A91" t="s">
        <v>235</v>
      </c>
      <c r="B91" t="s">
        <v>23</v>
      </c>
      <c r="C91" t="s">
        <v>56</v>
      </c>
      <c r="D91" t="s">
        <v>17</v>
      </c>
      <c r="E91">
        <v>23</v>
      </c>
      <c r="F91" t="s">
        <v>70</v>
      </c>
      <c r="G91" t="s">
        <v>71</v>
      </c>
      <c r="H91" t="s">
        <v>236</v>
      </c>
      <c r="I91">
        <v>20</v>
      </c>
      <c r="J91">
        <v>28</v>
      </c>
      <c r="K91">
        <v>90266</v>
      </c>
      <c r="L91">
        <v>3.7</v>
      </c>
      <c r="M91" t="s">
        <v>21</v>
      </c>
      <c r="N91">
        <v>67</v>
      </c>
      <c r="O91">
        <f t="shared" si="16"/>
        <v>911</v>
      </c>
      <c r="P91">
        <f t="shared" si="17"/>
        <v>456</v>
      </c>
      <c r="Q91">
        <f t="shared" si="18"/>
        <v>455</v>
      </c>
      <c r="R91">
        <f t="shared" si="19"/>
        <v>49.650349650349654</v>
      </c>
      <c r="S91" s="1">
        <f t="shared" si="20"/>
        <v>50.24975024975025</v>
      </c>
      <c r="T91" s="1">
        <f t="shared" si="21"/>
        <v>428</v>
      </c>
      <c r="U91" s="1">
        <f t="shared" si="22"/>
        <v>483</v>
      </c>
      <c r="V91" s="1">
        <f t="shared" si="23"/>
        <v>47.5</v>
      </c>
      <c r="W91" s="1">
        <f t="shared" si="24"/>
        <v>52.5</v>
      </c>
      <c r="X91" s="1">
        <f t="shared" si="25"/>
        <v>15.149286498353458</v>
      </c>
      <c r="Y91" s="1">
        <f t="shared" si="26"/>
        <v>149</v>
      </c>
      <c r="Z91" s="1">
        <f t="shared" si="27"/>
        <v>140</v>
      </c>
      <c r="AA91" s="1">
        <f t="shared" si="28"/>
        <v>3.6375838926174495</v>
      </c>
      <c r="AB91" s="1">
        <f t="shared" si="29"/>
        <v>3.379285714285714</v>
      </c>
      <c r="AC91" s="1">
        <f t="shared" si="30"/>
        <v>1</v>
      </c>
      <c r="AD91" s="1">
        <f t="shared" si="31"/>
        <v>4.4466302897312661E-2</v>
      </c>
    </row>
    <row r="92" spans="1:30" x14ac:dyDescent="0.35">
      <c r="A92" t="s">
        <v>237</v>
      </c>
      <c r="B92" t="s">
        <v>96</v>
      </c>
      <c r="C92" t="s">
        <v>30</v>
      </c>
      <c r="D92" t="s">
        <v>25</v>
      </c>
      <c r="E92">
        <v>38</v>
      </c>
      <c r="F92" t="s">
        <v>70</v>
      </c>
      <c r="G92" t="s">
        <v>19</v>
      </c>
      <c r="H92" t="s">
        <v>238</v>
      </c>
      <c r="I92">
        <v>19</v>
      </c>
      <c r="J92">
        <v>26</v>
      </c>
      <c r="K92">
        <v>385805</v>
      </c>
      <c r="L92">
        <v>5</v>
      </c>
      <c r="M92" t="s">
        <v>21</v>
      </c>
      <c r="N92">
        <v>30</v>
      </c>
      <c r="O92">
        <f t="shared" si="16"/>
        <v>910</v>
      </c>
      <c r="P92">
        <f t="shared" si="17"/>
        <v>455</v>
      </c>
      <c r="Q92">
        <f t="shared" si="18"/>
        <v>455</v>
      </c>
      <c r="R92">
        <f t="shared" si="19"/>
        <v>49.650349650349654</v>
      </c>
      <c r="S92" s="1">
        <f t="shared" si="20"/>
        <v>50.24975024975025</v>
      </c>
      <c r="T92" s="1">
        <f t="shared" si="21"/>
        <v>427</v>
      </c>
      <c r="U92" s="1">
        <f t="shared" si="22"/>
        <v>483</v>
      </c>
      <c r="V92" s="1">
        <f t="shared" si="23"/>
        <v>47.5</v>
      </c>
      <c r="W92" s="1">
        <f t="shared" si="24"/>
        <v>52.5</v>
      </c>
      <c r="X92" s="1">
        <f t="shared" si="25"/>
        <v>15.135164835164835</v>
      </c>
      <c r="Y92" s="1">
        <f t="shared" si="26"/>
        <v>149</v>
      </c>
      <c r="Z92" s="1">
        <f t="shared" si="27"/>
        <v>140</v>
      </c>
      <c r="AA92" s="1">
        <f t="shared" si="28"/>
        <v>3.6375838926174495</v>
      </c>
      <c r="AB92" s="1">
        <f t="shared" si="29"/>
        <v>3.379285714285714</v>
      </c>
      <c r="AC92" s="1">
        <f t="shared" si="30"/>
        <v>1</v>
      </c>
      <c r="AD92" s="1">
        <f t="shared" si="31"/>
        <v>4.2408001486182519E-2</v>
      </c>
    </row>
    <row r="93" spans="1:30" x14ac:dyDescent="0.35">
      <c r="A93" t="s">
        <v>239</v>
      </c>
      <c r="B93" t="s">
        <v>55</v>
      </c>
      <c r="C93" t="s">
        <v>52</v>
      </c>
      <c r="D93" t="s">
        <v>17</v>
      </c>
      <c r="E93">
        <v>60</v>
      </c>
      <c r="F93" t="s">
        <v>74</v>
      </c>
      <c r="G93" t="s">
        <v>61</v>
      </c>
      <c r="H93" t="s">
        <v>240</v>
      </c>
      <c r="I93">
        <v>20</v>
      </c>
      <c r="J93">
        <v>22</v>
      </c>
      <c r="K93">
        <v>268925</v>
      </c>
      <c r="L93">
        <v>4.7</v>
      </c>
      <c r="M93" t="s">
        <v>43</v>
      </c>
      <c r="N93">
        <v>82</v>
      </c>
      <c r="O93">
        <f t="shared" si="16"/>
        <v>909</v>
      </c>
      <c r="P93">
        <f t="shared" si="17"/>
        <v>455</v>
      </c>
      <c r="Q93">
        <f t="shared" si="18"/>
        <v>454</v>
      </c>
      <c r="R93">
        <f t="shared" si="19"/>
        <v>49.650349650349654</v>
      </c>
      <c r="S93" s="1">
        <f t="shared" si="20"/>
        <v>50.24975024975025</v>
      </c>
      <c r="T93" s="1">
        <f t="shared" si="21"/>
        <v>426</v>
      </c>
      <c r="U93" s="1">
        <f t="shared" si="22"/>
        <v>483</v>
      </c>
      <c r="V93" s="1">
        <f t="shared" si="23"/>
        <v>47.5</v>
      </c>
      <c r="W93" s="1">
        <f t="shared" si="24"/>
        <v>52.5</v>
      </c>
      <c r="X93" s="1">
        <f t="shared" si="25"/>
        <v>15.123212321232122</v>
      </c>
      <c r="Y93" s="1">
        <f t="shared" si="26"/>
        <v>149</v>
      </c>
      <c r="Z93" s="1">
        <f t="shared" si="27"/>
        <v>140</v>
      </c>
      <c r="AA93" s="1">
        <f t="shared" si="28"/>
        <v>3.6375838926174495</v>
      </c>
      <c r="AB93" s="1">
        <f t="shared" si="29"/>
        <v>3.379285714285714</v>
      </c>
      <c r="AC93" s="1">
        <f t="shared" si="30"/>
        <v>0</v>
      </c>
      <c r="AD93" s="1">
        <f t="shared" si="31"/>
        <v>4.0651564794901479E-2</v>
      </c>
    </row>
    <row r="94" spans="1:30" x14ac:dyDescent="0.35">
      <c r="A94" t="s">
        <v>241</v>
      </c>
      <c r="B94" t="s">
        <v>40</v>
      </c>
      <c r="C94" t="s">
        <v>36</v>
      </c>
      <c r="D94" t="s">
        <v>17</v>
      </c>
      <c r="E94">
        <v>52</v>
      </c>
      <c r="F94" t="s">
        <v>37</v>
      </c>
      <c r="G94" t="s">
        <v>26</v>
      </c>
      <c r="H94" t="s">
        <v>242</v>
      </c>
      <c r="I94">
        <v>4</v>
      </c>
      <c r="J94">
        <v>9</v>
      </c>
      <c r="K94">
        <v>98609</v>
      </c>
      <c r="L94">
        <v>2.2000000000000002</v>
      </c>
      <c r="M94" t="s">
        <v>21</v>
      </c>
      <c r="N94">
        <v>63</v>
      </c>
      <c r="O94">
        <f t="shared" si="16"/>
        <v>908</v>
      </c>
      <c r="P94">
        <f t="shared" si="17"/>
        <v>454</v>
      </c>
      <c r="Q94">
        <f t="shared" si="18"/>
        <v>454</v>
      </c>
      <c r="R94">
        <f t="shared" si="19"/>
        <v>49.650349650349654</v>
      </c>
      <c r="S94" s="1">
        <f t="shared" si="20"/>
        <v>50.24975024975025</v>
      </c>
      <c r="T94" s="1">
        <f t="shared" si="21"/>
        <v>426</v>
      </c>
      <c r="U94" s="1">
        <f t="shared" si="22"/>
        <v>482</v>
      </c>
      <c r="V94" s="1">
        <f t="shared" si="23"/>
        <v>47.5</v>
      </c>
      <c r="W94" s="1">
        <f t="shared" si="24"/>
        <v>52.5</v>
      </c>
      <c r="X94" s="1">
        <f t="shared" si="25"/>
        <v>15.115638766519824</v>
      </c>
      <c r="Y94" s="1">
        <f t="shared" si="26"/>
        <v>148</v>
      </c>
      <c r="Z94" s="1">
        <f t="shared" si="27"/>
        <v>140</v>
      </c>
      <c r="AA94" s="1">
        <f t="shared" si="28"/>
        <v>3.6304054054054049</v>
      </c>
      <c r="AB94" s="1">
        <f t="shared" si="29"/>
        <v>3.379285714285714</v>
      </c>
      <c r="AC94" s="1">
        <f t="shared" si="30"/>
        <v>1</v>
      </c>
      <c r="AD94" s="1">
        <f t="shared" si="31"/>
        <v>4.1723128379960818E-2</v>
      </c>
    </row>
    <row r="95" spans="1:30" x14ac:dyDescent="0.35">
      <c r="A95" t="s">
        <v>243</v>
      </c>
      <c r="B95" t="s">
        <v>40</v>
      </c>
      <c r="C95" t="s">
        <v>82</v>
      </c>
      <c r="D95" t="s">
        <v>17</v>
      </c>
      <c r="E95">
        <v>60</v>
      </c>
      <c r="F95" t="s">
        <v>31</v>
      </c>
      <c r="G95" t="s">
        <v>32</v>
      </c>
      <c r="H95" t="s">
        <v>244</v>
      </c>
      <c r="I95">
        <v>19</v>
      </c>
      <c r="J95">
        <v>20</v>
      </c>
      <c r="K95">
        <v>327080</v>
      </c>
      <c r="L95">
        <v>3.4</v>
      </c>
      <c r="M95" t="s">
        <v>43</v>
      </c>
      <c r="N95">
        <v>77</v>
      </c>
      <c r="O95">
        <f t="shared" si="16"/>
        <v>907</v>
      </c>
      <c r="P95">
        <f t="shared" si="17"/>
        <v>453</v>
      </c>
      <c r="Q95">
        <f t="shared" si="18"/>
        <v>454</v>
      </c>
      <c r="R95">
        <f t="shared" si="19"/>
        <v>49.650349650349654</v>
      </c>
      <c r="S95" s="1">
        <f t="shared" si="20"/>
        <v>50.24975024975025</v>
      </c>
      <c r="T95" s="1">
        <f t="shared" si="21"/>
        <v>425</v>
      </c>
      <c r="U95" s="1">
        <f t="shared" si="22"/>
        <v>482</v>
      </c>
      <c r="V95" s="1">
        <f t="shared" si="23"/>
        <v>47.5</v>
      </c>
      <c r="W95" s="1">
        <f t="shared" si="24"/>
        <v>52.5</v>
      </c>
      <c r="X95" s="1">
        <f t="shared" si="25"/>
        <v>15.122381477398015</v>
      </c>
      <c r="Y95" s="1">
        <f t="shared" si="26"/>
        <v>148</v>
      </c>
      <c r="Z95" s="1">
        <f t="shared" si="27"/>
        <v>140</v>
      </c>
      <c r="AA95" s="1">
        <f t="shared" si="28"/>
        <v>3.6304054054054049</v>
      </c>
      <c r="AB95" s="1">
        <f t="shared" si="29"/>
        <v>3.379285714285714</v>
      </c>
      <c r="AC95" s="1">
        <f t="shared" si="30"/>
        <v>0</v>
      </c>
      <c r="AD95" s="1">
        <f t="shared" si="31"/>
        <v>4.2805471914685415E-2</v>
      </c>
    </row>
    <row r="96" spans="1:30" x14ac:dyDescent="0.35">
      <c r="A96" t="s">
        <v>245</v>
      </c>
      <c r="B96" t="s">
        <v>60</v>
      </c>
      <c r="C96" t="s">
        <v>49</v>
      </c>
      <c r="D96" t="s">
        <v>25</v>
      </c>
      <c r="E96">
        <v>46</v>
      </c>
      <c r="F96" t="s">
        <v>37</v>
      </c>
      <c r="G96" t="s">
        <v>32</v>
      </c>
      <c r="H96" t="s">
        <v>246</v>
      </c>
      <c r="I96">
        <v>3</v>
      </c>
      <c r="J96">
        <v>11</v>
      </c>
      <c r="K96">
        <v>322762</v>
      </c>
      <c r="L96">
        <v>4.8</v>
      </c>
      <c r="M96" t="s">
        <v>43</v>
      </c>
      <c r="N96">
        <v>73</v>
      </c>
      <c r="O96">
        <f t="shared" si="16"/>
        <v>906</v>
      </c>
      <c r="P96">
        <f t="shared" si="17"/>
        <v>452</v>
      </c>
      <c r="Q96">
        <f t="shared" si="18"/>
        <v>454</v>
      </c>
      <c r="R96">
        <f t="shared" si="19"/>
        <v>49.650349650349654</v>
      </c>
      <c r="S96" s="1">
        <f t="shared" si="20"/>
        <v>50.24975024975025</v>
      </c>
      <c r="T96" s="1">
        <f t="shared" si="21"/>
        <v>425</v>
      </c>
      <c r="U96" s="1">
        <f t="shared" si="22"/>
        <v>481</v>
      </c>
      <c r="V96" s="1">
        <f t="shared" si="23"/>
        <v>47.5</v>
      </c>
      <c r="W96" s="1">
        <f t="shared" si="24"/>
        <v>52.5</v>
      </c>
      <c r="X96" s="1">
        <f t="shared" si="25"/>
        <v>15.116997792494482</v>
      </c>
      <c r="Y96" s="1">
        <f t="shared" si="26"/>
        <v>148</v>
      </c>
      <c r="Z96" s="1">
        <f t="shared" si="27"/>
        <v>139</v>
      </c>
      <c r="AA96" s="1">
        <f t="shared" si="28"/>
        <v>3.6304054054054049</v>
      </c>
      <c r="AB96" s="1">
        <f t="shared" si="29"/>
        <v>3.3791366906474813</v>
      </c>
      <c r="AC96" s="1">
        <f t="shared" si="30"/>
        <v>0</v>
      </c>
      <c r="AD96" s="1">
        <f t="shared" si="31"/>
        <v>4.3569609534867E-2</v>
      </c>
    </row>
    <row r="97" spans="1:30" x14ac:dyDescent="0.35">
      <c r="A97" t="s">
        <v>247</v>
      </c>
      <c r="B97" t="s">
        <v>96</v>
      </c>
      <c r="C97" t="s">
        <v>16</v>
      </c>
      <c r="D97" t="s">
        <v>17</v>
      </c>
      <c r="E97">
        <v>21</v>
      </c>
      <c r="F97" t="s">
        <v>74</v>
      </c>
      <c r="G97" t="s">
        <v>41</v>
      </c>
      <c r="H97" t="s">
        <v>248</v>
      </c>
      <c r="I97">
        <v>5</v>
      </c>
      <c r="J97">
        <v>13</v>
      </c>
      <c r="K97">
        <v>194943</v>
      </c>
      <c r="L97">
        <v>4.5</v>
      </c>
      <c r="M97" t="s">
        <v>21</v>
      </c>
      <c r="N97">
        <v>66</v>
      </c>
      <c r="O97">
        <f t="shared" si="16"/>
        <v>905</v>
      </c>
      <c r="P97">
        <f t="shared" si="17"/>
        <v>452</v>
      </c>
      <c r="Q97">
        <f t="shared" si="18"/>
        <v>453</v>
      </c>
      <c r="R97">
        <f t="shared" si="19"/>
        <v>49.650349650349654</v>
      </c>
      <c r="S97" s="1">
        <f t="shared" si="20"/>
        <v>50.24975024975025</v>
      </c>
      <c r="T97" s="1">
        <f t="shared" si="21"/>
        <v>425</v>
      </c>
      <c r="U97" s="1">
        <f t="shared" si="22"/>
        <v>480</v>
      </c>
      <c r="V97" s="1">
        <f t="shared" si="23"/>
        <v>47.5</v>
      </c>
      <c r="W97" s="1">
        <f t="shared" si="24"/>
        <v>52.5</v>
      </c>
      <c r="X97" s="1">
        <f t="shared" si="25"/>
        <v>15.121546961325967</v>
      </c>
      <c r="Y97" s="1">
        <f t="shared" si="26"/>
        <v>148</v>
      </c>
      <c r="Z97" s="1">
        <f t="shared" si="27"/>
        <v>139</v>
      </c>
      <c r="AA97" s="1">
        <f t="shared" si="28"/>
        <v>3.6304054054054049</v>
      </c>
      <c r="AB97" s="1">
        <f t="shared" si="29"/>
        <v>3.3791366906474813</v>
      </c>
      <c r="AC97" s="1">
        <f t="shared" si="30"/>
        <v>1</v>
      </c>
      <c r="AD97" s="1">
        <f t="shared" si="31"/>
        <v>4.2980865501896802E-2</v>
      </c>
    </row>
    <row r="98" spans="1:30" x14ac:dyDescent="0.35">
      <c r="A98" t="s">
        <v>249</v>
      </c>
      <c r="B98" t="s">
        <v>60</v>
      </c>
      <c r="C98" t="s">
        <v>56</v>
      </c>
      <c r="D98" t="s">
        <v>25</v>
      </c>
      <c r="E98">
        <v>32</v>
      </c>
      <c r="F98" t="s">
        <v>18</v>
      </c>
      <c r="G98" t="s">
        <v>85</v>
      </c>
      <c r="H98" t="s">
        <v>250</v>
      </c>
      <c r="I98">
        <v>20</v>
      </c>
      <c r="J98">
        <v>22</v>
      </c>
      <c r="K98">
        <v>297786</v>
      </c>
      <c r="L98">
        <v>4.7</v>
      </c>
      <c r="M98" t="s">
        <v>43</v>
      </c>
      <c r="N98">
        <v>90</v>
      </c>
      <c r="O98">
        <f t="shared" si="16"/>
        <v>904</v>
      </c>
      <c r="P98">
        <f t="shared" si="17"/>
        <v>451</v>
      </c>
      <c r="Q98">
        <f t="shared" si="18"/>
        <v>453</v>
      </c>
      <c r="R98">
        <f t="shared" si="19"/>
        <v>49.650349650349654</v>
      </c>
      <c r="S98" s="1">
        <f t="shared" si="20"/>
        <v>50.24975024975025</v>
      </c>
      <c r="T98" s="1">
        <f t="shared" si="21"/>
        <v>424</v>
      </c>
      <c r="U98" s="1">
        <f t="shared" si="22"/>
        <v>480</v>
      </c>
      <c r="V98" s="1">
        <f t="shared" si="23"/>
        <v>47.5</v>
      </c>
      <c r="W98" s="1">
        <f t="shared" si="24"/>
        <v>52.5</v>
      </c>
      <c r="X98" s="1">
        <f t="shared" si="25"/>
        <v>15.123893805309734</v>
      </c>
      <c r="Y98" s="1">
        <f t="shared" si="26"/>
        <v>147</v>
      </c>
      <c r="Z98" s="1">
        <f t="shared" si="27"/>
        <v>139</v>
      </c>
      <c r="AA98" s="1">
        <f t="shared" si="28"/>
        <v>3.6244897959183668</v>
      </c>
      <c r="AB98" s="1">
        <f t="shared" si="29"/>
        <v>3.3791366906474813</v>
      </c>
      <c r="AC98" s="1">
        <f t="shared" si="30"/>
        <v>0</v>
      </c>
      <c r="AD98" s="1">
        <f t="shared" si="31"/>
        <v>4.3370621560503163E-2</v>
      </c>
    </row>
    <row r="99" spans="1:30" x14ac:dyDescent="0.35">
      <c r="A99" t="s">
        <v>251</v>
      </c>
      <c r="B99" t="s">
        <v>15</v>
      </c>
      <c r="C99" t="s">
        <v>36</v>
      </c>
      <c r="D99" t="s">
        <v>17</v>
      </c>
      <c r="E99">
        <v>56</v>
      </c>
      <c r="F99" t="s">
        <v>37</v>
      </c>
      <c r="G99" t="s">
        <v>19</v>
      </c>
      <c r="H99" t="s">
        <v>252</v>
      </c>
      <c r="I99">
        <v>12</v>
      </c>
      <c r="J99">
        <v>20</v>
      </c>
      <c r="K99">
        <v>268495</v>
      </c>
      <c r="L99">
        <v>4.3</v>
      </c>
      <c r="M99" t="s">
        <v>43</v>
      </c>
      <c r="N99">
        <v>87</v>
      </c>
      <c r="O99">
        <f t="shared" si="16"/>
        <v>903</v>
      </c>
      <c r="P99">
        <f t="shared" si="17"/>
        <v>451</v>
      </c>
      <c r="Q99">
        <f t="shared" si="18"/>
        <v>452</v>
      </c>
      <c r="R99">
        <f t="shared" si="19"/>
        <v>49.650349650349654</v>
      </c>
      <c r="S99" s="1">
        <f t="shared" si="20"/>
        <v>50.24975024975025</v>
      </c>
      <c r="T99" s="1">
        <f t="shared" si="21"/>
        <v>424</v>
      </c>
      <c r="U99" s="1">
        <f t="shared" si="22"/>
        <v>479</v>
      </c>
      <c r="V99" s="1">
        <f t="shared" si="23"/>
        <v>47.5</v>
      </c>
      <c r="W99" s="1">
        <f t="shared" si="24"/>
        <v>52.5</v>
      </c>
      <c r="X99" s="1">
        <f t="shared" si="25"/>
        <v>15.116279069767442</v>
      </c>
      <c r="Y99" s="1">
        <f t="shared" si="26"/>
        <v>147</v>
      </c>
      <c r="Z99" s="1">
        <f t="shared" si="27"/>
        <v>139</v>
      </c>
      <c r="AA99" s="1">
        <f t="shared" si="28"/>
        <v>3.6244897959183668</v>
      </c>
      <c r="AB99" s="1">
        <f t="shared" si="29"/>
        <v>3.3791366906474813</v>
      </c>
      <c r="AC99" s="1">
        <f t="shared" si="30"/>
        <v>0</v>
      </c>
      <c r="AD99" s="1">
        <f t="shared" si="31"/>
        <v>4.4450294483703509E-2</v>
      </c>
    </row>
    <row r="100" spans="1:30" x14ac:dyDescent="0.35">
      <c r="A100" t="s">
        <v>253</v>
      </c>
      <c r="B100" t="s">
        <v>29</v>
      </c>
      <c r="C100" t="s">
        <v>49</v>
      </c>
      <c r="D100" t="s">
        <v>17</v>
      </c>
      <c r="E100">
        <v>52</v>
      </c>
      <c r="F100" t="s">
        <v>31</v>
      </c>
      <c r="G100" t="s">
        <v>71</v>
      </c>
      <c r="H100" t="s">
        <v>254</v>
      </c>
      <c r="I100">
        <v>8</v>
      </c>
      <c r="J100">
        <v>18</v>
      </c>
      <c r="K100">
        <v>174766</v>
      </c>
      <c r="L100">
        <v>4</v>
      </c>
      <c r="M100" t="s">
        <v>21</v>
      </c>
      <c r="N100">
        <v>50</v>
      </c>
      <c r="O100">
        <f t="shared" si="16"/>
        <v>902</v>
      </c>
      <c r="P100">
        <f t="shared" si="17"/>
        <v>450</v>
      </c>
      <c r="Q100">
        <f t="shared" si="18"/>
        <v>452</v>
      </c>
      <c r="R100">
        <f t="shared" si="19"/>
        <v>49.650349650349654</v>
      </c>
      <c r="S100" s="1">
        <f t="shared" si="20"/>
        <v>50.24975024975025</v>
      </c>
      <c r="T100" s="1">
        <f t="shared" si="21"/>
        <v>424</v>
      </c>
      <c r="U100" s="1">
        <f t="shared" si="22"/>
        <v>478</v>
      </c>
      <c r="V100" s="1">
        <f t="shared" si="23"/>
        <v>47.5</v>
      </c>
      <c r="W100" s="1">
        <f t="shared" si="24"/>
        <v>52.5</v>
      </c>
      <c r="X100" s="1">
        <f t="shared" si="25"/>
        <v>15.110864745011087</v>
      </c>
      <c r="Y100" s="1">
        <f t="shared" si="26"/>
        <v>147</v>
      </c>
      <c r="Z100" s="1">
        <f t="shared" si="27"/>
        <v>139</v>
      </c>
      <c r="AA100" s="1">
        <f t="shared" si="28"/>
        <v>3.6244897959183668</v>
      </c>
      <c r="AB100" s="1">
        <f t="shared" si="29"/>
        <v>3.3791366906474813</v>
      </c>
      <c r="AC100" s="1">
        <f t="shared" si="30"/>
        <v>1</v>
      </c>
      <c r="AD100" s="1">
        <f t="shared" si="31"/>
        <v>4.5220680743350498E-2</v>
      </c>
    </row>
    <row r="101" spans="1:30" x14ac:dyDescent="0.35">
      <c r="A101" t="s">
        <v>255</v>
      </c>
      <c r="B101" t="s">
        <v>96</v>
      </c>
      <c r="C101" t="s">
        <v>82</v>
      </c>
      <c r="D101" t="s">
        <v>17</v>
      </c>
      <c r="E101">
        <v>23</v>
      </c>
      <c r="F101" t="s">
        <v>37</v>
      </c>
      <c r="G101" t="s">
        <v>26</v>
      </c>
      <c r="H101" t="s">
        <v>256</v>
      </c>
      <c r="I101">
        <v>18</v>
      </c>
      <c r="J101">
        <v>26</v>
      </c>
      <c r="K101">
        <v>169828</v>
      </c>
      <c r="L101">
        <v>2.9</v>
      </c>
      <c r="M101" t="s">
        <v>21</v>
      </c>
      <c r="N101">
        <v>34</v>
      </c>
      <c r="O101">
        <f t="shared" si="16"/>
        <v>901</v>
      </c>
      <c r="P101">
        <f t="shared" si="17"/>
        <v>449</v>
      </c>
      <c r="Q101">
        <f t="shared" si="18"/>
        <v>452</v>
      </c>
      <c r="R101">
        <f t="shared" si="19"/>
        <v>49.650349650349654</v>
      </c>
      <c r="S101" s="1">
        <f t="shared" si="20"/>
        <v>50.24975024975025</v>
      </c>
      <c r="T101" s="1">
        <f t="shared" si="21"/>
        <v>423</v>
      </c>
      <c r="U101" s="1">
        <f t="shared" si="22"/>
        <v>478</v>
      </c>
      <c r="V101" s="1">
        <f t="shared" si="23"/>
        <v>47.5</v>
      </c>
      <c r="W101" s="1">
        <f t="shared" si="24"/>
        <v>52.5</v>
      </c>
      <c r="X101" s="1">
        <f t="shared" si="25"/>
        <v>15.107658157602664</v>
      </c>
      <c r="Y101" s="1">
        <f t="shared" si="26"/>
        <v>147</v>
      </c>
      <c r="Z101" s="1">
        <f t="shared" si="27"/>
        <v>138</v>
      </c>
      <c r="AA101" s="1">
        <f t="shared" si="28"/>
        <v>3.6244897959183668</v>
      </c>
      <c r="AB101" s="1">
        <f t="shared" si="29"/>
        <v>3.3746376811594199</v>
      </c>
      <c r="AC101" s="1">
        <f t="shared" si="30"/>
        <v>1</v>
      </c>
      <c r="AD101" s="1">
        <f t="shared" si="31"/>
        <v>4.4761415877607763E-2</v>
      </c>
    </row>
    <row r="102" spans="1:30" x14ac:dyDescent="0.35">
      <c r="A102" t="s">
        <v>257</v>
      </c>
      <c r="B102" t="s">
        <v>35</v>
      </c>
      <c r="C102" t="s">
        <v>24</v>
      </c>
      <c r="D102" t="s">
        <v>25</v>
      </c>
      <c r="E102">
        <v>49</v>
      </c>
      <c r="F102" t="s">
        <v>46</v>
      </c>
      <c r="G102" t="s">
        <v>19</v>
      </c>
      <c r="H102" t="s">
        <v>258</v>
      </c>
      <c r="I102">
        <v>8</v>
      </c>
      <c r="J102">
        <v>10</v>
      </c>
      <c r="K102">
        <v>448239</v>
      </c>
      <c r="L102">
        <v>4.8</v>
      </c>
      <c r="M102" t="s">
        <v>21</v>
      </c>
      <c r="N102">
        <v>62</v>
      </c>
      <c r="O102">
        <f t="shared" si="16"/>
        <v>900</v>
      </c>
      <c r="P102">
        <f t="shared" si="17"/>
        <v>448</v>
      </c>
      <c r="Q102">
        <f t="shared" si="18"/>
        <v>452</v>
      </c>
      <c r="R102">
        <f t="shared" si="19"/>
        <v>49.650349650349654</v>
      </c>
      <c r="S102" s="1">
        <f t="shared" si="20"/>
        <v>50.24975024975025</v>
      </c>
      <c r="T102" s="1">
        <f t="shared" si="21"/>
        <v>422</v>
      </c>
      <c r="U102" s="1">
        <f t="shared" si="22"/>
        <v>478</v>
      </c>
      <c r="V102" s="1">
        <f t="shared" si="23"/>
        <v>47.5</v>
      </c>
      <c r="W102" s="1">
        <f t="shared" si="24"/>
        <v>52.5</v>
      </c>
      <c r="X102" s="1">
        <f t="shared" si="25"/>
        <v>15.095555555555556</v>
      </c>
      <c r="Y102" s="1">
        <f t="shared" si="26"/>
        <v>147</v>
      </c>
      <c r="Z102" s="1">
        <f t="shared" si="27"/>
        <v>138</v>
      </c>
      <c r="AA102" s="1">
        <f t="shared" si="28"/>
        <v>3.6244897959183668</v>
      </c>
      <c r="AB102" s="1">
        <f t="shared" si="29"/>
        <v>3.3746376811594199</v>
      </c>
      <c r="AC102" s="1">
        <f t="shared" si="30"/>
        <v>1</v>
      </c>
      <c r="AD102" s="1">
        <f t="shared" si="31"/>
        <v>4.2990665869934198E-2</v>
      </c>
    </row>
    <row r="103" spans="1:30" x14ac:dyDescent="0.35">
      <c r="A103" t="s">
        <v>259</v>
      </c>
      <c r="B103" t="s">
        <v>35</v>
      </c>
      <c r="C103" t="s">
        <v>82</v>
      </c>
      <c r="D103" t="s">
        <v>25</v>
      </c>
      <c r="E103">
        <v>33</v>
      </c>
      <c r="F103" t="s">
        <v>46</v>
      </c>
      <c r="G103" t="s">
        <v>71</v>
      </c>
      <c r="H103" t="s">
        <v>260</v>
      </c>
      <c r="I103">
        <v>10</v>
      </c>
      <c r="J103">
        <v>13</v>
      </c>
      <c r="K103">
        <v>452076</v>
      </c>
      <c r="L103">
        <v>3.7</v>
      </c>
      <c r="M103" t="s">
        <v>21</v>
      </c>
      <c r="N103">
        <v>49</v>
      </c>
      <c r="O103">
        <f t="shared" si="16"/>
        <v>899</v>
      </c>
      <c r="P103">
        <f t="shared" si="17"/>
        <v>448</v>
      </c>
      <c r="Q103">
        <f t="shared" si="18"/>
        <v>451</v>
      </c>
      <c r="R103">
        <f t="shared" si="19"/>
        <v>49.650349650349654</v>
      </c>
      <c r="S103" s="1">
        <f t="shared" si="20"/>
        <v>50.24975024975025</v>
      </c>
      <c r="T103" s="1">
        <f t="shared" si="21"/>
        <v>421</v>
      </c>
      <c r="U103" s="1">
        <f t="shared" si="22"/>
        <v>478</v>
      </c>
      <c r="V103" s="1">
        <f t="shared" si="23"/>
        <v>47.5</v>
      </c>
      <c r="W103" s="1">
        <f t="shared" si="24"/>
        <v>52.5</v>
      </c>
      <c r="X103" s="1">
        <f t="shared" si="25"/>
        <v>15.101223581757509</v>
      </c>
      <c r="Y103" s="1">
        <f t="shared" si="26"/>
        <v>147</v>
      </c>
      <c r="Z103" s="1">
        <f t="shared" si="27"/>
        <v>138</v>
      </c>
      <c r="AA103" s="1">
        <f t="shared" si="28"/>
        <v>3.6244897959183668</v>
      </c>
      <c r="AB103" s="1">
        <f t="shared" si="29"/>
        <v>3.3746376811594199</v>
      </c>
      <c r="AC103" s="1">
        <f t="shared" si="30"/>
        <v>1</v>
      </c>
      <c r="AD103" s="1">
        <f t="shared" si="31"/>
        <v>4.3902881915826787E-2</v>
      </c>
    </row>
    <row r="104" spans="1:30" x14ac:dyDescent="0.35">
      <c r="A104" t="s">
        <v>261</v>
      </c>
      <c r="B104" t="s">
        <v>35</v>
      </c>
      <c r="C104" t="s">
        <v>49</v>
      </c>
      <c r="D104" t="s">
        <v>25</v>
      </c>
      <c r="E104">
        <v>23</v>
      </c>
      <c r="F104" t="s">
        <v>74</v>
      </c>
      <c r="G104" t="s">
        <v>85</v>
      </c>
      <c r="H104" t="s">
        <v>262</v>
      </c>
      <c r="I104">
        <v>12</v>
      </c>
      <c r="J104">
        <v>14</v>
      </c>
      <c r="K104">
        <v>239767</v>
      </c>
      <c r="L104">
        <v>4.2</v>
      </c>
      <c r="M104" t="s">
        <v>43</v>
      </c>
      <c r="N104">
        <v>98</v>
      </c>
      <c r="O104">
        <f t="shared" si="16"/>
        <v>898</v>
      </c>
      <c r="P104">
        <f t="shared" si="17"/>
        <v>448</v>
      </c>
      <c r="Q104">
        <f t="shared" si="18"/>
        <v>450</v>
      </c>
      <c r="R104">
        <f t="shared" si="19"/>
        <v>49.650349650349654</v>
      </c>
      <c r="S104" s="1">
        <f t="shared" si="20"/>
        <v>50.24975024975025</v>
      </c>
      <c r="T104" s="1">
        <f t="shared" si="21"/>
        <v>420</v>
      </c>
      <c r="U104" s="1">
        <f t="shared" si="22"/>
        <v>478</v>
      </c>
      <c r="V104" s="1">
        <f t="shared" si="23"/>
        <v>47.5</v>
      </c>
      <c r="W104" s="1">
        <f t="shared" si="24"/>
        <v>52.5</v>
      </c>
      <c r="X104" s="1">
        <f t="shared" si="25"/>
        <v>15.103563474387528</v>
      </c>
      <c r="Y104" s="1">
        <f t="shared" si="26"/>
        <v>147</v>
      </c>
      <c r="Z104" s="1">
        <f t="shared" si="27"/>
        <v>138</v>
      </c>
      <c r="AA104" s="1">
        <f t="shared" si="28"/>
        <v>3.6244897959183668</v>
      </c>
      <c r="AB104" s="1">
        <f t="shared" si="29"/>
        <v>3.3746376811594199</v>
      </c>
      <c r="AC104" s="1">
        <f t="shared" si="30"/>
        <v>0</v>
      </c>
      <c r="AD104" s="1">
        <f t="shared" si="31"/>
        <v>4.4293201097454396E-2</v>
      </c>
    </row>
    <row r="105" spans="1:30" x14ac:dyDescent="0.35">
      <c r="A105" t="s">
        <v>263</v>
      </c>
      <c r="B105" t="s">
        <v>29</v>
      </c>
      <c r="C105" t="s">
        <v>56</v>
      </c>
      <c r="D105" t="s">
        <v>17</v>
      </c>
      <c r="E105">
        <v>23</v>
      </c>
      <c r="F105" t="s">
        <v>46</v>
      </c>
      <c r="G105" t="s">
        <v>19</v>
      </c>
      <c r="H105" t="s">
        <v>264</v>
      </c>
      <c r="I105">
        <v>2</v>
      </c>
      <c r="J105">
        <v>2</v>
      </c>
      <c r="K105">
        <v>214708</v>
      </c>
      <c r="L105">
        <v>4.9000000000000004</v>
      </c>
      <c r="M105" t="s">
        <v>43</v>
      </c>
      <c r="N105">
        <v>87</v>
      </c>
      <c r="O105">
        <f t="shared" si="16"/>
        <v>897</v>
      </c>
      <c r="P105">
        <f t="shared" si="17"/>
        <v>448</v>
      </c>
      <c r="Q105">
        <f t="shared" si="18"/>
        <v>449</v>
      </c>
      <c r="R105">
        <f t="shared" si="19"/>
        <v>49.650349650349654</v>
      </c>
      <c r="S105" s="1">
        <f t="shared" si="20"/>
        <v>50.24975024975025</v>
      </c>
      <c r="T105" s="1">
        <f t="shared" si="21"/>
        <v>420</v>
      </c>
      <c r="U105" s="1">
        <f t="shared" si="22"/>
        <v>477</v>
      </c>
      <c r="V105" s="1">
        <f t="shared" si="23"/>
        <v>47.5</v>
      </c>
      <c r="W105" s="1">
        <f t="shared" si="24"/>
        <v>52.5</v>
      </c>
      <c r="X105" s="1">
        <f t="shared" si="25"/>
        <v>15.10479375696767</v>
      </c>
      <c r="Y105" s="1">
        <f t="shared" si="26"/>
        <v>146</v>
      </c>
      <c r="Z105" s="1">
        <f t="shared" si="27"/>
        <v>138</v>
      </c>
      <c r="AA105" s="1">
        <f t="shared" si="28"/>
        <v>3.6205479452054794</v>
      </c>
      <c r="AB105" s="1">
        <f t="shared" si="29"/>
        <v>3.3746376811594199</v>
      </c>
      <c r="AC105" s="1">
        <f t="shared" si="30"/>
        <v>0</v>
      </c>
      <c r="AD105" s="1">
        <f t="shared" si="31"/>
        <v>4.4149005854259703E-2</v>
      </c>
    </row>
    <row r="106" spans="1:30" x14ac:dyDescent="0.35">
      <c r="A106" t="s">
        <v>265</v>
      </c>
      <c r="B106" t="s">
        <v>96</v>
      </c>
      <c r="C106" t="s">
        <v>82</v>
      </c>
      <c r="D106" t="s">
        <v>17</v>
      </c>
      <c r="E106">
        <v>60</v>
      </c>
      <c r="F106" t="s">
        <v>31</v>
      </c>
      <c r="G106" t="s">
        <v>19</v>
      </c>
      <c r="H106" t="s">
        <v>266</v>
      </c>
      <c r="I106">
        <v>0</v>
      </c>
      <c r="J106">
        <v>2</v>
      </c>
      <c r="K106">
        <v>139046</v>
      </c>
      <c r="L106">
        <v>3.7</v>
      </c>
      <c r="M106" t="s">
        <v>43</v>
      </c>
      <c r="N106">
        <v>73</v>
      </c>
      <c r="O106">
        <f t="shared" si="16"/>
        <v>896</v>
      </c>
      <c r="P106">
        <f t="shared" si="17"/>
        <v>447</v>
      </c>
      <c r="Q106">
        <f t="shared" si="18"/>
        <v>449</v>
      </c>
      <c r="R106">
        <f t="shared" si="19"/>
        <v>49.650349650349654</v>
      </c>
      <c r="S106" s="1">
        <f t="shared" si="20"/>
        <v>50.24975024975025</v>
      </c>
      <c r="T106" s="1">
        <f t="shared" si="21"/>
        <v>420</v>
      </c>
      <c r="U106" s="1">
        <f t="shared" si="22"/>
        <v>476</v>
      </c>
      <c r="V106" s="1">
        <f t="shared" si="23"/>
        <v>47.5</v>
      </c>
      <c r="W106" s="1">
        <f t="shared" si="24"/>
        <v>52.5</v>
      </c>
      <c r="X106" s="1">
        <f t="shared" si="25"/>
        <v>15.119419642857142</v>
      </c>
      <c r="Y106" s="1">
        <f t="shared" si="26"/>
        <v>146</v>
      </c>
      <c r="Z106" s="1">
        <f t="shared" si="27"/>
        <v>138</v>
      </c>
      <c r="AA106" s="1">
        <f t="shared" si="28"/>
        <v>3.6205479452054794</v>
      </c>
      <c r="AB106" s="1">
        <f t="shared" si="29"/>
        <v>3.3746376811594199</v>
      </c>
      <c r="AC106" s="1">
        <f t="shared" si="30"/>
        <v>0</v>
      </c>
      <c r="AD106" s="1">
        <f t="shared" si="31"/>
        <v>4.2274362444636823E-2</v>
      </c>
    </row>
    <row r="107" spans="1:30" x14ac:dyDescent="0.35">
      <c r="A107" t="s">
        <v>267</v>
      </c>
      <c r="B107" t="s">
        <v>55</v>
      </c>
      <c r="C107" t="s">
        <v>64</v>
      </c>
      <c r="D107" t="s">
        <v>25</v>
      </c>
      <c r="E107">
        <v>24</v>
      </c>
      <c r="F107" t="s">
        <v>46</v>
      </c>
      <c r="G107" t="s">
        <v>26</v>
      </c>
      <c r="H107" t="s">
        <v>268</v>
      </c>
      <c r="I107">
        <v>2</v>
      </c>
      <c r="J107">
        <v>4</v>
      </c>
      <c r="K107">
        <v>433508</v>
      </c>
      <c r="L107">
        <v>4.5999999999999996</v>
      </c>
      <c r="M107" t="s">
        <v>21</v>
      </c>
      <c r="N107">
        <v>63</v>
      </c>
      <c r="O107">
        <f t="shared" si="16"/>
        <v>895</v>
      </c>
      <c r="P107">
        <f t="shared" si="17"/>
        <v>446</v>
      </c>
      <c r="Q107">
        <f t="shared" si="18"/>
        <v>449</v>
      </c>
      <c r="R107">
        <f t="shared" si="19"/>
        <v>49.650349650349654</v>
      </c>
      <c r="S107" s="1">
        <f t="shared" si="20"/>
        <v>50.24975024975025</v>
      </c>
      <c r="T107" s="1">
        <f t="shared" si="21"/>
        <v>420</v>
      </c>
      <c r="U107" s="1">
        <f t="shared" si="22"/>
        <v>475</v>
      </c>
      <c r="V107" s="1">
        <f t="shared" si="23"/>
        <v>47.5</v>
      </c>
      <c r="W107" s="1">
        <f t="shared" si="24"/>
        <v>52.5</v>
      </c>
      <c r="X107" s="1">
        <f t="shared" si="25"/>
        <v>15.134078212290502</v>
      </c>
      <c r="Y107" s="1">
        <f t="shared" si="26"/>
        <v>146</v>
      </c>
      <c r="Z107" s="1">
        <f t="shared" si="27"/>
        <v>137</v>
      </c>
      <c r="AA107" s="1">
        <f t="shared" si="28"/>
        <v>3.6205479452054794</v>
      </c>
      <c r="AB107" s="1">
        <f t="shared" si="29"/>
        <v>3.3722627737226274</v>
      </c>
      <c r="AC107" s="1">
        <f t="shared" si="30"/>
        <v>1</v>
      </c>
      <c r="AD107" s="1">
        <f t="shared" si="31"/>
        <v>4.038622106457302E-2</v>
      </c>
    </row>
    <row r="108" spans="1:30" x14ac:dyDescent="0.35">
      <c r="A108" t="s">
        <v>269</v>
      </c>
      <c r="B108" t="s">
        <v>40</v>
      </c>
      <c r="C108" t="s">
        <v>56</v>
      </c>
      <c r="D108" t="s">
        <v>25</v>
      </c>
      <c r="E108">
        <v>23</v>
      </c>
      <c r="F108" t="s">
        <v>46</v>
      </c>
      <c r="G108" t="s">
        <v>88</v>
      </c>
      <c r="H108" t="s">
        <v>270</v>
      </c>
      <c r="I108">
        <v>16</v>
      </c>
      <c r="J108">
        <v>25</v>
      </c>
      <c r="K108">
        <v>74469</v>
      </c>
      <c r="L108">
        <v>4.9000000000000004</v>
      </c>
      <c r="M108" t="s">
        <v>21</v>
      </c>
      <c r="N108">
        <v>41</v>
      </c>
      <c r="O108">
        <f t="shared" si="16"/>
        <v>894</v>
      </c>
      <c r="P108">
        <f t="shared" si="17"/>
        <v>446</v>
      </c>
      <c r="Q108">
        <f t="shared" si="18"/>
        <v>448</v>
      </c>
      <c r="R108">
        <f t="shared" si="19"/>
        <v>49.650349650349654</v>
      </c>
      <c r="S108" s="1">
        <f t="shared" si="20"/>
        <v>50.24975024975025</v>
      </c>
      <c r="T108" s="1">
        <f t="shared" si="21"/>
        <v>419</v>
      </c>
      <c r="U108" s="1">
        <f t="shared" si="22"/>
        <v>475</v>
      </c>
      <c r="V108" s="1">
        <f t="shared" si="23"/>
        <v>47.5</v>
      </c>
      <c r="W108" s="1">
        <f t="shared" si="24"/>
        <v>52.5</v>
      </c>
      <c r="X108" s="1">
        <f t="shared" si="25"/>
        <v>15.146532438478747</v>
      </c>
      <c r="Y108" s="1">
        <f t="shared" si="26"/>
        <v>146</v>
      </c>
      <c r="Z108" s="1">
        <f t="shared" si="27"/>
        <v>137</v>
      </c>
      <c r="AA108" s="1">
        <f t="shared" si="28"/>
        <v>3.6205479452054794</v>
      </c>
      <c r="AB108" s="1">
        <f t="shared" si="29"/>
        <v>3.3722627737226274</v>
      </c>
      <c r="AC108" s="1">
        <f t="shared" si="30"/>
        <v>1</v>
      </c>
      <c r="AD108" s="1">
        <f t="shared" si="31"/>
        <v>4.2390679228082796E-2</v>
      </c>
    </row>
    <row r="109" spans="1:30" x14ac:dyDescent="0.35">
      <c r="A109" t="s">
        <v>271</v>
      </c>
      <c r="B109" t="s">
        <v>69</v>
      </c>
      <c r="C109" t="s">
        <v>30</v>
      </c>
      <c r="D109" t="s">
        <v>25</v>
      </c>
      <c r="E109">
        <v>56</v>
      </c>
      <c r="F109" t="s">
        <v>74</v>
      </c>
      <c r="G109" t="s">
        <v>61</v>
      </c>
      <c r="H109" t="s">
        <v>272</v>
      </c>
      <c r="I109">
        <v>4</v>
      </c>
      <c r="J109">
        <v>8</v>
      </c>
      <c r="K109">
        <v>343107</v>
      </c>
      <c r="L109">
        <v>3.2</v>
      </c>
      <c r="M109" t="s">
        <v>43</v>
      </c>
      <c r="N109">
        <v>91</v>
      </c>
      <c r="O109">
        <f t="shared" si="16"/>
        <v>893</v>
      </c>
      <c r="P109">
        <f t="shared" si="17"/>
        <v>446</v>
      </c>
      <c r="Q109">
        <f t="shared" si="18"/>
        <v>447</v>
      </c>
      <c r="R109">
        <f t="shared" si="19"/>
        <v>49.650349650349654</v>
      </c>
      <c r="S109" s="1">
        <f t="shared" si="20"/>
        <v>50.24975024975025</v>
      </c>
      <c r="T109" s="1">
        <f t="shared" si="21"/>
        <v>418</v>
      </c>
      <c r="U109" s="1">
        <f t="shared" si="22"/>
        <v>475</v>
      </c>
      <c r="V109" s="1">
        <f t="shared" si="23"/>
        <v>47.5</v>
      </c>
      <c r="W109" s="1">
        <f t="shared" si="24"/>
        <v>52.5</v>
      </c>
      <c r="X109" s="1">
        <f t="shared" si="25"/>
        <v>15.135498320268757</v>
      </c>
      <c r="Y109" s="1">
        <f t="shared" si="26"/>
        <v>146</v>
      </c>
      <c r="Z109" s="1">
        <f t="shared" si="27"/>
        <v>137</v>
      </c>
      <c r="AA109" s="1">
        <f t="shared" si="28"/>
        <v>3.6205479452054794</v>
      </c>
      <c r="AB109" s="1">
        <f t="shared" si="29"/>
        <v>3.3722627737226274</v>
      </c>
      <c r="AC109" s="1">
        <f t="shared" si="30"/>
        <v>0</v>
      </c>
      <c r="AD109" s="1">
        <f t="shared" si="31"/>
        <v>4.0761845119201091E-2</v>
      </c>
    </row>
    <row r="110" spans="1:30" x14ac:dyDescent="0.35">
      <c r="A110" t="s">
        <v>273</v>
      </c>
      <c r="B110" t="s">
        <v>29</v>
      </c>
      <c r="C110" t="s">
        <v>24</v>
      </c>
      <c r="D110" t="s">
        <v>25</v>
      </c>
      <c r="E110">
        <v>35</v>
      </c>
      <c r="F110" t="s">
        <v>18</v>
      </c>
      <c r="G110" t="s">
        <v>57</v>
      </c>
      <c r="H110" t="s">
        <v>274</v>
      </c>
      <c r="I110">
        <v>19</v>
      </c>
      <c r="J110">
        <v>28</v>
      </c>
      <c r="K110">
        <v>322139</v>
      </c>
      <c r="L110">
        <v>4.8</v>
      </c>
      <c r="M110" t="s">
        <v>43</v>
      </c>
      <c r="N110">
        <v>79</v>
      </c>
      <c r="O110">
        <f t="shared" si="16"/>
        <v>892</v>
      </c>
      <c r="P110">
        <f t="shared" si="17"/>
        <v>446</v>
      </c>
      <c r="Q110">
        <f t="shared" si="18"/>
        <v>446</v>
      </c>
      <c r="R110">
        <f t="shared" si="19"/>
        <v>49.650349650349654</v>
      </c>
      <c r="S110" s="1">
        <f t="shared" si="20"/>
        <v>50.24975024975025</v>
      </c>
      <c r="T110" s="1">
        <f t="shared" si="21"/>
        <v>418</v>
      </c>
      <c r="U110" s="1">
        <f t="shared" si="22"/>
        <v>474</v>
      </c>
      <c r="V110" s="1">
        <f t="shared" si="23"/>
        <v>47.5</v>
      </c>
      <c r="W110" s="1">
        <f t="shared" si="24"/>
        <v>52.5</v>
      </c>
      <c r="X110" s="1">
        <f t="shared" si="25"/>
        <v>15.143497757847534</v>
      </c>
      <c r="Y110" s="1">
        <f t="shared" si="26"/>
        <v>145</v>
      </c>
      <c r="Z110" s="1">
        <f t="shared" si="27"/>
        <v>137</v>
      </c>
      <c r="AA110" s="1">
        <f t="shared" si="28"/>
        <v>3.623448275862069</v>
      </c>
      <c r="AB110" s="1">
        <f t="shared" si="29"/>
        <v>3.3722627737226274</v>
      </c>
      <c r="AC110" s="1">
        <f t="shared" si="30"/>
        <v>0</v>
      </c>
      <c r="AD110" s="1">
        <f t="shared" si="31"/>
        <v>3.9717994183505946E-2</v>
      </c>
    </row>
    <row r="111" spans="1:30" x14ac:dyDescent="0.35">
      <c r="A111" t="s">
        <v>275</v>
      </c>
      <c r="B111" t="s">
        <v>23</v>
      </c>
      <c r="C111" t="s">
        <v>52</v>
      </c>
      <c r="D111" t="s">
        <v>17</v>
      </c>
      <c r="E111">
        <v>31</v>
      </c>
      <c r="F111" t="s">
        <v>31</v>
      </c>
      <c r="G111" t="s">
        <v>19</v>
      </c>
      <c r="H111" t="s">
        <v>276</v>
      </c>
      <c r="I111">
        <v>3</v>
      </c>
      <c r="J111">
        <v>9</v>
      </c>
      <c r="K111">
        <v>314669</v>
      </c>
      <c r="L111">
        <v>4.8</v>
      </c>
      <c r="M111" t="s">
        <v>43</v>
      </c>
      <c r="N111">
        <v>87</v>
      </c>
      <c r="O111">
        <f t="shared" si="16"/>
        <v>891</v>
      </c>
      <c r="P111">
        <f t="shared" si="17"/>
        <v>446</v>
      </c>
      <c r="Q111">
        <f t="shared" si="18"/>
        <v>445</v>
      </c>
      <c r="R111">
        <f t="shared" si="19"/>
        <v>49.650349650349654</v>
      </c>
      <c r="S111" s="1">
        <f t="shared" si="20"/>
        <v>50.24975024975025</v>
      </c>
      <c r="T111" s="1">
        <f t="shared" si="21"/>
        <v>418</v>
      </c>
      <c r="U111" s="1">
        <f t="shared" si="22"/>
        <v>473</v>
      </c>
      <c r="V111" s="1">
        <f t="shared" si="23"/>
        <v>47.5</v>
      </c>
      <c r="W111" s="1">
        <f t="shared" si="24"/>
        <v>52.5</v>
      </c>
      <c r="X111" s="1">
        <f t="shared" si="25"/>
        <v>15.129068462401795</v>
      </c>
      <c r="Y111" s="1">
        <f t="shared" si="26"/>
        <v>145</v>
      </c>
      <c r="Z111" s="1">
        <f t="shared" si="27"/>
        <v>137</v>
      </c>
      <c r="AA111" s="1">
        <f t="shared" si="28"/>
        <v>3.623448275862069</v>
      </c>
      <c r="AB111" s="1">
        <f t="shared" si="29"/>
        <v>3.3722627737226274</v>
      </c>
      <c r="AC111" s="1">
        <f t="shared" si="30"/>
        <v>0</v>
      </c>
      <c r="AD111" s="1">
        <f t="shared" si="31"/>
        <v>4.1783370604612312E-2</v>
      </c>
    </row>
    <row r="112" spans="1:30" x14ac:dyDescent="0.35">
      <c r="A112" t="s">
        <v>277</v>
      </c>
      <c r="B112" t="s">
        <v>45</v>
      </c>
      <c r="C112" t="s">
        <v>82</v>
      </c>
      <c r="D112" t="s">
        <v>17</v>
      </c>
      <c r="E112">
        <v>46</v>
      </c>
      <c r="F112" t="s">
        <v>74</v>
      </c>
      <c r="G112" t="s">
        <v>26</v>
      </c>
      <c r="H112" t="s">
        <v>278</v>
      </c>
      <c r="I112">
        <v>11</v>
      </c>
      <c r="J112">
        <v>18</v>
      </c>
      <c r="K112">
        <v>282370</v>
      </c>
      <c r="L112">
        <v>4.9000000000000004</v>
      </c>
      <c r="M112" t="s">
        <v>43</v>
      </c>
      <c r="N112">
        <v>88</v>
      </c>
      <c r="O112">
        <f t="shared" si="16"/>
        <v>890</v>
      </c>
      <c r="P112">
        <f t="shared" si="17"/>
        <v>445</v>
      </c>
      <c r="Q112">
        <f t="shared" si="18"/>
        <v>445</v>
      </c>
      <c r="R112">
        <f t="shared" si="19"/>
        <v>49.650349650349654</v>
      </c>
      <c r="S112" s="1">
        <f t="shared" si="20"/>
        <v>50.24975024975025</v>
      </c>
      <c r="T112" s="1">
        <f t="shared" si="21"/>
        <v>418</v>
      </c>
      <c r="U112" s="1">
        <f t="shared" si="22"/>
        <v>472</v>
      </c>
      <c r="V112" s="1">
        <f t="shared" si="23"/>
        <v>47.5</v>
      </c>
      <c r="W112" s="1">
        <f t="shared" si="24"/>
        <v>52.5</v>
      </c>
      <c r="X112" s="1">
        <f t="shared" si="25"/>
        <v>15.135955056179775</v>
      </c>
      <c r="Y112" s="1">
        <f t="shared" si="26"/>
        <v>145</v>
      </c>
      <c r="Z112" s="1">
        <f t="shared" si="27"/>
        <v>136</v>
      </c>
      <c r="AA112" s="1">
        <f t="shared" si="28"/>
        <v>3.623448275862069</v>
      </c>
      <c r="AB112" s="1">
        <f t="shared" si="29"/>
        <v>3.3617647058823525</v>
      </c>
      <c r="AC112" s="1">
        <f t="shared" si="30"/>
        <v>0</v>
      </c>
      <c r="AD112" s="1">
        <f t="shared" si="31"/>
        <v>4.0882525855458707E-2</v>
      </c>
    </row>
    <row r="113" spans="1:30" x14ac:dyDescent="0.35">
      <c r="A113" t="s">
        <v>279</v>
      </c>
      <c r="B113" t="s">
        <v>111</v>
      </c>
      <c r="C113" t="s">
        <v>64</v>
      </c>
      <c r="D113" t="s">
        <v>25</v>
      </c>
      <c r="E113">
        <v>55</v>
      </c>
      <c r="F113" t="s">
        <v>74</v>
      </c>
      <c r="G113" t="s">
        <v>88</v>
      </c>
      <c r="H113" t="s">
        <v>280</v>
      </c>
      <c r="I113">
        <v>20</v>
      </c>
      <c r="J113">
        <v>27</v>
      </c>
      <c r="K113">
        <v>100801</v>
      </c>
      <c r="L113">
        <v>2.7</v>
      </c>
      <c r="M113" t="s">
        <v>43</v>
      </c>
      <c r="N113">
        <v>84</v>
      </c>
      <c r="O113">
        <f t="shared" si="16"/>
        <v>889</v>
      </c>
      <c r="P113">
        <f t="shared" si="17"/>
        <v>444</v>
      </c>
      <c r="Q113">
        <f t="shared" si="18"/>
        <v>445</v>
      </c>
      <c r="R113">
        <f t="shared" si="19"/>
        <v>49.650349650349654</v>
      </c>
      <c r="S113" s="1">
        <f t="shared" si="20"/>
        <v>50.24975024975025</v>
      </c>
      <c r="T113" s="1">
        <f t="shared" si="21"/>
        <v>418</v>
      </c>
      <c r="U113" s="1">
        <f t="shared" si="22"/>
        <v>471</v>
      </c>
      <c r="V113" s="1">
        <f t="shared" si="23"/>
        <v>47.5</v>
      </c>
      <c r="W113" s="1">
        <f t="shared" si="24"/>
        <v>52.5</v>
      </c>
      <c r="X113" s="1">
        <f t="shared" si="25"/>
        <v>15.13273340832396</v>
      </c>
      <c r="Y113" s="1">
        <f t="shared" si="26"/>
        <v>144</v>
      </c>
      <c r="Z113" s="1">
        <f t="shared" si="27"/>
        <v>136</v>
      </c>
      <c r="AA113" s="1">
        <f t="shared" si="28"/>
        <v>3.6145833333333335</v>
      </c>
      <c r="AB113" s="1">
        <f t="shared" si="29"/>
        <v>3.3617647058823525</v>
      </c>
      <c r="AC113" s="1">
        <f t="shared" si="30"/>
        <v>0</v>
      </c>
      <c r="AD113" s="1">
        <f t="shared" si="31"/>
        <v>4.1346972496067953E-2</v>
      </c>
    </row>
    <row r="114" spans="1:30" x14ac:dyDescent="0.35">
      <c r="A114" t="s">
        <v>281</v>
      </c>
      <c r="B114" t="s">
        <v>60</v>
      </c>
      <c r="C114" t="s">
        <v>64</v>
      </c>
      <c r="D114" t="s">
        <v>17</v>
      </c>
      <c r="E114">
        <v>48</v>
      </c>
      <c r="F114" t="s">
        <v>31</v>
      </c>
      <c r="G114" t="s">
        <v>19</v>
      </c>
      <c r="H114" t="s">
        <v>282</v>
      </c>
      <c r="I114">
        <v>8</v>
      </c>
      <c r="J114">
        <v>10</v>
      </c>
      <c r="K114">
        <v>395431</v>
      </c>
      <c r="L114">
        <v>3.5</v>
      </c>
      <c r="M114" t="s">
        <v>43</v>
      </c>
      <c r="N114">
        <v>89</v>
      </c>
      <c r="O114">
        <f t="shared" si="16"/>
        <v>888</v>
      </c>
      <c r="P114">
        <f t="shared" si="17"/>
        <v>444</v>
      </c>
      <c r="Q114">
        <f t="shared" si="18"/>
        <v>444</v>
      </c>
      <c r="R114">
        <f t="shared" si="19"/>
        <v>49.650349650349654</v>
      </c>
      <c r="S114" s="1">
        <f t="shared" si="20"/>
        <v>50.24975024975025</v>
      </c>
      <c r="T114" s="1">
        <f t="shared" si="21"/>
        <v>418</v>
      </c>
      <c r="U114" s="1">
        <f t="shared" si="22"/>
        <v>470</v>
      </c>
      <c r="V114" s="1">
        <f t="shared" si="23"/>
        <v>47.5</v>
      </c>
      <c r="W114" s="1">
        <f t="shared" si="24"/>
        <v>52.5</v>
      </c>
      <c r="X114" s="1">
        <f t="shared" si="25"/>
        <v>15.11936936936937</v>
      </c>
      <c r="Y114" s="1">
        <f t="shared" si="26"/>
        <v>143</v>
      </c>
      <c r="Z114" s="1">
        <f t="shared" si="27"/>
        <v>136</v>
      </c>
      <c r="AA114" s="1">
        <f t="shared" si="28"/>
        <v>3.6209790209790214</v>
      </c>
      <c r="AB114" s="1">
        <f t="shared" si="29"/>
        <v>3.3617647058823525</v>
      </c>
      <c r="AC114" s="1">
        <f t="shared" si="30"/>
        <v>0</v>
      </c>
      <c r="AD114" s="1">
        <f t="shared" si="31"/>
        <v>4.3266372424639245E-2</v>
      </c>
    </row>
    <row r="115" spans="1:30" x14ac:dyDescent="0.35">
      <c r="A115" t="s">
        <v>283</v>
      </c>
      <c r="B115" t="s">
        <v>23</v>
      </c>
      <c r="C115" t="s">
        <v>49</v>
      </c>
      <c r="D115" t="s">
        <v>17</v>
      </c>
      <c r="E115">
        <v>56</v>
      </c>
      <c r="F115" t="s">
        <v>70</v>
      </c>
      <c r="G115" t="s">
        <v>32</v>
      </c>
      <c r="H115" t="s">
        <v>284</v>
      </c>
      <c r="I115">
        <v>0</v>
      </c>
      <c r="J115">
        <v>10</v>
      </c>
      <c r="K115">
        <v>72629</v>
      </c>
      <c r="L115">
        <v>3.6</v>
      </c>
      <c r="M115" t="s">
        <v>43</v>
      </c>
      <c r="N115">
        <v>93</v>
      </c>
      <c r="O115">
        <f t="shared" si="16"/>
        <v>887</v>
      </c>
      <c r="P115">
        <f t="shared" si="17"/>
        <v>443</v>
      </c>
      <c r="Q115">
        <f t="shared" si="18"/>
        <v>444</v>
      </c>
      <c r="R115">
        <f t="shared" si="19"/>
        <v>49.650349650349654</v>
      </c>
      <c r="S115" s="1">
        <f t="shared" si="20"/>
        <v>50.24975024975025</v>
      </c>
      <c r="T115" s="1">
        <f t="shared" si="21"/>
        <v>418</v>
      </c>
      <c r="U115" s="1">
        <f t="shared" si="22"/>
        <v>469</v>
      </c>
      <c r="V115" s="1">
        <f t="shared" si="23"/>
        <v>47.5</v>
      </c>
      <c r="W115" s="1">
        <f t="shared" si="24"/>
        <v>52.5</v>
      </c>
      <c r="X115" s="1">
        <f t="shared" si="25"/>
        <v>15.125140924464487</v>
      </c>
      <c r="Y115" s="1">
        <f t="shared" si="26"/>
        <v>143</v>
      </c>
      <c r="Z115" s="1">
        <f t="shared" si="27"/>
        <v>135</v>
      </c>
      <c r="AA115" s="1">
        <f t="shared" si="28"/>
        <v>3.6209790209790214</v>
      </c>
      <c r="AB115" s="1">
        <f t="shared" si="29"/>
        <v>3.3607407407407397</v>
      </c>
      <c r="AC115" s="1">
        <f t="shared" si="30"/>
        <v>0</v>
      </c>
      <c r="AD115" s="1">
        <f t="shared" si="31"/>
        <v>4.2510778546548493E-2</v>
      </c>
    </row>
    <row r="116" spans="1:30" x14ac:dyDescent="0.35">
      <c r="A116" t="s">
        <v>285</v>
      </c>
      <c r="B116" t="s">
        <v>35</v>
      </c>
      <c r="C116" t="s">
        <v>56</v>
      </c>
      <c r="D116" t="s">
        <v>25</v>
      </c>
      <c r="E116">
        <v>60</v>
      </c>
      <c r="F116" t="s">
        <v>79</v>
      </c>
      <c r="G116" t="s">
        <v>85</v>
      </c>
      <c r="H116" t="s">
        <v>286</v>
      </c>
      <c r="I116">
        <v>5</v>
      </c>
      <c r="J116">
        <v>5</v>
      </c>
      <c r="K116">
        <v>407326</v>
      </c>
      <c r="L116">
        <v>4.3</v>
      </c>
      <c r="M116" t="s">
        <v>43</v>
      </c>
      <c r="N116">
        <v>79</v>
      </c>
      <c r="O116">
        <f t="shared" si="16"/>
        <v>886</v>
      </c>
      <c r="P116">
        <f t="shared" si="17"/>
        <v>442</v>
      </c>
      <c r="Q116">
        <f t="shared" si="18"/>
        <v>444</v>
      </c>
      <c r="R116">
        <f t="shared" si="19"/>
        <v>49.650349650349654</v>
      </c>
      <c r="S116" s="1">
        <f t="shared" si="20"/>
        <v>50.24975024975025</v>
      </c>
      <c r="T116" s="1">
        <f t="shared" si="21"/>
        <v>418</v>
      </c>
      <c r="U116" s="1">
        <f t="shared" si="22"/>
        <v>468</v>
      </c>
      <c r="V116" s="1">
        <f t="shared" si="23"/>
        <v>47.5</v>
      </c>
      <c r="W116" s="1">
        <f t="shared" si="24"/>
        <v>52.5</v>
      </c>
      <c r="X116" s="1">
        <f t="shared" si="25"/>
        <v>15.130925507900677</v>
      </c>
      <c r="Y116" s="1">
        <f t="shared" si="26"/>
        <v>143</v>
      </c>
      <c r="Z116" s="1">
        <f t="shared" si="27"/>
        <v>135</v>
      </c>
      <c r="AA116" s="1">
        <f t="shared" si="28"/>
        <v>3.6209790209790214</v>
      </c>
      <c r="AB116" s="1">
        <f t="shared" si="29"/>
        <v>3.3607407407407397</v>
      </c>
      <c r="AC116" s="1">
        <f t="shared" si="30"/>
        <v>0</v>
      </c>
      <c r="AD116" s="1">
        <f t="shared" si="31"/>
        <v>4.1752246271927557E-2</v>
      </c>
    </row>
    <row r="117" spans="1:30" x14ac:dyDescent="0.35">
      <c r="A117" t="s">
        <v>287</v>
      </c>
      <c r="B117" t="s">
        <v>78</v>
      </c>
      <c r="C117" t="s">
        <v>24</v>
      </c>
      <c r="D117" t="s">
        <v>25</v>
      </c>
      <c r="E117">
        <v>58</v>
      </c>
      <c r="F117" t="s">
        <v>18</v>
      </c>
      <c r="G117" t="s">
        <v>71</v>
      </c>
      <c r="H117" t="s">
        <v>288</v>
      </c>
      <c r="I117">
        <v>17</v>
      </c>
      <c r="J117">
        <v>21</v>
      </c>
      <c r="K117">
        <v>60301</v>
      </c>
      <c r="L117">
        <v>3.9</v>
      </c>
      <c r="M117" t="s">
        <v>21</v>
      </c>
      <c r="N117">
        <v>40</v>
      </c>
      <c r="O117">
        <f t="shared" si="16"/>
        <v>885</v>
      </c>
      <c r="P117">
        <f t="shared" si="17"/>
        <v>442</v>
      </c>
      <c r="Q117">
        <f t="shared" si="18"/>
        <v>443</v>
      </c>
      <c r="R117">
        <f t="shared" si="19"/>
        <v>49.650349650349654</v>
      </c>
      <c r="S117" s="1">
        <f t="shared" si="20"/>
        <v>50.24975024975025</v>
      </c>
      <c r="T117" s="1">
        <f t="shared" si="21"/>
        <v>418</v>
      </c>
      <c r="U117" s="1">
        <f t="shared" si="22"/>
        <v>467</v>
      </c>
      <c r="V117" s="1">
        <f t="shared" si="23"/>
        <v>47.5</v>
      </c>
      <c r="W117" s="1">
        <f t="shared" si="24"/>
        <v>52.5</v>
      </c>
      <c r="X117" s="1">
        <f t="shared" si="25"/>
        <v>15.142372881355932</v>
      </c>
      <c r="Y117" s="1">
        <f t="shared" si="26"/>
        <v>143</v>
      </c>
      <c r="Z117" s="1">
        <f t="shared" si="27"/>
        <v>135</v>
      </c>
      <c r="AA117" s="1">
        <f t="shared" si="28"/>
        <v>3.6209790209790214</v>
      </c>
      <c r="AB117" s="1">
        <f t="shared" si="29"/>
        <v>3.3607407407407397</v>
      </c>
      <c r="AC117" s="1">
        <f t="shared" si="30"/>
        <v>1</v>
      </c>
      <c r="AD117" s="1">
        <f t="shared" si="31"/>
        <v>4.0251975592084051E-2</v>
      </c>
    </row>
    <row r="118" spans="1:30" x14ac:dyDescent="0.35">
      <c r="A118" t="s">
        <v>289</v>
      </c>
      <c r="B118" t="s">
        <v>111</v>
      </c>
      <c r="C118" t="s">
        <v>24</v>
      </c>
      <c r="D118" t="s">
        <v>25</v>
      </c>
      <c r="E118">
        <v>24</v>
      </c>
      <c r="F118" t="s">
        <v>37</v>
      </c>
      <c r="G118" t="s">
        <v>88</v>
      </c>
      <c r="H118" t="s">
        <v>290</v>
      </c>
      <c r="I118">
        <v>9</v>
      </c>
      <c r="J118">
        <v>10</v>
      </c>
      <c r="K118">
        <v>173529</v>
      </c>
      <c r="L118">
        <v>2.7</v>
      </c>
      <c r="M118" t="s">
        <v>43</v>
      </c>
      <c r="N118">
        <v>73</v>
      </c>
      <c r="O118">
        <f t="shared" si="16"/>
        <v>884</v>
      </c>
      <c r="P118">
        <f t="shared" si="17"/>
        <v>442</v>
      </c>
      <c r="Q118">
        <f t="shared" si="18"/>
        <v>442</v>
      </c>
      <c r="R118">
        <f t="shared" si="19"/>
        <v>49.650349650349654</v>
      </c>
      <c r="S118" s="1">
        <f t="shared" si="20"/>
        <v>50.24975024975025</v>
      </c>
      <c r="T118" s="1">
        <f t="shared" si="21"/>
        <v>417</v>
      </c>
      <c r="U118" s="1">
        <f t="shared" si="22"/>
        <v>467</v>
      </c>
      <c r="V118" s="1">
        <f t="shared" si="23"/>
        <v>47.5</v>
      </c>
      <c r="W118" s="1">
        <f t="shared" si="24"/>
        <v>52.5</v>
      </c>
      <c r="X118" s="1">
        <f t="shared" si="25"/>
        <v>15.135746606334841</v>
      </c>
      <c r="Y118" s="1">
        <f t="shared" si="26"/>
        <v>143</v>
      </c>
      <c r="Z118" s="1">
        <f t="shared" si="27"/>
        <v>135</v>
      </c>
      <c r="AA118" s="1">
        <f t="shared" si="28"/>
        <v>3.6209790209790214</v>
      </c>
      <c r="AB118" s="1">
        <f t="shared" si="29"/>
        <v>3.3607407407407397</v>
      </c>
      <c r="AC118" s="1">
        <f t="shared" si="30"/>
        <v>0</v>
      </c>
      <c r="AD118" s="1">
        <f t="shared" si="31"/>
        <v>3.9275960862558634E-2</v>
      </c>
    </row>
    <row r="119" spans="1:30" x14ac:dyDescent="0.35">
      <c r="A119" t="s">
        <v>291</v>
      </c>
      <c r="B119" t="s">
        <v>55</v>
      </c>
      <c r="C119" t="s">
        <v>93</v>
      </c>
      <c r="D119" t="s">
        <v>25</v>
      </c>
      <c r="E119">
        <v>56</v>
      </c>
      <c r="F119" t="s">
        <v>70</v>
      </c>
      <c r="G119" t="s">
        <v>61</v>
      </c>
      <c r="H119" t="s">
        <v>292</v>
      </c>
      <c r="I119">
        <v>4</v>
      </c>
      <c r="J119">
        <v>14</v>
      </c>
      <c r="K119">
        <v>324161</v>
      </c>
      <c r="L119">
        <v>3.2</v>
      </c>
      <c r="M119" t="s">
        <v>43</v>
      </c>
      <c r="N119">
        <v>100</v>
      </c>
      <c r="O119">
        <f t="shared" si="16"/>
        <v>883</v>
      </c>
      <c r="P119">
        <f t="shared" si="17"/>
        <v>442</v>
      </c>
      <c r="Q119">
        <f t="shared" si="18"/>
        <v>441</v>
      </c>
      <c r="R119">
        <f t="shared" si="19"/>
        <v>49.650349650349654</v>
      </c>
      <c r="S119" s="1">
        <f t="shared" si="20"/>
        <v>50.24975024975025</v>
      </c>
      <c r="T119" s="1">
        <f t="shared" si="21"/>
        <v>417</v>
      </c>
      <c r="U119" s="1">
        <f t="shared" si="22"/>
        <v>466</v>
      </c>
      <c r="V119" s="1">
        <f t="shared" si="23"/>
        <v>47.5</v>
      </c>
      <c r="W119" s="1">
        <f t="shared" si="24"/>
        <v>52.5</v>
      </c>
      <c r="X119" s="1">
        <f t="shared" si="25"/>
        <v>15.141562853907136</v>
      </c>
      <c r="Y119" s="1">
        <f t="shared" si="26"/>
        <v>143</v>
      </c>
      <c r="Z119" s="1">
        <f t="shared" si="27"/>
        <v>135</v>
      </c>
      <c r="AA119" s="1">
        <f t="shared" si="28"/>
        <v>3.6209790209790214</v>
      </c>
      <c r="AB119" s="1">
        <f t="shared" si="29"/>
        <v>3.3607407407407397</v>
      </c>
      <c r="AC119" s="1">
        <f t="shared" si="30"/>
        <v>0</v>
      </c>
      <c r="AD119" s="1">
        <f t="shared" si="31"/>
        <v>3.8509697885499676E-2</v>
      </c>
    </row>
    <row r="120" spans="1:30" x14ac:dyDescent="0.35">
      <c r="A120" t="s">
        <v>293</v>
      </c>
      <c r="B120" t="s">
        <v>40</v>
      </c>
      <c r="C120" t="s">
        <v>52</v>
      </c>
      <c r="D120" t="s">
        <v>25</v>
      </c>
      <c r="E120">
        <v>48</v>
      </c>
      <c r="F120" t="s">
        <v>31</v>
      </c>
      <c r="G120" t="s">
        <v>75</v>
      </c>
      <c r="H120" t="s">
        <v>294</v>
      </c>
      <c r="I120">
        <v>12</v>
      </c>
      <c r="J120">
        <v>14</v>
      </c>
      <c r="K120">
        <v>410033</v>
      </c>
      <c r="L120">
        <v>2.9</v>
      </c>
      <c r="M120" t="s">
        <v>43</v>
      </c>
      <c r="N120">
        <v>83</v>
      </c>
      <c r="O120">
        <f t="shared" si="16"/>
        <v>882</v>
      </c>
      <c r="P120">
        <f t="shared" si="17"/>
        <v>442</v>
      </c>
      <c r="Q120">
        <f t="shared" si="18"/>
        <v>440</v>
      </c>
      <c r="R120">
        <f t="shared" si="19"/>
        <v>49.650349650349654</v>
      </c>
      <c r="S120" s="1">
        <f t="shared" si="20"/>
        <v>50.24975024975025</v>
      </c>
      <c r="T120" s="1">
        <f t="shared" si="21"/>
        <v>417</v>
      </c>
      <c r="U120" s="1">
        <f t="shared" si="22"/>
        <v>465</v>
      </c>
      <c r="V120" s="1">
        <f t="shared" si="23"/>
        <v>47.5</v>
      </c>
      <c r="W120" s="1">
        <f t="shared" si="24"/>
        <v>52.5</v>
      </c>
      <c r="X120" s="1">
        <f t="shared" si="25"/>
        <v>15.142857142857142</v>
      </c>
      <c r="Y120" s="1">
        <f t="shared" si="26"/>
        <v>143</v>
      </c>
      <c r="Z120" s="1">
        <f t="shared" si="27"/>
        <v>135</v>
      </c>
      <c r="AA120" s="1">
        <f t="shared" si="28"/>
        <v>3.6209790209790214</v>
      </c>
      <c r="AB120" s="1">
        <f t="shared" si="29"/>
        <v>3.3607407407407397</v>
      </c>
      <c r="AC120" s="1">
        <f t="shared" si="30"/>
        <v>0</v>
      </c>
      <c r="AD120" s="1">
        <f t="shared" si="31"/>
        <v>3.8352062141355406E-2</v>
      </c>
    </row>
    <row r="121" spans="1:30" x14ac:dyDescent="0.35">
      <c r="A121" t="s">
        <v>295</v>
      </c>
      <c r="B121" t="s">
        <v>40</v>
      </c>
      <c r="C121" t="s">
        <v>93</v>
      </c>
      <c r="D121" t="s">
        <v>25</v>
      </c>
      <c r="E121">
        <v>34</v>
      </c>
      <c r="F121" t="s">
        <v>31</v>
      </c>
      <c r="G121" t="s">
        <v>41</v>
      </c>
      <c r="H121" t="s">
        <v>296</v>
      </c>
      <c r="I121">
        <v>5</v>
      </c>
      <c r="J121">
        <v>11</v>
      </c>
      <c r="K121">
        <v>126058</v>
      </c>
      <c r="L121">
        <v>4.2</v>
      </c>
      <c r="M121" t="s">
        <v>21</v>
      </c>
      <c r="N121">
        <v>69</v>
      </c>
      <c r="O121">
        <f t="shared" si="16"/>
        <v>881</v>
      </c>
      <c r="P121">
        <f t="shared" si="17"/>
        <v>442</v>
      </c>
      <c r="Q121">
        <f t="shared" si="18"/>
        <v>439</v>
      </c>
      <c r="R121">
        <f t="shared" si="19"/>
        <v>49.650349650349654</v>
      </c>
      <c r="S121" s="1">
        <f t="shared" si="20"/>
        <v>50.24975024975025</v>
      </c>
      <c r="T121" s="1">
        <f t="shared" si="21"/>
        <v>417</v>
      </c>
      <c r="U121" s="1">
        <f t="shared" si="22"/>
        <v>464</v>
      </c>
      <c r="V121" s="1">
        <f t="shared" si="23"/>
        <v>47.5</v>
      </c>
      <c r="W121" s="1">
        <f t="shared" si="24"/>
        <v>52.5</v>
      </c>
      <c r="X121" s="1">
        <f t="shared" si="25"/>
        <v>15.144154370034052</v>
      </c>
      <c r="Y121" s="1">
        <f t="shared" si="26"/>
        <v>143</v>
      </c>
      <c r="Z121" s="1">
        <f t="shared" si="27"/>
        <v>134</v>
      </c>
      <c r="AA121" s="1">
        <f t="shared" si="28"/>
        <v>3.6209790209790214</v>
      </c>
      <c r="AB121" s="1">
        <f t="shared" si="29"/>
        <v>3.364179104477611</v>
      </c>
      <c r="AC121" s="1">
        <f t="shared" si="30"/>
        <v>1</v>
      </c>
      <c r="AD121" s="1">
        <f t="shared" si="31"/>
        <v>3.8193912220010402E-2</v>
      </c>
    </row>
    <row r="122" spans="1:30" x14ac:dyDescent="0.35">
      <c r="A122" t="s">
        <v>297</v>
      </c>
      <c r="B122" t="s">
        <v>60</v>
      </c>
      <c r="C122" t="s">
        <v>52</v>
      </c>
      <c r="D122" t="s">
        <v>17</v>
      </c>
      <c r="E122">
        <v>28</v>
      </c>
      <c r="F122" t="s">
        <v>79</v>
      </c>
      <c r="G122" t="s">
        <v>26</v>
      </c>
      <c r="H122" t="s">
        <v>298</v>
      </c>
      <c r="I122">
        <v>5</v>
      </c>
      <c r="J122">
        <v>8</v>
      </c>
      <c r="K122">
        <v>280540</v>
      </c>
      <c r="L122">
        <v>3.3</v>
      </c>
      <c r="M122" t="s">
        <v>21</v>
      </c>
      <c r="N122">
        <v>46</v>
      </c>
      <c r="O122">
        <f t="shared" si="16"/>
        <v>880</v>
      </c>
      <c r="P122">
        <f t="shared" si="17"/>
        <v>442</v>
      </c>
      <c r="Q122">
        <f t="shared" si="18"/>
        <v>438</v>
      </c>
      <c r="R122">
        <f t="shared" si="19"/>
        <v>49.650349650349654</v>
      </c>
      <c r="S122" s="1">
        <f t="shared" si="20"/>
        <v>50.24975024975025</v>
      </c>
      <c r="T122" s="1">
        <f t="shared" si="21"/>
        <v>416</v>
      </c>
      <c r="U122" s="1">
        <f t="shared" si="22"/>
        <v>464</v>
      </c>
      <c r="V122" s="1">
        <f t="shared" si="23"/>
        <v>47.5</v>
      </c>
      <c r="W122" s="1">
        <f t="shared" si="24"/>
        <v>52.5</v>
      </c>
      <c r="X122" s="1">
        <f t="shared" si="25"/>
        <v>15.148863636363636</v>
      </c>
      <c r="Y122" s="1">
        <f t="shared" si="26"/>
        <v>143</v>
      </c>
      <c r="Z122" s="1">
        <f t="shared" si="27"/>
        <v>133</v>
      </c>
      <c r="AA122" s="1">
        <f t="shared" si="28"/>
        <v>3.6209790209790214</v>
      </c>
      <c r="AB122" s="1">
        <f t="shared" si="29"/>
        <v>3.3578947368421046</v>
      </c>
      <c r="AC122" s="1">
        <f t="shared" si="30"/>
        <v>1</v>
      </c>
      <c r="AD122" s="1">
        <f t="shared" si="31"/>
        <v>3.8946684824279341E-2</v>
      </c>
    </row>
    <row r="123" spans="1:30" x14ac:dyDescent="0.35">
      <c r="A123" t="s">
        <v>299</v>
      </c>
      <c r="B123" t="s">
        <v>29</v>
      </c>
      <c r="C123" t="s">
        <v>64</v>
      </c>
      <c r="D123" t="s">
        <v>25</v>
      </c>
      <c r="E123">
        <v>22</v>
      </c>
      <c r="F123" t="s">
        <v>70</v>
      </c>
      <c r="G123" t="s">
        <v>75</v>
      </c>
      <c r="H123" t="s">
        <v>300</v>
      </c>
      <c r="I123">
        <v>10</v>
      </c>
      <c r="J123">
        <v>16</v>
      </c>
      <c r="K123">
        <v>122324</v>
      </c>
      <c r="L123">
        <v>3.7</v>
      </c>
      <c r="M123" t="s">
        <v>21</v>
      </c>
      <c r="N123">
        <v>67</v>
      </c>
      <c r="O123">
        <f t="shared" si="16"/>
        <v>879</v>
      </c>
      <c r="P123">
        <f t="shared" si="17"/>
        <v>441</v>
      </c>
      <c r="Q123">
        <f t="shared" si="18"/>
        <v>438</v>
      </c>
      <c r="R123">
        <f t="shared" si="19"/>
        <v>49.650349650349654</v>
      </c>
      <c r="S123" s="1">
        <f t="shared" si="20"/>
        <v>50.24975024975025</v>
      </c>
      <c r="T123" s="1">
        <f t="shared" si="21"/>
        <v>415</v>
      </c>
      <c r="U123" s="1">
        <f t="shared" si="22"/>
        <v>464</v>
      </c>
      <c r="V123" s="1">
        <f t="shared" si="23"/>
        <v>47.5</v>
      </c>
      <c r="W123" s="1">
        <f t="shared" si="24"/>
        <v>52.5</v>
      </c>
      <c r="X123" s="1">
        <f t="shared" si="25"/>
        <v>15.156996587030717</v>
      </c>
      <c r="Y123" s="1">
        <f t="shared" si="26"/>
        <v>143</v>
      </c>
      <c r="Z123" s="1">
        <f t="shared" si="27"/>
        <v>133</v>
      </c>
      <c r="AA123" s="1">
        <f t="shared" si="28"/>
        <v>3.6209790209790214</v>
      </c>
      <c r="AB123" s="1">
        <f t="shared" si="29"/>
        <v>3.3578947368421046</v>
      </c>
      <c r="AC123" s="1">
        <f t="shared" si="30"/>
        <v>1</v>
      </c>
      <c r="AD123" s="1">
        <f t="shared" si="31"/>
        <v>4.0241549324374293E-2</v>
      </c>
    </row>
    <row r="124" spans="1:30" x14ac:dyDescent="0.35">
      <c r="A124" t="s">
        <v>301</v>
      </c>
      <c r="B124" t="s">
        <v>55</v>
      </c>
      <c r="C124" t="s">
        <v>49</v>
      </c>
      <c r="D124" t="s">
        <v>17</v>
      </c>
      <c r="E124">
        <v>28</v>
      </c>
      <c r="F124" t="s">
        <v>70</v>
      </c>
      <c r="G124" t="s">
        <v>26</v>
      </c>
      <c r="H124" t="s">
        <v>302</v>
      </c>
      <c r="I124">
        <v>2</v>
      </c>
      <c r="J124">
        <v>7</v>
      </c>
      <c r="K124">
        <v>473741</v>
      </c>
      <c r="L124">
        <v>2</v>
      </c>
      <c r="M124" t="s">
        <v>43</v>
      </c>
      <c r="N124">
        <v>79</v>
      </c>
      <c r="O124">
        <f t="shared" si="16"/>
        <v>878</v>
      </c>
      <c r="P124">
        <f t="shared" si="17"/>
        <v>441</v>
      </c>
      <c r="Q124">
        <f t="shared" si="18"/>
        <v>437</v>
      </c>
      <c r="R124">
        <f t="shared" si="19"/>
        <v>49.650349650349654</v>
      </c>
      <c r="S124" s="1">
        <f t="shared" si="20"/>
        <v>50.24975024975025</v>
      </c>
      <c r="T124" s="1">
        <f t="shared" si="21"/>
        <v>414</v>
      </c>
      <c r="U124" s="1">
        <f t="shared" si="22"/>
        <v>464</v>
      </c>
      <c r="V124" s="1">
        <f t="shared" si="23"/>
        <v>47.5</v>
      </c>
      <c r="W124" s="1">
        <f t="shared" si="24"/>
        <v>52.5</v>
      </c>
      <c r="X124" s="1">
        <f t="shared" si="25"/>
        <v>15.156036446469248</v>
      </c>
      <c r="Y124" s="1">
        <f t="shared" si="26"/>
        <v>143</v>
      </c>
      <c r="Z124" s="1">
        <f t="shared" si="27"/>
        <v>133</v>
      </c>
      <c r="AA124" s="1">
        <f t="shared" si="28"/>
        <v>3.6209790209790214</v>
      </c>
      <c r="AB124" s="1">
        <f t="shared" si="29"/>
        <v>3.3578947368421046</v>
      </c>
      <c r="AC124" s="1">
        <f t="shared" si="30"/>
        <v>0</v>
      </c>
      <c r="AD124" s="1">
        <f t="shared" si="31"/>
        <v>4.0120308920763403E-2</v>
      </c>
    </row>
    <row r="125" spans="1:30" x14ac:dyDescent="0.35">
      <c r="A125" t="s">
        <v>303</v>
      </c>
      <c r="B125" t="s">
        <v>78</v>
      </c>
      <c r="C125" t="s">
        <v>49</v>
      </c>
      <c r="D125" t="s">
        <v>25</v>
      </c>
      <c r="E125">
        <v>43</v>
      </c>
      <c r="F125" t="s">
        <v>31</v>
      </c>
      <c r="G125" t="s">
        <v>75</v>
      </c>
      <c r="H125" t="s">
        <v>304</v>
      </c>
      <c r="I125">
        <v>6</v>
      </c>
      <c r="J125">
        <v>12</v>
      </c>
      <c r="K125">
        <v>77723</v>
      </c>
      <c r="L125">
        <v>4.3</v>
      </c>
      <c r="M125" t="s">
        <v>43</v>
      </c>
      <c r="N125">
        <v>73</v>
      </c>
      <c r="O125">
        <f t="shared" si="16"/>
        <v>877</v>
      </c>
      <c r="P125">
        <f t="shared" si="17"/>
        <v>440</v>
      </c>
      <c r="Q125">
        <f t="shared" si="18"/>
        <v>437</v>
      </c>
      <c r="R125">
        <f t="shared" si="19"/>
        <v>49.650349650349654</v>
      </c>
      <c r="S125" s="1">
        <f t="shared" si="20"/>
        <v>50.24975024975025</v>
      </c>
      <c r="T125" s="1">
        <f t="shared" si="21"/>
        <v>414</v>
      </c>
      <c r="U125" s="1">
        <f t="shared" si="22"/>
        <v>463</v>
      </c>
      <c r="V125" s="1">
        <f t="shared" si="23"/>
        <v>47.5</v>
      </c>
      <c r="W125" s="1">
        <f t="shared" si="24"/>
        <v>52.5</v>
      </c>
      <c r="X125" s="1">
        <f t="shared" si="25"/>
        <v>15.16533637400228</v>
      </c>
      <c r="Y125" s="1">
        <f t="shared" si="26"/>
        <v>143</v>
      </c>
      <c r="Z125" s="1">
        <f t="shared" si="27"/>
        <v>133</v>
      </c>
      <c r="AA125" s="1">
        <f t="shared" si="28"/>
        <v>3.6209790209790214</v>
      </c>
      <c r="AB125" s="1">
        <f t="shared" si="29"/>
        <v>3.3578947368421046</v>
      </c>
      <c r="AC125" s="1">
        <f t="shared" si="30"/>
        <v>0</v>
      </c>
      <c r="AD125" s="1">
        <f t="shared" si="31"/>
        <v>3.8898652457205085E-2</v>
      </c>
    </row>
    <row r="126" spans="1:30" x14ac:dyDescent="0.35">
      <c r="A126" t="s">
        <v>305</v>
      </c>
      <c r="B126" t="s">
        <v>40</v>
      </c>
      <c r="C126" t="s">
        <v>52</v>
      </c>
      <c r="D126" t="s">
        <v>17</v>
      </c>
      <c r="E126">
        <v>46</v>
      </c>
      <c r="F126" t="s">
        <v>70</v>
      </c>
      <c r="G126" t="s">
        <v>57</v>
      </c>
      <c r="H126" t="s">
        <v>306</v>
      </c>
      <c r="I126">
        <v>8</v>
      </c>
      <c r="J126">
        <v>14</v>
      </c>
      <c r="K126">
        <v>406545</v>
      </c>
      <c r="L126">
        <v>4.7</v>
      </c>
      <c r="M126" t="s">
        <v>21</v>
      </c>
      <c r="N126">
        <v>54</v>
      </c>
      <c r="O126">
        <f t="shared" si="16"/>
        <v>876</v>
      </c>
      <c r="P126">
        <f t="shared" si="17"/>
        <v>440</v>
      </c>
      <c r="Q126">
        <f t="shared" si="18"/>
        <v>436</v>
      </c>
      <c r="R126">
        <f t="shared" si="19"/>
        <v>49.650349650349654</v>
      </c>
      <c r="S126" s="1">
        <f t="shared" si="20"/>
        <v>50.24975024975025</v>
      </c>
      <c r="T126" s="1">
        <f t="shared" si="21"/>
        <v>414</v>
      </c>
      <c r="U126" s="1">
        <f t="shared" si="22"/>
        <v>462</v>
      </c>
      <c r="V126" s="1">
        <f t="shared" si="23"/>
        <v>47.5</v>
      </c>
      <c r="W126" s="1">
        <f t="shared" si="24"/>
        <v>52.5</v>
      </c>
      <c r="X126" s="1">
        <f t="shared" si="25"/>
        <v>15.168949771689498</v>
      </c>
      <c r="Y126" s="1">
        <f t="shared" si="26"/>
        <v>143</v>
      </c>
      <c r="Z126" s="1">
        <f t="shared" si="27"/>
        <v>132</v>
      </c>
      <c r="AA126" s="1">
        <f t="shared" si="28"/>
        <v>3.6209790209790214</v>
      </c>
      <c r="AB126" s="1">
        <f t="shared" si="29"/>
        <v>3.3507575757575752</v>
      </c>
      <c r="AC126" s="1">
        <f t="shared" si="30"/>
        <v>1</v>
      </c>
      <c r="AD126" s="1">
        <f t="shared" si="31"/>
        <v>3.8427857579957425E-2</v>
      </c>
    </row>
    <row r="127" spans="1:30" x14ac:dyDescent="0.35">
      <c r="A127" t="s">
        <v>307</v>
      </c>
      <c r="B127" t="s">
        <v>69</v>
      </c>
      <c r="C127" t="s">
        <v>82</v>
      </c>
      <c r="D127" t="s">
        <v>25</v>
      </c>
      <c r="E127">
        <v>43</v>
      </c>
      <c r="F127" t="s">
        <v>70</v>
      </c>
      <c r="G127" t="s">
        <v>85</v>
      </c>
      <c r="H127" t="s">
        <v>308</v>
      </c>
      <c r="I127">
        <v>9</v>
      </c>
      <c r="J127">
        <v>16</v>
      </c>
      <c r="K127">
        <v>440473</v>
      </c>
      <c r="L127">
        <v>2.9</v>
      </c>
      <c r="M127" t="s">
        <v>43</v>
      </c>
      <c r="N127">
        <v>87</v>
      </c>
      <c r="O127">
        <f t="shared" si="16"/>
        <v>875</v>
      </c>
      <c r="P127">
        <f t="shared" si="17"/>
        <v>439</v>
      </c>
      <c r="Q127">
        <f t="shared" si="18"/>
        <v>436</v>
      </c>
      <c r="R127">
        <f t="shared" si="19"/>
        <v>49.650349650349654</v>
      </c>
      <c r="S127" s="1">
        <f t="shared" si="20"/>
        <v>50.24975024975025</v>
      </c>
      <c r="T127" s="1">
        <f t="shared" si="21"/>
        <v>413</v>
      </c>
      <c r="U127" s="1">
        <f t="shared" si="22"/>
        <v>462</v>
      </c>
      <c r="V127" s="1">
        <f t="shared" si="23"/>
        <v>47.5</v>
      </c>
      <c r="W127" s="1">
        <f t="shared" si="24"/>
        <v>52.5</v>
      </c>
      <c r="X127" s="1">
        <f t="shared" si="25"/>
        <v>15.170285714285715</v>
      </c>
      <c r="Y127" s="1">
        <f t="shared" si="26"/>
        <v>143</v>
      </c>
      <c r="Z127" s="1">
        <f t="shared" si="27"/>
        <v>132</v>
      </c>
      <c r="AA127" s="1">
        <f t="shared" si="28"/>
        <v>3.6209790209790214</v>
      </c>
      <c r="AB127" s="1">
        <f t="shared" si="29"/>
        <v>3.3507575757575752</v>
      </c>
      <c r="AC127" s="1">
        <f t="shared" si="30"/>
        <v>0</v>
      </c>
      <c r="AD127" s="1">
        <f t="shared" si="31"/>
        <v>3.8657517188357415E-2</v>
      </c>
    </row>
    <row r="128" spans="1:30" x14ac:dyDescent="0.35">
      <c r="A128" t="s">
        <v>309</v>
      </c>
      <c r="B128" t="s">
        <v>78</v>
      </c>
      <c r="C128" t="s">
        <v>49</v>
      </c>
      <c r="D128" t="s">
        <v>17</v>
      </c>
      <c r="E128">
        <v>44</v>
      </c>
      <c r="F128" t="s">
        <v>46</v>
      </c>
      <c r="G128" t="s">
        <v>88</v>
      </c>
      <c r="H128" t="s">
        <v>310</v>
      </c>
      <c r="I128">
        <v>5</v>
      </c>
      <c r="J128">
        <v>5</v>
      </c>
      <c r="K128">
        <v>174361</v>
      </c>
      <c r="L128">
        <v>3</v>
      </c>
      <c r="M128" t="s">
        <v>21</v>
      </c>
      <c r="N128">
        <v>48</v>
      </c>
      <c r="O128">
        <f t="shared" si="16"/>
        <v>874</v>
      </c>
      <c r="P128">
        <f t="shared" si="17"/>
        <v>439</v>
      </c>
      <c r="Q128">
        <f t="shared" si="18"/>
        <v>435</v>
      </c>
      <c r="R128">
        <f t="shared" si="19"/>
        <v>49.650349650349654</v>
      </c>
      <c r="S128" s="1">
        <f t="shared" si="20"/>
        <v>50.24975024975025</v>
      </c>
      <c r="T128" s="1">
        <f t="shared" si="21"/>
        <v>413</v>
      </c>
      <c r="U128" s="1">
        <f t="shared" si="22"/>
        <v>461</v>
      </c>
      <c r="V128" s="1">
        <f t="shared" si="23"/>
        <v>47.5</v>
      </c>
      <c r="W128" s="1">
        <f t="shared" si="24"/>
        <v>52.5</v>
      </c>
      <c r="X128" s="1">
        <f t="shared" si="25"/>
        <v>15.16933638443936</v>
      </c>
      <c r="Y128" s="1">
        <f t="shared" si="26"/>
        <v>143</v>
      </c>
      <c r="Z128" s="1">
        <f t="shared" si="27"/>
        <v>132</v>
      </c>
      <c r="AA128" s="1">
        <f t="shared" si="28"/>
        <v>3.6209790209790214</v>
      </c>
      <c r="AB128" s="1">
        <f t="shared" si="29"/>
        <v>3.3507575757575752</v>
      </c>
      <c r="AC128" s="1">
        <f t="shared" si="30"/>
        <v>1</v>
      </c>
      <c r="AD128" s="1">
        <f t="shared" si="31"/>
        <v>3.8807596315668422E-2</v>
      </c>
    </row>
    <row r="129" spans="1:30" x14ac:dyDescent="0.35">
      <c r="A129" t="s">
        <v>311</v>
      </c>
      <c r="B129" t="s">
        <v>45</v>
      </c>
      <c r="C129" t="s">
        <v>30</v>
      </c>
      <c r="D129" t="s">
        <v>25</v>
      </c>
      <c r="E129">
        <v>27</v>
      </c>
      <c r="F129" t="s">
        <v>37</v>
      </c>
      <c r="G129" t="s">
        <v>88</v>
      </c>
      <c r="H129" t="s">
        <v>312</v>
      </c>
      <c r="I129">
        <v>5</v>
      </c>
      <c r="J129">
        <v>15</v>
      </c>
      <c r="K129">
        <v>257300</v>
      </c>
      <c r="L129">
        <v>2.7</v>
      </c>
      <c r="M129" t="s">
        <v>21</v>
      </c>
      <c r="N129">
        <v>49</v>
      </c>
      <c r="O129">
        <f t="shared" si="16"/>
        <v>873</v>
      </c>
      <c r="P129">
        <f t="shared" si="17"/>
        <v>438</v>
      </c>
      <c r="Q129">
        <f t="shared" si="18"/>
        <v>435</v>
      </c>
      <c r="R129">
        <f t="shared" si="19"/>
        <v>49.650349650349654</v>
      </c>
      <c r="S129" s="1">
        <f t="shared" si="20"/>
        <v>50.24975024975025</v>
      </c>
      <c r="T129" s="1">
        <f t="shared" si="21"/>
        <v>412</v>
      </c>
      <c r="U129" s="1">
        <f t="shared" si="22"/>
        <v>461</v>
      </c>
      <c r="V129" s="1">
        <f t="shared" si="23"/>
        <v>47.5</v>
      </c>
      <c r="W129" s="1">
        <f t="shared" si="24"/>
        <v>52.5</v>
      </c>
      <c r="X129" s="1">
        <f t="shared" si="25"/>
        <v>15.18098510882016</v>
      </c>
      <c r="Y129" s="1">
        <f t="shared" si="26"/>
        <v>143</v>
      </c>
      <c r="Z129" s="1">
        <f t="shared" si="27"/>
        <v>132</v>
      </c>
      <c r="AA129" s="1">
        <f t="shared" si="28"/>
        <v>3.6209790209790214</v>
      </c>
      <c r="AB129" s="1">
        <f t="shared" si="29"/>
        <v>3.3507575757575752</v>
      </c>
      <c r="AC129" s="1">
        <f t="shared" si="30"/>
        <v>1</v>
      </c>
      <c r="AD129" s="1">
        <f t="shared" si="31"/>
        <v>4.0664210554448778E-2</v>
      </c>
    </row>
    <row r="130" spans="1:30" x14ac:dyDescent="0.35">
      <c r="A130" t="s">
        <v>313</v>
      </c>
      <c r="B130" t="s">
        <v>96</v>
      </c>
      <c r="C130" t="s">
        <v>24</v>
      </c>
      <c r="D130" t="s">
        <v>17</v>
      </c>
      <c r="E130">
        <v>39</v>
      </c>
      <c r="F130" t="s">
        <v>31</v>
      </c>
      <c r="G130" t="s">
        <v>41</v>
      </c>
      <c r="H130" t="s">
        <v>314</v>
      </c>
      <c r="I130">
        <v>17</v>
      </c>
      <c r="J130">
        <v>23</v>
      </c>
      <c r="K130">
        <v>134971</v>
      </c>
      <c r="L130">
        <v>3.5</v>
      </c>
      <c r="M130" t="s">
        <v>21</v>
      </c>
      <c r="N130">
        <v>65</v>
      </c>
      <c r="O130">
        <f t="shared" ref="O130:O193" si="32">COUNTA(A130:A1129)</f>
        <v>872</v>
      </c>
      <c r="P130">
        <f t="shared" ref="P130:P193" si="33">COUNTIF(D130:D1129,"Male")</f>
        <v>438</v>
      </c>
      <c r="Q130">
        <f t="shared" ref="Q130:Q193" si="34">COUNTIF(D130:D1129,"Female")</f>
        <v>434</v>
      </c>
      <c r="R130">
        <f t="shared" ref="R130:R193" si="35">497/1001*100</f>
        <v>49.650349650349654</v>
      </c>
      <c r="S130" s="1">
        <f t="shared" ref="S130:S193" si="36">503/1001*100</f>
        <v>50.24975024975025</v>
      </c>
      <c r="T130" s="1">
        <f t="shared" ref="T130:T193" si="37">COUNTIF(M130:M1129,"Yes")</f>
        <v>411</v>
      </c>
      <c r="U130" s="1">
        <f t="shared" ref="U130:U193" si="38">COUNTIF(M130:M1129,"No")</f>
        <v>461</v>
      </c>
      <c r="V130" s="1">
        <f t="shared" ref="V130:V193" si="39">475/1000*100</f>
        <v>47.5</v>
      </c>
      <c r="W130" s="1">
        <f t="shared" ref="W130:W193" si="40">525/1000*100</f>
        <v>52.5</v>
      </c>
      <c r="X130" s="1">
        <f t="shared" ref="X130:X193" si="41">AVERAGE(J130:J1129)</f>
        <v>15.181192660550458</v>
      </c>
      <c r="Y130" s="1">
        <f t="shared" ref="Y130:Y193" si="42">COUNTIF(F130:F1129,"Marketing")</f>
        <v>143</v>
      </c>
      <c r="Z130" s="1">
        <f t="shared" ref="Z130:Z193" si="43">COUNTIF(F130:F1129,"IT")</f>
        <v>132</v>
      </c>
      <c r="AA130" s="1">
        <f t="shared" ref="AA130:AA193" si="44">AVERAGEIF(F130:F1129,"Marketing",L130:L1129)</f>
        <v>3.6209790209790214</v>
      </c>
      <c r="AB130" s="1">
        <f t="shared" ref="AB130:AB193" si="45">AVERAGEIF(F130:F1129,"IT",L130:L1129)</f>
        <v>3.3507575757575752</v>
      </c>
      <c r="AC130" s="1">
        <f t="shared" ref="AC130:AC193" si="46">IF(M130="yes",1,0)</f>
        <v>1</v>
      </c>
      <c r="AD130" s="1">
        <f t="shared" ref="AD130:AD193" si="47">CORREL(J130:J1129,AC130:AC1129)</f>
        <v>4.0722140624238991E-2</v>
      </c>
    </row>
    <row r="131" spans="1:30" x14ac:dyDescent="0.35">
      <c r="A131" t="s">
        <v>315</v>
      </c>
      <c r="B131" t="s">
        <v>40</v>
      </c>
      <c r="C131" t="s">
        <v>24</v>
      </c>
      <c r="D131" t="s">
        <v>17</v>
      </c>
      <c r="E131">
        <v>32</v>
      </c>
      <c r="F131" t="s">
        <v>37</v>
      </c>
      <c r="G131" t="s">
        <v>19</v>
      </c>
      <c r="H131" t="s">
        <v>316</v>
      </c>
      <c r="I131">
        <v>6</v>
      </c>
      <c r="J131">
        <v>8</v>
      </c>
      <c r="K131">
        <v>370785</v>
      </c>
      <c r="L131">
        <v>3.7</v>
      </c>
      <c r="M131" t="s">
        <v>43</v>
      </c>
      <c r="N131">
        <v>92</v>
      </c>
      <c r="O131">
        <f t="shared" si="32"/>
        <v>871</v>
      </c>
      <c r="P131">
        <f t="shared" si="33"/>
        <v>437</v>
      </c>
      <c r="Q131">
        <f t="shared" si="34"/>
        <v>434</v>
      </c>
      <c r="R131">
        <f t="shared" si="35"/>
        <v>49.650349650349654</v>
      </c>
      <c r="S131" s="1">
        <f t="shared" si="36"/>
        <v>50.24975024975025</v>
      </c>
      <c r="T131" s="1">
        <f t="shared" si="37"/>
        <v>410</v>
      </c>
      <c r="U131" s="1">
        <f t="shared" si="38"/>
        <v>461</v>
      </c>
      <c r="V131" s="1">
        <f t="shared" si="39"/>
        <v>47.5</v>
      </c>
      <c r="W131" s="1">
        <f t="shared" si="40"/>
        <v>52.5</v>
      </c>
      <c r="X131" s="1">
        <f t="shared" si="41"/>
        <v>15.172215843857636</v>
      </c>
      <c r="Y131" s="1">
        <f t="shared" si="42"/>
        <v>143</v>
      </c>
      <c r="Z131" s="1">
        <f t="shared" si="43"/>
        <v>131</v>
      </c>
      <c r="AA131" s="1">
        <f t="shared" si="44"/>
        <v>3.6209790209790214</v>
      </c>
      <c r="AB131" s="1">
        <f t="shared" si="45"/>
        <v>3.3496183206106864</v>
      </c>
      <c r="AC131" s="1">
        <f t="shared" si="46"/>
        <v>0</v>
      </c>
      <c r="AD131" s="1">
        <f t="shared" si="47"/>
        <v>3.9401101848680835E-2</v>
      </c>
    </row>
    <row r="132" spans="1:30" x14ac:dyDescent="0.35">
      <c r="A132" t="s">
        <v>317</v>
      </c>
      <c r="B132" t="s">
        <v>78</v>
      </c>
      <c r="C132" t="s">
        <v>49</v>
      </c>
      <c r="D132" t="s">
        <v>17</v>
      </c>
      <c r="E132">
        <v>23</v>
      </c>
      <c r="F132" t="s">
        <v>79</v>
      </c>
      <c r="G132" t="s">
        <v>57</v>
      </c>
      <c r="H132" t="s">
        <v>318</v>
      </c>
      <c r="I132">
        <v>0</v>
      </c>
      <c r="J132">
        <v>2</v>
      </c>
      <c r="K132">
        <v>248799</v>
      </c>
      <c r="L132">
        <v>3.1</v>
      </c>
      <c r="M132" t="s">
        <v>43</v>
      </c>
      <c r="N132">
        <v>72</v>
      </c>
      <c r="O132">
        <f t="shared" si="32"/>
        <v>870</v>
      </c>
      <c r="P132">
        <f t="shared" si="33"/>
        <v>436</v>
      </c>
      <c r="Q132">
        <f t="shared" si="34"/>
        <v>434</v>
      </c>
      <c r="R132">
        <f t="shared" si="35"/>
        <v>49.650349650349654</v>
      </c>
      <c r="S132" s="1">
        <f t="shared" si="36"/>
        <v>50.24975024975025</v>
      </c>
      <c r="T132" s="1">
        <f t="shared" si="37"/>
        <v>410</v>
      </c>
      <c r="U132" s="1">
        <f t="shared" si="38"/>
        <v>460</v>
      </c>
      <c r="V132" s="1">
        <f t="shared" si="39"/>
        <v>47.5</v>
      </c>
      <c r="W132" s="1">
        <f t="shared" si="40"/>
        <v>52.5</v>
      </c>
      <c r="X132" s="1">
        <f t="shared" si="41"/>
        <v>15.180459770114943</v>
      </c>
      <c r="Y132" s="1">
        <f t="shared" si="42"/>
        <v>143</v>
      </c>
      <c r="Z132" s="1">
        <f t="shared" si="43"/>
        <v>131</v>
      </c>
      <c r="AA132" s="1">
        <f t="shared" si="44"/>
        <v>3.6209790209790214</v>
      </c>
      <c r="AB132" s="1">
        <f t="shared" si="45"/>
        <v>3.3496183206106864</v>
      </c>
      <c r="AC132" s="1">
        <f t="shared" si="46"/>
        <v>0</v>
      </c>
      <c r="AD132" s="1">
        <f t="shared" si="47"/>
        <v>3.8319525311934249E-2</v>
      </c>
    </row>
    <row r="133" spans="1:30" x14ac:dyDescent="0.35">
      <c r="A133" t="s">
        <v>319</v>
      </c>
      <c r="B133" t="s">
        <v>45</v>
      </c>
      <c r="C133" t="s">
        <v>16</v>
      </c>
      <c r="D133" t="s">
        <v>17</v>
      </c>
      <c r="E133">
        <v>60</v>
      </c>
      <c r="F133" t="s">
        <v>31</v>
      </c>
      <c r="G133" t="s">
        <v>88</v>
      </c>
      <c r="H133" t="s">
        <v>320</v>
      </c>
      <c r="I133">
        <v>11</v>
      </c>
      <c r="J133">
        <v>12</v>
      </c>
      <c r="K133">
        <v>356582</v>
      </c>
      <c r="L133">
        <v>2.5</v>
      </c>
      <c r="M133" t="s">
        <v>43</v>
      </c>
      <c r="N133">
        <v>90</v>
      </c>
      <c r="O133">
        <f t="shared" si="32"/>
        <v>869</v>
      </c>
      <c r="P133">
        <f t="shared" si="33"/>
        <v>435</v>
      </c>
      <c r="Q133">
        <f t="shared" si="34"/>
        <v>434</v>
      </c>
      <c r="R133">
        <f t="shared" si="35"/>
        <v>49.650349650349654</v>
      </c>
      <c r="S133" s="1">
        <f t="shared" si="36"/>
        <v>50.24975024975025</v>
      </c>
      <c r="T133" s="1">
        <f t="shared" si="37"/>
        <v>410</v>
      </c>
      <c r="U133" s="1">
        <f t="shared" si="38"/>
        <v>459</v>
      </c>
      <c r="V133" s="1">
        <f t="shared" si="39"/>
        <v>47.5</v>
      </c>
      <c r="W133" s="1">
        <f t="shared" si="40"/>
        <v>52.5</v>
      </c>
      <c r="X133" s="1">
        <f t="shared" si="41"/>
        <v>15.195627157652474</v>
      </c>
      <c r="Y133" s="1">
        <f t="shared" si="42"/>
        <v>143</v>
      </c>
      <c r="Z133" s="1">
        <f t="shared" si="43"/>
        <v>131</v>
      </c>
      <c r="AA133" s="1">
        <f t="shared" si="44"/>
        <v>3.6209790209790214</v>
      </c>
      <c r="AB133" s="1">
        <f t="shared" si="45"/>
        <v>3.3496183206106864</v>
      </c>
      <c r="AC133" s="1">
        <f t="shared" si="46"/>
        <v>0</v>
      </c>
      <c r="AD133" s="1">
        <f t="shared" si="47"/>
        <v>3.6342340093710776E-2</v>
      </c>
    </row>
    <row r="134" spans="1:30" x14ac:dyDescent="0.35">
      <c r="A134" t="s">
        <v>321</v>
      </c>
      <c r="B134" t="s">
        <v>60</v>
      </c>
      <c r="C134" t="s">
        <v>56</v>
      </c>
      <c r="D134" t="s">
        <v>25</v>
      </c>
      <c r="E134">
        <v>32</v>
      </c>
      <c r="F134" t="s">
        <v>46</v>
      </c>
      <c r="G134" t="s">
        <v>88</v>
      </c>
      <c r="H134" t="s">
        <v>322</v>
      </c>
      <c r="I134">
        <v>2</v>
      </c>
      <c r="J134">
        <v>6</v>
      </c>
      <c r="K134">
        <v>287978</v>
      </c>
      <c r="L134">
        <v>4.2</v>
      </c>
      <c r="M134" t="s">
        <v>43</v>
      </c>
      <c r="N134">
        <v>96</v>
      </c>
      <c r="O134">
        <f t="shared" si="32"/>
        <v>868</v>
      </c>
      <c r="P134">
        <f t="shared" si="33"/>
        <v>434</v>
      </c>
      <c r="Q134">
        <f t="shared" si="34"/>
        <v>434</v>
      </c>
      <c r="R134">
        <f t="shared" si="35"/>
        <v>49.650349650349654</v>
      </c>
      <c r="S134" s="1">
        <f t="shared" si="36"/>
        <v>50.24975024975025</v>
      </c>
      <c r="T134" s="1">
        <f t="shared" si="37"/>
        <v>410</v>
      </c>
      <c r="U134" s="1">
        <f t="shared" si="38"/>
        <v>458</v>
      </c>
      <c r="V134" s="1">
        <f t="shared" si="39"/>
        <v>47.5</v>
      </c>
      <c r="W134" s="1">
        <f t="shared" si="40"/>
        <v>52.5</v>
      </c>
      <c r="X134" s="1">
        <f t="shared" si="41"/>
        <v>15.199308755760368</v>
      </c>
      <c r="Y134" s="1">
        <f t="shared" si="42"/>
        <v>143</v>
      </c>
      <c r="Z134" s="1">
        <f t="shared" si="43"/>
        <v>130</v>
      </c>
      <c r="AA134" s="1">
        <f t="shared" si="44"/>
        <v>3.6209790209790214</v>
      </c>
      <c r="AB134" s="1">
        <f t="shared" si="45"/>
        <v>3.3561538461538452</v>
      </c>
      <c r="AC134" s="1">
        <f t="shared" si="46"/>
        <v>0</v>
      </c>
      <c r="AD134" s="1">
        <f t="shared" si="47"/>
        <v>3.5860990199481399E-2</v>
      </c>
    </row>
    <row r="135" spans="1:30" x14ac:dyDescent="0.35">
      <c r="A135" t="s">
        <v>323</v>
      </c>
      <c r="B135" t="s">
        <v>69</v>
      </c>
      <c r="C135" t="s">
        <v>52</v>
      </c>
      <c r="D135" t="s">
        <v>17</v>
      </c>
      <c r="E135">
        <v>38</v>
      </c>
      <c r="F135" t="s">
        <v>74</v>
      </c>
      <c r="G135" t="s">
        <v>57</v>
      </c>
      <c r="H135" t="s">
        <v>324</v>
      </c>
      <c r="I135">
        <v>1</v>
      </c>
      <c r="J135">
        <v>4</v>
      </c>
      <c r="K135">
        <v>487746</v>
      </c>
      <c r="L135">
        <v>4.7</v>
      </c>
      <c r="M135" t="s">
        <v>21</v>
      </c>
      <c r="N135">
        <v>70</v>
      </c>
      <c r="O135">
        <f t="shared" si="32"/>
        <v>867</v>
      </c>
      <c r="P135">
        <f t="shared" si="33"/>
        <v>434</v>
      </c>
      <c r="Q135">
        <f t="shared" si="34"/>
        <v>433</v>
      </c>
      <c r="R135">
        <f t="shared" si="35"/>
        <v>49.650349650349654</v>
      </c>
      <c r="S135" s="1">
        <f t="shared" si="36"/>
        <v>50.24975024975025</v>
      </c>
      <c r="T135" s="1">
        <f t="shared" si="37"/>
        <v>410</v>
      </c>
      <c r="U135" s="1">
        <f t="shared" si="38"/>
        <v>457</v>
      </c>
      <c r="V135" s="1">
        <f t="shared" si="39"/>
        <v>47.5</v>
      </c>
      <c r="W135" s="1">
        <f t="shared" si="40"/>
        <v>52.5</v>
      </c>
      <c r="X135" s="1">
        <f t="shared" si="41"/>
        <v>15.209919261822376</v>
      </c>
      <c r="Y135" s="1">
        <f t="shared" si="42"/>
        <v>143</v>
      </c>
      <c r="Z135" s="1">
        <f t="shared" si="43"/>
        <v>130</v>
      </c>
      <c r="AA135" s="1">
        <f t="shared" si="44"/>
        <v>3.6209790209790214</v>
      </c>
      <c r="AB135" s="1">
        <f t="shared" si="45"/>
        <v>3.3561538461538452</v>
      </c>
      <c r="AC135" s="1">
        <f t="shared" si="46"/>
        <v>1</v>
      </c>
      <c r="AD135" s="1">
        <f t="shared" si="47"/>
        <v>3.4459919589874585E-2</v>
      </c>
    </row>
    <row r="136" spans="1:30" x14ac:dyDescent="0.35">
      <c r="A136" t="s">
        <v>325</v>
      </c>
      <c r="B136" t="s">
        <v>29</v>
      </c>
      <c r="C136" t="s">
        <v>36</v>
      </c>
      <c r="D136" t="s">
        <v>17</v>
      </c>
      <c r="E136">
        <v>44</v>
      </c>
      <c r="F136" t="s">
        <v>70</v>
      </c>
      <c r="G136" t="s">
        <v>32</v>
      </c>
      <c r="H136" t="s">
        <v>326</v>
      </c>
      <c r="I136">
        <v>7</v>
      </c>
      <c r="J136">
        <v>9</v>
      </c>
      <c r="K136">
        <v>87553</v>
      </c>
      <c r="L136">
        <v>4.0999999999999996</v>
      </c>
      <c r="M136" t="s">
        <v>43</v>
      </c>
      <c r="N136">
        <v>91</v>
      </c>
      <c r="O136">
        <f t="shared" si="32"/>
        <v>866</v>
      </c>
      <c r="P136">
        <f t="shared" si="33"/>
        <v>433</v>
      </c>
      <c r="Q136">
        <f t="shared" si="34"/>
        <v>433</v>
      </c>
      <c r="R136">
        <f t="shared" si="35"/>
        <v>49.650349650349654</v>
      </c>
      <c r="S136" s="1">
        <f t="shared" si="36"/>
        <v>50.24975024975025</v>
      </c>
      <c r="T136" s="1">
        <f t="shared" si="37"/>
        <v>409</v>
      </c>
      <c r="U136" s="1">
        <f t="shared" si="38"/>
        <v>457</v>
      </c>
      <c r="V136" s="1">
        <f t="shared" si="39"/>
        <v>47.5</v>
      </c>
      <c r="W136" s="1">
        <f t="shared" si="40"/>
        <v>52.5</v>
      </c>
      <c r="X136" s="1">
        <f t="shared" si="41"/>
        <v>15.222863741339491</v>
      </c>
      <c r="Y136" s="1">
        <f t="shared" si="42"/>
        <v>142</v>
      </c>
      <c r="Z136" s="1">
        <f t="shared" si="43"/>
        <v>130</v>
      </c>
      <c r="AA136" s="1">
        <f t="shared" si="44"/>
        <v>3.6133802816901408</v>
      </c>
      <c r="AB136" s="1">
        <f t="shared" si="45"/>
        <v>3.3561538461538452</v>
      </c>
      <c r="AC136" s="1">
        <f t="shared" si="46"/>
        <v>0</v>
      </c>
      <c r="AD136" s="1">
        <f t="shared" si="47"/>
        <v>3.6519509965732326E-2</v>
      </c>
    </row>
    <row r="137" spans="1:30" x14ac:dyDescent="0.35">
      <c r="A137" t="s">
        <v>327</v>
      </c>
      <c r="B137" t="s">
        <v>29</v>
      </c>
      <c r="C137" t="s">
        <v>64</v>
      </c>
      <c r="D137" t="s">
        <v>25</v>
      </c>
      <c r="E137">
        <v>37</v>
      </c>
      <c r="F137" t="s">
        <v>18</v>
      </c>
      <c r="G137" t="s">
        <v>71</v>
      </c>
      <c r="H137" t="s">
        <v>328</v>
      </c>
      <c r="I137">
        <v>6</v>
      </c>
      <c r="J137">
        <v>7</v>
      </c>
      <c r="K137">
        <v>65399</v>
      </c>
      <c r="L137">
        <v>2.6</v>
      </c>
      <c r="M137" t="s">
        <v>21</v>
      </c>
      <c r="N137">
        <v>43</v>
      </c>
      <c r="O137">
        <f t="shared" si="32"/>
        <v>865</v>
      </c>
      <c r="P137">
        <f t="shared" si="33"/>
        <v>432</v>
      </c>
      <c r="Q137">
        <f t="shared" si="34"/>
        <v>433</v>
      </c>
      <c r="R137">
        <f t="shared" si="35"/>
        <v>49.650349650349654</v>
      </c>
      <c r="S137" s="1">
        <f t="shared" si="36"/>
        <v>50.24975024975025</v>
      </c>
      <c r="T137" s="1">
        <f t="shared" si="37"/>
        <v>409</v>
      </c>
      <c r="U137" s="1">
        <f t="shared" si="38"/>
        <v>456</v>
      </c>
      <c r="V137" s="1">
        <f t="shared" si="39"/>
        <v>47.5</v>
      </c>
      <c r="W137" s="1">
        <f t="shared" si="40"/>
        <v>52.5</v>
      </c>
      <c r="X137" s="1">
        <f t="shared" si="41"/>
        <v>15.230057803468208</v>
      </c>
      <c r="Y137" s="1">
        <f t="shared" si="42"/>
        <v>142</v>
      </c>
      <c r="Z137" s="1">
        <f t="shared" si="43"/>
        <v>130</v>
      </c>
      <c r="AA137" s="1">
        <f t="shared" si="44"/>
        <v>3.6133802816901408</v>
      </c>
      <c r="AB137" s="1">
        <f t="shared" si="45"/>
        <v>3.3561538461538452</v>
      </c>
      <c r="AC137" s="1">
        <f t="shared" si="46"/>
        <v>1</v>
      </c>
      <c r="AD137" s="1">
        <f t="shared" si="47"/>
        <v>3.5567474252849535E-2</v>
      </c>
    </row>
    <row r="138" spans="1:30" x14ac:dyDescent="0.35">
      <c r="A138" t="s">
        <v>329</v>
      </c>
      <c r="B138" t="s">
        <v>40</v>
      </c>
      <c r="C138" t="s">
        <v>49</v>
      </c>
      <c r="D138" t="s">
        <v>25</v>
      </c>
      <c r="E138">
        <v>33</v>
      </c>
      <c r="F138" t="s">
        <v>37</v>
      </c>
      <c r="G138" t="s">
        <v>32</v>
      </c>
      <c r="H138" t="s">
        <v>170</v>
      </c>
      <c r="I138">
        <v>3</v>
      </c>
      <c r="J138">
        <v>10</v>
      </c>
      <c r="K138">
        <v>286873</v>
      </c>
      <c r="L138">
        <v>4.5999999999999996</v>
      </c>
      <c r="M138" t="s">
        <v>43</v>
      </c>
      <c r="N138">
        <v>93</v>
      </c>
      <c r="O138">
        <f t="shared" si="32"/>
        <v>864</v>
      </c>
      <c r="P138">
        <f t="shared" si="33"/>
        <v>432</v>
      </c>
      <c r="Q138">
        <f t="shared" si="34"/>
        <v>432</v>
      </c>
      <c r="R138">
        <f t="shared" si="35"/>
        <v>49.650349650349654</v>
      </c>
      <c r="S138" s="1">
        <f t="shared" si="36"/>
        <v>50.24975024975025</v>
      </c>
      <c r="T138" s="1">
        <f t="shared" si="37"/>
        <v>408</v>
      </c>
      <c r="U138" s="1">
        <f t="shared" si="38"/>
        <v>456</v>
      </c>
      <c r="V138" s="1">
        <f t="shared" si="39"/>
        <v>47.5</v>
      </c>
      <c r="W138" s="1">
        <f t="shared" si="40"/>
        <v>52.5</v>
      </c>
      <c r="X138" s="1">
        <f t="shared" si="41"/>
        <v>15.239583333333334</v>
      </c>
      <c r="Y138" s="1">
        <f t="shared" si="42"/>
        <v>142</v>
      </c>
      <c r="Z138" s="1">
        <f t="shared" si="43"/>
        <v>130</v>
      </c>
      <c r="AA138" s="1">
        <f t="shared" si="44"/>
        <v>3.6133802816901408</v>
      </c>
      <c r="AB138" s="1">
        <f t="shared" si="45"/>
        <v>3.3561538461538452</v>
      </c>
      <c r="AC138" s="1">
        <f t="shared" si="46"/>
        <v>0</v>
      </c>
      <c r="AD138" s="1">
        <f t="shared" si="47"/>
        <v>3.7080737910369241E-2</v>
      </c>
    </row>
    <row r="139" spans="1:30" x14ac:dyDescent="0.35">
      <c r="A139" t="s">
        <v>330</v>
      </c>
      <c r="B139" t="s">
        <v>35</v>
      </c>
      <c r="C139" t="s">
        <v>16</v>
      </c>
      <c r="D139" t="s">
        <v>25</v>
      </c>
      <c r="E139">
        <v>58</v>
      </c>
      <c r="F139" t="s">
        <v>46</v>
      </c>
      <c r="G139" t="s">
        <v>61</v>
      </c>
      <c r="H139" t="s">
        <v>331</v>
      </c>
      <c r="I139">
        <v>9</v>
      </c>
      <c r="J139">
        <v>13</v>
      </c>
      <c r="K139">
        <v>274637</v>
      </c>
      <c r="L139">
        <v>3.6</v>
      </c>
      <c r="M139" t="s">
        <v>43</v>
      </c>
      <c r="N139">
        <v>75</v>
      </c>
      <c r="O139">
        <f t="shared" si="32"/>
        <v>863</v>
      </c>
      <c r="P139">
        <f t="shared" si="33"/>
        <v>432</v>
      </c>
      <c r="Q139">
        <f t="shared" si="34"/>
        <v>431</v>
      </c>
      <c r="R139">
        <f t="shared" si="35"/>
        <v>49.650349650349654</v>
      </c>
      <c r="S139" s="1">
        <f t="shared" si="36"/>
        <v>50.24975024975025</v>
      </c>
      <c r="T139" s="1">
        <f t="shared" si="37"/>
        <v>408</v>
      </c>
      <c r="U139" s="1">
        <f t="shared" si="38"/>
        <v>455</v>
      </c>
      <c r="V139" s="1">
        <f t="shared" si="39"/>
        <v>47.5</v>
      </c>
      <c r="W139" s="1">
        <f t="shared" si="40"/>
        <v>52.5</v>
      </c>
      <c r="X139" s="1">
        <f t="shared" si="41"/>
        <v>15.245654692931634</v>
      </c>
      <c r="Y139" s="1">
        <f t="shared" si="42"/>
        <v>142</v>
      </c>
      <c r="Z139" s="1">
        <f t="shared" si="43"/>
        <v>130</v>
      </c>
      <c r="AA139" s="1">
        <f t="shared" si="44"/>
        <v>3.6133802816901408</v>
      </c>
      <c r="AB139" s="1">
        <f t="shared" si="45"/>
        <v>3.3561538461538452</v>
      </c>
      <c r="AC139" s="1">
        <f t="shared" si="46"/>
        <v>0</v>
      </c>
      <c r="AD139" s="1">
        <f t="shared" si="47"/>
        <v>3.6278553046093599E-2</v>
      </c>
    </row>
    <row r="140" spans="1:30" x14ac:dyDescent="0.35">
      <c r="A140" t="s">
        <v>332</v>
      </c>
      <c r="B140" t="s">
        <v>60</v>
      </c>
      <c r="C140" t="s">
        <v>64</v>
      </c>
      <c r="D140" t="s">
        <v>17</v>
      </c>
      <c r="E140">
        <v>41</v>
      </c>
      <c r="F140" t="s">
        <v>31</v>
      </c>
      <c r="G140" t="s">
        <v>57</v>
      </c>
      <c r="H140" t="s">
        <v>333</v>
      </c>
      <c r="I140">
        <v>13</v>
      </c>
      <c r="J140">
        <v>23</v>
      </c>
      <c r="K140">
        <v>83181</v>
      </c>
      <c r="L140">
        <v>2.2000000000000002</v>
      </c>
      <c r="M140" t="s">
        <v>21</v>
      </c>
      <c r="N140">
        <v>61</v>
      </c>
      <c r="O140">
        <f t="shared" si="32"/>
        <v>862</v>
      </c>
      <c r="P140">
        <f t="shared" si="33"/>
        <v>432</v>
      </c>
      <c r="Q140">
        <f t="shared" si="34"/>
        <v>430</v>
      </c>
      <c r="R140">
        <f t="shared" si="35"/>
        <v>49.650349650349654</v>
      </c>
      <c r="S140" s="1">
        <f t="shared" si="36"/>
        <v>50.24975024975025</v>
      </c>
      <c r="T140" s="1">
        <f t="shared" si="37"/>
        <v>408</v>
      </c>
      <c r="U140" s="1">
        <f t="shared" si="38"/>
        <v>454</v>
      </c>
      <c r="V140" s="1">
        <f t="shared" si="39"/>
        <v>47.5</v>
      </c>
      <c r="W140" s="1">
        <f t="shared" si="40"/>
        <v>52.5</v>
      </c>
      <c r="X140" s="1">
        <f t="shared" si="41"/>
        <v>15.248259860788863</v>
      </c>
      <c r="Y140" s="1">
        <f t="shared" si="42"/>
        <v>142</v>
      </c>
      <c r="Z140" s="1">
        <f t="shared" si="43"/>
        <v>130</v>
      </c>
      <c r="AA140" s="1">
        <f t="shared" si="44"/>
        <v>3.6133802816901408</v>
      </c>
      <c r="AB140" s="1">
        <f t="shared" si="45"/>
        <v>3.3561538461538452</v>
      </c>
      <c r="AC140" s="1">
        <f t="shared" si="46"/>
        <v>1</v>
      </c>
      <c r="AD140" s="1">
        <f t="shared" si="47"/>
        <v>3.5941666020147409E-2</v>
      </c>
    </row>
    <row r="141" spans="1:30" x14ac:dyDescent="0.35">
      <c r="A141" t="s">
        <v>334</v>
      </c>
      <c r="B141" t="s">
        <v>78</v>
      </c>
      <c r="C141" t="s">
        <v>49</v>
      </c>
      <c r="D141" t="s">
        <v>17</v>
      </c>
      <c r="E141">
        <v>32</v>
      </c>
      <c r="F141" t="s">
        <v>46</v>
      </c>
      <c r="G141" t="s">
        <v>32</v>
      </c>
      <c r="H141" t="s">
        <v>335</v>
      </c>
      <c r="I141">
        <v>9</v>
      </c>
      <c r="J141">
        <v>12</v>
      </c>
      <c r="K141">
        <v>259328</v>
      </c>
      <c r="L141">
        <v>3.6</v>
      </c>
      <c r="M141" t="s">
        <v>43</v>
      </c>
      <c r="N141">
        <v>84</v>
      </c>
      <c r="O141">
        <f t="shared" si="32"/>
        <v>861</v>
      </c>
      <c r="P141">
        <f t="shared" si="33"/>
        <v>431</v>
      </c>
      <c r="Q141">
        <f t="shared" si="34"/>
        <v>430</v>
      </c>
      <c r="R141">
        <f t="shared" si="35"/>
        <v>49.650349650349654</v>
      </c>
      <c r="S141" s="1">
        <f t="shared" si="36"/>
        <v>50.24975024975025</v>
      </c>
      <c r="T141" s="1">
        <f t="shared" si="37"/>
        <v>407</v>
      </c>
      <c r="U141" s="1">
        <f t="shared" si="38"/>
        <v>454</v>
      </c>
      <c r="V141" s="1">
        <f t="shared" si="39"/>
        <v>47.5</v>
      </c>
      <c r="W141" s="1">
        <f t="shared" si="40"/>
        <v>52.5</v>
      </c>
      <c r="X141" s="1">
        <f t="shared" si="41"/>
        <v>15.239256678281068</v>
      </c>
      <c r="Y141" s="1">
        <f t="shared" si="42"/>
        <v>142</v>
      </c>
      <c r="Z141" s="1">
        <f t="shared" si="43"/>
        <v>129</v>
      </c>
      <c r="AA141" s="1">
        <f t="shared" si="44"/>
        <v>3.6133802816901408</v>
      </c>
      <c r="AB141" s="1">
        <f t="shared" si="45"/>
        <v>3.3651162790697668</v>
      </c>
      <c r="AC141" s="1">
        <f t="shared" si="46"/>
        <v>0</v>
      </c>
      <c r="AD141" s="1">
        <f t="shared" si="47"/>
        <v>3.4612695014974139E-2</v>
      </c>
    </row>
    <row r="142" spans="1:30" x14ac:dyDescent="0.35">
      <c r="A142" t="s">
        <v>336</v>
      </c>
      <c r="B142" t="s">
        <v>35</v>
      </c>
      <c r="C142" t="s">
        <v>24</v>
      </c>
      <c r="D142" t="s">
        <v>17</v>
      </c>
      <c r="E142">
        <v>53</v>
      </c>
      <c r="F142" t="s">
        <v>37</v>
      </c>
      <c r="G142" t="s">
        <v>75</v>
      </c>
      <c r="H142" t="s">
        <v>337</v>
      </c>
      <c r="I142">
        <v>8</v>
      </c>
      <c r="J142">
        <v>9</v>
      </c>
      <c r="K142">
        <v>293565</v>
      </c>
      <c r="L142">
        <v>3.7</v>
      </c>
      <c r="M142" t="s">
        <v>21</v>
      </c>
      <c r="N142">
        <v>51</v>
      </c>
      <c r="O142">
        <f t="shared" si="32"/>
        <v>860</v>
      </c>
      <c r="P142">
        <f t="shared" si="33"/>
        <v>430</v>
      </c>
      <c r="Q142">
        <f t="shared" si="34"/>
        <v>430</v>
      </c>
      <c r="R142">
        <f t="shared" si="35"/>
        <v>49.650349650349654</v>
      </c>
      <c r="S142" s="1">
        <f t="shared" si="36"/>
        <v>50.24975024975025</v>
      </c>
      <c r="T142" s="1">
        <f t="shared" si="37"/>
        <v>407</v>
      </c>
      <c r="U142" s="1">
        <f t="shared" si="38"/>
        <v>453</v>
      </c>
      <c r="V142" s="1">
        <f t="shared" si="39"/>
        <v>47.5</v>
      </c>
      <c r="W142" s="1">
        <f t="shared" si="40"/>
        <v>52.5</v>
      </c>
      <c r="X142" s="1">
        <f t="shared" si="41"/>
        <v>15.243023255813954</v>
      </c>
      <c r="Y142" s="1">
        <f t="shared" si="42"/>
        <v>142</v>
      </c>
      <c r="Z142" s="1">
        <f t="shared" si="43"/>
        <v>129</v>
      </c>
      <c r="AA142" s="1">
        <f t="shared" si="44"/>
        <v>3.6133802816901408</v>
      </c>
      <c r="AB142" s="1">
        <f t="shared" si="45"/>
        <v>3.3651162790697668</v>
      </c>
      <c r="AC142" s="1">
        <f t="shared" si="46"/>
        <v>1</v>
      </c>
      <c r="AD142" s="1">
        <f t="shared" si="47"/>
        <v>3.4117803344686885E-2</v>
      </c>
    </row>
    <row r="143" spans="1:30" x14ac:dyDescent="0.35">
      <c r="A143" t="s">
        <v>338</v>
      </c>
      <c r="B143" t="s">
        <v>15</v>
      </c>
      <c r="C143" t="s">
        <v>49</v>
      </c>
      <c r="D143" t="s">
        <v>17</v>
      </c>
      <c r="E143">
        <v>21</v>
      </c>
      <c r="F143" t="s">
        <v>31</v>
      </c>
      <c r="G143" t="s">
        <v>88</v>
      </c>
      <c r="H143" t="s">
        <v>339</v>
      </c>
      <c r="I143">
        <v>9</v>
      </c>
      <c r="J143">
        <v>17</v>
      </c>
      <c r="K143">
        <v>185261</v>
      </c>
      <c r="L143">
        <v>2</v>
      </c>
      <c r="M143" t="s">
        <v>43</v>
      </c>
      <c r="N143">
        <v>100</v>
      </c>
      <c r="O143">
        <f t="shared" si="32"/>
        <v>859</v>
      </c>
      <c r="P143">
        <f t="shared" si="33"/>
        <v>429</v>
      </c>
      <c r="Q143">
        <f t="shared" si="34"/>
        <v>430</v>
      </c>
      <c r="R143">
        <f t="shared" si="35"/>
        <v>49.650349650349654</v>
      </c>
      <c r="S143" s="1">
        <f t="shared" si="36"/>
        <v>50.24975024975025</v>
      </c>
      <c r="T143" s="1">
        <f t="shared" si="37"/>
        <v>406</v>
      </c>
      <c r="U143" s="1">
        <f t="shared" si="38"/>
        <v>453</v>
      </c>
      <c r="V143" s="1">
        <f t="shared" si="39"/>
        <v>47.5</v>
      </c>
      <c r="W143" s="1">
        <f t="shared" si="40"/>
        <v>52.5</v>
      </c>
      <c r="X143" s="1">
        <f t="shared" si="41"/>
        <v>15.250291036088475</v>
      </c>
      <c r="Y143" s="1">
        <f t="shared" si="42"/>
        <v>142</v>
      </c>
      <c r="Z143" s="1">
        <f t="shared" si="43"/>
        <v>129</v>
      </c>
      <c r="AA143" s="1">
        <f t="shared" si="44"/>
        <v>3.6133802816901408</v>
      </c>
      <c r="AB143" s="1">
        <f t="shared" si="45"/>
        <v>3.3651162790697668</v>
      </c>
      <c r="AC143" s="1">
        <f t="shared" si="46"/>
        <v>0</v>
      </c>
      <c r="AD143" s="1">
        <f t="shared" si="47"/>
        <v>3.5268611904801947E-2</v>
      </c>
    </row>
    <row r="144" spans="1:30" x14ac:dyDescent="0.35">
      <c r="A144" t="s">
        <v>340</v>
      </c>
      <c r="B144" t="s">
        <v>69</v>
      </c>
      <c r="C144" t="s">
        <v>49</v>
      </c>
      <c r="D144" t="s">
        <v>17</v>
      </c>
      <c r="E144">
        <v>56</v>
      </c>
      <c r="F144" t="s">
        <v>74</v>
      </c>
      <c r="G144" t="s">
        <v>26</v>
      </c>
      <c r="H144" t="s">
        <v>341</v>
      </c>
      <c r="I144">
        <v>11</v>
      </c>
      <c r="J144">
        <v>13</v>
      </c>
      <c r="K144">
        <v>175804</v>
      </c>
      <c r="L144">
        <v>2.4</v>
      </c>
      <c r="M144" t="s">
        <v>21</v>
      </c>
      <c r="N144">
        <v>50</v>
      </c>
      <c r="O144">
        <f t="shared" si="32"/>
        <v>858</v>
      </c>
      <c r="P144">
        <f t="shared" si="33"/>
        <v>428</v>
      </c>
      <c r="Q144">
        <f t="shared" si="34"/>
        <v>430</v>
      </c>
      <c r="R144">
        <f t="shared" si="35"/>
        <v>49.650349650349654</v>
      </c>
      <c r="S144" s="1">
        <f t="shared" si="36"/>
        <v>50.24975024975025</v>
      </c>
      <c r="T144" s="1">
        <f t="shared" si="37"/>
        <v>406</v>
      </c>
      <c r="U144" s="1">
        <f t="shared" si="38"/>
        <v>452</v>
      </c>
      <c r="V144" s="1">
        <f t="shared" si="39"/>
        <v>47.5</v>
      </c>
      <c r="W144" s="1">
        <f t="shared" si="40"/>
        <v>52.5</v>
      </c>
      <c r="X144" s="1">
        <f t="shared" si="41"/>
        <v>15.248251748251748</v>
      </c>
      <c r="Y144" s="1">
        <f t="shared" si="42"/>
        <v>142</v>
      </c>
      <c r="Z144" s="1">
        <f t="shared" si="43"/>
        <v>128</v>
      </c>
      <c r="AA144" s="1">
        <f t="shared" si="44"/>
        <v>3.6133802816901408</v>
      </c>
      <c r="AB144" s="1">
        <f t="shared" si="45"/>
        <v>3.3757812499999993</v>
      </c>
      <c r="AC144" s="1">
        <f t="shared" si="46"/>
        <v>1</v>
      </c>
      <c r="AD144" s="1">
        <f t="shared" si="47"/>
        <v>3.556827401210591E-2</v>
      </c>
    </row>
    <row r="145" spans="1:30" x14ac:dyDescent="0.35">
      <c r="A145" t="s">
        <v>342</v>
      </c>
      <c r="B145" t="s">
        <v>111</v>
      </c>
      <c r="C145" t="s">
        <v>16</v>
      </c>
      <c r="D145" t="s">
        <v>25</v>
      </c>
      <c r="E145">
        <v>52</v>
      </c>
      <c r="F145" t="s">
        <v>79</v>
      </c>
      <c r="G145" t="s">
        <v>26</v>
      </c>
      <c r="H145" t="s">
        <v>343</v>
      </c>
      <c r="I145">
        <v>7</v>
      </c>
      <c r="J145">
        <v>16</v>
      </c>
      <c r="K145">
        <v>356182</v>
      </c>
      <c r="L145">
        <v>3.5</v>
      </c>
      <c r="M145" t="s">
        <v>21</v>
      </c>
      <c r="N145">
        <v>67</v>
      </c>
      <c r="O145">
        <f t="shared" si="32"/>
        <v>857</v>
      </c>
      <c r="P145">
        <f t="shared" si="33"/>
        <v>427</v>
      </c>
      <c r="Q145">
        <f t="shared" si="34"/>
        <v>430</v>
      </c>
      <c r="R145">
        <f t="shared" si="35"/>
        <v>49.650349650349654</v>
      </c>
      <c r="S145" s="1">
        <f t="shared" si="36"/>
        <v>50.24975024975025</v>
      </c>
      <c r="T145" s="1">
        <f t="shared" si="37"/>
        <v>405</v>
      </c>
      <c r="U145" s="1">
        <f t="shared" si="38"/>
        <v>452</v>
      </c>
      <c r="V145" s="1">
        <f t="shared" si="39"/>
        <v>47.5</v>
      </c>
      <c r="W145" s="1">
        <f t="shared" si="40"/>
        <v>52.5</v>
      </c>
      <c r="X145" s="1">
        <f t="shared" si="41"/>
        <v>15.250875145857643</v>
      </c>
      <c r="Y145" s="1">
        <f t="shared" si="42"/>
        <v>141</v>
      </c>
      <c r="Z145" s="1">
        <f t="shared" si="43"/>
        <v>128</v>
      </c>
      <c r="AA145" s="1">
        <f t="shared" si="44"/>
        <v>3.6219858156028373</v>
      </c>
      <c r="AB145" s="1">
        <f t="shared" si="45"/>
        <v>3.3757812499999993</v>
      </c>
      <c r="AC145" s="1">
        <f t="shared" si="46"/>
        <v>1</v>
      </c>
      <c r="AD145" s="1">
        <f t="shared" si="47"/>
        <v>3.5994761600558943E-2</v>
      </c>
    </row>
    <row r="146" spans="1:30" x14ac:dyDescent="0.35">
      <c r="A146" t="s">
        <v>344</v>
      </c>
      <c r="B146" t="s">
        <v>55</v>
      </c>
      <c r="C146" t="s">
        <v>16</v>
      </c>
      <c r="D146" t="s">
        <v>17</v>
      </c>
      <c r="E146">
        <v>33</v>
      </c>
      <c r="F146" t="s">
        <v>74</v>
      </c>
      <c r="G146" t="s">
        <v>57</v>
      </c>
      <c r="H146" t="s">
        <v>345</v>
      </c>
      <c r="I146">
        <v>8</v>
      </c>
      <c r="J146">
        <v>17</v>
      </c>
      <c r="K146">
        <v>327792</v>
      </c>
      <c r="L146">
        <v>3.5</v>
      </c>
      <c r="M146" t="s">
        <v>43</v>
      </c>
      <c r="N146">
        <v>90</v>
      </c>
      <c r="O146">
        <f t="shared" si="32"/>
        <v>856</v>
      </c>
      <c r="P146">
        <f t="shared" si="33"/>
        <v>427</v>
      </c>
      <c r="Q146">
        <f t="shared" si="34"/>
        <v>429</v>
      </c>
      <c r="R146">
        <f t="shared" si="35"/>
        <v>49.650349650349654</v>
      </c>
      <c r="S146" s="1">
        <f t="shared" si="36"/>
        <v>50.24975024975025</v>
      </c>
      <c r="T146" s="1">
        <f t="shared" si="37"/>
        <v>404</v>
      </c>
      <c r="U146" s="1">
        <f t="shared" si="38"/>
        <v>452</v>
      </c>
      <c r="V146" s="1">
        <f t="shared" si="39"/>
        <v>47.5</v>
      </c>
      <c r="W146" s="1">
        <f t="shared" si="40"/>
        <v>52.5</v>
      </c>
      <c r="X146" s="1">
        <f t="shared" si="41"/>
        <v>15.25</v>
      </c>
      <c r="Y146" s="1">
        <f t="shared" si="42"/>
        <v>141</v>
      </c>
      <c r="Z146" s="1">
        <f t="shared" si="43"/>
        <v>128</v>
      </c>
      <c r="AA146" s="1">
        <f t="shared" si="44"/>
        <v>3.6219858156028373</v>
      </c>
      <c r="AB146" s="1">
        <f t="shared" si="45"/>
        <v>3.3757812499999993</v>
      </c>
      <c r="AC146" s="1">
        <f t="shared" si="46"/>
        <v>0</v>
      </c>
      <c r="AD146" s="1">
        <f t="shared" si="47"/>
        <v>3.5884584416704682E-2</v>
      </c>
    </row>
    <row r="147" spans="1:30" x14ac:dyDescent="0.35">
      <c r="A147" t="s">
        <v>346</v>
      </c>
      <c r="B147" t="s">
        <v>69</v>
      </c>
      <c r="C147" t="s">
        <v>52</v>
      </c>
      <c r="D147" t="s">
        <v>25</v>
      </c>
      <c r="E147">
        <v>41</v>
      </c>
      <c r="F147" t="s">
        <v>46</v>
      </c>
      <c r="G147" t="s">
        <v>32</v>
      </c>
      <c r="H147" t="s">
        <v>347</v>
      </c>
      <c r="I147">
        <v>2</v>
      </c>
      <c r="J147">
        <v>11</v>
      </c>
      <c r="K147">
        <v>233506</v>
      </c>
      <c r="L147">
        <v>3.1</v>
      </c>
      <c r="M147" t="s">
        <v>21</v>
      </c>
      <c r="N147">
        <v>63</v>
      </c>
      <c r="O147">
        <f t="shared" si="32"/>
        <v>855</v>
      </c>
      <c r="P147">
        <f t="shared" si="33"/>
        <v>426</v>
      </c>
      <c r="Q147">
        <f t="shared" si="34"/>
        <v>429</v>
      </c>
      <c r="R147">
        <f t="shared" si="35"/>
        <v>49.650349650349654</v>
      </c>
      <c r="S147" s="1">
        <f t="shared" si="36"/>
        <v>50.24975024975025</v>
      </c>
      <c r="T147" s="1">
        <f t="shared" si="37"/>
        <v>404</v>
      </c>
      <c r="U147" s="1">
        <f t="shared" si="38"/>
        <v>451</v>
      </c>
      <c r="V147" s="1">
        <f t="shared" si="39"/>
        <v>47.5</v>
      </c>
      <c r="W147" s="1">
        <f t="shared" si="40"/>
        <v>52.5</v>
      </c>
      <c r="X147" s="1">
        <f t="shared" si="41"/>
        <v>15.247953216374269</v>
      </c>
      <c r="Y147" s="1">
        <f t="shared" si="42"/>
        <v>140</v>
      </c>
      <c r="Z147" s="1">
        <f t="shared" si="43"/>
        <v>128</v>
      </c>
      <c r="AA147" s="1">
        <f t="shared" si="44"/>
        <v>3.6228571428571432</v>
      </c>
      <c r="AB147" s="1">
        <f t="shared" si="45"/>
        <v>3.3757812499999993</v>
      </c>
      <c r="AC147" s="1">
        <f t="shared" si="46"/>
        <v>1</v>
      </c>
      <c r="AD147" s="1">
        <f t="shared" si="47"/>
        <v>3.618479225144422E-2</v>
      </c>
    </row>
    <row r="148" spans="1:30" x14ac:dyDescent="0.35">
      <c r="A148" t="s">
        <v>348</v>
      </c>
      <c r="B148" t="s">
        <v>55</v>
      </c>
      <c r="C148" t="s">
        <v>24</v>
      </c>
      <c r="D148" t="s">
        <v>17</v>
      </c>
      <c r="E148">
        <v>40</v>
      </c>
      <c r="F148" t="s">
        <v>74</v>
      </c>
      <c r="G148" t="s">
        <v>85</v>
      </c>
      <c r="H148" t="s">
        <v>349</v>
      </c>
      <c r="I148">
        <v>15</v>
      </c>
      <c r="J148">
        <v>22</v>
      </c>
      <c r="K148">
        <v>413492</v>
      </c>
      <c r="L148">
        <v>3.5</v>
      </c>
      <c r="M148" t="s">
        <v>43</v>
      </c>
      <c r="N148">
        <v>88</v>
      </c>
      <c r="O148">
        <f t="shared" si="32"/>
        <v>854</v>
      </c>
      <c r="P148">
        <f t="shared" si="33"/>
        <v>426</v>
      </c>
      <c r="Q148">
        <f t="shared" si="34"/>
        <v>428</v>
      </c>
      <c r="R148">
        <f t="shared" si="35"/>
        <v>49.650349650349654</v>
      </c>
      <c r="S148" s="1">
        <f t="shared" si="36"/>
        <v>50.24975024975025</v>
      </c>
      <c r="T148" s="1">
        <f t="shared" si="37"/>
        <v>403</v>
      </c>
      <c r="U148" s="1">
        <f t="shared" si="38"/>
        <v>451</v>
      </c>
      <c r="V148" s="1">
        <f t="shared" si="39"/>
        <v>47.5</v>
      </c>
      <c r="W148" s="1">
        <f t="shared" si="40"/>
        <v>52.5</v>
      </c>
      <c r="X148" s="1">
        <f t="shared" si="41"/>
        <v>15.252927400468383</v>
      </c>
      <c r="Y148" s="1">
        <f t="shared" si="42"/>
        <v>140</v>
      </c>
      <c r="Z148" s="1">
        <f t="shared" si="43"/>
        <v>128</v>
      </c>
      <c r="AA148" s="1">
        <f t="shared" si="44"/>
        <v>3.6228571428571432</v>
      </c>
      <c r="AB148" s="1">
        <f t="shared" si="45"/>
        <v>3.3757812499999993</v>
      </c>
      <c r="AC148" s="1">
        <f t="shared" si="46"/>
        <v>0</v>
      </c>
      <c r="AD148" s="1">
        <f t="shared" si="47"/>
        <v>3.6977008396784299E-2</v>
      </c>
    </row>
    <row r="149" spans="1:30" x14ac:dyDescent="0.35">
      <c r="A149" t="s">
        <v>350</v>
      </c>
      <c r="B149" t="s">
        <v>29</v>
      </c>
      <c r="C149" t="s">
        <v>49</v>
      </c>
      <c r="D149" t="s">
        <v>25</v>
      </c>
      <c r="E149">
        <v>50</v>
      </c>
      <c r="F149" t="s">
        <v>70</v>
      </c>
      <c r="G149" t="s">
        <v>41</v>
      </c>
      <c r="H149" t="s">
        <v>351</v>
      </c>
      <c r="I149">
        <v>9</v>
      </c>
      <c r="J149">
        <v>10</v>
      </c>
      <c r="K149">
        <v>198871</v>
      </c>
      <c r="L149">
        <v>2.7</v>
      </c>
      <c r="M149" t="s">
        <v>43</v>
      </c>
      <c r="N149">
        <v>96</v>
      </c>
      <c r="O149">
        <f t="shared" si="32"/>
        <v>853</v>
      </c>
      <c r="P149">
        <f t="shared" si="33"/>
        <v>425</v>
      </c>
      <c r="Q149">
        <f t="shared" si="34"/>
        <v>428</v>
      </c>
      <c r="R149">
        <f t="shared" si="35"/>
        <v>49.650349650349654</v>
      </c>
      <c r="S149" s="1">
        <f t="shared" si="36"/>
        <v>50.24975024975025</v>
      </c>
      <c r="T149" s="1">
        <f t="shared" si="37"/>
        <v>403</v>
      </c>
      <c r="U149" s="1">
        <f t="shared" si="38"/>
        <v>450</v>
      </c>
      <c r="V149" s="1">
        <f t="shared" si="39"/>
        <v>47.5</v>
      </c>
      <c r="W149" s="1">
        <f t="shared" si="40"/>
        <v>52.5</v>
      </c>
      <c r="X149" s="1">
        <f t="shared" si="41"/>
        <v>15.245017584994139</v>
      </c>
      <c r="Y149" s="1">
        <f t="shared" si="42"/>
        <v>139</v>
      </c>
      <c r="Z149" s="1">
        <f t="shared" si="43"/>
        <v>128</v>
      </c>
      <c r="AA149" s="1">
        <f t="shared" si="44"/>
        <v>3.6237410071942451</v>
      </c>
      <c r="AB149" s="1">
        <f t="shared" si="45"/>
        <v>3.3757812499999993</v>
      </c>
      <c r="AC149" s="1">
        <f t="shared" si="46"/>
        <v>0</v>
      </c>
      <c r="AD149" s="1">
        <f t="shared" si="47"/>
        <v>3.8098880330439018E-2</v>
      </c>
    </row>
    <row r="150" spans="1:30" x14ac:dyDescent="0.35">
      <c r="A150" t="s">
        <v>352</v>
      </c>
      <c r="B150" t="s">
        <v>111</v>
      </c>
      <c r="C150" t="s">
        <v>56</v>
      </c>
      <c r="D150" t="s">
        <v>25</v>
      </c>
      <c r="E150">
        <v>59</v>
      </c>
      <c r="F150" t="s">
        <v>46</v>
      </c>
      <c r="G150" t="s">
        <v>75</v>
      </c>
      <c r="H150" t="s">
        <v>174</v>
      </c>
      <c r="I150">
        <v>12</v>
      </c>
      <c r="J150">
        <v>16</v>
      </c>
      <c r="K150">
        <v>215296</v>
      </c>
      <c r="L150">
        <v>3.6</v>
      </c>
      <c r="M150" t="s">
        <v>43</v>
      </c>
      <c r="N150">
        <v>79</v>
      </c>
      <c r="O150">
        <f t="shared" si="32"/>
        <v>852</v>
      </c>
      <c r="P150">
        <f t="shared" si="33"/>
        <v>425</v>
      </c>
      <c r="Q150">
        <f t="shared" si="34"/>
        <v>427</v>
      </c>
      <c r="R150">
        <f t="shared" si="35"/>
        <v>49.650349650349654</v>
      </c>
      <c r="S150" s="1">
        <f t="shared" si="36"/>
        <v>50.24975024975025</v>
      </c>
      <c r="T150" s="1">
        <f t="shared" si="37"/>
        <v>403</v>
      </c>
      <c r="U150" s="1">
        <f t="shared" si="38"/>
        <v>449</v>
      </c>
      <c r="V150" s="1">
        <f t="shared" si="39"/>
        <v>47.5</v>
      </c>
      <c r="W150" s="1">
        <f t="shared" si="40"/>
        <v>52.5</v>
      </c>
      <c r="X150" s="1">
        <f t="shared" si="41"/>
        <v>15.251173708920188</v>
      </c>
      <c r="Y150" s="1">
        <f t="shared" si="42"/>
        <v>139</v>
      </c>
      <c r="Z150" s="1">
        <f t="shared" si="43"/>
        <v>128</v>
      </c>
      <c r="AA150" s="1">
        <f t="shared" si="44"/>
        <v>3.6237410071942451</v>
      </c>
      <c r="AB150" s="1">
        <f t="shared" si="45"/>
        <v>3.3757812499999993</v>
      </c>
      <c r="AC150" s="1">
        <f t="shared" si="46"/>
        <v>0</v>
      </c>
      <c r="AD150" s="1">
        <f t="shared" si="47"/>
        <v>3.728906244515625E-2</v>
      </c>
    </row>
    <row r="151" spans="1:30" x14ac:dyDescent="0.35">
      <c r="A151" t="s">
        <v>353</v>
      </c>
      <c r="B151" t="s">
        <v>111</v>
      </c>
      <c r="C151" t="s">
        <v>16</v>
      </c>
      <c r="D151" t="s">
        <v>25</v>
      </c>
      <c r="E151">
        <v>22</v>
      </c>
      <c r="F151" t="s">
        <v>74</v>
      </c>
      <c r="G151" t="s">
        <v>41</v>
      </c>
      <c r="H151" t="s">
        <v>290</v>
      </c>
      <c r="I151">
        <v>15</v>
      </c>
      <c r="J151">
        <v>24</v>
      </c>
      <c r="K151">
        <v>199342</v>
      </c>
      <c r="L151">
        <v>3.2</v>
      </c>
      <c r="M151" t="s">
        <v>43</v>
      </c>
      <c r="N151">
        <v>94</v>
      </c>
      <c r="O151">
        <f t="shared" si="32"/>
        <v>851</v>
      </c>
      <c r="P151">
        <f t="shared" si="33"/>
        <v>425</v>
      </c>
      <c r="Q151">
        <f t="shared" si="34"/>
        <v>426</v>
      </c>
      <c r="R151">
        <f t="shared" si="35"/>
        <v>49.650349650349654</v>
      </c>
      <c r="S151" s="1">
        <f t="shared" si="36"/>
        <v>50.24975024975025</v>
      </c>
      <c r="T151" s="1">
        <f t="shared" si="37"/>
        <v>403</v>
      </c>
      <c r="U151" s="1">
        <f t="shared" si="38"/>
        <v>448</v>
      </c>
      <c r="V151" s="1">
        <f t="shared" si="39"/>
        <v>47.5</v>
      </c>
      <c r="W151" s="1">
        <f t="shared" si="40"/>
        <v>52.5</v>
      </c>
      <c r="X151" s="1">
        <f t="shared" si="41"/>
        <v>15.250293772032903</v>
      </c>
      <c r="Y151" s="1">
        <f t="shared" si="42"/>
        <v>139</v>
      </c>
      <c r="Z151" s="1">
        <f t="shared" si="43"/>
        <v>128</v>
      </c>
      <c r="AA151" s="1">
        <f t="shared" si="44"/>
        <v>3.6237410071942451</v>
      </c>
      <c r="AB151" s="1">
        <f t="shared" si="45"/>
        <v>3.3757812499999993</v>
      </c>
      <c r="AC151" s="1">
        <f t="shared" si="46"/>
        <v>0</v>
      </c>
      <c r="AD151" s="1">
        <f t="shared" si="47"/>
        <v>3.7429518959234236E-2</v>
      </c>
    </row>
    <row r="152" spans="1:30" x14ac:dyDescent="0.35">
      <c r="A152" t="s">
        <v>354</v>
      </c>
      <c r="B152" t="s">
        <v>55</v>
      </c>
      <c r="C152" t="s">
        <v>64</v>
      </c>
      <c r="D152" t="s">
        <v>17</v>
      </c>
      <c r="E152">
        <v>52</v>
      </c>
      <c r="F152" t="s">
        <v>46</v>
      </c>
      <c r="G152" t="s">
        <v>61</v>
      </c>
      <c r="H152" t="s">
        <v>355</v>
      </c>
      <c r="I152">
        <v>13</v>
      </c>
      <c r="J152">
        <v>23</v>
      </c>
      <c r="K152">
        <v>59175</v>
      </c>
      <c r="L152">
        <v>3.7</v>
      </c>
      <c r="M152" t="s">
        <v>21</v>
      </c>
      <c r="N152">
        <v>36</v>
      </c>
      <c r="O152">
        <f t="shared" si="32"/>
        <v>850</v>
      </c>
      <c r="P152">
        <f t="shared" si="33"/>
        <v>425</v>
      </c>
      <c r="Q152">
        <f t="shared" si="34"/>
        <v>425</v>
      </c>
      <c r="R152">
        <f t="shared" si="35"/>
        <v>49.650349650349654</v>
      </c>
      <c r="S152" s="1">
        <f t="shared" si="36"/>
        <v>50.24975024975025</v>
      </c>
      <c r="T152" s="1">
        <f t="shared" si="37"/>
        <v>403</v>
      </c>
      <c r="U152" s="1">
        <f t="shared" si="38"/>
        <v>447</v>
      </c>
      <c r="V152" s="1">
        <f t="shared" si="39"/>
        <v>47.5</v>
      </c>
      <c r="W152" s="1">
        <f t="shared" si="40"/>
        <v>52.5</v>
      </c>
      <c r="X152" s="1">
        <f t="shared" si="41"/>
        <v>15.24</v>
      </c>
      <c r="Y152" s="1">
        <f t="shared" si="42"/>
        <v>138</v>
      </c>
      <c r="Z152" s="1">
        <f t="shared" si="43"/>
        <v>128</v>
      </c>
      <c r="AA152" s="1">
        <f t="shared" si="44"/>
        <v>3.6268115942028989</v>
      </c>
      <c r="AB152" s="1">
        <f t="shared" si="45"/>
        <v>3.3757812499999993</v>
      </c>
      <c r="AC152" s="1">
        <f t="shared" si="46"/>
        <v>1</v>
      </c>
      <c r="AD152" s="1">
        <f t="shared" si="47"/>
        <v>3.8896512188722462E-2</v>
      </c>
    </row>
    <row r="153" spans="1:30" x14ac:dyDescent="0.35">
      <c r="A153" t="s">
        <v>356</v>
      </c>
      <c r="B153" t="s">
        <v>96</v>
      </c>
      <c r="C153" t="s">
        <v>30</v>
      </c>
      <c r="D153" t="s">
        <v>25</v>
      </c>
      <c r="E153">
        <v>52</v>
      </c>
      <c r="F153" t="s">
        <v>37</v>
      </c>
      <c r="G153" t="s">
        <v>26</v>
      </c>
      <c r="H153" t="s">
        <v>357</v>
      </c>
      <c r="I153">
        <v>15</v>
      </c>
      <c r="J153">
        <v>25</v>
      </c>
      <c r="K153">
        <v>435623</v>
      </c>
      <c r="L153">
        <v>2.5</v>
      </c>
      <c r="M153" t="s">
        <v>43</v>
      </c>
      <c r="N153">
        <v>76</v>
      </c>
      <c r="O153">
        <f t="shared" si="32"/>
        <v>849</v>
      </c>
      <c r="P153">
        <f t="shared" si="33"/>
        <v>424</v>
      </c>
      <c r="Q153">
        <f t="shared" si="34"/>
        <v>425</v>
      </c>
      <c r="R153">
        <f t="shared" si="35"/>
        <v>49.650349650349654</v>
      </c>
      <c r="S153" s="1">
        <f t="shared" si="36"/>
        <v>50.24975024975025</v>
      </c>
      <c r="T153" s="1">
        <f t="shared" si="37"/>
        <v>402</v>
      </c>
      <c r="U153" s="1">
        <f t="shared" si="38"/>
        <v>447</v>
      </c>
      <c r="V153" s="1">
        <f t="shared" si="39"/>
        <v>47.5</v>
      </c>
      <c r="W153" s="1">
        <f t="shared" si="40"/>
        <v>52.5</v>
      </c>
      <c r="X153" s="1">
        <f t="shared" si="41"/>
        <v>15.230859835100118</v>
      </c>
      <c r="Y153" s="1">
        <f t="shared" si="42"/>
        <v>138</v>
      </c>
      <c r="Z153" s="1">
        <f t="shared" si="43"/>
        <v>128</v>
      </c>
      <c r="AA153" s="1">
        <f t="shared" si="44"/>
        <v>3.6268115942028989</v>
      </c>
      <c r="AB153" s="1">
        <f t="shared" si="45"/>
        <v>3.3757812499999993</v>
      </c>
      <c r="AC153" s="1">
        <f t="shared" si="46"/>
        <v>0</v>
      </c>
      <c r="AD153" s="1">
        <f t="shared" si="47"/>
        <v>3.7558243340223049E-2</v>
      </c>
    </row>
    <row r="154" spans="1:30" x14ac:dyDescent="0.35">
      <c r="A154" t="s">
        <v>358</v>
      </c>
      <c r="B154" t="s">
        <v>60</v>
      </c>
      <c r="C154" t="s">
        <v>16</v>
      </c>
      <c r="D154" t="s">
        <v>17</v>
      </c>
      <c r="E154">
        <v>48</v>
      </c>
      <c r="F154" t="s">
        <v>18</v>
      </c>
      <c r="G154" t="s">
        <v>19</v>
      </c>
      <c r="H154" t="s">
        <v>359</v>
      </c>
      <c r="I154">
        <v>12</v>
      </c>
      <c r="J154">
        <v>13</v>
      </c>
      <c r="K154">
        <v>287199</v>
      </c>
      <c r="L154">
        <v>3.9</v>
      </c>
      <c r="M154" t="s">
        <v>21</v>
      </c>
      <c r="N154">
        <v>42</v>
      </c>
      <c r="O154">
        <f t="shared" si="32"/>
        <v>848</v>
      </c>
      <c r="P154">
        <f t="shared" si="33"/>
        <v>424</v>
      </c>
      <c r="Q154">
        <f t="shared" si="34"/>
        <v>424</v>
      </c>
      <c r="R154">
        <f t="shared" si="35"/>
        <v>49.650349650349654</v>
      </c>
      <c r="S154" s="1">
        <f t="shared" si="36"/>
        <v>50.24975024975025</v>
      </c>
      <c r="T154" s="1">
        <f t="shared" si="37"/>
        <v>402</v>
      </c>
      <c r="U154" s="1">
        <f t="shared" si="38"/>
        <v>446</v>
      </c>
      <c r="V154" s="1">
        <f t="shared" si="39"/>
        <v>47.5</v>
      </c>
      <c r="W154" s="1">
        <f t="shared" si="40"/>
        <v>52.5</v>
      </c>
      <c r="X154" s="1">
        <f t="shared" si="41"/>
        <v>15.21933962264151</v>
      </c>
      <c r="Y154" s="1">
        <f t="shared" si="42"/>
        <v>138</v>
      </c>
      <c r="Z154" s="1">
        <f t="shared" si="43"/>
        <v>128</v>
      </c>
      <c r="AA154" s="1">
        <f t="shared" si="44"/>
        <v>3.6268115942028989</v>
      </c>
      <c r="AB154" s="1">
        <f t="shared" si="45"/>
        <v>3.3757812499999993</v>
      </c>
      <c r="AC154" s="1">
        <f t="shared" si="46"/>
        <v>1</v>
      </c>
      <c r="AD154" s="1">
        <f t="shared" si="47"/>
        <v>3.9203546674854199E-2</v>
      </c>
    </row>
    <row r="155" spans="1:30" x14ac:dyDescent="0.35">
      <c r="A155" t="s">
        <v>360</v>
      </c>
      <c r="B155" t="s">
        <v>23</v>
      </c>
      <c r="C155" t="s">
        <v>56</v>
      </c>
      <c r="D155" t="s">
        <v>17</v>
      </c>
      <c r="E155">
        <v>56</v>
      </c>
      <c r="F155" t="s">
        <v>70</v>
      </c>
      <c r="G155" t="s">
        <v>26</v>
      </c>
      <c r="H155" t="s">
        <v>361</v>
      </c>
      <c r="I155">
        <v>4</v>
      </c>
      <c r="J155">
        <v>5</v>
      </c>
      <c r="K155">
        <v>380710</v>
      </c>
      <c r="L155">
        <v>4.2</v>
      </c>
      <c r="M155" t="s">
        <v>43</v>
      </c>
      <c r="N155">
        <v>92</v>
      </c>
      <c r="O155">
        <f t="shared" si="32"/>
        <v>847</v>
      </c>
      <c r="P155">
        <f t="shared" si="33"/>
        <v>423</v>
      </c>
      <c r="Q155">
        <f t="shared" si="34"/>
        <v>424</v>
      </c>
      <c r="R155">
        <f t="shared" si="35"/>
        <v>49.650349650349654</v>
      </c>
      <c r="S155" s="1">
        <f t="shared" si="36"/>
        <v>50.24975024975025</v>
      </c>
      <c r="T155" s="1">
        <f t="shared" si="37"/>
        <v>401</v>
      </c>
      <c r="U155" s="1">
        <f t="shared" si="38"/>
        <v>446</v>
      </c>
      <c r="V155" s="1">
        <f t="shared" si="39"/>
        <v>47.5</v>
      </c>
      <c r="W155" s="1">
        <f t="shared" si="40"/>
        <v>52.5</v>
      </c>
      <c r="X155" s="1">
        <f t="shared" si="41"/>
        <v>15.221959858323494</v>
      </c>
      <c r="Y155" s="1">
        <f t="shared" si="42"/>
        <v>138</v>
      </c>
      <c r="Z155" s="1">
        <f t="shared" si="43"/>
        <v>128</v>
      </c>
      <c r="AA155" s="1">
        <f t="shared" si="44"/>
        <v>3.6268115942028989</v>
      </c>
      <c r="AB155" s="1">
        <f t="shared" si="45"/>
        <v>3.3757812499999993</v>
      </c>
      <c r="AC155" s="1">
        <f t="shared" si="46"/>
        <v>0</v>
      </c>
      <c r="AD155" s="1">
        <f t="shared" si="47"/>
        <v>3.9630907734448703E-2</v>
      </c>
    </row>
    <row r="156" spans="1:30" x14ac:dyDescent="0.35">
      <c r="A156" t="s">
        <v>362</v>
      </c>
      <c r="B156" t="s">
        <v>55</v>
      </c>
      <c r="C156" t="s">
        <v>24</v>
      </c>
      <c r="D156" t="s">
        <v>25</v>
      </c>
      <c r="E156">
        <v>56</v>
      </c>
      <c r="F156" t="s">
        <v>37</v>
      </c>
      <c r="G156" t="s">
        <v>19</v>
      </c>
      <c r="H156" t="s">
        <v>363</v>
      </c>
      <c r="I156">
        <v>10</v>
      </c>
      <c r="J156">
        <v>16</v>
      </c>
      <c r="K156">
        <v>292969</v>
      </c>
      <c r="L156">
        <v>3.6</v>
      </c>
      <c r="M156" t="s">
        <v>43</v>
      </c>
      <c r="N156">
        <v>79</v>
      </c>
      <c r="O156">
        <f t="shared" si="32"/>
        <v>846</v>
      </c>
      <c r="P156">
        <f t="shared" si="33"/>
        <v>422</v>
      </c>
      <c r="Q156">
        <f t="shared" si="34"/>
        <v>424</v>
      </c>
      <c r="R156">
        <f t="shared" si="35"/>
        <v>49.650349650349654</v>
      </c>
      <c r="S156" s="1">
        <f t="shared" si="36"/>
        <v>50.24975024975025</v>
      </c>
      <c r="T156" s="1">
        <f t="shared" si="37"/>
        <v>401</v>
      </c>
      <c r="U156" s="1">
        <f t="shared" si="38"/>
        <v>445</v>
      </c>
      <c r="V156" s="1">
        <f t="shared" si="39"/>
        <v>47.5</v>
      </c>
      <c r="W156" s="1">
        <f t="shared" si="40"/>
        <v>52.5</v>
      </c>
      <c r="X156" s="1">
        <f t="shared" si="41"/>
        <v>15.23404255319149</v>
      </c>
      <c r="Y156" s="1">
        <f t="shared" si="42"/>
        <v>138</v>
      </c>
      <c r="Z156" s="1">
        <f t="shared" si="43"/>
        <v>128</v>
      </c>
      <c r="AA156" s="1">
        <f t="shared" si="44"/>
        <v>3.6268115942028989</v>
      </c>
      <c r="AB156" s="1">
        <f t="shared" si="45"/>
        <v>3.3757812499999993</v>
      </c>
      <c r="AC156" s="1">
        <f t="shared" si="46"/>
        <v>0</v>
      </c>
      <c r="AD156" s="1">
        <f t="shared" si="47"/>
        <v>3.8044772218809073E-2</v>
      </c>
    </row>
    <row r="157" spans="1:30" x14ac:dyDescent="0.35">
      <c r="A157" t="s">
        <v>364</v>
      </c>
      <c r="B157" t="s">
        <v>29</v>
      </c>
      <c r="C157" t="s">
        <v>24</v>
      </c>
      <c r="D157" t="s">
        <v>17</v>
      </c>
      <c r="E157">
        <v>46</v>
      </c>
      <c r="F157" t="s">
        <v>46</v>
      </c>
      <c r="G157" t="s">
        <v>26</v>
      </c>
      <c r="H157" t="s">
        <v>365</v>
      </c>
      <c r="I157">
        <v>2</v>
      </c>
      <c r="J157">
        <v>4</v>
      </c>
      <c r="K157">
        <v>301717</v>
      </c>
      <c r="L157">
        <v>2.5</v>
      </c>
      <c r="M157" t="s">
        <v>21</v>
      </c>
      <c r="N157">
        <v>37</v>
      </c>
      <c r="O157">
        <f t="shared" si="32"/>
        <v>845</v>
      </c>
      <c r="P157">
        <f t="shared" si="33"/>
        <v>422</v>
      </c>
      <c r="Q157">
        <f t="shared" si="34"/>
        <v>423</v>
      </c>
      <c r="R157">
        <f t="shared" si="35"/>
        <v>49.650349650349654</v>
      </c>
      <c r="S157" s="1">
        <f t="shared" si="36"/>
        <v>50.24975024975025</v>
      </c>
      <c r="T157" s="1">
        <f t="shared" si="37"/>
        <v>401</v>
      </c>
      <c r="U157" s="1">
        <f t="shared" si="38"/>
        <v>444</v>
      </c>
      <c r="V157" s="1">
        <f t="shared" si="39"/>
        <v>47.5</v>
      </c>
      <c r="W157" s="1">
        <f t="shared" si="40"/>
        <v>52.5</v>
      </c>
      <c r="X157" s="1">
        <f t="shared" si="41"/>
        <v>15.233136094674556</v>
      </c>
      <c r="Y157" s="1">
        <f t="shared" si="42"/>
        <v>138</v>
      </c>
      <c r="Z157" s="1">
        <f t="shared" si="43"/>
        <v>128</v>
      </c>
      <c r="AA157" s="1">
        <f t="shared" si="44"/>
        <v>3.6268115942028989</v>
      </c>
      <c r="AB157" s="1">
        <f t="shared" si="45"/>
        <v>3.3757812499999993</v>
      </c>
      <c r="AC157" s="1">
        <f t="shared" si="46"/>
        <v>1</v>
      </c>
      <c r="AD157" s="1">
        <f t="shared" si="47"/>
        <v>3.8189835498752107E-2</v>
      </c>
    </row>
    <row r="158" spans="1:30" x14ac:dyDescent="0.35">
      <c r="A158" t="s">
        <v>366</v>
      </c>
      <c r="B158" t="s">
        <v>111</v>
      </c>
      <c r="C158" t="s">
        <v>93</v>
      </c>
      <c r="D158" t="s">
        <v>25</v>
      </c>
      <c r="E158">
        <v>32</v>
      </c>
      <c r="F158" t="s">
        <v>18</v>
      </c>
      <c r="G158" t="s">
        <v>71</v>
      </c>
      <c r="H158" t="s">
        <v>367</v>
      </c>
      <c r="I158">
        <v>4</v>
      </c>
      <c r="J158">
        <v>4</v>
      </c>
      <c r="K158">
        <v>344611</v>
      </c>
      <c r="L158">
        <v>2.2000000000000002</v>
      </c>
      <c r="M158" t="s">
        <v>43</v>
      </c>
      <c r="N158">
        <v>98</v>
      </c>
      <c r="O158">
        <f t="shared" si="32"/>
        <v>844</v>
      </c>
      <c r="P158">
        <f t="shared" si="33"/>
        <v>421</v>
      </c>
      <c r="Q158">
        <f t="shared" si="34"/>
        <v>423</v>
      </c>
      <c r="R158">
        <f t="shared" si="35"/>
        <v>49.650349650349654</v>
      </c>
      <c r="S158" s="1">
        <f t="shared" si="36"/>
        <v>50.24975024975025</v>
      </c>
      <c r="T158" s="1">
        <f t="shared" si="37"/>
        <v>400</v>
      </c>
      <c r="U158" s="1">
        <f t="shared" si="38"/>
        <v>444</v>
      </c>
      <c r="V158" s="1">
        <f t="shared" si="39"/>
        <v>47.5</v>
      </c>
      <c r="W158" s="1">
        <f t="shared" si="40"/>
        <v>52.5</v>
      </c>
      <c r="X158" s="1">
        <f t="shared" si="41"/>
        <v>15.246445497630331</v>
      </c>
      <c r="Y158" s="1">
        <f t="shared" si="42"/>
        <v>138</v>
      </c>
      <c r="Z158" s="1">
        <f t="shared" si="43"/>
        <v>128</v>
      </c>
      <c r="AA158" s="1">
        <f t="shared" si="44"/>
        <v>3.6268115942028989</v>
      </c>
      <c r="AB158" s="1">
        <f t="shared" si="45"/>
        <v>3.3757812499999993</v>
      </c>
      <c r="AC158" s="1">
        <f t="shared" si="46"/>
        <v>0</v>
      </c>
      <c r="AD158" s="1">
        <f t="shared" si="47"/>
        <v>4.0302994832550759E-2</v>
      </c>
    </row>
    <row r="159" spans="1:30" x14ac:dyDescent="0.35">
      <c r="A159" t="s">
        <v>368</v>
      </c>
      <c r="B159" t="s">
        <v>96</v>
      </c>
      <c r="C159" t="s">
        <v>93</v>
      </c>
      <c r="D159" t="s">
        <v>25</v>
      </c>
      <c r="E159">
        <v>50</v>
      </c>
      <c r="F159" t="s">
        <v>70</v>
      </c>
      <c r="G159" t="s">
        <v>41</v>
      </c>
      <c r="H159" t="s">
        <v>369</v>
      </c>
      <c r="I159">
        <v>20</v>
      </c>
      <c r="J159">
        <v>24</v>
      </c>
      <c r="K159">
        <v>316054</v>
      </c>
      <c r="L159">
        <v>2</v>
      </c>
      <c r="M159" t="s">
        <v>21</v>
      </c>
      <c r="N159">
        <v>70</v>
      </c>
      <c r="O159">
        <f t="shared" si="32"/>
        <v>843</v>
      </c>
      <c r="P159">
        <f t="shared" si="33"/>
        <v>421</v>
      </c>
      <c r="Q159">
        <f t="shared" si="34"/>
        <v>422</v>
      </c>
      <c r="R159">
        <f t="shared" si="35"/>
        <v>49.650349650349654</v>
      </c>
      <c r="S159" s="1">
        <f t="shared" si="36"/>
        <v>50.24975024975025</v>
      </c>
      <c r="T159" s="1">
        <f t="shared" si="37"/>
        <v>400</v>
      </c>
      <c r="U159" s="1">
        <f t="shared" si="38"/>
        <v>443</v>
      </c>
      <c r="V159" s="1">
        <f t="shared" si="39"/>
        <v>47.5</v>
      </c>
      <c r="W159" s="1">
        <f t="shared" si="40"/>
        <v>52.5</v>
      </c>
      <c r="X159" s="1">
        <f t="shared" si="41"/>
        <v>15.259786476868328</v>
      </c>
      <c r="Y159" s="1">
        <f t="shared" si="42"/>
        <v>138</v>
      </c>
      <c r="Z159" s="1">
        <f t="shared" si="43"/>
        <v>128</v>
      </c>
      <c r="AA159" s="1">
        <f t="shared" si="44"/>
        <v>3.6268115942028989</v>
      </c>
      <c r="AB159" s="1">
        <f t="shared" si="45"/>
        <v>3.3757812499999993</v>
      </c>
      <c r="AC159" s="1">
        <f t="shared" si="46"/>
        <v>1</v>
      </c>
      <c r="AD159" s="1">
        <f t="shared" si="47"/>
        <v>3.8552504537701197E-2</v>
      </c>
    </row>
    <row r="160" spans="1:30" x14ac:dyDescent="0.35">
      <c r="A160" t="s">
        <v>370</v>
      </c>
      <c r="B160" t="s">
        <v>78</v>
      </c>
      <c r="C160" t="s">
        <v>36</v>
      </c>
      <c r="D160" t="s">
        <v>25</v>
      </c>
      <c r="E160">
        <v>25</v>
      </c>
      <c r="F160" t="s">
        <v>70</v>
      </c>
      <c r="G160" t="s">
        <v>71</v>
      </c>
      <c r="H160" t="s">
        <v>371</v>
      </c>
      <c r="I160">
        <v>15</v>
      </c>
      <c r="J160">
        <v>23</v>
      </c>
      <c r="K160">
        <v>154472</v>
      </c>
      <c r="L160">
        <v>2.5</v>
      </c>
      <c r="M160" t="s">
        <v>43</v>
      </c>
      <c r="N160">
        <v>92</v>
      </c>
      <c r="O160">
        <f t="shared" si="32"/>
        <v>842</v>
      </c>
      <c r="P160">
        <f t="shared" si="33"/>
        <v>421</v>
      </c>
      <c r="Q160">
        <f t="shared" si="34"/>
        <v>421</v>
      </c>
      <c r="R160">
        <f t="shared" si="35"/>
        <v>49.650349650349654</v>
      </c>
      <c r="S160" s="1">
        <f t="shared" si="36"/>
        <v>50.24975024975025</v>
      </c>
      <c r="T160" s="1">
        <f t="shared" si="37"/>
        <v>399</v>
      </c>
      <c r="U160" s="1">
        <f t="shared" si="38"/>
        <v>443</v>
      </c>
      <c r="V160" s="1">
        <f t="shared" si="39"/>
        <v>47.5</v>
      </c>
      <c r="W160" s="1">
        <f t="shared" si="40"/>
        <v>52.5</v>
      </c>
      <c r="X160" s="1">
        <f t="shared" si="41"/>
        <v>15.249406175771972</v>
      </c>
      <c r="Y160" s="1">
        <f t="shared" si="42"/>
        <v>138</v>
      </c>
      <c r="Z160" s="1">
        <f t="shared" si="43"/>
        <v>128</v>
      </c>
      <c r="AA160" s="1">
        <f t="shared" si="44"/>
        <v>3.6268115942028989</v>
      </c>
      <c r="AB160" s="1">
        <f t="shared" si="45"/>
        <v>3.3757812499999993</v>
      </c>
      <c r="AC160" s="1">
        <f t="shared" si="46"/>
        <v>0</v>
      </c>
      <c r="AD160" s="1">
        <f t="shared" si="47"/>
        <v>3.703040004944836E-2</v>
      </c>
    </row>
    <row r="161" spans="1:30" x14ac:dyDescent="0.35">
      <c r="A161" t="s">
        <v>372</v>
      </c>
      <c r="B161" t="s">
        <v>69</v>
      </c>
      <c r="C161" t="s">
        <v>30</v>
      </c>
      <c r="D161" t="s">
        <v>25</v>
      </c>
      <c r="E161">
        <v>43</v>
      </c>
      <c r="F161" t="s">
        <v>31</v>
      </c>
      <c r="G161" t="s">
        <v>41</v>
      </c>
      <c r="H161" t="s">
        <v>373</v>
      </c>
      <c r="I161">
        <v>5</v>
      </c>
      <c r="J161">
        <v>5</v>
      </c>
      <c r="K161">
        <v>50749</v>
      </c>
      <c r="L161">
        <v>4.5</v>
      </c>
      <c r="M161" t="s">
        <v>21</v>
      </c>
      <c r="N161">
        <v>53</v>
      </c>
      <c r="O161">
        <f t="shared" si="32"/>
        <v>841</v>
      </c>
      <c r="P161">
        <f t="shared" si="33"/>
        <v>421</v>
      </c>
      <c r="Q161">
        <f t="shared" si="34"/>
        <v>420</v>
      </c>
      <c r="R161">
        <f t="shared" si="35"/>
        <v>49.650349650349654</v>
      </c>
      <c r="S161" s="1">
        <f t="shared" si="36"/>
        <v>50.24975024975025</v>
      </c>
      <c r="T161" s="1">
        <f t="shared" si="37"/>
        <v>399</v>
      </c>
      <c r="U161" s="1">
        <f t="shared" si="38"/>
        <v>442</v>
      </c>
      <c r="V161" s="1">
        <f t="shared" si="39"/>
        <v>47.5</v>
      </c>
      <c r="W161" s="1">
        <f t="shared" si="40"/>
        <v>52.5</v>
      </c>
      <c r="X161" s="1">
        <f t="shared" si="41"/>
        <v>15.240190249702735</v>
      </c>
      <c r="Y161" s="1">
        <f t="shared" si="42"/>
        <v>138</v>
      </c>
      <c r="Z161" s="1">
        <f t="shared" si="43"/>
        <v>128</v>
      </c>
      <c r="AA161" s="1">
        <f t="shared" si="44"/>
        <v>3.6268115942028989</v>
      </c>
      <c r="AB161" s="1">
        <f t="shared" si="45"/>
        <v>3.3757812499999993</v>
      </c>
      <c r="AC161" s="1">
        <f t="shared" si="46"/>
        <v>1</v>
      </c>
      <c r="AD161" s="1">
        <f t="shared" si="47"/>
        <v>3.8346484844369859E-2</v>
      </c>
    </row>
    <row r="162" spans="1:30" x14ac:dyDescent="0.35">
      <c r="A162" t="s">
        <v>374</v>
      </c>
      <c r="B162" t="s">
        <v>23</v>
      </c>
      <c r="C162" t="s">
        <v>30</v>
      </c>
      <c r="D162" t="s">
        <v>25</v>
      </c>
      <c r="E162">
        <v>45</v>
      </c>
      <c r="F162" t="s">
        <v>18</v>
      </c>
      <c r="G162" t="s">
        <v>88</v>
      </c>
      <c r="H162" t="s">
        <v>375</v>
      </c>
      <c r="I162">
        <v>1</v>
      </c>
      <c r="J162">
        <v>4</v>
      </c>
      <c r="K162">
        <v>146100</v>
      </c>
      <c r="L162">
        <v>3.1</v>
      </c>
      <c r="M162" t="s">
        <v>43</v>
      </c>
      <c r="N162">
        <v>73</v>
      </c>
      <c r="O162">
        <f t="shared" si="32"/>
        <v>840</v>
      </c>
      <c r="P162">
        <f t="shared" si="33"/>
        <v>421</v>
      </c>
      <c r="Q162">
        <f t="shared" si="34"/>
        <v>419</v>
      </c>
      <c r="R162">
        <f t="shared" si="35"/>
        <v>49.650349650349654</v>
      </c>
      <c r="S162" s="1">
        <f t="shared" si="36"/>
        <v>50.24975024975025</v>
      </c>
      <c r="T162" s="1">
        <f t="shared" si="37"/>
        <v>398</v>
      </c>
      <c r="U162" s="1">
        <f t="shared" si="38"/>
        <v>442</v>
      </c>
      <c r="V162" s="1">
        <f t="shared" si="39"/>
        <v>47.5</v>
      </c>
      <c r="W162" s="1">
        <f t="shared" si="40"/>
        <v>52.5</v>
      </c>
      <c r="X162" s="1">
        <f t="shared" si="41"/>
        <v>15.252380952380953</v>
      </c>
      <c r="Y162" s="1">
        <f t="shared" si="42"/>
        <v>138</v>
      </c>
      <c r="Z162" s="1">
        <f t="shared" si="43"/>
        <v>127</v>
      </c>
      <c r="AA162" s="1">
        <f t="shared" si="44"/>
        <v>3.6268115942028989</v>
      </c>
      <c r="AB162" s="1">
        <f t="shared" si="45"/>
        <v>3.366929133858267</v>
      </c>
      <c r="AC162" s="1">
        <f t="shared" si="46"/>
        <v>0</v>
      </c>
      <c r="AD162" s="1">
        <f t="shared" si="47"/>
        <v>4.0284535231361822E-2</v>
      </c>
    </row>
    <row r="163" spans="1:30" x14ac:dyDescent="0.35">
      <c r="A163" t="s">
        <v>376</v>
      </c>
      <c r="B163" t="s">
        <v>35</v>
      </c>
      <c r="C163" t="s">
        <v>49</v>
      </c>
      <c r="D163" t="s">
        <v>17</v>
      </c>
      <c r="E163">
        <v>24</v>
      </c>
      <c r="F163" t="s">
        <v>79</v>
      </c>
      <c r="G163" t="s">
        <v>41</v>
      </c>
      <c r="H163" t="s">
        <v>377</v>
      </c>
      <c r="I163">
        <v>5</v>
      </c>
      <c r="J163">
        <v>12</v>
      </c>
      <c r="K163">
        <v>286083</v>
      </c>
      <c r="L163">
        <v>3.3</v>
      </c>
      <c r="M163" t="s">
        <v>21</v>
      </c>
      <c r="N163">
        <v>61</v>
      </c>
      <c r="O163">
        <f t="shared" si="32"/>
        <v>839</v>
      </c>
      <c r="P163">
        <f t="shared" si="33"/>
        <v>421</v>
      </c>
      <c r="Q163">
        <f t="shared" si="34"/>
        <v>418</v>
      </c>
      <c r="R163">
        <f t="shared" si="35"/>
        <v>49.650349650349654</v>
      </c>
      <c r="S163" s="1">
        <f t="shared" si="36"/>
        <v>50.24975024975025</v>
      </c>
      <c r="T163" s="1">
        <f t="shared" si="37"/>
        <v>398</v>
      </c>
      <c r="U163" s="1">
        <f t="shared" si="38"/>
        <v>441</v>
      </c>
      <c r="V163" s="1">
        <f t="shared" si="39"/>
        <v>47.5</v>
      </c>
      <c r="W163" s="1">
        <f t="shared" si="40"/>
        <v>52.5</v>
      </c>
      <c r="X163" s="1">
        <f t="shared" si="41"/>
        <v>15.265792610250298</v>
      </c>
      <c r="Y163" s="1">
        <f t="shared" si="42"/>
        <v>138</v>
      </c>
      <c r="Z163" s="1">
        <f t="shared" si="43"/>
        <v>127</v>
      </c>
      <c r="AA163" s="1">
        <f t="shared" si="44"/>
        <v>3.6268115942028989</v>
      </c>
      <c r="AB163" s="1">
        <f t="shared" si="45"/>
        <v>3.366929133858267</v>
      </c>
      <c r="AC163" s="1">
        <f t="shared" si="46"/>
        <v>1</v>
      </c>
      <c r="AD163" s="1">
        <f t="shared" si="47"/>
        <v>3.8521371326340759E-2</v>
      </c>
    </row>
    <row r="164" spans="1:30" x14ac:dyDescent="0.35">
      <c r="A164" t="s">
        <v>378</v>
      </c>
      <c r="B164" t="s">
        <v>96</v>
      </c>
      <c r="C164" t="s">
        <v>93</v>
      </c>
      <c r="D164" t="s">
        <v>17</v>
      </c>
      <c r="E164">
        <v>58</v>
      </c>
      <c r="F164" t="s">
        <v>37</v>
      </c>
      <c r="G164" t="s">
        <v>19</v>
      </c>
      <c r="H164" t="s">
        <v>379</v>
      </c>
      <c r="I164">
        <v>17</v>
      </c>
      <c r="J164">
        <v>18</v>
      </c>
      <c r="K164">
        <v>370574</v>
      </c>
      <c r="L164">
        <v>2.2999999999999998</v>
      </c>
      <c r="M164" t="s">
        <v>43</v>
      </c>
      <c r="N164">
        <v>83</v>
      </c>
      <c r="O164">
        <f t="shared" si="32"/>
        <v>838</v>
      </c>
      <c r="P164">
        <f t="shared" si="33"/>
        <v>420</v>
      </c>
      <c r="Q164">
        <f t="shared" si="34"/>
        <v>418</v>
      </c>
      <c r="R164">
        <f t="shared" si="35"/>
        <v>49.650349650349654</v>
      </c>
      <c r="S164" s="1">
        <f t="shared" si="36"/>
        <v>50.24975024975025</v>
      </c>
      <c r="T164" s="1">
        <f t="shared" si="37"/>
        <v>397</v>
      </c>
      <c r="U164" s="1">
        <f t="shared" si="38"/>
        <v>441</v>
      </c>
      <c r="V164" s="1">
        <f t="shared" si="39"/>
        <v>47.5</v>
      </c>
      <c r="W164" s="1">
        <f t="shared" si="40"/>
        <v>52.5</v>
      </c>
      <c r="X164" s="1">
        <f t="shared" si="41"/>
        <v>15.269689737470166</v>
      </c>
      <c r="Y164" s="1">
        <f t="shared" si="42"/>
        <v>138</v>
      </c>
      <c r="Z164" s="1">
        <f t="shared" si="43"/>
        <v>127</v>
      </c>
      <c r="AA164" s="1">
        <f t="shared" si="44"/>
        <v>3.6268115942028989</v>
      </c>
      <c r="AB164" s="1">
        <f t="shared" si="45"/>
        <v>3.366929133858267</v>
      </c>
      <c r="AC164" s="1">
        <f t="shared" si="46"/>
        <v>0</v>
      </c>
      <c r="AD164" s="1">
        <f t="shared" si="47"/>
        <v>3.9147786839068111E-2</v>
      </c>
    </row>
    <row r="165" spans="1:30" x14ac:dyDescent="0.35">
      <c r="A165" t="s">
        <v>380</v>
      </c>
      <c r="B165" t="s">
        <v>45</v>
      </c>
      <c r="C165" t="s">
        <v>82</v>
      </c>
      <c r="D165" t="s">
        <v>25</v>
      </c>
      <c r="E165">
        <v>29</v>
      </c>
      <c r="F165" t="s">
        <v>31</v>
      </c>
      <c r="G165" t="s">
        <v>71</v>
      </c>
      <c r="H165" t="s">
        <v>381</v>
      </c>
      <c r="I165">
        <v>5</v>
      </c>
      <c r="J165">
        <v>9</v>
      </c>
      <c r="K165">
        <v>219527</v>
      </c>
      <c r="L165">
        <v>3.2</v>
      </c>
      <c r="M165" t="s">
        <v>21</v>
      </c>
      <c r="N165">
        <v>30</v>
      </c>
      <c r="O165">
        <f t="shared" si="32"/>
        <v>837</v>
      </c>
      <c r="P165">
        <f t="shared" si="33"/>
        <v>419</v>
      </c>
      <c r="Q165">
        <f t="shared" si="34"/>
        <v>418</v>
      </c>
      <c r="R165">
        <f t="shared" si="35"/>
        <v>49.650349650349654</v>
      </c>
      <c r="S165" s="1">
        <f t="shared" si="36"/>
        <v>50.24975024975025</v>
      </c>
      <c r="T165" s="1">
        <f t="shared" si="37"/>
        <v>397</v>
      </c>
      <c r="U165" s="1">
        <f t="shared" si="38"/>
        <v>440</v>
      </c>
      <c r="V165" s="1">
        <f t="shared" si="39"/>
        <v>47.5</v>
      </c>
      <c r="W165" s="1">
        <f t="shared" si="40"/>
        <v>52.5</v>
      </c>
      <c r="X165" s="1">
        <f t="shared" si="41"/>
        <v>15.266427718040621</v>
      </c>
      <c r="Y165" s="1">
        <f t="shared" si="42"/>
        <v>138</v>
      </c>
      <c r="Z165" s="1">
        <f t="shared" si="43"/>
        <v>127</v>
      </c>
      <c r="AA165" s="1">
        <f t="shared" si="44"/>
        <v>3.6268115942028989</v>
      </c>
      <c r="AB165" s="1">
        <f t="shared" si="45"/>
        <v>3.366929133858267</v>
      </c>
      <c r="AC165" s="1">
        <f t="shared" si="46"/>
        <v>1</v>
      </c>
      <c r="AD165" s="1">
        <f t="shared" si="47"/>
        <v>3.9621723635960247E-2</v>
      </c>
    </row>
    <row r="166" spans="1:30" x14ac:dyDescent="0.35">
      <c r="A166" t="s">
        <v>382</v>
      </c>
      <c r="B166" t="s">
        <v>45</v>
      </c>
      <c r="C166" t="s">
        <v>82</v>
      </c>
      <c r="D166" t="s">
        <v>25</v>
      </c>
      <c r="E166">
        <v>39</v>
      </c>
      <c r="F166" t="s">
        <v>79</v>
      </c>
      <c r="G166" t="s">
        <v>57</v>
      </c>
      <c r="H166" t="s">
        <v>383</v>
      </c>
      <c r="I166">
        <v>9</v>
      </c>
      <c r="J166">
        <v>9</v>
      </c>
      <c r="K166">
        <v>351906</v>
      </c>
      <c r="L166">
        <v>3.1</v>
      </c>
      <c r="M166" t="s">
        <v>21</v>
      </c>
      <c r="N166">
        <v>51</v>
      </c>
      <c r="O166">
        <f t="shared" si="32"/>
        <v>836</v>
      </c>
      <c r="P166">
        <f t="shared" si="33"/>
        <v>419</v>
      </c>
      <c r="Q166">
        <f t="shared" si="34"/>
        <v>417</v>
      </c>
      <c r="R166">
        <f t="shared" si="35"/>
        <v>49.650349650349654</v>
      </c>
      <c r="S166" s="1">
        <f t="shared" si="36"/>
        <v>50.24975024975025</v>
      </c>
      <c r="T166" s="1">
        <f t="shared" si="37"/>
        <v>396</v>
      </c>
      <c r="U166" s="1">
        <f t="shared" si="38"/>
        <v>440</v>
      </c>
      <c r="V166" s="1">
        <f t="shared" si="39"/>
        <v>47.5</v>
      </c>
      <c r="W166" s="1">
        <f t="shared" si="40"/>
        <v>52.5</v>
      </c>
      <c r="X166" s="1">
        <f t="shared" si="41"/>
        <v>15.273923444976077</v>
      </c>
      <c r="Y166" s="1">
        <f t="shared" si="42"/>
        <v>138</v>
      </c>
      <c r="Z166" s="1">
        <f t="shared" si="43"/>
        <v>126</v>
      </c>
      <c r="AA166" s="1">
        <f t="shared" si="44"/>
        <v>3.6268115942028989</v>
      </c>
      <c r="AB166" s="1">
        <f t="shared" si="45"/>
        <v>3.3682539682539678</v>
      </c>
      <c r="AC166" s="1">
        <f t="shared" si="46"/>
        <v>1</v>
      </c>
      <c r="AD166" s="1">
        <f t="shared" si="47"/>
        <v>4.0812923815373589E-2</v>
      </c>
    </row>
    <row r="167" spans="1:30" x14ac:dyDescent="0.35">
      <c r="A167" t="s">
        <v>384</v>
      </c>
      <c r="B167" t="s">
        <v>23</v>
      </c>
      <c r="C167" t="s">
        <v>56</v>
      </c>
      <c r="D167" t="s">
        <v>17</v>
      </c>
      <c r="E167">
        <v>38</v>
      </c>
      <c r="F167" t="s">
        <v>18</v>
      </c>
      <c r="G167" t="s">
        <v>75</v>
      </c>
      <c r="H167" t="s">
        <v>385</v>
      </c>
      <c r="I167">
        <v>1</v>
      </c>
      <c r="J167">
        <v>11</v>
      </c>
      <c r="K167">
        <v>415668</v>
      </c>
      <c r="L167">
        <v>2.7</v>
      </c>
      <c r="M167" t="s">
        <v>43</v>
      </c>
      <c r="N167">
        <v>72</v>
      </c>
      <c r="O167">
        <f t="shared" si="32"/>
        <v>835</v>
      </c>
      <c r="P167">
        <f t="shared" si="33"/>
        <v>419</v>
      </c>
      <c r="Q167">
        <f t="shared" si="34"/>
        <v>416</v>
      </c>
      <c r="R167">
        <f t="shared" si="35"/>
        <v>49.650349650349654</v>
      </c>
      <c r="S167" s="1">
        <f t="shared" si="36"/>
        <v>50.24975024975025</v>
      </c>
      <c r="T167" s="1">
        <f t="shared" si="37"/>
        <v>395</v>
      </c>
      <c r="U167" s="1">
        <f t="shared" si="38"/>
        <v>440</v>
      </c>
      <c r="V167" s="1">
        <f t="shared" si="39"/>
        <v>47.5</v>
      </c>
      <c r="W167" s="1">
        <f t="shared" si="40"/>
        <v>52.5</v>
      </c>
      <c r="X167" s="1">
        <f t="shared" si="41"/>
        <v>15.281437125748504</v>
      </c>
      <c r="Y167" s="1">
        <f t="shared" si="42"/>
        <v>138</v>
      </c>
      <c r="Z167" s="1">
        <f t="shared" si="43"/>
        <v>126</v>
      </c>
      <c r="AA167" s="1">
        <f t="shared" si="44"/>
        <v>3.6268115942028989</v>
      </c>
      <c r="AB167" s="1">
        <f t="shared" si="45"/>
        <v>3.3682539682539678</v>
      </c>
      <c r="AC167" s="1">
        <f t="shared" si="46"/>
        <v>0</v>
      </c>
      <c r="AD167" s="1">
        <f t="shared" si="47"/>
        <v>4.2009749886589676E-2</v>
      </c>
    </row>
    <row r="168" spans="1:30" x14ac:dyDescent="0.35">
      <c r="A168" t="s">
        <v>386</v>
      </c>
      <c r="B168" t="s">
        <v>35</v>
      </c>
      <c r="C168" t="s">
        <v>64</v>
      </c>
      <c r="D168" t="s">
        <v>25</v>
      </c>
      <c r="E168">
        <v>31</v>
      </c>
      <c r="F168" t="s">
        <v>31</v>
      </c>
      <c r="G168" t="s">
        <v>26</v>
      </c>
      <c r="H168" t="s">
        <v>387</v>
      </c>
      <c r="I168">
        <v>16</v>
      </c>
      <c r="J168">
        <v>20</v>
      </c>
      <c r="K168">
        <v>252095</v>
      </c>
      <c r="L168">
        <v>4</v>
      </c>
      <c r="M168" t="s">
        <v>21</v>
      </c>
      <c r="N168">
        <v>61</v>
      </c>
      <c r="O168">
        <f t="shared" si="32"/>
        <v>834</v>
      </c>
      <c r="P168">
        <f t="shared" si="33"/>
        <v>418</v>
      </c>
      <c r="Q168">
        <f t="shared" si="34"/>
        <v>416</v>
      </c>
      <c r="R168">
        <f t="shared" si="35"/>
        <v>49.650349650349654</v>
      </c>
      <c r="S168" s="1">
        <f t="shared" si="36"/>
        <v>50.24975024975025</v>
      </c>
      <c r="T168" s="1">
        <f t="shared" si="37"/>
        <v>395</v>
      </c>
      <c r="U168" s="1">
        <f t="shared" si="38"/>
        <v>439</v>
      </c>
      <c r="V168" s="1">
        <f t="shared" si="39"/>
        <v>47.5</v>
      </c>
      <c r="W168" s="1">
        <f t="shared" si="40"/>
        <v>52.5</v>
      </c>
      <c r="X168" s="1">
        <f t="shared" si="41"/>
        <v>15.286570743405276</v>
      </c>
      <c r="Y168" s="1">
        <f t="shared" si="42"/>
        <v>138</v>
      </c>
      <c r="Z168" s="1">
        <f t="shared" si="43"/>
        <v>126</v>
      </c>
      <c r="AA168" s="1">
        <f t="shared" si="44"/>
        <v>3.6268115942028989</v>
      </c>
      <c r="AB168" s="1">
        <f t="shared" si="45"/>
        <v>3.3682539682539678</v>
      </c>
      <c r="AC168" s="1">
        <f t="shared" si="46"/>
        <v>1</v>
      </c>
      <c r="AD168" s="1">
        <f t="shared" si="47"/>
        <v>4.1336545315904541E-2</v>
      </c>
    </row>
    <row r="169" spans="1:30" x14ac:dyDescent="0.35">
      <c r="A169" t="s">
        <v>388</v>
      </c>
      <c r="B169" t="s">
        <v>40</v>
      </c>
      <c r="C169" t="s">
        <v>56</v>
      </c>
      <c r="D169" t="s">
        <v>25</v>
      </c>
      <c r="E169">
        <v>22</v>
      </c>
      <c r="F169" t="s">
        <v>70</v>
      </c>
      <c r="G169" t="s">
        <v>32</v>
      </c>
      <c r="H169" t="s">
        <v>389</v>
      </c>
      <c r="I169">
        <v>17</v>
      </c>
      <c r="J169">
        <v>27</v>
      </c>
      <c r="K169">
        <v>265805</v>
      </c>
      <c r="L169">
        <v>4.4000000000000004</v>
      </c>
      <c r="M169" t="s">
        <v>21</v>
      </c>
      <c r="N169">
        <v>53</v>
      </c>
      <c r="O169">
        <f t="shared" si="32"/>
        <v>833</v>
      </c>
      <c r="P169">
        <f t="shared" si="33"/>
        <v>418</v>
      </c>
      <c r="Q169">
        <f t="shared" si="34"/>
        <v>415</v>
      </c>
      <c r="R169">
        <f t="shared" si="35"/>
        <v>49.650349650349654</v>
      </c>
      <c r="S169" s="1">
        <f t="shared" si="36"/>
        <v>50.24975024975025</v>
      </c>
      <c r="T169" s="1">
        <f t="shared" si="37"/>
        <v>394</v>
      </c>
      <c r="U169" s="1">
        <f t="shared" si="38"/>
        <v>439</v>
      </c>
      <c r="V169" s="1">
        <f t="shared" si="39"/>
        <v>47.5</v>
      </c>
      <c r="W169" s="1">
        <f t="shared" si="40"/>
        <v>52.5</v>
      </c>
      <c r="X169" s="1">
        <f t="shared" si="41"/>
        <v>15.280912364945978</v>
      </c>
      <c r="Y169" s="1">
        <f t="shared" si="42"/>
        <v>138</v>
      </c>
      <c r="Z169" s="1">
        <f t="shared" si="43"/>
        <v>125</v>
      </c>
      <c r="AA169" s="1">
        <f t="shared" si="44"/>
        <v>3.6268115942028989</v>
      </c>
      <c r="AB169" s="1">
        <f t="shared" si="45"/>
        <v>3.3631999999999995</v>
      </c>
      <c r="AC169" s="1">
        <f t="shared" si="46"/>
        <v>1</v>
      </c>
      <c r="AD169" s="1">
        <f t="shared" si="47"/>
        <v>4.0510627346425875E-2</v>
      </c>
    </row>
    <row r="170" spans="1:30" x14ac:dyDescent="0.35">
      <c r="A170" t="s">
        <v>390</v>
      </c>
      <c r="B170" t="s">
        <v>78</v>
      </c>
      <c r="C170" t="s">
        <v>49</v>
      </c>
      <c r="D170" t="s">
        <v>25</v>
      </c>
      <c r="E170">
        <v>60</v>
      </c>
      <c r="F170" t="s">
        <v>46</v>
      </c>
      <c r="G170" t="s">
        <v>32</v>
      </c>
      <c r="H170" t="s">
        <v>391</v>
      </c>
      <c r="I170">
        <v>5</v>
      </c>
      <c r="J170">
        <v>13</v>
      </c>
      <c r="K170">
        <v>198814</v>
      </c>
      <c r="L170">
        <v>4.7</v>
      </c>
      <c r="M170" t="s">
        <v>21</v>
      </c>
      <c r="N170">
        <v>47</v>
      </c>
      <c r="O170">
        <f t="shared" si="32"/>
        <v>832</v>
      </c>
      <c r="P170">
        <f t="shared" si="33"/>
        <v>418</v>
      </c>
      <c r="Q170">
        <f t="shared" si="34"/>
        <v>414</v>
      </c>
      <c r="R170">
        <f t="shared" si="35"/>
        <v>49.650349650349654</v>
      </c>
      <c r="S170" s="1">
        <f t="shared" si="36"/>
        <v>50.24975024975025</v>
      </c>
      <c r="T170" s="1">
        <f t="shared" si="37"/>
        <v>393</v>
      </c>
      <c r="U170" s="1">
        <f t="shared" si="38"/>
        <v>439</v>
      </c>
      <c r="V170" s="1">
        <f t="shared" si="39"/>
        <v>47.5</v>
      </c>
      <c r="W170" s="1">
        <f t="shared" si="40"/>
        <v>52.5</v>
      </c>
      <c r="X170" s="1">
        <f t="shared" si="41"/>
        <v>15.266826923076923</v>
      </c>
      <c r="Y170" s="1">
        <f t="shared" si="42"/>
        <v>138</v>
      </c>
      <c r="Z170" s="1">
        <f t="shared" si="43"/>
        <v>125</v>
      </c>
      <c r="AA170" s="1">
        <f t="shared" si="44"/>
        <v>3.6268115942028989</v>
      </c>
      <c r="AB170" s="1">
        <f t="shared" si="45"/>
        <v>3.3631999999999995</v>
      </c>
      <c r="AC170" s="1">
        <f t="shared" si="46"/>
        <v>1</v>
      </c>
      <c r="AD170" s="1">
        <f t="shared" si="47"/>
        <v>3.8449456189335908E-2</v>
      </c>
    </row>
    <row r="171" spans="1:30" x14ac:dyDescent="0.35">
      <c r="A171" t="s">
        <v>392</v>
      </c>
      <c r="B171" t="s">
        <v>60</v>
      </c>
      <c r="C171" t="s">
        <v>64</v>
      </c>
      <c r="D171" t="s">
        <v>17</v>
      </c>
      <c r="E171">
        <v>49</v>
      </c>
      <c r="F171" t="s">
        <v>37</v>
      </c>
      <c r="G171" t="s">
        <v>19</v>
      </c>
      <c r="H171" t="s">
        <v>393</v>
      </c>
      <c r="I171">
        <v>5</v>
      </c>
      <c r="J171">
        <v>11</v>
      </c>
      <c r="K171">
        <v>368572</v>
      </c>
      <c r="L171">
        <v>3</v>
      </c>
      <c r="M171" t="s">
        <v>43</v>
      </c>
      <c r="N171">
        <v>97</v>
      </c>
      <c r="O171">
        <f t="shared" si="32"/>
        <v>831</v>
      </c>
      <c r="P171">
        <f t="shared" si="33"/>
        <v>418</v>
      </c>
      <c r="Q171">
        <f t="shared" si="34"/>
        <v>413</v>
      </c>
      <c r="R171">
        <f t="shared" si="35"/>
        <v>49.650349650349654</v>
      </c>
      <c r="S171" s="1">
        <f t="shared" si="36"/>
        <v>50.24975024975025</v>
      </c>
      <c r="T171" s="1">
        <f t="shared" si="37"/>
        <v>392</v>
      </c>
      <c r="U171" s="1">
        <f t="shared" si="38"/>
        <v>439</v>
      </c>
      <c r="V171" s="1">
        <f t="shared" si="39"/>
        <v>47.5</v>
      </c>
      <c r="W171" s="1">
        <f t="shared" si="40"/>
        <v>52.5</v>
      </c>
      <c r="X171" s="1">
        <f t="shared" si="41"/>
        <v>15.269554753309267</v>
      </c>
      <c r="Y171" s="1">
        <f t="shared" si="42"/>
        <v>138</v>
      </c>
      <c r="Z171" s="1">
        <f t="shared" si="43"/>
        <v>125</v>
      </c>
      <c r="AA171" s="1">
        <f t="shared" si="44"/>
        <v>3.6268115942028989</v>
      </c>
      <c r="AB171" s="1">
        <f t="shared" si="45"/>
        <v>3.3631999999999995</v>
      </c>
      <c r="AC171" s="1">
        <f t="shared" si="46"/>
        <v>0</v>
      </c>
      <c r="AD171" s="1">
        <f t="shared" si="47"/>
        <v>3.8896194661177753E-2</v>
      </c>
    </row>
    <row r="172" spans="1:30" x14ac:dyDescent="0.35">
      <c r="A172" t="s">
        <v>394</v>
      </c>
      <c r="B172" t="s">
        <v>69</v>
      </c>
      <c r="C172" t="s">
        <v>16</v>
      </c>
      <c r="D172" t="s">
        <v>25</v>
      </c>
      <c r="E172">
        <v>47</v>
      </c>
      <c r="F172" t="s">
        <v>70</v>
      </c>
      <c r="G172" t="s">
        <v>85</v>
      </c>
      <c r="H172" t="s">
        <v>395</v>
      </c>
      <c r="I172">
        <v>4</v>
      </c>
      <c r="J172">
        <v>5</v>
      </c>
      <c r="K172">
        <v>105911</v>
      </c>
      <c r="L172">
        <v>2.4</v>
      </c>
      <c r="M172" t="s">
        <v>43</v>
      </c>
      <c r="N172">
        <v>92</v>
      </c>
      <c r="O172">
        <f t="shared" si="32"/>
        <v>830</v>
      </c>
      <c r="P172">
        <f t="shared" si="33"/>
        <v>417</v>
      </c>
      <c r="Q172">
        <f t="shared" si="34"/>
        <v>413</v>
      </c>
      <c r="R172">
        <f t="shared" si="35"/>
        <v>49.650349650349654</v>
      </c>
      <c r="S172" s="1">
        <f t="shared" si="36"/>
        <v>50.24975024975025</v>
      </c>
      <c r="T172" s="1">
        <f t="shared" si="37"/>
        <v>392</v>
      </c>
      <c r="U172" s="1">
        <f t="shared" si="38"/>
        <v>438</v>
      </c>
      <c r="V172" s="1">
        <f t="shared" si="39"/>
        <v>47.5</v>
      </c>
      <c r="W172" s="1">
        <f t="shared" si="40"/>
        <v>52.5</v>
      </c>
      <c r="X172" s="1">
        <f t="shared" si="41"/>
        <v>15.274698795180722</v>
      </c>
      <c r="Y172" s="1">
        <f t="shared" si="42"/>
        <v>138</v>
      </c>
      <c r="Z172" s="1">
        <f t="shared" si="43"/>
        <v>125</v>
      </c>
      <c r="AA172" s="1">
        <f t="shared" si="44"/>
        <v>3.6268115942028989</v>
      </c>
      <c r="AB172" s="1">
        <f t="shared" si="45"/>
        <v>3.3631999999999995</v>
      </c>
      <c r="AC172" s="1">
        <f t="shared" si="46"/>
        <v>0</v>
      </c>
      <c r="AD172" s="1">
        <f t="shared" si="47"/>
        <v>3.8221093483014688E-2</v>
      </c>
    </row>
    <row r="173" spans="1:30" x14ac:dyDescent="0.35">
      <c r="A173" t="s">
        <v>396</v>
      </c>
      <c r="B173" t="s">
        <v>78</v>
      </c>
      <c r="C173" t="s">
        <v>82</v>
      </c>
      <c r="D173" t="s">
        <v>17</v>
      </c>
      <c r="E173">
        <v>31</v>
      </c>
      <c r="F173" t="s">
        <v>18</v>
      </c>
      <c r="G173" t="s">
        <v>57</v>
      </c>
      <c r="H173" t="s">
        <v>397</v>
      </c>
      <c r="I173">
        <v>6</v>
      </c>
      <c r="J173">
        <v>14</v>
      </c>
      <c r="K173">
        <v>169650</v>
      </c>
      <c r="L173">
        <v>3.5</v>
      </c>
      <c r="M173" t="s">
        <v>21</v>
      </c>
      <c r="N173">
        <v>57</v>
      </c>
      <c r="O173">
        <f t="shared" si="32"/>
        <v>829</v>
      </c>
      <c r="P173">
        <f t="shared" si="33"/>
        <v>417</v>
      </c>
      <c r="Q173">
        <f t="shared" si="34"/>
        <v>412</v>
      </c>
      <c r="R173">
        <f t="shared" si="35"/>
        <v>49.650349650349654</v>
      </c>
      <c r="S173" s="1">
        <f t="shared" si="36"/>
        <v>50.24975024975025</v>
      </c>
      <c r="T173" s="1">
        <f t="shared" si="37"/>
        <v>392</v>
      </c>
      <c r="U173" s="1">
        <f t="shared" si="38"/>
        <v>437</v>
      </c>
      <c r="V173" s="1">
        <f t="shared" si="39"/>
        <v>47.5</v>
      </c>
      <c r="W173" s="1">
        <f t="shared" si="40"/>
        <v>52.5</v>
      </c>
      <c r="X173" s="1">
        <f t="shared" si="41"/>
        <v>15.287092882991557</v>
      </c>
      <c r="Y173" s="1">
        <f t="shared" si="42"/>
        <v>138</v>
      </c>
      <c r="Z173" s="1">
        <f t="shared" si="43"/>
        <v>125</v>
      </c>
      <c r="AA173" s="1">
        <f t="shared" si="44"/>
        <v>3.6268115942028989</v>
      </c>
      <c r="AB173" s="1">
        <f t="shared" si="45"/>
        <v>3.3631999999999995</v>
      </c>
      <c r="AC173" s="1">
        <f t="shared" si="46"/>
        <v>1</v>
      </c>
      <c r="AD173" s="1">
        <f t="shared" si="47"/>
        <v>3.6591076203770063E-2</v>
      </c>
    </row>
    <row r="174" spans="1:30" x14ac:dyDescent="0.35">
      <c r="A174" t="s">
        <v>398</v>
      </c>
      <c r="B174" t="s">
        <v>23</v>
      </c>
      <c r="C174" t="s">
        <v>24</v>
      </c>
      <c r="D174" t="s">
        <v>25</v>
      </c>
      <c r="E174">
        <v>27</v>
      </c>
      <c r="F174" t="s">
        <v>46</v>
      </c>
      <c r="G174" t="s">
        <v>85</v>
      </c>
      <c r="H174" t="s">
        <v>399</v>
      </c>
      <c r="I174">
        <v>17</v>
      </c>
      <c r="J174">
        <v>26</v>
      </c>
      <c r="K174">
        <v>293265</v>
      </c>
      <c r="L174">
        <v>2.7</v>
      </c>
      <c r="M174" t="s">
        <v>43</v>
      </c>
      <c r="N174">
        <v>96</v>
      </c>
      <c r="O174">
        <f t="shared" si="32"/>
        <v>828</v>
      </c>
      <c r="P174">
        <f t="shared" si="33"/>
        <v>416</v>
      </c>
      <c r="Q174">
        <f t="shared" si="34"/>
        <v>412</v>
      </c>
      <c r="R174">
        <f t="shared" si="35"/>
        <v>49.650349650349654</v>
      </c>
      <c r="S174" s="1">
        <f t="shared" si="36"/>
        <v>50.24975024975025</v>
      </c>
      <c r="T174" s="1">
        <f t="shared" si="37"/>
        <v>391</v>
      </c>
      <c r="U174" s="1">
        <f t="shared" si="38"/>
        <v>437</v>
      </c>
      <c r="V174" s="1">
        <f t="shared" si="39"/>
        <v>47.5</v>
      </c>
      <c r="W174" s="1">
        <f t="shared" si="40"/>
        <v>52.5</v>
      </c>
      <c r="X174" s="1">
        <f t="shared" si="41"/>
        <v>15.288647342995169</v>
      </c>
      <c r="Y174" s="1">
        <f t="shared" si="42"/>
        <v>138</v>
      </c>
      <c r="Z174" s="1">
        <f t="shared" si="43"/>
        <v>125</v>
      </c>
      <c r="AA174" s="1">
        <f t="shared" si="44"/>
        <v>3.6268115942028989</v>
      </c>
      <c r="AB174" s="1">
        <f t="shared" si="45"/>
        <v>3.3631999999999995</v>
      </c>
      <c r="AC174" s="1">
        <f t="shared" si="46"/>
        <v>0</v>
      </c>
      <c r="AD174" s="1">
        <f t="shared" si="47"/>
        <v>3.6854620182930981E-2</v>
      </c>
    </row>
    <row r="175" spans="1:30" x14ac:dyDescent="0.35">
      <c r="A175" t="s">
        <v>400</v>
      </c>
      <c r="B175" t="s">
        <v>111</v>
      </c>
      <c r="C175" t="s">
        <v>64</v>
      </c>
      <c r="D175" t="s">
        <v>17</v>
      </c>
      <c r="E175">
        <v>21</v>
      </c>
      <c r="F175" t="s">
        <v>74</v>
      </c>
      <c r="G175" t="s">
        <v>61</v>
      </c>
      <c r="H175" t="s">
        <v>401</v>
      </c>
      <c r="I175">
        <v>18</v>
      </c>
      <c r="J175">
        <v>22</v>
      </c>
      <c r="K175">
        <v>383133</v>
      </c>
      <c r="L175">
        <v>3.5</v>
      </c>
      <c r="M175" t="s">
        <v>21</v>
      </c>
      <c r="N175">
        <v>34</v>
      </c>
      <c r="O175">
        <f t="shared" si="32"/>
        <v>827</v>
      </c>
      <c r="P175">
        <f t="shared" si="33"/>
        <v>416</v>
      </c>
      <c r="Q175">
        <f t="shared" si="34"/>
        <v>411</v>
      </c>
      <c r="R175">
        <f t="shared" si="35"/>
        <v>49.650349650349654</v>
      </c>
      <c r="S175" s="1">
        <f t="shared" si="36"/>
        <v>50.24975024975025</v>
      </c>
      <c r="T175" s="1">
        <f t="shared" si="37"/>
        <v>391</v>
      </c>
      <c r="U175" s="1">
        <f t="shared" si="38"/>
        <v>436</v>
      </c>
      <c r="V175" s="1">
        <f t="shared" si="39"/>
        <v>47.5</v>
      </c>
      <c r="W175" s="1">
        <f t="shared" si="40"/>
        <v>52.5</v>
      </c>
      <c r="X175" s="1">
        <f t="shared" si="41"/>
        <v>15.275695284159614</v>
      </c>
      <c r="Y175" s="1">
        <f t="shared" si="42"/>
        <v>138</v>
      </c>
      <c r="Z175" s="1">
        <f t="shared" si="43"/>
        <v>125</v>
      </c>
      <c r="AA175" s="1">
        <f t="shared" si="44"/>
        <v>3.6268115942028989</v>
      </c>
      <c r="AB175" s="1">
        <f t="shared" si="45"/>
        <v>3.3631999999999995</v>
      </c>
      <c r="AC175" s="1">
        <f t="shared" si="46"/>
        <v>1</v>
      </c>
      <c r="AD175" s="1">
        <f t="shared" si="47"/>
        <v>3.8707133725296668E-2</v>
      </c>
    </row>
    <row r="176" spans="1:30" x14ac:dyDescent="0.35">
      <c r="A176" t="s">
        <v>402</v>
      </c>
      <c r="B176" t="s">
        <v>78</v>
      </c>
      <c r="C176" t="s">
        <v>52</v>
      </c>
      <c r="D176" t="s">
        <v>17</v>
      </c>
      <c r="E176">
        <v>57</v>
      </c>
      <c r="F176" t="s">
        <v>18</v>
      </c>
      <c r="G176" t="s">
        <v>88</v>
      </c>
      <c r="H176" t="s">
        <v>403</v>
      </c>
      <c r="I176">
        <v>16</v>
      </c>
      <c r="J176">
        <v>19</v>
      </c>
      <c r="K176">
        <v>492104</v>
      </c>
      <c r="L176">
        <v>4.3</v>
      </c>
      <c r="M176" t="s">
        <v>21</v>
      </c>
      <c r="N176">
        <v>57</v>
      </c>
      <c r="O176">
        <f t="shared" si="32"/>
        <v>826</v>
      </c>
      <c r="P176">
        <f t="shared" si="33"/>
        <v>415</v>
      </c>
      <c r="Q176">
        <f t="shared" si="34"/>
        <v>411</v>
      </c>
      <c r="R176">
        <f t="shared" si="35"/>
        <v>49.650349650349654</v>
      </c>
      <c r="S176" s="1">
        <f t="shared" si="36"/>
        <v>50.24975024975025</v>
      </c>
      <c r="T176" s="1">
        <f t="shared" si="37"/>
        <v>390</v>
      </c>
      <c r="U176" s="1">
        <f t="shared" si="38"/>
        <v>436</v>
      </c>
      <c r="V176" s="1">
        <f t="shared" si="39"/>
        <v>47.5</v>
      </c>
      <c r="W176" s="1">
        <f t="shared" si="40"/>
        <v>52.5</v>
      </c>
      <c r="X176" s="1">
        <f t="shared" si="41"/>
        <v>15.267554479418886</v>
      </c>
      <c r="Y176" s="1">
        <f t="shared" si="42"/>
        <v>137</v>
      </c>
      <c r="Z176" s="1">
        <f t="shared" si="43"/>
        <v>125</v>
      </c>
      <c r="AA176" s="1">
        <f t="shared" si="44"/>
        <v>3.6277372262773726</v>
      </c>
      <c r="AB176" s="1">
        <f t="shared" si="45"/>
        <v>3.3631999999999995</v>
      </c>
      <c r="AC176" s="1">
        <f t="shared" si="46"/>
        <v>1</v>
      </c>
      <c r="AD176" s="1">
        <f t="shared" si="47"/>
        <v>3.7507373323427219E-2</v>
      </c>
    </row>
    <row r="177" spans="1:30" x14ac:dyDescent="0.35">
      <c r="A177" t="s">
        <v>404</v>
      </c>
      <c r="B177" t="s">
        <v>96</v>
      </c>
      <c r="C177" t="s">
        <v>36</v>
      </c>
      <c r="D177" t="s">
        <v>17</v>
      </c>
      <c r="E177">
        <v>30</v>
      </c>
      <c r="F177" t="s">
        <v>70</v>
      </c>
      <c r="G177" t="s">
        <v>85</v>
      </c>
      <c r="H177" t="s">
        <v>405</v>
      </c>
      <c r="I177">
        <v>1</v>
      </c>
      <c r="J177">
        <v>1</v>
      </c>
      <c r="K177">
        <v>310529</v>
      </c>
      <c r="L177">
        <v>3.8</v>
      </c>
      <c r="M177" t="s">
        <v>21</v>
      </c>
      <c r="N177">
        <v>63</v>
      </c>
      <c r="O177">
        <f t="shared" si="32"/>
        <v>825</v>
      </c>
      <c r="P177">
        <f t="shared" si="33"/>
        <v>414</v>
      </c>
      <c r="Q177">
        <f t="shared" si="34"/>
        <v>411</v>
      </c>
      <c r="R177">
        <f t="shared" si="35"/>
        <v>49.650349650349654</v>
      </c>
      <c r="S177" s="1">
        <f t="shared" si="36"/>
        <v>50.24975024975025</v>
      </c>
      <c r="T177" s="1">
        <f t="shared" si="37"/>
        <v>389</v>
      </c>
      <c r="U177" s="1">
        <f t="shared" si="38"/>
        <v>436</v>
      </c>
      <c r="V177" s="1">
        <f t="shared" si="39"/>
        <v>47.5</v>
      </c>
      <c r="W177" s="1">
        <f t="shared" si="40"/>
        <v>52.5</v>
      </c>
      <c r="X177" s="1">
        <f t="shared" si="41"/>
        <v>15.263030303030304</v>
      </c>
      <c r="Y177" s="1">
        <f t="shared" si="42"/>
        <v>137</v>
      </c>
      <c r="Z177" s="1">
        <f t="shared" si="43"/>
        <v>125</v>
      </c>
      <c r="AA177" s="1">
        <f t="shared" si="44"/>
        <v>3.6277372262773726</v>
      </c>
      <c r="AB177" s="1">
        <f t="shared" si="45"/>
        <v>3.3631999999999995</v>
      </c>
      <c r="AC177" s="1">
        <f t="shared" si="46"/>
        <v>1</v>
      </c>
      <c r="AD177" s="1">
        <f t="shared" si="47"/>
        <v>3.6845192532651574E-2</v>
      </c>
    </row>
    <row r="178" spans="1:30" x14ac:dyDescent="0.35">
      <c r="A178" t="s">
        <v>406</v>
      </c>
      <c r="B178" t="s">
        <v>78</v>
      </c>
      <c r="C178" t="s">
        <v>49</v>
      </c>
      <c r="D178" t="s">
        <v>25</v>
      </c>
      <c r="E178">
        <v>56</v>
      </c>
      <c r="F178" t="s">
        <v>74</v>
      </c>
      <c r="G178" t="s">
        <v>26</v>
      </c>
      <c r="H178" t="s">
        <v>407</v>
      </c>
      <c r="I178">
        <v>14</v>
      </c>
      <c r="J178">
        <v>20</v>
      </c>
      <c r="K178">
        <v>240648</v>
      </c>
      <c r="L178">
        <v>4.3</v>
      </c>
      <c r="M178" t="s">
        <v>43</v>
      </c>
      <c r="N178">
        <v>80</v>
      </c>
      <c r="O178">
        <f t="shared" si="32"/>
        <v>824</v>
      </c>
      <c r="P178">
        <f t="shared" si="33"/>
        <v>413</v>
      </c>
      <c r="Q178">
        <f t="shared" si="34"/>
        <v>411</v>
      </c>
      <c r="R178">
        <f t="shared" si="35"/>
        <v>49.650349650349654</v>
      </c>
      <c r="S178" s="1">
        <f t="shared" si="36"/>
        <v>50.24975024975025</v>
      </c>
      <c r="T178" s="1">
        <f t="shared" si="37"/>
        <v>388</v>
      </c>
      <c r="U178" s="1">
        <f t="shared" si="38"/>
        <v>436</v>
      </c>
      <c r="V178" s="1">
        <f t="shared" si="39"/>
        <v>47.5</v>
      </c>
      <c r="W178" s="1">
        <f t="shared" si="40"/>
        <v>52.5</v>
      </c>
      <c r="X178" s="1">
        <f t="shared" si="41"/>
        <v>15.280339805825243</v>
      </c>
      <c r="Y178" s="1">
        <f t="shared" si="42"/>
        <v>137</v>
      </c>
      <c r="Z178" s="1">
        <f t="shared" si="43"/>
        <v>125</v>
      </c>
      <c r="AA178" s="1">
        <f t="shared" si="44"/>
        <v>3.6277372262773726</v>
      </c>
      <c r="AB178" s="1">
        <f t="shared" si="45"/>
        <v>3.3631999999999995</v>
      </c>
      <c r="AC178" s="1">
        <f t="shared" si="46"/>
        <v>0</v>
      </c>
      <c r="AD178" s="1">
        <f t="shared" si="47"/>
        <v>3.9631349505668885E-2</v>
      </c>
    </row>
    <row r="179" spans="1:30" x14ac:dyDescent="0.35">
      <c r="A179" t="s">
        <v>408</v>
      </c>
      <c r="B179" t="s">
        <v>78</v>
      </c>
      <c r="C179" t="s">
        <v>56</v>
      </c>
      <c r="D179" t="s">
        <v>25</v>
      </c>
      <c r="E179">
        <v>55</v>
      </c>
      <c r="F179" t="s">
        <v>79</v>
      </c>
      <c r="G179" t="s">
        <v>88</v>
      </c>
      <c r="H179" t="s">
        <v>409</v>
      </c>
      <c r="I179">
        <v>1</v>
      </c>
      <c r="J179">
        <v>8</v>
      </c>
      <c r="K179">
        <v>461560</v>
      </c>
      <c r="L179">
        <v>2.2000000000000002</v>
      </c>
      <c r="M179" t="s">
        <v>43</v>
      </c>
      <c r="N179">
        <v>75</v>
      </c>
      <c r="O179">
        <f t="shared" si="32"/>
        <v>823</v>
      </c>
      <c r="P179">
        <f t="shared" si="33"/>
        <v>413</v>
      </c>
      <c r="Q179">
        <f t="shared" si="34"/>
        <v>410</v>
      </c>
      <c r="R179">
        <f t="shared" si="35"/>
        <v>49.650349650349654</v>
      </c>
      <c r="S179" s="1">
        <f t="shared" si="36"/>
        <v>50.24975024975025</v>
      </c>
      <c r="T179" s="1">
        <f t="shared" si="37"/>
        <v>388</v>
      </c>
      <c r="U179" s="1">
        <f t="shared" si="38"/>
        <v>435</v>
      </c>
      <c r="V179" s="1">
        <f t="shared" si="39"/>
        <v>47.5</v>
      </c>
      <c r="W179" s="1">
        <f t="shared" si="40"/>
        <v>52.5</v>
      </c>
      <c r="X179" s="1">
        <f t="shared" si="41"/>
        <v>15.274605103280681</v>
      </c>
      <c r="Y179" s="1">
        <f t="shared" si="42"/>
        <v>136</v>
      </c>
      <c r="Z179" s="1">
        <f t="shared" si="43"/>
        <v>125</v>
      </c>
      <c r="AA179" s="1">
        <f t="shared" si="44"/>
        <v>3.6227941176470595</v>
      </c>
      <c r="AB179" s="1">
        <f t="shared" si="45"/>
        <v>3.3631999999999995</v>
      </c>
      <c r="AC179" s="1">
        <f t="shared" si="46"/>
        <v>0</v>
      </c>
      <c r="AD179" s="1">
        <f t="shared" si="47"/>
        <v>4.0450509821289837E-2</v>
      </c>
    </row>
    <row r="180" spans="1:30" x14ac:dyDescent="0.35">
      <c r="A180" t="s">
        <v>410</v>
      </c>
      <c r="B180" t="s">
        <v>55</v>
      </c>
      <c r="C180" t="s">
        <v>16</v>
      </c>
      <c r="D180" t="s">
        <v>25</v>
      </c>
      <c r="E180">
        <v>50</v>
      </c>
      <c r="F180" t="s">
        <v>70</v>
      </c>
      <c r="G180" t="s">
        <v>88</v>
      </c>
      <c r="H180" t="s">
        <v>411</v>
      </c>
      <c r="I180">
        <v>10</v>
      </c>
      <c r="J180">
        <v>15</v>
      </c>
      <c r="K180">
        <v>92956</v>
      </c>
      <c r="L180">
        <v>2.8</v>
      </c>
      <c r="M180" t="s">
        <v>43</v>
      </c>
      <c r="N180">
        <v>95</v>
      </c>
      <c r="O180">
        <f t="shared" si="32"/>
        <v>822</v>
      </c>
      <c r="P180">
        <f t="shared" si="33"/>
        <v>413</v>
      </c>
      <c r="Q180">
        <f t="shared" si="34"/>
        <v>409</v>
      </c>
      <c r="R180">
        <f t="shared" si="35"/>
        <v>49.650349650349654</v>
      </c>
      <c r="S180" s="1">
        <f t="shared" si="36"/>
        <v>50.24975024975025</v>
      </c>
      <c r="T180" s="1">
        <f t="shared" si="37"/>
        <v>388</v>
      </c>
      <c r="U180" s="1">
        <f t="shared" si="38"/>
        <v>434</v>
      </c>
      <c r="V180" s="1">
        <f t="shared" si="39"/>
        <v>47.5</v>
      </c>
      <c r="W180" s="1">
        <f t="shared" si="40"/>
        <v>52.5</v>
      </c>
      <c r="X180" s="1">
        <f t="shared" si="41"/>
        <v>15.283454987834549</v>
      </c>
      <c r="Y180" s="1">
        <f t="shared" si="42"/>
        <v>136</v>
      </c>
      <c r="Z180" s="1">
        <f t="shared" si="43"/>
        <v>125</v>
      </c>
      <c r="AA180" s="1">
        <f t="shared" si="44"/>
        <v>3.6227941176470595</v>
      </c>
      <c r="AB180" s="1">
        <f t="shared" si="45"/>
        <v>3.3631999999999995</v>
      </c>
      <c r="AC180" s="1">
        <f t="shared" si="46"/>
        <v>0</v>
      </c>
      <c r="AD180" s="1">
        <f t="shared" si="47"/>
        <v>3.9284912639241776E-2</v>
      </c>
    </row>
    <row r="181" spans="1:30" x14ac:dyDescent="0.35">
      <c r="A181" t="s">
        <v>412</v>
      </c>
      <c r="B181" t="s">
        <v>45</v>
      </c>
      <c r="C181" t="s">
        <v>82</v>
      </c>
      <c r="D181" t="s">
        <v>25</v>
      </c>
      <c r="E181">
        <v>26</v>
      </c>
      <c r="F181" t="s">
        <v>18</v>
      </c>
      <c r="G181" t="s">
        <v>19</v>
      </c>
      <c r="H181" t="s">
        <v>413</v>
      </c>
      <c r="I181">
        <v>4</v>
      </c>
      <c r="J181">
        <v>6</v>
      </c>
      <c r="K181">
        <v>495004</v>
      </c>
      <c r="L181">
        <v>2</v>
      </c>
      <c r="M181" t="s">
        <v>43</v>
      </c>
      <c r="N181">
        <v>84</v>
      </c>
      <c r="O181">
        <f t="shared" si="32"/>
        <v>821</v>
      </c>
      <c r="P181">
        <f t="shared" si="33"/>
        <v>413</v>
      </c>
      <c r="Q181">
        <f t="shared" si="34"/>
        <v>408</v>
      </c>
      <c r="R181">
        <f t="shared" si="35"/>
        <v>49.650349650349654</v>
      </c>
      <c r="S181" s="1">
        <f t="shared" si="36"/>
        <v>50.24975024975025</v>
      </c>
      <c r="T181" s="1">
        <f t="shared" si="37"/>
        <v>388</v>
      </c>
      <c r="U181" s="1">
        <f t="shared" si="38"/>
        <v>433</v>
      </c>
      <c r="V181" s="1">
        <f t="shared" si="39"/>
        <v>47.5</v>
      </c>
      <c r="W181" s="1">
        <f t="shared" si="40"/>
        <v>52.5</v>
      </c>
      <c r="X181" s="1">
        <f t="shared" si="41"/>
        <v>15.283800243605359</v>
      </c>
      <c r="Y181" s="1">
        <f t="shared" si="42"/>
        <v>136</v>
      </c>
      <c r="Z181" s="1">
        <f t="shared" si="43"/>
        <v>125</v>
      </c>
      <c r="AA181" s="1">
        <f t="shared" si="44"/>
        <v>3.6227941176470595</v>
      </c>
      <c r="AB181" s="1">
        <f t="shared" si="45"/>
        <v>3.3631999999999995</v>
      </c>
      <c r="AC181" s="1">
        <f t="shared" si="46"/>
        <v>0</v>
      </c>
      <c r="AD181" s="1">
        <f t="shared" si="47"/>
        <v>3.9258931711978688E-2</v>
      </c>
    </row>
    <row r="182" spans="1:30" x14ac:dyDescent="0.35">
      <c r="A182" t="s">
        <v>414</v>
      </c>
      <c r="B182" t="s">
        <v>69</v>
      </c>
      <c r="C182" t="s">
        <v>52</v>
      </c>
      <c r="D182" t="s">
        <v>17</v>
      </c>
      <c r="E182">
        <v>54</v>
      </c>
      <c r="F182" t="s">
        <v>79</v>
      </c>
      <c r="G182" t="s">
        <v>71</v>
      </c>
      <c r="H182" t="s">
        <v>415</v>
      </c>
      <c r="I182">
        <v>14</v>
      </c>
      <c r="J182">
        <v>23</v>
      </c>
      <c r="K182">
        <v>350092</v>
      </c>
      <c r="L182">
        <v>2.6</v>
      </c>
      <c r="M182" t="s">
        <v>43</v>
      </c>
      <c r="N182">
        <v>72</v>
      </c>
      <c r="O182">
        <f t="shared" si="32"/>
        <v>820</v>
      </c>
      <c r="P182">
        <f t="shared" si="33"/>
        <v>413</v>
      </c>
      <c r="Q182">
        <f t="shared" si="34"/>
        <v>407</v>
      </c>
      <c r="R182">
        <f t="shared" si="35"/>
        <v>49.650349650349654</v>
      </c>
      <c r="S182" s="1">
        <f t="shared" si="36"/>
        <v>50.24975024975025</v>
      </c>
      <c r="T182" s="1">
        <f t="shared" si="37"/>
        <v>388</v>
      </c>
      <c r="U182" s="1">
        <f t="shared" si="38"/>
        <v>432</v>
      </c>
      <c r="V182" s="1">
        <f t="shared" si="39"/>
        <v>47.5</v>
      </c>
      <c r="W182" s="1">
        <f t="shared" si="40"/>
        <v>52.5</v>
      </c>
      <c r="X182" s="1">
        <f t="shared" si="41"/>
        <v>15.295121951219512</v>
      </c>
      <c r="Y182" s="1">
        <f t="shared" si="42"/>
        <v>136</v>
      </c>
      <c r="Z182" s="1">
        <f t="shared" si="43"/>
        <v>125</v>
      </c>
      <c r="AA182" s="1">
        <f t="shared" si="44"/>
        <v>3.6227941176470595</v>
      </c>
      <c r="AB182" s="1">
        <f t="shared" si="45"/>
        <v>3.3631999999999995</v>
      </c>
      <c r="AC182" s="1">
        <f t="shared" si="46"/>
        <v>0</v>
      </c>
      <c r="AD182" s="1">
        <f t="shared" si="47"/>
        <v>3.7766095067817161E-2</v>
      </c>
    </row>
    <row r="183" spans="1:30" x14ac:dyDescent="0.35">
      <c r="A183" t="s">
        <v>416</v>
      </c>
      <c r="B183" t="s">
        <v>40</v>
      </c>
      <c r="C183" t="s">
        <v>82</v>
      </c>
      <c r="D183" t="s">
        <v>17</v>
      </c>
      <c r="E183">
        <v>30</v>
      </c>
      <c r="F183" t="s">
        <v>74</v>
      </c>
      <c r="G183" t="s">
        <v>61</v>
      </c>
      <c r="H183" t="s">
        <v>417</v>
      </c>
      <c r="I183">
        <v>1</v>
      </c>
      <c r="J183">
        <v>9</v>
      </c>
      <c r="K183">
        <v>412115</v>
      </c>
      <c r="L183">
        <v>4.0999999999999996</v>
      </c>
      <c r="M183" t="s">
        <v>21</v>
      </c>
      <c r="N183">
        <v>61</v>
      </c>
      <c r="O183">
        <f t="shared" si="32"/>
        <v>819</v>
      </c>
      <c r="P183">
        <f t="shared" si="33"/>
        <v>412</v>
      </c>
      <c r="Q183">
        <f t="shared" si="34"/>
        <v>407</v>
      </c>
      <c r="R183">
        <f t="shared" si="35"/>
        <v>49.650349650349654</v>
      </c>
      <c r="S183" s="1">
        <f t="shared" si="36"/>
        <v>50.24975024975025</v>
      </c>
      <c r="T183" s="1">
        <f t="shared" si="37"/>
        <v>388</v>
      </c>
      <c r="U183" s="1">
        <f t="shared" si="38"/>
        <v>431</v>
      </c>
      <c r="V183" s="1">
        <f t="shared" si="39"/>
        <v>47.5</v>
      </c>
      <c r="W183" s="1">
        <f t="shared" si="40"/>
        <v>52.5</v>
      </c>
      <c r="X183" s="1">
        <f t="shared" si="41"/>
        <v>15.285714285714286</v>
      </c>
      <c r="Y183" s="1">
        <f t="shared" si="42"/>
        <v>136</v>
      </c>
      <c r="Z183" s="1">
        <f t="shared" si="43"/>
        <v>125</v>
      </c>
      <c r="AA183" s="1">
        <f t="shared" si="44"/>
        <v>3.6227941176470595</v>
      </c>
      <c r="AB183" s="1">
        <f t="shared" si="45"/>
        <v>3.3631999999999995</v>
      </c>
      <c r="AC183" s="1">
        <f t="shared" si="46"/>
        <v>1</v>
      </c>
      <c r="AD183" s="1">
        <f t="shared" si="47"/>
        <v>3.9111905289459702E-2</v>
      </c>
    </row>
    <row r="184" spans="1:30" x14ac:dyDescent="0.35">
      <c r="A184" t="s">
        <v>418</v>
      </c>
      <c r="B184" t="s">
        <v>78</v>
      </c>
      <c r="C184" t="s">
        <v>30</v>
      </c>
      <c r="D184" t="s">
        <v>17</v>
      </c>
      <c r="E184">
        <v>29</v>
      </c>
      <c r="F184" t="s">
        <v>70</v>
      </c>
      <c r="G184" t="s">
        <v>57</v>
      </c>
      <c r="H184" t="s">
        <v>419</v>
      </c>
      <c r="I184">
        <v>16</v>
      </c>
      <c r="J184">
        <v>17</v>
      </c>
      <c r="K184">
        <v>406967</v>
      </c>
      <c r="L184">
        <v>2.8</v>
      </c>
      <c r="M184" t="s">
        <v>43</v>
      </c>
      <c r="N184">
        <v>84</v>
      </c>
      <c r="O184">
        <f t="shared" si="32"/>
        <v>818</v>
      </c>
      <c r="P184">
        <f t="shared" si="33"/>
        <v>411</v>
      </c>
      <c r="Q184">
        <f t="shared" si="34"/>
        <v>407</v>
      </c>
      <c r="R184">
        <f t="shared" si="35"/>
        <v>49.650349650349654</v>
      </c>
      <c r="S184" s="1">
        <f t="shared" si="36"/>
        <v>50.24975024975025</v>
      </c>
      <c r="T184" s="1">
        <f t="shared" si="37"/>
        <v>387</v>
      </c>
      <c r="U184" s="1">
        <f t="shared" si="38"/>
        <v>431</v>
      </c>
      <c r="V184" s="1">
        <f t="shared" si="39"/>
        <v>47.5</v>
      </c>
      <c r="W184" s="1">
        <f t="shared" si="40"/>
        <v>52.5</v>
      </c>
      <c r="X184" s="1">
        <f t="shared" si="41"/>
        <v>15.293398533007334</v>
      </c>
      <c r="Y184" s="1">
        <f t="shared" si="42"/>
        <v>135</v>
      </c>
      <c r="Z184" s="1">
        <f t="shared" si="43"/>
        <v>125</v>
      </c>
      <c r="AA184" s="1">
        <f t="shared" si="44"/>
        <v>3.6192592592592598</v>
      </c>
      <c r="AB184" s="1">
        <f t="shared" si="45"/>
        <v>3.3631999999999995</v>
      </c>
      <c r="AC184" s="1">
        <f t="shared" si="46"/>
        <v>0</v>
      </c>
      <c r="AD184" s="1">
        <f t="shared" si="47"/>
        <v>4.0335899726270587E-2</v>
      </c>
    </row>
    <row r="185" spans="1:30" x14ac:dyDescent="0.35">
      <c r="A185" t="s">
        <v>420</v>
      </c>
      <c r="B185" t="s">
        <v>45</v>
      </c>
      <c r="C185" t="s">
        <v>52</v>
      </c>
      <c r="D185" t="s">
        <v>17</v>
      </c>
      <c r="E185">
        <v>40</v>
      </c>
      <c r="F185" t="s">
        <v>79</v>
      </c>
      <c r="G185" t="s">
        <v>26</v>
      </c>
      <c r="H185" t="s">
        <v>421</v>
      </c>
      <c r="I185">
        <v>9</v>
      </c>
      <c r="J185">
        <v>15</v>
      </c>
      <c r="K185">
        <v>274038</v>
      </c>
      <c r="L185">
        <v>2.5</v>
      </c>
      <c r="M185" t="s">
        <v>21</v>
      </c>
      <c r="N185">
        <v>44</v>
      </c>
      <c r="O185">
        <f t="shared" si="32"/>
        <v>817</v>
      </c>
      <c r="P185">
        <f t="shared" si="33"/>
        <v>410</v>
      </c>
      <c r="Q185">
        <f t="shared" si="34"/>
        <v>407</v>
      </c>
      <c r="R185">
        <f t="shared" si="35"/>
        <v>49.650349650349654</v>
      </c>
      <c r="S185" s="1">
        <f t="shared" si="36"/>
        <v>50.24975024975025</v>
      </c>
      <c r="T185" s="1">
        <f t="shared" si="37"/>
        <v>387</v>
      </c>
      <c r="U185" s="1">
        <f t="shared" si="38"/>
        <v>430</v>
      </c>
      <c r="V185" s="1">
        <f t="shared" si="39"/>
        <v>47.5</v>
      </c>
      <c r="W185" s="1">
        <f t="shared" si="40"/>
        <v>52.5</v>
      </c>
      <c r="X185" s="1">
        <f t="shared" si="41"/>
        <v>15.291309669522644</v>
      </c>
      <c r="Y185" s="1">
        <f t="shared" si="42"/>
        <v>135</v>
      </c>
      <c r="Z185" s="1">
        <f t="shared" si="43"/>
        <v>125</v>
      </c>
      <c r="AA185" s="1">
        <f t="shared" si="44"/>
        <v>3.6192592592592598</v>
      </c>
      <c r="AB185" s="1">
        <f t="shared" si="45"/>
        <v>3.3631999999999995</v>
      </c>
      <c r="AC185" s="1">
        <f t="shared" si="46"/>
        <v>1</v>
      </c>
      <c r="AD185" s="1">
        <f t="shared" si="47"/>
        <v>4.0647171004986465E-2</v>
      </c>
    </row>
    <row r="186" spans="1:30" x14ac:dyDescent="0.35">
      <c r="A186" t="s">
        <v>422</v>
      </c>
      <c r="B186" t="s">
        <v>23</v>
      </c>
      <c r="C186" t="s">
        <v>64</v>
      </c>
      <c r="D186" t="s">
        <v>25</v>
      </c>
      <c r="E186">
        <v>36</v>
      </c>
      <c r="F186" t="s">
        <v>37</v>
      </c>
      <c r="G186" t="s">
        <v>85</v>
      </c>
      <c r="H186" t="s">
        <v>423</v>
      </c>
      <c r="I186">
        <v>8</v>
      </c>
      <c r="J186">
        <v>10</v>
      </c>
      <c r="K186">
        <v>165132</v>
      </c>
      <c r="L186">
        <v>2.4</v>
      </c>
      <c r="M186" t="s">
        <v>21</v>
      </c>
      <c r="N186">
        <v>44</v>
      </c>
      <c r="O186">
        <f t="shared" si="32"/>
        <v>816</v>
      </c>
      <c r="P186">
        <f t="shared" si="33"/>
        <v>409</v>
      </c>
      <c r="Q186">
        <f t="shared" si="34"/>
        <v>407</v>
      </c>
      <c r="R186">
        <f t="shared" si="35"/>
        <v>49.650349650349654</v>
      </c>
      <c r="S186" s="1">
        <f t="shared" si="36"/>
        <v>50.24975024975025</v>
      </c>
      <c r="T186" s="1">
        <f t="shared" si="37"/>
        <v>386</v>
      </c>
      <c r="U186" s="1">
        <f t="shared" si="38"/>
        <v>430</v>
      </c>
      <c r="V186" s="1">
        <f t="shared" si="39"/>
        <v>47.5</v>
      </c>
      <c r="W186" s="1">
        <f t="shared" si="40"/>
        <v>52.5</v>
      </c>
      <c r="X186" s="1">
        <f t="shared" si="41"/>
        <v>15.291666666666666</v>
      </c>
      <c r="Y186" s="1">
        <f t="shared" si="42"/>
        <v>135</v>
      </c>
      <c r="Z186" s="1">
        <f t="shared" si="43"/>
        <v>125</v>
      </c>
      <c r="AA186" s="1">
        <f t="shared" si="44"/>
        <v>3.6192592592592598</v>
      </c>
      <c r="AB186" s="1">
        <f t="shared" si="45"/>
        <v>3.3631999999999995</v>
      </c>
      <c r="AC186" s="1">
        <f t="shared" si="46"/>
        <v>1</v>
      </c>
      <c r="AD186" s="1">
        <f t="shared" si="47"/>
        <v>4.0729562971490794E-2</v>
      </c>
    </row>
    <row r="187" spans="1:30" x14ac:dyDescent="0.35">
      <c r="A187" t="s">
        <v>424</v>
      </c>
      <c r="B187" t="s">
        <v>60</v>
      </c>
      <c r="C187" t="s">
        <v>49</v>
      </c>
      <c r="D187" t="s">
        <v>17</v>
      </c>
      <c r="E187">
        <v>26</v>
      </c>
      <c r="F187" t="s">
        <v>74</v>
      </c>
      <c r="G187" t="s">
        <v>75</v>
      </c>
      <c r="H187" t="s">
        <v>425</v>
      </c>
      <c r="I187">
        <v>19</v>
      </c>
      <c r="J187">
        <v>28</v>
      </c>
      <c r="K187">
        <v>479080</v>
      </c>
      <c r="L187">
        <v>4.4000000000000004</v>
      </c>
      <c r="M187" t="s">
        <v>21</v>
      </c>
      <c r="N187">
        <v>67</v>
      </c>
      <c r="O187">
        <f t="shared" si="32"/>
        <v>815</v>
      </c>
      <c r="P187">
        <f t="shared" si="33"/>
        <v>409</v>
      </c>
      <c r="Q187">
        <f t="shared" si="34"/>
        <v>406</v>
      </c>
      <c r="R187">
        <f t="shared" si="35"/>
        <v>49.650349650349654</v>
      </c>
      <c r="S187" s="1">
        <f t="shared" si="36"/>
        <v>50.24975024975025</v>
      </c>
      <c r="T187" s="1">
        <f t="shared" si="37"/>
        <v>385</v>
      </c>
      <c r="U187" s="1">
        <f t="shared" si="38"/>
        <v>430</v>
      </c>
      <c r="V187" s="1">
        <f t="shared" si="39"/>
        <v>47.5</v>
      </c>
      <c r="W187" s="1">
        <f t="shared" si="40"/>
        <v>52.5</v>
      </c>
      <c r="X187" s="1">
        <f t="shared" si="41"/>
        <v>15.298159509202454</v>
      </c>
      <c r="Y187" s="1">
        <f t="shared" si="42"/>
        <v>135</v>
      </c>
      <c r="Z187" s="1">
        <f t="shared" si="43"/>
        <v>125</v>
      </c>
      <c r="AA187" s="1">
        <f t="shared" si="44"/>
        <v>3.6192592592592598</v>
      </c>
      <c r="AB187" s="1">
        <f t="shared" si="45"/>
        <v>3.3631999999999995</v>
      </c>
      <c r="AC187" s="1">
        <f t="shared" si="46"/>
        <v>1</v>
      </c>
      <c r="AD187" s="1">
        <f t="shared" si="47"/>
        <v>4.1767058047376099E-2</v>
      </c>
    </row>
    <row r="188" spans="1:30" x14ac:dyDescent="0.35">
      <c r="A188" t="s">
        <v>426</v>
      </c>
      <c r="B188" t="s">
        <v>23</v>
      </c>
      <c r="C188" t="s">
        <v>93</v>
      </c>
      <c r="D188" t="s">
        <v>25</v>
      </c>
      <c r="E188">
        <v>36</v>
      </c>
      <c r="F188" t="s">
        <v>37</v>
      </c>
      <c r="G188" t="s">
        <v>41</v>
      </c>
      <c r="H188" t="s">
        <v>427</v>
      </c>
      <c r="I188">
        <v>20</v>
      </c>
      <c r="J188">
        <v>21</v>
      </c>
      <c r="K188">
        <v>169391</v>
      </c>
      <c r="L188">
        <v>3.5</v>
      </c>
      <c r="M188" t="s">
        <v>21</v>
      </c>
      <c r="N188">
        <v>49</v>
      </c>
      <c r="O188">
        <f t="shared" si="32"/>
        <v>814</v>
      </c>
      <c r="P188">
        <f t="shared" si="33"/>
        <v>408</v>
      </c>
      <c r="Q188">
        <f t="shared" si="34"/>
        <v>406</v>
      </c>
      <c r="R188">
        <f t="shared" si="35"/>
        <v>49.650349650349654</v>
      </c>
      <c r="S188" s="1">
        <f t="shared" si="36"/>
        <v>50.24975024975025</v>
      </c>
      <c r="T188" s="1">
        <f t="shared" si="37"/>
        <v>384</v>
      </c>
      <c r="U188" s="1">
        <f t="shared" si="38"/>
        <v>430</v>
      </c>
      <c r="V188" s="1">
        <f t="shared" si="39"/>
        <v>47.5</v>
      </c>
      <c r="W188" s="1">
        <f t="shared" si="40"/>
        <v>52.5</v>
      </c>
      <c r="X188" s="1">
        <f t="shared" si="41"/>
        <v>15.282555282555283</v>
      </c>
      <c r="Y188" s="1">
        <f t="shared" si="42"/>
        <v>134</v>
      </c>
      <c r="Z188" s="1">
        <f t="shared" si="43"/>
        <v>125</v>
      </c>
      <c r="AA188" s="1">
        <f t="shared" si="44"/>
        <v>3.6134328358208965</v>
      </c>
      <c r="AB188" s="1">
        <f t="shared" si="45"/>
        <v>3.3631999999999995</v>
      </c>
      <c r="AC188" s="1">
        <f t="shared" si="46"/>
        <v>1</v>
      </c>
      <c r="AD188" s="1">
        <f t="shared" si="47"/>
        <v>3.9485415757511709E-2</v>
      </c>
    </row>
    <row r="189" spans="1:30" x14ac:dyDescent="0.35">
      <c r="A189" t="s">
        <v>428</v>
      </c>
      <c r="B189" t="s">
        <v>40</v>
      </c>
      <c r="C189" t="s">
        <v>56</v>
      </c>
      <c r="D189" t="s">
        <v>25</v>
      </c>
      <c r="E189">
        <v>55</v>
      </c>
      <c r="F189" t="s">
        <v>74</v>
      </c>
      <c r="G189" t="s">
        <v>61</v>
      </c>
      <c r="H189" t="s">
        <v>429</v>
      </c>
      <c r="I189">
        <v>17</v>
      </c>
      <c r="J189">
        <v>27</v>
      </c>
      <c r="K189">
        <v>145653</v>
      </c>
      <c r="L189">
        <v>4.3</v>
      </c>
      <c r="M189" t="s">
        <v>21</v>
      </c>
      <c r="N189">
        <v>42</v>
      </c>
      <c r="O189">
        <f t="shared" si="32"/>
        <v>813</v>
      </c>
      <c r="P189">
        <f t="shared" si="33"/>
        <v>408</v>
      </c>
      <c r="Q189">
        <f t="shared" si="34"/>
        <v>405</v>
      </c>
      <c r="R189">
        <f t="shared" si="35"/>
        <v>49.650349650349654</v>
      </c>
      <c r="S189" s="1">
        <f t="shared" si="36"/>
        <v>50.24975024975025</v>
      </c>
      <c r="T189" s="1">
        <f t="shared" si="37"/>
        <v>383</v>
      </c>
      <c r="U189" s="1">
        <f t="shared" si="38"/>
        <v>430</v>
      </c>
      <c r="V189" s="1">
        <f t="shared" si="39"/>
        <v>47.5</v>
      </c>
      <c r="W189" s="1">
        <f t="shared" si="40"/>
        <v>52.5</v>
      </c>
      <c r="X189" s="1">
        <f t="shared" si="41"/>
        <v>15.275522755227552</v>
      </c>
      <c r="Y189" s="1">
        <f t="shared" si="42"/>
        <v>134</v>
      </c>
      <c r="Z189" s="1">
        <f t="shared" si="43"/>
        <v>125</v>
      </c>
      <c r="AA189" s="1">
        <f t="shared" si="44"/>
        <v>3.6134328358208965</v>
      </c>
      <c r="AB189" s="1">
        <f t="shared" si="45"/>
        <v>3.3631999999999995</v>
      </c>
      <c r="AC189" s="1">
        <f t="shared" si="46"/>
        <v>1</v>
      </c>
      <c r="AD189" s="1">
        <f t="shared" si="47"/>
        <v>3.8447606744752394E-2</v>
      </c>
    </row>
    <row r="190" spans="1:30" x14ac:dyDescent="0.35">
      <c r="A190" t="s">
        <v>430</v>
      </c>
      <c r="B190" t="s">
        <v>96</v>
      </c>
      <c r="C190" t="s">
        <v>93</v>
      </c>
      <c r="D190" t="s">
        <v>25</v>
      </c>
      <c r="E190">
        <v>37</v>
      </c>
      <c r="F190" t="s">
        <v>18</v>
      </c>
      <c r="G190" t="s">
        <v>85</v>
      </c>
      <c r="H190" t="s">
        <v>431</v>
      </c>
      <c r="I190">
        <v>17</v>
      </c>
      <c r="J190">
        <v>19</v>
      </c>
      <c r="K190">
        <v>429648</v>
      </c>
      <c r="L190">
        <v>4.5999999999999996</v>
      </c>
      <c r="M190" t="s">
        <v>43</v>
      </c>
      <c r="N190">
        <v>78</v>
      </c>
      <c r="O190">
        <f t="shared" si="32"/>
        <v>812</v>
      </c>
      <c r="P190">
        <f t="shared" si="33"/>
        <v>408</v>
      </c>
      <c r="Q190">
        <f t="shared" si="34"/>
        <v>404</v>
      </c>
      <c r="R190">
        <f t="shared" si="35"/>
        <v>49.650349650349654</v>
      </c>
      <c r="S190" s="1">
        <f t="shared" si="36"/>
        <v>50.24975024975025</v>
      </c>
      <c r="T190" s="1">
        <f t="shared" si="37"/>
        <v>382</v>
      </c>
      <c r="U190" s="1">
        <f t="shared" si="38"/>
        <v>430</v>
      </c>
      <c r="V190" s="1">
        <f t="shared" si="39"/>
        <v>47.5</v>
      </c>
      <c r="W190" s="1">
        <f t="shared" si="40"/>
        <v>52.5</v>
      </c>
      <c r="X190" s="1">
        <f t="shared" si="41"/>
        <v>15.261083743842365</v>
      </c>
      <c r="Y190" s="1">
        <f t="shared" si="42"/>
        <v>133</v>
      </c>
      <c r="Z190" s="1">
        <f t="shared" si="43"/>
        <v>125</v>
      </c>
      <c r="AA190" s="1">
        <f t="shared" si="44"/>
        <v>3.6082706766917294</v>
      </c>
      <c r="AB190" s="1">
        <f t="shared" si="45"/>
        <v>3.3631999999999995</v>
      </c>
      <c r="AC190" s="1">
        <f t="shared" si="46"/>
        <v>0</v>
      </c>
      <c r="AD190" s="1">
        <f t="shared" si="47"/>
        <v>3.6316420612335892E-2</v>
      </c>
    </row>
    <row r="191" spans="1:30" x14ac:dyDescent="0.35">
      <c r="A191" t="s">
        <v>432</v>
      </c>
      <c r="B191" t="s">
        <v>78</v>
      </c>
      <c r="C191" t="s">
        <v>30</v>
      </c>
      <c r="D191" t="s">
        <v>17</v>
      </c>
      <c r="E191">
        <v>34</v>
      </c>
      <c r="F191" t="s">
        <v>74</v>
      </c>
      <c r="G191" t="s">
        <v>71</v>
      </c>
      <c r="H191" t="s">
        <v>433</v>
      </c>
      <c r="I191">
        <v>16</v>
      </c>
      <c r="J191">
        <v>16</v>
      </c>
      <c r="K191">
        <v>324813</v>
      </c>
      <c r="L191">
        <v>2.1</v>
      </c>
      <c r="M191" t="s">
        <v>43</v>
      </c>
      <c r="N191">
        <v>96</v>
      </c>
      <c r="O191">
        <f t="shared" si="32"/>
        <v>811</v>
      </c>
      <c r="P191">
        <f t="shared" si="33"/>
        <v>408</v>
      </c>
      <c r="Q191">
        <f t="shared" si="34"/>
        <v>403</v>
      </c>
      <c r="R191">
        <f t="shared" si="35"/>
        <v>49.650349650349654</v>
      </c>
      <c r="S191" s="1">
        <f t="shared" si="36"/>
        <v>50.24975024975025</v>
      </c>
      <c r="T191" s="1">
        <f t="shared" si="37"/>
        <v>382</v>
      </c>
      <c r="U191" s="1">
        <f t="shared" si="38"/>
        <v>429</v>
      </c>
      <c r="V191" s="1">
        <f t="shared" si="39"/>
        <v>47.5</v>
      </c>
      <c r="W191" s="1">
        <f t="shared" si="40"/>
        <v>52.5</v>
      </c>
      <c r="X191" s="1">
        <f t="shared" si="41"/>
        <v>15.256473489519113</v>
      </c>
      <c r="Y191" s="1">
        <f t="shared" si="42"/>
        <v>133</v>
      </c>
      <c r="Z191" s="1">
        <f t="shared" si="43"/>
        <v>125</v>
      </c>
      <c r="AA191" s="1">
        <f t="shared" si="44"/>
        <v>3.6082706766917294</v>
      </c>
      <c r="AB191" s="1">
        <f t="shared" si="45"/>
        <v>3.3631999999999995</v>
      </c>
      <c r="AC191" s="1">
        <f t="shared" si="46"/>
        <v>0</v>
      </c>
      <c r="AD191" s="1">
        <f t="shared" si="47"/>
        <v>3.6974985441059524E-2</v>
      </c>
    </row>
    <row r="192" spans="1:30" x14ac:dyDescent="0.35">
      <c r="A192" t="s">
        <v>434</v>
      </c>
      <c r="B192" t="s">
        <v>23</v>
      </c>
      <c r="C192" t="s">
        <v>52</v>
      </c>
      <c r="D192" t="s">
        <v>25</v>
      </c>
      <c r="E192">
        <v>26</v>
      </c>
      <c r="F192" t="s">
        <v>46</v>
      </c>
      <c r="G192" t="s">
        <v>88</v>
      </c>
      <c r="H192" t="s">
        <v>435</v>
      </c>
      <c r="I192">
        <v>11</v>
      </c>
      <c r="J192">
        <v>16</v>
      </c>
      <c r="K192">
        <v>185697</v>
      </c>
      <c r="L192">
        <v>2</v>
      </c>
      <c r="M192" t="s">
        <v>43</v>
      </c>
      <c r="N192">
        <v>97</v>
      </c>
      <c r="O192">
        <f t="shared" si="32"/>
        <v>810</v>
      </c>
      <c r="P192">
        <f t="shared" si="33"/>
        <v>407</v>
      </c>
      <c r="Q192">
        <f t="shared" si="34"/>
        <v>403</v>
      </c>
      <c r="R192">
        <f t="shared" si="35"/>
        <v>49.650349650349654</v>
      </c>
      <c r="S192" s="1">
        <f t="shared" si="36"/>
        <v>50.24975024975025</v>
      </c>
      <c r="T192" s="1">
        <f t="shared" si="37"/>
        <v>382</v>
      </c>
      <c r="U192" s="1">
        <f t="shared" si="38"/>
        <v>428</v>
      </c>
      <c r="V192" s="1">
        <f t="shared" si="39"/>
        <v>47.5</v>
      </c>
      <c r="W192" s="1">
        <f t="shared" si="40"/>
        <v>52.5</v>
      </c>
      <c r="X192" s="1">
        <f t="shared" si="41"/>
        <v>15.255555555555556</v>
      </c>
      <c r="Y192" s="1">
        <f t="shared" si="42"/>
        <v>132</v>
      </c>
      <c r="Z192" s="1">
        <f t="shared" si="43"/>
        <v>125</v>
      </c>
      <c r="AA192" s="1">
        <f t="shared" si="44"/>
        <v>3.6196969696969696</v>
      </c>
      <c r="AB192" s="1">
        <f t="shared" si="45"/>
        <v>3.3631999999999995</v>
      </c>
      <c r="AC192" s="1">
        <f t="shared" si="46"/>
        <v>0</v>
      </c>
      <c r="AD192" s="1">
        <f t="shared" si="47"/>
        <v>3.7121505979339872E-2</v>
      </c>
    </row>
    <row r="193" spans="1:30" x14ac:dyDescent="0.35">
      <c r="A193" t="s">
        <v>436</v>
      </c>
      <c r="B193" t="s">
        <v>40</v>
      </c>
      <c r="C193" t="s">
        <v>52</v>
      </c>
      <c r="D193" t="s">
        <v>25</v>
      </c>
      <c r="E193">
        <v>30</v>
      </c>
      <c r="F193" t="s">
        <v>31</v>
      </c>
      <c r="G193" t="s">
        <v>26</v>
      </c>
      <c r="H193" t="s">
        <v>437</v>
      </c>
      <c r="I193">
        <v>11</v>
      </c>
      <c r="J193">
        <v>19</v>
      </c>
      <c r="K193">
        <v>325418</v>
      </c>
      <c r="L193">
        <v>4.8</v>
      </c>
      <c r="M193" t="s">
        <v>21</v>
      </c>
      <c r="N193">
        <v>62</v>
      </c>
      <c r="O193">
        <f t="shared" si="32"/>
        <v>809</v>
      </c>
      <c r="P193">
        <f t="shared" si="33"/>
        <v>407</v>
      </c>
      <c r="Q193">
        <f t="shared" si="34"/>
        <v>402</v>
      </c>
      <c r="R193">
        <f t="shared" si="35"/>
        <v>49.650349650349654</v>
      </c>
      <c r="S193" s="1">
        <f t="shared" si="36"/>
        <v>50.24975024975025</v>
      </c>
      <c r="T193" s="1">
        <f t="shared" si="37"/>
        <v>382</v>
      </c>
      <c r="U193" s="1">
        <f t="shared" si="38"/>
        <v>427</v>
      </c>
      <c r="V193" s="1">
        <f t="shared" si="39"/>
        <v>47.5</v>
      </c>
      <c r="W193" s="1">
        <f t="shared" si="40"/>
        <v>52.5</v>
      </c>
      <c r="X193" s="1">
        <f t="shared" si="41"/>
        <v>15.254635352286774</v>
      </c>
      <c r="Y193" s="1">
        <f t="shared" si="42"/>
        <v>132</v>
      </c>
      <c r="Z193" s="1">
        <f t="shared" si="43"/>
        <v>125</v>
      </c>
      <c r="AA193" s="1">
        <f t="shared" si="44"/>
        <v>3.6196969696969696</v>
      </c>
      <c r="AB193" s="1">
        <f t="shared" si="45"/>
        <v>3.3631999999999995</v>
      </c>
      <c r="AC193" s="1">
        <f t="shared" si="46"/>
        <v>1</v>
      </c>
      <c r="AD193" s="1">
        <f t="shared" si="47"/>
        <v>3.7268563796288498E-2</v>
      </c>
    </row>
    <row r="194" spans="1:30" x14ac:dyDescent="0.35">
      <c r="A194" t="s">
        <v>438</v>
      </c>
      <c r="B194" t="s">
        <v>35</v>
      </c>
      <c r="C194" t="s">
        <v>49</v>
      </c>
      <c r="D194" t="s">
        <v>17</v>
      </c>
      <c r="E194">
        <v>54</v>
      </c>
      <c r="F194" t="s">
        <v>46</v>
      </c>
      <c r="G194" t="s">
        <v>26</v>
      </c>
      <c r="H194" t="s">
        <v>439</v>
      </c>
      <c r="I194">
        <v>16</v>
      </c>
      <c r="J194">
        <v>19</v>
      </c>
      <c r="K194">
        <v>278814</v>
      </c>
      <c r="L194">
        <v>4.8</v>
      </c>
      <c r="M194" t="s">
        <v>21</v>
      </c>
      <c r="N194">
        <v>51</v>
      </c>
      <c r="O194">
        <f t="shared" ref="O194:O257" si="48">COUNTA(A194:A1193)</f>
        <v>808</v>
      </c>
      <c r="P194">
        <f t="shared" ref="P194:P257" si="49">COUNTIF(D194:D1193,"Male")</f>
        <v>407</v>
      </c>
      <c r="Q194">
        <f t="shared" ref="Q194:Q257" si="50">COUNTIF(D194:D1193,"Female")</f>
        <v>401</v>
      </c>
      <c r="R194">
        <f t="shared" ref="R194:R257" si="51">497/1001*100</f>
        <v>49.650349650349654</v>
      </c>
      <c r="S194" s="1">
        <f t="shared" ref="S194:S257" si="52">503/1001*100</f>
        <v>50.24975024975025</v>
      </c>
      <c r="T194" s="1">
        <f t="shared" ref="T194:T257" si="53">COUNTIF(M194:M1193,"Yes")</f>
        <v>381</v>
      </c>
      <c r="U194" s="1">
        <f t="shared" ref="U194:U257" si="54">COUNTIF(M194:M1193,"No")</f>
        <v>427</v>
      </c>
      <c r="V194" s="1">
        <f t="shared" ref="V194:V257" si="55">475/1000*100</f>
        <v>47.5</v>
      </c>
      <c r="W194" s="1">
        <f t="shared" ref="W194:W257" si="56">525/1000*100</f>
        <v>52.5</v>
      </c>
      <c r="X194" s="1">
        <f t="shared" ref="X194:X257" si="57">AVERAGE(J194:J1193)</f>
        <v>15.25</v>
      </c>
      <c r="Y194" s="1">
        <f t="shared" ref="Y194:Y257" si="58">COUNTIF(F194:F1193,"Marketing")</f>
        <v>132</v>
      </c>
      <c r="Z194" s="1">
        <f t="shared" ref="Z194:Z257" si="59">COUNTIF(F194:F1193,"IT")</f>
        <v>124</v>
      </c>
      <c r="AA194" s="1">
        <f t="shared" ref="AA194:AA257" si="60">AVERAGEIF(F194:F1193,"Marketing",L194:L1193)</f>
        <v>3.6196969696969696</v>
      </c>
      <c r="AB194" s="1">
        <f t="shared" ref="AB194:AB257" si="61">AVERAGEIF(F194:F1193,"IT",L194:L1193)</f>
        <v>3.351612903225806</v>
      </c>
      <c r="AC194" s="1">
        <f t="shared" ref="AC194:AC257" si="62">IF(M194="yes",1,0)</f>
        <v>1</v>
      </c>
      <c r="AD194" s="1">
        <f t="shared" ref="AD194:AD257" si="63">CORREL(J194:J1193,AC194:AC1193)</f>
        <v>3.6589430786757873E-2</v>
      </c>
    </row>
    <row r="195" spans="1:30" x14ac:dyDescent="0.35">
      <c r="A195" t="s">
        <v>440</v>
      </c>
      <c r="B195" t="s">
        <v>69</v>
      </c>
      <c r="C195" t="s">
        <v>64</v>
      </c>
      <c r="D195" t="s">
        <v>25</v>
      </c>
      <c r="E195">
        <v>25</v>
      </c>
      <c r="F195" t="s">
        <v>70</v>
      </c>
      <c r="G195" t="s">
        <v>71</v>
      </c>
      <c r="H195" t="s">
        <v>441</v>
      </c>
      <c r="I195">
        <v>11</v>
      </c>
      <c r="J195">
        <v>21</v>
      </c>
      <c r="K195">
        <v>394513</v>
      </c>
      <c r="L195">
        <v>4.3</v>
      </c>
      <c r="M195" t="s">
        <v>21</v>
      </c>
      <c r="N195">
        <v>44</v>
      </c>
      <c r="O195">
        <f t="shared" si="48"/>
        <v>807</v>
      </c>
      <c r="P195">
        <f t="shared" si="49"/>
        <v>406</v>
      </c>
      <c r="Q195">
        <f t="shared" si="50"/>
        <v>401</v>
      </c>
      <c r="R195">
        <f t="shared" si="51"/>
        <v>49.650349650349654</v>
      </c>
      <c r="S195" s="1">
        <f t="shared" si="52"/>
        <v>50.24975024975025</v>
      </c>
      <c r="T195" s="1">
        <f t="shared" si="53"/>
        <v>380</v>
      </c>
      <c r="U195" s="1">
        <f t="shared" si="54"/>
        <v>427</v>
      </c>
      <c r="V195" s="1">
        <f t="shared" si="55"/>
        <v>47.5</v>
      </c>
      <c r="W195" s="1">
        <f t="shared" si="56"/>
        <v>52.5</v>
      </c>
      <c r="X195" s="1">
        <f t="shared" si="57"/>
        <v>15.245353159851302</v>
      </c>
      <c r="Y195" s="1">
        <f t="shared" si="58"/>
        <v>132</v>
      </c>
      <c r="Z195" s="1">
        <f t="shared" si="59"/>
        <v>124</v>
      </c>
      <c r="AA195" s="1">
        <f t="shared" si="60"/>
        <v>3.6196969696969696</v>
      </c>
      <c r="AB195" s="1">
        <f t="shared" si="61"/>
        <v>3.351612903225806</v>
      </c>
      <c r="AC195" s="1">
        <f t="shared" si="62"/>
        <v>1</v>
      </c>
      <c r="AD195" s="1">
        <f t="shared" si="63"/>
        <v>3.5907429576539834E-2</v>
      </c>
    </row>
    <row r="196" spans="1:30" x14ac:dyDescent="0.35">
      <c r="A196" t="s">
        <v>442</v>
      </c>
      <c r="B196" t="s">
        <v>45</v>
      </c>
      <c r="C196" t="s">
        <v>49</v>
      </c>
      <c r="D196" t="s">
        <v>25</v>
      </c>
      <c r="E196">
        <v>50</v>
      </c>
      <c r="F196" t="s">
        <v>70</v>
      </c>
      <c r="G196" t="s">
        <v>71</v>
      </c>
      <c r="H196" t="s">
        <v>443</v>
      </c>
      <c r="I196">
        <v>12</v>
      </c>
      <c r="J196">
        <v>12</v>
      </c>
      <c r="K196">
        <v>371414</v>
      </c>
      <c r="L196">
        <v>3.4</v>
      </c>
      <c r="M196" t="s">
        <v>21</v>
      </c>
      <c r="N196">
        <v>69</v>
      </c>
      <c r="O196">
        <f t="shared" si="48"/>
        <v>806</v>
      </c>
      <c r="P196">
        <f t="shared" si="49"/>
        <v>406</v>
      </c>
      <c r="Q196">
        <f t="shared" si="50"/>
        <v>400</v>
      </c>
      <c r="R196">
        <f t="shared" si="51"/>
        <v>49.650349650349654</v>
      </c>
      <c r="S196" s="1">
        <f t="shared" si="52"/>
        <v>50.24975024975025</v>
      </c>
      <c r="T196" s="1">
        <f t="shared" si="53"/>
        <v>379</v>
      </c>
      <c r="U196" s="1">
        <f t="shared" si="54"/>
        <v>427</v>
      </c>
      <c r="V196" s="1">
        <f t="shared" si="55"/>
        <v>47.5</v>
      </c>
      <c r="W196" s="1">
        <f t="shared" si="56"/>
        <v>52.5</v>
      </c>
      <c r="X196" s="1">
        <f t="shared" si="57"/>
        <v>15.238213399503723</v>
      </c>
      <c r="Y196" s="1">
        <f t="shared" si="58"/>
        <v>132</v>
      </c>
      <c r="Z196" s="1">
        <f t="shared" si="59"/>
        <v>124</v>
      </c>
      <c r="AA196" s="1">
        <f t="shared" si="60"/>
        <v>3.6196969696969696</v>
      </c>
      <c r="AB196" s="1">
        <f t="shared" si="61"/>
        <v>3.351612903225806</v>
      </c>
      <c r="AC196" s="1">
        <f t="shared" si="62"/>
        <v>1</v>
      </c>
      <c r="AD196" s="1">
        <f t="shared" si="63"/>
        <v>3.4849500135705785E-2</v>
      </c>
    </row>
    <row r="197" spans="1:30" x14ac:dyDescent="0.35">
      <c r="A197" t="s">
        <v>444</v>
      </c>
      <c r="B197" t="s">
        <v>35</v>
      </c>
      <c r="C197" t="s">
        <v>82</v>
      </c>
      <c r="D197" t="s">
        <v>17</v>
      </c>
      <c r="E197">
        <v>36</v>
      </c>
      <c r="F197" t="s">
        <v>74</v>
      </c>
      <c r="G197" t="s">
        <v>75</v>
      </c>
      <c r="H197" t="s">
        <v>445</v>
      </c>
      <c r="I197">
        <v>7</v>
      </c>
      <c r="J197">
        <v>16</v>
      </c>
      <c r="K197">
        <v>464517</v>
      </c>
      <c r="L197">
        <v>4.3</v>
      </c>
      <c r="M197" t="s">
        <v>43</v>
      </c>
      <c r="N197">
        <v>93</v>
      </c>
      <c r="O197">
        <f t="shared" si="48"/>
        <v>805</v>
      </c>
      <c r="P197">
        <f t="shared" si="49"/>
        <v>406</v>
      </c>
      <c r="Q197">
        <f t="shared" si="50"/>
        <v>399</v>
      </c>
      <c r="R197">
        <f t="shared" si="51"/>
        <v>49.650349650349654</v>
      </c>
      <c r="S197" s="1">
        <f t="shared" si="52"/>
        <v>50.24975024975025</v>
      </c>
      <c r="T197" s="1">
        <f t="shared" si="53"/>
        <v>378</v>
      </c>
      <c r="U197" s="1">
        <f t="shared" si="54"/>
        <v>427</v>
      </c>
      <c r="V197" s="1">
        <f t="shared" si="55"/>
        <v>47.5</v>
      </c>
      <c r="W197" s="1">
        <f t="shared" si="56"/>
        <v>52.5</v>
      </c>
      <c r="X197" s="1">
        <f t="shared" si="57"/>
        <v>15.24223602484472</v>
      </c>
      <c r="Y197" s="1">
        <f t="shared" si="58"/>
        <v>132</v>
      </c>
      <c r="Z197" s="1">
        <f t="shared" si="59"/>
        <v>124</v>
      </c>
      <c r="AA197" s="1">
        <f t="shared" si="60"/>
        <v>3.6196969696969696</v>
      </c>
      <c r="AB197" s="1">
        <f t="shared" si="61"/>
        <v>3.351612903225806</v>
      </c>
      <c r="AC197" s="1">
        <f t="shared" si="62"/>
        <v>0</v>
      </c>
      <c r="AD197" s="1">
        <f t="shared" si="63"/>
        <v>3.5498119048203804E-2</v>
      </c>
    </row>
    <row r="198" spans="1:30" x14ac:dyDescent="0.35">
      <c r="A198" t="s">
        <v>446</v>
      </c>
      <c r="B198" t="s">
        <v>55</v>
      </c>
      <c r="C198" t="s">
        <v>30</v>
      </c>
      <c r="D198" t="s">
        <v>17</v>
      </c>
      <c r="E198">
        <v>29</v>
      </c>
      <c r="F198" t="s">
        <v>37</v>
      </c>
      <c r="G198" t="s">
        <v>26</v>
      </c>
      <c r="H198" t="s">
        <v>447</v>
      </c>
      <c r="I198">
        <v>3</v>
      </c>
      <c r="J198">
        <v>5</v>
      </c>
      <c r="K198">
        <v>496562</v>
      </c>
      <c r="L198">
        <v>4.7</v>
      </c>
      <c r="M198" t="s">
        <v>43</v>
      </c>
      <c r="N198">
        <v>74</v>
      </c>
      <c r="O198">
        <f t="shared" si="48"/>
        <v>804</v>
      </c>
      <c r="P198">
        <f t="shared" si="49"/>
        <v>405</v>
      </c>
      <c r="Q198">
        <f t="shared" si="50"/>
        <v>399</v>
      </c>
      <c r="R198">
        <f t="shared" si="51"/>
        <v>49.650349650349654</v>
      </c>
      <c r="S198" s="1">
        <f t="shared" si="52"/>
        <v>50.24975024975025</v>
      </c>
      <c r="T198" s="1">
        <f t="shared" si="53"/>
        <v>378</v>
      </c>
      <c r="U198" s="1">
        <f t="shared" si="54"/>
        <v>426</v>
      </c>
      <c r="V198" s="1">
        <f t="shared" si="55"/>
        <v>47.5</v>
      </c>
      <c r="W198" s="1">
        <f t="shared" si="56"/>
        <v>52.5</v>
      </c>
      <c r="X198" s="1">
        <f t="shared" si="57"/>
        <v>15.241293532338309</v>
      </c>
      <c r="Y198" s="1">
        <f t="shared" si="58"/>
        <v>131</v>
      </c>
      <c r="Z198" s="1">
        <f t="shared" si="59"/>
        <v>124</v>
      </c>
      <c r="AA198" s="1">
        <f t="shared" si="60"/>
        <v>3.6145038167938934</v>
      </c>
      <c r="AB198" s="1">
        <f t="shared" si="61"/>
        <v>3.351612903225806</v>
      </c>
      <c r="AC198" s="1">
        <f t="shared" si="62"/>
        <v>0</v>
      </c>
      <c r="AD198" s="1">
        <f t="shared" si="63"/>
        <v>3.5646493145062408E-2</v>
      </c>
    </row>
    <row r="199" spans="1:30" x14ac:dyDescent="0.35">
      <c r="A199" t="s">
        <v>448</v>
      </c>
      <c r="B199" t="s">
        <v>15</v>
      </c>
      <c r="C199" t="s">
        <v>93</v>
      </c>
      <c r="D199" t="s">
        <v>17</v>
      </c>
      <c r="E199">
        <v>58</v>
      </c>
      <c r="F199" t="s">
        <v>31</v>
      </c>
      <c r="G199" t="s">
        <v>88</v>
      </c>
      <c r="H199" t="s">
        <v>449</v>
      </c>
      <c r="I199">
        <v>3</v>
      </c>
      <c r="J199">
        <v>3</v>
      </c>
      <c r="K199">
        <v>239271</v>
      </c>
      <c r="L199">
        <v>2</v>
      </c>
      <c r="M199" t="s">
        <v>21</v>
      </c>
      <c r="N199">
        <v>30</v>
      </c>
      <c r="O199">
        <f t="shared" si="48"/>
        <v>803</v>
      </c>
      <c r="P199">
        <f t="shared" si="49"/>
        <v>404</v>
      </c>
      <c r="Q199">
        <f t="shared" si="50"/>
        <v>399</v>
      </c>
      <c r="R199">
        <f t="shared" si="51"/>
        <v>49.650349650349654</v>
      </c>
      <c r="S199" s="1">
        <f t="shared" si="52"/>
        <v>50.24975024975025</v>
      </c>
      <c r="T199" s="1">
        <f t="shared" si="53"/>
        <v>378</v>
      </c>
      <c r="U199" s="1">
        <f t="shared" si="54"/>
        <v>425</v>
      </c>
      <c r="V199" s="1">
        <f t="shared" si="55"/>
        <v>47.5</v>
      </c>
      <c r="W199" s="1">
        <f t="shared" si="56"/>
        <v>52.5</v>
      </c>
      <c r="X199" s="1">
        <f t="shared" si="57"/>
        <v>15.254047322540472</v>
      </c>
      <c r="Y199" s="1">
        <f t="shared" si="58"/>
        <v>131</v>
      </c>
      <c r="Z199" s="1">
        <f t="shared" si="59"/>
        <v>124</v>
      </c>
      <c r="AA199" s="1">
        <f t="shared" si="60"/>
        <v>3.6145038167938934</v>
      </c>
      <c r="AB199" s="1">
        <f t="shared" si="61"/>
        <v>3.351612903225806</v>
      </c>
      <c r="AC199" s="1">
        <f t="shared" si="62"/>
        <v>1</v>
      </c>
      <c r="AD199" s="1">
        <f t="shared" si="63"/>
        <v>3.3972265369495006E-2</v>
      </c>
    </row>
    <row r="200" spans="1:30" x14ac:dyDescent="0.35">
      <c r="A200" t="s">
        <v>450</v>
      </c>
      <c r="B200" t="s">
        <v>29</v>
      </c>
      <c r="C200" t="s">
        <v>52</v>
      </c>
      <c r="D200" t="s">
        <v>17</v>
      </c>
      <c r="E200">
        <v>25</v>
      </c>
      <c r="F200" t="s">
        <v>37</v>
      </c>
      <c r="G200" t="s">
        <v>57</v>
      </c>
      <c r="H200" t="s">
        <v>451</v>
      </c>
      <c r="I200">
        <v>4</v>
      </c>
      <c r="J200">
        <v>8</v>
      </c>
      <c r="K200">
        <v>369622</v>
      </c>
      <c r="L200">
        <v>5</v>
      </c>
      <c r="M200" t="s">
        <v>43</v>
      </c>
      <c r="N200">
        <v>96</v>
      </c>
      <c r="O200">
        <f t="shared" si="48"/>
        <v>802</v>
      </c>
      <c r="P200">
        <f t="shared" si="49"/>
        <v>403</v>
      </c>
      <c r="Q200">
        <f t="shared" si="50"/>
        <v>399</v>
      </c>
      <c r="R200">
        <f t="shared" si="51"/>
        <v>49.650349650349654</v>
      </c>
      <c r="S200" s="1">
        <f t="shared" si="52"/>
        <v>50.24975024975025</v>
      </c>
      <c r="T200" s="1">
        <f t="shared" si="53"/>
        <v>377</v>
      </c>
      <c r="U200" s="1">
        <f t="shared" si="54"/>
        <v>425</v>
      </c>
      <c r="V200" s="1">
        <f t="shared" si="55"/>
        <v>47.5</v>
      </c>
      <c r="W200" s="1">
        <f t="shared" si="56"/>
        <v>52.5</v>
      </c>
      <c r="X200" s="1">
        <f t="shared" si="57"/>
        <v>15.269326683291771</v>
      </c>
      <c r="Y200" s="1">
        <f t="shared" si="58"/>
        <v>131</v>
      </c>
      <c r="Z200" s="1">
        <f t="shared" si="59"/>
        <v>123</v>
      </c>
      <c r="AA200" s="1">
        <f t="shared" si="60"/>
        <v>3.6145038167938934</v>
      </c>
      <c r="AB200" s="1">
        <f t="shared" si="61"/>
        <v>3.3626016260162599</v>
      </c>
      <c r="AC200" s="1">
        <f t="shared" si="62"/>
        <v>0</v>
      </c>
      <c r="AD200" s="1">
        <f t="shared" si="63"/>
        <v>3.6417030186238833E-2</v>
      </c>
    </row>
    <row r="201" spans="1:30" x14ac:dyDescent="0.35">
      <c r="A201" t="s">
        <v>452</v>
      </c>
      <c r="B201" t="s">
        <v>15</v>
      </c>
      <c r="C201" t="s">
        <v>36</v>
      </c>
      <c r="D201" t="s">
        <v>25</v>
      </c>
      <c r="E201">
        <v>36</v>
      </c>
      <c r="F201" t="s">
        <v>18</v>
      </c>
      <c r="G201" t="s">
        <v>88</v>
      </c>
      <c r="H201" t="s">
        <v>453</v>
      </c>
      <c r="I201">
        <v>9</v>
      </c>
      <c r="J201">
        <v>14</v>
      </c>
      <c r="K201">
        <v>289651</v>
      </c>
      <c r="L201">
        <v>2.4</v>
      </c>
      <c r="M201" t="s">
        <v>21</v>
      </c>
      <c r="N201">
        <v>44</v>
      </c>
      <c r="O201">
        <f t="shared" si="48"/>
        <v>801</v>
      </c>
      <c r="P201">
        <f t="shared" si="49"/>
        <v>402</v>
      </c>
      <c r="Q201">
        <f t="shared" si="50"/>
        <v>399</v>
      </c>
      <c r="R201">
        <f t="shared" si="51"/>
        <v>49.650349650349654</v>
      </c>
      <c r="S201" s="1">
        <f t="shared" si="52"/>
        <v>50.24975024975025</v>
      </c>
      <c r="T201" s="1">
        <f t="shared" si="53"/>
        <v>377</v>
      </c>
      <c r="U201" s="1">
        <f t="shared" si="54"/>
        <v>424</v>
      </c>
      <c r="V201" s="1">
        <f t="shared" si="55"/>
        <v>47.5</v>
      </c>
      <c r="W201" s="1">
        <f t="shared" si="56"/>
        <v>52.5</v>
      </c>
      <c r="X201" s="1">
        <f t="shared" si="57"/>
        <v>15.278401997503121</v>
      </c>
      <c r="Y201" s="1">
        <f t="shared" si="58"/>
        <v>131</v>
      </c>
      <c r="Z201" s="1">
        <f t="shared" si="59"/>
        <v>123</v>
      </c>
      <c r="AA201" s="1">
        <f t="shared" si="60"/>
        <v>3.6145038167938934</v>
      </c>
      <c r="AB201" s="1">
        <f t="shared" si="61"/>
        <v>3.3626016260162599</v>
      </c>
      <c r="AC201" s="1">
        <f t="shared" si="62"/>
        <v>1</v>
      </c>
      <c r="AD201" s="1">
        <f t="shared" si="63"/>
        <v>3.522077503956985E-2</v>
      </c>
    </row>
    <row r="202" spans="1:30" x14ac:dyDescent="0.35">
      <c r="A202" t="s">
        <v>454</v>
      </c>
      <c r="B202" t="s">
        <v>96</v>
      </c>
      <c r="C202" t="s">
        <v>36</v>
      </c>
      <c r="D202" t="s">
        <v>17</v>
      </c>
      <c r="E202">
        <v>34</v>
      </c>
      <c r="F202" t="s">
        <v>74</v>
      </c>
      <c r="G202" t="s">
        <v>41</v>
      </c>
      <c r="H202" t="s">
        <v>455</v>
      </c>
      <c r="I202">
        <v>3</v>
      </c>
      <c r="J202">
        <v>12</v>
      </c>
      <c r="K202">
        <v>213487</v>
      </c>
      <c r="L202">
        <v>2.9</v>
      </c>
      <c r="M202" t="s">
        <v>43</v>
      </c>
      <c r="N202">
        <v>87</v>
      </c>
      <c r="O202">
        <f t="shared" si="48"/>
        <v>800</v>
      </c>
      <c r="P202">
        <f t="shared" si="49"/>
        <v>402</v>
      </c>
      <c r="Q202">
        <f t="shared" si="50"/>
        <v>398</v>
      </c>
      <c r="R202">
        <f t="shared" si="51"/>
        <v>49.650349650349654</v>
      </c>
      <c r="S202" s="1">
        <f t="shared" si="52"/>
        <v>50.24975024975025</v>
      </c>
      <c r="T202" s="1">
        <f t="shared" si="53"/>
        <v>376</v>
      </c>
      <c r="U202" s="1">
        <f t="shared" si="54"/>
        <v>424</v>
      </c>
      <c r="V202" s="1">
        <f t="shared" si="55"/>
        <v>47.5</v>
      </c>
      <c r="W202" s="1">
        <f t="shared" si="56"/>
        <v>52.5</v>
      </c>
      <c r="X202" s="1">
        <f t="shared" si="57"/>
        <v>15.28</v>
      </c>
      <c r="Y202" s="1">
        <f t="shared" si="58"/>
        <v>131</v>
      </c>
      <c r="Z202" s="1">
        <f t="shared" si="59"/>
        <v>123</v>
      </c>
      <c r="AA202" s="1">
        <f t="shared" si="60"/>
        <v>3.6145038167938934</v>
      </c>
      <c r="AB202" s="1">
        <f t="shared" si="61"/>
        <v>3.3626016260162599</v>
      </c>
      <c r="AC202" s="1">
        <f t="shared" si="62"/>
        <v>0</v>
      </c>
      <c r="AD202" s="1">
        <f t="shared" si="63"/>
        <v>3.5492407322865113E-2</v>
      </c>
    </row>
    <row r="203" spans="1:30" x14ac:dyDescent="0.35">
      <c r="A203" t="s">
        <v>456</v>
      </c>
      <c r="B203" t="s">
        <v>78</v>
      </c>
      <c r="C203" t="s">
        <v>24</v>
      </c>
      <c r="D203" t="s">
        <v>17</v>
      </c>
      <c r="E203">
        <v>26</v>
      </c>
      <c r="F203" t="s">
        <v>31</v>
      </c>
      <c r="G203" t="s">
        <v>26</v>
      </c>
      <c r="H203" t="s">
        <v>457</v>
      </c>
      <c r="I203">
        <v>7</v>
      </c>
      <c r="J203">
        <v>16</v>
      </c>
      <c r="K203">
        <v>243433</v>
      </c>
      <c r="L203">
        <v>3</v>
      </c>
      <c r="M203" t="s">
        <v>21</v>
      </c>
      <c r="N203">
        <v>65</v>
      </c>
      <c r="O203">
        <f t="shared" si="48"/>
        <v>799</v>
      </c>
      <c r="P203">
        <f t="shared" si="49"/>
        <v>401</v>
      </c>
      <c r="Q203">
        <f t="shared" si="50"/>
        <v>398</v>
      </c>
      <c r="R203">
        <f t="shared" si="51"/>
        <v>49.650349650349654</v>
      </c>
      <c r="S203" s="1">
        <f t="shared" si="52"/>
        <v>50.24975024975025</v>
      </c>
      <c r="T203" s="1">
        <f t="shared" si="53"/>
        <v>376</v>
      </c>
      <c r="U203" s="1">
        <f t="shared" si="54"/>
        <v>423</v>
      </c>
      <c r="V203" s="1">
        <f t="shared" si="55"/>
        <v>47.5</v>
      </c>
      <c r="W203" s="1">
        <f t="shared" si="56"/>
        <v>52.5</v>
      </c>
      <c r="X203" s="1">
        <f t="shared" si="57"/>
        <v>15.284105131414268</v>
      </c>
      <c r="Y203" s="1">
        <f t="shared" si="58"/>
        <v>130</v>
      </c>
      <c r="Z203" s="1">
        <f t="shared" si="59"/>
        <v>123</v>
      </c>
      <c r="AA203" s="1">
        <f t="shared" si="60"/>
        <v>3.62</v>
      </c>
      <c r="AB203" s="1">
        <f t="shared" si="61"/>
        <v>3.3626016260162599</v>
      </c>
      <c r="AC203" s="1">
        <f t="shared" si="62"/>
        <v>1</v>
      </c>
      <c r="AD203" s="1">
        <f t="shared" si="63"/>
        <v>3.4956140397421655E-2</v>
      </c>
    </row>
    <row r="204" spans="1:30" x14ac:dyDescent="0.35">
      <c r="A204" t="s">
        <v>458</v>
      </c>
      <c r="B204" t="s">
        <v>78</v>
      </c>
      <c r="C204" t="s">
        <v>24</v>
      </c>
      <c r="D204" t="s">
        <v>17</v>
      </c>
      <c r="E204">
        <v>42</v>
      </c>
      <c r="F204" t="s">
        <v>46</v>
      </c>
      <c r="G204" t="s">
        <v>61</v>
      </c>
      <c r="H204" t="s">
        <v>459</v>
      </c>
      <c r="I204">
        <v>13</v>
      </c>
      <c r="J204">
        <v>22</v>
      </c>
      <c r="K204">
        <v>69819</v>
      </c>
      <c r="L204">
        <v>2.7</v>
      </c>
      <c r="M204" t="s">
        <v>43</v>
      </c>
      <c r="N204">
        <v>86</v>
      </c>
      <c r="O204">
        <f t="shared" si="48"/>
        <v>798</v>
      </c>
      <c r="P204">
        <f t="shared" si="49"/>
        <v>400</v>
      </c>
      <c r="Q204">
        <f t="shared" si="50"/>
        <v>398</v>
      </c>
      <c r="R204">
        <f t="shared" si="51"/>
        <v>49.650349650349654</v>
      </c>
      <c r="S204" s="1">
        <f t="shared" si="52"/>
        <v>50.24975024975025</v>
      </c>
      <c r="T204" s="1">
        <f t="shared" si="53"/>
        <v>375</v>
      </c>
      <c r="U204" s="1">
        <f t="shared" si="54"/>
        <v>423</v>
      </c>
      <c r="V204" s="1">
        <f t="shared" si="55"/>
        <v>47.5</v>
      </c>
      <c r="W204" s="1">
        <f t="shared" si="56"/>
        <v>52.5</v>
      </c>
      <c r="X204" s="1">
        <f t="shared" si="57"/>
        <v>15.283208020050125</v>
      </c>
      <c r="Y204" s="1">
        <f t="shared" si="58"/>
        <v>130</v>
      </c>
      <c r="Z204" s="1">
        <f t="shared" si="59"/>
        <v>122</v>
      </c>
      <c r="AA204" s="1">
        <f t="shared" si="60"/>
        <v>3.62</v>
      </c>
      <c r="AB204" s="1">
        <f t="shared" si="61"/>
        <v>3.3655737704918032</v>
      </c>
      <c r="AC204" s="1">
        <f t="shared" si="62"/>
        <v>0</v>
      </c>
      <c r="AD204" s="1">
        <f t="shared" si="63"/>
        <v>3.4843019892763012E-2</v>
      </c>
    </row>
    <row r="205" spans="1:30" x14ac:dyDescent="0.35">
      <c r="A205" t="s">
        <v>460</v>
      </c>
      <c r="B205" t="s">
        <v>111</v>
      </c>
      <c r="C205" t="s">
        <v>64</v>
      </c>
      <c r="D205" t="s">
        <v>25</v>
      </c>
      <c r="E205">
        <v>48</v>
      </c>
      <c r="F205" t="s">
        <v>74</v>
      </c>
      <c r="G205" t="s">
        <v>71</v>
      </c>
      <c r="H205" t="s">
        <v>461</v>
      </c>
      <c r="I205">
        <v>16</v>
      </c>
      <c r="J205">
        <v>26</v>
      </c>
      <c r="K205">
        <v>345296</v>
      </c>
      <c r="L205">
        <v>2.5</v>
      </c>
      <c r="M205" t="s">
        <v>21</v>
      </c>
      <c r="N205">
        <v>70</v>
      </c>
      <c r="O205">
        <f t="shared" si="48"/>
        <v>797</v>
      </c>
      <c r="P205">
        <f t="shared" si="49"/>
        <v>399</v>
      </c>
      <c r="Q205">
        <f t="shared" si="50"/>
        <v>398</v>
      </c>
      <c r="R205">
        <f t="shared" si="51"/>
        <v>49.650349650349654</v>
      </c>
      <c r="S205" s="1">
        <f t="shared" si="52"/>
        <v>50.24975024975025</v>
      </c>
      <c r="T205" s="1">
        <f t="shared" si="53"/>
        <v>375</v>
      </c>
      <c r="U205" s="1">
        <f t="shared" si="54"/>
        <v>422</v>
      </c>
      <c r="V205" s="1">
        <f t="shared" si="55"/>
        <v>47.5</v>
      </c>
      <c r="W205" s="1">
        <f t="shared" si="56"/>
        <v>52.5</v>
      </c>
      <c r="X205" s="1">
        <f t="shared" si="57"/>
        <v>15.274780426599749</v>
      </c>
      <c r="Y205" s="1">
        <f t="shared" si="58"/>
        <v>130</v>
      </c>
      <c r="Z205" s="1">
        <f t="shared" si="59"/>
        <v>122</v>
      </c>
      <c r="AA205" s="1">
        <f t="shared" si="60"/>
        <v>3.62</v>
      </c>
      <c r="AB205" s="1">
        <f t="shared" si="61"/>
        <v>3.3655737704918032</v>
      </c>
      <c r="AC205" s="1">
        <f t="shared" si="62"/>
        <v>1</v>
      </c>
      <c r="AD205" s="1">
        <f t="shared" si="63"/>
        <v>3.6033935260333036E-2</v>
      </c>
    </row>
    <row r="206" spans="1:30" x14ac:dyDescent="0.35">
      <c r="A206" t="s">
        <v>462</v>
      </c>
      <c r="B206" t="s">
        <v>60</v>
      </c>
      <c r="C206" t="s">
        <v>16</v>
      </c>
      <c r="D206" t="s">
        <v>25</v>
      </c>
      <c r="E206">
        <v>47</v>
      </c>
      <c r="F206" t="s">
        <v>31</v>
      </c>
      <c r="G206" t="s">
        <v>26</v>
      </c>
      <c r="H206" t="s">
        <v>463</v>
      </c>
      <c r="I206">
        <v>11</v>
      </c>
      <c r="J206">
        <v>11</v>
      </c>
      <c r="K206">
        <v>225755</v>
      </c>
      <c r="L206">
        <v>2.7</v>
      </c>
      <c r="M206" t="s">
        <v>43</v>
      </c>
      <c r="N206">
        <v>86</v>
      </c>
      <c r="O206">
        <f t="shared" si="48"/>
        <v>796</v>
      </c>
      <c r="P206">
        <f t="shared" si="49"/>
        <v>399</v>
      </c>
      <c r="Q206">
        <f t="shared" si="50"/>
        <v>397</v>
      </c>
      <c r="R206">
        <f t="shared" si="51"/>
        <v>49.650349650349654</v>
      </c>
      <c r="S206" s="1">
        <f t="shared" si="52"/>
        <v>50.24975024975025</v>
      </c>
      <c r="T206" s="1">
        <f t="shared" si="53"/>
        <v>374</v>
      </c>
      <c r="U206" s="1">
        <f t="shared" si="54"/>
        <v>422</v>
      </c>
      <c r="V206" s="1">
        <f t="shared" si="55"/>
        <v>47.5</v>
      </c>
      <c r="W206" s="1">
        <f t="shared" si="56"/>
        <v>52.5</v>
      </c>
      <c r="X206" s="1">
        <f t="shared" si="57"/>
        <v>15.261306532663317</v>
      </c>
      <c r="Y206" s="1">
        <f t="shared" si="58"/>
        <v>129</v>
      </c>
      <c r="Z206" s="1">
        <f t="shared" si="59"/>
        <v>122</v>
      </c>
      <c r="AA206" s="1">
        <f t="shared" si="60"/>
        <v>3.6286821705426364</v>
      </c>
      <c r="AB206" s="1">
        <f t="shared" si="61"/>
        <v>3.3655737704918032</v>
      </c>
      <c r="AC206" s="1">
        <f t="shared" si="62"/>
        <v>0</v>
      </c>
      <c r="AD206" s="1">
        <f t="shared" si="63"/>
        <v>3.4039144343343312E-2</v>
      </c>
    </row>
    <row r="207" spans="1:30" x14ac:dyDescent="0.35">
      <c r="A207" t="s">
        <v>464</v>
      </c>
      <c r="B207" t="s">
        <v>60</v>
      </c>
      <c r="C207" t="s">
        <v>82</v>
      </c>
      <c r="D207" t="s">
        <v>25</v>
      </c>
      <c r="E207">
        <v>56</v>
      </c>
      <c r="F207" t="s">
        <v>18</v>
      </c>
      <c r="G207" t="s">
        <v>26</v>
      </c>
      <c r="H207" t="s">
        <v>465</v>
      </c>
      <c r="I207">
        <v>1</v>
      </c>
      <c r="J207">
        <v>9</v>
      </c>
      <c r="K207">
        <v>90183</v>
      </c>
      <c r="L207">
        <v>2.6</v>
      </c>
      <c r="M207" t="s">
        <v>21</v>
      </c>
      <c r="N207">
        <v>55</v>
      </c>
      <c r="O207">
        <f t="shared" si="48"/>
        <v>795</v>
      </c>
      <c r="P207">
        <f t="shared" si="49"/>
        <v>399</v>
      </c>
      <c r="Q207">
        <f t="shared" si="50"/>
        <v>396</v>
      </c>
      <c r="R207">
        <f t="shared" si="51"/>
        <v>49.650349650349654</v>
      </c>
      <c r="S207" s="1">
        <f t="shared" si="52"/>
        <v>50.24975024975025</v>
      </c>
      <c r="T207" s="1">
        <f t="shared" si="53"/>
        <v>374</v>
      </c>
      <c r="U207" s="1">
        <f t="shared" si="54"/>
        <v>421</v>
      </c>
      <c r="V207" s="1">
        <f t="shared" si="55"/>
        <v>47.5</v>
      </c>
      <c r="W207" s="1">
        <f t="shared" si="56"/>
        <v>52.5</v>
      </c>
      <c r="X207" s="1">
        <f t="shared" si="57"/>
        <v>15.266666666666667</v>
      </c>
      <c r="Y207" s="1">
        <f t="shared" si="58"/>
        <v>129</v>
      </c>
      <c r="Z207" s="1">
        <f t="shared" si="59"/>
        <v>121</v>
      </c>
      <c r="AA207" s="1">
        <f t="shared" si="60"/>
        <v>3.6286821705426364</v>
      </c>
      <c r="AB207" s="1">
        <f t="shared" si="61"/>
        <v>3.3710743801652892</v>
      </c>
      <c r="AC207" s="1">
        <f t="shared" si="62"/>
        <v>1</v>
      </c>
      <c r="AD207" s="1">
        <f t="shared" si="63"/>
        <v>3.3334122129279782E-2</v>
      </c>
    </row>
    <row r="208" spans="1:30" x14ac:dyDescent="0.35">
      <c r="A208" t="s">
        <v>466</v>
      </c>
      <c r="B208" t="s">
        <v>40</v>
      </c>
      <c r="C208" t="s">
        <v>56</v>
      </c>
      <c r="D208" t="s">
        <v>17</v>
      </c>
      <c r="E208">
        <v>40</v>
      </c>
      <c r="F208" t="s">
        <v>18</v>
      </c>
      <c r="G208" t="s">
        <v>61</v>
      </c>
      <c r="H208" t="s">
        <v>467</v>
      </c>
      <c r="I208">
        <v>12</v>
      </c>
      <c r="J208">
        <v>22</v>
      </c>
      <c r="K208">
        <v>85049</v>
      </c>
      <c r="L208">
        <v>2</v>
      </c>
      <c r="M208" t="s">
        <v>21</v>
      </c>
      <c r="N208">
        <v>37</v>
      </c>
      <c r="O208">
        <f t="shared" si="48"/>
        <v>794</v>
      </c>
      <c r="P208">
        <f t="shared" si="49"/>
        <v>399</v>
      </c>
      <c r="Q208">
        <f t="shared" si="50"/>
        <v>395</v>
      </c>
      <c r="R208">
        <f t="shared" si="51"/>
        <v>49.650349650349654</v>
      </c>
      <c r="S208" s="1">
        <f t="shared" si="52"/>
        <v>50.24975024975025</v>
      </c>
      <c r="T208" s="1">
        <f t="shared" si="53"/>
        <v>373</v>
      </c>
      <c r="U208" s="1">
        <f t="shared" si="54"/>
        <v>421</v>
      </c>
      <c r="V208" s="1">
        <f t="shared" si="55"/>
        <v>47.5</v>
      </c>
      <c r="W208" s="1">
        <f t="shared" si="56"/>
        <v>52.5</v>
      </c>
      <c r="X208" s="1">
        <f t="shared" si="57"/>
        <v>15.27455919395466</v>
      </c>
      <c r="Y208" s="1">
        <f t="shared" si="58"/>
        <v>129</v>
      </c>
      <c r="Z208" s="1">
        <f t="shared" si="59"/>
        <v>121</v>
      </c>
      <c r="AA208" s="1">
        <f t="shared" si="60"/>
        <v>3.6286821705426364</v>
      </c>
      <c r="AB208" s="1">
        <f t="shared" si="61"/>
        <v>3.3710743801652892</v>
      </c>
      <c r="AC208" s="1">
        <f t="shared" si="62"/>
        <v>1</v>
      </c>
      <c r="AD208" s="1">
        <f t="shared" si="63"/>
        <v>3.45902081281875E-2</v>
      </c>
    </row>
    <row r="209" spans="1:30" x14ac:dyDescent="0.35">
      <c r="A209" t="s">
        <v>468</v>
      </c>
      <c r="B209" t="s">
        <v>45</v>
      </c>
      <c r="C209" t="s">
        <v>36</v>
      </c>
      <c r="D209" t="s">
        <v>17</v>
      </c>
      <c r="E209">
        <v>43</v>
      </c>
      <c r="F209" t="s">
        <v>74</v>
      </c>
      <c r="G209" t="s">
        <v>57</v>
      </c>
      <c r="H209" t="s">
        <v>469</v>
      </c>
      <c r="I209">
        <v>7</v>
      </c>
      <c r="J209">
        <v>15</v>
      </c>
      <c r="K209">
        <v>495497</v>
      </c>
      <c r="L209">
        <v>3.8</v>
      </c>
      <c r="M209" t="s">
        <v>21</v>
      </c>
      <c r="N209">
        <v>56</v>
      </c>
      <c r="O209">
        <f t="shared" si="48"/>
        <v>793</v>
      </c>
      <c r="P209">
        <f t="shared" si="49"/>
        <v>398</v>
      </c>
      <c r="Q209">
        <f t="shared" si="50"/>
        <v>395</v>
      </c>
      <c r="R209">
        <f t="shared" si="51"/>
        <v>49.650349650349654</v>
      </c>
      <c r="S209" s="1">
        <f t="shared" si="52"/>
        <v>50.24975024975025</v>
      </c>
      <c r="T209" s="1">
        <f t="shared" si="53"/>
        <v>372</v>
      </c>
      <c r="U209" s="1">
        <f t="shared" si="54"/>
        <v>421</v>
      </c>
      <c r="V209" s="1">
        <f t="shared" si="55"/>
        <v>47.5</v>
      </c>
      <c r="W209" s="1">
        <f t="shared" si="56"/>
        <v>52.5</v>
      </c>
      <c r="X209" s="1">
        <f t="shared" si="57"/>
        <v>15.26607818411097</v>
      </c>
      <c r="Y209" s="1">
        <f t="shared" si="58"/>
        <v>129</v>
      </c>
      <c r="Z209" s="1">
        <f t="shared" si="59"/>
        <v>121</v>
      </c>
      <c r="AA209" s="1">
        <f t="shared" si="60"/>
        <v>3.6286821705426364</v>
      </c>
      <c r="AB209" s="1">
        <f t="shared" si="61"/>
        <v>3.3710743801652892</v>
      </c>
      <c r="AC209" s="1">
        <f t="shared" si="62"/>
        <v>1</v>
      </c>
      <c r="AD209" s="1">
        <f t="shared" si="63"/>
        <v>3.3328196043548051E-2</v>
      </c>
    </row>
    <row r="210" spans="1:30" x14ac:dyDescent="0.35">
      <c r="A210" t="s">
        <v>470</v>
      </c>
      <c r="B210" t="s">
        <v>40</v>
      </c>
      <c r="C210" t="s">
        <v>56</v>
      </c>
      <c r="D210" t="s">
        <v>25</v>
      </c>
      <c r="E210">
        <v>56</v>
      </c>
      <c r="F210" t="s">
        <v>74</v>
      </c>
      <c r="G210" t="s">
        <v>71</v>
      </c>
      <c r="H210" t="s">
        <v>471</v>
      </c>
      <c r="I210">
        <v>17</v>
      </c>
      <c r="J210">
        <v>25</v>
      </c>
      <c r="K210">
        <v>199402</v>
      </c>
      <c r="L210">
        <v>3.9</v>
      </c>
      <c r="M210" t="s">
        <v>21</v>
      </c>
      <c r="N210">
        <v>58</v>
      </c>
      <c r="O210">
        <f t="shared" si="48"/>
        <v>792</v>
      </c>
      <c r="P210">
        <f t="shared" si="49"/>
        <v>397</v>
      </c>
      <c r="Q210">
        <f t="shared" si="50"/>
        <v>395</v>
      </c>
      <c r="R210">
        <f t="shared" si="51"/>
        <v>49.650349650349654</v>
      </c>
      <c r="S210" s="1">
        <f t="shared" si="52"/>
        <v>50.24975024975025</v>
      </c>
      <c r="T210" s="1">
        <f t="shared" si="53"/>
        <v>371</v>
      </c>
      <c r="U210" s="1">
        <f t="shared" si="54"/>
        <v>421</v>
      </c>
      <c r="V210" s="1">
        <f t="shared" si="55"/>
        <v>47.5</v>
      </c>
      <c r="W210" s="1">
        <f t="shared" si="56"/>
        <v>52.5</v>
      </c>
      <c r="X210" s="1">
        <f t="shared" si="57"/>
        <v>15.266414141414142</v>
      </c>
      <c r="Y210" s="1">
        <f t="shared" si="58"/>
        <v>128</v>
      </c>
      <c r="Z210" s="1">
        <f t="shared" si="59"/>
        <v>121</v>
      </c>
      <c r="AA210" s="1">
        <f t="shared" si="60"/>
        <v>3.6273437500000005</v>
      </c>
      <c r="AB210" s="1">
        <f t="shared" si="61"/>
        <v>3.3710743801652892</v>
      </c>
      <c r="AC210" s="1">
        <f t="shared" si="62"/>
        <v>1</v>
      </c>
      <c r="AD210" s="1">
        <f t="shared" si="63"/>
        <v>3.3403892031637308E-2</v>
      </c>
    </row>
    <row r="211" spans="1:30" x14ac:dyDescent="0.35">
      <c r="A211" t="s">
        <v>472</v>
      </c>
      <c r="B211" t="s">
        <v>40</v>
      </c>
      <c r="C211" t="s">
        <v>56</v>
      </c>
      <c r="D211" t="s">
        <v>17</v>
      </c>
      <c r="E211">
        <v>40</v>
      </c>
      <c r="F211" t="s">
        <v>18</v>
      </c>
      <c r="G211" t="s">
        <v>19</v>
      </c>
      <c r="H211" t="s">
        <v>473</v>
      </c>
      <c r="I211">
        <v>8</v>
      </c>
      <c r="J211">
        <v>12</v>
      </c>
      <c r="K211">
        <v>184208</v>
      </c>
      <c r="L211">
        <v>2.9</v>
      </c>
      <c r="M211" t="s">
        <v>43</v>
      </c>
      <c r="N211">
        <v>79</v>
      </c>
      <c r="O211">
        <f t="shared" si="48"/>
        <v>791</v>
      </c>
      <c r="P211">
        <f t="shared" si="49"/>
        <v>397</v>
      </c>
      <c r="Q211">
        <f t="shared" si="50"/>
        <v>394</v>
      </c>
      <c r="R211">
        <f t="shared" si="51"/>
        <v>49.650349650349654</v>
      </c>
      <c r="S211" s="1">
        <f t="shared" si="52"/>
        <v>50.24975024975025</v>
      </c>
      <c r="T211" s="1">
        <f t="shared" si="53"/>
        <v>370</v>
      </c>
      <c r="U211" s="1">
        <f t="shared" si="54"/>
        <v>421</v>
      </c>
      <c r="V211" s="1">
        <f t="shared" si="55"/>
        <v>47.5</v>
      </c>
      <c r="W211" s="1">
        <f t="shared" si="56"/>
        <v>52.5</v>
      </c>
      <c r="X211" s="1">
        <f t="shared" si="57"/>
        <v>15.254108723135271</v>
      </c>
      <c r="Y211" s="1">
        <f t="shared" si="58"/>
        <v>127</v>
      </c>
      <c r="Z211" s="1">
        <f t="shared" si="59"/>
        <v>121</v>
      </c>
      <c r="AA211" s="1">
        <f t="shared" si="60"/>
        <v>3.6251968503937011</v>
      </c>
      <c r="AB211" s="1">
        <f t="shared" si="61"/>
        <v>3.3710743801652892</v>
      </c>
      <c r="AC211" s="1">
        <f t="shared" si="62"/>
        <v>0</v>
      </c>
      <c r="AD211" s="1">
        <f t="shared" si="63"/>
        <v>3.1567867881856497E-2</v>
      </c>
    </row>
    <row r="212" spans="1:30" x14ac:dyDescent="0.35">
      <c r="A212" t="s">
        <v>474</v>
      </c>
      <c r="B212" t="s">
        <v>111</v>
      </c>
      <c r="C212" t="s">
        <v>24</v>
      </c>
      <c r="D212" t="s">
        <v>17</v>
      </c>
      <c r="E212">
        <v>25</v>
      </c>
      <c r="F212" t="s">
        <v>31</v>
      </c>
      <c r="G212" t="s">
        <v>57</v>
      </c>
      <c r="H212" t="s">
        <v>475</v>
      </c>
      <c r="I212">
        <v>9</v>
      </c>
      <c r="J212">
        <v>14</v>
      </c>
      <c r="K212">
        <v>111719</v>
      </c>
      <c r="L212">
        <v>3.6</v>
      </c>
      <c r="M212" t="s">
        <v>43</v>
      </c>
      <c r="N212">
        <v>78</v>
      </c>
      <c r="O212">
        <f t="shared" si="48"/>
        <v>790</v>
      </c>
      <c r="P212">
        <f t="shared" si="49"/>
        <v>396</v>
      </c>
      <c r="Q212">
        <f t="shared" si="50"/>
        <v>394</v>
      </c>
      <c r="R212">
        <f t="shared" si="51"/>
        <v>49.650349650349654</v>
      </c>
      <c r="S212" s="1">
        <f t="shared" si="52"/>
        <v>50.24975024975025</v>
      </c>
      <c r="T212" s="1">
        <f t="shared" si="53"/>
        <v>370</v>
      </c>
      <c r="U212" s="1">
        <f t="shared" si="54"/>
        <v>420</v>
      </c>
      <c r="V212" s="1">
        <f t="shared" si="55"/>
        <v>47.5</v>
      </c>
      <c r="W212" s="1">
        <f t="shared" si="56"/>
        <v>52.5</v>
      </c>
      <c r="X212" s="1">
        <f t="shared" si="57"/>
        <v>15.258227848101265</v>
      </c>
      <c r="Y212" s="1">
        <f t="shared" si="58"/>
        <v>127</v>
      </c>
      <c r="Z212" s="1">
        <f t="shared" si="59"/>
        <v>121</v>
      </c>
      <c r="AA212" s="1">
        <f t="shared" si="60"/>
        <v>3.6251968503937011</v>
      </c>
      <c r="AB212" s="1">
        <f t="shared" si="61"/>
        <v>3.3710743801652892</v>
      </c>
      <c r="AC212" s="1">
        <f t="shared" si="62"/>
        <v>0</v>
      </c>
      <c r="AD212" s="1">
        <f t="shared" si="63"/>
        <v>3.1029925941443218E-2</v>
      </c>
    </row>
    <row r="213" spans="1:30" x14ac:dyDescent="0.35">
      <c r="A213" t="s">
        <v>476</v>
      </c>
      <c r="B213" t="s">
        <v>55</v>
      </c>
      <c r="C213" t="s">
        <v>52</v>
      </c>
      <c r="D213" t="s">
        <v>17</v>
      </c>
      <c r="E213">
        <v>51</v>
      </c>
      <c r="F213" t="s">
        <v>70</v>
      </c>
      <c r="G213" t="s">
        <v>71</v>
      </c>
      <c r="H213" t="s">
        <v>477</v>
      </c>
      <c r="I213">
        <v>13</v>
      </c>
      <c r="J213">
        <v>18</v>
      </c>
      <c r="K213">
        <v>84892</v>
      </c>
      <c r="L213">
        <v>4.7</v>
      </c>
      <c r="M213" t="s">
        <v>43</v>
      </c>
      <c r="N213">
        <v>78</v>
      </c>
      <c r="O213">
        <f t="shared" si="48"/>
        <v>789</v>
      </c>
      <c r="P213">
        <f t="shared" si="49"/>
        <v>395</v>
      </c>
      <c r="Q213">
        <f t="shared" si="50"/>
        <v>394</v>
      </c>
      <c r="R213">
        <f t="shared" si="51"/>
        <v>49.650349650349654</v>
      </c>
      <c r="S213" s="1">
        <f t="shared" si="52"/>
        <v>50.24975024975025</v>
      </c>
      <c r="T213" s="1">
        <f t="shared" si="53"/>
        <v>370</v>
      </c>
      <c r="U213" s="1">
        <f t="shared" si="54"/>
        <v>419</v>
      </c>
      <c r="V213" s="1">
        <f t="shared" si="55"/>
        <v>47.5</v>
      </c>
      <c r="W213" s="1">
        <f t="shared" si="56"/>
        <v>52.5</v>
      </c>
      <c r="X213" s="1">
        <f t="shared" si="57"/>
        <v>15.259822560202789</v>
      </c>
      <c r="Y213" s="1">
        <f t="shared" si="58"/>
        <v>127</v>
      </c>
      <c r="Z213" s="1">
        <f t="shared" si="59"/>
        <v>120</v>
      </c>
      <c r="AA213" s="1">
        <f t="shared" si="60"/>
        <v>3.6251968503937011</v>
      </c>
      <c r="AB213" s="1">
        <f t="shared" si="61"/>
        <v>3.3691666666666662</v>
      </c>
      <c r="AC213" s="1">
        <f t="shared" si="62"/>
        <v>0</v>
      </c>
      <c r="AD213" s="1">
        <f t="shared" si="63"/>
        <v>3.0831003043275362E-2</v>
      </c>
    </row>
    <row r="214" spans="1:30" x14ac:dyDescent="0.35">
      <c r="A214" t="s">
        <v>478</v>
      </c>
      <c r="B214" t="s">
        <v>111</v>
      </c>
      <c r="C214" t="s">
        <v>30</v>
      </c>
      <c r="D214" t="s">
        <v>17</v>
      </c>
      <c r="E214">
        <v>51</v>
      </c>
      <c r="F214" t="s">
        <v>46</v>
      </c>
      <c r="G214" t="s">
        <v>85</v>
      </c>
      <c r="H214" t="s">
        <v>479</v>
      </c>
      <c r="I214">
        <v>11</v>
      </c>
      <c r="J214">
        <v>20</v>
      </c>
      <c r="K214">
        <v>132345</v>
      </c>
      <c r="L214">
        <v>4.3</v>
      </c>
      <c r="M214" t="s">
        <v>21</v>
      </c>
      <c r="N214">
        <v>69</v>
      </c>
      <c r="O214">
        <f t="shared" si="48"/>
        <v>788</v>
      </c>
      <c r="P214">
        <f t="shared" si="49"/>
        <v>394</v>
      </c>
      <c r="Q214">
        <f t="shared" si="50"/>
        <v>394</v>
      </c>
      <c r="R214">
        <f t="shared" si="51"/>
        <v>49.650349650349654</v>
      </c>
      <c r="S214" s="1">
        <f t="shared" si="52"/>
        <v>50.24975024975025</v>
      </c>
      <c r="T214" s="1">
        <f t="shared" si="53"/>
        <v>370</v>
      </c>
      <c r="U214" s="1">
        <f t="shared" si="54"/>
        <v>418</v>
      </c>
      <c r="V214" s="1">
        <f t="shared" si="55"/>
        <v>47.5</v>
      </c>
      <c r="W214" s="1">
        <f t="shared" si="56"/>
        <v>52.5</v>
      </c>
      <c r="X214" s="1">
        <f t="shared" si="57"/>
        <v>15.256345177664974</v>
      </c>
      <c r="Y214" s="1">
        <f t="shared" si="58"/>
        <v>127</v>
      </c>
      <c r="Z214" s="1">
        <f t="shared" si="59"/>
        <v>120</v>
      </c>
      <c r="AA214" s="1">
        <f t="shared" si="60"/>
        <v>3.6251968503937011</v>
      </c>
      <c r="AB214" s="1">
        <f t="shared" si="61"/>
        <v>3.3691666666666662</v>
      </c>
      <c r="AC214" s="1">
        <f t="shared" si="62"/>
        <v>1</v>
      </c>
      <c r="AD214" s="1">
        <f t="shared" si="63"/>
        <v>3.1324681170043951E-2</v>
      </c>
    </row>
    <row r="215" spans="1:30" x14ac:dyDescent="0.35">
      <c r="A215" t="s">
        <v>480</v>
      </c>
      <c r="B215" t="s">
        <v>35</v>
      </c>
      <c r="C215" t="s">
        <v>52</v>
      </c>
      <c r="D215" t="s">
        <v>25</v>
      </c>
      <c r="E215">
        <v>24</v>
      </c>
      <c r="F215" t="s">
        <v>18</v>
      </c>
      <c r="G215" t="s">
        <v>26</v>
      </c>
      <c r="H215" t="s">
        <v>481</v>
      </c>
      <c r="I215">
        <v>19</v>
      </c>
      <c r="J215">
        <v>23</v>
      </c>
      <c r="K215">
        <v>74602</v>
      </c>
      <c r="L215">
        <v>3.1</v>
      </c>
      <c r="M215" t="s">
        <v>21</v>
      </c>
      <c r="N215">
        <v>30</v>
      </c>
      <c r="O215">
        <f t="shared" si="48"/>
        <v>787</v>
      </c>
      <c r="P215">
        <f t="shared" si="49"/>
        <v>393</v>
      </c>
      <c r="Q215">
        <f t="shared" si="50"/>
        <v>394</v>
      </c>
      <c r="R215">
        <f t="shared" si="51"/>
        <v>49.650349650349654</v>
      </c>
      <c r="S215" s="1">
        <f t="shared" si="52"/>
        <v>50.24975024975025</v>
      </c>
      <c r="T215" s="1">
        <f t="shared" si="53"/>
        <v>369</v>
      </c>
      <c r="U215" s="1">
        <f t="shared" si="54"/>
        <v>418</v>
      </c>
      <c r="V215" s="1">
        <f t="shared" si="55"/>
        <v>47.5</v>
      </c>
      <c r="W215" s="1">
        <f t="shared" si="56"/>
        <v>52.5</v>
      </c>
      <c r="X215" s="1">
        <f t="shared" si="57"/>
        <v>15.250317662007625</v>
      </c>
      <c r="Y215" s="1">
        <f t="shared" si="58"/>
        <v>127</v>
      </c>
      <c r="Z215" s="1">
        <f t="shared" si="59"/>
        <v>120</v>
      </c>
      <c r="AA215" s="1">
        <f t="shared" si="60"/>
        <v>3.6251968503937011</v>
      </c>
      <c r="AB215" s="1">
        <f t="shared" si="61"/>
        <v>3.3691666666666662</v>
      </c>
      <c r="AC215" s="1">
        <f t="shared" si="62"/>
        <v>1</v>
      </c>
      <c r="AD215" s="1">
        <f t="shared" si="63"/>
        <v>3.042878815022574E-2</v>
      </c>
    </row>
    <row r="216" spans="1:30" x14ac:dyDescent="0.35">
      <c r="A216" t="s">
        <v>482</v>
      </c>
      <c r="B216" t="s">
        <v>29</v>
      </c>
      <c r="C216" t="s">
        <v>52</v>
      </c>
      <c r="D216" t="s">
        <v>25</v>
      </c>
      <c r="E216">
        <v>25</v>
      </c>
      <c r="F216" t="s">
        <v>79</v>
      </c>
      <c r="G216" t="s">
        <v>71</v>
      </c>
      <c r="H216" t="s">
        <v>483</v>
      </c>
      <c r="I216">
        <v>6</v>
      </c>
      <c r="J216">
        <v>9</v>
      </c>
      <c r="K216">
        <v>467079</v>
      </c>
      <c r="L216">
        <v>2.2000000000000002</v>
      </c>
      <c r="M216" t="s">
        <v>21</v>
      </c>
      <c r="N216">
        <v>38</v>
      </c>
      <c r="O216">
        <f t="shared" si="48"/>
        <v>786</v>
      </c>
      <c r="P216">
        <f t="shared" si="49"/>
        <v>393</v>
      </c>
      <c r="Q216">
        <f t="shared" si="50"/>
        <v>393</v>
      </c>
      <c r="R216">
        <f t="shared" si="51"/>
        <v>49.650349650349654</v>
      </c>
      <c r="S216" s="1">
        <f t="shared" si="52"/>
        <v>50.24975024975025</v>
      </c>
      <c r="T216" s="1">
        <f t="shared" si="53"/>
        <v>368</v>
      </c>
      <c r="U216" s="1">
        <f t="shared" si="54"/>
        <v>418</v>
      </c>
      <c r="V216" s="1">
        <f t="shared" si="55"/>
        <v>47.5</v>
      </c>
      <c r="W216" s="1">
        <f t="shared" si="56"/>
        <v>52.5</v>
      </c>
      <c r="X216" s="1">
        <f t="shared" si="57"/>
        <v>15.240458015267176</v>
      </c>
      <c r="Y216" s="1">
        <f t="shared" si="58"/>
        <v>127</v>
      </c>
      <c r="Z216" s="1">
        <f t="shared" si="59"/>
        <v>120</v>
      </c>
      <c r="AA216" s="1">
        <f t="shared" si="60"/>
        <v>3.6251968503937011</v>
      </c>
      <c r="AB216" s="1">
        <f t="shared" si="61"/>
        <v>3.3691666666666662</v>
      </c>
      <c r="AC216" s="1">
        <f t="shared" si="62"/>
        <v>1</v>
      </c>
      <c r="AD216" s="1">
        <f t="shared" si="63"/>
        <v>2.8955146510370601E-2</v>
      </c>
    </row>
    <row r="217" spans="1:30" x14ac:dyDescent="0.35">
      <c r="A217" t="s">
        <v>484</v>
      </c>
      <c r="B217" t="s">
        <v>111</v>
      </c>
      <c r="C217" t="s">
        <v>30</v>
      </c>
      <c r="D217" t="s">
        <v>25</v>
      </c>
      <c r="E217">
        <v>30</v>
      </c>
      <c r="F217" t="s">
        <v>79</v>
      </c>
      <c r="G217" t="s">
        <v>19</v>
      </c>
      <c r="H217" t="s">
        <v>485</v>
      </c>
      <c r="I217">
        <v>3</v>
      </c>
      <c r="J217">
        <v>11</v>
      </c>
      <c r="K217">
        <v>380431</v>
      </c>
      <c r="L217">
        <v>3.7</v>
      </c>
      <c r="M217" t="s">
        <v>21</v>
      </c>
      <c r="N217">
        <v>56</v>
      </c>
      <c r="O217">
        <f t="shared" si="48"/>
        <v>785</v>
      </c>
      <c r="P217">
        <f t="shared" si="49"/>
        <v>393</v>
      </c>
      <c r="Q217">
        <f t="shared" si="50"/>
        <v>392</v>
      </c>
      <c r="R217">
        <f t="shared" si="51"/>
        <v>49.650349650349654</v>
      </c>
      <c r="S217" s="1">
        <f t="shared" si="52"/>
        <v>50.24975024975025</v>
      </c>
      <c r="T217" s="1">
        <f t="shared" si="53"/>
        <v>367</v>
      </c>
      <c r="U217" s="1">
        <f t="shared" si="54"/>
        <v>418</v>
      </c>
      <c r="V217" s="1">
        <f t="shared" si="55"/>
        <v>47.5</v>
      </c>
      <c r="W217" s="1">
        <f t="shared" si="56"/>
        <v>52.5</v>
      </c>
      <c r="X217" s="1">
        <f t="shared" si="57"/>
        <v>15.248407643312103</v>
      </c>
      <c r="Y217" s="1">
        <f t="shared" si="58"/>
        <v>127</v>
      </c>
      <c r="Z217" s="1">
        <f t="shared" si="59"/>
        <v>120</v>
      </c>
      <c r="AA217" s="1">
        <f t="shared" si="60"/>
        <v>3.6251968503937011</v>
      </c>
      <c r="AB217" s="1">
        <f t="shared" si="61"/>
        <v>3.3691666666666662</v>
      </c>
      <c r="AC217" s="1">
        <f t="shared" si="62"/>
        <v>1</v>
      </c>
      <c r="AD217" s="1">
        <f t="shared" si="63"/>
        <v>3.0218199054815913E-2</v>
      </c>
    </row>
    <row r="218" spans="1:30" x14ac:dyDescent="0.35">
      <c r="A218" t="s">
        <v>486</v>
      </c>
      <c r="B218" t="s">
        <v>29</v>
      </c>
      <c r="C218" t="s">
        <v>52</v>
      </c>
      <c r="D218" t="s">
        <v>25</v>
      </c>
      <c r="E218">
        <v>30</v>
      </c>
      <c r="F218" t="s">
        <v>46</v>
      </c>
      <c r="G218" t="s">
        <v>19</v>
      </c>
      <c r="H218" t="s">
        <v>487</v>
      </c>
      <c r="I218">
        <v>7</v>
      </c>
      <c r="J218">
        <v>8</v>
      </c>
      <c r="K218">
        <v>89668</v>
      </c>
      <c r="L218">
        <v>2.5</v>
      </c>
      <c r="M218" t="s">
        <v>21</v>
      </c>
      <c r="N218">
        <v>44</v>
      </c>
      <c r="O218">
        <f t="shared" si="48"/>
        <v>784</v>
      </c>
      <c r="P218">
        <f t="shared" si="49"/>
        <v>393</v>
      </c>
      <c r="Q218">
        <f t="shared" si="50"/>
        <v>391</v>
      </c>
      <c r="R218">
        <f t="shared" si="51"/>
        <v>49.650349650349654</v>
      </c>
      <c r="S218" s="1">
        <f t="shared" si="52"/>
        <v>50.24975024975025</v>
      </c>
      <c r="T218" s="1">
        <f t="shared" si="53"/>
        <v>366</v>
      </c>
      <c r="U218" s="1">
        <f t="shared" si="54"/>
        <v>418</v>
      </c>
      <c r="V218" s="1">
        <f t="shared" si="55"/>
        <v>47.5</v>
      </c>
      <c r="W218" s="1">
        <f t="shared" si="56"/>
        <v>52.5</v>
      </c>
      <c r="X218" s="1">
        <f t="shared" si="57"/>
        <v>15.253826530612244</v>
      </c>
      <c r="Y218" s="1">
        <f t="shared" si="58"/>
        <v>127</v>
      </c>
      <c r="Z218" s="1">
        <f t="shared" si="59"/>
        <v>120</v>
      </c>
      <c r="AA218" s="1">
        <f t="shared" si="60"/>
        <v>3.6251968503937011</v>
      </c>
      <c r="AB218" s="1">
        <f t="shared" si="61"/>
        <v>3.3691666666666662</v>
      </c>
      <c r="AC218" s="1">
        <f t="shared" si="62"/>
        <v>1</v>
      </c>
      <c r="AD218" s="1">
        <f t="shared" si="63"/>
        <v>3.1084676264871998E-2</v>
      </c>
    </row>
    <row r="219" spans="1:30" x14ac:dyDescent="0.35">
      <c r="A219" t="s">
        <v>488</v>
      </c>
      <c r="B219" t="s">
        <v>55</v>
      </c>
      <c r="C219" t="s">
        <v>30</v>
      </c>
      <c r="D219" t="s">
        <v>25</v>
      </c>
      <c r="E219">
        <v>52</v>
      </c>
      <c r="F219" t="s">
        <v>18</v>
      </c>
      <c r="G219" t="s">
        <v>88</v>
      </c>
      <c r="H219" t="s">
        <v>489</v>
      </c>
      <c r="I219">
        <v>7</v>
      </c>
      <c r="J219">
        <v>8</v>
      </c>
      <c r="K219">
        <v>405260</v>
      </c>
      <c r="L219">
        <v>4.8</v>
      </c>
      <c r="M219" t="s">
        <v>21</v>
      </c>
      <c r="N219">
        <v>39</v>
      </c>
      <c r="O219">
        <f t="shared" si="48"/>
        <v>783</v>
      </c>
      <c r="P219">
        <f t="shared" si="49"/>
        <v>393</v>
      </c>
      <c r="Q219">
        <f t="shared" si="50"/>
        <v>390</v>
      </c>
      <c r="R219">
        <f t="shared" si="51"/>
        <v>49.650349650349654</v>
      </c>
      <c r="S219" s="1">
        <f t="shared" si="52"/>
        <v>50.24975024975025</v>
      </c>
      <c r="T219" s="1">
        <f t="shared" si="53"/>
        <v>365</v>
      </c>
      <c r="U219" s="1">
        <f t="shared" si="54"/>
        <v>418</v>
      </c>
      <c r="V219" s="1">
        <f t="shared" si="55"/>
        <v>47.5</v>
      </c>
      <c r="W219" s="1">
        <f t="shared" si="56"/>
        <v>52.5</v>
      </c>
      <c r="X219" s="1">
        <f t="shared" si="57"/>
        <v>15.263090676883781</v>
      </c>
      <c r="Y219" s="1">
        <f t="shared" si="58"/>
        <v>127</v>
      </c>
      <c r="Z219" s="1">
        <f t="shared" si="59"/>
        <v>120</v>
      </c>
      <c r="AA219" s="1">
        <f t="shared" si="60"/>
        <v>3.6251968503937011</v>
      </c>
      <c r="AB219" s="1">
        <f t="shared" si="61"/>
        <v>3.3691666666666662</v>
      </c>
      <c r="AC219" s="1">
        <f t="shared" si="62"/>
        <v>1</v>
      </c>
      <c r="AD219" s="1">
        <f t="shared" si="63"/>
        <v>3.2562605056534577E-2</v>
      </c>
    </row>
    <row r="220" spans="1:30" x14ac:dyDescent="0.35">
      <c r="A220" t="s">
        <v>490</v>
      </c>
      <c r="B220" t="s">
        <v>45</v>
      </c>
      <c r="C220" t="s">
        <v>64</v>
      </c>
      <c r="D220" t="s">
        <v>25</v>
      </c>
      <c r="E220">
        <v>28</v>
      </c>
      <c r="F220" t="s">
        <v>31</v>
      </c>
      <c r="G220" t="s">
        <v>75</v>
      </c>
      <c r="H220" t="s">
        <v>491</v>
      </c>
      <c r="I220">
        <v>3</v>
      </c>
      <c r="J220">
        <v>6</v>
      </c>
      <c r="K220">
        <v>481392</v>
      </c>
      <c r="L220">
        <v>2.1</v>
      </c>
      <c r="M220" t="s">
        <v>43</v>
      </c>
      <c r="N220">
        <v>97</v>
      </c>
      <c r="O220">
        <f t="shared" si="48"/>
        <v>782</v>
      </c>
      <c r="P220">
        <f t="shared" si="49"/>
        <v>393</v>
      </c>
      <c r="Q220">
        <f t="shared" si="50"/>
        <v>389</v>
      </c>
      <c r="R220">
        <f t="shared" si="51"/>
        <v>49.650349650349654</v>
      </c>
      <c r="S220" s="1">
        <f t="shared" si="52"/>
        <v>50.24975024975025</v>
      </c>
      <c r="T220" s="1">
        <f t="shared" si="53"/>
        <v>364</v>
      </c>
      <c r="U220" s="1">
        <f t="shared" si="54"/>
        <v>418</v>
      </c>
      <c r="V220" s="1">
        <f t="shared" si="55"/>
        <v>47.5</v>
      </c>
      <c r="W220" s="1">
        <f t="shared" si="56"/>
        <v>52.5</v>
      </c>
      <c r="X220" s="1">
        <f t="shared" si="57"/>
        <v>15.272378516624041</v>
      </c>
      <c r="Y220" s="1">
        <f t="shared" si="58"/>
        <v>127</v>
      </c>
      <c r="Z220" s="1">
        <f t="shared" si="59"/>
        <v>120</v>
      </c>
      <c r="AA220" s="1">
        <f t="shared" si="60"/>
        <v>3.6251968503937011</v>
      </c>
      <c r="AB220" s="1">
        <f t="shared" si="61"/>
        <v>3.3691666666666662</v>
      </c>
      <c r="AC220" s="1">
        <f t="shared" si="62"/>
        <v>0</v>
      </c>
      <c r="AD220" s="1">
        <f t="shared" si="63"/>
        <v>3.4048573715064506E-2</v>
      </c>
    </row>
    <row r="221" spans="1:30" x14ac:dyDescent="0.35">
      <c r="A221" t="s">
        <v>492</v>
      </c>
      <c r="B221" t="s">
        <v>40</v>
      </c>
      <c r="C221" t="s">
        <v>24</v>
      </c>
      <c r="D221" t="s">
        <v>17</v>
      </c>
      <c r="E221">
        <v>54</v>
      </c>
      <c r="F221" t="s">
        <v>37</v>
      </c>
      <c r="G221" t="s">
        <v>85</v>
      </c>
      <c r="H221" t="s">
        <v>493</v>
      </c>
      <c r="I221">
        <v>11</v>
      </c>
      <c r="J221">
        <v>19</v>
      </c>
      <c r="K221">
        <v>413082</v>
      </c>
      <c r="L221">
        <v>3.9</v>
      </c>
      <c r="M221" t="s">
        <v>21</v>
      </c>
      <c r="N221">
        <v>70</v>
      </c>
      <c r="O221">
        <f t="shared" si="48"/>
        <v>781</v>
      </c>
      <c r="P221">
        <f t="shared" si="49"/>
        <v>393</v>
      </c>
      <c r="Q221">
        <f t="shared" si="50"/>
        <v>388</v>
      </c>
      <c r="R221">
        <f t="shared" si="51"/>
        <v>49.650349650349654</v>
      </c>
      <c r="S221" s="1">
        <f t="shared" si="52"/>
        <v>50.24975024975025</v>
      </c>
      <c r="T221" s="1">
        <f t="shared" si="53"/>
        <v>364</v>
      </c>
      <c r="U221" s="1">
        <f t="shared" si="54"/>
        <v>417</v>
      </c>
      <c r="V221" s="1">
        <f t="shared" si="55"/>
        <v>47.5</v>
      </c>
      <c r="W221" s="1">
        <f t="shared" si="56"/>
        <v>52.5</v>
      </c>
      <c r="X221" s="1">
        <f t="shared" si="57"/>
        <v>15.284250960307299</v>
      </c>
      <c r="Y221" s="1">
        <f t="shared" si="58"/>
        <v>127</v>
      </c>
      <c r="Z221" s="1">
        <f t="shared" si="59"/>
        <v>119</v>
      </c>
      <c r="AA221" s="1">
        <f t="shared" si="60"/>
        <v>3.6251968503937011</v>
      </c>
      <c r="AB221" s="1">
        <f t="shared" si="61"/>
        <v>3.3798319327731092</v>
      </c>
      <c r="AC221" s="1">
        <f t="shared" si="62"/>
        <v>1</v>
      </c>
      <c r="AD221" s="1">
        <f t="shared" si="63"/>
        <v>3.2502179246182115E-2</v>
      </c>
    </row>
    <row r="222" spans="1:30" x14ac:dyDescent="0.35">
      <c r="A222" t="s">
        <v>494</v>
      </c>
      <c r="B222" t="s">
        <v>69</v>
      </c>
      <c r="C222" t="s">
        <v>36</v>
      </c>
      <c r="D222" t="s">
        <v>17</v>
      </c>
      <c r="E222">
        <v>48</v>
      </c>
      <c r="F222" t="s">
        <v>37</v>
      </c>
      <c r="G222" t="s">
        <v>26</v>
      </c>
      <c r="H222" t="s">
        <v>495</v>
      </c>
      <c r="I222">
        <v>16</v>
      </c>
      <c r="J222">
        <v>18</v>
      </c>
      <c r="K222">
        <v>384675</v>
      </c>
      <c r="L222">
        <v>2</v>
      </c>
      <c r="M222" t="s">
        <v>21</v>
      </c>
      <c r="N222">
        <v>34</v>
      </c>
      <c r="O222">
        <f t="shared" si="48"/>
        <v>780</v>
      </c>
      <c r="P222">
        <f t="shared" si="49"/>
        <v>392</v>
      </c>
      <c r="Q222">
        <f t="shared" si="50"/>
        <v>388</v>
      </c>
      <c r="R222">
        <f t="shared" si="51"/>
        <v>49.650349650349654</v>
      </c>
      <c r="S222" s="1">
        <f t="shared" si="52"/>
        <v>50.24975024975025</v>
      </c>
      <c r="T222" s="1">
        <f t="shared" si="53"/>
        <v>363</v>
      </c>
      <c r="U222" s="1">
        <f t="shared" si="54"/>
        <v>417</v>
      </c>
      <c r="V222" s="1">
        <f t="shared" si="55"/>
        <v>47.5</v>
      </c>
      <c r="W222" s="1">
        <f t="shared" si="56"/>
        <v>52.5</v>
      </c>
      <c r="X222" s="1">
        <f t="shared" si="57"/>
        <v>15.27948717948718</v>
      </c>
      <c r="Y222" s="1">
        <f t="shared" si="58"/>
        <v>127</v>
      </c>
      <c r="Z222" s="1">
        <f t="shared" si="59"/>
        <v>119</v>
      </c>
      <c r="AA222" s="1">
        <f t="shared" si="60"/>
        <v>3.6251968503937011</v>
      </c>
      <c r="AB222" s="1">
        <f t="shared" si="61"/>
        <v>3.3798319327731092</v>
      </c>
      <c r="AC222" s="1">
        <f t="shared" si="62"/>
        <v>1</v>
      </c>
      <c r="AD222" s="1">
        <f t="shared" si="63"/>
        <v>3.1793805252683313E-2</v>
      </c>
    </row>
    <row r="223" spans="1:30" x14ac:dyDescent="0.35">
      <c r="A223" t="s">
        <v>496</v>
      </c>
      <c r="B223" t="s">
        <v>40</v>
      </c>
      <c r="C223" t="s">
        <v>64</v>
      </c>
      <c r="D223" t="s">
        <v>25</v>
      </c>
      <c r="E223">
        <v>24</v>
      </c>
      <c r="F223" t="s">
        <v>37</v>
      </c>
      <c r="G223" t="s">
        <v>32</v>
      </c>
      <c r="H223" t="s">
        <v>497</v>
      </c>
      <c r="I223">
        <v>3</v>
      </c>
      <c r="J223">
        <v>13</v>
      </c>
      <c r="K223">
        <v>169010</v>
      </c>
      <c r="L223">
        <v>2.5</v>
      </c>
      <c r="M223" t="s">
        <v>43</v>
      </c>
      <c r="N223">
        <v>79</v>
      </c>
      <c r="O223">
        <f t="shared" si="48"/>
        <v>779</v>
      </c>
      <c r="P223">
        <f t="shared" si="49"/>
        <v>391</v>
      </c>
      <c r="Q223">
        <f t="shared" si="50"/>
        <v>388</v>
      </c>
      <c r="R223">
        <f t="shared" si="51"/>
        <v>49.650349650349654</v>
      </c>
      <c r="S223" s="1">
        <f t="shared" si="52"/>
        <v>50.24975024975025</v>
      </c>
      <c r="T223" s="1">
        <f t="shared" si="53"/>
        <v>362</v>
      </c>
      <c r="U223" s="1">
        <f t="shared" si="54"/>
        <v>417</v>
      </c>
      <c r="V223" s="1">
        <f t="shared" si="55"/>
        <v>47.5</v>
      </c>
      <c r="W223" s="1">
        <f t="shared" si="56"/>
        <v>52.5</v>
      </c>
      <c r="X223" s="1">
        <f t="shared" si="57"/>
        <v>15.27599486521181</v>
      </c>
      <c r="Y223" s="1">
        <f t="shared" si="58"/>
        <v>127</v>
      </c>
      <c r="Z223" s="1">
        <f t="shared" si="59"/>
        <v>119</v>
      </c>
      <c r="AA223" s="1">
        <f t="shared" si="60"/>
        <v>3.6251968503937011</v>
      </c>
      <c r="AB223" s="1">
        <f t="shared" si="61"/>
        <v>3.3798319327731092</v>
      </c>
      <c r="AC223" s="1">
        <f t="shared" si="62"/>
        <v>0</v>
      </c>
      <c r="AD223" s="1">
        <f t="shared" si="63"/>
        <v>3.1278739275606787E-2</v>
      </c>
    </row>
    <row r="224" spans="1:30" x14ac:dyDescent="0.35">
      <c r="A224" t="s">
        <v>498</v>
      </c>
      <c r="B224" t="s">
        <v>45</v>
      </c>
      <c r="C224" t="s">
        <v>93</v>
      </c>
      <c r="D224" t="s">
        <v>17</v>
      </c>
      <c r="E224">
        <v>30</v>
      </c>
      <c r="F224" t="s">
        <v>74</v>
      </c>
      <c r="G224" t="s">
        <v>85</v>
      </c>
      <c r="H224" t="s">
        <v>499</v>
      </c>
      <c r="I224">
        <v>20</v>
      </c>
      <c r="J224">
        <v>30</v>
      </c>
      <c r="K224">
        <v>90085</v>
      </c>
      <c r="L224">
        <v>4.3</v>
      </c>
      <c r="M224" t="s">
        <v>21</v>
      </c>
      <c r="N224">
        <v>53</v>
      </c>
      <c r="O224">
        <f t="shared" si="48"/>
        <v>778</v>
      </c>
      <c r="P224">
        <f t="shared" si="49"/>
        <v>391</v>
      </c>
      <c r="Q224">
        <f t="shared" si="50"/>
        <v>387</v>
      </c>
      <c r="R224">
        <f t="shared" si="51"/>
        <v>49.650349650349654</v>
      </c>
      <c r="S224" s="1">
        <f t="shared" si="52"/>
        <v>50.24975024975025</v>
      </c>
      <c r="T224" s="1">
        <f t="shared" si="53"/>
        <v>362</v>
      </c>
      <c r="U224" s="1">
        <f t="shared" si="54"/>
        <v>416</v>
      </c>
      <c r="V224" s="1">
        <f t="shared" si="55"/>
        <v>47.5</v>
      </c>
      <c r="W224" s="1">
        <f t="shared" si="56"/>
        <v>52.5</v>
      </c>
      <c r="X224" s="1">
        <f t="shared" si="57"/>
        <v>15.27892030848329</v>
      </c>
      <c r="Y224" s="1">
        <f t="shared" si="58"/>
        <v>127</v>
      </c>
      <c r="Z224" s="1">
        <f t="shared" si="59"/>
        <v>119</v>
      </c>
      <c r="AA224" s="1">
        <f t="shared" si="60"/>
        <v>3.6251968503937011</v>
      </c>
      <c r="AB224" s="1">
        <f t="shared" si="61"/>
        <v>3.3798319327731092</v>
      </c>
      <c r="AC224" s="1">
        <f t="shared" si="62"/>
        <v>1</v>
      </c>
      <c r="AD224" s="1">
        <f t="shared" si="63"/>
        <v>3.0904215499813183E-2</v>
      </c>
    </row>
    <row r="225" spans="1:30" x14ac:dyDescent="0.35">
      <c r="A225" t="s">
        <v>500</v>
      </c>
      <c r="B225" t="s">
        <v>96</v>
      </c>
      <c r="C225" t="s">
        <v>82</v>
      </c>
      <c r="D225" t="s">
        <v>25</v>
      </c>
      <c r="E225">
        <v>60</v>
      </c>
      <c r="F225" t="s">
        <v>79</v>
      </c>
      <c r="G225" t="s">
        <v>61</v>
      </c>
      <c r="H225" t="s">
        <v>501</v>
      </c>
      <c r="I225">
        <v>19</v>
      </c>
      <c r="J225">
        <v>27</v>
      </c>
      <c r="K225">
        <v>318837</v>
      </c>
      <c r="L225">
        <v>4.7</v>
      </c>
      <c r="M225" t="s">
        <v>21</v>
      </c>
      <c r="N225">
        <v>39</v>
      </c>
      <c r="O225">
        <f t="shared" si="48"/>
        <v>777</v>
      </c>
      <c r="P225">
        <f t="shared" si="49"/>
        <v>390</v>
      </c>
      <c r="Q225">
        <f t="shared" si="50"/>
        <v>387</v>
      </c>
      <c r="R225">
        <f t="shared" si="51"/>
        <v>49.650349650349654</v>
      </c>
      <c r="S225" s="1">
        <f t="shared" si="52"/>
        <v>50.24975024975025</v>
      </c>
      <c r="T225" s="1">
        <f t="shared" si="53"/>
        <v>361</v>
      </c>
      <c r="U225" s="1">
        <f t="shared" si="54"/>
        <v>416</v>
      </c>
      <c r="V225" s="1">
        <f t="shared" si="55"/>
        <v>47.5</v>
      </c>
      <c r="W225" s="1">
        <f t="shared" si="56"/>
        <v>52.5</v>
      </c>
      <c r="X225" s="1">
        <f t="shared" si="57"/>
        <v>15.25997425997426</v>
      </c>
      <c r="Y225" s="1">
        <f t="shared" si="58"/>
        <v>126</v>
      </c>
      <c r="Z225" s="1">
        <f t="shared" si="59"/>
        <v>119</v>
      </c>
      <c r="AA225" s="1">
        <f t="shared" si="60"/>
        <v>3.6198412698412703</v>
      </c>
      <c r="AB225" s="1">
        <f t="shared" si="61"/>
        <v>3.3798319327731092</v>
      </c>
      <c r="AC225" s="1">
        <f t="shared" si="62"/>
        <v>1</v>
      </c>
      <c r="AD225" s="1">
        <f t="shared" si="63"/>
        <v>2.8073186814511705E-2</v>
      </c>
    </row>
    <row r="226" spans="1:30" x14ac:dyDescent="0.35">
      <c r="A226" t="s">
        <v>502</v>
      </c>
      <c r="B226" t="s">
        <v>15</v>
      </c>
      <c r="C226" t="s">
        <v>52</v>
      </c>
      <c r="D226" t="s">
        <v>25</v>
      </c>
      <c r="E226">
        <v>56</v>
      </c>
      <c r="F226" t="s">
        <v>70</v>
      </c>
      <c r="G226" t="s">
        <v>71</v>
      </c>
      <c r="H226" t="s">
        <v>503</v>
      </c>
      <c r="I226">
        <v>8</v>
      </c>
      <c r="J226">
        <v>17</v>
      </c>
      <c r="K226">
        <v>94842</v>
      </c>
      <c r="L226">
        <v>4.2</v>
      </c>
      <c r="M226" t="s">
        <v>21</v>
      </c>
      <c r="N226">
        <v>37</v>
      </c>
      <c r="O226">
        <f t="shared" si="48"/>
        <v>776</v>
      </c>
      <c r="P226">
        <f t="shared" si="49"/>
        <v>390</v>
      </c>
      <c r="Q226">
        <f t="shared" si="50"/>
        <v>386</v>
      </c>
      <c r="R226">
        <f t="shared" si="51"/>
        <v>49.650349650349654</v>
      </c>
      <c r="S226" s="1">
        <f t="shared" si="52"/>
        <v>50.24975024975025</v>
      </c>
      <c r="T226" s="1">
        <f t="shared" si="53"/>
        <v>360</v>
      </c>
      <c r="U226" s="1">
        <f t="shared" si="54"/>
        <v>416</v>
      </c>
      <c r="V226" s="1">
        <f t="shared" si="55"/>
        <v>47.5</v>
      </c>
      <c r="W226" s="1">
        <f t="shared" si="56"/>
        <v>52.5</v>
      </c>
      <c r="X226" s="1">
        <f t="shared" si="57"/>
        <v>15.244845360824742</v>
      </c>
      <c r="Y226" s="1">
        <f t="shared" si="58"/>
        <v>126</v>
      </c>
      <c r="Z226" s="1">
        <f t="shared" si="59"/>
        <v>119</v>
      </c>
      <c r="AA226" s="1">
        <f t="shared" si="60"/>
        <v>3.6198412698412703</v>
      </c>
      <c r="AB226" s="1">
        <f t="shared" si="61"/>
        <v>3.3798319327731092</v>
      </c>
      <c r="AC226" s="1">
        <f t="shared" si="62"/>
        <v>1</v>
      </c>
      <c r="AD226" s="1">
        <f t="shared" si="63"/>
        <v>2.5789268646550425E-2</v>
      </c>
    </row>
    <row r="227" spans="1:30" x14ac:dyDescent="0.35">
      <c r="A227" t="s">
        <v>504</v>
      </c>
      <c r="B227" t="s">
        <v>55</v>
      </c>
      <c r="C227" t="s">
        <v>52</v>
      </c>
      <c r="D227" t="s">
        <v>17</v>
      </c>
      <c r="E227">
        <v>23</v>
      </c>
      <c r="F227" t="s">
        <v>18</v>
      </c>
      <c r="G227" t="s">
        <v>41</v>
      </c>
      <c r="H227" t="s">
        <v>505</v>
      </c>
      <c r="I227">
        <v>0</v>
      </c>
      <c r="J227">
        <v>3</v>
      </c>
      <c r="K227">
        <v>121074</v>
      </c>
      <c r="L227">
        <v>3.8</v>
      </c>
      <c r="M227" t="s">
        <v>43</v>
      </c>
      <c r="N227">
        <v>84</v>
      </c>
      <c r="O227">
        <f t="shared" si="48"/>
        <v>775</v>
      </c>
      <c r="P227">
        <f t="shared" si="49"/>
        <v>390</v>
      </c>
      <c r="Q227">
        <f t="shared" si="50"/>
        <v>385</v>
      </c>
      <c r="R227">
        <f t="shared" si="51"/>
        <v>49.650349650349654</v>
      </c>
      <c r="S227" s="1">
        <f t="shared" si="52"/>
        <v>50.24975024975025</v>
      </c>
      <c r="T227" s="1">
        <f t="shared" si="53"/>
        <v>359</v>
      </c>
      <c r="U227" s="1">
        <f t="shared" si="54"/>
        <v>416</v>
      </c>
      <c r="V227" s="1">
        <f t="shared" si="55"/>
        <v>47.5</v>
      </c>
      <c r="W227" s="1">
        <f t="shared" si="56"/>
        <v>52.5</v>
      </c>
      <c r="X227" s="1">
        <f t="shared" si="57"/>
        <v>15.24258064516129</v>
      </c>
      <c r="Y227" s="1">
        <f t="shared" si="58"/>
        <v>126</v>
      </c>
      <c r="Z227" s="1">
        <f t="shared" si="59"/>
        <v>119</v>
      </c>
      <c r="AA227" s="1">
        <f t="shared" si="60"/>
        <v>3.6198412698412703</v>
      </c>
      <c r="AB227" s="1">
        <f t="shared" si="61"/>
        <v>3.3798319327731092</v>
      </c>
      <c r="AC227" s="1">
        <f t="shared" si="62"/>
        <v>0</v>
      </c>
      <c r="AD227" s="1">
        <f t="shared" si="63"/>
        <v>2.5456452970674254E-2</v>
      </c>
    </row>
    <row r="228" spans="1:30" x14ac:dyDescent="0.35">
      <c r="A228" t="s">
        <v>506</v>
      </c>
      <c r="B228" t="s">
        <v>23</v>
      </c>
      <c r="C228" t="s">
        <v>24</v>
      </c>
      <c r="D228" t="s">
        <v>25</v>
      </c>
      <c r="E228">
        <v>30</v>
      </c>
      <c r="F228" t="s">
        <v>37</v>
      </c>
      <c r="G228" t="s">
        <v>71</v>
      </c>
      <c r="H228" t="s">
        <v>507</v>
      </c>
      <c r="I228">
        <v>16</v>
      </c>
      <c r="J228">
        <v>23</v>
      </c>
      <c r="K228">
        <v>365350</v>
      </c>
      <c r="L228">
        <v>3.9</v>
      </c>
      <c r="M228" t="s">
        <v>21</v>
      </c>
      <c r="N228">
        <v>42</v>
      </c>
      <c r="O228">
        <f t="shared" si="48"/>
        <v>774</v>
      </c>
      <c r="P228">
        <f t="shared" si="49"/>
        <v>389</v>
      </c>
      <c r="Q228">
        <f t="shared" si="50"/>
        <v>385</v>
      </c>
      <c r="R228">
        <f t="shared" si="51"/>
        <v>49.650349650349654</v>
      </c>
      <c r="S228" s="1">
        <f t="shared" si="52"/>
        <v>50.24975024975025</v>
      </c>
      <c r="T228" s="1">
        <f t="shared" si="53"/>
        <v>359</v>
      </c>
      <c r="U228" s="1">
        <f t="shared" si="54"/>
        <v>415</v>
      </c>
      <c r="V228" s="1">
        <f t="shared" si="55"/>
        <v>47.5</v>
      </c>
      <c r="W228" s="1">
        <f t="shared" si="56"/>
        <v>52.5</v>
      </c>
      <c r="X228" s="1">
        <f t="shared" si="57"/>
        <v>15.258397932816537</v>
      </c>
      <c r="Y228" s="1">
        <f t="shared" si="58"/>
        <v>126</v>
      </c>
      <c r="Z228" s="1">
        <f t="shared" si="59"/>
        <v>119</v>
      </c>
      <c r="AA228" s="1">
        <f t="shared" si="60"/>
        <v>3.6198412698412703</v>
      </c>
      <c r="AB228" s="1">
        <f t="shared" si="61"/>
        <v>3.3798319327731092</v>
      </c>
      <c r="AC228" s="1">
        <f t="shared" si="62"/>
        <v>1</v>
      </c>
      <c r="AD228" s="1">
        <f t="shared" si="63"/>
        <v>2.3388562214963486E-2</v>
      </c>
    </row>
    <row r="229" spans="1:30" x14ac:dyDescent="0.35">
      <c r="A229" t="s">
        <v>508</v>
      </c>
      <c r="B229" t="s">
        <v>29</v>
      </c>
      <c r="C229" t="s">
        <v>49</v>
      </c>
      <c r="D229" t="s">
        <v>25</v>
      </c>
      <c r="E229">
        <v>30</v>
      </c>
      <c r="F229" t="s">
        <v>46</v>
      </c>
      <c r="G229" t="s">
        <v>57</v>
      </c>
      <c r="H229" t="s">
        <v>509</v>
      </c>
      <c r="I229">
        <v>16</v>
      </c>
      <c r="J229">
        <v>20</v>
      </c>
      <c r="K229">
        <v>172225</v>
      </c>
      <c r="L229">
        <v>2.6</v>
      </c>
      <c r="M229" t="s">
        <v>43</v>
      </c>
      <c r="N229">
        <v>72</v>
      </c>
      <c r="O229">
        <f t="shared" si="48"/>
        <v>773</v>
      </c>
      <c r="P229">
        <f t="shared" si="49"/>
        <v>389</v>
      </c>
      <c r="Q229">
        <f t="shared" si="50"/>
        <v>384</v>
      </c>
      <c r="R229">
        <f t="shared" si="51"/>
        <v>49.650349650349654</v>
      </c>
      <c r="S229" s="1">
        <f t="shared" si="52"/>
        <v>50.24975024975025</v>
      </c>
      <c r="T229" s="1">
        <f t="shared" si="53"/>
        <v>358</v>
      </c>
      <c r="U229" s="1">
        <f t="shared" si="54"/>
        <v>415</v>
      </c>
      <c r="V229" s="1">
        <f t="shared" si="55"/>
        <v>47.5</v>
      </c>
      <c r="W229" s="1">
        <f t="shared" si="56"/>
        <v>52.5</v>
      </c>
      <c r="X229" s="1">
        <f t="shared" si="57"/>
        <v>15.248382923673997</v>
      </c>
      <c r="Y229" s="1">
        <f t="shared" si="58"/>
        <v>126</v>
      </c>
      <c r="Z229" s="1">
        <f t="shared" si="59"/>
        <v>119</v>
      </c>
      <c r="AA229" s="1">
        <f t="shared" si="60"/>
        <v>3.6198412698412703</v>
      </c>
      <c r="AB229" s="1">
        <f t="shared" si="61"/>
        <v>3.3798319327731092</v>
      </c>
      <c r="AC229" s="1">
        <f t="shared" si="62"/>
        <v>0</v>
      </c>
      <c r="AD229" s="1">
        <f t="shared" si="63"/>
        <v>2.1860789483243298E-2</v>
      </c>
    </row>
    <row r="230" spans="1:30" x14ac:dyDescent="0.35">
      <c r="A230" t="s">
        <v>510</v>
      </c>
      <c r="B230" t="s">
        <v>60</v>
      </c>
      <c r="C230" t="s">
        <v>49</v>
      </c>
      <c r="D230" t="s">
        <v>17</v>
      </c>
      <c r="E230">
        <v>33</v>
      </c>
      <c r="F230" t="s">
        <v>70</v>
      </c>
      <c r="G230" t="s">
        <v>71</v>
      </c>
      <c r="H230" t="s">
        <v>511</v>
      </c>
      <c r="I230">
        <v>5</v>
      </c>
      <c r="J230">
        <v>15</v>
      </c>
      <c r="K230">
        <v>157891</v>
      </c>
      <c r="L230">
        <v>2.4</v>
      </c>
      <c r="M230" t="s">
        <v>21</v>
      </c>
      <c r="N230">
        <v>59</v>
      </c>
      <c r="O230">
        <f t="shared" si="48"/>
        <v>772</v>
      </c>
      <c r="P230">
        <f t="shared" si="49"/>
        <v>389</v>
      </c>
      <c r="Q230">
        <f t="shared" si="50"/>
        <v>383</v>
      </c>
      <c r="R230">
        <f t="shared" si="51"/>
        <v>49.650349650349654</v>
      </c>
      <c r="S230" s="1">
        <f t="shared" si="52"/>
        <v>50.24975024975025</v>
      </c>
      <c r="T230" s="1">
        <f t="shared" si="53"/>
        <v>358</v>
      </c>
      <c r="U230" s="1">
        <f t="shared" si="54"/>
        <v>414</v>
      </c>
      <c r="V230" s="1">
        <f t="shared" si="55"/>
        <v>47.5</v>
      </c>
      <c r="W230" s="1">
        <f t="shared" si="56"/>
        <v>52.5</v>
      </c>
      <c r="X230" s="1">
        <f t="shared" si="57"/>
        <v>15.242227979274611</v>
      </c>
      <c r="Y230" s="1">
        <f t="shared" si="58"/>
        <v>126</v>
      </c>
      <c r="Z230" s="1">
        <f t="shared" si="59"/>
        <v>119</v>
      </c>
      <c r="AA230" s="1">
        <f t="shared" si="60"/>
        <v>3.6198412698412703</v>
      </c>
      <c r="AB230" s="1">
        <f t="shared" si="61"/>
        <v>3.3798319327731092</v>
      </c>
      <c r="AC230" s="1">
        <f t="shared" si="62"/>
        <v>1</v>
      </c>
      <c r="AD230" s="1">
        <f t="shared" si="63"/>
        <v>2.2709850267935112E-2</v>
      </c>
    </row>
    <row r="231" spans="1:30" x14ac:dyDescent="0.35">
      <c r="A231" t="s">
        <v>512</v>
      </c>
      <c r="B231" t="s">
        <v>23</v>
      </c>
      <c r="C231" t="s">
        <v>52</v>
      </c>
      <c r="D231" t="s">
        <v>25</v>
      </c>
      <c r="E231">
        <v>50</v>
      </c>
      <c r="F231" t="s">
        <v>46</v>
      </c>
      <c r="G231" t="s">
        <v>19</v>
      </c>
      <c r="H231" t="s">
        <v>513</v>
      </c>
      <c r="I231">
        <v>16</v>
      </c>
      <c r="J231">
        <v>16</v>
      </c>
      <c r="K231">
        <v>250938</v>
      </c>
      <c r="L231">
        <v>4.8</v>
      </c>
      <c r="M231" t="s">
        <v>21</v>
      </c>
      <c r="N231">
        <v>52</v>
      </c>
      <c r="O231">
        <f t="shared" si="48"/>
        <v>771</v>
      </c>
      <c r="P231">
        <f t="shared" si="49"/>
        <v>388</v>
      </c>
      <c r="Q231">
        <f t="shared" si="50"/>
        <v>383</v>
      </c>
      <c r="R231">
        <f t="shared" si="51"/>
        <v>49.650349650349654</v>
      </c>
      <c r="S231" s="1">
        <f t="shared" si="52"/>
        <v>50.24975024975025</v>
      </c>
      <c r="T231" s="1">
        <f t="shared" si="53"/>
        <v>357</v>
      </c>
      <c r="U231" s="1">
        <f t="shared" si="54"/>
        <v>414</v>
      </c>
      <c r="V231" s="1">
        <f t="shared" si="55"/>
        <v>47.5</v>
      </c>
      <c r="W231" s="1">
        <f t="shared" si="56"/>
        <v>52.5</v>
      </c>
      <c r="X231" s="1">
        <f t="shared" si="57"/>
        <v>15.242542153047989</v>
      </c>
      <c r="Y231" s="1">
        <f t="shared" si="58"/>
        <v>126</v>
      </c>
      <c r="Z231" s="1">
        <f t="shared" si="59"/>
        <v>119</v>
      </c>
      <c r="AA231" s="1">
        <f t="shared" si="60"/>
        <v>3.6198412698412703</v>
      </c>
      <c r="AB231" s="1">
        <f t="shared" si="61"/>
        <v>3.3798319327731092</v>
      </c>
      <c r="AC231" s="1">
        <f t="shared" si="62"/>
        <v>1</v>
      </c>
      <c r="AD231" s="1">
        <f t="shared" si="63"/>
        <v>2.2775955525470105E-2</v>
      </c>
    </row>
    <row r="232" spans="1:30" x14ac:dyDescent="0.35">
      <c r="A232" t="s">
        <v>514</v>
      </c>
      <c r="B232" t="s">
        <v>111</v>
      </c>
      <c r="C232" t="s">
        <v>24</v>
      </c>
      <c r="D232" t="s">
        <v>17</v>
      </c>
      <c r="E232">
        <v>25</v>
      </c>
      <c r="F232" t="s">
        <v>46</v>
      </c>
      <c r="G232" t="s">
        <v>32</v>
      </c>
      <c r="H232" t="s">
        <v>515</v>
      </c>
      <c r="I232">
        <v>18</v>
      </c>
      <c r="J232">
        <v>27</v>
      </c>
      <c r="K232">
        <v>178646</v>
      </c>
      <c r="L232">
        <v>5</v>
      </c>
      <c r="M232" t="s">
        <v>21</v>
      </c>
      <c r="N232">
        <v>35</v>
      </c>
      <c r="O232">
        <f t="shared" si="48"/>
        <v>770</v>
      </c>
      <c r="P232">
        <f t="shared" si="49"/>
        <v>388</v>
      </c>
      <c r="Q232">
        <f t="shared" si="50"/>
        <v>382</v>
      </c>
      <c r="R232">
        <f t="shared" si="51"/>
        <v>49.650349650349654</v>
      </c>
      <c r="S232" s="1">
        <f t="shared" si="52"/>
        <v>50.24975024975025</v>
      </c>
      <c r="T232" s="1">
        <f t="shared" si="53"/>
        <v>356</v>
      </c>
      <c r="U232" s="1">
        <f t="shared" si="54"/>
        <v>414</v>
      </c>
      <c r="V232" s="1">
        <f t="shared" si="55"/>
        <v>47.5</v>
      </c>
      <c r="W232" s="1">
        <f t="shared" si="56"/>
        <v>52.5</v>
      </c>
      <c r="X232" s="1">
        <f t="shared" si="57"/>
        <v>15.241558441558441</v>
      </c>
      <c r="Y232" s="1">
        <f t="shared" si="58"/>
        <v>126</v>
      </c>
      <c r="Z232" s="1">
        <f t="shared" si="59"/>
        <v>119</v>
      </c>
      <c r="AA232" s="1">
        <f t="shared" si="60"/>
        <v>3.6198412698412703</v>
      </c>
      <c r="AB232" s="1">
        <f t="shared" si="61"/>
        <v>3.3798319327731092</v>
      </c>
      <c r="AC232" s="1">
        <f t="shared" si="62"/>
        <v>1</v>
      </c>
      <c r="AD232" s="1">
        <f t="shared" si="63"/>
        <v>2.2639648472771029E-2</v>
      </c>
    </row>
    <row r="233" spans="1:30" x14ac:dyDescent="0.35">
      <c r="A233" t="s">
        <v>516</v>
      </c>
      <c r="B233" t="s">
        <v>111</v>
      </c>
      <c r="C233" t="s">
        <v>64</v>
      </c>
      <c r="D233" t="s">
        <v>17</v>
      </c>
      <c r="E233">
        <v>43</v>
      </c>
      <c r="F233" t="s">
        <v>74</v>
      </c>
      <c r="G233" t="s">
        <v>85</v>
      </c>
      <c r="H233" t="s">
        <v>517</v>
      </c>
      <c r="I233">
        <v>1</v>
      </c>
      <c r="J233">
        <v>11</v>
      </c>
      <c r="K233">
        <v>470879</v>
      </c>
      <c r="L233">
        <v>4.7</v>
      </c>
      <c r="M233" t="s">
        <v>43</v>
      </c>
      <c r="N233">
        <v>89</v>
      </c>
      <c r="O233">
        <f t="shared" si="48"/>
        <v>769</v>
      </c>
      <c r="P233">
        <f t="shared" si="49"/>
        <v>387</v>
      </c>
      <c r="Q233">
        <f t="shared" si="50"/>
        <v>382</v>
      </c>
      <c r="R233">
        <f t="shared" si="51"/>
        <v>49.650349650349654</v>
      </c>
      <c r="S233" s="1">
        <f t="shared" si="52"/>
        <v>50.24975024975025</v>
      </c>
      <c r="T233" s="1">
        <f t="shared" si="53"/>
        <v>355</v>
      </c>
      <c r="U233" s="1">
        <f t="shared" si="54"/>
        <v>414</v>
      </c>
      <c r="V233" s="1">
        <f t="shared" si="55"/>
        <v>47.5</v>
      </c>
      <c r="W233" s="1">
        <f t="shared" si="56"/>
        <v>52.5</v>
      </c>
      <c r="X233" s="1">
        <f t="shared" si="57"/>
        <v>15.226267880364109</v>
      </c>
      <c r="Y233" s="1">
        <f t="shared" si="58"/>
        <v>126</v>
      </c>
      <c r="Z233" s="1">
        <f t="shared" si="59"/>
        <v>119</v>
      </c>
      <c r="AA233" s="1">
        <f t="shared" si="60"/>
        <v>3.6198412698412703</v>
      </c>
      <c r="AB233" s="1">
        <f t="shared" si="61"/>
        <v>3.3798319327731092</v>
      </c>
      <c r="AC233" s="1">
        <f t="shared" si="62"/>
        <v>0</v>
      </c>
      <c r="AD233" s="1">
        <f t="shared" si="63"/>
        <v>2.0304924389856066E-2</v>
      </c>
    </row>
    <row r="234" spans="1:30" x14ac:dyDescent="0.35">
      <c r="A234" t="s">
        <v>518</v>
      </c>
      <c r="B234" t="s">
        <v>45</v>
      </c>
      <c r="C234" t="s">
        <v>24</v>
      </c>
      <c r="D234" t="s">
        <v>25</v>
      </c>
      <c r="E234">
        <v>38</v>
      </c>
      <c r="F234" t="s">
        <v>37</v>
      </c>
      <c r="G234" t="s">
        <v>88</v>
      </c>
      <c r="H234" t="s">
        <v>519</v>
      </c>
      <c r="I234">
        <v>9</v>
      </c>
      <c r="J234">
        <v>14</v>
      </c>
      <c r="K234">
        <v>173756</v>
      </c>
      <c r="L234">
        <v>4.3</v>
      </c>
      <c r="M234" t="s">
        <v>21</v>
      </c>
      <c r="N234">
        <v>49</v>
      </c>
      <c r="O234">
        <f t="shared" si="48"/>
        <v>768</v>
      </c>
      <c r="P234">
        <f t="shared" si="49"/>
        <v>386</v>
      </c>
      <c r="Q234">
        <f t="shared" si="50"/>
        <v>382</v>
      </c>
      <c r="R234">
        <f t="shared" si="51"/>
        <v>49.650349650349654</v>
      </c>
      <c r="S234" s="1">
        <f t="shared" si="52"/>
        <v>50.24975024975025</v>
      </c>
      <c r="T234" s="1">
        <f t="shared" si="53"/>
        <v>355</v>
      </c>
      <c r="U234" s="1">
        <f t="shared" si="54"/>
        <v>413</v>
      </c>
      <c r="V234" s="1">
        <f t="shared" si="55"/>
        <v>47.5</v>
      </c>
      <c r="W234" s="1">
        <f t="shared" si="56"/>
        <v>52.5</v>
      </c>
      <c r="X234" s="1">
        <f t="shared" si="57"/>
        <v>15.231770833333334</v>
      </c>
      <c r="Y234" s="1">
        <f t="shared" si="58"/>
        <v>125</v>
      </c>
      <c r="Z234" s="1">
        <f t="shared" si="59"/>
        <v>119</v>
      </c>
      <c r="AA234" s="1">
        <f t="shared" si="60"/>
        <v>3.6112000000000006</v>
      </c>
      <c r="AB234" s="1">
        <f t="shared" si="61"/>
        <v>3.3798319327731092</v>
      </c>
      <c r="AC234" s="1">
        <f t="shared" si="62"/>
        <v>1</v>
      </c>
      <c r="AD234" s="1">
        <f t="shared" si="63"/>
        <v>1.9581629450805778E-2</v>
      </c>
    </row>
    <row r="235" spans="1:30" x14ac:dyDescent="0.35">
      <c r="A235" t="s">
        <v>520</v>
      </c>
      <c r="B235" t="s">
        <v>45</v>
      </c>
      <c r="C235" t="s">
        <v>82</v>
      </c>
      <c r="D235" t="s">
        <v>17</v>
      </c>
      <c r="E235">
        <v>34</v>
      </c>
      <c r="F235" t="s">
        <v>37</v>
      </c>
      <c r="G235" t="s">
        <v>85</v>
      </c>
      <c r="H235" t="s">
        <v>521</v>
      </c>
      <c r="I235">
        <v>20</v>
      </c>
      <c r="J235">
        <v>22</v>
      </c>
      <c r="K235">
        <v>447434</v>
      </c>
      <c r="L235">
        <v>4.7</v>
      </c>
      <c r="M235" t="s">
        <v>43</v>
      </c>
      <c r="N235">
        <v>89</v>
      </c>
      <c r="O235">
        <f t="shared" si="48"/>
        <v>767</v>
      </c>
      <c r="P235">
        <f t="shared" si="49"/>
        <v>386</v>
      </c>
      <c r="Q235">
        <f t="shared" si="50"/>
        <v>381</v>
      </c>
      <c r="R235">
        <f t="shared" si="51"/>
        <v>49.650349650349654</v>
      </c>
      <c r="S235" s="1">
        <f t="shared" si="52"/>
        <v>50.24975024975025</v>
      </c>
      <c r="T235" s="1">
        <f t="shared" si="53"/>
        <v>354</v>
      </c>
      <c r="U235" s="1">
        <f t="shared" si="54"/>
        <v>413</v>
      </c>
      <c r="V235" s="1">
        <f t="shared" si="55"/>
        <v>47.5</v>
      </c>
      <c r="W235" s="1">
        <f t="shared" si="56"/>
        <v>52.5</v>
      </c>
      <c r="X235" s="1">
        <f t="shared" si="57"/>
        <v>15.233376792698827</v>
      </c>
      <c r="Y235" s="1">
        <f t="shared" si="58"/>
        <v>125</v>
      </c>
      <c r="Z235" s="1">
        <f t="shared" si="59"/>
        <v>119</v>
      </c>
      <c r="AA235" s="1">
        <f t="shared" si="60"/>
        <v>3.6112000000000006</v>
      </c>
      <c r="AB235" s="1">
        <f t="shared" si="61"/>
        <v>3.3798319327731092</v>
      </c>
      <c r="AC235" s="1">
        <f t="shared" si="62"/>
        <v>0</v>
      </c>
      <c r="AD235" s="1">
        <f t="shared" si="63"/>
        <v>1.9848209965079518E-2</v>
      </c>
    </row>
    <row r="236" spans="1:30" x14ac:dyDescent="0.35">
      <c r="A236" t="s">
        <v>522</v>
      </c>
      <c r="B236" t="s">
        <v>35</v>
      </c>
      <c r="C236" t="s">
        <v>24</v>
      </c>
      <c r="D236" t="s">
        <v>25</v>
      </c>
      <c r="E236">
        <v>57</v>
      </c>
      <c r="F236" t="s">
        <v>74</v>
      </c>
      <c r="G236" t="s">
        <v>57</v>
      </c>
      <c r="H236" t="s">
        <v>523</v>
      </c>
      <c r="I236">
        <v>5</v>
      </c>
      <c r="J236">
        <v>7</v>
      </c>
      <c r="K236">
        <v>268108</v>
      </c>
      <c r="L236">
        <v>4.4000000000000004</v>
      </c>
      <c r="M236" t="s">
        <v>43</v>
      </c>
      <c r="N236">
        <v>99</v>
      </c>
      <c r="O236">
        <f t="shared" si="48"/>
        <v>766</v>
      </c>
      <c r="P236">
        <f t="shared" si="49"/>
        <v>385</v>
      </c>
      <c r="Q236">
        <f t="shared" si="50"/>
        <v>381</v>
      </c>
      <c r="R236">
        <f t="shared" si="51"/>
        <v>49.650349650349654</v>
      </c>
      <c r="S236" s="1">
        <f t="shared" si="52"/>
        <v>50.24975024975025</v>
      </c>
      <c r="T236" s="1">
        <f t="shared" si="53"/>
        <v>354</v>
      </c>
      <c r="U236" s="1">
        <f t="shared" si="54"/>
        <v>412</v>
      </c>
      <c r="V236" s="1">
        <f t="shared" si="55"/>
        <v>47.5</v>
      </c>
      <c r="W236" s="1">
        <f t="shared" si="56"/>
        <v>52.5</v>
      </c>
      <c r="X236" s="1">
        <f t="shared" si="57"/>
        <v>15.224543080939947</v>
      </c>
      <c r="Y236" s="1">
        <f t="shared" si="58"/>
        <v>125</v>
      </c>
      <c r="Z236" s="1">
        <f t="shared" si="59"/>
        <v>119</v>
      </c>
      <c r="AA236" s="1">
        <f t="shared" si="60"/>
        <v>3.6112000000000006</v>
      </c>
      <c r="AB236" s="1">
        <f t="shared" si="61"/>
        <v>3.3798319327731092</v>
      </c>
      <c r="AC236" s="1">
        <f t="shared" si="62"/>
        <v>0</v>
      </c>
      <c r="AD236" s="1">
        <f t="shared" si="63"/>
        <v>2.1058053417963109E-2</v>
      </c>
    </row>
    <row r="237" spans="1:30" x14ac:dyDescent="0.35">
      <c r="A237" t="s">
        <v>524</v>
      </c>
      <c r="B237" t="s">
        <v>55</v>
      </c>
      <c r="C237" t="s">
        <v>24</v>
      </c>
      <c r="D237" t="s">
        <v>25</v>
      </c>
      <c r="E237">
        <v>37</v>
      </c>
      <c r="F237" t="s">
        <v>46</v>
      </c>
      <c r="G237" t="s">
        <v>32</v>
      </c>
      <c r="H237" t="s">
        <v>525</v>
      </c>
      <c r="I237">
        <v>13</v>
      </c>
      <c r="J237">
        <v>13</v>
      </c>
      <c r="K237">
        <v>416192</v>
      </c>
      <c r="L237">
        <v>3.1</v>
      </c>
      <c r="M237" t="s">
        <v>21</v>
      </c>
      <c r="N237">
        <v>53</v>
      </c>
      <c r="O237">
        <f t="shared" si="48"/>
        <v>765</v>
      </c>
      <c r="P237">
        <f t="shared" si="49"/>
        <v>385</v>
      </c>
      <c r="Q237">
        <f t="shared" si="50"/>
        <v>380</v>
      </c>
      <c r="R237">
        <f t="shared" si="51"/>
        <v>49.650349650349654</v>
      </c>
      <c r="S237" s="1">
        <f t="shared" si="52"/>
        <v>50.24975024975025</v>
      </c>
      <c r="T237" s="1">
        <f t="shared" si="53"/>
        <v>354</v>
      </c>
      <c r="U237" s="1">
        <f t="shared" si="54"/>
        <v>411</v>
      </c>
      <c r="V237" s="1">
        <f t="shared" si="55"/>
        <v>47.5</v>
      </c>
      <c r="W237" s="1">
        <f t="shared" si="56"/>
        <v>52.5</v>
      </c>
      <c r="X237" s="1">
        <f t="shared" si="57"/>
        <v>15.235294117647058</v>
      </c>
      <c r="Y237" s="1">
        <f t="shared" si="58"/>
        <v>124</v>
      </c>
      <c r="Z237" s="1">
        <f t="shared" si="59"/>
        <v>119</v>
      </c>
      <c r="AA237" s="1">
        <f t="shared" si="60"/>
        <v>3.6048387096774204</v>
      </c>
      <c r="AB237" s="1">
        <f t="shared" si="61"/>
        <v>3.3798319327731092</v>
      </c>
      <c r="AC237" s="1">
        <f t="shared" si="62"/>
        <v>1</v>
      </c>
      <c r="AD237" s="1">
        <f t="shared" si="63"/>
        <v>1.9643580342937797E-2</v>
      </c>
    </row>
    <row r="238" spans="1:30" x14ac:dyDescent="0.35">
      <c r="A238" t="s">
        <v>526</v>
      </c>
      <c r="B238" t="s">
        <v>69</v>
      </c>
      <c r="C238" t="s">
        <v>30</v>
      </c>
      <c r="D238" t="s">
        <v>25</v>
      </c>
      <c r="E238">
        <v>30</v>
      </c>
      <c r="F238" t="s">
        <v>74</v>
      </c>
      <c r="G238" t="s">
        <v>41</v>
      </c>
      <c r="H238" t="s">
        <v>527</v>
      </c>
      <c r="I238">
        <v>14</v>
      </c>
      <c r="J238">
        <v>19</v>
      </c>
      <c r="K238">
        <v>213092</v>
      </c>
      <c r="L238">
        <v>2.2999999999999998</v>
      </c>
      <c r="M238" t="s">
        <v>43</v>
      </c>
      <c r="N238">
        <v>81</v>
      </c>
      <c r="O238">
        <f t="shared" si="48"/>
        <v>764</v>
      </c>
      <c r="P238">
        <f t="shared" si="49"/>
        <v>385</v>
      </c>
      <c r="Q238">
        <f t="shared" si="50"/>
        <v>379</v>
      </c>
      <c r="R238">
        <f t="shared" si="51"/>
        <v>49.650349650349654</v>
      </c>
      <c r="S238" s="1">
        <f t="shared" si="52"/>
        <v>50.24975024975025</v>
      </c>
      <c r="T238" s="1">
        <f t="shared" si="53"/>
        <v>353</v>
      </c>
      <c r="U238" s="1">
        <f t="shared" si="54"/>
        <v>411</v>
      </c>
      <c r="V238" s="1">
        <f t="shared" si="55"/>
        <v>47.5</v>
      </c>
      <c r="W238" s="1">
        <f t="shared" si="56"/>
        <v>52.5</v>
      </c>
      <c r="X238" s="1">
        <f t="shared" si="57"/>
        <v>15.238219895287958</v>
      </c>
      <c r="Y238" s="1">
        <f t="shared" si="58"/>
        <v>124</v>
      </c>
      <c r="Z238" s="1">
        <f t="shared" si="59"/>
        <v>119</v>
      </c>
      <c r="AA238" s="1">
        <f t="shared" si="60"/>
        <v>3.6048387096774204</v>
      </c>
      <c r="AB238" s="1">
        <f t="shared" si="61"/>
        <v>3.3798319327731092</v>
      </c>
      <c r="AC238" s="1">
        <f t="shared" si="62"/>
        <v>0</v>
      </c>
      <c r="AD238" s="1">
        <f t="shared" si="63"/>
        <v>2.0117091767116548E-2</v>
      </c>
    </row>
    <row r="239" spans="1:30" x14ac:dyDescent="0.35">
      <c r="A239" t="s">
        <v>528</v>
      </c>
      <c r="B239" t="s">
        <v>23</v>
      </c>
      <c r="C239" t="s">
        <v>52</v>
      </c>
      <c r="D239" t="s">
        <v>25</v>
      </c>
      <c r="E239">
        <v>57</v>
      </c>
      <c r="F239" t="s">
        <v>31</v>
      </c>
      <c r="G239" t="s">
        <v>75</v>
      </c>
      <c r="H239" t="s">
        <v>529</v>
      </c>
      <c r="I239">
        <v>16</v>
      </c>
      <c r="J239">
        <v>16</v>
      </c>
      <c r="K239">
        <v>386177</v>
      </c>
      <c r="L239">
        <v>2.8</v>
      </c>
      <c r="M239" t="s">
        <v>43</v>
      </c>
      <c r="N239">
        <v>81</v>
      </c>
      <c r="O239">
        <f t="shared" si="48"/>
        <v>763</v>
      </c>
      <c r="P239">
        <f t="shared" si="49"/>
        <v>385</v>
      </c>
      <c r="Q239">
        <f t="shared" si="50"/>
        <v>378</v>
      </c>
      <c r="R239">
        <f t="shared" si="51"/>
        <v>49.650349650349654</v>
      </c>
      <c r="S239" s="1">
        <f t="shared" si="52"/>
        <v>50.24975024975025</v>
      </c>
      <c r="T239" s="1">
        <f t="shared" si="53"/>
        <v>353</v>
      </c>
      <c r="U239" s="1">
        <f t="shared" si="54"/>
        <v>410</v>
      </c>
      <c r="V239" s="1">
        <f t="shared" si="55"/>
        <v>47.5</v>
      </c>
      <c r="W239" s="1">
        <f t="shared" si="56"/>
        <v>52.5</v>
      </c>
      <c r="X239" s="1">
        <f t="shared" si="57"/>
        <v>15.233289646133683</v>
      </c>
      <c r="Y239" s="1">
        <f t="shared" si="58"/>
        <v>123</v>
      </c>
      <c r="Z239" s="1">
        <f t="shared" si="59"/>
        <v>119</v>
      </c>
      <c r="AA239" s="1">
        <f t="shared" si="60"/>
        <v>3.6154471544715459</v>
      </c>
      <c r="AB239" s="1">
        <f t="shared" si="61"/>
        <v>3.3798319327731092</v>
      </c>
      <c r="AC239" s="1">
        <f t="shared" si="62"/>
        <v>0</v>
      </c>
      <c r="AD239" s="1">
        <f t="shared" si="63"/>
        <v>2.0794577008126598E-2</v>
      </c>
    </row>
    <row r="240" spans="1:30" x14ac:dyDescent="0.35">
      <c r="A240" t="s">
        <v>530</v>
      </c>
      <c r="B240" t="s">
        <v>29</v>
      </c>
      <c r="C240" t="s">
        <v>56</v>
      </c>
      <c r="D240" t="s">
        <v>17</v>
      </c>
      <c r="E240">
        <v>52</v>
      </c>
      <c r="F240" t="s">
        <v>18</v>
      </c>
      <c r="G240" t="s">
        <v>75</v>
      </c>
      <c r="H240" t="s">
        <v>531</v>
      </c>
      <c r="I240">
        <v>16</v>
      </c>
      <c r="J240">
        <v>16</v>
      </c>
      <c r="K240">
        <v>488732</v>
      </c>
      <c r="L240">
        <v>3</v>
      </c>
      <c r="M240" t="s">
        <v>43</v>
      </c>
      <c r="N240">
        <v>84</v>
      </c>
      <c r="O240">
        <f t="shared" si="48"/>
        <v>762</v>
      </c>
      <c r="P240">
        <f t="shared" si="49"/>
        <v>385</v>
      </c>
      <c r="Q240">
        <f t="shared" si="50"/>
        <v>377</v>
      </c>
      <c r="R240">
        <f t="shared" si="51"/>
        <v>49.650349650349654</v>
      </c>
      <c r="S240" s="1">
        <f t="shared" si="52"/>
        <v>50.24975024975025</v>
      </c>
      <c r="T240" s="1">
        <f t="shared" si="53"/>
        <v>353</v>
      </c>
      <c r="U240" s="1">
        <f t="shared" si="54"/>
        <v>409</v>
      </c>
      <c r="V240" s="1">
        <f t="shared" si="55"/>
        <v>47.5</v>
      </c>
      <c r="W240" s="1">
        <f t="shared" si="56"/>
        <v>52.5</v>
      </c>
      <c r="X240" s="1">
        <f t="shared" si="57"/>
        <v>15.23228346456693</v>
      </c>
      <c r="Y240" s="1">
        <f t="shared" si="58"/>
        <v>123</v>
      </c>
      <c r="Z240" s="1">
        <f t="shared" si="59"/>
        <v>118</v>
      </c>
      <c r="AA240" s="1">
        <f t="shared" si="60"/>
        <v>3.6154471544715459</v>
      </c>
      <c r="AB240" s="1">
        <f t="shared" si="61"/>
        <v>3.3847457627118636</v>
      </c>
      <c r="AC240" s="1">
        <f t="shared" si="62"/>
        <v>0</v>
      </c>
      <c r="AD240" s="1">
        <f t="shared" si="63"/>
        <v>2.0941731952589641E-2</v>
      </c>
    </row>
    <row r="241" spans="1:30" x14ac:dyDescent="0.35">
      <c r="A241" t="s">
        <v>532</v>
      </c>
      <c r="B241" t="s">
        <v>60</v>
      </c>
      <c r="C241" t="s">
        <v>56</v>
      </c>
      <c r="D241" t="s">
        <v>25</v>
      </c>
      <c r="E241">
        <v>43</v>
      </c>
      <c r="F241" t="s">
        <v>46</v>
      </c>
      <c r="G241" t="s">
        <v>41</v>
      </c>
      <c r="H241" t="s">
        <v>533</v>
      </c>
      <c r="I241">
        <v>15</v>
      </c>
      <c r="J241">
        <v>21</v>
      </c>
      <c r="K241">
        <v>477551</v>
      </c>
      <c r="L241">
        <v>4.3</v>
      </c>
      <c r="M241" t="s">
        <v>21</v>
      </c>
      <c r="N241">
        <v>65</v>
      </c>
      <c r="O241">
        <f t="shared" si="48"/>
        <v>761</v>
      </c>
      <c r="P241">
        <f t="shared" si="49"/>
        <v>384</v>
      </c>
      <c r="Q241">
        <f t="shared" si="50"/>
        <v>377</v>
      </c>
      <c r="R241">
        <f t="shared" si="51"/>
        <v>49.650349650349654</v>
      </c>
      <c r="S241" s="1">
        <f t="shared" si="52"/>
        <v>50.24975024975025</v>
      </c>
      <c r="T241" s="1">
        <f t="shared" si="53"/>
        <v>353</v>
      </c>
      <c r="U241" s="1">
        <f t="shared" si="54"/>
        <v>408</v>
      </c>
      <c r="V241" s="1">
        <f t="shared" si="55"/>
        <v>47.5</v>
      </c>
      <c r="W241" s="1">
        <f t="shared" si="56"/>
        <v>52.5</v>
      </c>
      <c r="X241" s="1">
        <f t="shared" si="57"/>
        <v>15.231274638633376</v>
      </c>
      <c r="Y241" s="1">
        <f t="shared" si="58"/>
        <v>123</v>
      </c>
      <c r="Z241" s="1">
        <f t="shared" si="59"/>
        <v>118</v>
      </c>
      <c r="AA241" s="1">
        <f t="shared" si="60"/>
        <v>3.6154471544715459</v>
      </c>
      <c r="AB241" s="1">
        <f t="shared" si="61"/>
        <v>3.3847457627118636</v>
      </c>
      <c r="AC241" s="1">
        <f t="shared" si="62"/>
        <v>1</v>
      </c>
      <c r="AD241" s="1">
        <f t="shared" si="63"/>
        <v>2.1089449776043719E-2</v>
      </c>
    </row>
    <row r="242" spans="1:30" x14ac:dyDescent="0.35">
      <c r="A242" t="s">
        <v>534</v>
      </c>
      <c r="B242" t="s">
        <v>40</v>
      </c>
      <c r="C242" t="s">
        <v>24</v>
      </c>
      <c r="D242" t="s">
        <v>17</v>
      </c>
      <c r="E242">
        <v>50</v>
      </c>
      <c r="F242" t="s">
        <v>37</v>
      </c>
      <c r="G242" t="s">
        <v>61</v>
      </c>
      <c r="H242" t="s">
        <v>535</v>
      </c>
      <c r="I242">
        <v>2</v>
      </c>
      <c r="J242">
        <v>4</v>
      </c>
      <c r="K242">
        <v>271443</v>
      </c>
      <c r="L242">
        <v>4.3</v>
      </c>
      <c r="M242" t="s">
        <v>21</v>
      </c>
      <c r="N242">
        <v>55</v>
      </c>
      <c r="O242">
        <f t="shared" si="48"/>
        <v>760</v>
      </c>
      <c r="P242">
        <f t="shared" si="49"/>
        <v>384</v>
      </c>
      <c r="Q242">
        <f t="shared" si="50"/>
        <v>376</v>
      </c>
      <c r="R242">
        <f t="shared" si="51"/>
        <v>49.650349650349654</v>
      </c>
      <c r="S242" s="1">
        <f t="shared" si="52"/>
        <v>50.24975024975025</v>
      </c>
      <c r="T242" s="1">
        <f t="shared" si="53"/>
        <v>352</v>
      </c>
      <c r="U242" s="1">
        <f t="shared" si="54"/>
        <v>408</v>
      </c>
      <c r="V242" s="1">
        <f t="shared" si="55"/>
        <v>47.5</v>
      </c>
      <c r="W242" s="1">
        <f t="shared" si="56"/>
        <v>52.5</v>
      </c>
      <c r="X242" s="1">
        <f t="shared" si="57"/>
        <v>15.223684210526315</v>
      </c>
      <c r="Y242" s="1">
        <f t="shared" si="58"/>
        <v>123</v>
      </c>
      <c r="Z242" s="1">
        <f t="shared" si="59"/>
        <v>118</v>
      </c>
      <c r="AA242" s="1">
        <f t="shared" si="60"/>
        <v>3.6154471544715459</v>
      </c>
      <c r="AB242" s="1">
        <f t="shared" si="61"/>
        <v>3.3847457627118636</v>
      </c>
      <c r="AC242" s="1">
        <f t="shared" si="62"/>
        <v>1</v>
      </c>
      <c r="AD242" s="1">
        <f t="shared" si="63"/>
        <v>1.9933966170465771E-2</v>
      </c>
    </row>
    <row r="243" spans="1:30" x14ac:dyDescent="0.35">
      <c r="A243" t="s">
        <v>536</v>
      </c>
      <c r="B243" t="s">
        <v>35</v>
      </c>
      <c r="C243" t="s">
        <v>30</v>
      </c>
      <c r="D243" t="s">
        <v>25</v>
      </c>
      <c r="E243">
        <v>50</v>
      </c>
      <c r="F243" t="s">
        <v>70</v>
      </c>
      <c r="G243" t="s">
        <v>88</v>
      </c>
      <c r="H243" t="s">
        <v>537</v>
      </c>
      <c r="I243">
        <v>18</v>
      </c>
      <c r="J243">
        <v>20</v>
      </c>
      <c r="K243">
        <v>95361</v>
      </c>
      <c r="L243">
        <v>2.5</v>
      </c>
      <c r="M243" t="s">
        <v>43</v>
      </c>
      <c r="N243">
        <v>81</v>
      </c>
      <c r="O243">
        <f t="shared" si="48"/>
        <v>759</v>
      </c>
      <c r="P243">
        <f t="shared" si="49"/>
        <v>383</v>
      </c>
      <c r="Q243">
        <f t="shared" si="50"/>
        <v>376</v>
      </c>
      <c r="R243">
        <f t="shared" si="51"/>
        <v>49.650349650349654</v>
      </c>
      <c r="S243" s="1">
        <f t="shared" si="52"/>
        <v>50.24975024975025</v>
      </c>
      <c r="T243" s="1">
        <f t="shared" si="53"/>
        <v>351</v>
      </c>
      <c r="U243" s="1">
        <f t="shared" si="54"/>
        <v>408</v>
      </c>
      <c r="V243" s="1">
        <f t="shared" si="55"/>
        <v>47.5</v>
      </c>
      <c r="W243" s="1">
        <f t="shared" si="56"/>
        <v>52.5</v>
      </c>
      <c r="X243" s="1">
        <f t="shared" si="57"/>
        <v>15.238471673254281</v>
      </c>
      <c r="Y243" s="1">
        <f t="shared" si="58"/>
        <v>123</v>
      </c>
      <c r="Z243" s="1">
        <f t="shared" si="59"/>
        <v>118</v>
      </c>
      <c r="AA243" s="1">
        <f t="shared" si="60"/>
        <v>3.6154471544715459</v>
      </c>
      <c r="AB243" s="1">
        <f t="shared" si="61"/>
        <v>3.3847457627118636</v>
      </c>
      <c r="AC243" s="1">
        <f t="shared" si="62"/>
        <v>0</v>
      </c>
      <c r="AD243" s="1">
        <f t="shared" si="63"/>
        <v>2.2290831850716845E-2</v>
      </c>
    </row>
    <row r="244" spans="1:30" x14ac:dyDescent="0.35">
      <c r="A244" t="s">
        <v>538</v>
      </c>
      <c r="B244" t="s">
        <v>35</v>
      </c>
      <c r="C244" t="s">
        <v>36</v>
      </c>
      <c r="D244" t="s">
        <v>25</v>
      </c>
      <c r="E244">
        <v>44</v>
      </c>
      <c r="F244" t="s">
        <v>18</v>
      </c>
      <c r="G244" t="s">
        <v>71</v>
      </c>
      <c r="H244" t="s">
        <v>539</v>
      </c>
      <c r="I244">
        <v>7</v>
      </c>
      <c r="J244">
        <v>16</v>
      </c>
      <c r="K244">
        <v>80175</v>
      </c>
      <c r="L244">
        <v>4.9000000000000004</v>
      </c>
      <c r="M244" t="s">
        <v>43</v>
      </c>
      <c r="N244">
        <v>74</v>
      </c>
      <c r="O244">
        <f t="shared" si="48"/>
        <v>758</v>
      </c>
      <c r="P244">
        <f t="shared" si="49"/>
        <v>383</v>
      </c>
      <c r="Q244">
        <f t="shared" si="50"/>
        <v>375</v>
      </c>
      <c r="R244">
        <f t="shared" si="51"/>
        <v>49.650349650349654</v>
      </c>
      <c r="S244" s="1">
        <f t="shared" si="52"/>
        <v>50.24975024975025</v>
      </c>
      <c r="T244" s="1">
        <f t="shared" si="53"/>
        <v>351</v>
      </c>
      <c r="U244" s="1">
        <f t="shared" si="54"/>
        <v>407</v>
      </c>
      <c r="V244" s="1">
        <f t="shared" si="55"/>
        <v>47.5</v>
      </c>
      <c r="W244" s="1">
        <f t="shared" si="56"/>
        <v>52.5</v>
      </c>
      <c r="X244" s="1">
        <f t="shared" si="57"/>
        <v>15.232189973614776</v>
      </c>
      <c r="Y244" s="1">
        <f t="shared" si="58"/>
        <v>123</v>
      </c>
      <c r="Z244" s="1">
        <f t="shared" si="59"/>
        <v>118</v>
      </c>
      <c r="AA244" s="1">
        <f t="shared" si="60"/>
        <v>3.6154471544715459</v>
      </c>
      <c r="AB244" s="1">
        <f t="shared" si="61"/>
        <v>3.3847457627118636</v>
      </c>
      <c r="AC244" s="1">
        <f t="shared" si="62"/>
        <v>0</v>
      </c>
      <c r="AD244" s="1">
        <f t="shared" si="63"/>
        <v>2.3154301953715192E-2</v>
      </c>
    </row>
    <row r="245" spans="1:30" x14ac:dyDescent="0.35">
      <c r="A245" t="s">
        <v>540</v>
      </c>
      <c r="B245" t="s">
        <v>111</v>
      </c>
      <c r="C245" t="s">
        <v>82</v>
      </c>
      <c r="D245" t="s">
        <v>25</v>
      </c>
      <c r="E245">
        <v>53</v>
      </c>
      <c r="F245" t="s">
        <v>70</v>
      </c>
      <c r="G245" t="s">
        <v>19</v>
      </c>
      <c r="H245" t="s">
        <v>541</v>
      </c>
      <c r="I245">
        <v>16</v>
      </c>
      <c r="J245">
        <v>23</v>
      </c>
      <c r="K245">
        <v>195851</v>
      </c>
      <c r="L245">
        <v>3</v>
      </c>
      <c r="M245" t="s">
        <v>21</v>
      </c>
      <c r="N245">
        <v>55</v>
      </c>
      <c r="O245">
        <f t="shared" si="48"/>
        <v>757</v>
      </c>
      <c r="P245">
        <f t="shared" si="49"/>
        <v>383</v>
      </c>
      <c r="Q245">
        <f t="shared" si="50"/>
        <v>374</v>
      </c>
      <c r="R245">
        <f t="shared" si="51"/>
        <v>49.650349650349654</v>
      </c>
      <c r="S245" s="1">
        <f t="shared" si="52"/>
        <v>50.24975024975025</v>
      </c>
      <c r="T245" s="1">
        <f t="shared" si="53"/>
        <v>351</v>
      </c>
      <c r="U245" s="1">
        <f t="shared" si="54"/>
        <v>406</v>
      </c>
      <c r="V245" s="1">
        <f t="shared" si="55"/>
        <v>47.5</v>
      </c>
      <c r="W245" s="1">
        <f t="shared" si="56"/>
        <v>52.5</v>
      </c>
      <c r="X245" s="1">
        <f t="shared" si="57"/>
        <v>15.231175693527081</v>
      </c>
      <c r="Y245" s="1">
        <f t="shared" si="58"/>
        <v>123</v>
      </c>
      <c r="Z245" s="1">
        <f t="shared" si="59"/>
        <v>118</v>
      </c>
      <c r="AA245" s="1">
        <f t="shared" si="60"/>
        <v>3.6154471544715459</v>
      </c>
      <c r="AB245" s="1">
        <f t="shared" si="61"/>
        <v>3.3847457627118636</v>
      </c>
      <c r="AC245" s="1">
        <f t="shared" si="62"/>
        <v>1</v>
      </c>
      <c r="AD245" s="1">
        <f t="shared" si="63"/>
        <v>2.3304018521499187E-2</v>
      </c>
    </row>
    <row r="246" spans="1:30" x14ac:dyDescent="0.35">
      <c r="A246" t="s">
        <v>542</v>
      </c>
      <c r="B246" t="s">
        <v>23</v>
      </c>
      <c r="C246" t="s">
        <v>24</v>
      </c>
      <c r="D246" t="s">
        <v>25</v>
      </c>
      <c r="E246">
        <v>45</v>
      </c>
      <c r="F246" t="s">
        <v>37</v>
      </c>
      <c r="G246" t="s">
        <v>61</v>
      </c>
      <c r="H246" t="s">
        <v>523</v>
      </c>
      <c r="I246">
        <v>12</v>
      </c>
      <c r="J246">
        <v>18</v>
      </c>
      <c r="K246">
        <v>473985</v>
      </c>
      <c r="L246">
        <v>3.1</v>
      </c>
      <c r="M246" t="s">
        <v>21</v>
      </c>
      <c r="N246">
        <v>44</v>
      </c>
      <c r="O246">
        <f t="shared" si="48"/>
        <v>756</v>
      </c>
      <c r="P246">
        <f t="shared" si="49"/>
        <v>383</v>
      </c>
      <c r="Q246">
        <f t="shared" si="50"/>
        <v>373</v>
      </c>
      <c r="R246">
        <f t="shared" si="51"/>
        <v>49.650349650349654</v>
      </c>
      <c r="S246" s="1">
        <f t="shared" si="52"/>
        <v>50.24975024975025</v>
      </c>
      <c r="T246" s="1">
        <f t="shared" si="53"/>
        <v>350</v>
      </c>
      <c r="U246" s="1">
        <f t="shared" si="54"/>
        <v>406</v>
      </c>
      <c r="V246" s="1">
        <f t="shared" si="55"/>
        <v>47.5</v>
      </c>
      <c r="W246" s="1">
        <f t="shared" si="56"/>
        <v>52.5</v>
      </c>
      <c r="X246" s="1">
        <f t="shared" si="57"/>
        <v>15.220899470899472</v>
      </c>
      <c r="Y246" s="1">
        <f t="shared" si="58"/>
        <v>123</v>
      </c>
      <c r="Z246" s="1">
        <f t="shared" si="59"/>
        <v>118</v>
      </c>
      <c r="AA246" s="1">
        <f t="shared" si="60"/>
        <v>3.6154471544715459</v>
      </c>
      <c r="AB246" s="1">
        <f t="shared" si="61"/>
        <v>3.3847457627118636</v>
      </c>
      <c r="AC246" s="1">
        <f t="shared" si="62"/>
        <v>1</v>
      </c>
      <c r="AD246" s="1">
        <f t="shared" si="63"/>
        <v>2.1741150900578928E-2</v>
      </c>
    </row>
    <row r="247" spans="1:30" x14ac:dyDescent="0.35">
      <c r="A247" t="s">
        <v>543</v>
      </c>
      <c r="B247" t="s">
        <v>29</v>
      </c>
      <c r="C247" t="s">
        <v>52</v>
      </c>
      <c r="D247" t="s">
        <v>25</v>
      </c>
      <c r="E247">
        <v>32</v>
      </c>
      <c r="F247" t="s">
        <v>37</v>
      </c>
      <c r="G247" t="s">
        <v>88</v>
      </c>
      <c r="H247" t="s">
        <v>544</v>
      </c>
      <c r="I247">
        <v>16</v>
      </c>
      <c r="J247">
        <v>20</v>
      </c>
      <c r="K247">
        <v>107212</v>
      </c>
      <c r="L247">
        <v>2</v>
      </c>
      <c r="M247" t="s">
        <v>43</v>
      </c>
      <c r="N247">
        <v>95</v>
      </c>
      <c r="O247">
        <f t="shared" si="48"/>
        <v>755</v>
      </c>
      <c r="P247">
        <f t="shared" si="49"/>
        <v>383</v>
      </c>
      <c r="Q247">
        <f t="shared" si="50"/>
        <v>372</v>
      </c>
      <c r="R247">
        <f t="shared" si="51"/>
        <v>49.650349650349654</v>
      </c>
      <c r="S247" s="1">
        <f t="shared" si="52"/>
        <v>50.24975024975025</v>
      </c>
      <c r="T247" s="1">
        <f t="shared" si="53"/>
        <v>349</v>
      </c>
      <c r="U247" s="1">
        <f t="shared" si="54"/>
        <v>406</v>
      </c>
      <c r="V247" s="1">
        <f t="shared" si="55"/>
        <v>47.5</v>
      </c>
      <c r="W247" s="1">
        <f t="shared" si="56"/>
        <v>52.5</v>
      </c>
      <c r="X247" s="1">
        <f t="shared" si="57"/>
        <v>15.217218543046357</v>
      </c>
      <c r="Y247" s="1">
        <f t="shared" si="58"/>
        <v>123</v>
      </c>
      <c r="Z247" s="1">
        <f t="shared" si="59"/>
        <v>118</v>
      </c>
      <c r="AA247" s="1">
        <f t="shared" si="60"/>
        <v>3.6154471544715459</v>
      </c>
      <c r="AB247" s="1">
        <f t="shared" si="61"/>
        <v>3.3847457627118636</v>
      </c>
      <c r="AC247" s="1">
        <f t="shared" si="62"/>
        <v>0</v>
      </c>
      <c r="AD247" s="1">
        <f t="shared" si="63"/>
        <v>2.1186509532291922E-2</v>
      </c>
    </row>
    <row r="248" spans="1:30" x14ac:dyDescent="0.35">
      <c r="A248" t="s">
        <v>545</v>
      </c>
      <c r="B248" t="s">
        <v>45</v>
      </c>
      <c r="C248" t="s">
        <v>56</v>
      </c>
      <c r="D248" t="s">
        <v>17</v>
      </c>
      <c r="E248">
        <v>53</v>
      </c>
      <c r="F248" t="s">
        <v>79</v>
      </c>
      <c r="G248" t="s">
        <v>71</v>
      </c>
      <c r="H248" t="s">
        <v>546</v>
      </c>
      <c r="I248">
        <v>3</v>
      </c>
      <c r="J248">
        <v>9</v>
      </c>
      <c r="K248">
        <v>194317</v>
      </c>
      <c r="L248">
        <v>3.3</v>
      </c>
      <c r="M248" t="s">
        <v>21</v>
      </c>
      <c r="N248">
        <v>48</v>
      </c>
      <c r="O248">
        <f t="shared" si="48"/>
        <v>754</v>
      </c>
      <c r="P248">
        <f t="shared" si="49"/>
        <v>383</v>
      </c>
      <c r="Q248">
        <f t="shared" si="50"/>
        <v>371</v>
      </c>
      <c r="R248">
        <f t="shared" si="51"/>
        <v>49.650349650349654</v>
      </c>
      <c r="S248" s="1">
        <f t="shared" si="52"/>
        <v>50.24975024975025</v>
      </c>
      <c r="T248" s="1">
        <f t="shared" si="53"/>
        <v>349</v>
      </c>
      <c r="U248" s="1">
        <f t="shared" si="54"/>
        <v>405</v>
      </c>
      <c r="V248" s="1">
        <f t="shared" si="55"/>
        <v>47.5</v>
      </c>
      <c r="W248" s="1">
        <f t="shared" si="56"/>
        <v>52.5</v>
      </c>
      <c r="X248" s="1">
        <f t="shared" si="57"/>
        <v>15.210875331564987</v>
      </c>
      <c r="Y248" s="1">
        <f t="shared" si="58"/>
        <v>123</v>
      </c>
      <c r="Z248" s="1">
        <f t="shared" si="59"/>
        <v>118</v>
      </c>
      <c r="AA248" s="1">
        <f t="shared" si="60"/>
        <v>3.6154471544715459</v>
      </c>
      <c r="AB248" s="1">
        <f t="shared" si="61"/>
        <v>3.3847457627118636</v>
      </c>
      <c r="AC248" s="1">
        <f t="shared" si="62"/>
        <v>1</v>
      </c>
      <c r="AD248" s="1">
        <f t="shared" si="63"/>
        <v>2.2055890541141963E-2</v>
      </c>
    </row>
    <row r="249" spans="1:30" x14ac:dyDescent="0.35">
      <c r="A249" t="s">
        <v>547</v>
      </c>
      <c r="B249" t="s">
        <v>40</v>
      </c>
      <c r="C249" t="s">
        <v>56</v>
      </c>
      <c r="D249" t="s">
        <v>25</v>
      </c>
      <c r="E249">
        <v>56</v>
      </c>
      <c r="F249" t="s">
        <v>79</v>
      </c>
      <c r="G249" t="s">
        <v>85</v>
      </c>
      <c r="H249" t="s">
        <v>548</v>
      </c>
      <c r="I249">
        <v>12</v>
      </c>
      <c r="J249">
        <v>14</v>
      </c>
      <c r="K249">
        <v>221610</v>
      </c>
      <c r="L249">
        <v>4.5</v>
      </c>
      <c r="M249" t="s">
        <v>43</v>
      </c>
      <c r="N249">
        <v>75</v>
      </c>
      <c r="O249">
        <f t="shared" si="48"/>
        <v>753</v>
      </c>
      <c r="P249">
        <f t="shared" si="49"/>
        <v>382</v>
      </c>
      <c r="Q249">
        <f t="shared" si="50"/>
        <v>371</v>
      </c>
      <c r="R249">
        <f t="shared" si="51"/>
        <v>49.650349650349654</v>
      </c>
      <c r="S249" s="1">
        <f t="shared" si="52"/>
        <v>50.24975024975025</v>
      </c>
      <c r="T249" s="1">
        <f t="shared" si="53"/>
        <v>348</v>
      </c>
      <c r="U249" s="1">
        <f t="shared" si="54"/>
        <v>405</v>
      </c>
      <c r="V249" s="1">
        <f t="shared" si="55"/>
        <v>47.5</v>
      </c>
      <c r="W249" s="1">
        <f t="shared" si="56"/>
        <v>52.5</v>
      </c>
      <c r="X249" s="1">
        <f t="shared" si="57"/>
        <v>15.219123505976096</v>
      </c>
      <c r="Y249" s="1">
        <f t="shared" si="58"/>
        <v>123</v>
      </c>
      <c r="Z249" s="1">
        <f t="shared" si="59"/>
        <v>118</v>
      </c>
      <c r="AA249" s="1">
        <f t="shared" si="60"/>
        <v>3.6154471544715459</v>
      </c>
      <c r="AB249" s="1">
        <f t="shared" si="61"/>
        <v>3.3847457627118636</v>
      </c>
      <c r="AC249" s="1">
        <f t="shared" si="62"/>
        <v>0</v>
      </c>
      <c r="AD249" s="1">
        <f t="shared" si="63"/>
        <v>2.3369876283839713E-2</v>
      </c>
    </row>
    <row r="250" spans="1:30" x14ac:dyDescent="0.35">
      <c r="A250" t="s">
        <v>549</v>
      </c>
      <c r="B250" t="s">
        <v>35</v>
      </c>
      <c r="C250" t="s">
        <v>36</v>
      </c>
      <c r="D250" t="s">
        <v>17</v>
      </c>
      <c r="E250">
        <v>44</v>
      </c>
      <c r="F250" t="s">
        <v>37</v>
      </c>
      <c r="G250" t="s">
        <v>88</v>
      </c>
      <c r="H250" t="s">
        <v>550</v>
      </c>
      <c r="I250">
        <v>10</v>
      </c>
      <c r="J250">
        <v>12</v>
      </c>
      <c r="K250">
        <v>178456</v>
      </c>
      <c r="L250">
        <v>4.5999999999999996</v>
      </c>
      <c r="M250" t="s">
        <v>21</v>
      </c>
      <c r="N250">
        <v>35</v>
      </c>
      <c r="O250">
        <f t="shared" si="48"/>
        <v>752</v>
      </c>
      <c r="P250">
        <f t="shared" si="49"/>
        <v>382</v>
      </c>
      <c r="Q250">
        <f t="shared" si="50"/>
        <v>370</v>
      </c>
      <c r="R250">
        <f t="shared" si="51"/>
        <v>49.650349650349654</v>
      </c>
      <c r="S250" s="1">
        <f t="shared" si="52"/>
        <v>50.24975024975025</v>
      </c>
      <c r="T250" s="1">
        <f t="shared" si="53"/>
        <v>348</v>
      </c>
      <c r="U250" s="1">
        <f t="shared" si="54"/>
        <v>404</v>
      </c>
      <c r="V250" s="1">
        <f t="shared" si="55"/>
        <v>47.5</v>
      </c>
      <c r="W250" s="1">
        <f t="shared" si="56"/>
        <v>52.5</v>
      </c>
      <c r="X250" s="1">
        <f t="shared" si="57"/>
        <v>15.220744680851064</v>
      </c>
      <c r="Y250" s="1">
        <f t="shared" si="58"/>
        <v>123</v>
      </c>
      <c r="Z250" s="1">
        <f t="shared" si="59"/>
        <v>118</v>
      </c>
      <c r="AA250" s="1">
        <f t="shared" si="60"/>
        <v>3.6154471544715459</v>
      </c>
      <c r="AB250" s="1">
        <f t="shared" si="61"/>
        <v>3.3847457627118636</v>
      </c>
      <c r="AC250" s="1">
        <f t="shared" si="62"/>
        <v>1</v>
      </c>
      <c r="AD250" s="1">
        <f t="shared" si="63"/>
        <v>2.3166545256540782E-2</v>
      </c>
    </row>
    <row r="251" spans="1:30" x14ac:dyDescent="0.35">
      <c r="A251" t="s">
        <v>551</v>
      </c>
      <c r="B251" t="s">
        <v>15</v>
      </c>
      <c r="C251" t="s">
        <v>30</v>
      </c>
      <c r="D251" t="s">
        <v>17</v>
      </c>
      <c r="E251">
        <v>56</v>
      </c>
      <c r="F251" t="s">
        <v>37</v>
      </c>
      <c r="G251" t="s">
        <v>85</v>
      </c>
      <c r="H251" t="s">
        <v>552</v>
      </c>
      <c r="I251">
        <v>12</v>
      </c>
      <c r="J251">
        <v>15</v>
      </c>
      <c r="K251">
        <v>257247</v>
      </c>
      <c r="L251">
        <v>2.9</v>
      </c>
      <c r="M251" t="s">
        <v>43</v>
      </c>
      <c r="N251">
        <v>85</v>
      </c>
      <c r="O251">
        <f t="shared" si="48"/>
        <v>751</v>
      </c>
      <c r="P251">
        <f t="shared" si="49"/>
        <v>381</v>
      </c>
      <c r="Q251">
        <f t="shared" si="50"/>
        <v>370</v>
      </c>
      <c r="R251">
        <f t="shared" si="51"/>
        <v>49.650349650349654</v>
      </c>
      <c r="S251" s="1">
        <f t="shared" si="52"/>
        <v>50.24975024975025</v>
      </c>
      <c r="T251" s="1">
        <f t="shared" si="53"/>
        <v>347</v>
      </c>
      <c r="U251" s="1">
        <f t="shared" si="54"/>
        <v>404</v>
      </c>
      <c r="V251" s="1">
        <f t="shared" si="55"/>
        <v>47.5</v>
      </c>
      <c r="W251" s="1">
        <f t="shared" si="56"/>
        <v>52.5</v>
      </c>
      <c r="X251" s="1">
        <f t="shared" si="57"/>
        <v>15.225033288948069</v>
      </c>
      <c r="Y251" s="1">
        <f t="shared" si="58"/>
        <v>123</v>
      </c>
      <c r="Z251" s="1">
        <f t="shared" si="59"/>
        <v>118</v>
      </c>
      <c r="AA251" s="1">
        <f t="shared" si="60"/>
        <v>3.6154471544715459</v>
      </c>
      <c r="AB251" s="1">
        <f t="shared" si="61"/>
        <v>3.3847457627118636</v>
      </c>
      <c r="AC251" s="1">
        <f t="shared" si="62"/>
        <v>0</v>
      </c>
      <c r="AD251" s="1">
        <f t="shared" si="63"/>
        <v>2.385538192511355E-2</v>
      </c>
    </row>
    <row r="252" spans="1:30" x14ac:dyDescent="0.35">
      <c r="A252" t="s">
        <v>553</v>
      </c>
      <c r="B252" t="s">
        <v>29</v>
      </c>
      <c r="C252" t="s">
        <v>30</v>
      </c>
      <c r="D252" t="s">
        <v>17</v>
      </c>
      <c r="E252">
        <v>22</v>
      </c>
      <c r="F252" t="s">
        <v>31</v>
      </c>
      <c r="G252" t="s">
        <v>61</v>
      </c>
      <c r="H252" t="s">
        <v>554</v>
      </c>
      <c r="I252">
        <v>0</v>
      </c>
      <c r="J252">
        <v>4</v>
      </c>
      <c r="K252">
        <v>360079</v>
      </c>
      <c r="L252">
        <v>3.1</v>
      </c>
      <c r="M252" t="s">
        <v>21</v>
      </c>
      <c r="N252">
        <v>57</v>
      </c>
      <c r="O252">
        <f t="shared" si="48"/>
        <v>750</v>
      </c>
      <c r="P252">
        <f t="shared" si="49"/>
        <v>380</v>
      </c>
      <c r="Q252">
        <f t="shared" si="50"/>
        <v>370</v>
      </c>
      <c r="R252">
        <f t="shared" si="51"/>
        <v>49.650349650349654</v>
      </c>
      <c r="S252" s="1">
        <f t="shared" si="52"/>
        <v>50.24975024975025</v>
      </c>
      <c r="T252" s="1">
        <f t="shared" si="53"/>
        <v>347</v>
      </c>
      <c r="U252" s="1">
        <f t="shared" si="54"/>
        <v>403</v>
      </c>
      <c r="V252" s="1">
        <f t="shared" si="55"/>
        <v>47.5</v>
      </c>
      <c r="W252" s="1">
        <f t="shared" si="56"/>
        <v>52.5</v>
      </c>
      <c r="X252" s="1">
        <f t="shared" si="57"/>
        <v>15.225333333333333</v>
      </c>
      <c r="Y252" s="1">
        <f t="shared" si="58"/>
        <v>123</v>
      </c>
      <c r="Z252" s="1">
        <f t="shared" si="59"/>
        <v>118</v>
      </c>
      <c r="AA252" s="1">
        <f t="shared" si="60"/>
        <v>3.6154471544715459</v>
      </c>
      <c r="AB252" s="1">
        <f t="shared" si="61"/>
        <v>3.3847457627118636</v>
      </c>
      <c r="AC252" s="1">
        <f t="shared" si="62"/>
        <v>1</v>
      </c>
      <c r="AD252" s="1">
        <f t="shared" si="63"/>
        <v>2.3828931302760554E-2</v>
      </c>
    </row>
    <row r="253" spans="1:30" x14ac:dyDescent="0.35">
      <c r="A253" t="s">
        <v>555</v>
      </c>
      <c r="B253" t="s">
        <v>40</v>
      </c>
      <c r="C253" t="s">
        <v>64</v>
      </c>
      <c r="D253" t="s">
        <v>17</v>
      </c>
      <c r="E253">
        <v>54</v>
      </c>
      <c r="F253" t="s">
        <v>74</v>
      </c>
      <c r="G253" t="s">
        <v>88</v>
      </c>
      <c r="H253" t="s">
        <v>556</v>
      </c>
      <c r="I253">
        <v>5</v>
      </c>
      <c r="J253">
        <v>15</v>
      </c>
      <c r="K253">
        <v>244183</v>
      </c>
      <c r="L253">
        <v>3.7</v>
      </c>
      <c r="M253" t="s">
        <v>43</v>
      </c>
      <c r="N253">
        <v>94</v>
      </c>
      <c r="O253">
        <f t="shared" si="48"/>
        <v>749</v>
      </c>
      <c r="P253">
        <f t="shared" si="49"/>
        <v>379</v>
      </c>
      <c r="Q253">
        <f t="shared" si="50"/>
        <v>370</v>
      </c>
      <c r="R253">
        <f t="shared" si="51"/>
        <v>49.650349650349654</v>
      </c>
      <c r="S253" s="1">
        <f t="shared" si="52"/>
        <v>50.24975024975025</v>
      </c>
      <c r="T253" s="1">
        <f t="shared" si="53"/>
        <v>346</v>
      </c>
      <c r="U253" s="1">
        <f t="shared" si="54"/>
        <v>403</v>
      </c>
      <c r="V253" s="1">
        <f t="shared" si="55"/>
        <v>47.5</v>
      </c>
      <c r="W253" s="1">
        <f t="shared" si="56"/>
        <v>52.5</v>
      </c>
      <c r="X253" s="1">
        <f t="shared" si="57"/>
        <v>15.240320427236314</v>
      </c>
      <c r="Y253" s="1">
        <f t="shared" si="58"/>
        <v>123</v>
      </c>
      <c r="Z253" s="1">
        <f t="shared" si="59"/>
        <v>117</v>
      </c>
      <c r="AA253" s="1">
        <f t="shared" si="60"/>
        <v>3.6154471544715459</v>
      </c>
      <c r="AB253" s="1">
        <f t="shared" si="61"/>
        <v>3.3871794871794862</v>
      </c>
      <c r="AC253" s="1">
        <f t="shared" si="62"/>
        <v>0</v>
      </c>
      <c r="AD253" s="1">
        <f t="shared" si="63"/>
        <v>2.6223604526337176E-2</v>
      </c>
    </row>
    <row r="254" spans="1:30" x14ac:dyDescent="0.35">
      <c r="A254" t="s">
        <v>557</v>
      </c>
      <c r="B254" t="s">
        <v>15</v>
      </c>
      <c r="C254" t="s">
        <v>49</v>
      </c>
      <c r="D254" t="s">
        <v>17</v>
      </c>
      <c r="E254">
        <v>39</v>
      </c>
      <c r="F254" t="s">
        <v>79</v>
      </c>
      <c r="G254" t="s">
        <v>88</v>
      </c>
      <c r="H254" t="s">
        <v>558</v>
      </c>
      <c r="I254">
        <v>16</v>
      </c>
      <c r="J254">
        <v>16</v>
      </c>
      <c r="K254">
        <v>102583</v>
      </c>
      <c r="L254">
        <v>2.6</v>
      </c>
      <c r="M254" t="s">
        <v>43</v>
      </c>
      <c r="N254">
        <v>83</v>
      </c>
      <c r="O254">
        <f t="shared" si="48"/>
        <v>748</v>
      </c>
      <c r="P254">
        <f t="shared" si="49"/>
        <v>378</v>
      </c>
      <c r="Q254">
        <f t="shared" si="50"/>
        <v>370</v>
      </c>
      <c r="R254">
        <f t="shared" si="51"/>
        <v>49.650349650349654</v>
      </c>
      <c r="S254" s="1">
        <f t="shared" si="52"/>
        <v>50.24975024975025</v>
      </c>
      <c r="T254" s="1">
        <f t="shared" si="53"/>
        <v>346</v>
      </c>
      <c r="U254" s="1">
        <f t="shared" si="54"/>
        <v>402</v>
      </c>
      <c r="V254" s="1">
        <f t="shared" si="55"/>
        <v>47.5</v>
      </c>
      <c r="W254" s="1">
        <f t="shared" si="56"/>
        <v>52.5</v>
      </c>
      <c r="X254" s="1">
        <f t="shared" si="57"/>
        <v>15.240641711229946</v>
      </c>
      <c r="Y254" s="1">
        <f t="shared" si="58"/>
        <v>122</v>
      </c>
      <c r="Z254" s="1">
        <f t="shared" si="59"/>
        <v>117</v>
      </c>
      <c r="AA254" s="1">
        <f t="shared" si="60"/>
        <v>3.6147540983606565</v>
      </c>
      <c r="AB254" s="1">
        <f t="shared" si="61"/>
        <v>3.3871794871794862</v>
      </c>
      <c r="AC254" s="1">
        <f t="shared" si="62"/>
        <v>0</v>
      </c>
      <c r="AD254" s="1">
        <f t="shared" si="63"/>
        <v>2.6195698871229613E-2</v>
      </c>
    </row>
    <row r="255" spans="1:30" x14ac:dyDescent="0.35">
      <c r="A255" t="s">
        <v>559</v>
      </c>
      <c r="B255" t="s">
        <v>40</v>
      </c>
      <c r="C255" t="s">
        <v>64</v>
      </c>
      <c r="D255" t="s">
        <v>17</v>
      </c>
      <c r="E255">
        <v>41</v>
      </c>
      <c r="F255" t="s">
        <v>79</v>
      </c>
      <c r="G255" t="s">
        <v>41</v>
      </c>
      <c r="H255" t="s">
        <v>244</v>
      </c>
      <c r="I255">
        <v>13</v>
      </c>
      <c r="J255">
        <v>21</v>
      </c>
      <c r="K255">
        <v>154380</v>
      </c>
      <c r="L255">
        <v>2.2999999999999998</v>
      </c>
      <c r="M255" t="s">
        <v>43</v>
      </c>
      <c r="N255">
        <v>84</v>
      </c>
      <c r="O255">
        <f t="shared" si="48"/>
        <v>747</v>
      </c>
      <c r="P255">
        <f t="shared" si="49"/>
        <v>377</v>
      </c>
      <c r="Q255">
        <f t="shared" si="50"/>
        <v>370</v>
      </c>
      <c r="R255">
        <f t="shared" si="51"/>
        <v>49.650349650349654</v>
      </c>
      <c r="S255" s="1">
        <f t="shared" si="52"/>
        <v>50.24975024975025</v>
      </c>
      <c r="T255" s="1">
        <f t="shared" si="53"/>
        <v>346</v>
      </c>
      <c r="U255" s="1">
        <f t="shared" si="54"/>
        <v>401</v>
      </c>
      <c r="V255" s="1">
        <f t="shared" si="55"/>
        <v>47.5</v>
      </c>
      <c r="W255" s="1">
        <f t="shared" si="56"/>
        <v>52.5</v>
      </c>
      <c r="X255" s="1">
        <f t="shared" si="57"/>
        <v>15.23962516733601</v>
      </c>
      <c r="Y255" s="1">
        <f t="shared" si="58"/>
        <v>122</v>
      </c>
      <c r="Z255" s="1">
        <f t="shared" si="59"/>
        <v>117</v>
      </c>
      <c r="AA255" s="1">
        <f t="shared" si="60"/>
        <v>3.6147540983606565</v>
      </c>
      <c r="AB255" s="1">
        <f t="shared" si="61"/>
        <v>3.3871794871794862</v>
      </c>
      <c r="AC255" s="1">
        <f t="shared" si="62"/>
        <v>0</v>
      </c>
      <c r="AD255" s="1">
        <f t="shared" si="63"/>
        <v>2.6347112433363837E-2</v>
      </c>
    </row>
    <row r="256" spans="1:30" x14ac:dyDescent="0.35">
      <c r="A256" t="s">
        <v>560</v>
      </c>
      <c r="B256" t="s">
        <v>55</v>
      </c>
      <c r="C256" t="s">
        <v>93</v>
      </c>
      <c r="D256" t="s">
        <v>25</v>
      </c>
      <c r="E256">
        <v>42</v>
      </c>
      <c r="F256" t="s">
        <v>46</v>
      </c>
      <c r="G256" t="s">
        <v>41</v>
      </c>
      <c r="H256" t="s">
        <v>561</v>
      </c>
      <c r="I256">
        <v>3</v>
      </c>
      <c r="J256">
        <v>12</v>
      </c>
      <c r="K256">
        <v>499066</v>
      </c>
      <c r="L256">
        <v>2.6</v>
      </c>
      <c r="M256" t="s">
        <v>21</v>
      </c>
      <c r="N256">
        <v>58</v>
      </c>
      <c r="O256">
        <f t="shared" si="48"/>
        <v>746</v>
      </c>
      <c r="P256">
        <f t="shared" si="49"/>
        <v>376</v>
      </c>
      <c r="Q256">
        <f t="shared" si="50"/>
        <v>370</v>
      </c>
      <c r="R256">
        <f t="shared" si="51"/>
        <v>49.650349650349654</v>
      </c>
      <c r="S256" s="1">
        <f t="shared" si="52"/>
        <v>50.24975024975025</v>
      </c>
      <c r="T256" s="1">
        <f t="shared" si="53"/>
        <v>346</v>
      </c>
      <c r="U256" s="1">
        <f t="shared" si="54"/>
        <v>400</v>
      </c>
      <c r="V256" s="1">
        <f t="shared" si="55"/>
        <v>47.5</v>
      </c>
      <c r="W256" s="1">
        <f t="shared" si="56"/>
        <v>52.5</v>
      </c>
      <c r="X256" s="1">
        <f t="shared" si="57"/>
        <v>15.231903485254692</v>
      </c>
      <c r="Y256" s="1">
        <f t="shared" si="58"/>
        <v>122</v>
      </c>
      <c r="Z256" s="1">
        <f t="shared" si="59"/>
        <v>117</v>
      </c>
      <c r="AA256" s="1">
        <f t="shared" si="60"/>
        <v>3.6147540983606565</v>
      </c>
      <c r="AB256" s="1">
        <f t="shared" si="61"/>
        <v>3.3871794871794862</v>
      </c>
      <c r="AC256" s="1">
        <f t="shared" si="62"/>
        <v>1</v>
      </c>
      <c r="AD256" s="1">
        <f t="shared" si="63"/>
        <v>2.7409434910115608E-2</v>
      </c>
    </row>
    <row r="257" spans="1:30" x14ac:dyDescent="0.35">
      <c r="A257" t="s">
        <v>562</v>
      </c>
      <c r="B257" t="s">
        <v>96</v>
      </c>
      <c r="C257" t="s">
        <v>24</v>
      </c>
      <c r="D257" t="s">
        <v>17</v>
      </c>
      <c r="E257">
        <v>54</v>
      </c>
      <c r="F257" t="s">
        <v>70</v>
      </c>
      <c r="G257" t="s">
        <v>32</v>
      </c>
      <c r="H257" t="s">
        <v>563</v>
      </c>
      <c r="I257">
        <v>7</v>
      </c>
      <c r="J257">
        <v>12</v>
      </c>
      <c r="K257">
        <v>471826</v>
      </c>
      <c r="L257">
        <v>2.6</v>
      </c>
      <c r="M257" t="s">
        <v>43</v>
      </c>
      <c r="N257">
        <v>88</v>
      </c>
      <c r="O257">
        <f t="shared" si="48"/>
        <v>745</v>
      </c>
      <c r="P257">
        <f t="shared" si="49"/>
        <v>376</v>
      </c>
      <c r="Q257">
        <f t="shared" si="50"/>
        <v>369</v>
      </c>
      <c r="R257">
        <f t="shared" si="51"/>
        <v>49.650349650349654</v>
      </c>
      <c r="S257" s="1">
        <f t="shared" si="52"/>
        <v>50.24975024975025</v>
      </c>
      <c r="T257" s="1">
        <f t="shared" si="53"/>
        <v>345</v>
      </c>
      <c r="U257" s="1">
        <f t="shared" si="54"/>
        <v>400</v>
      </c>
      <c r="V257" s="1">
        <f t="shared" si="55"/>
        <v>47.5</v>
      </c>
      <c r="W257" s="1">
        <f t="shared" si="56"/>
        <v>52.5</v>
      </c>
      <c r="X257" s="1">
        <f t="shared" si="57"/>
        <v>15.236241610738254</v>
      </c>
      <c r="Y257" s="1">
        <f t="shared" si="58"/>
        <v>122</v>
      </c>
      <c r="Z257" s="1">
        <f t="shared" si="59"/>
        <v>117</v>
      </c>
      <c r="AA257" s="1">
        <f t="shared" si="60"/>
        <v>3.6147540983606565</v>
      </c>
      <c r="AB257" s="1">
        <f t="shared" si="61"/>
        <v>3.3871794871794862</v>
      </c>
      <c r="AC257" s="1">
        <f t="shared" si="62"/>
        <v>0</v>
      </c>
      <c r="AD257" s="1">
        <f t="shared" si="63"/>
        <v>2.8107489699819563E-2</v>
      </c>
    </row>
    <row r="258" spans="1:30" x14ac:dyDescent="0.35">
      <c r="A258" t="s">
        <v>564</v>
      </c>
      <c r="B258" t="s">
        <v>40</v>
      </c>
      <c r="C258" t="s">
        <v>64</v>
      </c>
      <c r="D258" t="s">
        <v>17</v>
      </c>
      <c r="E258">
        <v>57</v>
      </c>
      <c r="F258" t="s">
        <v>74</v>
      </c>
      <c r="G258" t="s">
        <v>75</v>
      </c>
      <c r="H258" t="s">
        <v>565</v>
      </c>
      <c r="I258">
        <v>15</v>
      </c>
      <c r="J258">
        <v>17</v>
      </c>
      <c r="K258">
        <v>339354</v>
      </c>
      <c r="L258">
        <v>4.9000000000000004</v>
      </c>
      <c r="M258" t="s">
        <v>21</v>
      </c>
      <c r="N258">
        <v>65</v>
      </c>
      <c r="O258">
        <f t="shared" ref="O258:O321" si="64">COUNTA(A258:A1257)</f>
        <v>744</v>
      </c>
      <c r="P258">
        <f t="shared" ref="P258:P321" si="65">COUNTIF(D258:D1257,"Male")</f>
        <v>375</v>
      </c>
      <c r="Q258">
        <f t="shared" ref="Q258:Q321" si="66">COUNTIF(D258:D1257,"Female")</f>
        <v>369</v>
      </c>
      <c r="R258">
        <f t="shared" ref="R258:R321" si="67">497/1001*100</f>
        <v>49.650349650349654</v>
      </c>
      <c r="S258" s="1">
        <f t="shared" ref="S258:S321" si="68">503/1001*100</f>
        <v>50.24975024975025</v>
      </c>
      <c r="T258" s="1">
        <f t="shared" ref="T258:T321" si="69">COUNTIF(M258:M1257,"Yes")</f>
        <v>345</v>
      </c>
      <c r="U258" s="1">
        <f t="shared" ref="U258:U321" si="70">COUNTIF(M258:M1257,"No")</f>
        <v>399</v>
      </c>
      <c r="V258" s="1">
        <f t="shared" ref="V258:V321" si="71">475/1000*100</f>
        <v>47.5</v>
      </c>
      <c r="W258" s="1">
        <f t="shared" ref="W258:W321" si="72">525/1000*100</f>
        <v>52.5</v>
      </c>
      <c r="X258" s="1">
        <f t="shared" ref="X258:X321" si="73">AVERAGE(J258:J1257)</f>
        <v>15.240591397849462</v>
      </c>
      <c r="Y258" s="1">
        <f t="shared" ref="Y258:Y321" si="74">COUNTIF(F258:F1257,"Marketing")</f>
        <v>122</v>
      </c>
      <c r="Z258" s="1">
        <f t="shared" ref="Z258:Z321" si="75">COUNTIF(F258:F1257,"IT")</f>
        <v>117</v>
      </c>
      <c r="AA258" s="1">
        <f t="shared" ref="AA258:AA321" si="76">AVERAGEIF(F258:F1257,"Marketing",L258:L1257)</f>
        <v>3.6147540983606565</v>
      </c>
      <c r="AB258" s="1">
        <f t="shared" ref="AB258:AB321" si="77">AVERAGEIF(F258:F1257,"IT",L258:L1257)</f>
        <v>3.3871794871794862</v>
      </c>
      <c r="AC258" s="1">
        <f t="shared" ref="AC258:AC321" si="78">IF(M258="yes",1,0)</f>
        <v>1</v>
      </c>
      <c r="AD258" s="1">
        <f t="shared" ref="AD258:AD321" si="79">CORREL(J258:J1257,AC258:AC1257)</f>
        <v>2.7545657074682265E-2</v>
      </c>
    </row>
    <row r="259" spans="1:30" x14ac:dyDescent="0.35">
      <c r="A259" t="s">
        <v>566</v>
      </c>
      <c r="B259" t="s">
        <v>40</v>
      </c>
      <c r="C259" t="s">
        <v>16</v>
      </c>
      <c r="D259" t="s">
        <v>17</v>
      </c>
      <c r="E259">
        <v>25</v>
      </c>
      <c r="F259" t="s">
        <v>31</v>
      </c>
      <c r="G259" t="s">
        <v>85</v>
      </c>
      <c r="H259" t="s">
        <v>567</v>
      </c>
      <c r="I259">
        <v>5</v>
      </c>
      <c r="J259">
        <v>10</v>
      </c>
      <c r="K259">
        <v>73142</v>
      </c>
      <c r="L259">
        <v>2.6</v>
      </c>
      <c r="M259" t="s">
        <v>21</v>
      </c>
      <c r="N259">
        <v>67</v>
      </c>
      <c r="O259">
        <f t="shared" si="64"/>
        <v>743</v>
      </c>
      <c r="P259">
        <f t="shared" si="65"/>
        <v>374</v>
      </c>
      <c r="Q259">
        <f t="shared" si="66"/>
        <v>369</v>
      </c>
      <c r="R259">
        <f t="shared" si="67"/>
        <v>49.650349650349654</v>
      </c>
      <c r="S259" s="1">
        <f t="shared" si="68"/>
        <v>50.24975024975025</v>
      </c>
      <c r="T259" s="1">
        <f t="shared" si="69"/>
        <v>344</v>
      </c>
      <c r="U259" s="1">
        <f t="shared" si="70"/>
        <v>399</v>
      </c>
      <c r="V259" s="1">
        <f t="shared" si="71"/>
        <v>47.5</v>
      </c>
      <c r="W259" s="1">
        <f t="shared" si="72"/>
        <v>52.5</v>
      </c>
      <c r="X259" s="1">
        <f t="shared" si="73"/>
        <v>15.238223418573352</v>
      </c>
      <c r="Y259" s="1">
        <f t="shared" si="74"/>
        <v>121</v>
      </c>
      <c r="Z259" s="1">
        <f t="shared" si="75"/>
        <v>117</v>
      </c>
      <c r="AA259" s="1">
        <f t="shared" si="76"/>
        <v>3.60413223140496</v>
      </c>
      <c r="AB259" s="1">
        <f t="shared" si="77"/>
        <v>3.3871794871794862</v>
      </c>
      <c r="AC259" s="1">
        <f t="shared" si="78"/>
        <v>1</v>
      </c>
      <c r="AD259" s="1">
        <f t="shared" si="79"/>
        <v>2.7201427652992903E-2</v>
      </c>
    </row>
    <row r="260" spans="1:30" x14ac:dyDescent="0.35">
      <c r="A260" t="s">
        <v>568</v>
      </c>
      <c r="B260" t="s">
        <v>55</v>
      </c>
      <c r="C260" t="s">
        <v>49</v>
      </c>
      <c r="D260" t="s">
        <v>25</v>
      </c>
      <c r="E260">
        <v>52</v>
      </c>
      <c r="F260" t="s">
        <v>37</v>
      </c>
      <c r="G260" t="s">
        <v>61</v>
      </c>
      <c r="H260" t="s">
        <v>569</v>
      </c>
      <c r="I260">
        <v>14</v>
      </c>
      <c r="J260">
        <v>22</v>
      </c>
      <c r="K260">
        <v>261418</v>
      </c>
      <c r="L260">
        <v>4.5</v>
      </c>
      <c r="M260" t="s">
        <v>43</v>
      </c>
      <c r="N260">
        <v>71</v>
      </c>
      <c r="O260">
        <f t="shared" si="64"/>
        <v>742</v>
      </c>
      <c r="P260">
        <f t="shared" si="65"/>
        <v>373</v>
      </c>
      <c r="Q260">
        <f t="shared" si="66"/>
        <v>369</v>
      </c>
      <c r="R260">
        <f t="shared" si="67"/>
        <v>49.650349650349654</v>
      </c>
      <c r="S260" s="1">
        <f t="shared" si="68"/>
        <v>50.24975024975025</v>
      </c>
      <c r="T260" s="1">
        <f t="shared" si="69"/>
        <v>343</v>
      </c>
      <c r="U260" s="1">
        <f t="shared" si="70"/>
        <v>399</v>
      </c>
      <c r="V260" s="1">
        <f t="shared" si="71"/>
        <v>47.5</v>
      </c>
      <c r="W260" s="1">
        <f t="shared" si="72"/>
        <v>52.5</v>
      </c>
      <c r="X260" s="1">
        <f t="shared" si="73"/>
        <v>15.245283018867925</v>
      </c>
      <c r="Y260" s="1">
        <f t="shared" si="74"/>
        <v>121</v>
      </c>
      <c r="Z260" s="1">
        <f t="shared" si="75"/>
        <v>116</v>
      </c>
      <c r="AA260" s="1">
        <f t="shared" si="76"/>
        <v>3.60413223140496</v>
      </c>
      <c r="AB260" s="1">
        <f t="shared" si="77"/>
        <v>3.3939655172413787</v>
      </c>
      <c r="AC260" s="1">
        <f t="shared" si="78"/>
        <v>0</v>
      </c>
      <c r="AD260" s="1">
        <f t="shared" si="79"/>
        <v>2.8328189949434378E-2</v>
      </c>
    </row>
    <row r="261" spans="1:30" x14ac:dyDescent="0.35">
      <c r="A261" t="s">
        <v>570</v>
      </c>
      <c r="B261" t="s">
        <v>35</v>
      </c>
      <c r="C261" t="s">
        <v>49</v>
      </c>
      <c r="D261" t="s">
        <v>17</v>
      </c>
      <c r="E261">
        <v>36</v>
      </c>
      <c r="F261" t="s">
        <v>74</v>
      </c>
      <c r="G261" t="s">
        <v>85</v>
      </c>
      <c r="H261" t="s">
        <v>571</v>
      </c>
      <c r="I261">
        <v>12</v>
      </c>
      <c r="J261">
        <v>17</v>
      </c>
      <c r="K261">
        <v>428494</v>
      </c>
      <c r="L261">
        <v>3.1</v>
      </c>
      <c r="M261" t="s">
        <v>43</v>
      </c>
      <c r="N261">
        <v>98</v>
      </c>
      <c r="O261">
        <f t="shared" si="64"/>
        <v>741</v>
      </c>
      <c r="P261">
        <f t="shared" si="65"/>
        <v>373</v>
      </c>
      <c r="Q261">
        <f t="shared" si="66"/>
        <v>368</v>
      </c>
      <c r="R261">
        <f t="shared" si="67"/>
        <v>49.650349650349654</v>
      </c>
      <c r="S261" s="1">
        <f t="shared" si="68"/>
        <v>50.24975024975025</v>
      </c>
      <c r="T261" s="1">
        <f t="shared" si="69"/>
        <v>343</v>
      </c>
      <c r="U261" s="1">
        <f t="shared" si="70"/>
        <v>398</v>
      </c>
      <c r="V261" s="1">
        <f t="shared" si="71"/>
        <v>47.5</v>
      </c>
      <c r="W261" s="1">
        <f t="shared" si="72"/>
        <v>52.5</v>
      </c>
      <c r="X261" s="1">
        <f t="shared" si="73"/>
        <v>15.2361673414305</v>
      </c>
      <c r="Y261" s="1">
        <f t="shared" si="74"/>
        <v>121</v>
      </c>
      <c r="Z261" s="1">
        <f t="shared" si="75"/>
        <v>116</v>
      </c>
      <c r="AA261" s="1">
        <f t="shared" si="76"/>
        <v>3.60413223140496</v>
      </c>
      <c r="AB261" s="1">
        <f t="shared" si="77"/>
        <v>3.3939655172413787</v>
      </c>
      <c r="AC261" s="1">
        <f t="shared" si="78"/>
        <v>0</v>
      </c>
      <c r="AD261" s="1">
        <f t="shared" si="79"/>
        <v>2.9579713628316181E-2</v>
      </c>
    </row>
    <row r="262" spans="1:30" x14ac:dyDescent="0.35">
      <c r="A262" t="s">
        <v>572</v>
      </c>
      <c r="B262" t="s">
        <v>23</v>
      </c>
      <c r="C262" t="s">
        <v>16</v>
      </c>
      <c r="D262" t="s">
        <v>17</v>
      </c>
      <c r="E262">
        <v>40</v>
      </c>
      <c r="F262" t="s">
        <v>46</v>
      </c>
      <c r="G262" t="s">
        <v>26</v>
      </c>
      <c r="H262" t="s">
        <v>573</v>
      </c>
      <c r="I262">
        <v>5</v>
      </c>
      <c r="J262">
        <v>9</v>
      </c>
      <c r="K262">
        <v>342956</v>
      </c>
      <c r="L262">
        <v>4.7</v>
      </c>
      <c r="M262" t="s">
        <v>21</v>
      </c>
      <c r="N262">
        <v>41</v>
      </c>
      <c r="O262">
        <f t="shared" si="64"/>
        <v>740</v>
      </c>
      <c r="P262">
        <f t="shared" si="65"/>
        <v>372</v>
      </c>
      <c r="Q262">
        <f t="shared" si="66"/>
        <v>368</v>
      </c>
      <c r="R262">
        <f t="shared" si="67"/>
        <v>49.650349650349654</v>
      </c>
      <c r="S262" s="1">
        <f t="shared" si="68"/>
        <v>50.24975024975025</v>
      </c>
      <c r="T262" s="1">
        <f t="shared" si="69"/>
        <v>343</v>
      </c>
      <c r="U262" s="1">
        <f t="shared" si="70"/>
        <v>397</v>
      </c>
      <c r="V262" s="1">
        <f t="shared" si="71"/>
        <v>47.5</v>
      </c>
      <c r="W262" s="1">
        <f t="shared" si="72"/>
        <v>52.5</v>
      </c>
      <c r="X262" s="1">
        <f t="shared" si="73"/>
        <v>15.233783783783784</v>
      </c>
      <c r="Y262" s="1">
        <f t="shared" si="74"/>
        <v>120</v>
      </c>
      <c r="Z262" s="1">
        <f t="shared" si="75"/>
        <v>116</v>
      </c>
      <c r="AA262" s="1">
        <f t="shared" si="76"/>
        <v>3.6083333333333347</v>
      </c>
      <c r="AB262" s="1">
        <f t="shared" si="77"/>
        <v>3.3939655172413787</v>
      </c>
      <c r="AC262" s="1">
        <f t="shared" si="78"/>
        <v>1</v>
      </c>
      <c r="AD262" s="1">
        <f t="shared" si="79"/>
        <v>2.9916661800288125E-2</v>
      </c>
    </row>
    <row r="263" spans="1:30" x14ac:dyDescent="0.35">
      <c r="A263" t="s">
        <v>574</v>
      </c>
      <c r="B263" t="s">
        <v>78</v>
      </c>
      <c r="C263" t="s">
        <v>64</v>
      </c>
      <c r="D263" t="s">
        <v>17</v>
      </c>
      <c r="E263">
        <v>52</v>
      </c>
      <c r="F263" t="s">
        <v>70</v>
      </c>
      <c r="G263" t="s">
        <v>88</v>
      </c>
      <c r="H263" t="s">
        <v>575</v>
      </c>
      <c r="I263">
        <v>10</v>
      </c>
      <c r="J263">
        <v>14</v>
      </c>
      <c r="K263">
        <v>407511</v>
      </c>
      <c r="L263">
        <v>4.2</v>
      </c>
      <c r="M263" t="s">
        <v>43</v>
      </c>
      <c r="N263">
        <v>96</v>
      </c>
      <c r="O263">
        <f t="shared" si="64"/>
        <v>739</v>
      </c>
      <c r="P263">
        <f t="shared" si="65"/>
        <v>371</v>
      </c>
      <c r="Q263">
        <f t="shared" si="66"/>
        <v>368</v>
      </c>
      <c r="R263">
        <f t="shared" si="67"/>
        <v>49.650349650349654</v>
      </c>
      <c r="S263" s="1">
        <f t="shared" si="68"/>
        <v>50.24975024975025</v>
      </c>
      <c r="T263" s="1">
        <f t="shared" si="69"/>
        <v>342</v>
      </c>
      <c r="U263" s="1">
        <f t="shared" si="70"/>
        <v>397</v>
      </c>
      <c r="V263" s="1">
        <f t="shared" si="71"/>
        <v>47.5</v>
      </c>
      <c r="W263" s="1">
        <f t="shared" si="72"/>
        <v>52.5</v>
      </c>
      <c r="X263" s="1">
        <f t="shared" si="73"/>
        <v>15.242219215155616</v>
      </c>
      <c r="Y263" s="1">
        <f t="shared" si="74"/>
        <v>120</v>
      </c>
      <c r="Z263" s="1">
        <f t="shared" si="75"/>
        <v>116</v>
      </c>
      <c r="AA263" s="1">
        <f t="shared" si="76"/>
        <v>3.6083333333333347</v>
      </c>
      <c r="AB263" s="1">
        <f t="shared" si="77"/>
        <v>3.3939655172413787</v>
      </c>
      <c r="AC263" s="1">
        <f t="shared" si="78"/>
        <v>0</v>
      </c>
      <c r="AD263" s="1">
        <f t="shared" si="79"/>
        <v>3.1262433577015407E-2</v>
      </c>
    </row>
    <row r="264" spans="1:30" x14ac:dyDescent="0.35">
      <c r="A264" t="s">
        <v>576</v>
      </c>
      <c r="B264" t="s">
        <v>23</v>
      </c>
      <c r="C264" t="s">
        <v>16</v>
      </c>
      <c r="D264" t="s">
        <v>17</v>
      </c>
      <c r="E264">
        <v>28</v>
      </c>
      <c r="F264" t="s">
        <v>18</v>
      </c>
      <c r="G264" t="s">
        <v>26</v>
      </c>
      <c r="H264" t="s">
        <v>577</v>
      </c>
      <c r="I264">
        <v>15</v>
      </c>
      <c r="J264">
        <v>23</v>
      </c>
      <c r="K264">
        <v>259542</v>
      </c>
      <c r="L264">
        <v>3.6</v>
      </c>
      <c r="M264" t="s">
        <v>43</v>
      </c>
      <c r="N264">
        <v>79</v>
      </c>
      <c r="O264">
        <f t="shared" si="64"/>
        <v>738</v>
      </c>
      <c r="P264">
        <f t="shared" si="65"/>
        <v>370</v>
      </c>
      <c r="Q264">
        <f t="shared" si="66"/>
        <v>368</v>
      </c>
      <c r="R264">
        <f t="shared" si="67"/>
        <v>49.650349650349654</v>
      </c>
      <c r="S264" s="1">
        <f t="shared" si="68"/>
        <v>50.24975024975025</v>
      </c>
      <c r="T264" s="1">
        <f t="shared" si="69"/>
        <v>342</v>
      </c>
      <c r="U264" s="1">
        <f t="shared" si="70"/>
        <v>396</v>
      </c>
      <c r="V264" s="1">
        <f t="shared" si="71"/>
        <v>47.5</v>
      </c>
      <c r="W264" s="1">
        <f t="shared" si="72"/>
        <v>52.5</v>
      </c>
      <c r="X264" s="1">
        <f t="shared" si="73"/>
        <v>15.24390243902439</v>
      </c>
      <c r="Y264" s="1">
        <f t="shared" si="74"/>
        <v>120</v>
      </c>
      <c r="Z264" s="1">
        <f t="shared" si="75"/>
        <v>116</v>
      </c>
      <c r="AA264" s="1">
        <f t="shared" si="76"/>
        <v>3.6083333333333347</v>
      </c>
      <c r="AB264" s="1">
        <f t="shared" si="77"/>
        <v>3.3939655172413787</v>
      </c>
      <c r="AC264" s="1">
        <f t="shared" si="78"/>
        <v>0</v>
      </c>
      <c r="AD264" s="1">
        <f t="shared" si="79"/>
        <v>3.1056729353724128E-2</v>
      </c>
    </row>
    <row r="265" spans="1:30" x14ac:dyDescent="0.35">
      <c r="A265" t="s">
        <v>578</v>
      </c>
      <c r="B265" t="s">
        <v>40</v>
      </c>
      <c r="C265" t="s">
        <v>64</v>
      </c>
      <c r="D265" t="s">
        <v>17</v>
      </c>
      <c r="E265">
        <v>38</v>
      </c>
      <c r="F265" t="s">
        <v>46</v>
      </c>
      <c r="G265" t="s">
        <v>32</v>
      </c>
      <c r="H265" t="s">
        <v>579</v>
      </c>
      <c r="I265">
        <v>10</v>
      </c>
      <c r="J265">
        <v>13</v>
      </c>
      <c r="K265">
        <v>229798</v>
      </c>
      <c r="L265">
        <v>3.7</v>
      </c>
      <c r="M265" t="s">
        <v>21</v>
      </c>
      <c r="N265">
        <v>63</v>
      </c>
      <c r="O265">
        <f t="shared" si="64"/>
        <v>737</v>
      </c>
      <c r="P265">
        <f t="shared" si="65"/>
        <v>369</v>
      </c>
      <c r="Q265">
        <f t="shared" si="66"/>
        <v>368</v>
      </c>
      <c r="R265">
        <f t="shared" si="67"/>
        <v>49.650349650349654</v>
      </c>
      <c r="S265" s="1">
        <f t="shared" si="68"/>
        <v>50.24975024975025</v>
      </c>
      <c r="T265" s="1">
        <f t="shared" si="69"/>
        <v>342</v>
      </c>
      <c r="U265" s="1">
        <f t="shared" si="70"/>
        <v>395</v>
      </c>
      <c r="V265" s="1">
        <f t="shared" si="71"/>
        <v>47.5</v>
      </c>
      <c r="W265" s="1">
        <f t="shared" si="72"/>
        <v>52.5</v>
      </c>
      <c r="X265" s="1">
        <f t="shared" si="73"/>
        <v>15.233378561736771</v>
      </c>
      <c r="Y265" s="1">
        <f t="shared" si="74"/>
        <v>120</v>
      </c>
      <c r="Z265" s="1">
        <f t="shared" si="75"/>
        <v>116</v>
      </c>
      <c r="AA265" s="1">
        <f t="shared" si="76"/>
        <v>3.6083333333333347</v>
      </c>
      <c r="AB265" s="1">
        <f t="shared" si="77"/>
        <v>3.3939655172413787</v>
      </c>
      <c r="AC265" s="1">
        <f t="shared" si="78"/>
        <v>1</v>
      </c>
      <c r="AD265" s="1">
        <f t="shared" si="79"/>
        <v>3.2507647178185453E-2</v>
      </c>
    </row>
    <row r="266" spans="1:30" x14ac:dyDescent="0.35">
      <c r="A266" t="s">
        <v>580</v>
      </c>
      <c r="B266" t="s">
        <v>69</v>
      </c>
      <c r="C266" t="s">
        <v>64</v>
      </c>
      <c r="D266" t="s">
        <v>17</v>
      </c>
      <c r="E266">
        <v>55</v>
      </c>
      <c r="F266" t="s">
        <v>31</v>
      </c>
      <c r="G266" t="s">
        <v>75</v>
      </c>
      <c r="H266" t="s">
        <v>581</v>
      </c>
      <c r="I266">
        <v>3</v>
      </c>
      <c r="J266">
        <v>10</v>
      </c>
      <c r="K266">
        <v>395645</v>
      </c>
      <c r="L266">
        <v>2.9</v>
      </c>
      <c r="M266" t="s">
        <v>21</v>
      </c>
      <c r="N266">
        <v>32</v>
      </c>
      <c r="O266">
        <f t="shared" si="64"/>
        <v>736</v>
      </c>
      <c r="P266">
        <f t="shared" si="65"/>
        <v>368</v>
      </c>
      <c r="Q266">
        <f t="shared" si="66"/>
        <v>368</v>
      </c>
      <c r="R266">
        <f t="shared" si="67"/>
        <v>49.650349650349654</v>
      </c>
      <c r="S266" s="1">
        <f t="shared" si="68"/>
        <v>50.24975024975025</v>
      </c>
      <c r="T266" s="1">
        <f t="shared" si="69"/>
        <v>341</v>
      </c>
      <c r="U266" s="1">
        <f t="shared" si="70"/>
        <v>395</v>
      </c>
      <c r="V266" s="1">
        <f t="shared" si="71"/>
        <v>47.5</v>
      </c>
      <c r="W266" s="1">
        <f t="shared" si="72"/>
        <v>52.5</v>
      </c>
      <c r="X266" s="1">
        <f t="shared" si="73"/>
        <v>15.236413043478262</v>
      </c>
      <c r="Y266" s="1">
        <f t="shared" si="74"/>
        <v>120</v>
      </c>
      <c r="Z266" s="1">
        <f t="shared" si="75"/>
        <v>116</v>
      </c>
      <c r="AA266" s="1">
        <f t="shared" si="76"/>
        <v>3.6083333333333347</v>
      </c>
      <c r="AB266" s="1">
        <f t="shared" si="77"/>
        <v>3.3939655172413787</v>
      </c>
      <c r="AC266" s="1">
        <f t="shared" si="78"/>
        <v>1</v>
      </c>
      <c r="AD266" s="1">
        <f t="shared" si="79"/>
        <v>3.3004267210794282E-2</v>
      </c>
    </row>
    <row r="267" spans="1:30" x14ac:dyDescent="0.35">
      <c r="A267" t="s">
        <v>582</v>
      </c>
      <c r="B267" t="s">
        <v>55</v>
      </c>
      <c r="C267" t="s">
        <v>24</v>
      </c>
      <c r="D267" t="s">
        <v>17</v>
      </c>
      <c r="E267">
        <v>21</v>
      </c>
      <c r="F267" t="s">
        <v>74</v>
      </c>
      <c r="G267" t="s">
        <v>57</v>
      </c>
      <c r="H267" t="s">
        <v>583</v>
      </c>
      <c r="I267">
        <v>9</v>
      </c>
      <c r="J267">
        <v>10</v>
      </c>
      <c r="K267">
        <v>325323</v>
      </c>
      <c r="L267">
        <v>5</v>
      </c>
      <c r="M267" t="s">
        <v>43</v>
      </c>
      <c r="N267">
        <v>91</v>
      </c>
      <c r="O267">
        <f t="shared" si="64"/>
        <v>735</v>
      </c>
      <c r="P267">
        <f t="shared" si="65"/>
        <v>367</v>
      </c>
      <c r="Q267">
        <f t="shared" si="66"/>
        <v>368</v>
      </c>
      <c r="R267">
        <f t="shared" si="67"/>
        <v>49.650349650349654</v>
      </c>
      <c r="S267" s="1">
        <f t="shared" si="68"/>
        <v>50.24975024975025</v>
      </c>
      <c r="T267" s="1">
        <f t="shared" si="69"/>
        <v>340</v>
      </c>
      <c r="U267" s="1">
        <f t="shared" si="70"/>
        <v>395</v>
      </c>
      <c r="V267" s="1">
        <f t="shared" si="71"/>
        <v>47.5</v>
      </c>
      <c r="W267" s="1">
        <f t="shared" si="72"/>
        <v>52.5</v>
      </c>
      <c r="X267" s="1">
        <f t="shared" si="73"/>
        <v>15.243537414965987</v>
      </c>
      <c r="Y267" s="1">
        <f t="shared" si="74"/>
        <v>120</v>
      </c>
      <c r="Z267" s="1">
        <f t="shared" si="75"/>
        <v>115</v>
      </c>
      <c r="AA267" s="1">
        <f t="shared" si="76"/>
        <v>3.6083333333333347</v>
      </c>
      <c r="AB267" s="1">
        <f t="shared" si="77"/>
        <v>3.3982608695652168</v>
      </c>
      <c r="AC267" s="1">
        <f t="shared" si="78"/>
        <v>0</v>
      </c>
      <c r="AD267" s="1">
        <f t="shared" si="79"/>
        <v>3.4144972127844661E-2</v>
      </c>
    </row>
    <row r="268" spans="1:30" x14ac:dyDescent="0.35">
      <c r="A268" t="s">
        <v>584</v>
      </c>
      <c r="B268" t="s">
        <v>45</v>
      </c>
      <c r="C268" t="s">
        <v>49</v>
      </c>
      <c r="D268" t="s">
        <v>17</v>
      </c>
      <c r="E268">
        <v>41</v>
      </c>
      <c r="F268" t="s">
        <v>70</v>
      </c>
      <c r="G268" t="s">
        <v>57</v>
      </c>
      <c r="H268" t="s">
        <v>513</v>
      </c>
      <c r="I268">
        <v>18</v>
      </c>
      <c r="J268">
        <v>28</v>
      </c>
      <c r="K268">
        <v>167456</v>
      </c>
      <c r="L268">
        <v>4.9000000000000004</v>
      </c>
      <c r="M268" t="s">
        <v>21</v>
      </c>
      <c r="N268">
        <v>30</v>
      </c>
      <c r="O268">
        <f t="shared" si="64"/>
        <v>734</v>
      </c>
      <c r="P268">
        <f t="shared" si="65"/>
        <v>366</v>
      </c>
      <c r="Q268">
        <f t="shared" si="66"/>
        <v>368</v>
      </c>
      <c r="R268">
        <f t="shared" si="67"/>
        <v>49.650349650349654</v>
      </c>
      <c r="S268" s="1">
        <f t="shared" si="68"/>
        <v>50.24975024975025</v>
      </c>
      <c r="T268" s="1">
        <f t="shared" si="69"/>
        <v>340</v>
      </c>
      <c r="U268" s="1">
        <f t="shared" si="70"/>
        <v>394</v>
      </c>
      <c r="V268" s="1">
        <f t="shared" si="71"/>
        <v>47.5</v>
      </c>
      <c r="W268" s="1">
        <f t="shared" si="72"/>
        <v>52.5</v>
      </c>
      <c r="X268" s="1">
        <f t="shared" si="73"/>
        <v>15.250681198910081</v>
      </c>
      <c r="Y268" s="1">
        <f t="shared" si="74"/>
        <v>119</v>
      </c>
      <c r="Z268" s="1">
        <f t="shared" si="75"/>
        <v>115</v>
      </c>
      <c r="AA268" s="1">
        <f t="shared" si="76"/>
        <v>3.5966386554621863</v>
      </c>
      <c r="AB268" s="1">
        <f t="shared" si="77"/>
        <v>3.3982608695652168</v>
      </c>
      <c r="AC268" s="1">
        <f t="shared" si="78"/>
        <v>1</v>
      </c>
      <c r="AD268" s="1">
        <f t="shared" si="79"/>
        <v>3.3226159456641556E-2</v>
      </c>
    </row>
    <row r="269" spans="1:30" x14ac:dyDescent="0.35">
      <c r="A269" t="s">
        <v>585</v>
      </c>
      <c r="B269" t="s">
        <v>23</v>
      </c>
      <c r="C269" t="s">
        <v>64</v>
      </c>
      <c r="D269" t="s">
        <v>17</v>
      </c>
      <c r="E269">
        <v>43</v>
      </c>
      <c r="F269" t="s">
        <v>37</v>
      </c>
      <c r="G269" t="s">
        <v>85</v>
      </c>
      <c r="H269" t="s">
        <v>586</v>
      </c>
      <c r="I269">
        <v>4</v>
      </c>
      <c r="J269">
        <v>6</v>
      </c>
      <c r="K269">
        <v>74824</v>
      </c>
      <c r="L269">
        <v>4.4000000000000004</v>
      </c>
      <c r="M269" t="s">
        <v>43</v>
      </c>
      <c r="N269">
        <v>78</v>
      </c>
      <c r="O269">
        <f t="shared" si="64"/>
        <v>733</v>
      </c>
      <c r="P269">
        <f t="shared" si="65"/>
        <v>365</v>
      </c>
      <c r="Q269">
        <f t="shared" si="66"/>
        <v>368</v>
      </c>
      <c r="R269">
        <f t="shared" si="67"/>
        <v>49.650349650349654</v>
      </c>
      <c r="S269" s="1">
        <f t="shared" si="68"/>
        <v>50.24975024975025</v>
      </c>
      <c r="T269" s="1">
        <f t="shared" si="69"/>
        <v>339</v>
      </c>
      <c r="U269" s="1">
        <f t="shared" si="70"/>
        <v>394</v>
      </c>
      <c r="V269" s="1">
        <f t="shared" si="71"/>
        <v>47.5</v>
      </c>
      <c r="W269" s="1">
        <f t="shared" si="72"/>
        <v>52.5</v>
      </c>
      <c r="X269" s="1">
        <f t="shared" si="73"/>
        <v>15.233287858117325</v>
      </c>
      <c r="Y269" s="1">
        <f t="shared" si="74"/>
        <v>119</v>
      </c>
      <c r="Z269" s="1">
        <f t="shared" si="75"/>
        <v>115</v>
      </c>
      <c r="AA269" s="1">
        <f t="shared" si="76"/>
        <v>3.5966386554621863</v>
      </c>
      <c r="AB269" s="1">
        <f t="shared" si="77"/>
        <v>3.3982608695652168</v>
      </c>
      <c r="AC269" s="1">
        <f t="shared" si="78"/>
        <v>0</v>
      </c>
      <c r="AD269" s="1">
        <f t="shared" si="79"/>
        <v>3.0634194761441611E-2</v>
      </c>
    </row>
    <row r="270" spans="1:30" x14ac:dyDescent="0.35">
      <c r="A270" t="s">
        <v>587</v>
      </c>
      <c r="B270" t="s">
        <v>15</v>
      </c>
      <c r="C270" t="s">
        <v>82</v>
      </c>
      <c r="D270" t="s">
        <v>25</v>
      </c>
      <c r="E270">
        <v>30</v>
      </c>
      <c r="F270" t="s">
        <v>70</v>
      </c>
      <c r="G270" t="s">
        <v>26</v>
      </c>
      <c r="H270" t="s">
        <v>588</v>
      </c>
      <c r="I270">
        <v>9</v>
      </c>
      <c r="J270">
        <v>17</v>
      </c>
      <c r="K270">
        <v>404204</v>
      </c>
      <c r="L270">
        <v>2.8</v>
      </c>
      <c r="M270" t="s">
        <v>21</v>
      </c>
      <c r="N270">
        <v>46</v>
      </c>
      <c r="O270">
        <f t="shared" si="64"/>
        <v>732</v>
      </c>
      <c r="P270">
        <f t="shared" si="65"/>
        <v>364</v>
      </c>
      <c r="Q270">
        <f t="shared" si="66"/>
        <v>368</v>
      </c>
      <c r="R270">
        <f t="shared" si="67"/>
        <v>49.650349650349654</v>
      </c>
      <c r="S270" s="1">
        <f t="shared" si="68"/>
        <v>50.24975024975025</v>
      </c>
      <c r="T270" s="1">
        <f t="shared" si="69"/>
        <v>339</v>
      </c>
      <c r="U270" s="1">
        <f t="shared" si="70"/>
        <v>393</v>
      </c>
      <c r="V270" s="1">
        <f t="shared" si="71"/>
        <v>47.5</v>
      </c>
      <c r="W270" s="1">
        <f t="shared" si="72"/>
        <v>52.5</v>
      </c>
      <c r="X270" s="1">
        <f t="shared" si="73"/>
        <v>15.245901639344263</v>
      </c>
      <c r="Y270" s="1">
        <f t="shared" si="74"/>
        <v>119</v>
      </c>
      <c r="Z270" s="1">
        <f t="shared" si="75"/>
        <v>115</v>
      </c>
      <c r="AA270" s="1">
        <f t="shared" si="76"/>
        <v>3.5966386554621863</v>
      </c>
      <c r="AB270" s="1">
        <f t="shared" si="77"/>
        <v>3.3982608695652168</v>
      </c>
      <c r="AC270" s="1">
        <f t="shared" si="78"/>
        <v>1</v>
      </c>
      <c r="AD270" s="1">
        <f t="shared" si="79"/>
        <v>2.900488731497463E-2</v>
      </c>
    </row>
    <row r="271" spans="1:30" x14ac:dyDescent="0.35">
      <c r="A271" t="s">
        <v>589</v>
      </c>
      <c r="B271" t="s">
        <v>60</v>
      </c>
      <c r="C271" t="s">
        <v>16</v>
      </c>
      <c r="D271" t="s">
        <v>25</v>
      </c>
      <c r="E271">
        <v>21</v>
      </c>
      <c r="F271" t="s">
        <v>18</v>
      </c>
      <c r="G271" t="s">
        <v>19</v>
      </c>
      <c r="H271" t="s">
        <v>590</v>
      </c>
      <c r="I271">
        <v>1</v>
      </c>
      <c r="J271">
        <v>1</v>
      </c>
      <c r="K271">
        <v>272233</v>
      </c>
      <c r="L271">
        <v>5</v>
      </c>
      <c r="M271" t="s">
        <v>21</v>
      </c>
      <c r="N271">
        <v>42</v>
      </c>
      <c r="O271">
        <f t="shared" si="64"/>
        <v>731</v>
      </c>
      <c r="P271">
        <f t="shared" si="65"/>
        <v>364</v>
      </c>
      <c r="Q271">
        <f t="shared" si="66"/>
        <v>367</v>
      </c>
      <c r="R271">
        <f t="shared" si="67"/>
        <v>49.650349650349654</v>
      </c>
      <c r="S271" s="1">
        <f t="shared" si="68"/>
        <v>50.24975024975025</v>
      </c>
      <c r="T271" s="1">
        <f t="shared" si="69"/>
        <v>338</v>
      </c>
      <c r="U271" s="1">
        <f t="shared" si="70"/>
        <v>393</v>
      </c>
      <c r="V271" s="1">
        <f t="shared" si="71"/>
        <v>47.5</v>
      </c>
      <c r="W271" s="1">
        <f t="shared" si="72"/>
        <v>52.5</v>
      </c>
      <c r="X271" s="1">
        <f t="shared" si="73"/>
        <v>15.243502051983585</v>
      </c>
      <c r="Y271" s="1">
        <f t="shared" si="74"/>
        <v>119</v>
      </c>
      <c r="Z271" s="1">
        <f t="shared" si="75"/>
        <v>115</v>
      </c>
      <c r="AA271" s="1">
        <f t="shared" si="76"/>
        <v>3.5966386554621863</v>
      </c>
      <c r="AB271" s="1">
        <f t="shared" si="77"/>
        <v>3.3982608695652168</v>
      </c>
      <c r="AC271" s="1">
        <f t="shared" si="78"/>
        <v>1</v>
      </c>
      <c r="AD271" s="1">
        <f t="shared" si="79"/>
        <v>2.8657424348257618E-2</v>
      </c>
    </row>
    <row r="272" spans="1:30" x14ac:dyDescent="0.35">
      <c r="A272" t="s">
        <v>591</v>
      </c>
      <c r="B272" t="s">
        <v>35</v>
      </c>
      <c r="C272" t="s">
        <v>36</v>
      </c>
      <c r="D272" t="s">
        <v>17</v>
      </c>
      <c r="E272">
        <v>49</v>
      </c>
      <c r="F272" t="s">
        <v>79</v>
      </c>
      <c r="G272" t="s">
        <v>61</v>
      </c>
      <c r="H272" t="s">
        <v>592</v>
      </c>
      <c r="I272">
        <v>11</v>
      </c>
      <c r="J272">
        <v>19</v>
      </c>
      <c r="K272">
        <v>344278</v>
      </c>
      <c r="L272">
        <v>3</v>
      </c>
      <c r="M272" t="s">
        <v>43</v>
      </c>
      <c r="N272">
        <v>85</v>
      </c>
      <c r="O272">
        <f t="shared" si="64"/>
        <v>730</v>
      </c>
      <c r="P272">
        <f t="shared" si="65"/>
        <v>364</v>
      </c>
      <c r="Q272">
        <f t="shared" si="66"/>
        <v>366</v>
      </c>
      <c r="R272">
        <f t="shared" si="67"/>
        <v>49.650349650349654</v>
      </c>
      <c r="S272" s="1">
        <f t="shared" si="68"/>
        <v>50.24975024975025</v>
      </c>
      <c r="T272" s="1">
        <f t="shared" si="69"/>
        <v>337</v>
      </c>
      <c r="U272" s="1">
        <f t="shared" si="70"/>
        <v>393</v>
      </c>
      <c r="V272" s="1">
        <f t="shared" si="71"/>
        <v>47.5</v>
      </c>
      <c r="W272" s="1">
        <f t="shared" si="72"/>
        <v>52.5</v>
      </c>
      <c r="X272" s="1">
        <f t="shared" si="73"/>
        <v>15.263013698630138</v>
      </c>
      <c r="Y272" s="1">
        <f t="shared" si="74"/>
        <v>119</v>
      </c>
      <c r="Z272" s="1">
        <f t="shared" si="75"/>
        <v>115</v>
      </c>
      <c r="AA272" s="1">
        <f t="shared" si="76"/>
        <v>3.5966386554621863</v>
      </c>
      <c r="AB272" s="1">
        <f t="shared" si="77"/>
        <v>3.3982608695652168</v>
      </c>
      <c r="AC272" s="1">
        <f t="shared" si="78"/>
        <v>0</v>
      </c>
      <c r="AD272" s="1">
        <f t="shared" si="79"/>
        <v>3.1796834386283855E-2</v>
      </c>
    </row>
    <row r="273" spans="1:30" x14ac:dyDescent="0.35">
      <c r="A273" t="s">
        <v>593</v>
      </c>
      <c r="B273" t="s">
        <v>23</v>
      </c>
      <c r="C273" t="s">
        <v>52</v>
      </c>
      <c r="D273" t="s">
        <v>17</v>
      </c>
      <c r="E273">
        <v>50</v>
      </c>
      <c r="F273" t="s">
        <v>46</v>
      </c>
      <c r="G273" t="s">
        <v>57</v>
      </c>
      <c r="H273" t="s">
        <v>594</v>
      </c>
      <c r="I273">
        <v>19</v>
      </c>
      <c r="J273">
        <v>27</v>
      </c>
      <c r="K273">
        <v>74707</v>
      </c>
      <c r="L273">
        <v>2.1</v>
      </c>
      <c r="M273" t="s">
        <v>21</v>
      </c>
      <c r="N273">
        <v>67</v>
      </c>
      <c r="O273">
        <f t="shared" si="64"/>
        <v>729</v>
      </c>
      <c r="P273">
        <f t="shared" si="65"/>
        <v>363</v>
      </c>
      <c r="Q273">
        <f t="shared" si="66"/>
        <v>366</v>
      </c>
      <c r="R273">
        <f t="shared" si="67"/>
        <v>49.650349650349654</v>
      </c>
      <c r="S273" s="1">
        <f t="shared" si="68"/>
        <v>50.24975024975025</v>
      </c>
      <c r="T273" s="1">
        <f t="shared" si="69"/>
        <v>337</v>
      </c>
      <c r="U273" s="1">
        <f t="shared" si="70"/>
        <v>392</v>
      </c>
      <c r="V273" s="1">
        <f t="shared" si="71"/>
        <v>47.5</v>
      </c>
      <c r="W273" s="1">
        <f t="shared" si="72"/>
        <v>52.5</v>
      </c>
      <c r="X273" s="1">
        <f t="shared" si="73"/>
        <v>15.257887517146777</v>
      </c>
      <c r="Y273" s="1">
        <f t="shared" si="74"/>
        <v>119</v>
      </c>
      <c r="Z273" s="1">
        <f t="shared" si="75"/>
        <v>115</v>
      </c>
      <c r="AA273" s="1">
        <f t="shared" si="76"/>
        <v>3.5966386554621863</v>
      </c>
      <c r="AB273" s="1">
        <f t="shared" si="77"/>
        <v>3.3982608695652168</v>
      </c>
      <c r="AC273" s="1">
        <f t="shared" si="78"/>
        <v>1</v>
      </c>
      <c r="AD273" s="1">
        <f t="shared" si="79"/>
        <v>3.2505918919971184E-2</v>
      </c>
    </row>
    <row r="274" spans="1:30" x14ac:dyDescent="0.35">
      <c r="A274" t="s">
        <v>595</v>
      </c>
      <c r="B274" t="s">
        <v>15</v>
      </c>
      <c r="C274" t="s">
        <v>52</v>
      </c>
      <c r="D274" t="s">
        <v>25</v>
      </c>
      <c r="E274">
        <v>58</v>
      </c>
      <c r="F274" t="s">
        <v>74</v>
      </c>
      <c r="G274" t="s">
        <v>57</v>
      </c>
      <c r="H274" t="s">
        <v>596</v>
      </c>
      <c r="I274">
        <v>2</v>
      </c>
      <c r="J274">
        <v>9</v>
      </c>
      <c r="K274">
        <v>147733</v>
      </c>
      <c r="L274">
        <v>4.7</v>
      </c>
      <c r="M274" t="s">
        <v>43</v>
      </c>
      <c r="N274">
        <v>98</v>
      </c>
      <c r="O274">
        <f t="shared" si="64"/>
        <v>728</v>
      </c>
      <c r="P274">
        <f t="shared" si="65"/>
        <v>362</v>
      </c>
      <c r="Q274">
        <f t="shared" si="66"/>
        <v>366</v>
      </c>
      <c r="R274">
        <f t="shared" si="67"/>
        <v>49.650349650349654</v>
      </c>
      <c r="S274" s="1">
        <f t="shared" si="68"/>
        <v>50.24975024975025</v>
      </c>
      <c r="T274" s="1">
        <f t="shared" si="69"/>
        <v>336</v>
      </c>
      <c r="U274" s="1">
        <f t="shared" si="70"/>
        <v>392</v>
      </c>
      <c r="V274" s="1">
        <f t="shared" si="71"/>
        <v>47.5</v>
      </c>
      <c r="W274" s="1">
        <f t="shared" si="72"/>
        <v>52.5</v>
      </c>
      <c r="X274" s="1">
        <f t="shared" si="73"/>
        <v>15.241758241758241</v>
      </c>
      <c r="Y274" s="1">
        <f t="shared" si="74"/>
        <v>119</v>
      </c>
      <c r="Z274" s="1">
        <f t="shared" si="75"/>
        <v>115</v>
      </c>
      <c r="AA274" s="1">
        <f t="shared" si="76"/>
        <v>3.5966386554621863</v>
      </c>
      <c r="AB274" s="1">
        <f t="shared" si="77"/>
        <v>3.3982608695652168</v>
      </c>
      <c r="AC274" s="1">
        <f t="shared" si="78"/>
        <v>0</v>
      </c>
      <c r="AD274" s="1">
        <f t="shared" si="79"/>
        <v>3.0085395882687702E-2</v>
      </c>
    </row>
    <row r="275" spans="1:30" x14ac:dyDescent="0.35">
      <c r="A275" t="s">
        <v>597</v>
      </c>
      <c r="B275" t="s">
        <v>78</v>
      </c>
      <c r="C275" t="s">
        <v>93</v>
      </c>
      <c r="D275" t="s">
        <v>25</v>
      </c>
      <c r="E275">
        <v>56</v>
      </c>
      <c r="F275" t="s">
        <v>46</v>
      </c>
      <c r="G275" t="s">
        <v>75</v>
      </c>
      <c r="H275" t="s">
        <v>598</v>
      </c>
      <c r="I275">
        <v>15</v>
      </c>
      <c r="J275">
        <v>23</v>
      </c>
      <c r="K275">
        <v>130387</v>
      </c>
      <c r="L275">
        <v>2.5</v>
      </c>
      <c r="M275" t="s">
        <v>43</v>
      </c>
      <c r="N275">
        <v>95</v>
      </c>
      <c r="O275">
        <f t="shared" si="64"/>
        <v>727</v>
      </c>
      <c r="P275">
        <f t="shared" si="65"/>
        <v>362</v>
      </c>
      <c r="Q275">
        <f t="shared" si="66"/>
        <v>365</v>
      </c>
      <c r="R275">
        <f t="shared" si="67"/>
        <v>49.650349650349654</v>
      </c>
      <c r="S275" s="1">
        <f t="shared" si="68"/>
        <v>50.24975024975025</v>
      </c>
      <c r="T275" s="1">
        <f t="shared" si="69"/>
        <v>336</v>
      </c>
      <c r="U275" s="1">
        <f t="shared" si="70"/>
        <v>391</v>
      </c>
      <c r="V275" s="1">
        <f t="shared" si="71"/>
        <v>47.5</v>
      </c>
      <c r="W275" s="1">
        <f t="shared" si="72"/>
        <v>52.5</v>
      </c>
      <c r="X275" s="1">
        <f t="shared" si="73"/>
        <v>15.250343878954608</v>
      </c>
      <c r="Y275" s="1">
        <f t="shared" si="74"/>
        <v>118</v>
      </c>
      <c r="Z275" s="1">
        <f t="shared" si="75"/>
        <v>115</v>
      </c>
      <c r="AA275" s="1">
        <f t="shared" si="76"/>
        <v>3.5872881355932216</v>
      </c>
      <c r="AB275" s="1">
        <f t="shared" si="77"/>
        <v>3.3982608695652168</v>
      </c>
      <c r="AC275" s="1">
        <f t="shared" si="78"/>
        <v>0</v>
      </c>
      <c r="AD275" s="1">
        <f t="shared" si="79"/>
        <v>2.8973150814528267E-2</v>
      </c>
    </row>
    <row r="276" spans="1:30" x14ac:dyDescent="0.35">
      <c r="A276" t="s">
        <v>599</v>
      </c>
      <c r="B276" t="s">
        <v>45</v>
      </c>
      <c r="C276" t="s">
        <v>24</v>
      </c>
      <c r="D276" t="s">
        <v>25</v>
      </c>
      <c r="E276">
        <v>54</v>
      </c>
      <c r="F276" t="s">
        <v>31</v>
      </c>
      <c r="G276" t="s">
        <v>57</v>
      </c>
      <c r="H276" t="s">
        <v>600</v>
      </c>
      <c r="I276">
        <v>11</v>
      </c>
      <c r="J276">
        <v>19</v>
      </c>
      <c r="K276">
        <v>126904</v>
      </c>
      <c r="L276">
        <v>3.5</v>
      </c>
      <c r="M276" t="s">
        <v>43</v>
      </c>
      <c r="N276">
        <v>74</v>
      </c>
      <c r="O276">
        <f t="shared" si="64"/>
        <v>726</v>
      </c>
      <c r="P276">
        <f t="shared" si="65"/>
        <v>362</v>
      </c>
      <c r="Q276">
        <f t="shared" si="66"/>
        <v>364</v>
      </c>
      <c r="R276">
        <f t="shared" si="67"/>
        <v>49.650349650349654</v>
      </c>
      <c r="S276" s="1">
        <f t="shared" si="68"/>
        <v>50.24975024975025</v>
      </c>
      <c r="T276" s="1">
        <f t="shared" si="69"/>
        <v>336</v>
      </c>
      <c r="U276" s="1">
        <f t="shared" si="70"/>
        <v>390</v>
      </c>
      <c r="V276" s="1">
        <f t="shared" si="71"/>
        <v>47.5</v>
      </c>
      <c r="W276" s="1">
        <f t="shared" si="72"/>
        <v>52.5</v>
      </c>
      <c r="X276" s="1">
        <f t="shared" si="73"/>
        <v>15.239669421487603</v>
      </c>
      <c r="Y276" s="1">
        <f t="shared" si="74"/>
        <v>118</v>
      </c>
      <c r="Z276" s="1">
        <f t="shared" si="75"/>
        <v>115</v>
      </c>
      <c r="AA276" s="1">
        <f t="shared" si="76"/>
        <v>3.5872881355932216</v>
      </c>
      <c r="AB276" s="1">
        <f t="shared" si="77"/>
        <v>3.3982608695652168</v>
      </c>
      <c r="AC276" s="1">
        <f t="shared" si="78"/>
        <v>0</v>
      </c>
      <c r="AD276" s="1">
        <f t="shared" si="79"/>
        <v>3.044306835987905E-2</v>
      </c>
    </row>
    <row r="277" spans="1:30" x14ac:dyDescent="0.35">
      <c r="A277" t="s">
        <v>601</v>
      </c>
      <c r="B277" t="s">
        <v>29</v>
      </c>
      <c r="C277" t="s">
        <v>56</v>
      </c>
      <c r="D277" t="s">
        <v>25</v>
      </c>
      <c r="E277">
        <v>37</v>
      </c>
      <c r="F277" t="s">
        <v>31</v>
      </c>
      <c r="G277" t="s">
        <v>19</v>
      </c>
      <c r="H277" t="s">
        <v>602</v>
      </c>
      <c r="I277">
        <v>12</v>
      </c>
      <c r="J277">
        <v>19</v>
      </c>
      <c r="K277">
        <v>214600</v>
      </c>
      <c r="L277">
        <v>3.7</v>
      </c>
      <c r="M277" t="s">
        <v>21</v>
      </c>
      <c r="N277">
        <v>48</v>
      </c>
      <c r="O277">
        <f t="shared" si="64"/>
        <v>725</v>
      </c>
      <c r="P277">
        <f t="shared" si="65"/>
        <v>362</v>
      </c>
      <c r="Q277">
        <f t="shared" si="66"/>
        <v>363</v>
      </c>
      <c r="R277">
        <f t="shared" si="67"/>
        <v>49.650349650349654</v>
      </c>
      <c r="S277" s="1">
        <f t="shared" si="68"/>
        <v>50.24975024975025</v>
      </c>
      <c r="T277" s="1">
        <f t="shared" si="69"/>
        <v>336</v>
      </c>
      <c r="U277" s="1">
        <f t="shared" si="70"/>
        <v>389</v>
      </c>
      <c r="V277" s="1">
        <f t="shared" si="71"/>
        <v>47.5</v>
      </c>
      <c r="W277" s="1">
        <f t="shared" si="72"/>
        <v>52.5</v>
      </c>
      <c r="X277" s="1">
        <f t="shared" si="73"/>
        <v>15.23448275862069</v>
      </c>
      <c r="Y277" s="1">
        <f t="shared" si="74"/>
        <v>118</v>
      </c>
      <c r="Z277" s="1">
        <f t="shared" si="75"/>
        <v>114</v>
      </c>
      <c r="AA277" s="1">
        <f t="shared" si="76"/>
        <v>3.5872881355932216</v>
      </c>
      <c r="AB277" s="1">
        <f t="shared" si="77"/>
        <v>3.3973684210526307</v>
      </c>
      <c r="AC277" s="1">
        <f t="shared" si="78"/>
        <v>1</v>
      </c>
      <c r="AD277" s="1">
        <f t="shared" si="79"/>
        <v>3.1161671618716188E-2</v>
      </c>
    </row>
    <row r="278" spans="1:30" x14ac:dyDescent="0.35">
      <c r="A278" t="s">
        <v>603</v>
      </c>
      <c r="B278" t="s">
        <v>45</v>
      </c>
      <c r="C278" t="s">
        <v>30</v>
      </c>
      <c r="D278" t="s">
        <v>17</v>
      </c>
      <c r="E278">
        <v>26</v>
      </c>
      <c r="F278" t="s">
        <v>18</v>
      </c>
      <c r="G278" t="s">
        <v>19</v>
      </c>
      <c r="H278" t="s">
        <v>604</v>
      </c>
      <c r="I278">
        <v>17</v>
      </c>
      <c r="J278">
        <v>26</v>
      </c>
      <c r="K278">
        <v>151705</v>
      </c>
      <c r="L278">
        <v>2.4</v>
      </c>
      <c r="M278" t="s">
        <v>21</v>
      </c>
      <c r="N278">
        <v>59</v>
      </c>
      <c r="O278">
        <f t="shared" si="64"/>
        <v>724</v>
      </c>
      <c r="P278">
        <f t="shared" si="65"/>
        <v>362</v>
      </c>
      <c r="Q278">
        <f t="shared" si="66"/>
        <v>362</v>
      </c>
      <c r="R278">
        <f t="shared" si="67"/>
        <v>49.650349650349654</v>
      </c>
      <c r="S278" s="1">
        <f t="shared" si="68"/>
        <v>50.24975024975025</v>
      </c>
      <c r="T278" s="1">
        <f t="shared" si="69"/>
        <v>335</v>
      </c>
      <c r="U278" s="1">
        <f t="shared" si="70"/>
        <v>389</v>
      </c>
      <c r="V278" s="1">
        <f t="shared" si="71"/>
        <v>47.5</v>
      </c>
      <c r="W278" s="1">
        <f t="shared" si="72"/>
        <v>52.5</v>
      </c>
      <c r="X278" s="1">
        <f t="shared" si="73"/>
        <v>15.229281767955801</v>
      </c>
      <c r="Y278" s="1">
        <f t="shared" si="74"/>
        <v>118</v>
      </c>
      <c r="Z278" s="1">
        <f t="shared" si="75"/>
        <v>113</v>
      </c>
      <c r="AA278" s="1">
        <f t="shared" si="76"/>
        <v>3.5872881355932216</v>
      </c>
      <c r="AB278" s="1">
        <f t="shared" si="77"/>
        <v>3.3946902654867248</v>
      </c>
      <c r="AC278" s="1">
        <f t="shared" si="78"/>
        <v>1</v>
      </c>
      <c r="AD278" s="1">
        <f t="shared" si="79"/>
        <v>3.038607473405551E-2</v>
      </c>
    </row>
    <row r="279" spans="1:30" x14ac:dyDescent="0.35">
      <c r="A279" t="s">
        <v>605</v>
      </c>
      <c r="B279" t="s">
        <v>96</v>
      </c>
      <c r="C279" t="s">
        <v>30</v>
      </c>
      <c r="D279" t="s">
        <v>17</v>
      </c>
      <c r="E279">
        <v>29</v>
      </c>
      <c r="F279" t="s">
        <v>70</v>
      </c>
      <c r="G279" t="s">
        <v>57</v>
      </c>
      <c r="H279" t="s">
        <v>606</v>
      </c>
      <c r="I279">
        <v>14</v>
      </c>
      <c r="J279">
        <v>21</v>
      </c>
      <c r="K279">
        <v>478549</v>
      </c>
      <c r="L279">
        <v>4.5</v>
      </c>
      <c r="M279" t="s">
        <v>43</v>
      </c>
      <c r="N279">
        <v>86</v>
      </c>
      <c r="O279">
        <f t="shared" si="64"/>
        <v>723</v>
      </c>
      <c r="P279">
        <f t="shared" si="65"/>
        <v>361</v>
      </c>
      <c r="Q279">
        <f t="shared" si="66"/>
        <v>362</v>
      </c>
      <c r="R279">
        <f t="shared" si="67"/>
        <v>49.650349650349654</v>
      </c>
      <c r="S279" s="1">
        <f t="shared" si="68"/>
        <v>50.24975024975025</v>
      </c>
      <c r="T279" s="1">
        <f t="shared" si="69"/>
        <v>334</v>
      </c>
      <c r="U279" s="1">
        <f t="shared" si="70"/>
        <v>389</v>
      </c>
      <c r="V279" s="1">
        <f t="shared" si="71"/>
        <v>47.5</v>
      </c>
      <c r="W279" s="1">
        <f t="shared" si="72"/>
        <v>52.5</v>
      </c>
      <c r="X279" s="1">
        <f t="shared" si="73"/>
        <v>15.214384508990317</v>
      </c>
      <c r="Y279" s="1">
        <f t="shared" si="74"/>
        <v>118</v>
      </c>
      <c r="Z279" s="1">
        <f t="shared" si="75"/>
        <v>113</v>
      </c>
      <c r="AA279" s="1">
        <f t="shared" si="76"/>
        <v>3.5872881355932216</v>
      </c>
      <c r="AB279" s="1">
        <f t="shared" si="77"/>
        <v>3.3946902654867248</v>
      </c>
      <c r="AC279" s="1">
        <f t="shared" si="78"/>
        <v>0</v>
      </c>
      <c r="AD279" s="1">
        <f t="shared" si="79"/>
        <v>2.8144331573777989E-2</v>
      </c>
    </row>
    <row r="280" spans="1:30" x14ac:dyDescent="0.35">
      <c r="A280" t="s">
        <v>607</v>
      </c>
      <c r="B280" t="s">
        <v>45</v>
      </c>
      <c r="C280" t="s">
        <v>49</v>
      </c>
      <c r="D280" t="s">
        <v>17</v>
      </c>
      <c r="E280">
        <v>33</v>
      </c>
      <c r="F280" t="s">
        <v>74</v>
      </c>
      <c r="G280" t="s">
        <v>19</v>
      </c>
      <c r="H280" t="s">
        <v>608</v>
      </c>
      <c r="I280">
        <v>17</v>
      </c>
      <c r="J280">
        <v>24</v>
      </c>
      <c r="K280">
        <v>101315</v>
      </c>
      <c r="L280">
        <v>2.1</v>
      </c>
      <c r="M280" t="s">
        <v>43</v>
      </c>
      <c r="N280">
        <v>96</v>
      </c>
      <c r="O280">
        <f t="shared" si="64"/>
        <v>722</v>
      </c>
      <c r="P280">
        <f t="shared" si="65"/>
        <v>360</v>
      </c>
      <c r="Q280">
        <f t="shared" si="66"/>
        <v>362</v>
      </c>
      <c r="R280">
        <f t="shared" si="67"/>
        <v>49.650349650349654</v>
      </c>
      <c r="S280" s="1">
        <f t="shared" si="68"/>
        <v>50.24975024975025</v>
      </c>
      <c r="T280" s="1">
        <f t="shared" si="69"/>
        <v>334</v>
      </c>
      <c r="U280" s="1">
        <f t="shared" si="70"/>
        <v>388</v>
      </c>
      <c r="V280" s="1">
        <f t="shared" si="71"/>
        <v>47.5</v>
      </c>
      <c r="W280" s="1">
        <f t="shared" si="72"/>
        <v>52.5</v>
      </c>
      <c r="X280" s="1">
        <f t="shared" si="73"/>
        <v>15.206371191135734</v>
      </c>
      <c r="Y280" s="1">
        <f t="shared" si="74"/>
        <v>118</v>
      </c>
      <c r="Z280" s="1">
        <f t="shared" si="75"/>
        <v>113</v>
      </c>
      <c r="AA280" s="1">
        <f t="shared" si="76"/>
        <v>3.5872881355932216</v>
      </c>
      <c r="AB280" s="1">
        <f t="shared" si="77"/>
        <v>3.3946902654867248</v>
      </c>
      <c r="AC280" s="1">
        <f t="shared" si="78"/>
        <v>0</v>
      </c>
      <c r="AD280" s="1">
        <f t="shared" si="79"/>
        <v>2.9245851773946563E-2</v>
      </c>
    </row>
    <row r="281" spans="1:30" x14ac:dyDescent="0.35">
      <c r="A281" t="s">
        <v>609</v>
      </c>
      <c r="B281" t="s">
        <v>35</v>
      </c>
      <c r="C281" t="s">
        <v>36</v>
      </c>
      <c r="D281" t="s">
        <v>17</v>
      </c>
      <c r="E281">
        <v>33</v>
      </c>
      <c r="F281" t="s">
        <v>37</v>
      </c>
      <c r="G281" t="s">
        <v>61</v>
      </c>
      <c r="H281" t="s">
        <v>610</v>
      </c>
      <c r="I281">
        <v>3</v>
      </c>
      <c r="J281">
        <v>5</v>
      </c>
      <c r="K281">
        <v>354825</v>
      </c>
      <c r="L281">
        <v>2.9</v>
      </c>
      <c r="M281" t="s">
        <v>43</v>
      </c>
      <c r="N281">
        <v>79</v>
      </c>
      <c r="O281">
        <f t="shared" si="64"/>
        <v>721</v>
      </c>
      <c r="P281">
        <f t="shared" si="65"/>
        <v>359</v>
      </c>
      <c r="Q281">
        <f t="shared" si="66"/>
        <v>362</v>
      </c>
      <c r="R281">
        <f t="shared" si="67"/>
        <v>49.650349650349654</v>
      </c>
      <c r="S281" s="1">
        <f t="shared" si="68"/>
        <v>50.24975024975025</v>
      </c>
      <c r="T281" s="1">
        <f t="shared" si="69"/>
        <v>334</v>
      </c>
      <c r="U281" s="1">
        <f t="shared" si="70"/>
        <v>387</v>
      </c>
      <c r="V281" s="1">
        <f t="shared" si="71"/>
        <v>47.5</v>
      </c>
      <c r="W281" s="1">
        <f t="shared" si="72"/>
        <v>52.5</v>
      </c>
      <c r="X281" s="1">
        <f t="shared" si="73"/>
        <v>15.194174757281553</v>
      </c>
      <c r="Y281" s="1">
        <f t="shared" si="74"/>
        <v>117</v>
      </c>
      <c r="Z281" s="1">
        <f t="shared" si="75"/>
        <v>113</v>
      </c>
      <c r="AA281" s="1">
        <f t="shared" si="76"/>
        <v>3.6000000000000014</v>
      </c>
      <c r="AB281" s="1">
        <f t="shared" si="77"/>
        <v>3.3946902654867248</v>
      </c>
      <c r="AC281" s="1">
        <f t="shared" si="78"/>
        <v>0</v>
      </c>
      <c r="AD281" s="1">
        <f t="shared" si="79"/>
        <v>3.0929143717702272E-2</v>
      </c>
    </row>
    <row r="282" spans="1:30" x14ac:dyDescent="0.35">
      <c r="A282" t="s">
        <v>611</v>
      </c>
      <c r="B282" t="s">
        <v>111</v>
      </c>
      <c r="C282" t="s">
        <v>16</v>
      </c>
      <c r="D282" t="s">
        <v>17</v>
      </c>
      <c r="E282">
        <v>42</v>
      </c>
      <c r="F282" t="s">
        <v>74</v>
      </c>
      <c r="G282" t="s">
        <v>26</v>
      </c>
      <c r="H282" t="s">
        <v>612</v>
      </c>
      <c r="I282">
        <v>0</v>
      </c>
      <c r="J282">
        <v>6</v>
      </c>
      <c r="K282">
        <v>221410</v>
      </c>
      <c r="L282">
        <v>4.5</v>
      </c>
      <c r="M282" t="s">
        <v>43</v>
      </c>
      <c r="N282">
        <v>84</v>
      </c>
      <c r="O282">
        <f t="shared" si="64"/>
        <v>720</v>
      </c>
      <c r="P282">
        <f t="shared" si="65"/>
        <v>358</v>
      </c>
      <c r="Q282">
        <f t="shared" si="66"/>
        <v>362</v>
      </c>
      <c r="R282">
        <f t="shared" si="67"/>
        <v>49.650349650349654</v>
      </c>
      <c r="S282" s="1">
        <f t="shared" si="68"/>
        <v>50.24975024975025</v>
      </c>
      <c r="T282" s="1">
        <f t="shared" si="69"/>
        <v>334</v>
      </c>
      <c r="U282" s="1">
        <f t="shared" si="70"/>
        <v>386</v>
      </c>
      <c r="V282" s="1">
        <f t="shared" si="71"/>
        <v>47.5</v>
      </c>
      <c r="W282" s="1">
        <f t="shared" si="72"/>
        <v>52.5</v>
      </c>
      <c r="X282" s="1">
        <f t="shared" si="73"/>
        <v>15.208333333333334</v>
      </c>
      <c r="Y282" s="1">
        <f t="shared" si="74"/>
        <v>117</v>
      </c>
      <c r="Z282" s="1">
        <f t="shared" si="75"/>
        <v>113</v>
      </c>
      <c r="AA282" s="1">
        <f t="shared" si="76"/>
        <v>3.6000000000000014</v>
      </c>
      <c r="AB282" s="1">
        <f t="shared" si="77"/>
        <v>3.3946902654867248</v>
      </c>
      <c r="AC282" s="1">
        <f t="shared" si="78"/>
        <v>0</v>
      </c>
      <c r="AD282" s="1">
        <f t="shared" si="79"/>
        <v>2.9094284985264986E-2</v>
      </c>
    </row>
    <row r="283" spans="1:30" x14ac:dyDescent="0.35">
      <c r="A283" t="s">
        <v>613</v>
      </c>
      <c r="B283" t="s">
        <v>15</v>
      </c>
      <c r="C283" t="s">
        <v>64</v>
      </c>
      <c r="D283" t="s">
        <v>17</v>
      </c>
      <c r="E283">
        <v>30</v>
      </c>
      <c r="F283" t="s">
        <v>31</v>
      </c>
      <c r="G283" t="s">
        <v>26</v>
      </c>
      <c r="H283" t="s">
        <v>614</v>
      </c>
      <c r="I283">
        <v>7</v>
      </c>
      <c r="J283">
        <v>15</v>
      </c>
      <c r="K283">
        <v>174428</v>
      </c>
      <c r="L283">
        <v>2</v>
      </c>
      <c r="M283" t="s">
        <v>21</v>
      </c>
      <c r="N283">
        <v>39</v>
      </c>
      <c r="O283">
        <f t="shared" si="64"/>
        <v>719</v>
      </c>
      <c r="P283">
        <f t="shared" si="65"/>
        <v>357</v>
      </c>
      <c r="Q283">
        <f t="shared" si="66"/>
        <v>362</v>
      </c>
      <c r="R283">
        <f t="shared" si="67"/>
        <v>49.650349650349654</v>
      </c>
      <c r="S283" s="1">
        <f t="shared" si="68"/>
        <v>50.24975024975025</v>
      </c>
      <c r="T283" s="1">
        <f t="shared" si="69"/>
        <v>334</v>
      </c>
      <c r="U283" s="1">
        <f t="shared" si="70"/>
        <v>385</v>
      </c>
      <c r="V283" s="1">
        <f t="shared" si="71"/>
        <v>47.5</v>
      </c>
      <c r="W283" s="1">
        <f t="shared" si="72"/>
        <v>52.5</v>
      </c>
      <c r="X283" s="1">
        <f t="shared" si="73"/>
        <v>15.221140472878998</v>
      </c>
      <c r="Y283" s="1">
        <f t="shared" si="74"/>
        <v>116</v>
      </c>
      <c r="Z283" s="1">
        <f t="shared" si="75"/>
        <v>113</v>
      </c>
      <c r="AA283" s="1">
        <f t="shared" si="76"/>
        <v>3.5922413793103458</v>
      </c>
      <c r="AB283" s="1">
        <f t="shared" si="77"/>
        <v>3.3946902654867248</v>
      </c>
      <c r="AC283" s="1">
        <f t="shared" si="78"/>
        <v>1</v>
      </c>
      <c r="AD283" s="1">
        <f t="shared" si="79"/>
        <v>2.7425875066996928E-2</v>
      </c>
    </row>
    <row r="284" spans="1:30" x14ac:dyDescent="0.35">
      <c r="A284" t="s">
        <v>615</v>
      </c>
      <c r="B284" t="s">
        <v>40</v>
      </c>
      <c r="C284" t="s">
        <v>82</v>
      </c>
      <c r="D284" t="s">
        <v>17</v>
      </c>
      <c r="E284">
        <v>34</v>
      </c>
      <c r="F284" t="s">
        <v>70</v>
      </c>
      <c r="G284" t="s">
        <v>57</v>
      </c>
      <c r="H284" t="s">
        <v>616</v>
      </c>
      <c r="I284">
        <v>18</v>
      </c>
      <c r="J284">
        <v>28</v>
      </c>
      <c r="K284">
        <v>368537</v>
      </c>
      <c r="L284">
        <v>2.5</v>
      </c>
      <c r="M284" t="s">
        <v>43</v>
      </c>
      <c r="N284">
        <v>74</v>
      </c>
      <c r="O284">
        <f t="shared" si="64"/>
        <v>718</v>
      </c>
      <c r="P284">
        <f t="shared" si="65"/>
        <v>356</v>
      </c>
      <c r="Q284">
        <f t="shared" si="66"/>
        <v>362</v>
      </c>
      <c r="R284">
        <f t="shared" si="67"/>
        <v>49.650349650349654</v>
      </c>
      <c r="S284" s="1">
        <f t="shared" si="68"/>
        <v>50.24975024975025</v>
      </c>
      <c r="T284" s="1">
        <f t="shared" si="69"/>
        <v>333</v>
      </c>
      <c r="U284" s="1">
        <f t="shared" si="70"/>
        <v>385</v>
      </c>
      <c r="V284" s="1">
        <f t="shared" si="71"/>
        <v>47.5</v>
      </c>
      <c r="W284" s="1">
        <f t="shared" si="72"/>
        <v>52.5</v>
      </c>
      <c r="X284" s="1">
        <f t="shared" si="73"/>
        <v>15.221448467966574</v>
      </c>
      <c r="Y284" s="1">
        <f t="shared" si="74"/>
        <v>116</v>
      </c>
      <c r="Z284" s="1">
        <f t="shared" si="75"/>
        <v>112</v>
      </c>
      <c r="AA284" s="1">
        <f t="shared" si="76"/>
        <v>3.5922413793103458</v>
      </c>
      <c r="AB284" s="1">
        <f t="shared" si="77"/>
        <v>3.4071428571428561</v>
      </c>
      <c r="AC284" s="1">
        <f t="shared" si="78"/>
        <v>0</v>
      </c>
      <c r="AD284" s="1">
        <f t="shared" si="79"/>
        <v>2.7495702062127651E-2</v>
      </c>
    </row>
    <row r="285" spans="1:30" x14ac:dyDescent="0.35">
      <c r="A285" t="s">
        <v>617</v>
      </c>
      <c r="B285" t="s">
        <v>55</v>
      </c>
      <c r="C285" t="s">
        <v>16</v>
      </c>
      <c r="D285" t="s">
        <v>17</v>
      </c>
      <c r="E285">
        <v>59</v>
      </c>
      <c r="F285" t="s">
        <v>74</v>
      </c>
      <c r="G285" t="s">
        <v>32</v>
      </c>
      <c r="H285" t="s">
        <v>618</v>
      </c>
      <c r="I285">
        <v>0</v>
      </c>
      <c r="J285">
        <v>5</v>
      </c>
      <c r="K285">
        <v>186228</v>
      </c>
      <c r="L285">
        <v>4.5</v>
      </c>
      <c r="M285" t="s">
        <v>21</v>
      </c>
      <c r="N285">
        <v>36</v>
      </c>
      <c r="O285">
        <f t="shared" si="64"/>
        <v>717</v>
      </c>
      <c r="P285">
        <f t="shared" si="65"/>
        <v>355</v>
      </c>
      <c r="Q285">
        <f t="shared" si="66"/>
        <v>362</v>
      </c>
      <c r="R285">
        <f t="shared" si="67"/>
        <v>49.650349650349654</v>
      </c>
      <c r="S285" s="1">
        <f t="shared" si="68"/>
        <v>50.24975024975025</v>
      </c>
      <c r="T285" s="1">
        <f t="shared" si="69"/>
        <v>333</v>
      </c>
      <c r="U285" s="1">
        <f t="shared" si="70"/>
        <v>384</v>
      </c>
      <c r="V285" s="1">
        <f t="shared" si="71"/>
        <v>47.5</v>
      </c>
      <c r="W285" s="1">
        <f t="shared" si="72"/>
        <v>52.5</v>
      </c>
      <c r="X285" s="1">
        <f t="shared" si="73"/>
        <v>15.203626220362622</v>
      </c>
      <c r="Y285" s="1">
        <f t="shared" si="74"/>
        <v>116</v>
      </c>
      <c r="Z285" s="1">
        <f t="shared" si="75"/>
        <v>112</v>
      </c>
      <c r="AA285" s="1">
        <f t="shared" si="76"/>
        <v>3.5922413793103458</v>
      </c>
      <c r="AB285" s="1">
        <f t="shared" si="77"/>
        <v>3.4071428571428561</v>
      </c>
      <c r="AC285" s="1">
        <f t="shared" si="78"/>
        <v>1</v>
      </c>
      <c r="AD285" s="1">
        <f t="shared" si="79"/>
        <v>2.9975510591108027E-2</v>
      </c>
    </row>
    <row r="286" spans="1:30" x14ac:dyDescent="0.35">
      <c r="A286" t="s">
        <v>619</v>
      </c>
      <c r="B286" t="s">
        <v>60</v>
      </c>
      <c r="C286" t="s">
        <v>30</v>
      </c>
      <c r="D286" t="s">
        <v>17</v>
      </c>
      <c r="E286">
        <v>27</v>
      </c>
      <c r="F286" t="s">
        <v>31</v>
      </c>
      <c r="G286" t="s">
        <v>85</v>
      </c>
      <c r="H286" t="s">
        <v>620</v>
      </c>
      <c r="I286">
        <v>5</v>
      </c>
      <c r="J286">
        <v>14</v>
      </c>
      <c r="K286">
        <v>334687</v>
      </c>
      <c r="L286">
        <v>3.2</v>
      </c>
      <c r="M286" t="s">
        <v>43</v>
      </c>
      <c r="N286">
        <v>99</v>
      </c>
      <c r="O286">
        <f t="shared" si="64"/>
        <v>716</v>
      </c>
      <c r="P286">
        <f t="shared" si="65"/>
        <v>354</v>
      </c>
      <c r="Q286">
        <f t="shared" si="66"/>
        <v>362</v>
      </c>
      <c r="R286">
        <f t="shared" si="67"/>
        <v>49.650349650349654</v>
      </c>
      <c r="S286" s="1">
        <f t="shared" si="68"/>
        <v>50.24975024975025</v>
      </c>
      <c r="T286" s="1">
        <f t="shared" si="69"/>
        <v>332</v>
      </c>
      <c r="U286" s="1">
        <f t="shared" si="70"/>
        <v>384</v>
      </c>
      <c r="V286" s="1">
        <f t="shared" si="71"/>
        <v>47.5</v>
      </c>
      <c r="W286" s="1">
        <f t="shared" si="72"/>
        <v>52.5</v>
      </c>
      <c r="X286" s="1">
        <f t="shared" si="73"/>
        <v>15.217877094972067</v>
      </c>
      <c r="Y286" s="1">
        <f t="shared" si="74"/>
        <v>115</v>
      </c>
      <c r="Z286" s="1">
        <f t="shared" si="75"/>
        <v>112</v>
      </c>
      <c r="AA286" s="1">
        <f t="shared" si="76"/>
        <v>3.5843478260869568</v>
      </c>
      <c r="AB286" s="1">
        <f t="shared" si="77"/>
        <v>3.4071428571428561</v>
      </c>
      <c r="AC286" s="1">
        <f t="shared" si="78"/>
        <v>0</v>
      </c>
      <c r="AD286" s="1">
        <f t="shared" si="79"/>
        <v>3.2261410752101802E-2</v>
      </c>
    </row>
    <row r="287" spans="1:30" x14ac:dyDescent="0.35">
      <c r="A287" t="s">
        <v>621</v>
      </c>
      <c r="B287" t="s">
        <v>29</v>
      </c>
      <c r="C287" t="s">
        <v>30</v>
      </c>
      <c r="D287" t="s">
        <v>17</v>
      </c>
      <c r="E287">
        <v>39</v>
      </c>
      <c r="F287" t="s">
        <v>37</v>
      </c>
      <c r="G287" t="s">
        <v>19</v>
      </c>
      <c r="H287" t="s">
        <v>622</v>
      </c>
      <c r="I287">
        <v>16</v>
      </c>
      <c r="J287">
        <v>19</v>
      </c>
      <c r="K287">
        <v>387850</v>
      </c>
      <c r="L287">
        <v>4.2</v>
      </c>
      <c r="M287" t="s">
        <v>21</v>
      </c>
      <c r="N287">
        <v>37</v>
      </c>
      <c r="O287">
        <f t="shared" si="64"/>
        <v>715</v>
      </c>
      <c r="P287">
        <f t="shared" si="65"/>
        <v>353</v>
      </c>
      <c r="Q287">
        <f t="shared" si="66"/>
        <v>362</v>
      </c>
      <c r="R287">
        <f t="shared" si="67"/>
        <v>49.650349650349654</v>
      </c>
      <c r="S287" s="1">
        <f t="shared" si="68"/>
        <v>50.24975024975025</v>
      </c>
      <c r="T287" s="1">
        <f t="shared" si="69"/>
        <v>332</v>
      </c>
      <c r="U287" s="1">
        <f t="shared" si="70"/>
        <v>383</v>
      </c>
      <c r="V287" s="1">
        <f t="shared" si="71"/>
        <v>47.5</v>
      </c>
      <c r="W287" s="1">
        <f t="shared" si="72"/>
        <v>52.5</v>
      </c>
      <c r="X287" s="1">
        <f t="shared" si="73"/>
        <v>15.219580419580419</v>
      </c>
      <c r="Y287" s="1">
        <f t="shared" si="74"/>
        <v>115</v>
      </c>
      <c r="Z287" s="1">
        <f t="shared" si="75"/>
        <v>111</v>
      </c>
      <c r="AA287" s="1">
        <f t="shared" si="76"/>
        <v>3.5843478260869568</v>
      </c>
      <c r="AB287" s="1">
        <f t="shared" si="77"/>
        <v>3.4090090090090084</v>
      </c>
      <c r="AC287" s="1">
        <f t="shared" si="78"/>
        <v>1</v>
      </c>
      <c r="AD287" s="1">
        <f t="shared" si="79"/>
        <v>3.2052481430123188E-2</v>
      </c>
    </row>
    <row r="288" spans="1:30" x14ac:dyDescent="0.35">
      <c r="A288" t="s">
        <v>623</v>
      </c>
      <c r="B288" t="s">
        <v>55</v>
      </c>
      <c r="C288" t="s">
        <v>52</v>
      </c>
      <c r="D288" t="s">
        <v>17</v>
      </c>
      <c r="E288">
        <v>38</v>
      </c>
      <c r="F288" t="s">
        <v>18</v>
      </c>
      <c r="G288" t="s">
        <v>75</v>
      </c>
      <c r="H288" t="s">
        <v>624</v>
      </c>
      <c r="I288">
        <v>19</v>
      </c>
      <c r="J288">
        <v>22</v>
      </c>
      <c r="K288">
        <v>79721</v>
      </c>
      <c r="L288">
        <v>4.3</v>
      </c>
      <c r="M288" t="s">
        <v>43</v>
      </c>
      <c r="N288">
        <v>83</v>
      </c>
      <c r="O288">
        <f t="shared" si="64"/>
        <v>714</v>
      </c>
      <c r="P288">
        <f t="shared" si="65"/>
        <v>352</v>
      </c>
      <c r="Q288">
        <f t="shared" si="66"/>
        <v>362</v>
      </c>
      <c r="R288">
        <f t="shared" si="67"/>
        <v>49.650349650349654</v>
      </c>
      <c r="S288" s="1">
        <f t="shared" si="68"/>
        <v>50.24975024975025</v>
      </c>
      <c r="T288" s="1">
        <f t="shared" si="69"/>
        <v>331</v>
      </c>
      <c r="U288" s="1">
        <f t="shared" si="70"/>
        <v>383</v>
      </c>
      <c r="V288" s="1">
        <f t="shared" si="71"/>
        <v>47.5</v>
      </c>
      <c r="W288" s="1">
        <f t="shared" si="72"/>
        <v>52.5</v>
      </c>
      <c r="X288" s="1">
        <f t="shared" si="73"/>
        <v>15.214285714285714</v>
      </c>
      <c r="Y288" s="1">
        <f t="shared" si="74"/>
        <v>115</v>
      </c>
      <c r="Z288" s="1">
        <f t="shared" si="75"/>
        <v>111</v>
      </c>
      <c r="AA288" s="1">
        <f t="shared" si="76"/>
        <v>3.5843478260869568</v>
      </c>
      <c r="AB288" s="1">
        <f t="shared" si="77"/>
        <v>3.4090090090090084</v>
      </c>
      <c r="AC288" s="1">
        <f t="shared" si="78"/>
        <v>0</v>
      </c>
      <c r="AD288" s="1">
        <f t="shared" si="79"/>
        <v>3.1262544438847004E-2</v>
      </c>
    </row>
    <row r="289" spans="1:30" x14ac:dyDescent="0.35">
      <c r="A289" t="s">
        <v>625</v>
      </c>
      <c r="B289" t="s">
        <v>60</v>
      </c>
      <c r="C289" t="s">
        <v>24</v>
      </c>
      <c r="D289" t="s">
        <v>17</v>
      </c>
      <c r="E289">
        <v>35</v>
      </c>
      <c r="F289" t="s">
        <v>37</v>
      </c>
      <c r="G289" t="s">
        <v>57</v>
      </c>
      <c r="H289" t="s">
        <v>626</v>
      </c>
      <c r="I289">
        <v>14</v>
      </c>
      <c r="J289">
        <v>19</v>
      </c>
      <c r="K289">
        <v>390415</v>
      </c>
      <c r="L289">
        <v>2.8</v>
      </c>
      <c r="M289" t="s">
        <v>43</v>
      </c>
      <c r="N289">
        <v>92</v>
      </c>
      <c r="O289">
        <f t="shared" si="64"/>
        <v>713</v>
      </c>
      <c r="P289">
        <f t="shared" si="65"/>
        <v>351</v>
      </c>
      <c r="Q289">
        <f t="shared" si="66"/>
        <v>362</v>
      </c>
      <c r="R289">
        <f t="shared" si="67"/>
        <v>49.650349650349654</v>
      </c>
      <c r="S289" s="1">
        <f t="shared" si="68"/>
        <v>50.24975024975025</v>
      </c>
      <c r="T289" s="1">
        <f t="shared" si="69"/>
        <v>331</v>
      </c>
      <c r="U289" s="1">
        <f t="shared" si="70"/>
        <v>382</v>
      </c>
      <c r="V289" s="1">
        <f t="shared" si="71"/>
        <v>47.5</v>
      </c>
      <c r="W289" s="1">
        <f t="shared" si="72"/>
        <v>52.5</v>
      </c>
      <c r="X289" s="1">
        <f t="shared" si="73"/>
        <v>15.20476858345021</v>
      </c>
      <c r="Y289" s="1">
        <f t="shared" si="74"/>
        <v>115</v>
      </c>
      <c r="Z289" s="1">
        <f t="shared" si="75"/>
        <v>111</v>
      </c>
      <c r="AA289" s="1">
        <f t="shared" si="76"/>
        <v>3.5843478260869568</v>
      </c>
      <c r="AB289" s="1">
        <f t="shared" si="77"/>
        <v>3.4090090090090084</v>
      </c>
      <c r="AC289" s="1">
        <f t="shared" si="78"/>
        <v>0</v>
      </c>
      <c r="AD289" s="1">
        <f t="shared" si="79"/>
        <v>3.2582042133110972E-2</v>
      </c>
    </row>
    <row r="290" spans="1:30" x14ac:dyDescent="0.35">
      <c r="A290" t="s">
        <v>627</v>
      </c>
      <c r="B290" t="s">
        <v>15</v>
      </c>
      <c r="C290" t="s">
        <v>24</v>
      </c>
      <c r="D290" t="s">
        <v>25</v>
      </c>
      <c r="E290">
        <v>24</v>
      </c>
      <c r="F290" t="s">
        <v>46</v>
      </c>
      <c r="G290" t="s">
        <v>32</v>
      </c>
      <c r="H290" t="s">
        <v>628</v>
      </c>
      <c r="I290">
        <v>16</v>
      </c>
      <c r="J290">
        <v>21</v>
      </c>
      <c r="K290">
        <v>482545</v>
      </c>
      <c r="L290">
        <v>4.8</v>
      </c>
      <c r="M290" t="s">
        <v>21</v>
      </c>
      <c r="N290">
        <v>57</v>
      </c>
      <c r="O290">
        <f t="shared" si="64"/>
        <v>712</v>
      </c>
      <c r="P290">
        <f t="shared" si="65"/>
        <v>350</v>
      </c>
      <c r="Q290">
        <f t="shared" si="66"/>
        <v>362</v>
      </c>
      <c r="R290">
        <f t="shared" si="67"/>
        <v>49.650349650349654</v>
      </c>
      <c r="S290" s="1">
        <f t="shared" si="68"/>
        <v>50.24975024975025</v>
      </c>
      <c r="T290" s="1">
        <f t="shared" si="69"/>
        <v>331</v>
      </c>
      <c r="U290" s="1">
        <f t="shared" si="70"/>
        <v>381</v>
      </c>
      <c r="V290" s="1">
        <f t="shared" si="71"/>
        <v>47.5</v>
      </c>
      <c r="W290" s="1">
        <f t="shared" si="72"/>
        <v>52.5</v>
      </c>
      <c r="X290" s="1">
        <f t="shared" si="73"/>
        <v>15.19943820224719</v>
      </c>
      <c r="Y290" s="1">
        <f t="shared" si="74"/>
        <v>115</v>
      </c>
      <c r="Z290" s="1">
        <f t="shared" si="75"/>
        <v>111</v>
      </c>
      <c r="AA290" s="1">
        <f t="shared" si="76"/>
        <v>3.5843478260869568</v>
      </c>
      <c r="AB290" s="1">
        <f t="shared" si="77"/>
        <v>3.4090090090090084</v>
      </c>
      <c r="AC290" s="1">
        <f t="shared" si="78"/>
        <v>1</v>
      </c>
      <c r="AD290" s="1">
        <f t="shared" si="79"/>
        <v>3.332594842261833E-2</v>
      </c>
    </row>
    <row r="291" spans="1:30" x14ac:dyDescent="0.35">
      <c r="A291" t="s">
        <v>629</v>
      </c>
      <c r="B291" t="s">
        <v>40</v>
      </c>
      <c r="C291" t="s">
        <v>64</v>
      </c>
      <c r="D291" t="s">
        <v>17</v>
      </c>
      <c r="E291">
        <v>40</v>
      </c>
      <c r="F291" t="s">
        <v>18</v>
      </c>
      <c r="G291" t="s">
        <v>19</v>
      </c>
      <c r="H291" t="s">
        <v>83</v>
      </c>
      <c r="I291">
        <v>7</v>
      </c>
      <c r="J291">
        <v>13</v>
      </c>
      <c r="K291">
        <v>100045</v>
      </c>
      <c r="L291">
        <v>3.8</v>
      </c>
      <c r="M291" t="s">
        <v>43</v>
      </c>
      <c r="N291">
        <v>90</v>
      </c>
      <c r="O291">
        <f t="shared" si="64"/>
        <v>711</v>
      </c>
      <c r="P291">
        <f t="shared" si="65"/>
        <v>350</v>
      </c>
      <c r="Q291">
        <f t="shared" si="66"/>
        <v>361</v>
      </c>
      <c r="R291">
        <f t="shared" si="67"/>
        <v>49.650349650349654</v>
      </c>
      <c r="S291" s="1">
        <f t="shared" si="68"/>
        <v>50.24975024975025</v>
      </c>
      <c r="T291" s="1">
        <f t="shared" si="69"/>
        <v>330</v>
      </c>
      <c r="U291" s="1">
        <f t="shared" si="70"/>
        <v>381</v>
      </c>
      <c r="V291" s="1">
        <f t="shared" si="71"/>
        <v>47.5</v>
      </c>
      <c r="W291" s="1">
        <f t="shared" si="72"/>
        <v>52.5</v>
      </c>
      <c r="X291" s="1">
        <f t="shared" si="73"/>
        <v>15.19127988748242</v>
      </c>
      <c r="Y291" s="1">
        <f t="shared" si="74"/>
        <v>115</v>
      </c>
      <c r="Z291" s="1">
        <f t="shared" si="75"/>
        <v>111</v>
      </c>
      <c r="AA291" s="1">
        <f t="shared" si="76"/>
        <v>3.5843478260869568</v>
      </c>
      <c r="AB291" s="1">
        <f t="shared" si="77"/>
        <v>3.4090090090090084</v>
      </c>
      <c r="AC291" s="1">
        <f t="shared" si="78"/>
        <v>0</v>
      </c>
      <c r="AD291" s="1">
        <f t="shared" si="79"/>
        <v>3.2104285544159561E-2</v>
      </c>
    </row>
    <row r="292" spans="1:30" x14ac:dyDescent="0.35">
      <c r="A292" t="s">
        <v>630</v>
      </c>
      <c r="B292" t="s">
        <v>55</v>
      </c>
      <c r="C292" t="s">
        <v>64</v>
      </c>
      <c r="D292" t="s">
        <v>17</v>
      </c>
      <c r="E292">
        <v>26</v>
      </c>
      <c r="F292" t="s">
        <v>70</v>
      </c>
      <c r="G292" t="s">
        <v>41</v>
      </c>
      <c r="H292" t="s">
        <v>631</v>
      </c>
      <c r="I292">
        <v>17</v>
      </c>
      <c r="J292">
        <v>27</v>
      </c>
      <c r="K292">
        <v>321525</v>
      </c>
      <c r="L292">
        <v>3.6</v>
      </c>
      <c r="M292" t="s">
        <v>21</v>
      </c>
      <c r="N292">
        <v>37</v>
      </c>
      <c r="O292">
        <f t="shared" si="64"/>
        <v>710</v>
      </c>
      <c r="P292">
        <f t="shared" si="65"/>
        <v>349</v>
      </c>
      <c r="Q292">
        <f t="shared" si="66"/>
        <v>361</v>
      </c>
      <c r="R292">
        <f t="shared" si="67"/>
        <v>49.650349650349654</v>
      </c>
      <c r="S292" s="1">
        <f t="shared" si="68"/>
        <v>50.24975024975025</v>
      </c>
      <c r="T292" s="1">
        <f t="shared" si="69"/>
        <v>330</v>
      </c>
      <c r="U292" s="1">
        <f t="shared" si="70"/>
        <v>380</v>
      </c>
      <c r="V292" s="1">
        <f t="shared" si="71"/>
        <v>47.5</v>
      </c>
      <c r="W292" s="1">
        <f t="shared" si="72"/>
        <v>52.5</v>
      </c>
      <c r="X292" s="1">
        <f t="shared" si="73"/>
        <v>15.194366197183099</v>
      </c>
      <c r="Y292" s="1">
        <f t="shared" si="74"/>
        <v>115</v>
      </c>
      <c r="Z292" s="1">
        <f t="shared" si="75"/>
        <v>111</v>
      </c>
      <c r="AA292" s="1">
        <f t="shared" si="76"/>
        <v>3.5843478260869568</v>
      </c>
      <c r="AB292" s="1">
        <f t="shared" si="77"/>
        <v>3.4090090090090084</v>
      </c>
      <c r="AC292" s="1">
        <f t="shared" si="78"/>
        <v>1</v>
      </c>
      <c r="AD292" s="1">
        <f t="shared" si="79"/>
        <v>3.1711329942388407E-2</v>
      </c>
    </row>
    <row r="293" spans="1:30" x14ac:dyDescent="0.35">
      <c r="A293" t="s">
        <v>632</v>
      </c>
      <c r="B293" t="s">
        <v>78</v>
      </c>
      <c r="C293" t="s">
        <v>16</v>
      </c>
      <c r="D293" t="s">
        <v>17</v>
      </c>
      <c r="E293">
        <v>32</v>
      </c>
      <c r="F293" t="s">
        <v>18</v>
      </c>
      <c r="G293" t="s">
        <v>88</v>
      </c>
      <c r="H293" t="s">
        <v>633</v>
      </c>
      <c r="I293">
        <v>4</v>
      </c>
      <c r="J293">
        <v>14</v>
      </c>
      <c r="K293">
        <v>365125</v>
      </c>
      <c r="L293">
        <v>4.2</v>
      </c>
      <c r="M293" t="s">
        <v>43</v>
      </c>
      <c r="N293">
        <v>83</v>
      </c>
      <c r="O293">
        <f t="shared" si="64"/>
        <v>709</v>
      </c>
      <c r="P293">
        <f t="shared" si="65"/>
        <v>348</v>
      </c>
      <c r="Q293">
        <f t="shared" si="66"/>
        <v>361</v>
      </c>
      <c r="R293">
        <f t="shared" si="67"/>
        <v>49.650349650349654</v>
      </c>
      <c r="S293" s="1">
        <f t="shared" si="68"/>
        <v>50.24975024975025</v>
      </c>
      <c r="T293" s="1">
        <f t="shared" si="69"/>
        <v>329</v>
      </c>
      <c r="U293" s="1">
        <f t="shared" si="70"/>
        <v>380</v>
      </c>
      <c r="V293" s="1">
        <f t="shared" si="71"/>
        <v>47.5</v>
      </c>
      <c r="W293" s="1">
        <f t="shared" si="72"/>
        <v>52.5</v>
      </c>
      <c r="X293" s="1">
        <f t="shared" si="73"/>
        <v>15.17771509167842</v>
      </c>
      <c r="Y293" s="1">
        <f t="shared" si="74"/>
        <v>115</v>
      </c>
      <c r="Z293" s="1">
        <f t="shared" si="75"/>
        <v>111</v>
      </c>
      <c r="AA293" s="1">
        <f t="shared" si="76"/>
        <v>3.5843478260869568</v>
      </c>
      <c r="AB293" s="1">
        <f t="shared" si="77"/>
        <v>3.4090090090090084</v>
      </c>
      <c r="AC293" s="1">
        <f t="shared" si="78"/>
        <v>0</v>
      </c>
      <c r="AD293" s="1">
        <f t="shared" si="79"/>
        <v>2.9217716721263345E-2</v>
      </c>
    </row>
    <row r="294" spans="1:30" x14ac:dyDescent="0.35">
      <c r="A294" t="s">
        <v>634</v>
      </c>
      <c r="B294" t="s">
        <v>40</v>
      </c>
      <c r="C294" t="s">
        <v>49</v>
      </c>
      <c r="D294" t="s">
        <v>17</v>
      </c>
      <c r="E294">
        <v>45</v>
      </c>
      <c r="F294" t="s">
        <v>74</v>
      </c>
      <c r="G294" t="s">
        <v>85</v>
      </c>
      <c r="H294" t="s">
        <v>635</v>
      </c>
      <c r="I294">
        <v>19</v>
      </c>
      <c r="J294">
        <v>26</v>
      </c>
      <c r="K294">
        <v>472587</v>
      </c>
      <c r="L294">
        <v>2.6</v>
      </c>
      <c r="M294" t="s">
        <v>43</v>
      </c>
      <c r="N294">
        <v>80</v>
      </c>
      <c r="O294">
        <f t="shared" si="64"/>
        <v>708</v>
      </c>
      <c r="P294">
        <f t="shared" si="65"/>
        <v>347</v>
      </c>
      <c r="Q294">
        <f t="shared" si="66"/>
        <v>361</v>
      </c>
      <c r="R294">
        <f t="shared" si="67"/>
        <v>49.650349650349654</v>
      </c>
      <c r="S294" s="1">
        <f t="shared" si="68"/>
        <v>50.24975024975025</v>
      </c>
      <c r="T294" s="1">
        <f t="shared" si="69"/>
        <v>329</v>
      </c>
      <c r="U294" s="1">
        <f t="shared" si="70"/>
        <v>379</v>
      </c>
      <c r="V294" s="1">
        <f t="shared" si="71"/>
        <v>47.5</v>
      </c>
      <c r="W294" s="1">
        <f t="shared" si="72"/>
        <v>52.5</v>
      </c>
      <c r="X294" s="1">
        <f t="shared" si="73"/>
        <v>15.179378531073446</v>
      </c>
      <c r="Y294" s="1">
        <f t="shared" si="74"/>
        <v>115</v>
      </c>
      <c r="Z294" s="1">
        <f t="shared" si="75"/>
        <v>111</v>
      </c>
      <c r="AA294" s="1">
        <f t="shared" si="76"/>
        <v>3.5843478260869568</v>
      </c>
      <c r="AB294" s="1">
        <f t="shared" si="77"/>
        <v>3.4090090090090084</v>
      </c>
      <c r="AC294" s="1">
        <f t="shared" si="78"/>
        <v>0</v>
      </c>
      <c r="AD294" s="1">
        <f t="shared" si="79"/>
        <v>2.9012516262173996E-2</v>
      </c>
    </row>
    <row r="295" spans="1:30" x14ac:dyDescent="0.35">
      <c r="A295" t="s">
        <v>636</v>
      </c>
      <c r="B295" t="s">
        <v>78</v>
      </c>
      <c r="C295" t="s">
        <v>36</v>
      </c>
      <c r="D295" t="s">
        <v>25</v>
      </c>
      <c r="E295">
        <v>35</v>
      </c>
      <c r="F295" t="s">
        <v>74</v>
      </c>
      <c r="G295" t="s">
        <v>71</v>
      </c>
      <c r="H295" t="s">
        <v>637</v>
      </c>
      <c r="I295">
        <v>19</v>
      </c>
      <c r="J295">
        <v>29</v>
      </c>
      <c r="K295">
        <v>187079</v>
      </c>
      <c r="L295">
        <v>4.5</v>
      </c>
      <c r="M295" t="s">
        <v>43</v>
      </c>
      <c r="N295">
        <v>89</v>
      </c>
      <c r="O295">
        <f t="shared" si="64"/>
        <v>707</v>
      </c>
      <c r="P295">
        <f t="shared" si="65"/>
        <v>346</v>
      </c>
      <c r="Q295">
        <f t="shared" si="66"/>
        <v>361</v>
      </c>
      <c r="R295">
        <f t="shared" si="67"/>
        <v>49.650349650349654</v>
      </c>
      <c r="S295" s="1">
        <f t="shared" si="68"/>
        <v>50.24975024975025</v>
      </c>
      <c r="T295" s="1">
        <f t="shared" si="69"/>
        <v>329</v>
      </c>
      <c r="U295" s="1">
        <f t="shared" si="70"/>
        <v>378</v>
      </c>
      <c r="V295" s="1">
        <f t="shared" si="71"/>
        <v>47.5</v>
      </c>
      <c r="W295" s="1">
        <f t="shared" si="72"/>
        <v>52.5</v>
      </c>
      <c r="X295" s="1">
        <f t="shared" si="73"/>
        <v>15.164073550212164</v>
      </c>
      <c r="Y295" s="1">
        <f t="shared" si="74"/>
        <v>114</v>
      </c>
      <c r="Z295" s="1">
        <f t="shared" si="75"/>
        <v>111</v>
      </c>
      <c r="AA295" s="1">
        <f t="shared" si="76"/>
        <v>3.5929824561403523</v>
      </c>
      <c r="AB295" s="1">
        <f t="shared" si="77"/>
        <v>3.4090090090090084</v>
      </c>
      <c r="AC295" s="1">
        <f t="shared" si="78"/>
        <v>0</v>
      </c>
      <c r="AD295" s="1">
        <f t="shared" si="79"/>
        <v>3.114339610588281E-2</v>
      </c>
    </row>
    <row r="296" spans="1:30" x14ac:dyDescent="0.35">
      <c r="A296" t="s">
        <v>638</v>
      </c>
      <c r="B296" t="s">
        <v>35</v>
      </c>
      <c r="C296" t="s">
        <v>36</v>
      </c>
      <c r="D296" t="s">
        <v>25</v>
      </c>
      <c r="E296">
        <v>58</v>
      </c>
      <c r="F296" t="s">
        <v>31</v>
      </c>
      <c r="G296" t="s">
        <v>75</v>
      </c>
      <c r="H296" t="s">
        <v>639</v>
      </c>
      <c r="I296">
        <v>8</v>
      </c>
      <c r="J296">
        <v>11</v>
      </c>
      <c r="K296">
        <v>484933</v>
      </c>
      <c r="L296">
        <v>5</v>
      </c>
      <c r="M296" t="s">
        <v>21</v>
      </c>
      <c r="N296">
        <v>70</v>
      </c>
      <c r="O296">
        <f t="shared" si="64"/>
        <v>706</v>
      </c>
      <c r="P296">
        <f t="shared" si="65"/>
        <v>346</v>
      </c>
      <c r="Q296">
        <f t="shared" si="66"/>
        <v>360</v>
      </c>
      <c r="R296">
        <f t="shared" si="67"/>
        <v>49.650349650349654</v>
      </c>
      <c r="S296" s="1">
        <f t="shared" si="68"/>
        <v>50.24975024975025</v>
      </c>
      <c r="T296" s="1">
        <f t="shared" si="69"/>
        <v>329</v>
      </c>
      <c r="U296" s="1">
        <f t="shared" si="70"/>
        <v>377</v>
      </c>
      <c r="V296" s="1">
        <f t="shared" si="71"/>
        <v>47.5</v>
      </c>
      <c r="W296" s="1">
        <f t="shared" si="72"/>
        <v>52.5</v>
      </c>
      <c r="X296" s="1">
        <f t="shared" si="73"/>
        <v>15.144475920679886</v>
      </c>
      <c r="Y296" s="1">
        <f t="shared" si="74"/>
        <v>113</v>
      </c>
      <c r="Z296" s="1">
        <f t="shared" si="75"/>
        <v>111</v>
      </c>
      <c r="AA296" s="1">
        <f t="shared" si="76"/>
        <v>3.58495575221239</v>
      </c>
      <c r="AB296" s="1">
        <f t="shared" si="77"/>
        <v>3.4090090090090084</v>
      </c>
      <c r="AC296" s="1">
        <f t="shared" si="78"/>
        <v>1</v>
      </c>
      <c r="AD296" s="1">
        <f t="shared" si="79"/>
        <v>3.3901737599570964E-2</v>
      </c>
    </row>
    <row r="297" spans="1:30" x14ac:dyDescent="0.35">
      <c r="A297" t="s">
        <v>640</v>
      </c>
      <c r="B297" t="s">
        <v>29</v>
      </c>
      <c r="C297" t="s">
        <v>49</v>
      </c>
      <c r="D297" t="s">
        <v>17</v>
      </c>
      <c r="E297">
        <v>54</v>
      </c>
      <c r="F297" t="s">
        <v>79</v>
      </c>
      <c r="G297" t="s">
        <v>71</v>
      </c>
      <c r="H297" t="s">
        <v>641</v>
      </c>
      <c r="I297">
        <v>19</v>
      </c>
      <c r="J297">
        <v>21</v>
      </c>
      <c r="K297">
        <v>82135</v>
      </c>
      <c r="L297">
        <v>3.5</v>
      </c>
      <c r="M297" t="s">
        <v>43</v>
      </c>
      <c r="N297">
        <v>85</v>
      </c>
      <c r="O297">
        <f t="shared" si="64"/>
        <v>705</v>
      </c>
      <c r="P297">
        <f t="shared" si="65"/>
        <v>346</v>
      </c>
      <c r="Q297">
        <f t="shared" si="66"/>
        <v>359</v>
      </c>
      <c r="R297">
        <f t="shared" si="67"/>
        <v>49.650349650349654</v>
      </c>
      <c r="S297" s="1">
        <f t="shared" si="68"/>
        <v>50.24975024975025</v>
      </c>
      <c r="T297" s="1">
        <f t="shared" si="69"/>
        <v>328</v>
      </c>
      <c r="U297" s="1">
        <f t="shared" si="70"/>
        <v>377</v>
      </c>
      <c r="V297" s="1">
        <f t="shared" si="71"/>
        <v>47.5</v>
      </c>
      <c r="W297" s="1">
        <f t="shared" si="72"/>
        <v>52.5</v>
      </c>
      <c r="X297" s="1">
        <f t="shared" si="73"/>
        <v>15.150354609929078</v>
      </c>
      <c r="Y297" s="1">
        <f t="shared" si="74"/>
        <v>113</v>
      </c>
      <c r="Z297" s="1">
        <f t="shared" si="75"/>
        <v>110</v>
      </c>
      <c r="AA297" s="1">
        <f t="shared" si="76"/>
        <v>3.58495575221239</v>
      </c>
      <c r="AB297" s="1">
        <f t="shared" si="77"/>
        <v>3.3945454545454532</v>
      </c>
      <c r="AC297" s="1">
        <f t="shared" si="78"/>
        <v>0</v>
      </c>
      <c r="AD297" s="1">
        <f t="shared" si="79"/>
        <v>3.4850054613059865E-2</v>
      </c>
    </row>
    <row r="298" spans="1:30" x14ac:dyDescent="0.35">
      <c r="A298" t="s">
        <v>642</v>
      </c>
      <c r="B298" t="s">
        <v>55</v>
      </c>
      <c r="C298" t="s">
        <v>64</v>
      </c>
      <c r="D298" t="s">
        <v>25</v>
      </c>
      <c r="E298">
        <v>50</v>
      </c>
      <c r="F298" t="s">
        <v>37</v>
      </c>
      <c r="G298" t="s">
        <v>71</v>
      </c>
      <c r="H298" t="s">
        <v>643</v>
      </c>
      <c r="I298">
        <v>5</v>
      </c>
      <c r="J298">
        <v>15</v>
      </c>
      <c r="K298">
        <v>258812</v>
      </c>
      <c r="L298">
        <v>3.2</v>
      </c>
      <c r="M298" t="s">
        <v>43</v>
      </c>
      <c r="N298">
        <v>87</v>
      </c>
      <c r="O298">
        <f t="shared" si="64"/>
        <v>704</v>
      </c>
      <c r="P298">
        <f t="shared" si="65"/>
        <v>345</v>
      </c>
      <c r="Q298">
        <f t="shared" si="66"/>
        <v>359</v>
      </c>
      <c r="R298">
        <f t="shared" si="67"/>
        <v>49.650349650349654</v>
      </c>
      <c r="S298" s="1">
        <f t="shared" si="68"/>
        <v>50.24975024975025</v>
      </c>
      <c r="T298" s="1">
        <f t="shared" si="69"/>
        <v>328</v>
      </c>
      <c r="U298" s="1">
        <f t="shared" si="70"/>
        <v>376</v>
      </c>
      <c r="V298" s="1">
        <f t="shared" si="71"/>
        <v>47.5</v>
      </c>
      <c r="W298" s="1">
        <f t="shared" si="72"/>
        <v>52.5</v>
      </c>
      <c r="X298" s="1">
        <f t="shared" si="73"/>
        <v>15.142045454545455</v>
      </c>
      <c r="Y298" s="1">
        <f t="shared" si="74"/>
        <v>113</v>
      </c>
      <c r="Z298" s="1">
        <f t="shared" si="75"/>
        <v>110</v>
      </c>
      <c r="AA298" s="1">
        <f t="shared" si="76"/>
        <v>3.58495575221239</v>
      </c>
      <c r="AB298" s="1">
        <f t="shared" si="77"/>
        <v>3.3945454545454532</v>
      </c>
      <c r="AC298" s="1">
        <f t="shared" si="78"/>
        <v>0</v>
      </c>
      <c r="AD298" s="1">
        <f t="shared" si="79"/>
        <v>3.6012226729253138E-2</v>
      </c>
    </row>
    <row r="299" spans="1:30" x14ac:dyDescent="0.35">
      <c r="A299" t="s">
        <v>644</v>
      </c>
      <c r="B299" t="s">
        <v>29</v>
      </c>
      <c r="C299" t="s">
        <v>24</v>
      </c>
      <c r="D299" t="s">
        <v>25</v>
      </c>
      <c r="E299">
        <v>53</v>
      </c>
      <c r="F299" t="s">
        <v>46</v>
      </c>
      <c r="G299" t="s">
        <v>71</v>
      </c>
      <c r="H299" t="s">
        <v>645</v>
      </c>
      <c r="I299">
        <v>8</v>
      </c>
      <c r="J299">
        <v>14</v>
      </c>
      <c r="K299">
        <v>421051</v>
      </c>
      <c r="L299">
        <v>4.2</v>
      </c>
      <c r="M299" t="s">
        <v>43</v>
      </c>
      <c r="N299">
        <v>87</v>
      </c>
      <c r="O299">
        <f t="shared" si="64"/>
        <v>703</v>
      </c>
      <c r="P299">
        <f t="shared" si="65"/>
        <v>345</v>
      </c>
      <c r="Q299">
        <f t="shared" si="66"/>
        <v>358</v>
      </c>
      <c r="R299">
        <f t="shared" si="67"/>
        <v>49.650349650349654</v>
      </c>
      <c r="S299" s="1">
        <f t="shared" si="68"/>
        <v>50.24975024975025</v>
      </c>
      <c r="T299" s="1">
        <f t="shared" si="69"/>
        <v>328</v>
      </c>
      <c r="U299" s="1">
        <f t="shared" si="70"/>
        <v>375</v>
      </c>
      <c r="V299" s="1">
        <f t="shared" si="71"/>
        <v>47.5</v>
      </c>
      <c r="W299" s="1">
        <f t="shared" si="72"/>
        <v>52.5</v>
      </c>
      <c r="X299" s="1">
        <f t="shared" si="73"/>
        <v>15.142247510668563</v>
      </c>
      <c r="Y299" s="1">
        <f t="shared" si="74"/>
        <v>113</v>
      </c>
      <c r="Z299" s="1">
        <f t="shared" si="75"/>
        <v>110</v>
      </c>
      <c r="AA299" s="1">
        <f t="shared" si="76"/>
        <v>3.58495575221239</v>
      </c>
      <c r="AB299" s="1">
        <f t="shared" si="77"/>
        <v>3.3945454545454532</v>
      </c>
      <c r="AC299" s="1">
        <f t="shared" si="78"/>
        <v>0</v>
      </c>
      <c r="AD299" s="1">
        <f t="shared" si="79"/>
        <v>3.6007280062307592E-2</v>
      </c>
    </row>
    <row r="300" spans="1:30" x14ac:dyDescent="0.35">
      <c r="A300" t="s">
        <v>646</v>
      </c>
      <c r="B300" t="s">
        <v>60</v>
      </c>
      <c r="C300" t="s">
        <v>56</v>
      </c>
      <c r="D300" t="s">
        <v>25</v>
      </c>
      <c r="E300">
        <v>53</v>
      </c>
      <c r="F300" t="s">
        <v>79</v>
      </c>
      <c r="G300" t="s">
        <v>61</v>
      </c>
      <c r="H300" t="s">
        <v>647</v>
      </c>
      <c r="I300">
        <v>8</v>
      </c>
      <c r="J300">
        <v>15</v>
      </c>
      <c r="K300">
        <v>267685</v>
      </c>
      <c r="L300">
        <v>4.5999999999999996</v>
      </c>
      <c r="M300" t="s">
        <v>43</v>
      </c>
      <c r="N300">
        <v>94</v>
      </c>
      <c r="O300">
        <f t="shared" si="64"/>
        <v>702</v>
      </c>
      <c r="P300">
        <f t="shared" si="65"/>
        <v>345</v>
      </c>
      <c r="Q300">
        <f t="shared" si="66"/>
        <v>357</v>
      </c>
      <c r="R300">
        <f t="shared" si="67"/>
        <v>49.650349650349654</v>
      </c>
      <c r="S300" s="1">
        <f t="shared" si="68"/>
        <v>50.24975024975025</v>
      </c>
      <c r="T300" s="1">
        <f t="shared" si="69"/>
        <v>328</v>
      </c>
      <c r="U300" s="1">
        <f t="shared" si="70"/>
        <v>374</v>
      </c>
      <c r="V300" s="1">
        <f t="shared" si="71"/>
        <v>47.5</v>
      </c>
      <c r="W300" s="1">
        <f t="shared" si="72"/>
        <v>52.5</v>
      </c>
      <c r="X300" s="1">
        <f t="shared" si="73"/>
        <v>15.143874643874645</v>
      </c>
      <c r="Y300" s="1">
        <f t="shared" si="74"/>
        <v>113</v>
      </c>
      <c r="Z300" s="1">
        <f t="shared" si="75"/>
        <v>110</v>
      </c>
      <c r="AA300" s="1">
        <f t="shared" si="76"/>
        <v>3.58495575221239</v>
      </c>
      <c r="AB300" s="1">
        <f t="shared" si="77"/>
        <v>3.3945454545454532</v>
      </c>
      <c r="AC300" s="1">
        <f t="shared" si="78"/>
        <v>0</v>
      </c>
      <c r="AD300" s="1">
        <f t="shared" si="79"/>
        <v>3.5810272450878526E-2</v>
      </c>
    </row>
    <row r="301" spans="1:30" x14ac:dyDescent="0.35">
      <c r="A301" t="s">
        <v>648</v>
      </c>
      <c r="B301" t="s">
        <v>111</v>
      </c>
      <c r="C301" t="s">
        <v>24</v>
      </c>
      <c r="D301" t="s">
        <v>17</v>
      </c>
      <c r="E301">
        <v>38</v>
      </c>
      <c r="F301" t="s">
        <v>74</v>
      </c>
      <c r="G301" t="s">
        <v>41</v>
      </c>
      <c r="H301" t="s">
        <v>649</v>
      </c>
      <c r="I301">
        <v>10</v>
      </c>
      <c r="J301">
        <v>10</v>
      </c>
      <c r="K301">
        <v>83430</v>
      </c>
      <c r="L301">
        <v>2.1</v>
      </c>
      <c r="M301" t="s">
        <v>43</v>
      </c>
      <c r="N301">
        <v>72</v>
      </c>
      <c r="O301">
        <f t="shared" si="64"/>
        <v>701</v>
      </c>
      <c r="P301">
        <f t="shared" si="65"/>
        <v>345</v>
      </c>
      <c r="Q301">
        <f t="shared" si="66"/>
        <v>356</v>
      </c>
      <c r="R301">
        <f t="shared" si="67"/>
        <v>49.650349650349654</v>
      </c>
      <c r="S301" s="1">
        <f t="shared" si="68"/>
        <v>50.24975024975025</v>
      </c>
      <c r="T301" s="1">
        <f t="shared" si="69"/>
        <v>328</v>
      </c>
      <c r="U301" s="1">
        <f t="shared" si="70"/>
        <v>373</v>
      </c>
      <c r="V301" s="1">
        <f t="shared" si="71"/>
        <v>47.5</v>
      </c>
      <c r="W301" s="1">
        <f t="shared" si="72"/>
        <v>52.5</v>
      </c>
      <c r="X301" s="1">
        <f t="shared" si="73"/>
        <v>15.144079885877318</v>
      </c>
      <c r="Y301" s="1">
        <f t="shared" si="74"/>
        <v>113</v>
      </c>
      <c r="Z301" s="1">
        <f t="shared" si="75"/>
        <v>110</v>
      </c>
      <c r="AA301" s="1">
        <f t="shared" si="76"/>
        <v>3.58495575221239</v>
      </c>
      <c r="AB301" s="1">
        <f t="shared" si="77"/>
        <v>3.3945454545454532</v>
      </c>
      <c r="AC301" s="1">
        <f t="shared" si="78"/>
        <v>0</v>
      </c>
      <c r="AD301" s="1">
        <f t="shared" si="79"/>
        <v>3.5804917437592912E-2</v>
      </c>
    </row>
    <row r="302" spans="1:30" x14ac:dyDescent="0.35">
      <c r="A302" t="s">
        <v>650</v>
      </c>
      <c r="B302" t="s">
        <v>35</v>
      </c>
      <c r="C302" t="s">
        <v>93</v>
      </c>
      <c r="D302" t="s">
        <v>25</v>
      </c>
      <c r="E302">
        <v>57</v>
      </c>
      <c r="F302" t="s">
        <v>31</v>
      </c>
      <c r="G302" t="s">
        <v>41</v>
      </c>
      <c r="H302" t="s">
        <v>651</v>
      </c>
      <c r="I302">
        <v>13</v>
      </c>
      <c r="J302">
        <v>22</v>
      </c>
      <c r="K302">
        <v>145372</v>
      </c>
      <c r="L302">
        <v>4.5999999999999996</v>
      </c>
      <c r="M302" t="s">
        <v>21</v>
      </c>
      <c r="N302">
        <v>62</v>
      </c>
      <c r="O302">
        <f t="shared" si="64"/>
        <v>700</v>
      </c>
      <c r="P302">
        <f t="shared" si="65"/>
        <v>344</v>
      </c>
      <c r="Q302">
        <f t="shared" si="66"/>
        <v>356</v>
      </c>
      <c r="R302">
        <f t="shared" si="67"/>
        <v>49.650349650349654</v>
      </c>
      <c r="S302" s="1">
        <f t="shared" si="68"/>
        <v>50.24975024975025</v>
      </c>
      <c r="T302" s="1">
        <f t="shared" si="69"/>
        <v>328</v>
      </c>
      <c r="U302" s="1">
        <f t="shared" si="70"/>
        <v>372</v>
      </c>
      <c r="V302" s="1">
        <f t="shared" si="71"/>
        <v>47.5</v>
      </c>
      <c r="W302" s="1">
        <f t="shared" si="72"/>
        <v>52.5</v>
      </c>
      <c r="X302" s="1">
        <f t="shared" si="73"/>
        <v>15.151428571428571</v>
      </c>
      <c r="Y302" s="1">
        <f t="shared" si="74"/>
        <v>112</v>
      </c>
      <c r="Z302" s="1">
        <f t="shared" si="75"/>
        <v>110</v>
      </c>
      <c r="AA302" s="1">
        <f t="shared" si="76"/>
        <v>3.598214285714286</v>
      </c>
      <c r="AB302" s="1">
        <f t="shared" si="77"/>
        <v>3.3945454545454532</v>
      </c>
      <c r="AC302" s="1">
        <f t="shared" si="78"/>
        <v>1</v>
      </c>
      <c r="AD302" s="1">
        <f t="shared" si="79"/>
        <v>3.4845592552834863E-2</v>
      </c>
    </row>
    <row r="303" spans="1:30" x14ac:dyDescent="0.35">
      <c r="A303" t="s">
        <v>652</v>
      </c>
      <c r="B303" t="s">
        <v>69</v>
      </c>
      <c r="C303" t="s">
        <v>93</v>
      </c>
      <c r="D303" t="s">
        <v>17</v>
      </c>
      <c r="E303">
        <v>29</v>
      </c>
      <c r="F303" t="s">
        <v>46</v>
      </c>
      <c r="G303" t="s">
        <v>75</v>
      </c>
      <c r="H303" t="s">
        <v>653</v>
      </c>
      <c r="I303">
        <v>1</v>
      </c>
      <c r="J303">
        <v>7</v>
      </c>
      <c r="K303">
        <v>313362</v>
      </c>
      <c r="L303">
        <v>2.2999999999999998</v>
      </c>
      <c r="M303" t="s">
        <v>21</v>
      </c>
      <c r="N303">
        <v>69</v>
      </c>
      <c r="O303">
        <f t="shared" si="64"/>
        <v>699</v>
      </c>
      <c r="P303">
        <f t="shared" si="65"/>
        <v>344</v>
      </c>
      <c r="Q303">
        <f t="shared" si="66"/>
        <v>355</v>
      </c>
      <c r="R303">
        <f t="shared" si="67"/>
        <v>49.650349650349654</v>
      </c>
      <c r="S303" s="1">
        <f t="shared" si="68"/>
        <v>50.24975024975025</v>
      </c>
      <c r="T303" s="1">
        <f t="shared" si="69"/>
        <v>327</v>
      </c>
      <c r="U303" s="1">
        <f t="shared" si="70"/>
        <v>372</v>
      </c>
      <c r="V303" s="1">
        <f t="shared" si="71"/>
        <v>47.5</v>
      </c>
      <c r="W303" s="1">
        <f t="shared" si="72"/>
        <v>52.5</v>
      </c>
      <c r="X303" s="1">
        <f t="shared" si="73"/>
        <v>15.141630901287554</v>
      </c>
      <c r="Y303" s="1">
        <f t="shared" si="74"/>
        <v>112</v>
      </c>
      <c r="Z303" s="1">
        <f t="shared" si="75"/>
        <v>109</v>
      </c>
      <c r="AA303" s="1">
        <f t="shared" si="76"/>
        <v>3.598214285714286</v>
      </c>
      <c r="AB303" s="1">
        <f t="shared" si="77"/>
        <v>3.3834862385321092</v>
      </c>
      <c r="AC303" s="1">
        <f t="shared" si="78"/>
        <v>1</v>
      </c>
      <c r="AD303" s="1">
        <f t="shared" si="79"/>
        <v>3.3390020610870534E-2</v>
      </c>
    </row>
    <row r="304" spans="1:30" x14ac:dyDescent="0.35">
      <c r="A304" t="s">
        <v>654</v>
      </c>
      <c r="B304" t="s">
        <v>35</v>
      </c>
      <c r="C304" t="s">
        <v>24</v>
      </c>
      <c r="D304" t="s">
        <v>17</v>
      </c>
      <c r="E304">
        <v>47</v>
      </c>
      <c r="F304" t="s">
        <v>70</v>
      </c>
      <c r="G304" t="s">
        <v>26</v>
      </c>
      <c r="H304" t="s">
        <v>655</v>
      </c>
      <c r="I304">
        <v>14</v>
      </c>
      <c r="J304">
        <v>14</v>
      </c>
      <c r="K304">
        <v>317628</v>
      </c>
      <c r="L304">
        <v>4</v>
      </c>
      <c r="M304" t="s">
        <v>21</v>
      </c>
      <c r="N304">
        <v>47</v>
      </c>
      <c r="O304">
        <f t="shared" si="64"/>
        <v>698</v>
      </c>
      <c r="P304">
        <f t="shared" si="65"/>
        <v>343</v>
      </c>
      <c r="Q304">
        <f t="shared" si="66"/>
        <v>355</v>
      </c>
      <c r="R304">
        <f t="shared" si="67"/>
        <v>49.650349650349654</v>
      </c>
      <c r="S304" s="1">
        <f t="shared" si="68"/>
        <v>50.24975024975025</v>
      </c>
      <c r="T304" s="1">
        <f t="shared" si="69"/>
        <v>326</v>
      </c>
      <c r="U304" s="1">
        <f t="shared" si="70"/>
        <v>372</v>
      </c>
      <c r="V304" s="1">
        <f t="shared" si="71"/>
        <v>47.5</v>
      </c>
      <c r="W304" s="1">
        <f t="shared" si="72"/>
        <v>52.5</v>
      </c>
      <c r="X304" s="1">
        <f t="shared" si="73"/>
        <v>15.153295128939828</v>
      </c>
      <c r="Y304" s="1">
        <f t="shared" si="74"/>
        <v>112</v>
      </c>
      <c r="Z304" s="1">
        <f t="shared" si="75"/>
        <v>109</v>
      </c>
      <c r="AA304" s="1">
        <f t="shared" si="76"/>
        <v>3.598214285714286</v>
      </c>
      <c r="AB304" s="1">
        <f t="shared" si="77"/>
        <v>3.3834862385321092</v>
      </c>
      <c r="AC304" s="1">
        <f t="shared" si="78"/>
        <v>1</v>
      </c>
      <c r="AD304" s="1">
        <f t="shared" si="79"/>
        <v>3.5249229422291077E-2</v>
      </c>
    </row>
    <row r="305" spans="1:30" x14ac:dyDescent="0.35">
      <c r="A305" t="s">
        <v>656</v>
      </c>
      <c r="B305" t="s">
        <v>60</v>
      </c>
      <c r="C305" t="s">
        <v>64</v>
      </c>
      <c r="D305" t="s">
        <v>17</v>
      </c>
      <c r="E305">
        <v>41</v>
      </c>
      <c r="F305" t="s">
        <v>46</v>
      </c>
      <c r="G305" t="s">
        <v>61</v>
      </c>
      <c r="H305" t="s">
        <v>657</v>
      </c>
      <c r="I305">
        <v>16</v>
      </c>
      <c r="J305">
        <v>25</v>
      </c>
      <c r="K305">
        <v>122109</v>
      </c>
      <c r="L305">
        <v>2.6</v>
      </c>
      <c r="M305" t="s">
        <v>43</v>
      </c>
      <c r="N305">
        <v>79</v>
      </c>
      <c r="O305">
        <f t="shared" si="64"/>
        <v>697</v>
      </c>
      <c r="P305">
        <f t="shared" si="65"/>
        <v>342</v>
      </c>
      <c r="Q305">
        <f t="shared" si="66"/>
        <v>355</v>
      </c>
      <c r="R305">
        <f t="shared" si="67"/>
        <v>49.650349650349654</v>
      </c>
      <c r="S305" s="1">
        <f t="shared" si="68"/>
        <v>50.24975024975025</v>
      </c>
      <c r="T305" s="1">
        <f t="shared" si="69"/>
        <v>325</v>
      </c>
      <c r="U305" s="1">
        <f t="shared" si="70"/>
        <v>372</v>
      </c>
      <c r="V305" s="1">
        <f t="shared" si="71"/>
        <v>47.5</v>
      </c>
      <c r="W305" s="1">
        <f t="shared" si="72"/>
        <v>52.5</v>
      </c>
      <c r="X305" s="1">
        <f t="shared" si="73"/>
        <v>15.154949784791965</v>
      </c>
      <c r="Y305" s="1">
        <f t="shared" si="74"/>
        <v>112</v>
      </c>
      <c r="Z305" s="1">
        <f t="shared" si="75"/>
        <v>109</v>
      </c>
      <c r="AA305" s="1">
        <f t="shared" si="76"/>
        <v>3.598214285714286</v>
      </c>
      <c r="AB305" s="1">
        <f t="shared" si="77"/>
        <v>3.3834862385321092</v>
      </c>
      <c r="AC305" s="1">
        <f t="shared" si="78"/>
        <v>0</v>
      </c>
      <c r="AD305" s="1">
        <f t="shared" si="79"/>
        <v>3.5534216874486491E-2</v>
      </c>
    </row>
    <row r="306" spans="1:30" x14ac:dyDescent="0.35">
      <c r="A306" t="s">
        <v>658</v>
      </c>
      <c r="B306" t="s">
        <v>45</v>
      </c>
      <c r="C306" t="s">
        <v>56</v>
      </c>
      <c r="D306" t="s">
        <v>25</v>
      </c>
      <c r="E306">
        <v>42</v>
      </c>
      <c r="F306" t="s">
        <v>37</v>
      </c>
      <c r="G306" t="s">
        <v>71</v>
      </c>
      <c r="H306" t="s">
        <v>659</v>
      </c>
      <c r="I306">
        <v>12</v>
      </c>
      <c r="J306">
        <v>18</v>
      </c>
      <c r="K306">
        <v>491117</v>
      </c>
      <c r="L306">
        <v>3.5</v>
      </c>
      <c r="M306" t="s">
        <v>43</v>
      </c>
      <c r="N306">
        <v>81</v>
      </c>
      <c r="O306">
        <f t="shared" si="64"/>
        <v>696</v>
      </c>
      <c r="P306">
        <f t="shared" si="65"/>
        <v>341</v>
      </c>
      <c r="Q306">
        <f t="shared" si="66"/>
        <v>355</v>
      </c>
      <c r="R306">
        <f t="shared" si="67"/>
        <v>49.650349650349654</v>
      </c>
      <c r="S306" s="1">
        <f t="shared" si="68"/>
        <v>50.24975024975025</v>
      </c>
      <c r="T306" s="1">
        <f t="shared" si="69"/>
        <v>325</v>
      </c>
      <c r="U306" s="1">
        <f t="shared" si="70"/>
        <v>371</v>
      </c>
      <c r="V306" s="1">
        <f t="shared" si="71"/>
        <v>47.5</v>
      </c>
      <c r="W306" s="1">
        <f t="shared" si="72"/>
        <v>52.5</v>
      </c>
      <c r="X306" s="1">
        <f t="shared" si="73"/>
        <v>15.14080459770115</v>
      </c>
      <c r="Y306" s="1">
        <f t="shared" si="74"/>
        <v>112</v>
      </c>
      <c r="Z306" s="1">
        <f t="shared" si="75"/>
        <v>109</v>
      </c>
      <c r="AA306" s="1">
        <f t="shared" si="76"/>
        <v>3.598214285714286</v>
      </c>
      <c r="AB306" s="1">
        <f t="shared" si="77"/>
        <v>3.3834862385321092</v>
      </c>
      <c r="AC306" s="1">
        <f t="shared" si="78"/>
        <v>0</v>
      </c>
      <c r="AD306" s="1">
        <f t="shared" si="79"/>
        <v>3.7519614030801347E-2</v>
      </c>
    </row>
    <row r="307" spans="1:30" x14ac:dyDescent="0.35">
      <c r="A307" t="s">
        <v>660</v>
      </c>
      <c r="B307" t="s">
        <v>69</v>
      </c>
      <c r="C307" t="s">
        <v>82</v>
      </c>
      <c r="D307" t="s">
        <v>25</v>
      </c>
      <c r="E307">
        <v>36</v>
      </c>
      <c r="F307" t="s">
        <v>79</v>
      </c>
      <c r="G307" t="s">
        <v>41</v>
      </c>
      <c r="H307" t="s">
        <v>661</v>
      </c>
      <c r="I307">
        <v>2</v>
      </c>
      <c r="J307">
        <v>8</v>
      </c>
      <c r="K307">
        <v>494703</v>
      </c>
      <c r="L307">
        <v>3.7</v>
      </c>
      <c r="M307" t="s">
        <v>21</v>
      </c>
      <c r="N307">
        <v>52</v>
      </c>
      <c r="O307">
        <f t="shared" si="64"/>
        <v>695</v>
      </c>
      <c r="P307">
        <f t="shared" si="65"/>
        <v>341</v>
      </c>
      <c r="Q307">
        <f t="shared" si="66"/>
        <v>354</v>
      </c>
      <c r="R307">
        <f t="shared" si="67"/>
        <v>49.650349650349654</v>
      </c>
      <c r="S307" s="1">
        <f t="shared" si="68"/>
        <v>50.24975024975025</v>
      </c>
      <c r="T307" s="1">
        <f t="shared" si="69"/>
        <v>325</v>
      </c>
      <c r="U307" s="1">
        <f t="shared" si="70"/>
        <v>370</v>
      </c>
      <c r="V307" s="1">
        <f t="shared" si="71"/>
        <v>47.5</v>
      </c>
      <c r="W307" s="1">
        <f t="shared" si="72"/>
        <v>52.5</v>
      </c>
      <c r="X307" s="1">
        <f t="shared" si="73"/>
        <v>15.136690647482014</v>
      </c>
      <c r="Y307" s="1">
        <f t="shared" si="74"/>
        <v>112</v>
      </c>
      <c r="Z307" s="1">
        <f t="shared" si="75"/>
        <v>109</v>
      </c>
      <c r="AA307" s="1">
        <f t="shared" si="76"/>
        <v>3.598214285714286</v>
      </c>
      <c r="AB307" s="1">
        <f t="shared" si="77"/>
        <v>3.3834862385321092</v>
      </c>
      <c r="AC307" s="1">
        <f t="shared" si="78"/>
        <v>1</v>
      </c>
      <c r="AD307" s="1">
        <f t="shared" si="79"/>
        <v>3.8104220003219856E-2</v>
      </c>
    </row>
    <row r="308" spans="1:30" x14ac:dyDescent="0.35">
      <c r="A308" t="s">
        <v>662</v>
      </c>
      <c r="B308" t="s">
        <v>55</v>
      </c>
      <c r="C308" t="s">
        <v>16</v>
      </c>
      <c r="D308" t="s">
        <v>25</v>
      </c>
      <c r="E308">
        <v>41</v>
      </c>
      <c r="F308" t="s">
        <v>37</v>
      </c>
      <c r="G308" t="s">
        <v>71</v>
      </c>
      <c r="H308" t="s">
        <v>663</v>
      </c>
      <c r="I308">
        <v>20</v>
      </c>
      <c r="J308">
        <v>24</v>
      </c>
      <c r="K308">
        <v>90946</v>
      </c>
      <c r="L308">
        <v>4.0999999999999996</v>
      </c>
      <c r="M308" t="s">
        <v>43</v>
      </c>
      <c r="N308">
        <v>76</v>
      </c>
      <c r="O308">
        <f t="shared" si="64"/>
        <v>694</v>
      </c>
      <c r="P308">
        <f t="shared" si="65"/>
        <v>341</v>
      </c>
      <c r="Q308">
        <f t="shared" si="66"/>
        <v>353</v>
      </c>
      <c r="R308">
        <f t="shared" si="67"/>
        <v>49.650349650349654</v>
      </c>
      <c r="S308" s="1">
        <f t="shared" si="68"/>
        <v>50.24975024975025</v>
      </c>
      <c r="T308" s="1">
        <f t="shared" si="69"/>
        <v>324</v>
      </c>
      <c r="U308" s="1">
        <f t="shared" si="70"/>
        <v>370</v>
      </c>
      <c r="V308" s="1">
        <f t="shared" si="71"/>
        <v>47.5</v>
      </c>
      <c r="W308" s="1">
        <f t="shared" si="72"/>
        <v>52.5</v>
      </c>
      <c r="X308" s="1">
        <f t="shared" si="73"/>
        <v>15.146974063400576</v>
      </c>
      <c r="Y308" s="1">
        <f t="shared" si="74"/>
        <v>112</v>
      </c>
      <c r="Z308" s="1">
        <f t="shared" si="75"/>
        <v>109</v>
      </c>
      <c r="AA308" s="1">
        <f t="shared" si="76"/>
        <v>3.598214285714286</v>
      </c>
      <c r="AB308" s="1">
        <f t="shared" si="77"/>
        <v>3.3834862385321092</v>
      </c>
      <c r="AC308" s="1">
        <f t="shared" si="78"/>
        <v>0</v>
      </c>
      <c r="AD308" s="1">
        <f t="shared" si="79"/>
        <v>3.9750380952767207E-2</v>
      </c>
    </row>
    <row r="309" spans="1:30" x14ac:dyDescent="0.35">
      <c r="A309" t="s">
        <v>664</v>
      </c>
      <c r="B309" t="s">
        <v>15</v>
      </c>
      <c r="C309" t="s">
        <v>56</v>
      </c>
      <c r="D309" t="s">
        <v>17</v>
      </c>
      <c r="E309">
        <v>49</v>
      </c>
      <c r="F309" t="s">
        <v>18</v>
      </c>
      <c r="G309" t="s">
        <v>57</v>
      </c>
      <c r="H309" t="s">
        <v>665</v>
      </c>
      <c r="I309">
        <v>18</v>
      </c>
      <c r="J309">
        <v>19</v>
      </c>
      <c r="K309">
        <v>209054</v>
      </c>
      <c r="L309">
        <v>3.8</v>
      </c>
      <c r="M309" t="s">
        <v>21</v>
      </c>
      <c r="N309">
        <v>32</v>
      </c>
      <c r="O309">
        <f t="shared" si="64"/>
        <v>693</v>
      </c>
      <c r="P309">
        <f t="shared" si="65"/>
        <v>341</v>
      </c>
      <c r="Q309">
        <f t="shared" si="66"/>
        <v>352</v>
      </c>
      <c r="R309">
        <f t="shared" si="67"/>
        <v>49.650349650349654</v>
      </c>
      <c r="S309" s="1">
        <f t="shared" si="68"/>
        <v>50.24975024975025</v>
      </c>
      <c r="T309" s="1">
        <f t="shared" si="69"/>
        <v>324</v>
      </c>
      <c r="U309" s="1">
        <f t="shared" si="70"/>
        <v>369</v>
      </c>
      <c r="V309" s="1">
        <f t="shared" si="71"/>
        <v>47.5</v>
      </c>
      <c r="W309" s="1">
        <f t="shared" si="72"/>
        <v>52.5</v>
      </c>
      <c r="X309" s="1">
        <f t="shared" si="73"/>
        <v>15.134199134199134</v>
      </c>
      <c r="Y309" s="1">
        <f t="shared" si="74"/>
        <v>112</v>
      </c>
      <c r="Z309" s="1">
        <f t="shared" si="75"/>
        <v>109</v>
      </c>
      <c r="AA309" s="1">
        <f t="shared" si="76"/>
        <v>3.598214285714286</v>
      </c>
      <c r="AB309" s="1">
        <f t="shared" si="77"/>
        <v>3.3834862385321092</v>
      </c>
      <c r="AC309" s="1">
        <f t="shared" si="78"/>
        <v>1</v>
      </c>
      <c r="AD309" s="1">
        <f t="shared" si="79"/>
        <v>4.1550547547187837E-2</v>
      </c>
    </row>
    <row r="310" spans="1:30" x14ac:dyDescent="0.35">
      <c r="A310" t="s">
        <v>666</v>
      </c>
      <c r="B310" t="s">
        <v>40</v>
      </c>
      <c r="C310" t="s">
        <v>93</v>
      </c>
      <c r="D310" t="s">
        <v>25</v>
      </c>
      <c r="E310">
        <v>23</v>
      </c>
      <c r="F310" t="s">
        <v>46</v>
      </c>
      <c r="G310" t="s">
        <v>19</v>
      </c>
      <c r="H310" t="s">
        <v>667</v>
      </c>
      <c r="I310">
        <v>11</v>
      </c>
      <c r="J310">
        <v>18</v>
      </c>
      <c r="K310">
        <v>279786</v>
      </c>
      <c r="L310">
        <v>4.8</v>
      </c>
      <c r="M310" t="s">
        <v>21</v>
      </c>
      <c r="N310">
        <v>52</v>
      </c>
      <c r="O310">
        <f t="shared" si="64"/>
        <v>692</v>
      </c>
      <c r="P310">
        <f t="shared" si="65"/>
        <v>340</v>
      </c>
      <c r="Q310">
        <f t="shared" si="66"/>
        <v>352</v>
      </c>
      <c r="R310">
        <f t="shared" si="67"/>
        <v>49.650349650349654</v>
      </c>
      <c r="S310" s="1">
        <f t="shared" si="68"/>
        <v>50.24975024975025</v>
      </c>
      <c r="T310" s="1">
        <f t="shared" si="69"/>
        <v>323</v>
      </c>
      <c r="U310" s="1">
        <f t="shared" si="70"/>
        <v>369</v>
      </c>
      <c r="V310" s="1">
        <f t="shared" si="71"/>
        <v>47.5</v>
      </c>
      <c r="W310" s="1">
        <f t="shared" si="72"/>
        <v>52.5</v>
      </c>
      <c r="X310" s="1">
        <f t="shared" si="73"/>
        <v>15.128612716763005</v>
      </c>
      <c r="Y310" s="1">
        <f t="shared" si="74"/>
        <v>112</v>
      </c>
      <c r="Z310" s="1">
        <f t="shared" si="75"/>
        <v>109</v>
      </c>
      <c r="AA310" s="1">
        <f t="shared" si="76"/>
        <v>3.598214285714286</v>
      </c>
      <c r="AB310" s="1">
        <f t="shared" si="77"/>
        <v>3.3834862385321092</v>
      </c>
      <c r="AC310" s="1">
        <f t="shared" si="78"/>
        <v>1</v>
      </c>
      <c r="AD310" s="1">
        <f t="shared" si="79"/>
        <v>4.0732586206241046E-2</v>
      </c>
    </row>
    <row r="311" spans="1:30" x14ac:dyDescent="0.35">
      <c r="A311" t="s">
        <v>668</v>
      </c>
      <c r="B311" t="s">
        <v>60</v>
      </c>
      <c r="C311" t="s">
        <v>56</v>
      </c>
      <c r="D311" t="s">
        <v>25</v>
      </c>
      <c r="E311">
        <v>54</v>
      </c>
      <c r="F311" t="s">
        <v>46</v>
      </c>
      <c r="G311" t="s">
        <v>75</v>
      </c>
      <c r="H311" t="s">
        <v>669</v>
      </c>
      <c r="I311">
        <v>11</v>
      </c>
      <c r="J311">
        <v>14</v>
      </c>
      <c r="K311">
        <v>87949</v>
      </c>
      <c r="L311">
        <v>3.9</v>
      </c>
      <c r="M311" t="s">
        <v>21</v>
      </c>
      <c r="N311">
        <v>46</v>
      </c>
      <c r="O311">
        <f t="shared" si="64"/>
        <v>691</v>
      </c>
      <c r="P311">
        <f t="shared" si="65"/>
        <v>340</v>
      </c>
      <c r="Q311">
        <f t="shared" si="66"/>
        <v>351</v>
      </c>
      <c r="R311">
        <f t="shared" si="67"/>
        <v>49.650349650349654</v>
      </c>
      <c r="S311" s="1">
        <f t="shared" si="68"/>
        <v>50.24975024975025</v>
      </c>
      <c r="T311" s="1">
        <f t="shared" si="69"/>
        <v>322</v>
      </c>
      <c r="U311" s="1">
        <f t="shared" si="70"/>
        <v>369</v>
      </c>
      <c r="V311" s="1">
        <f t="shared" si="71"/>
        <v>47.5</v>
      </c>
      <c r="W311" s="1">
        <f t="shared" si="72"/>
        <v>52.5</v>
      </c>
      <c r="X311" s="1">
        <f t="shared" si="73"/>
        <v>15.124457308248914</v>
      </c>
      <c r="Y311" s="1">
        <f t="shared" si="74"/>
        <v>112</v>
      </c>
      <c r="Z311" s="1">
        <f t="shared" si="75"/>
        <v>109</v>
      </c>
      <c r="AA311" s="1">
        <f t="shared" si="76"/>
        <v>3.598214285714286</v>
      </c>
      <c r="AB311" s="1">
        <f t="shared" si="77"/>
        <v>3.3834862385321092</v>
      </c>
      <c r="AC311" s="1">
        <f t="shared" si="78"/>
        <v>1</v>
      </c>
      <c r="AD311" s="1">
        <f t="shared" si="79"/>
        <v>4.0129892048377871E-2</v>
      </c>
    </row>
    <row r="312" spans="1:30" x14ac:dyDescent="0.35">
      <c r="A312" t="s">
        <v>670</v>
      </c>
      <c r="B312" t="s">
        <v>96</v>
      </c>
      <c r="C312" t="s">
        <v>36</v>
      </c>
      <c r="D312" t="s">
        <v>25</v>
      </c>
      <c r="E312">
        <v>31</v>
      </c>
      <c r="F312" t="s">
        <v>18</v>
      </c>
      <c r="G312" t="s">
        <v>57</v>
      </c>
      <c r="H312" t="s">
        <v>671</v>
      </c>
      <c r="I312">
        <v>20</v>
      </c>
      <c r="J312">
        <v>29</v>
      </c>
      <c r="K312">
        <v>436490</v>
      </c>
      <c r="L312">
        <v>2</v>
      </c>
      <c r="M312" t="s">
        <v>21</v>
      </c>
      <c r="N312">
        <v>33</v>
      </c>
      <c r="O312">
        <f t="shared" si="64"/>
        <v>690</v>
      </c>
      <c r="P312">
        <f t="shared" si="65"/>
        <v>340</v>
      </c>
      <c r="Q312">
        <f t="shared" si="66"/>
        <v>350</v>
      </c>
      <c r="R312">
        <f t="shared" si="67"/>
        <v>49.650349650349654</v>
      </c>
      <c r="S312" s="1">
        <f t="shared" si="68"/>
        <v>50.24975024975025</v>
      </c>
      <c r="T312" s="1">
        <f t="shared" si="69"/>
        <v>321</v>
      </c>
      <c r="U312" s="1">
        <f t="shared" si="70"/>
        <v>369</v>
      </c>
      <c r="V312" s="1">
        <f t="shared" si="71"/>
        <v>47.5</v>
      </c>
      <c r="W312" s="1">
        <f t="shared" si="72"/>
        <v>52.5</v>
      </c>
      <c r="X312" s="1">
        <f t="shared" si="73"/>
        <v>15.126086956521739</v>
      </c>
      <c r="Y312" s="1">
        <f t="shared" si="74"/>
        <v>112</v>
      </c>
      <c r="Z312" s="1">
        <f t="shared" si="75"/>
        <v>109</v>
      </c>
      <c r="AA312" s="1">
        <f t="shared" si="76"/>
        <v>3.598214285714286</v>
      </c>
      <c r="AB312" s="1">
        <f t="shared" si="77"/>
        <v>3.3834862385321092</v>
      </c>
      <c r="AC312" s="1">
        <f t="shared" si="78"/>
        <v>1</v>
      </c>
      <c r="AD312" s="1">
        <f t="shared" si="79"/>
        <v>4.0415806268145234E-2</v>
      </c>
    </row>
    <row r="313" spans="1:30" x14ac:dyDescent="0.35">
      <c r="A313" t="s">
        <v>672</v>
      </c>
      <c r="B313" t="s">
        <v>45</v>
      </c>
      <c r="C313" t="s">
        <v>49</v>
      </c>
      <c r="D313" t="s">
        <v>17</v>
      </c>
      <c r="E313">
        <v>28</v>
      </c>
      <c r="F313" t="s">
        <v>79</v>
      </c>
      <c r="G313" t="s">
        <v>57</v>
      </c>
      <c r="H313" t="s">
        <v>673</v>
      </c>
      <c r="I313">
        <v>17</v>
      </c>
      <c r="J313">
        <v>26</v>
      </c>
      <c r="K313">
        <v>457839</v>
      </c>
      <c r="L313">
        <v>3</v>
      </c>
      <c r="M313" t="s">
        <v>43</v>
      </c>
      <c r="N313">
        <v>73</v>
      </c>
      <c r="O313">
        <f t="shared" si="64"/>
        <v>689</v>
      </c>
      <c r="P313">
        <f t="shared" si="65"/>
        <v>340</v>
      </c>
      <c r="Q313">
        <f t="shared" si="66"/>
        <v>349</v>
      </c>
      <c r="R313">
        <f t="shared" si="67"/>
        <v>49.650349650349654</v>
      </c>
      <c r="S313" s="1">
        <f t="shared" si="68"/>
        <v>50.24975024975025</v>
      </c>
      <c r="T313" s="1">
        <f t="shared" si="69"/>
        <v>320</v>
      </c>
      <c r="U313" s="1">
        <f t="shared" si="70"/>
        <v>369</v>
      </c>
      <c r="V313" s="1">
        <f t="shared" si="71"/>
        <v>47.5</v>
      </c>
      <c r="W313" s="1">
        <f t="shared" si="72"/>
        <v>52.5</v>
      </c>
      <c r="X313" s="1">
        <f t="shared" si="73"/>
        <v>15.105950653120464</v>
      </c>
      <c r="Y313" s="1">
        <f t="shared" si="74"/>
        <v>112</v>
      </c>
      <c r="Z313" s="1">
        <f t="shared" si="75"/>
        <v>109</v>
      </c>
      <c r="AA313" s="1">
        <f t="shared" si="76"/>
        <v>3.598214285714286</v>
      </c>
      <c r="AB313" s="1">
        <f t="shared" si="77"/>
        <v>3.3834862385321092</v>
      </c>
      <c r="AC313" s="1">
        <f t="shared" si="78"/>
        <v>0</v>
      </c>
      <c r="AD313" s="1">
        <f t="shared" si="79"/>
        <v>3.7444645658170468E-2</v>
      </c>
    </row>
    <row r="314" spans="1:30" x14ac:dyDescent="0.35">
      <c r="A314" t="s">
        <v>674</v>
      </c>
      <c r="B314" t="s">
        <v>55</v>
      </c>
      <c r="C314" t="s">
        <v>64</v>
      </c>
      <c r="D314" t="s">
        <v>17</v>
      </c>
      <c r="E314">
        <v>33</v>
      </c>
      <c r="F314" t="s">
        <v>37</v>
      </c>
      <c r="G314" t="s">
        <v>57</v>
      </c>
      <c r="H314" t="s">
        <v>675</v>
      </c>
      <c r="I314">
        <v>18</v>
      </c>
      <c r="J314">
        <v>21</v>
      </c>
      <c r="K314">
        <v>212934</v>
      </c>
      <c r="L314">
        <v>2.1</v>
      </c>
      <c r="M314" t="s">
        <v>21</v>
      </c>
      <c r="N314">
        <v>32</v>
      </c>
      <c r="O314">
        <f t="shared" si="64"/>
        <v>688</v>
      </c>
      <c r="P314">
        <f t="shared" si="65"/>
        <v>339</v>
      </c>
      <c r="Q314">
        <f t="shared" si="66"/>
        <v>349</v>
      </c>
      <c r="R314">
        <f t="shared" si="67"/>
        <v>49.650349650349654</v>
      </c>
      <c r="S314" s="1">
        <f t="shared" si="68"/>
        <v>50.24975024975025</v>
      </c>
      <c r="T314" s="1">
        <f t="shared" si="69"/>
        <v>320</v>
      </c>
      <c r="U314" s="1">
        <f t="shared" si="70"/>
        <v>368</v>
      </c>
      <c r="V314" s="1">
        <f t="shared" si="71"/>
        <v>47.5</v>
      </c>
      <c r="W314" s="1">
        <f t="shared" si="72"/>
        <v>52.5</v>
      </c>
      <c r="X314" s="1">
        <f t="shared" si="73"/>
        <v>15.090116279069768</v>
      </c>
      <c r="Y314" s="1">
        <f t="shared" si="74"/>
        <v>112</v>
      </c>
      <c r="Z314" s="1">
        <f t="shared" si="75"/>
        <v>109</v>
      </c>
      <c r="AA314" s="1">
        <f t="shared" si="76"/>
        <v>3.598214285714286</v>
      </c>
      <c r="AB314" s="1">
        <f t="shared" si="77"/>
        <v>3.3834862385321092</v>
      </c>
      <c r="AC314" s="1">
        <f t="shared" si="78"/>
        <v>1</v>
      </c>
      <c r="AD314" s="1">
        <f t="shared" si="79"/>
        <v>3.9670565543156878E-2</v>
      </c>
    </row>
    <row r="315" spans="1:30" x14ac:dyDescent="0.35">
      <c r="A315" t="s">
        <v>676</v>
      </c>
      <c r="B315" t="s">
        <v>29</v>
      </c>
      <c r="C315" t="s">
        <v>30</v>
      </c>
      <c r="D315" t="s">
        <v>25</v>
      </c>
      <c r="E315">
        <v>21</v>
      </c>
      <c r="F315" t="s">
        <v>18</v>
      </c>
      <c r="G315" t="s">
        <v>61</v>
      </c>
      <c r="H315" t="s">
        <v>677</v>
      </c>
      <c r="I315">
        <v>18</v>
      </c>
      <c r="J315">
        <v>23</v>
      </c>
      <c r="K315">
        <v>359467</v>
      </c>
      <c r="L315">
        <v>4.9000000000000004</v>
      </c>
      <c r="M315" t="s">
        <v>21</v>
      </c>
      <c r="N315">
        <v>52</v>
      </c>
      <c r="O315">
        <f t="shared" si="64"/>
        <v>687</v>
      </c>
      <c r="P315">
        <f t="shared" si="65"/>
        <v>338</v>
      </c>
      <c r="Q315">
        <f t="shared" si="66"/>
        <v>349</v>
      </c>
      <c r="R315">
        <f t="shared" si="67"/>
        <v>49.650349650349654</v>
      </c>
      <c r="S315" s="1">
        <f t="shared" si="68"/>
        <v>50.24975024975025</v>
      </c>
      <c r="T315" s="1">
        <f t="shared" si="69"/>
        <v>319</v>
      </c>
      <c r="U315" s="1">
        <f t="shared" si="70"/>
        <v>368</v>
      </c>
      <c r="V315" s="1">
        <f t="shared" si="71"/>
        <v>47.5</v>
      </c>
      <c r="W315" s="1">
        <f t="shared" si="72"/>
        <v>52.5</v>
      </c>
      <c r="X315" s="1">
        <f t="shared" si="73"/>
        <v>15.08151382823872</v>
      </c>
      <c r="Y315" s="1">
        <f t="shared" si="74"/>
        <v>112</v>
      </c>
      <c r="Z315" s="1">
        <f t="shared" si="75"/>
        <v>109</v>
      </c>
      <c r="AA315" s="1">
        <f t="shared" si="76"/>
        <v>3.598214285714286</v>
      </c>
      <c r="AB315" s="1">
        <f t="shared" si="77"/>
        <v>3.3834862385321092</v>
      </c>
      <c r="AC315" s="1">
        <f t="shared" si="78"/>
        <v>1</v>
      </c>
      <c r="AD315" s="1">
        <f t="shared" si="79"/>
        <v>3.8389391945399774E-2</v>
      </c>
    </row>
    <row r="316" spans="1:30" x14ac:dyDescent="0.35">
      <c r="A316" t="s">
        <v>678</v>
      </c>
      <c r="B316" t="s">
        <v>96</v>
      </c>
      <c r="C316" t="s">
        <v>24</v>
      </c>
      <c r="D316" t="s">
        <v>25</v>
      </c>
      <c r="E316">
        <v>29</v>
      </c>
      <c r="F316" t="s">
        <v>74</v>
      </c>
      <c r="G316" t="s">
        <v>75</v>
      </c>
      <c r="H316" t="s">
        <v>679</v>
      </c>
      <c r="I316">
        <v>2</v>
      </c>
      <c r="J316">
        <v>8</v>
      </c>
      <c r="K316">
        <v>285361</v>
      </c>
      <c r="L316">
        <v>2.9</v>
      </c>
      <c r="M316" t="s">
        <v>43</v>
      </c>
      <c r="N316">
        <v>75</v>
      </c>
      <c r="O316">
        <f t="shared" si="64"/>
        <v>686</v>
      </c>
      <c r="P316">
        <f t="shared" si="65"/>
        <v>338</v>
      </c>
      <c r="Q316">
        <f t="shared" si="66"/>
        <v>348</v>
      </c>
      <c r="R316">
        <f t="shared" si="67"/>
        <v>49.650349650349654</v>
      </c>
      <c r="S316" s="1">
        <f t="shared" si="68"/>
        <v>50.24975024975025</v>
      </c>
      <c r="T316" s="1">
        <f t="shared" si="69"/>
        <v>318</v>
      </c>
      <c r="U316" s="1">
        <f t="shared" si="70"/>
        <v>368</v>
      </c>
      <c r="V316" s="1">
        <f t="shared" si="71"/>
        <v>47.5</v>
      </c>
      <c r="W316" s="1">
        <f t="shared" si="72"/>
        <v>52.5</v>
      </c>
      <c r="X316" s="1">
        <f t="shared" si="73"/>
        <v>15.06997084548105</v>
      </c>
      <c r="Y316" s="1">
        <f t="shared" si="74"/>
        <v>112</v>
      </c>
      <c r="Z316" s="1">
        <f t="shared" si="75"/>
        <v>109</v>
      </c>
      <c r="AA316" s="1">
        <f t="shared" si="76"/>
        <v>3.598214285714286</v>
      </c>
      <c r="AB316" s="1">
        <f t="shared" si="77"/>
        <v>3.3834862385321092</v>
      </c>
      <c r="AC316" s="1">
        <f t="shared" si="78"/>
        <v>0</v>
      </c>
      <c r="AD316" s="1">
        <f t="shared" si="79"/>
        <v>3.6663179393234338E-2</v>
      </c>
    </row>
    <row r="317" spans="1:30" x14ac:dyDescent="0.35">
      <c r="A317" t="s">
        <v>680</v>
      </c>
      <c r="B317" t="s">
        <v>23</v>
      </c>
      <c r="C317" t="s">
        <v>16</v>
      </c>
      <c r="D317" t="s">
        <v>25</v>
      </c>
      <c r="E317">
        <v>25</v>
      </c>
      <c r="F317" t="s">
        <v>46</v>
      </c>
      <c r="G317" t="s">
        <v>61</v>
      </c>
      <c r="H317" t="s">
        <v>598</v>
      </c>
      <c r="I317">
        <v>4</v>
      </c>
      <c r="J317">
        <v>13</v>
      </c>
      <c r="K317">
        <v>115042</v>
      </c>
      <c r="L317">
        <v>4.9000000000000004</v>
      </c>
      <c r="M317" t="s">
        <v>43</v>
      </c>
      <c r="N317">
        <v>80</v>
      </c>
      <c r="O317">
        <f t="shared" si="64"/>
        <v>685</v>
      </c>
      <c r="P317">
        <f t="shared" si="65"/>
        <v>338</v>
      </c>
      <c r="Q317">
        <f t="shared" si="66"/>
        <v>347</v>
      </c>
      <c r="R317">
        <f t="shared" si="67"/>
        <v>49.650349650349654</v>
      </c>
      <c r="S317" s="1">
        <f t="shared" si="68"/>
        <v>50.24975024975025</v>
      </c>
      <c r="T317" s="1">
        <f t="shared" si="69"/>
        <v>318</v>
      </c>
      <c r="U317" s="1">
        <f t="shared" si="70"/>
        <v>367</v>
      </c>
      <c r="V317" s="1">
        <f t="shared" si="71"/>
        <v>47.5</v>
      </c>
      <c r="W317" s="1">
        <f t="shared" si="72"/>
        <v>52.5</v>
      </c>
      <c r="X317" s="1">
        <f t="shared" si="73"/>
        <v>15.08029197080292</v>
      </c>
      <c r="Y317" s="1">
        <f t="shared" si="74"/>
        <v>111</v>
      </c>
      <c r="Z317" s="1">
        <f t="shared" si="75"/>
        <v>109</v>
      </c>
      <c r="AA317" s="1">
        <f t="shared" si="76"/>
        <v>3.6045045045045052</v>
      </c>
      <c r="AB317" s="1">
        <f t="shared" si="77"/>
        <v>3.3834862385321092</v>
      </c>
      <c r="AC317" s="1">
        <f t="shared" si="78"/>
        <v>0</v>
      </c>
      <c r="AD317" s="1">
        <f t="shared" si="79"/>
        <v>3.5325267425111689E-2</v>
      </c>
    </row>
    <row r="318" spans="1:30" x14ac:dyDescent="0.35">
      <c r="A318" t="s">
        <v>681</v>
      </c>
      <c r="B318" t="s">
        <v>60</v>
      </c>
      <c r="C318" t="s">
        <v>52</v>
      </c>
      <c r="D318" t="s">
        <v>25</v>
      </c>
      <c r="E318">
        <v>48</v>
      </c>
      <c r="F318" t="s">
        <v>74</v>
      </c>
      <c r="G318" t="s">
        <v>61</v>
      </c>
      <c r="H318" t="s">
        <v>682</v>
      </c>
      <c r="I318">
        <v>6</v>
      </c>
      <c r="J318">
        <v>8</v>
      </c>
      <c r="K318">
        <v>173115</v>
      </c>
      <c r="L318">
        <v>3.3</v>
      </c>
      <c r="M318" t="s">
        <v>21</v>
      </c>
      <c r="N318">
        <v>64</v>
      </c>
      <c r="O318">
        <f t="shared" si="64"/>
        <v>684</v>
      </c>
      <c r="P318">
        <f t="shared" si="65"/>
        <v>338</v>
      </c>
      <c r="Q318">
        <f t="shared" si="66"/>
        <v>346</v>
      </c>
      <c r="R318">
        <f t="shared" si="67"/>
        <v>49.650349650349654</v>
      </c>
      <c r="S318" s="1">
        <f t="shared" si="68"/>
        <v>50.24975024975025</v>
      </c>
      <c r="T318" s="1">
        <f t="shared" si="69"/>
        <v>318</v>
      </c>
      <c r="U318" s="1">
        <f t="shared" si="70"/>
        <v>366</v>
      </c>
      <c r="V318" s="1">
        <f t="shared" si="71"/>
        <v>47.5</v>
      </c>
      <c r="W318" s="1">
        <f t="shared" si="72"/>
        <v>52.5</v>
      </c>
      <c r="X318" s="1">
        <f t="shared" si="73"/>
        <v>15.083333333333334</v>
      </c>
      <c r="Y318" s="1">
        <f t="shared" si="74"/>
        <v>111</v>
      </c>
      <c r="Z318" s="1">
        <f t="shared" si="75"/>
        <v>109</v>
      </c>
      <c r="AA318" s="1">
        <f t="shared" si="76"/>
        <v>3.6045045045045052</v>
      </c>
      <c r="AB318" s="1">
        <f t="shared" si="77"/>
        <v>3.3834862385321092</v>
      </c>
      <c r="AC318" s="1">
        <f t="shared" si="78"/>
        <v>1</v>
      </c>
      <c r="AD318" s="1">
        <f t="shared" si="79"/>
        <v>3.4940392653425925E-2</v>
      </c>
    </row>
    <row r="319" spans="1:30" x14ac:dyDescent="0.35">
      <c r="A319" t="s">
        <v>683</v>
      </c>
      <c r="B319" t="s">
        <v>29</v>
      </c>
      <c r="C319" t="s">
        <v>16</v>
      </c>
      <c r="D319" t="s">
        <v>17</v>
      </c>
      <c r="E319">
        <v>57</v>
      </c>
      <c r="F319" t="s">
        <v>74</v>
      </c>
      <c r="G319" t="s">
        <v>32</v>
      </c>
      <c r="H319" t="s">
        <v>684</v>
      </c>
      <c r="I319">
        <v>6</v>
      </c>
      <c r="J319">
        <v>7</v>
      </c>
      <c r="K319">
        <v>222500</v>
      </c>
      <c r="L319">
        <v>2.6</v>
      </c>
      <c r="M319" t="s">
        <v>21</v>
      </c>
      <c r="N319">
        <v>33</v>
      </c>
      <c r="O319">
        <f t="shared" si="64"/>
        <v>683</v>
      </c>
      <c r="P319">
        <f t="shared" si="65"/>
        <v>338</v>
      </c>
      <c r="Q319">
        <f t="shared" si="66"/>
        <v>345</v>
      </c>
      <c r="R319">
        <f t="shared" si="67"/>
        <v>49.650349650349654</v>
      </c>
      <c r="S319" s="1">
        <f t="shared" si="68"/>
        <v>50.24975024975025</v>
      </c>
      <c r="T319" s="1">
        <f t="shared" si="69"/>
        <v>317</v>
      </c>
      <c r="U319" s="1">
        <f t="shared" si="70"/>
        <v>366</v>
      </c>
      <c r="V319" s="1">
        <f t="shared" si="71"/>
        <v>47.5</v>
      </c>
      <c r="W319" s="1">
        <f t="shared" si="72"/>
        <v>52.5</v>
      </c>
      <c r="X319" s="1">
        <f t="shared" si="73"/>
        <v>15.093704245973646</v>
      </c>
      <c r="Y319" s="1">
        <f t="shared" si="74"/>
        <v>110</v>
      </c>
      <c r="Z319" s="1">
        <f t="shared" si="75"/>
        <v>109</v>
      </c>
      <c r="AA319" s="1">
        <f t="shared" si="76"/>
        <v>3.6072727272727274</v>
      </c>
      <c r="AB319" s="1">
        <f t="shared" si="77"/>
        <v>3.3834862385321092</v>
      </c>
      <c r="AC319" s="1">
        <f t="shared" si="78"/>
        <v>1</v>
      </c>
      <c r="AD319" s="1">
        <f t="shared" si="79"/>
        <v>3.6606883891338378E-2</v>
      </c>
    </row>
    <row r="320" spans="1:30" x14ac:dyDescent="0.35">
      <c r="A320" t="s">
        <v>685</v>
      </c>
      <c r="B320" t="s">
        <v>23</v>
      </c>
      <c r="C320" t="s">
        <v>36</v>
      </c>
      <c r="D320" t="s">
        <v>17</v>
      </c>
      <c r="E320">
        <v>56</v>
      </c>
      <c r="F320" t="s">
        <v>70</v>
      </c>
      <c r="G320" t="s">
        <v>88</v>
      </c>
      <c r="H320" t="s">
        <v>53</v>
      </c>
      <c r="I320">
        <v>14</v>
      </c>
      <c r="J320">
        <v>19</v>
      </c>
      <c r="K320">
        <v>337112</v>
      </c>
      <c r="L320">
        <v>3.3</v>
      </c>
      <c r="M320" t="s">
        <v>43</v>
      </c>
      <c r="N320">
        <v>78</v>
      </c>
      <c r="O320">
        <f t="shared" si="64"/>
        <v>682</v>
      </c>
      <c r="P320">
        <f t="shared" si="65"/>
        <v>337</v>
      </c>
      <c r="Q320">
        <f t="shared" si="66"/>
        <v>345</v>
      </c>
      <c r="R320">
        <f t="shared" si="67"/>
        <v>49.650349650349654</v>
      </c>
      <c r="S320" s="1">
        <f t="shared" si="68"/>
        <v>50.24975024975025</v>
      </c>
      <c r="T320" s="1">
        <f t="shared" si="69"/>
        <v>316</v>
      </c>
      <c r="U320" s="1">
        <f t="shared" si="70"/>
        <v>366</v>
      </c>
      <c r="V320" s="1">
        <f t="shared" si="71"/>
        <v>47.5</v>
      </c>
      <c r="W320" s="1">
        <f t="shared" si="72"/>
        <v>52.5</v>
      </c>
      <c r="X320" s="1">
        <f t="shared" si="73"/>
        <v>15.105571847507331</v>
      </c>
      <c r="Y320" s="1">
        <f t="shared" si="74"/>
        <v>109</v>
      </c>
      <c r="Z320" s="1">
        <f t="shared" si="75"/>
        <v>109</v>
      </c>
      <c r="AA320" s="1">
        <f t="shared" si="76"/>
        <v>3.6165137614678904</v>
      </c>
      <c r="AB320" s="1">
        <f t="shared" si="77"/>
        <v>3.3834862385321092</v>
      </c>
      <c r="AC320" s="1">
        <f t="shared" si="78"/>
        <v>0</v>
      </c>
      <c r="AD320" s="1">
        <f t="shared" si="79"/>
        <v>3.8520656877892322E-2</v>
      </c>
    </row>
    <row r="321" spans="1:30" x14ac:dyDescent="0.35">
      <c r="A321" t="s">
        <v>686</v>
      </c>
      <c r="B321" t="s">
        <v>55</v>
      </c>
      <c r="C321" t="s">
        <v>49</v>
      </c>
      <c r="D321" t="s">
        <v>25</v>
      </c>
      <c r="E321">
        <v>58</v>
      </c>
      <c r="F321" t="s">
        <v>46</v>
      </c>
      <c r="G321" t="s">
        <v>71</v>
      </c>
      <c r="H321" t="s">
        <v>687</v>
      </c>
      <c r="I321">
        <v>12</v>
      </c>
      <c r="J321">
        <v>16</v>
      </c>
      <c r="K321">
        <v>390502</v>
      </c>
      <c r="L321">
        <v>4.5999999999999996</v>
      </c>
      <c r="M321" t="s">
        <v>21</v>
      </c>
      <c r="N321">
        <v>61</v>
      </c>
      <c r="O321">
        <f t="shared" si="64"/>
        <v>681</v>
      </c>
      <c r="P321">
        <f t="shared" si="65"/>
        <v>336</v>
      </c>
      <c r="Q321">
        <f t="shared" si="66"/>
        <v>345</v>
      </c>
      <c r="R321">
        <f t="shared" si="67"/>
        <v>49.650349650349654</v>
      </c>
      <c r="S321" s="1">
        <f t="shared" si="68"/>
        <v>50.24975024975025</v>
      </c>
      <c r="T321" s="1">
        <f t="shared" si="69"/>
        <v>316</v>
      </c>
      <c r="U321" s="1">
        <f t="shared" si="70"/>
        <v>365</v>
      </c>
      <c r="V321" s="1">
        <f t="shared" si="71"/>
        <v>47.5</v>
      </c>
      <c r="W321" s="1">
        <f t="shared" si="72"/>
        <v>52.5</v>
      </c>
      <c r="X321" s="1">
        <f t="shared" si="73"/>
        <v>15.099853157121879</v>
      </c>
      <c r="Y321" s="1">
        <f t="shared" si="74"/>
        <v>109</v>
      </c>
      <c r="Z321" s="1">
        <f t="shared" si="75"/>
        <v>109</v>
      </c>
      <c r="AA321" s="1">
        <f t="shared" si="76"/>
        <v>3.6165137614678904</v>
      </c>
      <c r="AB321" s="1">
        <f t="shared" si="77"/>
        <v>3.3834862385321092</v>
      </c>
      <c r="AC321" s="1">
        <f t="shared" si="78"/>
        <v>1</v>
      </c>
      <c r="AD321" s="1">
        <f t="shared" si="79"/>
        <v>3.9322733452405424E-2</v>
      </c>
    </row>
    <row r="322" spans="1:30" x14ac:dyDescent="0.35">
      <c r="A322" t="s">
        <v>688</v>
      </c>
      <c r="B322" t="s">
        <v>35</v>
      </c>
      <c r="C322" t="s">
        <v>49</v>
      </c>
      <c r="D322" t="s">
        <v>17</v>
      </c>
      <c r="E322">
        <v>52</v>
      </c>
      <c r="F322" t="s">
        <v>37</v>
      </c>
      <c r="G322" t="s">
        <v>88</v>
      </c>
      <c r="H322" t="s">
        <v>689</v>
      </c>
      <c r="I322">
        <v>19</v>
      </c>
      <c r="J322">
        <v>24</v>
      </c>
      <c r="K322">
        <v>480663</v>
      </c>
      <c r="L322">
        <v>3.1</v>
      </c>
      <c r="M322" t="s">
        <v>21</v>
      </c>
      <c r="N322">
        <v>41</v>
      </c>
      <c r="O322">
        <f t="shared" ref="O322:O385" si="80">COUNTA(A322:A1321)</f>
        <v>680</v>
      </c>
      <c r="P322">
        <f t="shared" ref="P322:P385" si="81">COUNTIF(D322:D1321,"Male")</f>
        <v>336</v>
      </c>
      <c r="Q322">
        <f t="shared" ref="Q322:Q385" si="82">COUNTIF(D322:D1321,"Female")</f>
        <v>344</v>
      </c>
      <c r="R322">
        <f t="shared" ref="R322:R385" si="83">497/1001*100</f>
        <v>49.650349650349654</v>
      </c>
      <c r="S322" s="1">
        <f t="shared" ref="S322:S385" si="84">503/1001*100</f>
        <v>50.24975024975025</v>
      </c>
      <c r="T322" s="1">
        <f t="shared" ref="T322:T385" si="85">COUNTIF(M322:M1321,"Yes")</f>
        <v>315</v>
      </c>
      <c r="U322" s="1">
        <f t="shared" ref="U322:U385" si="86">COUNTIF(M322:M1321,"No")</f>
        <v>365</v>
      </c>
      <c r="V322" s="1">
        <f t="shared" ref="V322:V385" si="87">475/1000*100</f>
        <v>47.5</v>
      </c>
      <c r="W322" s="1">
        <f t="shared" ref="W322:W385" si="88">525/1000*100</f>
        <v>52.5</v>
      </c>
      <c r="X322" s="1">
        <f t="shared" ref="X322:X385" si="89">AVERAGE(J322:J1321)</f>
        <v>15.098529411764705</v>
      </c>
      <c r="Y322" s="1">
        <f t="shared" ref="Y322:Y385" si="90">COUNTIF(F322:F1321,"Marketing")</f>
        <v>109</v>
      </c>
      <c r="Z322" s="1">
        <f t="shared" ref="Z322:Z385" si="91">COUNTIF(F322:F1321,"IT")</f>
        <v>109</v>
      </c>
      <c r="AA322" s="1">
        <f t="shared" ref="AA322:AA385" si="92">AVERAGEIF(F322:F1321,"Marketing",L322:L1321)</f>
        <v>3.6165137614678904</v>
      </c>
      <c r="AB322" s="1">
        <f t="shared" ref="AB322:AB385" si="93">AVERAGEIF(F322:F1321,"IT",L322:L1321)</f>
        <v>3.3834862385321092</v>
      </c>
      <c r="AC322" s="1">
        <f t="shared" ref="AC322:AC385" si="94">IF(M322="yes",1,0)</f>
        <v>1</v>
      </c>
      <c r="AD322" s="1">
        <f t="shared" ref="AD322:AD385" si="95">CORREL(J322:J1321,AC322:AC1321)</f>
        <v>3.9150966756883329E-2</v>
      </c>
    </row>
    <row r="323" spans="1:30" x14ac:dyDescent="0.35">
      <c r="A323" t="s">
        <v>690</v>
      </c>
      <c r="B323" t="s">
        <v>78</v>
      </c>
      <c r="C323" t="s">
        <v>82</v>
      </c>
      <c r="D323" t="s">
        <v>25</v>
      </c>
      <c r="E323">
        <v>35</v>
      </c>
      <c r="F323" t="s">
        <v>31</v>
      </c>
      <c r="G323" t="s">
        <v>71</v>
      </c>
      <c r="H323" t="s">
        <v>691</v>
      </c>
      <c r="I323">
        <v>6</v>
      </c>
      <c r="J323">
        <v>7</v>
      </c>
      <c r="K323">
        <v>85232</v>
      </c>
      <c r="L323">
        <v>2</v>
      </c>
      <c r="M323" t="s">
        <v>43</v>
      </c>
      <c r="N323">
        <v>79</v>
      </c>
      <c r="O323">
        <f t="shared" si="80"/>
        <v>679</v>
      </c>
      <c r="P323">
        <f t="shared" si="81"/>
        <v>335</v>
      </c>
      <c r="Q323">
        <f t="shared" si="82"/>
        <v>344</v>
      </c>
      <c r="R323">
        <f t="shared" si="83"/>
        <v>49.650349650349654</v>
      </c>
      <c r="S323" s="1">
        <f t="shared" si="84"/>
        <v>50.24975024975025</v>
      </c>
      <c r="T323" s="1">
        <f t="shared" si="85"/>
        <v>314</v>
      </c>
      <c r="U323" s="1">
        <f t="shared" si="86"/>
        <v>365</v>
      </c>
      <c r="V323" s="1">
        <f t="shared" si="87"/>
        <v>47.5</v>
      </c>
      <c r="W323" s="1">
        <f t="shared" si="88"/>
        <v>52.5</v>
      </c>
      <c r="X323" s="1">
        <f t="shared" si="89"/>
        <v>15.085419734904271</v>
      </c>
      <c r="Y323" s="1">
        <f t="shared" si="90"/>
        <v>109</v>
      </c>
      <c r="Z323" s="1">
        <f t="shared" si="91"/>
        <v>109</v>
      </c>
      <c r="AA323" s="1">
        <f t="shared" si="92"/>
        <v>3.6165137614678904</v>
      </c>
      <c r="AB323" s="1">
        <f t="shared" si="93"/>
        <v>3.3834862385321092</v>
      </c>
      <c r="AC323" s="1">
        <f t="shared" si="94"/>
        <v>0</v>
      </c>
      <c r="AD323" s="1">
        <f t="shared" si="95"/>
        <v>3.7190818040768368E-2</v>
      </c>
    </row>
    <row r="324" spans="1:30" x14ac:dyDescent="0.35">
      <c r="A324" t="s">
        <v>692</v>
      </c>
      <c r="B324" t="s">
        <v>15</v>
      </c>
      <c r="C324" t="s">
        <v>82</v>
      </c>
      <c r="D324" t="s">
        <v>17</v>
      </c>
      <c r="E324">
        <v>34</v>
      </c>
      <c r="F324" t="s">
        <v>74</v>
      </c>
      <c r="G324" t="s">
        <v>71</v>
      </c>
      <c r="H324" t="s">
        <v>693</v>
      </c>
      <c r="I324">
        <v>6</v>
      </c>
      <c r="J324">
        <v>12</v>
      </c>
      <c r="K324">
        <v>258563</v>
      </c>
      <c r="L324">
        <v>3.2</v>
      </c>
      <c r="M324" t="s">
        <v>21</v>
      </c>
      <c r="N324">
        <v>63</v>
      </c>
      <c r="O324">
        <f t="shared" si="80"/>
        <v>678</v>
      </c>
      <c r="P324">
        <f t="shared" si="81"/>
        <v>335</v>
      </c>
      <c r="Q324">
        <f t="shared" si="82"/>
        <v>343</v>
      </c>
      <c r="R324">
        <f t="shared" si="83"/>
        <v>49.650349650349654</v>
      </c>
      <c r="S324" s="1">
        <f t="shared" si="84"/>
        <v>50.24975024975025</v>
      </c>
      <c r="T324" s="1">
        <f t="shared" si="85"/>
        <v>314</v>
      </c>
      <c r="U324" s="1">
        <f t="shared" si="86"/>
        <v>364</v>
      </c>
      <c r="V324" s="1">
        <f t="shared" si="87"/>
        <v>47.5</v>
      </c>
      <c r="W324" s="1">
        <f t="shared" si="88"/>
        <v>52.5</v>
      </c>
      <c r="X324" s="1">
        <f t="shared" si="89"/>
        <v>15.097345132743364</v>
      </c>
      <c r="Y324" s="1">
        <f t="shared" si="90"/>
        <v>109</v>
      </c>
      <c r="Z324" s="1">
        <f t="shared" si="91"/>
        <v>108</v>
      </c>
      <c r="AA324" s="1">
        <f t="shared" si="92"/>
        <v>3.6165137614678904</v>
      </c>
      <c r="AB324" s="1">
        <f t="shared" si="93"/>
        <v>3.3962962962962955</v>
      </c>
      <c r="AC324" s="1">
        <f t="shared" si="94"/>
        <v>1</v>
      </c>
      <c r="AD324" s="1">
        <f t="shared" si="95"/>
        <v>3.5651828802588152E-2</v>
      </c>
    </row>
    <row r="325" spans="1:30" x14ac:dyDescent="0.35">
      <c r="A325" t="s">
        <v>694</v>
      </c>
      <c r="B325" t="s">
        <v>29</v>
      </c>
      <c r="C325" t="s">
        <v>64</v>
      </c>
      <c r="D325" t="s">
        <v>17</v>
      </c>
      <c r="E325">
        <v>22</v>
      </c>
      <c r="F325" t="s">
        <v>79</v>
      </c>
      <c r="G325" t="s">
        <v>32</v>
      </c>
      <c r="H325" t="s">
        <v>695</v>
      </c>
      <c r="I325">
        <v>18</v>
      </c>
      <c r="J325">
        <v>24</v>
      </c>
      <c r="K325">
        <v>257419</v>
      </c>
      <c r="L325">
        <v>5</v>
      </c>
      <c r="M325" t="s">
        <v>21</v>
      </c>
      <c r="N325">
        <v>60</v>
      </c>
      <c r="O325">
        <f t="shared" si="80"/>
        <v>677</v>
      </c>
      <c r="P325">
        <f t="shared" si="81"/>
        <v>334</v>
      </c>
      <c r="Q325">
        <f t="shared" si="82"/>
        <v>343</v>
      </c>
      <c r="R325">
        <f t="shared" si="83"/>
        <v>49.650349650349654</v>
      </c>
      <c r="S325" s="1">
        <f t="shared" si="84"/>
        <v>50.24975024975025</v>
      </c>
      <c r="T325" s="1">
        <f t="shared" si="85"/>
        <v>313</v>
      </c>
      <c r="U325" s="1">
        <f t="shared" si="86"/>
        <v>364</v>
      </c>
      <c r="V325" s="1">
        <f t="shared" si="87"/>
        <v>47.5</v>
      </c>
      <c r="W325" s="1">
        <f t="shared" si="88"/>
        <v>52.5</v>
      </c>
      <c r="X325" s="1">
        <f t="shared" si="89"/>
        <v>15.101920236336779</v>
      </c>
      <c r="Y325" s="1">
        <f t="shared" si="90"/>
        <v>108</v>
      </c>
      <c r="Z325" s="1">
        <f t="shared" si="91"/>
        <v>108</v>
      </c>
      <c r="AA325" s="1">
        <f t="shared" si="92"/>
        <v>3.6203703703703702</v>
      </c>
      <c r="AB325" s="1">
        <f t="shared" si="93"/>
        <v>3.3962962962962955</v>
      </c>
      <c r="AC325" s="1">
        <f t="shared" si="94"/>
        <v>1</v>
      </c>
      <c r="AD325" s="1">
        <f t="shared" si="95"/>
        <v>3.6399995973555047E-2</v>
      </c>
    </row>
    <row r="326" spans="1:30" x14ac:dyDescent="0.35">
      <c r="A326" t="s">
        <v>696</v>
      </c>
      <c r="B326" t="s">
        <v>55</v>
      </c>
      <c r="C326" t="s">
        <v>52</v>
      </c>
      <c r="D326" t="s">
        <v>25</v>
      </c>
      <c r="E326">
        <v>39</v>
      </c>
      <c r="F326" t="s">
        <v>70</v>
      </c>
      <c r="G326" t="s">
        <v>85</v>
      </c>
      <c r="H326" t="s">
        <v>697</v>
      </c>
      <c r="I326">
        <v>10</v>
      </c>
      <c r="J326">
        <v>10</v>
      </c>
      <c r="K326">
        <v>118644</v>
      </c>
      <c r="L326">
        <v>2.9</v>
      </c>
      <c r="M326" t="s">
        <v>43</v>
      </c>
      <c r="N326">
        <v>94</v>
      </c>
      <c r="O326">
        <f t="shared" si="80"/>
        <v>676</v>
      </c>
      <c r="P326">
        <f t="shared" si="81"/>
        <v>333</v>
      </c>
      <c r="Q326">
        <f t="shared" si="82"/>
        <v>343</v>
      </c>
      <c r="R326">
        <f t="shared" si="83"/>
        <v>49.650349650349654</v>
      </c>
      <c r="S326" s="1">
        <f t="shared" si="84"/>
        <v>50.24975024975025</v>
      </c>
      <c r="T326" s="1">
        <f t="shared" si="85"/>
        <v>312</v>
      </c>
      <c r="U326" s="1">
        <f t="shared" si="86"/>
        <v>364</v>
      </c>
      <c r="V326" s="1">
        <f t="shared" si="87"/>
        <v>47.5</v>
      </c>
      <c r="W326" s="1">
        <f t="shared" si="88"/>
        <v>52.5</v>
      </c>
      <c r="X326" s="1">
        <f t="shared" si="89"/>
        <v>15.088757396449704</v>
      </c>
      <c r="Y326" s="1">
        <f t="shared" si="90"/>
        <v>108</v>
      </c>
      <c r="Z326" s="1">
        <f t="shared" si="91"/>
        <v>108</v>
      </c>
      <c r="AA326" s="1">
        <f t="shared" si="92"/>
        <v>3.6203703703703702</v>
      </c>
      <c r="AB326" s="1">
        <f t="shared" si="93"/>
        <v>3.3962962962962955</v>
      </c>
      <c r="AC326" s="1">
        <f t="shared" si="94"/>
        <v>0</v>
      </c>
      <c r="AD326" s="1">
        <f t="shared" si="95"/>
        <v>3.442222062236746E-2</v>
      </c>
    </row>
    <row r="327" spans="1:30" x14ac:dyDescent="0.35">
      <c r="A327" t="s">
        <v>698</v>
      </c>
      <c r="B327" t="s">
        <v>69</v>
      </c>
      <c r="C327" t="s">
        <v>16</v>
      </c>
      <c r="D327" t="s">
        <v>25</v>
      </c>
      <c r="E327">
        <v>49</v>
      </c>
      <c r="F327" t="s">
        <v>31</v>
      </c>
      <c r="G327" t="s">
        <v>61</v>
      </c>
      <c r="H327" t="s">
        <v>699</v>
      </c>
      <c r="I327">
        <v>18</v>
      </c>
      <c r="J327">
        <v>28</v>
      </c>
      <c r="K327">
        <v>251916</v>
      </c>
      <c r="L327">
        <v>3.3</v>
      </c>
      <c r="M327" t="s">
        <v>43</v>
      </c>
      <c r="N327">
        <v>76</v>
      </c>
      <c r="O327">
        <f t="shared" si="80"/>
        <v>675</v>
      </c>
      <c r="P327">
        <f t="shared" si="81"/>
        <v>333</v>
      </c>
      <c r="Q327">
        <f t="shared" si="82"/>
        <v>342</v>
      </c>
      <c r="R327">
        <f t="shared" si="83"/>
        <v>49.650349650349654</v>
      </c>
      <c r="S327" s="1">
        <f t="shared" si="84"/>
        <v>50.24975024975025</v>
      </c>
      <c r="T327" s="1">
        <f t="shared" si="85"/>
        <v>312</v>
      </c>
      <c r="U327" s="1">
        <f t="shared" si="86"/>
        <v>363</v>
      </c>
      <c r="V327" s="1">
        <f t="shared" si="87"/>
        <v>47.5</v>
      </c>
      <c r="W327" s="1">
        <f t="shared" si="88"/>
        <v>52.5</v>
      </c>
      <c r="X327" s="1">
        <f t="shared" si="89"/>
        <v>15.096296296296297</v>
      </c>
      <c r="Y327" s="1">
        <f t="shared" si="90"/>
        <v>108</v>
      </c>
      <c r="Z327" s="1">
        <f t="shared" si="91"/>
        <v>108</v>
      </c>
      <c r="AA327" s="1">
        <f t="shared" si="92"/>
        <v>3.6203703703703702</v>
      </c>
      <c r="AB327" s="1">
        <f t="shared" si="93"/>
        <v>3.3962962962962955</v>
      </c>
      <c r="AC327" s="1">
        <f t="shared" si="94"/>
        <v>0</v>
      </c>
      <c r="AD327" s="1">
        <f t="shared" si="95"/>
        <v>3.3448651466357289E-2</v>
      </c>
    </row>
    <row r="328" spans="1:30" x14ac:dyDescent="0.35">
      <c r="A328" t="s">
        <v>700</v>
      </c>
      <c r="B328" t="s">
        <v>15</v>
      </c>
      <c r="C328" t="s">
        <v>52</v>
      </c>
      <c r="D328" t="s">
        <v>25</v>
      </c>
      <c r="E328">
        <v>38</v>
      </c>
      <c r="F328" t="s">
        <v>79</v>
      </c>
      <c r="G328" t="s">
        <v>71</v>
      </c>
      <c r="H328" t="s">
        <v>701</v>
      </c>
      <c r="I328">
        <v>11</v>
      </c>
      <c r="J328">
        <v>15</v>
      </c>
      <c r="K328">
        <v>69945</v>
      </c>
      <c r="L328">
        <v>2</v>
      </c>
      <c r="M328" t="s">
        <v>43</v>
      </c>
      <c r="N328">
        <v>89</v>
      </c>
      <c r="O328">
        <f t="shared" si="80"/>
        <v>674</v>
      </c>
      <c r="P328">
        <f t="shared" si="81"/>
        <v>333</v>
      </c>
      <c r="Q328">
        <f t="shared" si="82"/>
        <v>341</v>
      </c>
      <c r="R328">
        <f t="shared" si="83"/>
        <v>49.650349650349654</v>
      </c>
      <c r="S328" s="1">
        <f t="shared" si="84"/>
        <v>50.24975024975025</v>
      </c>
      <c r="T328" s="1">
        <f t="shared" si="85"/>
        <v>312</v>
      </c>
      <c r="U328" s="1">
        <f t="shared" si="86"/>
        <v>362</v>
      </c>
      <c r="V328" s="1">
        <f t="shared" si="87"/>
        <v>47.5</v>
      </c>
      <c r="W328" s="1">
        <f t="shared" si="88"/>
        <v>52.5</v>
      </c>
      <c r="X328" s="1">
        <f t="shared" si="89"/>
        <v>15.077151335311573</v>
      </c>
      <c r="Y328" s="1">
        <f t="shared" si="90"/>
        <v>108</v>
      </c>
      <c r="Z328" s="1">
        <f t="shared" si="91"/>
        <v>107</v>
      </c>
      <c r="AA328" s="1">
        <f t="shared" si="92"/>
        <v>3.6203703703703702</v>
      </c>
      <c r="AB328" s="1">
        <f t="shared" si="93"/>
        <v>3.3971962616822426</v>
      </c>
      <c r="AC328" s="1">
        <f t="shared" si="94"/>
        <v>0</v>
      </c>
      <c r="AD328" s="1">
        <f t="shared" si="95"/>
        <v>3.612775536043486E-2</v>
      </c>
    </row>
    <row r="329" spans="1:30" x14ac:dyDescent="0.35">
      <c r="A329" t="s">
        <v>702</v>
      </c>
      <c r="B329" t="s">
        <v>29</v>
      </c>
      <c r="C329" t="s">
        <v>82</v>
      </c>
      <c r="D329" t="s">
        <v>17</v>
      </c>
      <c r="E329">
        <v>55</v>
      </c>
      <c r="F329" t="s">
        <v>31</v>
      </c>
      <c r="G329" t="s">
        <v>26</v>
      </c>
      <c r="H329" t="s">
        <v>703</v>
      </c>
      <c r="I329">
        <v>17</v>
      </c>
      <c r="J329">
        <v>25</v>
      </c>
      <c r="K329">
        <v>476587</v>
      </c>
      <c r="L329">
        <v>4.8</v>
      </c>
      <c r="M329" t="s">
        <v>21</v>
      </c>
      <c r="N329">
        <v>49</v>
      </c>
      <c r="O329">
        <f t="shared" si="80"/>
        <v>673</v>
      </c>
      <c r="P329">
        <f t="shared" si="81"/>
        <v>333</v>
      </c>
      <c r="Q329">
        <f t="shared" si="82"/>
        <v>340</v>
      </c>
      <c r="R329">
        <f t="shared" si="83"/>
        <v>49.650349650349654</v>
      </c>
      <c r="S329" s="1">
        <f t="shared" si="84"/>
        <v>50.24975024975025</v>
      </c>
      <c r="T329" s="1">
        <f t="shared" si="85"/>
        <v>312</v>
      </c>
      <c r="U329" s="1">
        <f t="shared" si="86"/>
        <v>361</v>
      </c>
      <c r="V329" s="1">
        <f t="shared" si="87"/>
        <v>47.5</v>
      </c>
      <c r="W329" s="1">
        <f t="shared" si="88"/>
        <v>52.5</v>
      </c>
      <c r="X329" s="1">
        <f t="shared" si="89"/>
        <v>15.077265973254086</v>
      </c>
      <c r="Y329" s="1">
        <f t="shared" si="90"/>
        <v>108</v>
      </c>
      <c r="Z329" s="1">
        <f t="shared" si="91"/>
        <v>107</v>
      </c>
      <c r="AA329" s="1">
        <f t="shared" si="92"/>
        <v>3.6203703703703702</v>
      </c>
      <c r="AB329" s="1">
        <f t="shared" si="93"/>
        <v>3.3971962616822426</v>
      </c>
      <c r="AC329" s="1">
        <f t="shared" si="94"/>
        <v>1</v>
      </c>
      <c r="AD329" s="1">
        <f t="shared" si="95"/>
        <v>3.6135508430017768E-2</v>
      </c>
    </row>
    <row r="330" spans="1:30" x14ac:dyDescent="0.35">
      <c r="A330" t="s">
        <v>704</v>
      </c>
      <c r="B330" t="s">
        <v>23</v>
      </c>
      <c r="C330" t="s">
        <v>82</v>
      </c>
      <c r="D330" t="s">
        <v>17</v>
      </c>
      <c r="E330">
        <v>41</v>
      </c>
      <c r="F330" t="s">
        <v>18</v>
      </c>
      <c r="G330" t="s">
        <v>26</v>
      </c>
      <c r="H330" t="s">
        <v>705</v>
      </c>
      <c r="I330">
        <v>0</v>
      </c>
      <c r="J330">
        <v>6</v>
      </c>
      <c r="K330">
        <v>79922</v>
      </c>
      <c r="L330">
        <v>3.9</v>
      </c>
      <c r="M330" t="s">
        <v>21</v>
      </c>
      <c r="N330">
        <v>33</v>
      </c>
      <c r="O330">
        <f t="shared" si="80"/>
        <v>672</v>
      </c>
      <c r="P330">
        <f t="shared" si="81"/>
        <v>332</v>
      </c>
      <c r="Q330">
        <f t="shared" si="82"/>
        <v>340</v>
      </c>
      <c r="R330">
        <f t="shared" si="83"/>
        <v>49.650349650349654</v>
      </c>
      <c r="S330" s="1">
        <f t="shared" si="84"/>
        <v>50.24975024975025</v>
      </c>
      <c r="T330" s="1">
        <f t="shared" si="85"/>
        <v>311</v>
      </c>
      <c r="U330" s="1">
        <f t="shared" si="86"/>
        <v>361</v>
      </c>
      <c r="V330" s="1">
        <f t="shared" si="87"/>
        <v>47.5</v>
      </c>
      <c r="W330" s="1">
        <f t="shared" si="88"/>
        <v>52.5</v>
      </c>
      <c r="X330" s="1">
        <f t="shared" si="89"/>
        <v>15.0625</v>
      </c>
      <c r="Y330" s="1">
        <f t="shared" si="90"/>
        <v>108</v>
      </c>
      <c r="Z330" s="1">
        <f t="shared" si="91"/>
        <v>106</v>
      </c>
      <c r="AA330" s="1">
        <f t="shared" si="92"/>
        <v>3.6203703703703702</v>
      </c>
      <c r="AB330" s="1">
        <f t="shared" si="93"/>
        <v>3.3839622641509428</v>
      </c>
      <c r="AC330" s="1">
        <f t="shared" si="94"/>
        <v>1</v>
      </c>
      <c r="AD330" s="1">
        <f t="shared" si="95"/>
        <v>3.3920616422238224E-2</v>
      </c>
    </row>
    <row r="331" spans="1:30" x14ac:dyDescent="0.35">
      <c r="A331" t="s">
        <v>706</v>
      </c>
      <c r="B331" t="s">
        <v>55</v>
      </c>
      <c r="C331" t="s">
        <v>64</v>
      </c>
      <c r="D331" t="s">
        <v>17</v>
      </c>
      <c r="E331">
        <v>27</v>
      </c>
      <c r="F331" t="s">
        <v>37</v>
      </c>
      <c r="G331" t="s">
        <v>75</v>
      </c>
      <c r="H331" t="s">
        <v>707</v>
      </c>
      <c r="I331">
        <v>14</v>
      </c>
      <c r="J331">
        <v>14</v>
      </c>
      <c r="K331">
        <v>170448</v>
      </c>
      <c r="L331">
        <v>3.8</v>
      </c>
      <c r="M331" t="s">
        <v>21</v>
      </c>
      <c r="N331">
        <v>63</v>
      </c>
      <c r="O331">
        <f t="shared" si="80"/>
        <v>671</v>
      </c>
      <c r="P331">
        <f t="shared" si="81"/>
        <v>331</v>
      </c>
      <c r="Q331">
        <f t="shared" si="82"/>
        <v>340</v>
      </c>
      <c r="R331">
        <f t="shared" si="83"/>
        <v>49.650349650349654</v>
      </c>
      <c r="S331" s="1">
        <f t="shared" si="84"/>
        <v>50.24975024975025</v>
      </c>
      <c r="T331" s="1">
        <f t="shared" si="85"/>
        <v>310</v>
      </c>
      <c r="U331" s="1">
        <f t="shared" si="86"/>
        <v>361</v>
      </c>
      <c r="V331" s="1">
        <f t="shared" si="87"/>
        <v>47.5</v>
      </c>
      <c r="W331" s="1">
        <f t="shared" si="88"/>
        <v>52.5</v>
      </c>
      <c r="X331" s="1">
        <f t="shared" si="89"/>
        <v>15.076005961251862</v>
      </c>
      <c r="Y331" s="1">
        <f t="shared" si="90"/>
        <v>108</v>
      </c>
      <c r="Z331" s="1">
        <f t="shared" si="91"/>
        <v>106</v>
      </c>
      <c r="AA331" s="1">
        <f t="shared" si="92"/>
        <v>3.6203703703703702</v>
      </c>
      <c r="AB331" s="1">
        <f t="shared" si="93"/>
        <v>3.3839622641509428</v>
      </c>
      <c r="AC331" s="1">
        <f t="shared" si="94"/>
        <v>1</v>
      </c>
      <c r="AD331" s="1">
        <f t="shared" si="95"/>
        <v>3.6103231908452112E-2</v>
      </c>
    </row>
    <row r="332" spans="1:30" x14ac:dyDescent="0.35">
      <c r="A332" t="s">
        <v>708</v>
      </c>
      <c r="B332" t="s">
        <v>23</v>
      </c>
      <c r="C332" t="s">
        <v>24</v>
      </c>
      <c r="D332" t="s">
        <v>25</v>
      </c>
      <c r="E332">
        <v>38</v>
      </c>
      <c r="F332" t="s">
        <v>70</v>
      </c>
      <c r="G332" t="s">
        <v>19</v>
      </c>
      <c r="H332" t="s">
        <v>709</v>
      </c>
      <c r="I332">
        <v>15</v>
      </c>
      <c r="J332">
        <v>25</v>
      </c>
      <c r="K332">
        <v>258107</v>
      </c>
      <c r="L332">
        <v>3.2</v>
      </c>
      <c r="M332" t="s">
        <v>21</v>
      </c>
      <c r="N332">
        <v>37</v>
      </c>
      <c r="O332">
        <f t="shared" si="80"/>
        <v>670</v>
      </c>
      <c r="P332">
        <f t="shared" si="81"/>
        <v>330</v>
      </c>
      <c r="Q332">
        <f t="shared" si="82"/>
        <v>340</v>
      </c>
      <c r="R332">
        <f t="shared" si="83"/>
        <v>49.650349650349654</v>
      </c>
      <c r="S332" s="1">
        <f t="shared" si="84"/>
        <v>50.24975024975025</v>
      </c>
      <c r="T332" s="1">
        <f t="shared" si="85"/>
        <v>309</v>
      </c>
      <c r="U332" s="1">
        <f t="shared" si="86"/>
        <v>361</v>
      </c>
      <c r="V332" s="1">
        <f t="shared" si="87"/>
        <v>47.5</v>
      </c>
      <c r="W332" s="1">
        <f t="shared" si="88"/>
        <v>52.5</v>
      </c>
      <c r="X332" s="1">
        <f t="shared" si="89"/>
        <v>15.077611940298507</v>
      </c>
      <c r="Y332" s="1">
        <f t="shared" si="90"/>
        <v>108</v>
      </c>
      <c r="Z332" s="1">
        <f t="shared" si="91"/>
        <v>106</v>
      </c>
      <c r="AA332" s="1">
        <f t="shared" si="92"/>
        <v>3.6203703703703702</v>
      </c>
      <c r="AB332" s="1">
        <f t="shared" si="93"/>
        <v>3.3839622641509428</v>
      </c>
      <c r="AC332" s="1">
        <f t="shared" si="94"/>
        <v>1</v>
      </c>
      <c r="AD332" s="1">
        <f t="shared" si="95"/>
        <v>3.638638339993016E-2</v>
      </c>
    </row>
    <row r="333" spans="1:30" x14ac:dyDescent="0.35">
      <c r="A333" t="s">
        <v>710</v>
      </c>
      <c r="B333" t="s">
        <v>35</v>
      </c>
      <c r="C333" t="s">
        <v>52</v>
      </c>
      <c r="D333" t="s">
        <v>25</v>
      </c>
      <c r="E333">
        <v>30</v>
      </c>
      <c r="F333" t="s">
        <v>18</v>
      </c>
      <c r="G333" t="s">
        <v>61</v>
      </c>
      <c r="H333" t="s">
        <v>711</v>
      </c>
      <c r="I333">
        <v>19</v>
      </c>
      <c r="J333">
        <v>22</v>
      </c>
      <c r="K333">
        <v>246077</v>
      </c>
      <c r="L333">
        <v>4.5999999999999996</v>
      </c>
      <c r="M333" t="s">
        <v>43</v>
      </c>
      <c r="N333">
        <v>78</v>
      </c>
      <c r="O333">
        <f t="shared" si="80"/>
        <v>669</v>
      </c>
      <c r="P333">
        <f t="shared" si="81"/>
        <v>330</v>
      </c>
      <c r="Q333">
        <f t="shared" si="82"/>
        <v>339</v>
      </c>
      <c r="R333">
        <f t="shared" si="83"/>
        <v>49.650349650349654</v>
      </c>
      <c r="S333" s="1">
        <f t="shared" si="84"/>
        <v>50.24975024975025</v>
      </c>
      <c r="T333" s="1">
        <f t="shared" si="85"/>
        <v>308</v>
      </c>
      <c r="U333" s="1">
        <f t="shared" si="86"/>
        <v>361</v>
      </c>
      <c r="V333" s="1">
        <f t="shared" si="87"/>
        <v>47.5</v>
      </c>
      <c r="W333" s="1">
        <f t="shared" si="88"/>
        <v>52.5</v>
      </c>
      <c r="X333" s="1">
        <f t="shared" si="89"/>
        <v>15.062780269058296</v>
      </c>
      <c r="Y333" s="1">
        <f t="shared" si="90"/>
        <v>108</v>
      </c>
      <c r="Z333" s="1">
        <f t="shared" si="91"/>
        <v>106</v>
      </c>
      <c r="AA333" s="1">
        <f t="shared" si="92"/>
        <v>3.6203703703703702</v>
      </c>
      <c r="AB333" s="1">
        <f t="shared" si="93"/>
        <v>3.3839622641509428</v>
      </c>
      <c r="AC333" s="1">
        <f t="shared" si="94"/>
        <v>0</v>
      </c>
      <c r="AD333" s="1">
        <f t="shared" si="95"/>
        <v>3.4149977332190662E-2</v>
      </c>
    </row>
    <row r="334" spans="1:30" x14ac:dyDescent="0.35">
      <c r="A334" t="s">
        <v>712</v>
      </c>
      <c r="B334" t="s">
        <v>69</v>
      </c>
      <c r="C334" t="s">
        <v>30</v>
      </c>
      <c r="D334" t="s">
        <v>17</v>
      </c>
      <c r="E334">
        <v>36</v>
      </c>
      <c r="F334" t="s">
        <v>74</v>
      </c>
      <c r="G334" t="s">
        <v>61</v>
      </c>
      <c r="H334" t="s">
        <v>713</v>
      </c>
      <c r="I334">
        <v>14</v>
      </c>
      <c r="J334">
        <v>23</v>
      </c>
      <c r="K334">
        <v>222681</v>
      </c>
      <c r="L334">
        <v>4.0999999999999996</v>
      </c>
      <c r="M334" t="s">
        <v>43</v>
      </c>
      <c r="N334">
        <v>93</v>
      </c>
      <c r="O334">
        <f t="shared" si="80"/>
        <v>668</v>
      </c>
      <c r="P334">
        <f t="shared" si="81"/>
        <v>330</v>
      </c>
      <c r="Q334">
        <f t="shared" si="82"/>
        <v>338</v>
      </c>
      <c r="R334">
        <f t="shared" si="83"/>
        <v>49.650349650349654</v>
      </c>
      <c r="S334" s="1">
        <f t="shared" si="84"/>
        <v>50.24975024975025</v>
      </c>
      <c r="T334" s="1">
        <f t="shared" si="85"/>
        <v>308</v>
      </c>
      <c r="U334" s="1">
        <f t="shared" si="86"/>
        <v>360</v>
      </c>
      <c r="V334" s="1">
        <f t="shared" si="87"/>
        <v>47.5</v>
      </c>
      <c r="W334" s="1">
        <f t="shared" si="88"/>
        <v>52.5</v>
      </c>
      <c r="X334" s="1">
        <f t="shared" si="89"/>
        <v>15.052395209580839</v>
      </c>
      <c r="Y334" s="1">
        <f t="shared" si="90"/>
        <v>108</v>
      </c>
      <c r="Z334" s="1">
        <f t="shared" si="91"/>
        <v>106</v>
      </c>
      <c r="AA334" s="1">
        <f t="shared" si="92"/>
        <v>3.6203703703703702</v>
      </c>
      <c r="AB334" s="1">
        <f t="shared" si="93"/>
        <v>3.3839622641509428</v>
      </c>
      <c r="AC334" s="1">
        <f t="shared" si="94"/>
        <v>0</v>
      </c>
      <c r="AD334" s="1">
        <f t="shared" si="95"/>
        <v>3.5588163865140313E-2</v>
      </c>
    </row>
    <row r="335" spans="1:30" x14ac:dyDescent="0.35">
      <c r="A335" t="s">
        <v>714</v>
      </c>
      <c r="B335" t="s">
        <v>96</v>
      </c>
      <c r="C335" t="s">
        <v>56</v>
      </c>
      <c r="D335" t="s">
        <v>17</v>
      </c>
      <c r="E335">
        <v>35</v>
      </c>
      <c r="F335" t="s">
        <v>79</v>
      </c>
      <c r="G335" t="s">
        <v>26</v>
      </c>
      <c r="H335" t="s">
        <v>715</v>
      </c>
      <c r="I335">
        <v>14</v>
      </c>
      <c r="J335">
        <v>14</v>
      </c>
      <c r="K335">
        <v>496314</v>
      </c>
      <c r="L335">
        <v>2.1</v>
      </c>
      <c r="M335" t="s">
        <v>21</v>
      </c>
      <c r="N335">
        <v>57</v>
      </c>
      <c r="O335">
        <f t="shared" si="80"/>
        <v>667</v>
      </c>
      <c r="P335">
        <f t="shared" si="81"/>
        <v>329</v>
      </c>
      <c r="Q335">
        <f t="shared" si="82"/>
        <v>338</v>
      </c>
      <c r="R335">
        <f t="shared" si="83"/>
        <v>49.650349650349654</v>
      </c>
      <c r="S335" s="1">
        <f t="shared" si="84"/>
        <v>50.24975024975025</v>
      </c>
      <c r="T335" s="1">
        <f t="shared" si="85"/>
        <v>308</v>
      </c>
      <c r="U335" s="1">
        <f t="shared" si="86"/>
        <v>359</v>
      </c>
      <c r="V335" s="1">
        <f t="shared" si="87"/>
        <v>47.5</v>
      </c>
      <c r="W335" s="1">
        <f t="shared" si="88"/>
        <v>52.5</v>
      </c>
      <c r="X335" s="1">
        <f t="shared" si="89"/>
        <v>15.04047976011994</v>
      </c>
      <c r="Y335" s="1">
        <f t="shared" si="90"/>
        <v>107</v>
      </c>
      <c r="Z335" s="1">
        <f t="shared" si="91"/>
        <v>106</v>
      </c>
      <c r="AA335" s="1">
        <f t="shared" si="92"/>
        <v>3.6158878504672893</v>
      </c>
      <c r="AB335" s="1">
        <f t="shared" si="93"/>
        <v>3.3839622641509428</v>
      </c>
      <c r="AC335" s="1">
        <f t="shared" si="94"/>
        <v>1</v>
      </c>
      <c r="AD335" s="1">
        <f t="shared" si="95"/>
        <v>3.7244456864541746E-2</v>
      </c>
    </row>
    <row r="336" spans="1:30" x14ac:dyDescent="0.35">
      <c r="A336" t="s">
        <v>716</v>
      </c>
      <c r="B336" t="s">
        <v>35</v>
      </c>
      <c r="C336" t="s">
        <v>56</v>
      </c>
      <c r="D336" t="s">
        <v>25</v>
      </c>
      <c r="E336">
        <v>48</v>
      </c>
      <c r="F336" t="s">
        <v>70</v>
      </c>
      <c r="G336" t="s">
        <v>71</v>
      </c>
      <c r="H336" t="s">
        <v>717</v>
      </c>
      <c r="I336">
        <v>17</v>
      </c>
      <c r="J336">
        <v>22</v>
      </c>
      <c r="K336">
        <v>456728</v>
      </c>
      <c r="L336">
        <v>2.2000000000000002</v>
      </c>
      <c r="M336" t="s">
        <v>21</v>
      </c>
      <c r="N336">
        <v>41</v>
      </c>
      <c r="O336">
        <f t="shared" si="80"/>
        <v>666</v>
      </c>
      <c r="P336">
        <f t="shared" si="81"/>
        <v>328</v>
      </c>
      <c r="Q336">
        <f t="shared" si="82"/>
        <v>338</v>
      </c>
      <c r="R336">
        <f t="shared" si="83"/>
        <v>49.650349650349654</v>
      </c>
      <c r="S336" s="1">
        <f t="shared" si="84"/>
        <v>50.24975024975025</v>
      </c>
      <c r="T336" s="1">
        <f t="shared" si="85"/>
        <v>307</v>
      </c>
      <c r="U336" s="1">
        <f t="shared" si="86"/>
        <v>359</v>
      </c>
      <c r="V336" s="1">
        <f t="shared" si="87"/>
        <v>47.5</v>
      </c>
      <c r="W336" s="1">
        <f t="shared" si="88"/>
        <v>52.5</v>
      </c>
      <c r="X336" s="1">
        <f t="shared" si="89"/>
        <v>15.042042042042041</v>
      </c>
      <c r="Y336" s="1">
        <f t="shared" si="90"/>
        <v>107</v>
      </c>
      <c r="Z336" s="1">
        <f t="shared" si="91"/>
        <v>106</v>
      </c>
      <c r="AA336" s="1">
        <f t="shared" si="92"/>
        <v>3.6158878504672893</v>
      </c>
      <c r="AB336" s="1">
        <f t="shared" si="93"/>
        <v>3.3839622641509428</v>
      </c>
      <c r="AC336" s="1">
        <f t="shared" si="94"/>
        <v>1</v>
      </c>
      <c r="AD336" s="1">
        <f t="shared" si="95"/>
        <v>3.7522166851695099E-2</v>
      </c>
    </row>
    <row r="337" spans="1:30" x14ac:dyDescent="0.35">
      <c r="A337" t="s">
        <v>718</v>
      </c>
      <c r="B337" t="s">
        <v>111</v>
      </c>
      <c r="C337" t="s">
        <v>64</v>
      </c>
      <c r="D337" t="s">
        <v>17</v>
      </c>
      <c r="E337">
        <v>40</v>
      </c>
      <c r="F337" t="s">
        <v>18</v>
      </c>
      <c r="G337" t="s">
        <v>71</v>
      </c>
      <c r="H337" t="s">
        <v>719</v>
      </c>
      <c r="I337">
        <v>1</v>
      </c>
      <c r="J337">
        <v>5</v>
      </c>
      <c r="K337">
        <v>469609</v>
      </c>
      <c r="L337">
        <v>4.5</v>
      </c>
      <c r="M337" t="s">
        <v>43</v>
      </c>
      <c r="N337">
        <v>71</v>
      </c>
      <c r="O337">
        <f t="shared" si="80"/>
        <v>665</v>
      </c>
      <c r="P337">
        <f t="shared" si="81"/>
        <v>328</v>
      </c>
      <c r="Q337">
        <f t="shared" si="82"/>
        <v>337</v>
      </c>
      <c r="R337">
        <f t="shared" si="83"/>
        <v>49.650349650349654</v>
      </c>
      <c r="S337" s="1">
        <f t="shared" si="84"/>
        <v>50.24975024975025</v>
      </c>
      <c r="T337" s="1">
        <f t="shared" si="85"/>
        <v>306</v>
      </c>
      <c r="U337" s="1">
        <f t="shared" si="86"/>
        <v>359</v>
      </c>
      <c r="V337" s="1">
        <f t="shared" si="87"/>
        <v>47.5</v>
      </c>
      <c r="W337" s="1">
        <f t="shared" si="88"/>
        <v>52.5</v>
      </c>
      <c r="X337" s="1">
        <f t="shared" si="89"/>
        <v>15.031578947368422</v>
      </c>
      <c r="Y337" s="1">
        <f t="shared" si="90"/>
        <v>107</v>
      </c>
      <c r="Z337" s="1">
        <f t="shared" si="91"/>
        <v>106</v>
      </c>
      <c r="AA337" s="1">
        <f t="shared" si="92"/>
        <v>3.6158878504672893</v>
      </c>
      <c r="AB337" s="1">
        <f t="shared" si="93"/>
        <v>3.3839622641509428</v>
      </c>
      <c r="AC337" s="1">
        <f t="shared" si="94"/>
        <v>0</v>
      </c>
      <c r="AD337" s="1">
        <f t="shared" si="95"/>
        <v>3.5944065338892862E-2</v>
      </c>
    </row>
    <row r="338" spans="1:30" x14ac:dyDescent="0.35">
      <c r="A338" t="s">
        <v>720</v>
      </c>
      <c r="B338" t="s">
        <v>29</v>
      </c>
      <c r="C338" t="s">
        <v>82</v>
      </c>
      <c r="D338" t="s">
        <v>17</v>
      </c>
      <c r="E338">
        <v>30</v>
      </c>
      <c r="F338" t="s">
        <v>74</v>
      </c>
      <c r="G338" t="s">
        <v>41</v>
      </c>
      <c r="H338" t="s">
        <v>721</v>
      </c>
      <c r="I338">
        <v>12</v>
      </c>
      <c r="J338">
        <v>15</v>
      </c>
      <c r="K338">
        <v>220594</v>
      </c>
      <c r="L338">
        <v>2.5</v>
      </c>
      <c r="M338" t="s">
        <v>43</v>
      </c>
      <c r="N338">
        <v>72</v>
      </c>
      <c r="O338">
        <f t="shared" si="80"/>
        <v>664</v>
      </c>
      <c r="P338">
        <f t="shared" si="81"/>
        <v>327</v>
      </c>
      <c r="Q338">
        <f t="shared" si="82"/>
        <v>337</v>
      </c>
      <c r="R338">
        <f t="shared" si="83"/>
        <v>49.650349650349654</v>
      </c>
      <c r="S338" s="1">
        <f t="shared" si="84"/>
        <v>50.24975024975025</v>
      </c>
      <c r="T338" s="1">
        <f t="shared" si="85"/>
        <v>306</v>
      </c>
      <c r="U338" s="1">
        <f t="shared" si="86"/>
        <v>358</v>
      </c>
      <c r="V338" s="1">
        <f t="shared" si="87"/>
        <v>47.5</v>
      </c>
      <c r="W338" s="1">
        <f t="shared" si="88"/>
        <v>52.5</v>
      </c>
      <c r="X338" s="1">
        <f t="shared" si="89"/>
        <v>15.046686746987952</v>
      </c>
      <c r="Y338" s="1">
        <f t="shared" si="90"/>
        <v>107</v>
      </c>
      <c r="Z338" s="1">
        <f t="shared" si="91"/>
        <v>106</v>
      </c>
      <c r="AA338" s="1">
        <f t="shared" si="92"/>
        <v>3.6158878504672893</v>
      </c>
      <c r="AB338" s="1">
        <f t="shared" si="93"/>
        <v>3.3839622641509428</v>
      </c>
      <c r="AC338" s="1">
        <f t="shared" si="94"/>
        <v>0</v>
      </c>
      <c r="AD338" s="1">
        <f t="shared" si="95"/>
        <v>3.4001685593261305E-2</v>
      </c>
    </row>
    <row r="339" spans="1:30" x14ac:dyDescent="0.35">
      <c r="A339" t="s">
        <v>722</v>
      </c>
      <c r="B339" t="s">
        <v>45</v>
      </c>
      <c r="C339" t="s">
        <v>24</v>
      </c>
      <c r="D339" t="s">
        <v>25</v>
      </c>
      <c r="E339">
        <v>57</v>
      </c>
      <c r="F339" t="s">
        <v>46</v>
      </c>
      <c r="G339" t="s">
        <v>19</v>
      </c>
      <c r="H339" t="s">
        <v>723</v>
      </c>
      <c r="I339">
        <v>6</v>
      </c>
      <c r="J339">
        <v>10</v>
      </c>
      <c r="K339">
        <v>322940</v>
      </c>
      <c r="L339">
        <v>4.4000000000000004</v>
      </c>
      <c r="M339" t="s">
        <v>21</v>
      </c>
      <c r="N339">
        <v>38</v>
      </c>
      <c r="O339">
        <f t="shared" si="80"/>
        <v>663</v>
      </c>
      <c r="P339">
        <f t="shared" si="81"/>
        <v>326</v>
      </c>
      <c r="Q339">
        <f t="shared" si="82"/>
        <v>337</v>
      </c>
      <c r="R339">
        <f t="shared" si="83"/>
        <v>49.650349650349654</v>
      </c>
      <c r="S339" s="1">
        <f t="shared" si="84"/>
        <v>50.24975024975025</v>
      </c>
      <c r="T339" s="1">
        <f t="shared" si="85"/>
        <v>306</v>
      </c>
      <c r="U339" s="1">
        <f t="shared" si="86"/>
        <v>357</v>
      </c>
      <c r="V339" s="1">
        <f t="shared" si="87"/>
        <v>47.5</v>
      </c>
      <c r="W339" s="1">
        <f t="shared" si="88"/>
        <v>52.5</v>
      </c>
      <c r="X339" s="1">
        <f t="shared" si="89"/>
        <v>15.046757164404223</v>
      </c>
      <c r="Y339" s="1">
        <f t="shared" si="90"/>
        <v>106</v>
      </c>
      <c r="Z339" s="1">
        <f t="shared" si="91"/>
        <v>106</v>
      </c>
      <c r="AA339" s="1">
        <f t="shared" si="92"/>
        <v>3.6264150943396225</v>
      </c>
      <c r="AB339" s="1">
        <f t="shared" si="93"/>
        <v>3.3839622641509428</v>
      </c>
      <c r="AC339" s="1">
        <f t="shared" si="94"/>
        <v>1</v>
      </c>
      <c r="AD339" s="1">
        <f t="shared" si="95"/>
        <v>3.40141919642424E-2</v>
      </c>
    </row>
    <row r="340" spans="1:30" x14ac:dyDescent="0.35">
      <c r="A340" t="s">
        <v>724</v>
      </c>
      <c r="B340" t="s">
        <v>60</v>
      </c>
      <c r="C340" t="s">
        <v>82</v>
      </c>
      <c r="D340" t="s">
        <v>25</v>
      </c>
      <c r="E340">
        <v>40</v>
      </c>
      <c r="F340" t="s">
        <v>18</v>
      </c>
      <c r="G340" t="s">
        <v>57</v>
      </c>
      <c r="H340" t="s">
        <v>725</v>
      </c>
      <c r="I340">
        <v>7</v>
      </c>
      <c r="J340">
        <v>13</v>
      </c>
      <c r="K340">
        <v>162786</v>
      </c>
      <c r="L340">
        <v>4.2</v>
      </c>
      <c r="M340" t="s">
        <v>21</v>
      </c>
      <c r="N340">
        <v>37</v>
      </c>
      <c r="O340">
        <f t="shared" si="80"/>
        <v>662</v>
      </c>
      <c r="P340">
        <f t="shared" si="81"/>
        <v>326</v>
      </c>
      <c r="Q340">
        <f t="shared" si="82"/>
        <v>336</v>
      </c>
      <c r="R340">
        <f t="shared" si="83"/>
        <v>49.650349650349654</v>
      </c>
      <c r="S340" s="1">
        <f t="shared" si="84"/>
        <v>50.24975024975025</v>
      </c>
      <c r="T340" s="1">
        <f t="shared" si="85"/>
        <v>305</v>
      </c>
      <c r="U340" s="1">
        <f t="shared" si="86"/>
        <v>357</v>
      </c>
      <c r="V340" s="1">
        <f t="shared" si="87"/>
        <v>47.5</v>
      </c>
      <c r="W340" s="1">
        <f t="shared" si="88"/>
        <v>52.5</v>
      </c>
      <c r="X340" s="1">
        <f t="shared" si="89"/>
        <v>15.054380664652568</v>
      </c>
      <c r="Y340" s="1">
        <f t="shared" si="90"/>
        <v>106</v>
      </c>
      <c r="Z340" s="1">
        <f t="shared" si="91"/>
        <v>106</v>
      </c>
      <c r="AA340" s="1">
        <f t="shared" si="92"/>
        <v>3.6264150943396225</v>
      </c>
      <c r="AB340" s="1">
        <f t="shared" si="93"/>
        <v>3.3839622641509428</v>
      </c>
      <c r="AC340" s="1">
        <f t="shared" si="94"/>
        <v>1</v>
      </c>
      <c r="AD340" s="1">
        <f t="shared" si="95"/>
        <v>3.5250986614892642E-2</v>
      </c>
    </row>
    <row r="341" spans="1:30" x14ac:dyDescent="0.35">
      <c r="A341" t="s">
        <v>726</v>
      </c>
      <c r="B341" t="s">
        <v>45</v>
      </c>
      <c r="C341" t="s">
        <v>82</v>
      </c>
      <c r="D341" t="s">
        <v>25</v>
      </c>
      <c r="E341">
        <v>30</v>
      </c>
      <c r="F341" t="s">
        <v>74</v>
      </c>
      <c r="G341" t="s">
        <v>75</v>
      </c>
      <c r="H341" t="s">
        <v>727</v>
      </c>
      <c r="I341">
        <v>1</v>
      </c>
      <c r="J341">
        <v>5</v>
      </c>
      <c r="K341">
        <v>313234</v>
      </c>
      <c r="L341">
        <v>3.1</v>
      </c>
      <c r="M341" t="s">
        <v>43</v>
      </c>
      <c r="N341">
        <v>84</v>
      </c>
      <c r="O341">
        <f t="shared" si="80"/>
        <v>661</v>
      </c>
      <c r="P341">
        <f t="shared" si="81"/>
        <v>326</v>
      </c>
      <c r="Q341">
        <f t="shared" si="82"/>
        <v>335</v>
      </c>
      <c r="R341">
        <f t="shared" si="83"/>
        <v>49.650349650349654</v>
      </c>
      <c r="S341" s="1">
        <f t="shared" si="84"/>
        <v>50.24975024975025</v>
      </c>
      <c r="T341" s="1">
        <f t="shared" si="85"/>
        <v>304</v>
      </c>
      <c r="U341" s="1">
        <f t="shared" si="86"/>
        <v>357</v>
      </c>
      <c r="V341" s="1">
        <f t="shared" si="87"/>
        <v>47.5</v>
      </c>
      <c r="W341" s="1">
        <f t="shared" si="88"/>
        <v>52.5</v>
      </c>
      <c r="X341" s="1">
        <f t="shared" si="89"/>
        <v>15.05748865355522</v>
      </c>
      <c r="Y341" s="1">
        <f t="shared" si="90"/>
        <v>106</v>
      </c>
      <c r="Z341" s="1">
        <f t="shared" si="91"/>
        <v>106</v>
      </c>
      <c r="AA341" s="1">
        <f t="shared" si="92"/>
        <v>3.6264150943396225</v>
      </c>
      <c r="AB341" s="1">
        <f t="shared" si="93"/>
        <v>3.3839622641509428</v>
      </c>
      <c r="AC341" s="1">
        <f t="shared" si="94"/>
        <v>0</v>
      </c>
      <c r="AD341" s="1">
        <f t="shared" si="95"/>
        <v>3.5771453601291046E-2</v>
      </c>
    </row>
    <row r="342" spans="1:30" x14ac:dyDescent="0.35">
      <c r="A342" t="s">
        <v>728</v>
      </c>
      <c r="B342" t="s">
        <v>111</v>
      </c>
      <c r="C342" t="s">
        <v>36</v>
      </c>
      <c r="D342" t="s">
        <v>17</v>
      </c>
      <c r="E342">
        <v>34</v>
      </c>
      <c r="F342" t="s">
        <v>70</v>
      </c>
      <c r="G342" t="s">
        <v>88</v>
      </c>
      <c r="H342" t="s">
        <v>729</v>
      </c>
      <c r="I342">
        <v>12</v>
      </c>
      <c r="J342">
        <v>18</v>
      </c>
      <c r="K342">
        <v>202928</v>
      </c>
      <c r="L342">
        <v>2</v>
      </c>
      <c r="M342" t="s">
        <v>21</v>
      </c>
      <c r="N342">
        <v>39</v>
      </c>
      <c r="O342">
        <f t="shared" si="80"/>
        <v>660</v>
      </c>
      <c r="P342">
        <f t="shared" si="81"/>
        <v>326</v>
      </c>
      <c r="Q342">
        <f t="shared" si="82"/>
        <v>334</v>
      </c>
      <c r="R342">
        <f t="shared" si="83"/>
        <v>49.650349650349654</v>
      </c>
      <c r="S342" s="1">
        <f t="shared" si="84"/>
        <v>50.24975024975025</v>
      </c>
      <c r="T342" s="1">
        <f t="shared" si="85"/>
        <v>304</v>
      </c>
      <c r="U342" s="1">
        <f t="shared" si="86"/>
        <v>356</v>
      </c>
      <c r="V342" s="1">
        <f t="shared" si="87"/>
        <v>47.5</v>
      </c>
      <c r="W342" s="1">
        <f t="shared" si="88"/>
        <v>52.5</v>
      </c>
      <c r="X342" s="1">
        <f t="shared" si="89"/>
        <v>15.072727272727272</v>
      </c>
      <c r="Y342" s="1">
        <f t="shared" si="90"/>
        <v>105</v>
      </c>
      <c r="Z342" s="1">
        <f t="shared" si="91"/>
        <v>106</v>
      </c>
      <c r="AA342" s="1">
        <f t="shared" si="92"/>
        <v>3.6314285714285708</v>
      </c>
      <c r="AB342" s="1">
        <f t="shared" si="93"/>
        <v>3.3839622641509428</v>
      </c>
      <c r="AC342" s="1">
        <f t="shared" si="94"/>
        <v>1</v>
      </c>
      <c r="AD342" s="1">
        <f t="shared" si="95"/>
        <v>3.3814728735274024E-2</v>
      </c>
    </row>
    <row r="343" spans="1:30" x14ac:dyDescent="0.35">
      <c r="A343" t="s">
        <v>730</v>
      </c>
      <c r="B343" t="s">
        <v>55</v>
      </c>
      <c r="C343" t="s">
        <v>30</v>
      </c>
      <c r="D343" t="s">
        <v>25</v>
      </c>
      <c r="E343">
        <v>25</v>
      </c>
      <c r="F343" t="s">
        <v>74</v>
      </c>
      <c r="G343" t="s">
        <v>85</v>
      </c>
      <c r="H343" t="s">
        <v>731</v>
      </c>
      <c r="I343">
        <v>2</v>
      </c>
      <c r="J343">
        <v>6</v>
      </c>
      <c r="K343">
        <v>199406</v>
      </c>
      <c r="L343">
        <v>2.2000000000000002</v>
      </c>
      <c r="M343" t="s">
        <v>43</v>
      </c>
      <c r="N343">
        <v>88</v>
      </c>
      <c r="O343">
        <f t="shared" si="80"/>
        <v>659</v>
      </c>
      <c r="P343">
        <f t="shared" si="81"/>
        <v>325</v>
      </c>
      <c r="Q343">
        <f t="shared" si="82"/>
        <v>334</v>
      </c>
      <c r="R343">
        <f t="shared" si="83"/>
        <v>49.650349650349654</v>
      </c>
      <c r="S343" s="1">
        <f t="shared" si="84"/>
        <v>50.24975024975025</v>
      </c>
      <c r="T343" s="1">
        <f t="shared" si="85"/>
        <v>303</v>
      </c>
      <c r="U343" s="1">
        <f t="shared" si="86"/>
        <v>356</v>
      </c>
      <c r="V343" s="1">
        <f t="shared" si="87"/>
        <v>47.5</v>
      </c>
      <c r="W343" s="1">
        <f t="shared" si="88"/>
        <v>52.5</v>
      </c>
      <c r="X343" s="1">
        <f t="shared" si="89"/>
        <v>15.068285280728377</v>
      </c>
      <c r="Y343" s="1">
        <f t="shared" si="90"/>
        <v>105</v>
      </c>
      <c r="Z343" s="1">
        <f t="shared" si="91"/>
        <v>106</v>
      </c>
      <c r="AA343" s="1">
        <f t="shared" si="92"/>
        <v>3.6314285714285708</v>
      </c>
      <c r="AB343" s="1">
        <f t="shared" si="93"/>
        <v>3.3839622641509428</v>
      </c>
      <c r="AC343" s="1">
        <f t="shared" si="94"/>
        <v>0</v>
      </c>
      <c r="AD343" s="1">
        <f t="shared" si="95"/>
        <v>3.3153268145459644E-2</v>
      </c>
    </row>
    <row r="344" spans="1:30" x14ac:dyDescent="0.35">
      <c r="A344" t="s">
        <v>732</v>
      </c>
      <c r="B344" t="s">
        <v>29</v>
      </c>
      <c r="C344" t="s">
        <v>16</v>
      </c>
      <c r="D344" t="s">
        <v>17</v>
      </c>
      <c r="E344">
        <v>38</v>
      </c>
      <c r="F344" t="s">
        <v>18</v>
      </c>
      <c r="G344" t="s">
        <v>61</v>
      </c>
      <c r="H344" t="s">
        <v>733</v>
      </c>
      <c r="I344">
        <v>5</v>
      </c>
      <c r="J344">
        <v>7</v>
      </c>
      <c r="K344">
        <v>135277</v>
      </c>
      <c r="L344">
        <v>2</v>
      </c>
      <c r="M344" t="s">
        <v>43</v>
      </c>
      <c r="N344">
        <v>90</v>
      </c>
      <c r="O344">
        <f t="shared" si="80"/>
        <v>658</v>
      </c>
      <c r="P344">
        <f t="shared" si="81"/>
        <v>325</v>
      </c>
      <c r="Q344">
        <f t="shared" si="82"/>
        <v>333</v>
      </c>
      <c r="R344">
        <f t="shared" si="83"/>
        <v>49.650349650349654</v>
      </c>
      <c r="S344" s="1">
        <f t="shared" si="84"/>
        <v>50.24975024975025</v>
      </c>
      <c r="T344" s="1">
        <f t="shared" si="85"/>
        <v>303</v>
      </c>
      <c r="U344" s="1">
        <f t="shared" si="86"/>
        <v>355</v>
      </c>
      <c r="V344" s="1">
        <f t="shared" si="87"/>
        <v>47.5</v>
      </c>
      <c r="W344" s="1">
        <f t="shared" si="88"/>
        <v>52.5</v>
      </c>
      <c r="X344" s="1">
        <f t="shared" si="89"/>
        <v>15.082066869300911</v>
      </c>
      <c r="Y344" s="1">
        <f t="shared" si="90"/>
        <v>104</v>
      </c>
      <c r="Z344" s="1">
        <f t="shared" si="91"/>
        <v>106</v>
      </c>
      <c r="AA344" s="1">
        <f t="shared" si="92"/>
        <v>3.6451923076923074</v>
      </c>
      <c r="AB344" s="1">
        <f t="shared" si="93"/>
        <v>3.3839622641509428</v>
      </c>
      <c r="AC344" s="1">
        <f t="shared" si="94"/>
        <v>0</v>
      </c>
      <c r="AD344" s="1">
        <f t="shared" si="95"/>
        <v>3.1376246615260235E-2</v>
      </c>
    </row>
    <row r="345" spans="1:30" x14ac:dyDescent="0.35">
      <c r="A345" t="s">
        <v>734</v>
      </c>
      <c r="B345" t="s">
        <v>23</v>
      </c>
      <c r="C345" t="s">
        <v>49</v>
      </c>
      <c r="D345" t="s">
        <v>25</v>
      </c>
      <c r="E345">
        <v>41</v>
      </c>
      <c r="F345" t="s">
        <v>79</v>
      </c>
      <c r="G345" t="s">
        <v>19</v>
      </c>
      <c r="H345" t="s">
        <v>735</v>
      </c>
      <c r="I345">
        <v>19</v>
      </c>
      <c r="J345">
        <v>25</v>
      </c>
      <c r="K345">
        <v>439228</v>
      </c>
      <c r="L345">
        <v>2.4</v>
      </c>
      <c r="M345" t="s">
        <v>21</v>
      </c>
      <c r="N345">
        <v>53</v>
      </c>
      <c r="O345">
        <f t="shared" si="80"/>
        <v>657</v>
      </c>
      <c r="P345">
        <f t="shared" si="81"/>
        <v>324</v>
      </c>
      <c r="Q345">
        <f t="shared" si="82"/>
        <v>333</v>
      </c>
      <c r="R345">
        <f t="shared" si="83"/>
        <v>49.650349650349654</v>
      </c>
      <c r="S345" s="1">
        <f t="shared" si="84"/>
        <v>50.24975024975025</v>
      </c>
      <c r="T345" s="1">
        <f t="shared" si="85"/>
        <v>303</v>
      </c>
      <c r="U345" s="1">
        <f t="shared" si="86"/>
        <v>354</v>
      </c>
      <c r="V345" s="1">
        <f t="shared" si="87"/>
        <v>47.5</v>
      </c>
      <c r="W345" s="1">
        <f t="shared" si="88"/>
        <v>52.5</v>
      </c>
      <c r="X345" s="1">
        <f t="shared" si="89"/>
        <v>15.094368340943683</v>
      </c>
      <c r="Y345" s="1">
        <f t="shared" si="90"/>
        <v>104</v>
      </c>
      <c r="Z345" s="1">
        <f t="shared" si="91"/>
        <v>106</v>
      </c>
      <c r="AA345" s="1">
        <f t="shared" si="92"/>
        <v>3.6451923076923074</v>
      </c>
      <c r="AB345" s="1">
        <f t="shared" si="93"/>
        <v>3.3839622641509428</v>
      </c>
      <c r="AC345" s="1">
        <f t="shared" si="94"/>
        <v>1</v>
      </c>
      <c r="AD345" s="1">
        <f t="shared" si="95"/>
        <v>2.9782490037485655E-2</v>
      </c>
    </row>
    <row r="346" spans="1:30" x14ac:dyDescent="0.35">
      <c r="A346" t="s">
        <v>736</v>
      </c>
      <c r="B346" t="s">
        <v>55</v>
      </c>
      <c r="C346" t="s">
        <v>30</v>
      </c>
      <c r="D346" t="s">
        <v>25</v>
      </c>
      <c r="E346">
        <v>22</v>
      </c>
      <c r="F346" t="s">
        <v>70</v>
      </c>
      <c r="G346" t="s">
        <v>41</v>
      </c>
      <c r="H346" t="s">
        <v>737</v>
      </c>
      <c r="I346">
        <v>5</v>
      </c>
      <c r="J346">
        <v>13</v>
      </c>
      <c r="K346">
        <v>264262</v>
      </c>
      <c r="L346">
        <v>4.2</v>
      </c>
      <c r="M346" t="s">
        <v>43</v>
      </c>
      <c r="N346">
        <v>77</v>
      </c>
      <c r="O346">
        <f t="shared" si="80"/>
        <v>656</v>
      </c>
      <c r="P346">
        <f t="shared" si="81"/>
        <v>324</v>
      </c>
      <c r="Q346">
        <f t="shared" si="82"/>
        <v>332</v>
      </c>
      <c r="R346">
        <f t="shared" si="83"/>
        <v>49.650349650349654</v>
      </c>
      <c r="S346" s="1">
        <f t="shared" si="84"/>
        <v>50.24975024975025</v>
      </c>
      <c r="T346" s="1">
        <f t="shared" si="85"/>
        <v>302</v>
      </c>
      <c r="U346" s="1">
        <f t="shared" si="86"/>
        <v>354</v>
      </c>
      <c r="V346" s="1">
        <f t="shared" si="87"/>
        <v>47.5</v>
      </c>
      <c r="W346" s="1">
        <f t="shared" si="88"/>
        <v>52.5</v>
      </c>
      <c r="X346" s="1">
        <f t="shared" si="89"/>
        <v>15.079268292682928</v>
      </c>
      <c r="Y346" s="1">
        <f t="shared" si="90"/>
        <v>104</v>
      </c>
      <c r="Z346" s="1">
        <f t="shared" si="91"/>
        <v>106</v>
      </c>
      <c r="AA346" s="1">
        <f t="shared" si="92"/>
        <v>3.6451923076923074</v>
      </c>
      <c r="AB346" s="1">
        <f t="shared" si="93"/>
        <v>3.3839622641509428</v>
      </c>
      <c r="AC346" s="1">
        <f t="shared" si="94"/>
        <v>0</v>
      </c>
      <c r="AD346" s="1">
        <f t="shared" si="95"/>
        <v>2.7488229916121446E-2</v>
      </c>
    </row>
    <row r="347" spans="1:30" x14ac:dyDescent="0.35">
      <c r="A347" t="s">
        <v>738</v>
      </c>
      <c r="B347" t="s">
        <v>40</v>
      </c>
      <c r="C347" t="s">
        <v>30</v>
      </c>
      <c r="D347" t="s">
        <v>17</v>
      </c>
      <c r="E347">
        <v>40</v>
      </c>
      <c r="F347" t="s">
        <v>46</v>
      </c>
      <c r="G347" t="s">
        <v>85</v>
      </c>
      <c r="H347" t="s">
        <v>529</v>
      </c>
      <c r="I347">
        <v>9</v>
      </c>
      <c r="J347">
        <v>18</v>
      </c>
      <c r="K347">
        <v>314852</v>
      </c>
      <c r="L347">
        <v>4.5</v>
      </c>
      <c r="M347" t="s">
        <v>43</v>
      </c>
      <c r="N347">
        <v>80</v>
      </c>
      <c r="O347">
        <f t="shared" si="80"/>
        <v>655</v>
      </c>
      <c r="P347">
        <f t="shared" si="81"/>
        <v>324</v>
      </c>
      <c r="Q347">
        <f t="shared" si="82"/>
        <v>331</v>
      </c>
      <c r="R347">
        <f t="shared" si="83"/>
        <v>49.650349650349654</v>
      </c>
      <c r="S347" s="1">
        <f t="shared" si="84"/>
        <v>50.24975024975025</v>
      </c>
      <c r="T347" s="1">
        <f t="shared" si="85"/>
        <v>302</v>
      </c>
      <c r="U347" s="1">
        <f t="shared" si="86"/>
        <v>353</v>
      </c>
      <c r="V347" s="1">
        <f t="shared" si="87"/>
        <v>47.5</v>
      </c>
      <c r="W347" s="1">
        <f t="shared" si="88"/>
        <v>52.5</v>
      </c>
      <c r="X347" s="1">
        <f t="shared" si="89"/>
        <v>15.082442748091603</v>
      </c>
      <c r="Y347" s="1">
        <f t="shared" si="90"/>
        <v>104</v>
      </c>
      <c r="Z347" s="1">
        <f t="shared" si="91"/>
        <v>106</v>
      </c>
      <c r="AA347" s="1">
        <f t="shared" si="92"/>
        <v>3.6451923076923074</v>
      </c>
      <c r="AB347" s="1">
        <f t="shared" si="93"/>
        <v>3.3839622641509428</v>
      </c>
      <c r="AC347" s="1">
        <f t="shared" si="94"/>
        <v>0</v>
      </c>
      <c r="AD347" s="1">
        <f t="shared" si="95"/>
        <v>2.708312257723898E-2</v>
      </c>
    </row>
    <row r="348" spans="1:30" x14ac:dyDescent="0.35">
      <c r="A348" t="s">
        <v>739</v>
      </c>
      <c r="B348" t="s">
        <v>40</v>
      </c>
      <c r="C348" t="s">
        <v>30</v>
      </c>
      <c r="D348" t="s">
        <v>25</v>
      </c>
      <c r="E348">
        <v>55</v>
      </c>
      <c r="F348" t="s">
        <v>70</v>
      </c>
      <c r="G348" t="s">
        <v>19</v>
      </c>
      <c r="H348" t="s">
        <v>740</v>
      </c>
      <c r="I348">
        <v>7</v>
      </c>
      <c r="J348">
        <v>13</v>
      </c>
      <c r="K348">
        <v>307252</v>
      </c>
      <c r="L348">
        <v>3.3</v>
      </c>
      <c r="M348" t="s">
        <v>43</v>
      </c>
      <c r="N348">
        <v>97</v>
      </c>
      <c r="O348">
        <f t="shared" si="80"/>
        <v>654</v>
      </c>
      <c r="P348">
        <f t="shared" si="81"/>
        <v>323</v>
      </c>
      <c r="Q348">
        <f t="shared" si="82"/>
        <v>331</v>
      </c>
      <c r="R348">
        <f t="shared" si="83"/>
        <v>49.650349650349654</v>
      </c>
      <c r="S348" s="1">
        <f t="shared" si="84"/>
        <v>50.24975024975025</v>
      </c>
      <c r="T348" s="1">
        <f t="shared" si="85"/>
        <v>302</v>
      </c>
      <c r="U348" s="1">
        <f t="shared" si="86"/>
        <v>352</v>
      </c>
      <c r="V348" s="1">
        <f t="shared" si="87"/>
        <v>47.5</v>
      </c>
      <c r="W348" s="1">
        <f t="shared" si="88"/>
        <v>52.5</v>
      </c>
      <c r="X348" s="1">
        <f t="shared" si="89"/>
        <v>15.077981651376147</v>
      </c>
      <c r="Y348" s="1">
        <f t="shared" si="90"/>
        <v>104</v>
      </c>
      <c r="Z348" s="1">
        <f t="shared" si="91"/>
        <v>106</v>
      </c>
      <c r="AA348" s="1">
        <f t="shared" si="92"/>
        <v>3.6451923076923074</v>
      </c>
      <c r="AB348" s="1">
        <f t="shared" si="93"/>
        <v>3.3839622641509428</v>
      </c>
      <c r="AC348" s="1">
        <f t="shared" si="94"/>
        <v>0</v>
      </c>
      <c r="AD348" s="1">
        <f t="shared" si="95"/>
        <v>2.7702180060625851E-2</v>
      </c>
    </row>
    <row r="349" spans="1:30" x14ac:dyDescent="0.35">
      <c r="A349" t="s">
        <v>741</v>
      </c>
      <c r="B349" t="s">
        <v>111</v>
      </c>
      <c r="C349" t="s">
        <v>93</v>
      </c>
      <c r="D349" t="s">
        <v>25</v>
      </c>
      <c r="E349">
        <v>23</v>
      </c>
      <c r="F349" t="s">
        <v>37</v>
      </c>
      <c r="G349" t="s">
        <v>57</v>
      </c>
      <c r="H349" t="s">
        <v>742</v>
      </c>
      <c r="I349">
        <v>16</v>
      </c>
      <c r="J349">
        <v>21</v>
      </c>
      <c r="K349">
        <v>434784</v>
      </c>
      <c r="L349">
        <v>4.3</v>
      </c>
      <c r="M349" t="s">
        <v>43</v>
      </c>
      <c r="N349">
        <v>97</v>
      </c>
      <c r="O349">
        <f t="shared" si="80"/>
        <v>653</v>
      </c>
      <c r="P349">
        <f t="shared" si="81"/>
        <v>323</v>
      </c>
      <c r="Q349">
        <f t="shared" si="82"/>
        <v>330</v>
      </c>
      <c r="R349">
        <f t="shared" si="83"/>
        <v>49.650349650349654</v>
      </c>
      <c r="S349" s="1">
        <f t="shared" si="84"/>
        <v>50.24975024975025</v>
      </c>
      <c r="T349" s="1">
        <f t="shared" si="85"/>
        <v>302</v>
      </c>
      <c r="U349" s="1">
        <f t="shared" si="86"/>
        <v>351</v>
      </c>
      <c r="V349" s="1">
        <f t="shared" si="87"/>
        <v>47.5</v>
      </c>
      <c r="W349" s="1">
        <f t="shared" si="88"/>
        <v>52.5</v>
      </c>
      <c r="X349" s="1">
        <f t="shared" si="89"/>
        <v>15.081163859111792</v>
      </c>
      <c r="Y349" s="1">
        <f t="shared" si="90"/>
        <v>104</v>
      </c>
      <c r="Z349" s="1">
        <f t="shared" si="91"/>
        <v>106</v>
      </c>
      <c r="AA349" s="1">
        <f t="shared" si="92"/>
        <v>3.6451923076923074</v>
      </c>
      <c r="AB349" s="1">
        <f t="shared" si="93"/>
        <v>3.3839622641509428</v>
      </c>
      <c r="AC349" s="1">
        <f t="shared" si="94"/>
        <v>0</v>
      </c>
      <c r="AD349" s="1">
        <f t="shared" si="95"/>
        <v>2.7295699271056385E-2</v>
      </c>
    </row>
    <row r="350" spans="1:30" x14ac:dyDescent="0.35">
      <c r="A350" t="s">
        <v>743</v>
      </c>
      <c r="B350" t="s">
        <v>69</v>
      </c>
      <c r="C350" t="s">
        <v>30</v>
      </c>
      <c r="D350" t="s">
        <v>17</v>
      </c>
      <c r="E350">
        <v>50</v>
      </c>
      <c r="F350" t="s">
        <v>79</v>
      </c>
      <c r="G350" t="s">
        <v>71</v>
      </c>
      <c r="H350" t="s">
        <v>744</v>
      </c>
      <c r="I350">
        <v>16</v>
      </c>
      <c r="J350">
        <v>23</v>
      </c>
      <c r="K350">
        <v>216807</v>
      </c>
      <c r="L350">
        <v>5</v>
      </c>
      <c r="M350" t="s">
        <v>21</v>
      </c>
      <c r="N350">
        <v>35</v>
      </c>
      <c r="O350">
        <f t="shared" si="80"/>
        <v>652</v>
      </c>
      <c r="P350">
        <f t="shared" si="81"/>
        <v>323</v>
      </c>
      <c r="Q350">
        <f t="shared" si="82"/>
        <v>329</v>
      </c>
      <c r="R350">
        <f t="shared" si="83"/>
        <v>49.650349650349654</v>
      </c>
      <c r="S350" s="1">
        <f t="shared" si="84"/>
        <v>50.24975024975025</v>
      </c>
      <c r="T350" s="1">
        <f t="shared" si="85"/>
        <v>302</v>
      </c>
      <c r="U350" s="1">
        <f t="shared" si="86"/>
        <v>350</v>
      </c>
      <c r="V350" s="1">
        <f t="shared" si="87"/>
        <v>47.5</v>
      </c>
      <c r="W350" s="1">
        <f t="shared" si="88"/>
        <v>52.5</v>
      </c>
      <c r="X350" s="1">
        <f t="shared" si="89"/>
        <v>15.072085889570552</v>
      </c>
      <c r="Y350" s="1">
        <f t="shared" si="90"/>
        <v>104</v>
      </c>
      <c r="Z350" s="1">
        <f t="shared" si="91"/>
        <v>106</v>
      </c>
      <c r="AA350" s="1">
        <f t="shared" si="92"/>
        <v>3.6451923076923074</v>
      </c>
      <c r="AB350" s="1">
        <f t="shared" si="93"/>
        <v>3.3839622641509428</v>
      </c>
      <c r="AC350" s="1">
        <f t="shared" si="94"/>
        <v>1</v>
      </c>
      <c r="AD350" s="1">
        <f t="shared" si="95"/>
        <v>2.854757100334282E-2</v>
      </c>
    </row>
    <row r="351" spans="1:30" x14ac:dyDescent="0.35">
      <c r="A351" t="s">
        <v>745</v>
      </c>
      <c r="B351" t="s">
        <v>15</v>
      </c>
      <c r="C351" t="s">
        <v>93</v>
      </c>
      <c r="D351" t="s">
        <v>17</v>
      </c>
      <c r="E351">
        <v>45</v>
      </c>
      <c r="F351" t="s">
        <v>18</v>
      </c>
      <c r="G351" t="s">
        <v>61</v>
      </c>
      <c r="H351" t="s">
        <v>746</v>
      </c>
      <c r="I351">
        <v>14</v>
      </c>
      <c r="J351">
        <v>17</v>
      </c>
      <c r="K351">
        <v>446662</v>
      </c>
      <c r="L351">
        <v>2.2999999999999998</v>
      </c>
      <c r="M351" t="s">
        <v>21</v>
      </c>
      <c r="N351">
        <v>44</v>
      </c>
      <c r="O351">
        <f t="shared" si="80"/>
        <v>651</v>
      </c>
      <c r="P351">
        <f t="shared" si="81"/>
        <v>322</v>
      </c>
      <c r="Q351">
        <f t="shared" si="82"/>
        <v>329</v>
      </c>
      <c r="R351">
        <f t="shared" si="83"/>
        <v>49.650349650349654</v>
      </c>
      <c r="S351" s="1">
        <f t="shared" si="84"/>
        <v>50.24975024975025</v>
      </c>
      <c r="T351" s="1">
        <f t="shared" si="85"/>
        <v>301</v>
      </c>
      <c r="U351" s="1">
        <f t="shared" si="86"/>
        <v>350</v>
      </c>
      <c r="V351" s="1">
        <f t="shared" si="87"/>
        <v>47.5</v>
      </c>
      <c r="W351" s="1">
        <f t="shared" si="88"/>
        <v>52.5</v>
      </c>
      <c r="X351" s="1">
        <f t="shared" si="89"/>
        <v>15.059907834101383</v>
      </c>
      <c r="Y351" s="1">
        <f t="shared" si="90"/>
        <v>104</v>
      </c>
      <c r="Z351" s="1">
        <f t="shared" si="91"/>
        <v>106</v>
      </c>
      <c r="AA351" s="1">
        <f t="shared" si="92"/>
        <v>3.6451923076923074</v>
      </c>
      <c r="AB351" s="1">
        <f t="shared" si="93"/>
        <v>3.3839622641509428</v>
      </c>
      <c r="AC351" s="1">
        <f t="shared" si="94"/>
        <v>1</v>
      </c>
      <c r="AD351" s="1">
        <f t="shared" si="95"/>
        <v>2.6703834916834233E-2</v>
      </c>
    </row>
    <row r="352" spans="1:30" x14ac:dyDescent="0.35">
      <c r="A352" t="s">
        <v>747</v>
      </c>
      <c r="B352" t="s">
        <v>111</v>
      </c>
      <c r="C352" t="s">
        <v>36</v>
      </c>
      <c r="D352" t="s">
        <v>17</v>
      </c>
      <c r="E352">
        <v>24</v>
      </c>
      <c r="F352" t="s">
        <v>74</v>
      </c>
      <c r="G352" t="s">
        <v>41</v>
      </c>
      <c r="H352" t="s">
        <v>748</v>
      </c>
      <c r="I352">
        <v>8</v>
      </c>
      <c r="J352">
        <v>13</v>
      </c>
      <c r="K352">
        <v>98648</v>
      </c>
      <c r="L352">
        <v>5</v>
      </c>
      <c r="M352" t="s">
        <v>43</v>
      </c>
      <c r="N352">
        <v>76</v>
      </c>
      <c r="O352">
        <f t="shared" si="80"/>
        <v>650</v>
      </c>
      <c r="P352">
        <f t="shared" si="81"/>
        <v>321</v>
      </c>
      <c r="Q352">
        <f t="shared" si="82"/>
        <v>329</v>
      </c>
      <c r="R352">
        <f t="shared" si="83"/>
        <v>49.650349650349654</v>
      </c>
      <c r="S352" s="1">
        <f t="shared" si="84"/>
        <v>50.24975024975025</v>
      </c>
      <c r="T352" s="1">
        <f t="shared" si="85"/>
        <v>300</v>
      </c>
      <c r="U352" s="1">
        <f t="shared" si="86"/>
        <v>350</v>
      </c>
      <c r="V352" s="1">
        <f t="shared" si="87"/>
        <v>47.5</v>
      </c>
      <c r="W352" s="1">
        <f t="shared" si="88"/>
        <v>52.5</v>
      </c>
      <c r="X352" s="1">
        <f t="shared" si="89"/>
        <v>15.056923076923077</v>
      </c>
      <c r="Y352" s="1">
        <f t="shared" si="90"/>
        <v>104</v>
      </c>
      <c r="Z352" s="1">
        <f t="shared" si="91"/>
        <v>106</v>
      </c>
      <c r="AA352" s="1">
        <f t="shared" si="92"/>
        <v>3.6451923076923074</v>
      </c>
      <c r="AB352" s="1">
        <f t="shared" si="93"/>
        <v>3.3839622641509428</v>
      </c>
      <c r="AC352" s="1">
        <f t="shared" si="94"/>
        <v>0</v>
      </c>
      <c r="AD352" s="1">
        <f t="shared" si="95"/>
        <v>2.6263731526560724E-2</v>
      </c>
    </row>
    <row r="353" spans="1:30" x14ac:dyDescent="0.35">
      <c r="A353" t="s">
        <v>749</v>
      </c>
      <c r="B353" t="s">
        <v>60</v>
      </c>
      <c r="C353" t="s">
        <v>24</v>
      </c>
      <c r="D353" t="s">
        <v>17</v>
      </c>
      <c r="E353">
        <v>44</v>
      </c>
      <c r="F353" t="s">
        <v>31</v>
      </c>
      <c r="G353" t="s">
        <v>88</v>
      </c>
      <c r="H353" t="s">
        <v>750</v>
      </c>
      <c r="I353">
        <v>4</v>
      </c>
      <c r="J353">
        <v>4</v>
      </c>
      <c r="K353">
        <v>348808</v>
      </c>
      <c r="L353">
        <v>3</v>
      </c>
      <c r="M353" t="s">
        <v>21</v>
      </c>
      <c r="N353">
        <v>60</v>
      </c>
      <c r="O353">
        <f t="shared" si="80"/>
        <v>649</v>
      </c>
      <c r="P353">
        <f t="shared" si="81"/>
        <v>320</v>
      </c>
      <c r="Q353">
        <f t="shared" si="82"/>
        <v>329</v>
      </c>
      <c r="R353">
        <f t="shared" si="83"/>
        <v>49.650349650349654</v>
      </c>
      <c r="S353" s="1">
        <f t="shared" si="84"/>
        <v>50.24975024975025</v>
      </c>
      <c r="T353" s="1">
        <f t="shared" si="85"/>
        <v>300</v>
      </c>
      <c r="U353" s="1">
        <f t="shared" si="86"/>
        <v>349</v>
      </c>
      <c r="V353" s="1">
        <f t="shared" si="87"/>
        <v>47.5</v>
      </c>
      <c r="W353" s="1">
        <f t="shared" si="88"/>
        <v>52.5</v>
      </c>
      <c r="X353" s="1">
        <f t="shared" si="89"/>
        <v>15.060092449922958</v>
      </c>
      <c r="Y353" s="1">
        <f t="shared" si="90"/>
        <v>103</v>
      </c>
      <c r="Z353" s="1">
        <f t="shared" si="91"/>
        <v>106</v>
      </c>
      <c r="AA353" s="1">
        <f t="shared" si="92"/>
        <v>3.6320388349514561</v>
      </c>
      <c r="AB353" s="1">
        <f t="shared" si="93"/>
        <v>3.3839622641509428</v>
      </c>
      <c r="AC353" s="1">
        <f t="shared" si="94"/>
        <v>1</v>
      </c>
      <c r="AD353" s="1">
        <f t="shared" si="95"/>
        <v>2.585876584739686E-2</v>
      </c>
    </row>
    <row r="354" spans="1:30" x14ac:dyDescent="0.35">
      <c r="A354" t="s">
        <v>751</v>
      </c>
      <c r="B354" t="s">
        <v>23</v>
      </c>
      <c r="C354" t="s">
        <v>56</v>
      </c>
      <c r="D354" t="s">
        <v>25</v>
      </c>
      <c r="E354">
        <v>25</v>
      </c>
      <c r="F354" t="s">
        <v>79</v>
      </c>
      <c r="G354" t="s">
        <v>26</v>
      </c>
      <c r="H354" t="s">
        <v>752</v>
      </c>
      <c r="I354">
        <v>4</v>
      </c>
      <c r="J354">
        <v>12</v>
      </c>
      <c r="K354">
        <v>278403</v>
      </c>
      <c r="L354">
        <v>3.6</v>
      </c>
      <c r="M354" t="s">
        <v>43</v>
      </c>
      <c r="N354">
        <v>87</v>
      </c>
      <c r="O354">
        <f t="shared" si="80"/>
        <v>648</v>
      </c>
      <c r="P354">
        <f t="shared" si="81"/>
        <v>319</v>
      </c>
      <c r="Q354">
        <f t="shared" si="82"/>
        <v>329</v>
      </c>
      <c r="R354">
        <f t="shared" si="83"/>
        <v>49.650349650349654</v>
      </c>
      <c r="S354" s="1">
        <f t="shared" si="84"/>
        <v>50.24975024975025</v>
      </c>
      <c r="T354" s="1">
        <f t="shared" si="85"/>
        <v>299</v>
      </c>
      <c r="U354" s="1">
        <f t="shared" si="86"/>
        <v>349</v>
      </c>
      <c r="V354" s="1">
        <f t="shared" si="87"/>
        <v>47.5</v>
      </c>
      <c r="W354" s="1">
        <f t="shared" si="88"/>
        <v>52.5</v>
      </c>
      <c r="X354" s="1">
        <f t="shared" si="89"/>
        <v>15.07716049382716</v>
      </c>
      <c r="Y354" s="1">
        <f t="shared" si="90"/>
        <v>103</v>
      </c>
      <c r="Z354" s="1">
        <f t="shared" si="91"/>
        <v>105</v>
      </c>
      <c r="AA354" s="1">
        <f t="shared" si="92"/>
        <v>3.6320388349514561</v>
      </c>
      <c r="AB354" s="1">
        <f t="shared" si="93"/>
        <v>3.3876190476190469</v>
      </c>
      <c r="AC354" s="1">
        <f t="shared" si="94"/>
        <v>0</v>
      </c>
      <c r="AD354" s="1">
        <f t="shared" si="95"/>
        <v>2.8597713666721258E-2</v>
      </c>
    </row>
    <row r="355" spans="1:30" x14ac:dyDescent="0.35">
      <c r="A355" t="s">
        <v>753</v>
      </c>
      <c r="B355" t="s">
        <v>78</v>
      </c>
      <c r="C355" t="s">
        <v>30</v>
      </c>
      <c r="D355" t="s">
        <v>17</v>
      </c>
      <c r="E355">
        <v>28</v>
      </c>
      <c r="F355" t="s">
        <v>46</v>
      </c>
      <c r="G355" t="s">
        <v>41</v>
      </c>
      <c r="H355" t="s">
        <v>754</v>
      </c>
      <c r="I355">
        <v>4</v>
      </c>
      <c r="J355">
        <v>4</v>
      </c>
      <c r="K355">
        <v>484165</v>
      </c>
      <c r="L355">
        <v>3.1</v>
      </c>
      <c r="M355" t="s">
        <v>21</v>
      </c>
      <c r="N355">
        <v>43</v>
      </c>
      <c r="O355">
        <f t="shared" si="80"/>
        <v>647</v>
      </c>
      <c r="P355">
        <f t="shared" si="81"/>
        <v>319</v>
      </c>
      <c r="Q355">
        <f t="shared" si="82"/>
        <v>328</v>
      </c>
      <c r="R355">
        <f t="shared" si="83"/>
        <v>49.650349650349654</v>
      </c>
      <c r="S355" s="1">
        <f t="shared" si="84"/>
        <v>50.24975024975025</v>
      </c>
      <c r="T355" s="1">
        <f t="shared" si="85"/>
        <v>299</v>
      </c>
      <c r="U355" s="1">
        <f t="shared" si="86"/>
        <v>348</v>
      </c>
      <c r="V355" s="1">
        <f t="shared" si="87"/>
        <v>47.5</v>
      </c>
      <c r="W355" s="1">
        <f t="shared" si="88"/>
        <v>52.5</v>
      </c>
      <c r="X355" s="1">
        <f t="shared" si="89"/>
        <v>15.081916537867079</v>
      </c>
      <c r="Y355" s="1">
        <f t="shared" si="90"/>
        <v>103</v>
      </c>
      <c r="Z355" s="1">
        <f t="shared" si="91"/>
        <v>105</v>
      </c>
      <c r="AA355" s="1">
        <f t="shared" si="92"/>
        <v>3.6320388349514561</v>
      </c>
      <c r="AB355" s="1">
        <f t="shared" si="93"/>
        <v>3.3876190476190469</v>
      </c>
      <c r="AC355" s="1">
        <f t="shared" si="94"/>
        <v>1</v>
      </c>
      <c r="AD355" s="1">
        <f t="shared" si="95"/>
        <v>2.798438472909124E-2</v>
      </c>
    </row>
    <row r="356" spans="1:30" x14ac:dyDescent="0.35">
      <c r="A356" t="s">
        <v>755</v>
      </c>
      <c r="B356" t="s">
        <v>23</v>
      </c>
      <c r="C356" t="s">
        <v>82</v>
      </c>
      <c r="D356" t="s">
        <v>25</v>
      </c>
      <c r="E356">
        <v>38</v>
      </c>
      <c r="F356" t="s">
        <v>70</v>
      </c>
      <c r="G356" t="s">
        <v>61</v>
      </c>
      <c r="H356" t="s">
        <v>756</v>
      </c>
      <c r="I356">
        <v>18</v>
      </c>
      <c r="J356">
        <v>22</v>
      </c>
      <c r="K356">
        <v>210401</v>
      </c>
      <c r="L356">
        <v>4.8</v>
      </c>
      <c r="M356" t="s">
        <v>43</v>
      </c>
      <c r="N356">
        <v>90</v>
      </c>
      <c r="O356">
        <f t="shared" si="80"/>
        <v>646</v>
      </c>
      <c r="P356">
        <f t="shared" si="81"/>
        <v>318</v>
      </c>
      <c r="Q356">
        <f t="shared" si="82"/>
        <v>328</v>
      </c>
      <c r="R356">
        <f t="shared" si="83"/>
        <v>49.650349650349654</v>
      </c>
      <c r="S356" s="1">
        <f t="shared" si="84"/>
        <v>50.24975024975025</v>
      </c>
      <c r="T356" s="1">
        <f t="shared" si="85"/>
        <v>298</v>
      </c>
      <c r="U356" s="1">
        <f t="shared" si="86"/>
        <v>348</v>
      </c>
      <c r="V356" s="1">
        <f t="shared" si="87"/>
        <v>47.5</v>
      </c>
      <c r="W356" s="1">
        <f t="shared" si="88"/>
        <v>52.5</v>
      </c>
      <c r="X356" s="1">
        <f t="shared" si="89"/>
        <v>15.09907120743034</v>
      </c>
      <c r="Y356" s="1">
        <f t="shared" si="90"/>
        <v>103</v>
      </c>
      <c r="Z356" s="1">
        <f t="shared" si="91"/>
        <v>105</v>
      </c>
      <c r="AA356" s="1">
        <f t="shared" si="92"/>
        <v>3.6320388349514561</v>
      </c>
      <c r="AB356" s="1">
        <f t="shared" si="93"/>
        <v>3.3876190476190469</v>
      </c>
      <c r="AC356" s="1">
        <f t="shared" si="94"/>
        <v>0</v>
      </c>
      <c r="AD356" s="1">
        <f t="shared" si="95"/>
        <v>3.0745742807056733E-2</v>
      </c>
    </row>
    <row r="357" spans="1:30" x14ac:dyDescent="0.35">
      <c r="A357" t="s">
        <v>757</v>
      </c>
      <c r="B357" t="s">
        <v>69</v>
      </c>
      <c r="C357" t="s">
        <v>82</v>
      </c>
      <c r="D357" t="s">
        <v>17</v>
      </c>
      <c r="E357">
        <v>24</v>
      </c>
      <c r="F357" t="s">
        <v>37</v>
      </c>
      <c r="G357" t="s">
        <v>41</v>
      </c>
      <c r="H357" t="s">
        <v>758</v>
      </c>
      <c r="I357">
        <v>6</v>
      </c>
      <c r="J357">
        <v>14</v>
      </c>
      <c r="K357">
        <v>473803</v>
      </c>
      <c r="L357">
        <v>4</v>
      </c>
      <c r="M357" t="s">
        <v>43</v>
      </c>
      <c r="N357">
        <v>78</v>
      </c>
      <c r="O357">
        <f t="shared" si="80"/>
        <v>645</v>
      </c>
      <c r="P357">
        <f t="shared" si="81"/>
        <v>318</v>
      </c>
      <c r="Q357">
        <f t="shared" si="82"/>
        <v>327</v>
      </c>
      <c r="R357">
        <f t="shared" si="83"/>
        <v>49.650349650349654</v>
      </c>
      <c r="S357" s="1">
        <f t="shared" si="84"/>
        <v>50.24975024975025</v>
      </c>
      <c r="T357" s="1">
        <f t="shared" si="85"/>
        <v>298</v>
      </c>
      <c r="U357" s="1">
        <f t="shared" si="86"/>
        <v>347</v>
      </c>
      <c r="V357" s="1">
        <f t="shared" si="87"/>
        <v>47.5</v>
      </c>
      <c r="W357" s="1">
        <f t="shared" si="88"/>
        <v>52.5</v>
      </c>
      <c r="X357" s="1">
        <f t="shared" si="89"/>
        <v>15.088372093023256</v>
      </c>
      <c r="Y357" s="1">
        <f t="shared" si="90"/>
        <v>103</v>
      </c>
      <c r="Z357" s="1">
        <f t="shared" si="91"/>
        <v>105</v>
      </c>
      <c r="AA357" s="1">
        <f t="shared" si="92"/>
        <v>3.6320388349514561</v>
      </c>
      <c r="AB357" s="1">
        <f t="shared" si="93"/>
        <v>3.3876190476190469</v>
      </c>
      <c r="AC357" s="1">
        <f t="shared" si="94"/>
        <v>0</v>
      </c>
      <c r="AD357" s="1">
        <f t="shared" si="95"/>
        <v>3.2223551059339342E-2</v>
      </c>
    </row>
    <row r="358" spans="1:30" x14ac:dyDescent="0.35">
      <c r="A358" t="s">
        <v>759</v>
      </c>
      <c r="B358" t="s">
        <v>111</v>
      </c>
      <c r="C358" t="s">
        <v>93</v>
      </c>
      <c r="D358" t="s">
        <v>17</v>
      </c>
      <c r="E358">
        <v>41</v>
      </c>
      <c r="F358" t="s">
        <v>74</v>
      </c>
      <c r="G358" t="s">
        <v>26</v>
      </c>
      <c r="H358" t="s">
        <v>760</v>
      </c>
      <c r="I358">
        <v>4</v>
      </c>
      <c r="J358">
        <v>7</v>
      </c>
      <c r="K358">
        <v>64613</v>
      </c>
      <c r="L358">
        <v>3.6</v>
      </c>
      <c r="M358" t="s">
        <v>43</v>
      </c>
      <c r="N358">
        <v>92</v>
      </c>
      <c r="O358">
        <f t="shared" si="80"/>
        <v>644</v>
      </c>
      <c r="P358">
        <f t="shared" si="81"/>
        <v>317</v>
      </c>
      <c r="Q358">
        <f t="shared" si="82"/>
        <v>327</v>
      </c>
      <c r="R358">
        <f t="shared" si="83"/>
        <v>49.650349650349654</v>
      </c>
      <c r="S358" s="1">
        <f t="shared" si="84"/>
        <v>50.24975024975025</v>
      </c>
      <c r="T358" s="1">
        <f t="shared" si="85"/>
        <v>298</v>
      </c>
      <c r="U358" s="1">
        <f t="shared" si="86"/>
        <v>346</v>
      </c>
      <c r="V358" s="1">
        <f t="shared" si="87"/>
        <v>47.5</v>
      </c>
      <c r="W358" s="1">
        <f t="shared" si="88"/>
        <v>52.5</v>
      </c>
      <c r="X358" s="1">
        <f t="shared" si="89"/>
        <v>15.090062111801242</v>
      </c>
      <c r="Y358" s="1">
        <f t="shared" si="90"/>
        <v>103</v>
      </c>
      <c r="Z358" s="1">
        <f t="shared" si="91"/>
        <v>105</v>
      </c>
      <c r="AA358" s="1">
        <f t="shared" si="92"/>
        <v>3.6320388349514561</v>
      </c>
      <c r="AB358" s="1">
        <f t="shared" si="93"/>
        <v>3.3876190476190469</v>
      </c>
      <c r="AC358" s="1">
        <f t="shared" si="94"/>
        <v>0</v>
      </c>
      <c r="AD358" s="1">
        <f t="shared" si="95"/>
        <v>3.2019071966799116E-2</v>
      </c>
    </row>
    <row r="359" spans="1:30" x14ac:dyDescent="0.35">
      <c r="A359" t="s">
        <v>761</v>
      </c>
      <c r="B359" t="s">
        <v>45</v>
      </c>
      <c r="C359" t="s">
        <v>49</v>
      </c>
      <c r="D359" t="s">
        <v>25</v>
      </c>
      <c r="E359">
        <v>41</v>
      </c>
      <c r="F359" t="s">
        <v>79</v>
      </c>
      <c r="G359" t="s">
        <v>85</v>
      </c>
      <c r="H359" t="s">
        <v>762</v>
      </c>
      <c r="I359">
        <v>0</v>
      </c>
      <c r="J359">
        <v>9</v>
      </c>
      <c r="K359">
        <v>421441</v>
      </c>
      <c r="L359">
        <v>4.7</v>
      </c>
      <c r="M359" t="s">
        <v>21</v>
      </c>
      <c r="N359">
        <v>52</v>
      </c>
      <c r="O359">
        <f t="shared" si="80"/>
        <v>643</v>
      </c>
      <c r="P359">
        <f t="shared" si="81"/>
        <v>316</v>
      </c>
      <c r="Q359">
        <f t="shared" si="82"/>
        <v>327</v>
      </c>
      <c r="R359">
        <f t="shared" si="83"/>
        <v>49.650349650349654</v>
      </c>
      <c r="S359" s="1">
        <f t="shared" si="84"/>
        <v>50.24975024975025</v>
      </c>
      <c r="T359" s="1">
        <f t="shared" si="85"/>
        <v>298</v>
      </c>
      <c r="U359" s="1">
        <f t="shared" si="86"/>
        <v>345</v>
      </c>
      <c r="V359" s="1">
        <f t="shared" si="87"/>
        <v>47.5</v>
      </c>
      <c r="W359" s="1">
        <f t="shared" si="88"/>
        <v>52.5</v>
      </c>
      <c r="X359" s="1">
        <f t="shared" si="89"/>
        <v>15.102643856920684</v>
      </c>
      <c r="Y359" s="1">
        <f t="shared" si="90"/>
        <v>102</v>
      </c>
      <c r="Z359" s="1">
        <f t="shared" si="91"/>
        <v>105</v>
      </c>
      <c r="AA359" s="1">
        <f t="shared" si="92"/>
        <v>3.6323529411764706</v>
      </c>
      <c r="AB359" s="1">
        <f t="shared" si="93"/>
        <v>3.3876190476190469</v>
      </c>
      <c r="AC359" s="1">
        <f t="shared" si="94"/>
        <v>1</v>
      </c>
      <c r="AD359" s="1">
        <f t="shared" si="95"/>
        <v>3.0384681688722021E-2</v>
      </c>
    </row>
    <row r="360" spans="1:30" x14ac:dyDescent="0.35">
      <c r="A360" t="s">
        <v>763</v>
      </c>
      <c r="B360" t="s">
        <v>55</v>
      </c>
      <c r="C360" t="s">
        <v>36</v>
      </c>
      <c r="D360" t="s">
        <v>17</v>
      </c>
      <c r="E360">
        <v>28</v>
      </c>
      <c r="F360" t="s">
        <v>74</v>
      </c>
      <c r="G360" t="s">
        <v>26</v>
      </c>
      <c r="H360" t="s">
        <v>764</v>
      </c>
      <c r="I360">
        <v>18</v>
      </c>
      <c r="J360">
        <v>28</v>
      </c>
      <c r="K360">
        <v>250080</v>
      </c>
      <c r="L360">
        <v>2.1</v>
      </c>
      <c r="M360" t="s">
        <v>21</v>
      </c>
      <c r="N360">
        <v>45</v>
      </c>
      <c r="O360">
        <f t="shared" si="80"/>
        <v>642</v>
      </c>
      <c r="P360">
        <f t="shared" si="81"/>
        <v>316</v>
      </c>
      <c r="Q360">
        <f t="shared" si="82"/>
        <v>326</v>
      </c>
      <c r="R360">
        <f t="shared" si="83"/>
        <v>49.650349650349654</v>
      </c>
      <c r="S360" s="1">
        <f t="shared" si="84"/>
        <v>50.24975024975025</v>
      </c>
      <c r="T360" s="1">
        <f t="shared" si="85"/>
        <v>297</v>
      </c>
      <c r="U360" s="1">
        <f t="shared" si="86"/>
        <v>345</v>
      </c>
      <c r="V360" s="1">
        <f t="shared" si="87"/>
        <v>47.5</v>
      </c>
      <c r="W360" s="1">
        <f t="shared" si="88"/>
        <v>52.5</v>
      </c>
      <c r="X360" s="1">
        <f t="shared" si="89"/>
        <v>15.11214953271028</v>
      </c>
      <c r="Y360" s="1">
        <f t="shared" si="90"/>
        <v>102</v>
      </c>
      <c r="Z360" s="1">
        <f t="shared" si="91"/>
        <v>105</v>
      </c>
      <c r="AA360" s="1">
        <f t="shared" si="92"/>
        <v>3.6323529411764706</v>
      </c>
      <c r="AB360" s="1">
        <f t="shared" si="93"/>
        <v>3.3876190476190469</v>
      </c>
      <c r="AC360" s="1">
        <f t="shared" si="94"/>
        <v>1</v>
      </c>
      <c r="AD360" s="1">
        <f t="shared" si="95"/>
        <v>3.1910938438890681E-2</v>
      </c>
    </row>
    <row r="361" spans="1:30" x14ac:dyDescent="0.35">
      <c r="A361" t="s">
        <v>765</v>
      </c>
      <c r="B361" t="s">
        <v>45</v>
      </c>
      <c r="C361" t="s">
        <v>52</v>
      </c>
      <c r="D361" t="s">
        <v>25</v>
      </c>
      <c r="E361">
        <v>49</v>
      </c>
      <c r="F361" t="s">
        <v>46</v>
      </c>
      <c r="G361" t="s">
        <v>71</v>
      </c>
      <c r="H361" t="s">
        <v>766</v>
      </c>
      <c r="I361">
        <v>6</v>
      </c>
      <c r="J361">
        <v>16</v>
      </c>
      <c r="K361">
        <v>487786</v>
      </c>
      <c r="L361">
        <v>3.6</v>
      </c>
      <c r="M361" t="s">
        <v>43</v>
      </c>
      <c r="N361">
        <v>98</v>
      </c>
      <c r="O361">
        <f t="shared" si="80"/>
        <v>641</v>
      </c>
      <c r="P361">
        <f t="shared" si="81"/>
        <v>315</v>
      </c>
      <c r="Q361">
        <f t="shared" si="82"/>
        <v>326</v>
      </c>
      <c r="R361">
        <f t="shared" si="83"/>
        <v>49.650349650349654</v>
      </c>
      <c r="S361" s="1">
        <f t="shared" si="84"/>
        <v>50.24975024975025</v>
      </c>
      <c r="T361" s="1">
        <f t="shared" si="85"/>
        <v>296</v>
      </c>
      <c r="U361" s="1">
        <f t="shared" si="86"/>
        <v>345</v>
      </c>
      <c r="V361" s="1">
        <f t="shared" si="87"/>
        <v>47.5</v>
      </c>
      <c r="W361" s="1">
        <f t="shared" si="88"/>
        <v>52.5</v>
      </c>
      <c r="X361" s="1">
        <f t="shared" si="89"/>
        <v>15.092043681747271</v>
      </c>
      <c r="Y361" s="1">
        <f t="shared" si="90"/>
        <v>101</v>
      </c>
      <c r="Z361" s="1">
        <f t="shared" si="91"/>
        <v>105</v>
      </c>
      <c r="AA361" s="1">
        <f t="shared" si="92"/>
        <v>3.6475247524752472</v>
      </c>
      <c r="AB361" s="1">
        <f t="shared" si="93"/>
        <v>3.3876190476190469</v>
      </c>
      <c r="AC361" s="1">
        <f t="shared" si="94"/>
        <v>0</v>
      </c>
      <c r="AD361" s="1">
        <f t="shared" si="95"/>
        <v>2.8884074423388455E-2</v>
      </c>
    </row>
    <row r="362" spans="1:30" x14ac:dyDescent="0.35">
      <c r="A362" t="s">
        <v>767</v>
      </c>
      <c r="B362" t="s">
        <v>55</v>
      </c>
      <c r="C362" t="s">
        <v>93</v>
      </c>
      <c r="D362" t="s">
        <v>25</v>
      </c>
      <c r="E362">
        <v>31</v>
      </c>
      <c r="F362" t="s">
        <v>31</v>
      </c>
      <c r="G362" t="s">
        <v>19</v>
      </c>
      <c r="H362" t="s">
        <v>768</v>
      </c>
      <c r="I362">
        <v>20</v>
      </c>
      <c r="J362">
        <v>20</v>
      </c>
      <c r="K362">
        <v>195096</v>
      </c>
      <c r="L362">
        <v>2.6</v>
      </c>
      <c r="M362" t="s">
        <v>21</v>
      </c>
      <c r="N362">
        <v>35</v>
      </c>
      <c r="O362">
        <f t="shared" si="80"/>
        <v>640</v>
      </c>
      <c r="P362">
        <f t="shared" si="81"/>
        <v>315</v>
      </c>
      <c r="Q362">
        <f t="shared" si="82"/>
        <v>325</v>
      </c>
      <c r="R362">
        <f t="shared" si="83"/>
        <v>49.650349650349654</v>
      </c>
      <c r="S362" s="1">
        <f t="shared" si="84"/>
        <v>50.24975024975025</v>
      </c>
      <c r="T362" s="1">
        <f t="shared" si="85"/>
        <v>296</v>
      </c>
      <c r="U362" s="1">
        <f t="shared" si="86"/>
        <v>344</v>
      </c>
      <c r="V362" s="1">
        <f t="shared" si="87"/>
        <v>47.5</v>
      </c>
      <c r="W362" s="1">
        <f t="shared" si="88"/>
        <v>52.5</v>
      </c>
      <c r="X362" s="1">
        <f t="shared" si="89"/>
        <v>15.090624999999999</v>
      </c>
      <c r="Y362" s="1">
        <f t="shared" si="90"/>
        <v>101</v>
      </c>
      <c r="Z362" s="1">
        <f t="shared" si="91"/>
        <v>105</v>
      </c>
      <c r="AA362" s="1">
        <f t="shared" si="92"/>
        <v>3.6475247524752472</v>
      </c>
      <c r="AB362" s="1">
        <f t="shared" si="93"/>
        <v>3.3876190476190469</v>
      </c>
      <c r="AC362" s="1">
        <f t="shared" si="94"/>
        <v>1</v>
      </c>
      <c r="AD362" s="1">
        <f t="shared" si="95"/>
        <v>2.9094223163374289E-2</v>
      </c>
    </row>
    <row r="363" spans="1:30" x14ac:dyDescent="0.35">
      <c r="A363" t="s">
        <v>769</v>
      </c>
      <c r="B363" t="s">
        <v>78</v>
      </c>
      <c r="C363" t="s">
        <v>16</v>
      </c>
      <c r="D363" t="s">
        <v>17</v>
      </c>
      <c r="E363">
        <v>33</v>
      </c>
      <c r="F363" t="s">
        <v>70</v>
      </c>
      <c r="G363" t="s">
        <v>71</v>
      </c>
      <c r="H363" t="s">
        <v>770</v>
      </c>
      <c r="I363">
        <v>19</v>
      </c>
      <c r="J363">
        <v>27</v>
      </c>
      <c r="K363">
        <v>312750</v>
      </c>
      <c r="L363">
        <v>4.4000000000000004</v>
      </c>
      <c r="M363" t="s">
        <v>21</v>
      </c>
      <c r="N363">
        <v>67</v>
      </c>
      <c r="O363">
        <f t="shared" si="80"/>
        <v>639</v>
      </c>
      <c r="P363">
        <f t="shared" si="81"/>
        <v>315</v>
      </c>
      <c r="Q363">
        <f t="shared" si="82"/>
        <v>324</v>
      </c>
      <c r="R363">
        <f t="shared" si="83"/>
        <v>49.650349650349654</v>
      </c>
      <c r="S363" s="1">
        <f t="shared" si="84"/>
        <v>50.24975024975025</v>
      </c>
      <c r="T363" s="1">
        <f t="shared" si="85"/>
        <v>295</v>
      </c>
      <c r="U363" s="1">
        <f t="shared" si="86"/>
        <v>344</v>
      </c>
      <c r="V363" s="1">
        <f t="shared" si="87"/>
        <v>47.5</v>
      </c>
      <c r="W363" s="1">
        <f t="shared" si="88"/>
        <v>52.5</v>
      </c>
      <c r="X363" s="1">
        <f t="shared" si="89"/>
        <v>15.082942097026605</v>
      </c>
      <c r="Y363" s="1">
        <f t="shared" si="90"/>
        <v>101</v>
      </c>
      <c r="Z363" s="1">
        <f t="shared" si="91"/>
        <v>104</v>
      </c>
      <c r="AA363" s="1">
        <f t="shared" si="92"/>
        <v>3.6475247524752472</v>
      </c>
      <c r="AB363" s="1">
        <f t="shared" si="93"/>
        <v>3.3951923076923074</v>
      </c>
      <c r="AC363" s="1">
        <f t="shared" si="94"/>
        <v>1</v>
      </c>
      <c r="AD363" s="1">
        <f t="shared" si="95"/>
        <v>2.7932464923306845E-2</v>
      </c>
    </row>
    <row r="364" spans="1:30" x14ac:dyDescent="0.35">
      <c r="A364" t="s">
        <v>771</v>
      </c>
      <c r="B364" t="s">
        <v>45</v>
      </c>
      <c r="C364" t="s">
        <v>64</v>
      </c>
      <c r="D364" t="s">
        <v>17</v>
      </c>
      <c r="E364">
        <v>56</v>
      </c>
      <c r="F364" t="s">
        <v>31</v>
      </c>
      <c r="G364" t="s">
        <v>57</v>
      </c>
      <c r="H364" t="s">
        <v>772</v>
      </c>
      <c r="I364">
        <v>3</v>
      </c>
      <c r="J364">
        <v>12</v>
      </c>
      <c r="K364">
        <v>180018</v>
      </c>
      <c r="L364">
        <v>3.9</v>
      </c>
      <c r="M364" t="s">
        <v>43</v>
      </c>
      <c r="N364">
        <v>100</v>
      </c>
      <c r="O364">
        <f t="shared" si="80"/>
        <v>638</v>
      </c>
      <c r="P364">
        <f t="shared" si="81"/>
        <v>314</v>
      </c>
      <c r="Q364">
        <f t="shared" si="82"/>
        <v>324</v>
      </c>
      <c r="R364">
        <f t="shared" si="83"/>
        <v>49.650349650349654</v>
      </c>
      <c r="S364" s="1">
        <f t="shared" si="84"/>
        <v>50.24975024975025</v>
      </c>
      <c r="T364" s="1">
        <f t="shared" si="85"/>
        <v>294</v>
      </c>
      <c r="U364" s="1">
        <f t="shared" si="86"/>
        <v>344</v>
      </c>
      <c r="V364" s="1">
        <f t="shared" si="87"/>
        <v>47.5</v>
      </c>
      <c r="W364" s="1">
        <f t="shared" si="88"/>
        <v>52.5</v>
      </c>
      <c r="X364" s="1">
        <f t="shared" si="89"/>
        <v>15.064263322884013</v>
      </c>
      <c r="Y364" s="1">
        <f t="shared" si="90"/>
        <v>101</v>
      </c>
      <c r="Z364" s="1">
        <f t="shared" si="91"/>
        <v>104</v>
      </c>
      <c r="AA364" s="1">
        <f t="shared" si="92"/>
        <v>3.6475247524752472</v>
      </c>
      <c r="AB364" s="1">
        <f t="shared" si="93"/>
        <v>3.3951923076923074</v>
      </c>
      <c r="AC364" s="1">
        <f t="shared" si="94"/>
        <v>0</v>
      </c>
      <c r="AD364" s="1">
        <f t="shared" si="95"/>
        <v>2.5096985382041595E-2</v>
      </c>
    </row>
    <row r="365" spans="1:30" x14ac:dyDescent="0.35">
      <c r="A365" t="s">
        <v>773</v>
      </c>
      <c r="B365" t="s">
        <v>23</v>
      </c>
      <c r="C365" t="s">
        <v>49</v>
      </c>
      <c r="D365" t="s">
        <v>25</v>
      </c>
      <c r="E365">
        <v>23</v>
      </c>
      <c r="F365" t="s">
        <v>18</v>
      </c>
      <c r="G365" t="s">
        <v>88</v>
      </c>
      <c r="H365" t="s">
        <v>774</v>
      </c>
      <c r="I365">
        <v>9</v>
      </c>
      <c r="J365">
        <v>14</v>
      </c>
      <c r="K365">
        <v>242016</v>
      </c>
      <c r="L365">
        <v>2.2999999999999998</v>
      </c>
      <c r="M365" t="s">
        <v>43</v>
      </c>
      <c r="N365">
        <v>94</v>
      </c>
      <c r="O365">
        <f t="shared" si="80"/>
        <v>637</v>
      </c>
      <c r="P365">
        <f t="shared" si="81"/>
        <v>313</v>
      </c>
      <c r="Q365">
        <f t="shared" si="82"/>
        <v>324</v>
      </c>
      <c r="R365">
        <f t="shared" si="83"/>
        <v>49.650349650349654</v>
      </c>
      <c r="S365" s="1">
        <f t="shared" si="84"/>
        <v>50.24975024975025</v>
      </c>
      <c r="T365" s="1">
        <f t="shared" si="85"/>
        <v>294</v>
      </c>
      <c r="U365" s="1">
        <f t="shared" si="86"/>
        <v>343</v>
      </c>
      <c r="V365" s="1">
        <f t="shared" si="87"/>
        <v>47.5</v>
      </c>
      <c r="W365" s="1">
        <f t="shared" si="88"/>
        <v>52.5</v>
      </c>
      <c r="X365" s="1">
        <f t="shared" si="89"/>
        <v>15.069073783359498</v>
      </c>
      <c r="Y365" s="1">
        <f t="shared" si="90"/>
        <v>101</v>
      </c>
      <c r="Z365" s="1">
        <f t="shared" si="91"/>
        <v>103</v>
      </c>
      <c r="AA365" s="1">
        <f t="shared" si="92"/>
        <v>3.6475247524752472</v>
      </c>
      <c r="AB365" s="1">
        <f t="shared" si="93"/>
        <v>3.3902912621359222</v>
      </c>
      <c r="AC365" s="1">
        <f t="shared" si="94"/>
        <v>0</v>
      </c>
      <c r="AD365" s="1">
        <f t="shared" si="95"/>
        <v>2.4473091710149025E-2</v>
      </c>
    </row>
    <row r="366" spans="1:30" x14ac:dyDescent="0.35">
      <c r="A366" t="s">
        <v>775</v>
      </c>
      <c r="B366" t="s">
        <v>69</v>
      </c>
      <c r="C366" t="s">
        <v>24</v>
      </c>
      <c r="D366" t="s">
        <v>17</v>
      </c>
      <c r="E366">
        <v>41</v>
      </c>
      <c r="F366" t="s">
        <v>74</v>
      </c>
      <c r="G366" t="s">
        <v>71</v>
      </c>
      <c r="H366" t="s">
        <v>776</v>
      </c>
      <c r="I366">
        <v>17</v>
      </c>
      <c r="J366">
        <v>26</v>
      </c>
      <c r="K366">
        <v>173004</v>
      </c>
      <c r="L366">
        <v>4.5999999999999996</v>
      </c>
      <c r="M366" t="s">
        <v>21</v>
      </c>
      <c r="N366">
        <v>40</v>
      </c>
      <c r="O366">
        <f t="shared" si="80"/>
        <v>636</v>
      </c>
      <c r="P366">
        <f t="shared" si="81"/>
        <v>313</v>
      </c>
      <c r="Q366">
        <f t="shared" si="82"/>
        <v>323</v>
      </c>
      <c r="R366">
        <f t="shared" si="83"/>
        <v>49.650349650349654</v>
      </c>
      <c r="S366" s="1">
        <f t="shared" si="84"/>
        <v>50.24975024975025</v>
      </c>
      <c r="T366" s="1">
        <f t="shared" si="85"/>
        <v>294</v>
      </c>
      <c r="U366" s="1">
        <f t="shared" si="86"/>
        <v>342</v>
      </c>
      <c r="V366" s="1">
        <f t="shared" si="87"/>
        <v>47.5</v>
      </c>
      <c r="W366" s="1">
        <f t="shared" si="88"/>
        <v>52.5</v>
      </c>
      <c r="X366" s="1">
        <f t="shared" si="89"/>
        <v>15.070754716981131</v>
      </c>
      <c r="Y366" s="1">
        <f t="shared" si="90"/>
        <v>101</v>
      </c>
      <c r="Z366" s="1">
        <f t="shared" si="91"/>
        <v>103</v>
      </c>
      <c r="AA366" s="1">
        <f t="shared" si="92"/>
        <v>3.6475247524752472</v>
      </c>
      <c r="AB366" s="1">
        <f t="shared" si="93"/>
        <v>3.3902912621359222</v>
      </c>
      <c r="AC366" s="1">
        <f t="shared" si="94"/>
        <v>1</v>
      </c>
      <c r="AD366" s="1">
        <f t="shared" si="95"/>
        <v>2.4264649415813008E-2</v>
      </c>
    </row>
    <row r="367" spans="1:30" x14ac:dyDescent="0.35">
      <c r="A367" t="s">
        <v>777</v>
      </c>
      <c r="B367" t="s">
        <v>40</v>
      </c>
      <c r="C367" t="s">
        <v>24</v>
      </c>
      <c r="D367" t="s">
        <v>25</v>
      </c>
      <c r="E367">
        <v>50</v>
      </c>
      <c r="F367" t="s">
        <v>18</v>
      </c>
      <c r="G367" t="s">
        <v>88</v>
      </c>
      <c r="H367" t="s">
        <v>778</v>
      </c>
      <c r="I367">
        <v>12</v>
      </c>
      <c r="J367">
        <v>14</v>
      </c>
      <c r="K367">
        <v>176633</v>
      </c>
      <c r="L367">
        <v>3</v>
      </c>
      <c r="M367" t="s">
        <v>43</v>
      </c>
      <c r="N367">
        <v>82</v>
      </c>
      <c r="O367">
        <f t="shared" si="80"/>
        <v>635</v>
      </c>
      <c r="P367">
        <f t="shared" si="81"/>
        <v>312</v>
      </c>
      <c r="Q367">
        <f t="shared" si="82"/>
        <v>323</v>
      </c>
      <c r="R367">
        <f t="shared" si="83"/>
        <v>49.650349650349654</v>
      </c>
      <c r="S367" s="1">
        <f t="shared" si="84"/>
        <v>50.24975024975025</v>
      </c>
      <c r="T367" s="1">
        <f t="shared" si="85"/>
        <v>293</v>
      </c>
      <c r="U367" s="1">
        <f t="shared" si="86"/>
        <v>342</v>
      </c>
      <c r="V367" s="1">
        <f t="shared" si="87"/>
        <v>47.5</v>
      </c>
      <c r="W367" s="1">
        <f t="shared" si="88"/>
        <v>52.5</v>
      </c>
      <c r="X367" s="1">
        <f t="shared" si="89"/>
        <v>15.053543307086613</v>
      </c>
      <c r="Y367" s="1">
        <f t="shared" si="90"/>
        <v>100</v>
      </c>
      <c r="Z367" s="1">
        <f t="shared" si="91"/>
        <v>103</v>
      </c>
      <c r="AA367" s="1">
        <f t="shared" si="92"/>
        <v>3.6379999999999999</v>
      </c>
      <c r="AB367" s="1">
        <f t="shared" si="93"/>
        <v>3.3902912621359222</v>
      </c>
      <c r="AC367" s="1">
        <f t="shared" si="94"/>
        <v>0</v>
      </c>
      <c r="AD367" s="1">
        <f t="shared" si="95"/>
        <v>2.1642212945633316E-2</v>
      </c>
    </row>
    <row r="368" spans="1:30" x14ac:dyDescent="0.35">
      <c r="A368" t="s">
        <v>779</v>
      </c>
      <c r="B368" t="s">
        <v>96</v>
      </c>
      <c r="C368" t="s">
        <v>49</v>
      </c>
      <c r="D368" t="s">
        <v>17</v>
      </c>
      <c r="E368">
        <v>34</v>
      </c>
      <c r="F368" t="s">
        <v>79</v>
      </c>
      <c r="G368" t="s">
        <v>88</v>
      </c>
      <c r="H368" t="s">
        <v>780</v>
      </c>
      <c r="I368">
        <v>1</v>
      </c>
      <c r="J368">
        <v>9</v>
      </c>
      <c r="K368">
        <v>57168</v>
      </c>
      <c r="L368">
        <v>3.3</v>
      </c>
      <c r="M368" t="s">
        <v>43</v>
      </c>
      <c r="N368">
        <v>79</v>
      </c>
      <c r="O368">
        <f t="shared" si="80"/>
        <v>634</v>
      </c>
      <c r="P368">
        <f t="shared" si="81"/>
        <v>312</v>
      </c>
      <c r="Q368">
        <f t="shared" si="82"/>
        <v>322</v>
      </c>
      <c r="R368">
        <f t="shared" si="83"/>
        <v>49.650349650349654</v>
      </c>
      <c r="S368" s="1">
        <f t="shared" si="84"/>
        <v>50.24975024975025</v>
      </c>
      <c r="T368" s="1">
        <f t="shared" si="85"/>
        <v>293</v>
      </c>
      <c r="U368" s="1">
        <f t="shared" si="86"/>
        <v>341</v>
      </c>
      <c r="V368" s="1">
        <f t="shared" si="87"/>
        <v>47.5</v>
      </c>
      <c r="W368" s="1">
        <f t="shared" si="88"/>
        <v>52.5</v>
      </c>
      <c r="X368" s="1">
        <f t="shared" si="89"/>
        <v>15.055205047318612</v>
      </c>
      <c r="Y368" s="1">
        <f t="shared" si="90"/>
        <v>100</v>
      </c>
      <c r="Z368" s="1">
        <f t="shared" si="91"/>
        <v>103</v>
      </c>
      <c r="AA368" s="1">
        <f t="shared" si="92"/>
        <v>3.6379999999999999</v>
      </c>
      <c r="AB368" s="1">
        <f t="shared" si="93"/>
        <v>3.3902912621359222</v>
      </c>
      <c r="AC368" s="1">
        <f t="shared" si="94"/>
        <v>0</v>
      </c>
      <c r="AD368" s="1">
        <f t="shared" si="95"/>
        <v>2.1434371284200861E-2</v>
      </c>
    </row>
    <row r="369" spans="1:30" x14ac:dyDescent="0.35">
      <c r="A369" t="s">
        <v>781</v>
      </c>
      <c r="B369" t="s">
        <v>96</v>
      </c>
      <c r="C369" t="s">
        <v>36</v>
      </c>
      <c r="D369" t="s">
        <v>17</v>
      </c>
      <c r="E369">
        <v>39</v>
      </c>
      <c r="F369" t="s">
        <v>46</v>
      </c>
      <c r="G369" t="s">
        <v>41</v>
      </c>
      <c r="H369" t="s">
        <v>782</v>
      </c>
      <c r="I369">
        <v>14</v>
      </c>
      <c r="J369">
        <v>19</v>
      </c>
      <c r="K369">
        <v>59339</v>
      </c>
      <c r="L369">
        <v>4.5</v>
      </c>
      <c r="M369" t="s">
        <v>43</v>
      </c>
      <c r="N369">
        <v>92</v>
      </c>
      <c r="O369">
        <f t="shared" si="80"/>
        <v>633</v>
      </c>
      <c r="P369">
        <f t="shared" si="81"/>
        <v>311</v>
      </c>
      <c r="Q369">
        <f t="shared" si="82"/>
        <v>322</v>
      </c>
      <c r="R369">
        <f t="shared" si="83"/>
        <v>49.650349650349654</v>
      </c>
      <c r="S369" s="1">
        <f t="shared" si="84"/>
        <v>50.24975024975025</v>
      </c>
      <c r="T369" s="1">
        <f t="shared" si="85"/>
        <v>293</v>
      </c>
      <c r="U369" s="1">
        <f t="shared" si="86"/>
        <v>340</v>
      </c>
      <c r="V369" s="1">
        <f t="shared" si="87"/>
        <v>47.5</v>
      </c>
      <c r="W369" s="1">
        <f t="shared" si="88"/>
        <v>52.5</v>
      </c>
      <c r="X369" s="1">
        <f t="shared" si="89"/>
        <v>15.064770932069511</v>
      </c>
      <c r="Y369" s="1">
        <f t="shared" si="90"/>
        <v>100</v>
      </c>
      <c r="Z369" s="1">
        <f t="shared" si="91"/>
        <v>103</v>
      </c>
      <c r="AA369" s="1">
        <f t="shared" si="92"/>
        <v>3.6379999999999999</v>
      </c>
      <c r="AB369" s="1">
        <f t="shared" si="93"/>
        <v>3.3902912621359222</v>
      </c>
      <c r="AC369" s="1">
        <f t="shared" si="94"/>
        <v>0</v>
      </c>
      <c r="AD369" s="1">
        <f t="shared" si="95"/>
        <v>2.0177300531297855E-2</v>
      </c>
    </row>
    <row r="370" spans="1:30" x14ac:dyDescent="0.35">
      <c r="A370" t="s">
        <v>783</v>
      </c>
      <c r="B370" t="s">
        <v>15</v>
      </c>
      <c r="C370" t="s">
        <v>93</v>
      </c>
      <c r="D370" t="s">
        <v>25</v>
      </c>
      <c r="E370">
        <v>53</v>
      </c>
      <c r="F370" t="s">
        <v>79</v>
      </c>
      <c r="G370" t="s">
        <v>26</v>
      </c>
      <c r="H370" t="s">
        <v>784</v>
      </c>
      <c r="I370">
        <v>19</v>
      </c>
      <c r="J370">
        <v>20</v>
      </c>
      <c r="K370">
        <v>124713</v>
      </c>
      <c r="L370">
        <v>3.9</v>
      </c>
      <c r="M370" t="s">
        <v>21</v>
      </c>
      <c r="N370">
        <v>30</v>
      </c>
      <c r="O370">
        <f t="shared" si="80"/>
        <v>632</v>
      </c>
      <c r="P370">
        <f t="shared" si="81"/>
        <v>310</v>
      </c>
      <c r="Q370">
        <f t="shared" si="82"/>
        <v>322</v>
      </c>
      <c r="R370">
        <f t="shared" si="83"/>
        <v>49.650349650349654</v>
      </c>
      <c r="S370" s="1">
        <f t="shared" si="84"/>
        <v>50.24975024975025</v>
      </c>
      <c r="T370" s="1">
        <f t="shared" si="85"/>
        <v>293</v>
      </c>
      <c r="U370" s="1">
        <f t="shared" si="86"/>
        <v>339</v>
      </c>
      <c r="V370" s="1">
        <f t="shared" si="87"/>
        <v>47.5</v>
      </c>
      <c r="W370" s="1">
        <f t="shared" si="88"/>
        <v>52.5</v>
      </c>
      <c r="X370" s="1">
        <f t="shared" si="89"/>
        <v>15.058544303797468</v>
      </c>
      <c r="Y370" s="1">
        <f t="shared" si="90"/>
        <v>100</v>
      </c>
      <c r="Z370" s="1">
        <f t="shared" si="91"/>
        <v>103</v>
      </c>
      <c r="AA370" s="1">
        <f t="shared" si="92"/>
        <v>3.6379999999999999</v>
      </c>
      <c r="AB370" s="1">
        <f t="shared" si="93"/>
        <v>3.3902912621359222</v>
      </c>
      <c r="AC370" s="1">
        <f t="shared" si="94"/>
        <v>1</v>
      </c>
      <c r="AD370" s="1">
        <f t="shared" si="95"/>
        <v>2.1033240269477695E-2</v>
      </c>
    </row>
    <row r="371" spans="1:30" x14ac:dyDescent="0.35">
      <c r="A371" t="s">
        <v>785</v>
      </c>
      <c r="B371" t="s">
        <v>35</v>
      </c>
      <c r="C371" t="s">
        <v>93</v>
      </c>
      <c r="D371" t="s">
        <v>25</v>
      </c>
      <c r="E371">
        <v>22</v>
      </c>
      <c r="F371" t="s">
        <v>74</v>
      </c>
      <c r="G371" t="s">
        <v>85</v>
      </c>
      <c r="H371" t="s">
        <v>786</v>
      </c>
      <c r="I371">
        <v>19</v>
      </c>
      <c r="J371">
        <v>28</v>
      </c>
      <c r="K371">
        <v>218939</v>
      </c>
      <c r="L371">
        <v>4.5999999999999996</v>
      </c>
      <c r="M371" t="s">
        <v>21</v>
      </c>
      <c r="N371">
        <v>57</v>
      </c>
      <c r="O371">
        <f t="shared" si="80"/>
        <v>631</v>
      </c>
      <c r="P371">
        <f t="shared" si="81"/>
        <v>310</v>
      </c>
      <c r="Q371">
        <f t="shared" si="82"/>
        <v>321</v>
      </c>
      <c r="R371">
        <f t="shared" si="83"/>
        <v>49.650349650349654</v>
      </c>
      <c r="S371" s="1">
        <f t="shared" si="84"/>
        <v>50.24975024975025</v>
      </c>
      <c r="T371" s="1">
        <f t="shared" si="85"/>
        <v>292</v>
      </c>
      <c r="U371" s="1">
        <f t="shared" si="86"/>
        <v>339</v>
      </c>
      <c r="V371" s="1">
        <f t="shared" si="87"/>
        <v>47.5</v>
      </c>
      <c r="W371" s="1">
        <f t="shared" si="88"/>
        <v>52.5</v>
      </c>
      <c r="X371" s="1">
        <f t="shared" si="89"/>
        <v>15.050713153724248</v>
      </c>
      <c r="Y371" s="1">
        <f t="shared" si="90"/>
        <v>100</v>
      </c>
      <c r="Z371" s="1">
        <f t="shared" si="91"/>
        <v>103</v>
      </c>
      <c r="AA371" s="1">
        <f t="shared" si="92"/>
        <v>3.6379999999999999</v>
      </c>
      <c r="AB371" s="1">
        <f t="shared" si="93"/>
        <v>3.3902912621359222</v>
      </c>
      <c r="AC371" s="1">
        <f t="shared" si="94"/>
        <v>1</v>
      </c>
      <c r="AD371" s="1">
        <f t="shared" si="95"/>
        <v>1.984152171432902E-2</v>
      </c>
    </row>
    <row r="372" spans="1:30" x14ac:dyDescent="0.35">
      <c r="A372" t="s">
        <v>787</v>
      </c>
      <c r="B372" t="s">
        <v>96</v>
      </c>
      <c r="C372" t="s">
        <v>30</v>
      </c>
      <c r="D372" t="s">
        <v>25</v>
      </c>
      <c r="E372">
        <v>42</v>
      </c>
      <c r="F372" t="s">
        <v>74</v>
      </c>
      <c r="G372" t="s">
        <v>71</v>
      </c>
      <c r="H372" t="s">
        <v>435</v>
      </c>
      <c r="I372">
        <v>11</v>
      </c>
      <c r="J372">
        <v>16</v>
      </c>
      <c r="K372">
        <v>420524</v>
      </c>
      <c r="L372">
        <v>2.9</v>
      </c>
      <c r="M372" t="s">
        <v>43</v>
      </c>
      <c r="N372">
        <v>89</v>
      </c>
      <c r="O372">
        <f t="shared" si="80"/>
        <v>630</v>
      </c>
      <c r="P372">
        <f t="shared" si="81"/>
        <v>310</v>
      </c>
      <c r="Q372">
        <f t="shared" si="82"/>
        <v>320</v>
      </c>
      <c r="R372">
        <f t="shared" si="83"/>
        <v>49.650349650349654</v>
      </c>
      <c r="S372" s="1">
        <f t="shared" si="84"/>
        <v>50.24975024975025</v>
      </c>
      <c r="T372" s="1">
        <f t="shared" si="85"/>
        <v>291</v>
      </c>
      <c r="U372" s="1">
        <f t="shared" si="86"/>
        <v>339</v>
      </c>
      <c r="V372" s="1">
        <f t="shared" si="87"/>
        <v>47.5</v>
      </c>
      <c r="W372" s="1">
        <f t="shared" si="88"/>
        <v>52.5</v>
      </c>
      <c r="X372" s="1">
        <f t="shared" si="89"/>
        <v>15.03015873015873</v>
      </c>
      <c r="Y372" s="1">
        <f t="shared" si="90"/>
        <v>99</v>
      </c>
      <c r="Z372" s="1">
        <f t="shared" si="91"/>
        <v>103</v>
      </c>
      <c r="AA372" s="1">
        <f t="shared" si="92"/>
        <v>3.6282828282828286</v>
      </c>
      <c r="AB372" s="1">
        <f t="shared" si="93"/>
        <v>3.3902912621359222</v>
      </c>
      <c r="AC372" s="1">
        <f t="shared" si="94"/>
        <v>0</v>
      </c>
      <c r="AD372" s="1">
        <f t="shared" si="95"/>
        <v>1.670242227726235E-2</v>
      </c>
    </row>
    <row r="373" spans="1:30" x14ac:dyDescent="0.35">
      <c r="A373" t="s">
        <v>788</v>
      </c>
      <c r="B373" t="s">
        <v>78</v>
      </c>
      <c r="C373" t="s">
        <v>49</v>
      </c>
      <c r="D373" t="s">
        <v>17</v>
      </c>
      <c r="E373">
        <v>29</v>
      </c>
      <c r="F373" t="s">
        <v>70</v>
      </c>
      <c r="G373" t="s">
        <v>57</v>
      </c>
      <c r="H373" t="s">
        <v>789</v>
      </c>
      <c r="I373">
        <v>3</v>
      </c>
      <c r="J373">
        <v>13</v>
      </c>
      <c r="K373">
        <v>340238</v>
      </c>
      <c r="L373">
        <v>3.9</v>
      </c>
      <c r="M373" t="s">
        <v>43</v>
      </c>
      <c r="N373">
        <v>100</v>
      </c>
      <c r="O373">
        <f t="shared" si="80"/>
        <v>629</v>
      </c>
      <c r="P373">
        <f t="shared" si="81"/>
        <v>310</v>
      </c>
      <c r="Q373">
        <f t="shared" si="82"/>
        <v>319</v>
      </c>
      <c r="R373">
        <f t="shared" si="83"/>
        <v>49.650349650349654</v>
      </c>
      <c r="S373" s="1">
        <f t="shared" si="84"/>
        <v>50.24975024975025</v>
      </c>
      <c r="T373" s="1">
        <f t="shared" si="85"/>
        <v>291</v>
      </c>
      <c r="U373" s="1">
        <f t="shared" si="86"/>
        <v>338</v>
      </c>
      <c r="V373" s="1">
        <f t="shared" si="87"/>
        <v>47.5</v>
      </c>
      <c r="W373" s="1">
        <f t="shared" si="88"/>
        <v>52.5</v>
      </c>
      <c r="X373" s="1">
        <f t="shared" si="89"/>
        <v>15.028616852146264</v>
      </c>
      <c r="Y373" s="1">
        <f t="shared" si="90"/>
        <v>98</v>
      </c>
      <c r="Z373" s="1">
        <f t="shared" si="91"/>
        <v>103</v>
      </c>
      <c r="AA373" s="1">
        <f t="shared" si="92"/>
        <v>3.6357142857142866</v>
      </c>
      <c r="AB373" s="1">
        <f t="shared" si="93"/>
        <v>3.3902912621359222</v>
      </c>
      <c r="AC373" s="1">
        <f t="shared" si="94"/>
        <v>0</v>
      </c>
      <c r="AD373" s="1">
        <f t="shared" si="95"/>
        <v>1.6921122344419851E-2</v>
      </c>
    </row>
    <row r="374" spans="1:30" x14ac:dyDescent="0.35">
      <c r="A374" t="s">
        <v>790</v>
      </c>
      <c r="B374" t="s">
        <v>45</v>
      </c>
      <c r="C374" t="s">
        <v>36</v>
      </c>
      <c r="D374" t="s">
        <v>25</v>
      </c>
      <c r="E374">
        <v>56</v>
      </c>
      <c r="F374" t="s">
        <v>74</v>
      </c>
      <c r="G374" t="s">
        <v>26</v>
      </c>
      <c r="H374" t="s">
        <v>791</v>
      </c>
      <c r="I374">
        <v>11</v>
      </c>
      <c r="J374">
        <v>19</v>
      </c>
      <c r="K374">
        <v>116850</v>
      </c>
      <c r="L374">
        <v>3.6</v>
      </c>
      <c r="M374" t="s">
        <v>21</v>
      </c>
      <c r="N374">
        <v>57</v>
      </c>
      <c r="O374">
        <f t="shared" si="80"/>
        <v>628</v>
      </c>
      <c r="P374">
        <f t="shared" si="81"/>
        <v>309</v>
      </c>
      <c r="Q374">
        <f t="shared" si="82"/>
        <v>319</v>
      </c>
      <c r="R374">
        <f t="shared" si="83"/>
        <v>49.650349650349654</v>
      </c>
      <c r="S374" s="1">
        <f t="shared" si="84"/>
        <v>50.24975024975025</v>
      </c>
      <c r="T374" s="1">
        <f t="shared" si="85"/>
        <v>291</v>
      </c>
      <c r="U374" s="1">
        <f t="shared" si="86"/>
        <v>337</v>
      </c>
      <c r="V374" s="1">
        <f t="shared" si="87"/>
        <v>47.5</v>
      </c>
      <c r="W374" s="1">
        <f t="shared" si="88"/>
        <v>52.5</v>
      </c>
      <c r="X374" s="1">
        <f t="shared" si="89"/>
        <v>15.031847133757962</v>
      </c>
      <c r="Y374" s="1">
        <f t="shared" si="90"/>
        <v>98</v>
      </c>
      <c r="Z374" s="1">
        <f t="shared" si="91"/>
        <v>103</v>
      </c>
      <c r="AA374" s="1">
        <f t="shared" si="92"/>
        <v>3.6357142857142866</v>
      </c>
      <c r="AB374" s="1">
        <f t="shared" si="93"/>
        <v>3.3902912621359222</v>
      </c>
      <c r="AC374" s="1">
        <f t="shared" si="94"/>
        <v>1</v>
      </c>
      <c r="AD374" s="1">
        <f t="shared" si="95"/>
        <v>1.6499835056961835E-2</v>
      </c>
    </row>
    <row r="375" spans="1:30" x14ac:dyDescent="0.35">
      <c r="A375" t="s">
        <v>792</v>
      </c>
      <c r="B375" t="s">
        <v>111</v>
      </c>
      <c r="C375" t="s">
        <v>36</v>
      </c>
      <c r="D375" t="s">
        <v>25</v>
      </c>
      <c r="E375">
        <v>52</v>
      </c>
      <c r="F375" t="s">
        <v>74</v>
      </c>
      <c r="G375" t="s">
        <v>41</v>
      </c>
      <c r="H375" t="s">
        <v>793</v>
      </c>
      <c r="I375">
        <v>0</v>
      </c>
      <c r="J375">
        <v>7</v>
      </c>
      <c r="K375">
        <v>187630</v>
      </c>
      <c r="L375">
        <v>4.5</v>
      </c>
      <c r="M375" t="s">
        <v>43</v>
      </c>
      <c r="N375">
        <v>78</v>
      </c>
      <c r="O375">
        <f t="shared" si="80"/>
        <v>627</v>
      </c>
      <c r="P375">
        <f t="shared" si="81"/>
        <v>309</v>
      </c>
      <c r="Q375">
        <f t="shared" si="82"/>
        <v>318</v>
      </c>
      <c r="R375">
        <f t="shared" si="83"/>
        <v>49.650349650349654</v>
      </c>
      <c r="S375" s="1">
        <f t="shared" si="84"/>
        <v>50.24975024975025</v>
      </c>
      <c r="T375" s="1">
        <f t="shared" si="85"/>
        <v>290</v>
      </c>
      <c r="U375" s="1">
        <f t="shared" si="86"/>
        <v>337</v>
      </c>
      <c r="V375" s="1">
        <f t="shared" si="87"/>
        <v>47.5</v>
      </c>
      <c r="W375" s="1">
        <f t="shared" si="88"/>
        <v>52.5</v>
      </c>
      <c r="X375" s="1">
        <f t="shared" si="89"/>
        <v>15.025518341307816</v>
      </c>
      <c r="Y375" s="1">
        <f t="shared" si="90"/>
        <v>97</v>
      </c>
      <c r="Z375" s="1">
        <f t="shared" si="91"/>
        <v>103</v>
      </c>
      <c r="AA375" s="1">
        <f t="shared" si="92"/>
        <v>3.6360824742268045</v>
      </c>
      <c r="AB375" s="1">
        <f t="shared" si="93"/>
        <v>3.3902912621359222</v>
      </c>
      <c r="AC375" s="1">
        <f t="shared" si="94"/>
        <v>0</v>
      </c>
      <c r="AD375" s="1">
        <f t="shared" si="95"/>
        <v>1.553341883153405E-2</v>
      </c>
    </row>
    <row r="376" spans="1:30" x14ac:dyDescent="0.35">
      <c r="A376" t="s">
        <v>794</v>
      </c>
      <c r="B376" t="s">
        <v>23</v>
      </c>
      <c r="C376" t="s">
        <v>82</v>
      </c>
      <c r="D376" t="s">
        <v>17</v>
      </c>
      <c r="E376">
        <v>21</v>
      </c>
      <c r="F376" t="s">
        <v>37</v>
      </c>
      <c r="G376" t="s">
        <v>41</v>
      </c>
      <c r="H376" t="s">
        <v>795</v>
      </c>
      <c r="I376">
        <v>13</v>
      </c>
      <c r="J376">
        <v>22</v>
      </c>
      <c r="K376">
        <v>262238</v>
      </c>
      <c r="L376">
        <v>4.2</v>
      </c>
      <c r="M376" t="s">
        <v>43</v>
      </c>
      <c r="N376">
        <v>74</v>
      </c>
      <c r="O376">
        <f t="shared" si="80"/>
        <v>626</v>
      </c>
      <c r="P376">
        <f t="shared" si="81"/>
        <v>309</v>
      </c>
      <c r="Q376">
        <f t="shared" si="82"/>
        <v>317</v>
      </c>
      <c r="R376">
        <f t="shared" si="83"/>
        <v>49.650349650349654</v>
      </c>
      <c r="S376" s="1">
        <f t="shared" si="84"/>
        <v>50.24975024975025</v>
      </c>
      <c r="T376" s="1">
        <f t="shared" si="85"/>
        <v>290</v>
      </c>
      <c r="U376" s="1">
        <f t="shared" si="86"/>
        <v>336</v>
      </c>
      <c r="V376" s="1">
        <f t="shared" si="87"/>
        <v>47.5</v>
      </c>
      <c r="W376" s="1">
        <f t="shared" si="88"/>
        <v>52.5</v>
      </c>
      <c r="X376" s="1">
        <f t="shared" si="89"/>
        <v>15.038338658146964</v>
      </c>
      <c r="Y376" s="1">
        <f t="shared" si="90"/>
        <v>96</v>
      </c>
      <c r="Z376" s="1">
        <f t="shared" si="91"/>
        <v>103</v>
      </c>
      <c r="AA376" s="1">
        <f t="shared" si="92"/>
        <v>3.6270833333333337</v>
      </c>
      <c r="AB376" s="1">
        <f t="shared" si="93"/>
        <v>3.3902912621359222</v>
      </c>
      <c r="AC376" s="1">
        <f t="shared" si="94"/>
        <v>0</v>
      </c>
      <c r="AD376" s="1">
        <f t="shared" si="95"/>
        <v>1.3838989616386382E-2</v>
      </c>
    </row>
    <row r="377" spans="1:30" x14ac:dyDescent="0.35">
      <c r="A377" t="s">
        <v>796</v>
      </c>
      <c r="B377" t="s">
        <v>78</v>
      </c>
      <c r="C377" t="s">
        <v>52</v>
      </c>
      <c r="D377" t="s">
        <v>25</v>
      </c>
      <c r="E377">
        <v>31</v>
      </c>
      <c r="F377" t="s">
        <v>70</v>
      </c>
      <c r="G377" t="s">
        <v>88</v>
      </c>
      <c r="H377" t="s">
        <v>797</v>
      </c>
      <c r="I377">
        <v>15</v>
      </c>
      <c r="J377">
        <v>22</v>
      </c>
      <c r="K377">
        <v>267642</v>
      </c>
      <c r="L377">
        <v>2</v>
      </c>
      <c r="M377" t="s">
        <v>21</v>
      </c>
      <c r="N377">
        <v>54</v>
      </c>
      <c r="O377">
        <f t="shared" si="80"/>
        <v>625</v>
      </c>
      <c r="P377">
        <f t="shared" si="81"/>
        <v>308</v>
      </c>
      <c r="Q377">
        <f t="shared" si="82"/>
        <v>317</v>
      </c>
      <c r="R377">
        <f t="shared" si="83"/>
        <v>49.650349650349654</v>
      </c>
      <c r="S377" s="1">
        <f t="shared" si="84"/>
        <v>50.24975024975025</v>
      </c>
      <c r="T377" s="1">
        <f t="shared" si="85"/>
        <v>290</v>
      </c>
      <c r="U377" s="1">
        <f t="shared" si="86"/>
        <v>335</v>
      </c>
      <c r="V377" s="1">
        <f t="shared" si="87"/>
        <v>47.5</v>
      </c>
      <c r="W377" s="1">
        <f t="shared" si="88"/>
        <v>52.5</v>
      </c>
      <c r="X377" s="1">
        <f t="shared" si="89"/>
        <v>15.027200000000001</v>
      </c>
      <c r="Y377" s="1">
        <f t="shared" si="90"/>
        <v>96</v>
      </c>
      <c r="Z377" s="1">
        <f t="shared" si="91"/>
        <v>103</v>
      </c>
      <c r="AA377" s="1">
        <f t="shared" si="92"/>
        <v>3.6270833333333337</v>
      </c>
      <c r="AB377" s="1">
        <f t="shared" si="93"/>
        <v>3.3902912621359222</v>
      </c>
      <c r="AC377" s="1">
        <f t="shared" si="94"/>
        <v>1</v>
      </c>
      <c r="AD377" s="1">
        <f t="shared" si="95"/>
        <v>1.5358028665038194E-2</v>
      </c>
    </row>
    <row r="378" spans="1:30" x14ac:dyDescent="0.35">
      <c r="A378" t="s">
        <v>798</v>
      </c>
      <c r="B378" t="s">
        <v>29</v>
      </c>
      <c r="C378" t="s">
        <v>93</v>
      </c>
      <c r="D378" t="s">
        <v>25</v>
      </c>
      <c r="E378">
        <v>35</v>
      </c>
      <c r="F378" t="s">
        <v>70</v>
      </c>
      <c r="G378" t="s">
        <v>57</v>
      </c>
      <c r="H378" t="s">
        <v>27</v>
      </c>
      <c r="I378">
        <v>6</v>
      </c>
      <c r="J378">
        <v>13</v>
      </c>
      <c r="K378">
        <v>75564</v>
      </c>
      <c r="L378">
        <v>4.4000000000000004</v>
      </c>
      <c r="M378" t="s">
        <v>43</v>
      </c>
      <c r="N378">
        <v>96</v>
      </c>
      <c r="O378">
        <f t="shared" si="80"/>
        <v>624</v>
      </c>
      <c r="P378">
        <f t="shared" si="81"/>
        <v>308</v>
      </c>
      <c r="Q378">
        <f t="shared" si="82"/>
        <v>316</v>
      </c>
      <c r="R378">
        <f t="shared" si="83"/>
        <v>49.650349650349654</v>
      </c>
      <c r="S378" s="1">
        <f t="shared" si="84"/>
        <v>50.24975024975025</v>
      </c>
      <c r="T378" s="1">
        <f t="shared" si="85"/>
        <v>289</v>
      </c>
      <c r="U378" s="1">
        <f t="shared" si="86"/>
        <v>335</v>
      </c>
      <c r="V378" s="1">
        <f t="shared" si="87"/>
        <v>47.5</v>
      </c>
      <c r="W378" s="1">
        <f t="shared" si="88"/>
        <v>52.5</v>
      </c>
      <c r="X378" s="1">
        <f t="shared" si="89"/>
        <v>15.016025641025641</v>
      </c>
      <c r="Y378" s="1">
        <f t="shared" si="90"/>
        <v>96</v>
      </c>
      <c r="Z378" s="1">
        <f t="shared" si="91"/>
        <v>103</v>
      </c>
      <c r="AA378" s="1">
        <f t="shared" si="92"/>
        <v>3.6270833333333337</v>
      </c>
      <c r="AB378" s="1">
        <f t="shared" si="93"/>
        <v>3.3902912621359222</v>
      </c>
      <c r="AC378" s="1">
        <f t="shared" si="94"/>
        <v>0</v>
      </c>
      <c r="AD378" s="1">
        <f t="shared" si="95"/>
        <v>1.3645498845753558E-2</v>
      </c>
    </row>
    <row r="379" spans="1:30" x14ac:dyDescent="0.35">
      <c r="A379" t="s">
        <v>799</v>
      </c>
      <c r="B379" t="s">
        <v>45</v>
      </c>
      <c r="C379" t="s">
        <v>30</v>
      </c>
      <c r="D379" t="s">
        <v>25</v>
      </c>
      <c r="E379">
        <v>23</v>
      </c>
      <c r="F379" t="s">
        <v>31</v>
      </c>
      <c r="G379" t="s">
        <v>57</v>
      </c>
      <c r="H379" t="s">
        <v>800</v>
      </c>
      <c r="I379">
        <v>11</v>
      </c>
      <c r="J379">
        <v>11</v>
      </c>
      <c r="K379">
        <v>239993</v>
      </c>
      <c r="L379">
        <v>3.1</v>
      </c>
      <c r="M379" t="s">
        <v>43</v>
      </c>
      <c r="N379">
        <v>73</v>
      </c>
      <c r="O379">
        <f t="shared" si="80"/>
        <v>623</v>
      </c>
      <c r="P379">
        <f t="shared" si="81"/>
        <v>308</v>
      </c>
      <c r="Q379">
        <f t="shared" si="82"/>
        <v>315</v>
      </c>
      <c r="R379">
        <f t="shared" si="83"/>
        <v>49.650349650349654</v>
      </c>
      <c r="S379" s="1">
        <f t="shared" si="84"/>
        <v>50.24975024975025</v>
      </c>
      <c r="T379" s="1">
        <f t="shared" si="85"/>
        <v>289</v>
      </c>
      <c r="U379" s="1">
        <f t="shared" si="86"/>
        <v>334</v>
      </c>
      <c r="V379" s="1">
        <f t="shared" si="87"/>
        <v>47.5</v>
      </c>
      <c r="W379" s="1">
        <f t="shared" si="88"/>
        <v>52.5</v>
      </c>
      <c r="X379" s="1">
        <f t="shared" si="89"/>
        <v>15.019261637239165</v>
      </c>
      <c r="Y379" s="1">
        <f t="shared" si="90"/>
        <v>96</v>
      </c>
      <c r="Z379" s="1">
        <f t="shared" si="91"/>
        <v>103</v>
      </c>
      <c r="AA379" s="1">
        <f t="shared" si="92"/>
        <v>3.6270833333333337</v>
      </c>
      <c r="AB379" s="1">
        <f t="shared" si="93"/>
        <v>3.3902912621359222</v>
      </c>
      <c r="AC379" s="1">
        <f t="shared" si="94"/>
        <v>0</v>
      </c>
      <c r="AD379" s="1">
        <f t="shared" si="95"/>
        <v>1.3221034152547781E-2</v>
      </c>
    </row>
    <row r="380" spans="1:30" x14ac:dyDescent="0.35">
      <c r="A380" t="s">
        <v>801</v>
      </c>
      <c r="B380" t="s">
        <v>45</v>
      </c>
      <c r="C380" t="s">
        <v>56</v>
      </c>
      <c r="D380" t="s">
        <v>25</v>
      </c>
      <c r="E380">
        <v>36</v>
      </c>
      <c r="F380" t="s">
        <v>74</v>
      </c>
      <c r="G380" t="s">
        <v>61</v>
      </c>
      <c r="H380" t="s">
        <v>109</v>
      </c>
      <c r="I380">
        <v>9</v>
      </c>
      <c r="J380">
        <v>13</v>
      </c>
      <c r="K380">
        <v>121365</v>
      </c>
      <c r="L380">
        <v>3.6</v>
      </c>
      <c r="M380" t="s">
        <v>43</v>
      </c>
      <c r="N380">
        <v>78</v>
      </c>
      <c r="O380">
        <f t="shared" si="80"/>
        <v>622</v>
      </c>
      <c r="P380">
        <f t="shared" si="81"/>
        <v>308</v>
      </c>
      <c r="Q380">
        <f t="shared" si="82"/>
        <v>314</v>
      </c>
      <c r="R380">
        <f t="shared" si="83"/>
        <v>49.650349650349654</v>
      </c>
      <c r="S380" s="1">
        <f t="shared" si="84"/>
        <v>50.24975024975025</v>
      </c>
      <c r="T380" s="1">
        <f t="shared" si="85"/>
        <v>289</v>
      </c>
      <c r="U380" s="1">
        <f t="shared" si="86"/>
        <v>333</v>
      </c>
      <c r="V380" s="1">
        <f t="shared" si="87"/>
        <v>47.5</v>
      </c>
      <c r="W380" s="1">
        <f t="shared" si="88"/>
        <v>52.5</v>
      </c>
      <c r="X380" s="1">
        <f t="shared" si="89"/>
        <v>15.02572347266881</v>
      </c>
      <c r="Y380" s="1">
        <f t="shared" si="90"/>
        <v>96</v>
      </c>
      <c r="Z380" s="1">
        <f t="shared" si="91"/>
        <v>102</v>
      </c>
      <c r="AA380" s="1">
        <f t="shared" si="92"/>
        <v>3.6270833333333337</v>
      </c>
      <c r="AB380" s="1">
        <f t="shared" si="93"/>
        <v>3.3931372549019612</v>
      </c>
      <c r="AC380" s="1">
        <f t="shared" si="94"/>
        <v>0</v>
      </c>
      <c r="AD380" s="1">
        <f t="shared" si="95"/>
        <v>1.2364645004924334E-2</v>
      </c>
    </row>
    <row r="381" spans="1:30" x14ac:dyDescent="0.35">
      <c r="A381" t="s">
        <v>802</v>
      </c>
      <c r="B381" t="s">
        <v>111</v>
      </c>
      <c r="C381" t="s">
        <v>36</v>
      </c>
      <c r="D381" t="s">
        <v>25</v>
      </c>
      <c r="E381">
        <v>40</v>
      </c>
      <c r="F381" t="s">
        <v>70</v>
      </c>
      <c r="G381" t="s">
        <v>41</v>
      </c>
      <c r="H381" t="s">
        <v>803</v>
      </c>
      <c r="I381">
        <v>10</v>
      </c>
      <c r="J381">
        <v>20</v>
      </c>
      <c r="K381">
        <v>187153</v>
      </c>
      <c r="L381">
        <v>2.1</v>
      </c>
      <c r="M381" t="s">
        <v>21</v>
      </c>
      <c r="N381">
        <v>53</v>
      </c>
      <c r="O381">
        <f t="shared" si="80"/>
        <v>621</v>
      </c>
      <c r="P381">
        <f t="shared" si="81"/>
        <v>308</v>
      </c>
      <c r="Q381">
        <f t="shared" si="82"/>
        <v>313</v>
      </c>
      <c r="R381">
        <f t="shared" si="83"/>
        <v>49.650349650349654</v>
      </c>
      <c r="S381" s="1">
        <f t="shared" si="84"/>
        <v>50.24975024975025</v>
      </c>
      <c r="T381" s="1">
        <f t="shared" si="85"/>
        <v>289</v>
      </c>
      <c r="U381" s="1">
        <f t="shared" si="86"/>
        <v>332</v>
      </c>
      <c r="V381" s="1">
        <f t="shared" si="87"/>
        <v>47.5</v>
      </c>
      <c r="W381" s="1">
        <f t="shared" si="88"/>
        <v>52.5</v>
      </c>
      <c r="X381" s="1">
        <f t="shared" si="89"/>
        <v>15.028985507246377</v>
      </c>
      <c r="Y381" s="1">
        <f t="shared" si="90"/>
        <v>95</v>
      </c>
      <c r="Z381" s="1">
        <f t="shared" si="91"/>
        <v>102</v>
      </c>
      <c r="AA381" s="1">
        <f t="shared" si="92"/>
        <v>3.6273684210526325</v>
      </c>
      <c r="AB381" s="1">
        <f t="shared" si="93"/>
        <v>3.3931372549019612</v>
      </c>
      <c r="AC381" s="1">
        <f t="shared" si="94"/>
        <v>1</v>
      </c>
      <c r="AD381" s="1">
        <f t="shared" si="95"/>
        <v>1.1935032869192175E-2</v>
      </c>
    </row>
    <row r="382" spans="1:30" x14ac:dyDescent="0.35">
      <c r="A382" t="s">
        <v>804</v>
      </c>
      <c r="B382" t="s">
        <v>45</v>
      </c>
      <c r="C382" t="s">
        <v>64</v>
      </c>
      <c r="D382" t="s">
        <v>25</v>
      </c>
      <c r="E382">
        <v>21</v>
      </c>
      <c r="F382" t="s">
        <v>31</v>
      </c>
      <c r="G382" t="s">
        <v>85</v>
      </c>
      <c r="H382" t="s">
        <v>805</v>
      </c>
      <c r="I382">
        <v>12</v>
      </c>
      <c r="J382">
        <v>21</v>
      </c>
      <c r="K382">
        <v>177964</v>
      </c>
      <c r="L382">
        <v>4.3</v>
      </c>
      <c r="M382" t="s">
        <v>43</v>
      </c>
      <c r="N382">
        <v>77</v>
      </c>
      <c r="O382">
        <f t="shared" si="80"/>
        <v>620</v>
      </c>
      <c r="P382">
        <f t="shared" si="81"/>
        <v>308</v>
      </c>
      <c r="Q382">
        <f t="shared" si="82"/>
        <v>312</v>
      </c>
      <c r="R382">
        <f t="shared" si="83"/>
        <v>49.650349650349654</v>
      </c>
      <c r="S382" s="1">
        <f t="shared" si="84"/>
        <v>50.24975024975025</v>
      </c>
      <c r="T382" s="1">
        <f t="shared" si="85"/>
        <v>288</v>
      </c>
      <c r="U382" s="1">
        <f t="shared" si="86"/>
        <v>332</v>
      </c>
      <c r="V382" s="1">
        <f t="shared" si="87"/>
        <v>47.5</v>
      </c>
      <c r="W382" s="1">
        <f t="shared" si="88"/>
        <v>52.5</v>
      </c>
      <c r="X382" s="1">
        <f t="shared" si="89"/>
        <v>15.020967741935484</v>
      </c>
      <c r="Y382" s="1">
        <f t="shared" si="90"/>
        <v>95</v>
      </c>
      <c r="Z382" s="1">
        <f t="shared" si="91"/>
        <v>102</v>
      </c>
      <c r="AA382" s="1">
        <f t="shared" si="92"/>
        <v>3.6273684210526325</v>
      </c>
      <c r="AB382" s="1">
        <f t="shared" si="93"/>
        <v>3.3931372549019612</v>
      </c>
      <c r="AC382" s="1">
        <f t="shared" si="94"/>
        <v>0</v>
      </c>
      <c r="AD382" s="1">
        <f t="shared" si="95"/>
        <v>1.0709512469785649E-2</v>
      </c>
    </row>
    <row r="383" spans="1:30" x14ac:dyDescent="0.35">
      <c r="A383" t="s">
        <v>806</v>
      </c>
      <c r="B383" t="s">
        <v>23</v>
      </c>
      <c r="C383" t="s">
        <v>93</v>
      </c>
      <c r="D383" t="s">
        <v>25</v>
      </c>
      <c r="E383">
        <v>22</v>
      </c>
      <c r="F383" t="s">
        <v>18</v>
      </c>
      <c r="G383" t="s">
        <v>61</v>
      </c>
      <c r="H383" t="s">
        <v>807</v>
      </c>
      <c r="I383">
        <v>5</v>
      </c>
      <c r="J383">
        <v>14</v>
      </c>
      <c r="K383">
        <v>313360</v>
      </c>
      <c r="L383">
        <v>4.4000000000000004</v>
      </c>
      <c r="M383" t="s">
        <v>43</v>
      </c>
      <c r="N383">
        <v>90</v>
      </c>
      <c r="O383">
        <f t="shared" si="80"/>
        <v>619</v>
      </c>
      <c r="P383">
        <f t="shared" si="81"/>
        <v>308</v>
      </c>
      <c r="Q383">
        <f t="shared" si="82"/>
        <v>311</v>
      </c>
      <c r="R383">
        <f t="shared" si="83"/>
        <v>49.650349650349654</v>
      </c>
      <c r="S383" s="1">
        <f t="shared" si="84"/>
        <v>50.24975024975025</v>
      </c>
      <c r="T383" s="1">
        <f t="shared" si="85"/>
        <v>288</v>
      </c>
      <c r="U383" s="1">
        <f t="shared" si="86"/>
        <v>331</v>
      </c>
      <c r="V383" s="1">
        <f t="shared" si="87"/>
        <v>47.5</v>
      </c>
      <c r="W383" s="1">
        <f t="shared" si="88"/>
        <v>52.5</v>
      </c>
      <c r="X383" s="1">
        <f t="shared" si="89"/>
        <v>15.011308562197092</v>
      </c>
      <c r="Y383" s="1">
        <f t="shared" si="90"/>
        <v>95</v>
      </c>
      <c r="Z383" s="1">
        <f t="shared" si="91"/>
        <v>101</v>
      </c>
      <c r="AA383" s="1">
        <f t="shared" si="92"/>
        <v>3.6273684210526325</v>
      </c>
      <c r="AB383" s="1">
        <f t="shared" si="93"/>
        <v>3.3841584158415841</v>
      </c>
      <c r="AC383" s="1">
        <f t="shared" si="94"/>
        <v>0</v>
      </c>
      <c r="AD383" s="1">
        <f t="shared" si="95"/>
        <v>1.2022654548944536E-2</v>
      </c>
    </row>
    <row r="384" spans="1:30" x14ac:dyDescent="0.35">
      <c r="A384" t="s">
        <v>808</v>
      </c>
      <c r="B384" t="s">
        <v>69</v>
      </c>
      <c r="C384" t="s">
        <v>56</v>
      </c>
      <c r="D384" t="s">
        <v>25</v>
      </c>
      <c r="E384">
        <v>51</v>
      </c>
      <c r="F384" t="s">
        <v>74</v>
      </c>
      <c r="G384" t="s">
        <v>61</v>
      </c>
      <c r="H384" t="s">
        <v>365</v>
      </c>
      <c r="I384">
        <v>11</v>
      </c>
      <c r="J384">
        <v>14</v>
      </c>
      <c r="K384">
        <v>375467</v>
      </c>
      <c r="L384">
        <v>2</v>
      </c>
      <c r="M384" t="s">
        <v>43</v>
      </c>
      <c r="N384">
        <v>99</v>
      </c>
      <c r="O384">
        <f t="shared" si="80"/>
        <v>618</v>
      </c>
      <c r="P384">
        <f t="shared" si="81"/>
        <v>308</v>
      </c>
      <c r="Q384">
        <f t="shared" si="82"/>
        <v>310</v>
      </c>
      <c r="R384">
        <f t="shared" si="83"/>
        <v>49.650349650349654</v>
      </c>
      <c r="S384" s="1">
        <f t="shared" si="84"/>
        <v>50.24975024975025</v>
      </c>
      <c r="T384" s="1">
        <f t="shared" si="85"/>
        <v>288</v>
      </c>
      <c r="U384" s="1">
        <f t="shared" si="86"/>
        <v>330</v>
      </c>
      <c r="V384" s="1">
        <f t="shared" si="87"/>
        <v>47.5</v>
      </c>
      <c r="W384" s="1">
        <f t="shared" si="88"/>
        <v>52.5</v>
      </c>
      <c r="X384" s="1">
        <f t="shared" si="89"/>
        <v>15.01294498381877</v>
      </c>
      <c r="Y384" s="1">
        <f t="shared" si="90"/>
        <v>95</v>
      </c>
      <c r="Z384" s="1">
        <f t="shared" si="91"/>
        <v>101</v>
      </c>
      <c r="AA384" s="1">
        <f t="shared" si="92"/>
        <v>3.6273684210526325</v>
      </c>
      <c r="AB384" s="1">
        <f t="shared" si="93"/>
        <v>3.3841584158415841</v>
      </c>
      <c r="AC384" s="1">
        <f t="shared" si="94"/>
        <v>0</v>
      </c>
      <c r="AD384" s="1">
        <f t="shared" si="95"/>
        <v>1.181107167974506E-2</v>
      </c>
    </row>
    <row r="385" spans="1:30" x14ac:dyDescent="0.35">
      <c r="A385" t="s">
        <v>809</v>
      </c>
      <c r="B385" t="s">
        <v>78</v>
      </c>
      <c r="C385" t="s">
        <v>36</v>
      </c>
      <c r="D385" t="s">
        <v>17</v>
      </c>
      <c r="E385">
        <v>39</v>
      </c>
      <c r="F385" t="s">
        <v>79</v>
      </c>
      <c r="G385" t="s">
        <v>88</v>
      </c>
      <c r="H385" t="s">
        <v>810</v>
      </c>
      <c r="I385">
        <v>16</v>
      </c>
      <c r="J385">
        <v>23</v>
      </c>
      <c r="K385">
        <v>336615</v>
      </c>
      <c r="L385">
        <v>4.2</v>
      </c>
      <c r="M385" t="s">
        <v>43</v>
      </c>
      <c r="N385">
        <v>88</v>
      </c>
      <c r="O385">
        <f t="shared" si="80"/>
        <v>617</v>
      </c>
      <c r="P385">
        <f t="shared" si="81"/>
        <v>308</v>
      </c>
      <c r="Q385">
        <f t="shared" si="82"/>
        <v>309</v>
      </c>
      <c r="R385">
        <f t="shared" si="83"/>
        <v>49.650349650349654</v>
      </c>
      <c r="S385" s="1">
        <f t="shared" si="84"/>
        <v>50.24975024975025</v>
      </c>
      <c r="T385" s="1">
        <f t="shared" si="85"/>
        <v>288</v>
      </c>
      <c r="U385" s="1">
        <f t="shared" si="86"/>
        <v>329</v>
      </c>
      <c r="V385" s="1">
        <f t="shared" si="87"/>
        <v>47.5</v>
      </c>
      <c r="W385" s="1">
        <f t="shared" si="88"/>
        <v>52.5</v>
      </c>
      <c r="X385" s="1">
        <f t="shared" si="89"/>
        <v>15.014586709886547</v>
      </c>
      <c r="Y385" s="1">
        <f t="shared" si="90"/>
        <v>94</v>
      </c>
      <c r="Z385" s="1">
        <f t="shared" si="91"/>
        <v>101</v>
      </c>
      <c r="AA385" s="1">
        <f t="shared" si="92"/>
        <v>3.6446808510638307</v>
      </c>
      <c r="AB385" s="1">
        <f t="shared" si="93"/>
        <v>3.3841584158415841</v>
      </c>
      <c r="AC385" s="1">
        <f t="shared" si="94"/>
        <v>0</v>
      </c>
      <c r="AD385" s="1">
        <f t="shared" si="95"/>
        <v>1.1598501282712538E-2</v>
      </c>
    </row>
    <row r="386" spans="1:30" x14ac:dyDescent="0.35">
      <c r="A386" t="s">
        <v>811</v>
      </c>
      <c r="B386" t="s">
        <v>40</v>
      </c>
      <c r="C386" t="s">
        <v>16</v>
      </c>
      <c r="D386" t="s">
        <v>25</v>
      </c>
      <c r="E386">
        <v>29</v>
      </c>
      <c r="F386" t="s">
        <v>46</v>
      </c>
      <c r="G386" t="s">
        <v>57</v>
      </c>
      <c r="H386" t="s">
        <v>812</v>
      </c>
      <c r="I386">
        <v>14</v>
      </c>
      <c r="J386">
        <v>23</v>
      </c>
      <c r="K386">
        <v>450071</v>
      </c>
      <c r="L386">
        <v>3.1</v>
      </c>
      <c r="M386" t="s">
        <v>43</v>
      </c>
      <c r="N386">
        <v>96</v>
      </c>
      <c r="O386">
        <f t="shared" ref="O386:O449" si="96">COUNTA(A386:A1385)</f>
        <v>616</v>
      </c>
      <c r="P386">
        <f t="shared" ref="P386:P449" si="97">COUNTIF(D386:D1385,"Male")</f>
        <v>307</v>
      </c>
      <c r="Q386">
        <f t="shared" ref="Q386:Q449" si="98">COUNTIF(D386:D1385,"Female")</f>
        <v>309</v>
      </c>
      <c r="R386">
        <f t="shared" ref="R386:R449" si="99">497/1001*100</f>
        <v>49.650349650349654</v>
      </c>
      <c r="S386" s="1">
        <f t="shared" ref="S386:S449" si="100">503/1001*100</f>
        <v>50.24975024975025</v>
      </c>
      <c r="T386" s="1">
        <f t="shared" ref="T386:T449" si="101">COUNTIF(M386:M1385,"Yes")</f>
        <v>288</v>
      </c>
      <c r="U386" s="1">
        <f t="shared" ref="U386:U449" si="102">COUNTIF(M386:M1385,"No")</f>
        <v>328</v>
      </c>
      <c r="V386" s="1">
        <f t="shared" ref="V386:V449" si="103">475/1000*100</f>
        <v>47.5</v>
      </c>
      <c r="W386" s="1">
        <f t="shared" ref="W386:W449" si="104">525/1000*100</f>
        <v>52.5</v>
      </c>
      <c r="X386" s="1">
        <f t="shared" ref="X386:X449" si="105">AVERAGE(J386:J1385)</f>
        <v>15.001623376623376</v>
      </c>
      <c r="Y386" s="1">
        <f t="shared" ref="Y386:Y449" si="106">COUNTIF(F386:F1385,"Marketing")</f>
        <v>94</v>
      </c>
      <c r="Z386" s="1">
        <f t="shared" ref="Z386:Z449" si="107">COUNTIF(F386:F1385,"IT")</f>
        <v>101</v>
      </c>
      <c r="AA386" s="1">
        <f t="shared" ref="AA386:AA449" si="108">AVERAGEIF(F386:F1385,"Marketing",L386:L1385)</f>
        <v>3.6446808510638307</v>
      </c>
      <c r="AB386" s="1">
        <f t="shared" ref="AB386:AB449" si="109">AVERAGEIF(F386:F1385,"IT",L386:L1385)</f>
        <v>3.3841584158415841</v>
      </c>
      <c r="AC386" s="1">
        <f t="shared" ref="AC386:AC449" si="110">IF(M386="yes",1,0)</f>
        <v>0</v>
      </c>
      <c r="AD386" s="1">
        <f t="shared" ref="AD386:AD449" si="111">CORREL(J386:J1385,AC386:AC1385)</f>
        <v>1.3368471533191331E-2</v>
      </c>
    </row>
    <row r="387" spans="1:30" x14ac:dyDescent="0.35">
      <c r="A387" t="s">
        <v>813</v>
      </c>
      <c r="B387" t="s">
        <v>45</v>
      </c>
      <c r="C387" t="s">
        <v>56</v>
      </c>
      <c r="D387" t="s">
        <v>17</v>
      </c>
      <c r="E387">
        <v>30</v>
      </c>
      <c r="F387" t="s">
        <v>74</v>
      </c>
      <c r="G387" t="s">
        <v>32</v>
      </c>
      <c r="H387" t="s">
        <v>814</v>
      </c>
      <c r="I387">
        <v>10</v>
      </c>
      <c r="J387">
        <v>12</v>
      </c>
      <c r="K387">
        <v>128248</v>
      </c>
      <c r="L387">
        <v>3</v>
      </c>
      <c r="M387" t="s">
        <v>43</v>
      </c>
      <c r="N387">
        <v>93</v>
      </c>
      <c r="O387">
        <f t="shared" si="96"/>
        <v>615</v>
      </c>
      <c r="P387">
        <f t="shared" si="97"/>
        <v>307</v>
      </c>
      <c r="Q387">
        <f t="shared" si="98"/>
        <v>308</v>
      </c>
      <c r="R387">
        <f t="shared" si="99"/>
        <v>49.650349650349654</v>
      </c>
      <c r="S387" s="1">
        <f t="shared" si="100"/>
        <v>50.24975024975025</v>
      </c>
      <c r="T387" s="1">
        <f t="shared" si="101"/>
        <v>288</v>
      </c>
      <c r="U387" s="1">
        <f t="shared" si="102"/>
        <v>327</v>
      </c>
      <c r="V387" s="1">
        <f t="shared" si="103"/>
        <v>47.5</v>
      </c>
      <c r="W387" s="1">
        <f t="shared" si="104"/>
        <v>52.5</v>
      </c>
      <c r="X387" s="1">
        <f t="shared" si="105"/>
        <v>14.988617886178861</v>
      </c>
      <c r="Y387" s="1">
        <f t="shared" si="106"/>
        <v>94</v>
      </c>
      <c r="Z387" s="1">
        <f t="shared" si="107"/>
        <v>101</v>
      </c>
      <c r="AA387" s="1">
        <f t="shared" si="108"/>
        <v>3.6446808510638307</v>
      </c>
      <c r="AB387" s="1">
        <f t="shared" si="109"/>
        <v>3.3841584158415841</v>
      </c>
      <c r="AC387" s="1">
        <f t="shared" si="110"/>
        <v>0</v>
      </c>
      <c r="AD387" s="1">
        <f t="shared" si="111"/>
        <v>1.5150566404988793E-2</v>
      </c>
    </row>
    <row r="388" spans="1:30" x14ac:dyDescent="0.35">
      <c r="A388" t="s">
        <v>815</v>
      </c>
      <c r="B388" t="s">
        <v>111</v>
      </c>
      <c r="C388" t="s">
        <v>82</v>
      </c>
      <c r="D388" t="s">
        <v>25</v>
      </c>
      <c r="E388">
        <v>27</v>
      </c>
      <c r="F388" t="s">
        <v>70</v>
      </c>
      <c r="G388" t="s">
        <v>26</v>
      </c>
      <c r="H388" t="s">
        <v>816</v>
      </c>
      <c r="I388">
        <v>19</v>
      </c>
      <c r="J388">
        <v>23</v>
      </c>
      <c r="K388">
        <v>116102</v>
      </c>
      <c r="L388">
        <v>4.4000000000000004</v>
      </c>
      <c r="M388" t="s">
        <v>21</v>
      </c>
      <c r="N388">
        <v>62</v>
      </c>
      <c r="O388">
        <f t="shared" si="96"/>
        <v>614</v>
      </c>
      <c r="P388">
        <f t="shared" si="97"/>
        <v>306</v>
      </c>
      <c r="Q388">
        <f t="shared" si="98"/>
        <v>308</v>
      </c>
      <c r="R388">
        <f t="shared" si="99"/>
        <v>49.650349650349654</v>
      </c>
      <c r="S388" s="1">
        <f t="shared" si="100"/>
        <v>50.24975024975025</v>
      </c>
      <c r="T388" s="1">
        <f t="shared" si="101"/>
        <v>288</v>
      </c>
      <c r="U388" s="1">
        <f t="shared" si="102"/>
        <v>326</v>
      </c>
      <c r="V388" s="1">
        <f t="shared" si="103"/>
        <v>47.5</v>
      </c>
      <c r="W388" s="1">
        <f t="shared" si="104"/>
        <v>52.5</v>
      </c>
      <c r="X388" s="1">
        <f t="shared" si="105"/>
        <v>14.993485342019545</v>
      </c>
      <c r="Y388" s="1">
        <f t="shared" si="106"/>
        <v>93</v>
      </c>
      <c r="Z388" s="1">
        <f t="shared" si="107"/>
        <v>101</v>
      </c>
      <c r="AA388" s="1">
        <f t="shared" si="108"/>
        <v>3.6516129032258071</v>
      </c>
      <c r="AB388" s="1">
        <f t="shared" si="109"/>
        <v>3.3841584158415841</v>
      </c>
      <c r="AC388" s="1">
        <f t="shared" si="110"/>
        <v>1</v>
      </c>
      <c r="AD388" s="1">
        <f t="shared" si="111"/>
        <v>1.4505175839064495E-2</v>
      </c>
    </row>
    <row r="389" spans="1:30" x14ac:dyDescent="0.35">
      <c r="A389" t="s">
        <v>817</v>
      </c>
      <c r="B389" t="s">
        <v>69</v>
      </c>
      <c r="C389" t="s">
        <v>49</v>
      </c>
      <c r="D389" t="s">
        <v>17</v>
      </c>
      <c r="E389">
        <v>47</v>
      </c>
      <c r="F389" t="s">
        <v>46</v>
      </c>
      <c r="G389" t="s">
        <v>26</v>
      </c>
      <c r="H389" t="s">
        <v>818</v>
      </c>
      <c r="I389">
        <v>7</v>
      </c>
      <c r="J389">
        <v>17</v>
      </c>
      <c r="K389">
        <v>72998</v>
      </c>
      <c r="L389">
        <v>2.5</v>
      </c>
      <c r="M389" t="s">
        <v>43</v>
      </c>
      <c r="N389">
        <v>93</v>
      </c>
      <c r="O389">
        <f t="shared" si="96"/>
        <v>613</v>
      </c>
      <c r="P389">
        <f t="shared" si="97"/>
        <v>306</v>
      </c>
      <c r="Q389">
        <f t="shared" si="98"/>
        <v>307</v>
      </c>
      <c r="R389">
        <f t="shared" si="99"/>
        <v>49.650349650349654</v>
      </c>
      <c r="S389" s="1">
        <f t="shared" si="100"/>
        <v>50.24975024975025</v>
      </c>
      <c r="T389" s="1">
        <f t="shared" si="101"/>
        <v>287</v>
      </c>
      <c r="U389" s="1">
        <f t="shared" si="102"/>
        <v>326</v>
      </c>
      <c r="V389" s="1">
        <f t="shared" si="103"/>
        <v>47.5</v>
      </c>
      <c r="W389" s="1">
        <f t="shared" si="104"/>
        <v>52.5</v>
      </c>
      <c r="X389" s="1">
        <f t="shared" si="105"/>
        <v>14.980424143556281</v>
      </c>
      <c r="Y389" s="1">
        <f t="shared" si="106"/>
        <v>93</v>
      </c>
      <c r="Z389" s="1">
        <f t="shared" si="107"/>
        <v>101</v>
      </c>
      <c r="AA389" s="1">
        <f t="shared" si="108"/>
        <v>3.6516129032258071</v>
      </c>
      <c r="AB389" s="1">
        <f t="shared" si="109"/>
        <v>3.3841584158415841</v>
      </c>
      <c r="AC389" s="1">
        <f t="shared" si="110"/>
        <v>0</v>
      </c>
      <c r="AD389" s="1">
        <f t="shared" si="111"/>
        <v>1.2530000210535255E-2</v>
      </c>
    </row>
    <row r="390" spans="1:30" x14ac:dyDescent="0.35">
      <c r="A390" t="s">
        <v>819</v>
      </c>
      <c r="B390" t="s">
        <v>96</v>
      </c>
      <c r="C390" t="s">
        <v>30</v>
      </c>
      <c r="D390" t="s">
        <v>17</v>
      </c>
      <c r="E390">
        <v>22</v>
      </c>
      <c r="F390" t="s">
        <v>18</v>
      </c>
      <c r="G390" t="s">
        <v>71</v>
      </c>
      <c r="H390" t="s">
        <v>820</v>
      </c>
      <c r="I390">
        <v>8</v>
      </c>
      <c r="J390">
        <v>8</v>
      </c>
      <c r="K390">
        <v>377730</v>
      </c>
      <c r="L390">
        <v>3.5</v>
      </c>
      <c r="M390" t="s">
        <v>21</v>
      </c>
      <c r="N390">
        <v>37</v>
      </c>
      <c r="O390">
        <f t="shared" si="96"/>
        <v>612</v>
      </c>
      <c r="P390">
        <f t="shared" si="97"/>
        <v>305</v>
      </c>
      <c r="Q390">
        <f t="shared" si="98"/>
        <v>307</v>
      </c>
      <c r="R390">
        <f t="shared" si="99"/>
        <v>49.650349650349654</v>
      </c>
      <c r="S390" s="1">
        <f t="shared" si="100"/>
        <v>50.24975024975025</v>
      </c>
      <c r="T390" s="1">
        <f t="shared" si="101"/>
        <v>287</v>
      </c>
      <c r="U390" s="1">
        <f t="shared" si="102"/>
        <v>325</v>
      </c>
      <c r="V390" s="1">
        <f t="shared" si="103"/>
        <v>47.5</v>
      </c>
      <c r="W390" s="1">
        <f t="shared" si="104"/>
        <v>52.5</v>
      </c>
      <c r="X390" s="1">
        <f t="shared" si="105"/>
        <v>14.977124183006536</v>
      </c>
      <c r="Y390" s="1">
        <f t="shared" si="106"/>
        <v>93</v>
      </c>
      <c r="Z390" s="1">
        <f t="shared" si="107"/>
        <v>101</v>
      </c>
      <c r="AA390" s="1">
        <f t="shared" si="108"/>
        <v>3.6516129032258071</v>
      </c>
      <c r="AB390" s="1">
        <f t="shared" si="109"/>
        <v>3.3841584158415841</v>
      </c>
      <c r="AC390" s="1">
        <f t="shared" si="110"/>
        <v>1</v>
      </c>
      <c r="AD390" s="1">
        <f t="shared" si="111"/>
        <v>1.2986062782541073E-2</v>
      </c>
    </row>
    <row r="391" spans="1:30" x14ac:dyDescent="0.35">
      <c r="A391" t="s">
        <v>821</v>
      </c>
      <c r="B391" t="s">
        <v>55</v>
      </c>
      <c r="C391" t="s">
        <v>56</v>
      </c>
      <c r="D391" t="s">
        <v>25</v>
      </c>
      <c r="E391">
        <v>30</v>
      </c>
      <c r="F391" t="s">
        <v>18</v>
      </c>
      <c r="G391" t="s">
        <v>41</v>
      </c>
      <c r="H391" t="s">
        <v>822</v>
      </c>
      <c r="I391">
        <v>1</v>
      </c>
      <c r="J391">
        <v>10</v>
      </c>
      <c r="K391">
        <v>370016</v>
      </c>
      <c r="L391">
        <v>3.5</v>
      </c>
      <c r="M391" t="s">
        <v>21</v>
      </c>
      <c r="N391">
        <v>31</v>
      </c>
      <c r="O391">
        <f t="shared" si="96"/>
        <v>611</v>
      </c>
      <c r="P391">
        <f t="shared" si="97"/>
        <v>304</v>
      </c>
      <c r="Q391">
        <f t="shared" si="98"/>
        <v>307</v>
      </c>
      <c r="R391">
        <f t="shared" si="99"/>
        <v>49.650349650349654</v>
      </c>
      <c r="S391" s="1">
        <f t="shared" si="100"/>
        <v>50.24975024975025</v>
      </c>
      <c r="T391" s="1">
        <f t="shared" si="101"/>
        <v>286</v>
      </c>
      <c r="U391" s="1">
        <f t="shared" si="102"/>
        <v>325</v>
      </c>
      <c r="V391" s="1">
        <f t="shared" si="103"/>
        <v>47.5</v>
      </c>
      <c r="W391" s="1">
        <f t="shared" si="104"/>
        <v>52.5</v>
      </c>
      <c r="X391" s="1">
        <f t="shared" si="105"/>
        <v>14.988543371522095</v>
      </c>
      <c r="Y391" s="1">
        <f t="shared" si="106"/>
        <v>93</v>
      </c>
      <c r="Z391" s="1">
        <f t="shared" si="107"/>
        <v>101</v>
      </c>
      <c r="AA391" s="1">
        <f t="shared" si="108"/>
        <v>3.6516129032258071</v>
      </c>
      <c r="AB391" s="1">
        <f t="shared" si="109"/>
        <v>3.3841584158415841</v>
      </c>
      <c r="AC391" s="1">
        <f t="shared" si="110"/>
        <v>1</v>
      </c>
      <c r="AD391" s="1">
        <f t="shared" si="111"/>
        <v>1.4760279492370743E-2</v>
      </c>
    </row>
    <row r="392" spans="1:30" x14ac:dyDescent="0.35">
      <c r="A392" t="s">
        <v>823</v>
      </c>
      <c r="B392" t="s">
        <v>40</v>
      </c>
      <c r="C392" t="s">
        <v>24</v>
      </c>
      <c r="D392" t="s">
        <v>17</v>
      </c>
      <c r="E392">
        <v>41</v>
      </c>
      <c r="F392" t="s">
        <v>46</v>
      </c>
      <c r="G392" t="s">
        <v>19</v>
      </c>
      <c r="H392" t="s">
        <v>824</v>
      </c>
      <c r="I392">
        <v>12</v>
      </c>
      <c r="J392">
        <v>15</v>
      </c>
      <c r="K392">
        <v>155281</v>
      </c>
      <c r="L392">
        <v>2.9</v>
      </c>
      <c r="M392" t="s">
        <v>43</v>
      </c>
      <c r="N392">
        <v>73</v>
      </c>
      <c r="O392">
        <f t="shared" si="96"/>
        <v>610</v>
      </c>
      <c r="P392">
        <f t="shared" si="97"/>
        <v>304</v>
      </c>
      <c r="Q392">
        <f t="shared" si="98"/>
        <v>306</v>
      </c>
      <c r="R392">
        <f t="shared" si="99"/>
        <v>49.650349650349654</v>
      </c>
      <c r="S392" s="1">
        <f t="shared" si="100"/>
        <v>50.24975024975025</v>
      </c>
      <c r="T392" s="1">
        <f t="shared" si="101"/>
        <v>285</v>
      </c>
      <c r="U392" s="1">
        <f t="shared" si="102"/>
        <v>325</v>
      </c>
      <c r="V392" s="1">
        <f t="shared" si="103"/>
        <v>47.5</v>
      </c>
      <c r="W392" s="1">
        <f t="shared" si="104"/>
        <v>52.5</v>
      </c>
      <c r="X392" s="1">
        <f t="shared" si="105"/>
        <v>14.99672131147541</v>
      </c>
      <c r="Y392" s="1">
        <f t="shared" si="106"/>
        <v>93</v>
      </c>
      <c r="Z392" s="1">
        <f t="shared" si="107"/>
        <v>101</v>
      </c>
      <c r="AA392" s="1">
        <f t="shared" si="108"/>
        <v>3.6516129032258071</v>
      </c>
      <c r="AB392" s="1">
        <f t="shared" si="109"/>
        <v>3.3841584158415841</v>
      </c>
      <c r="AC392" s="1">
        <f t="shared" si="110"/>
        <v>0</v>
      </c>
      <c r="AD392" s="1">
        <f t="shared" si="111"/>
        <v>1.6036292881732941E-2</v>
      </c>
    </row>
    <row r="393" spans="1:30" x14ac:dyDescent="0.35">
      <c r="A393" t="s">
        <v>825</v>
      </c>
      <c r="B393" t="s">
        <v>60</v>
      </c>
      <c r="C393" t="s">
        <v>16</v>
      </c>
      <c r="D393" t="s">
        <v>25</v>
      </c>
      <c r="E393">
        <v>60</v>
      </c>
      <c r="F393" t="s">
        <v>46</v>
      </c>
      <c r="G393" t="s">
        <v>61</v>
      </c>
      <c r="H393" t="s">
        <v>826</v>
      </c>
      <c r="I393">
        <v>8</v>
      </c>
      <c r="J393">
        <v>12</v>
      </c>
      <c r="K393">
        <v>200962</v>
      </c>
      <c r="L393">
        <v>4.9000000000000004</v>
      </c>
      <c r="M393" t="s">
        <v>43</v>
      </c>
      <c r="N393">
        <v>86</v>
      </c>
      <c r="O393">
        <f t="shared" si="96"/>
        <v>609</v>
      </c>
      <c r="P393">
        <f t="shared" si="97"/>
        <v>303</v>
      </c>
      <c r="Q393">
        <f t="shared" si="98"/>
        <v>306</v>
      </c>
      <c r="R393">
        <f t="shared" si="99"/>
        <v>49.650349650349654</v>
      </c>
      <c r="S393" s="1">
        <f t="shared" si="100"/>
        <v>50.24975024975025</v>
      </c>
      <c r="T393" s="1">
        <f t="shared" si="101"/>
        <v>285</v>
      </c>
      <c r="U393" s="1">
        <f t="shared" si="102"/>
        <v>324</v>
      </c>
      <c r="V393" s="1">
        <f t="shared" si="103"/>
        <v>47.5</v>
      </c>
      <c r="W393" s="1">
        <f t="shared" si="104"/>
        <v>52.5</v>
      </c>
      <c r="X393" s="1">
        <f t="shared" si="105"/>
        <v>14.99671592775041</v>
      </c>
      <c r="Y393" s="1">
        <f t="shared" si="106"/>
        <v>93</v>
      </c>
      <c r="Z393" s="1">
        <f t="shared" si="107"/>
        <v>101</v>
      </c>
      <c r="AA393" s="1">
        <f t="shared" si="108"/>
        <v>3.6516129032258071</v>
      </c>
      <c r="AB393" s="1">
        <f t="shared" si="109"/>
        <v>3.3841584158415841</v>
      </c>
      <c r="AC393" s="1">
        <f t="shared" si="110"/>
        <v>0</v>
      </c>
      <c r="AD393" s="1">
        <f t="shared" si="111"/>
        <v>1.6048576624563892E-2</v>
      </c>
    </row>
    <row r="394" spans="1:30" x14ac:dyDescent="0.35">
      <c r="A394" t="s">
        <v>827</v>
      </c>
      <c r="B394" t="s">
        <v>60</v>
      </c>
      <c r="C394" t="s">
        <v>82</v>
      </c>
      <c r="D394" t="s">
        <v>25</v>
      </c>
      <c r="E394">
        <v>21</v>
      </c>
      <c r="F394" t="s">
        <v>37</v>
      </c>
      <c r="G394" t="s">
        <v>61</v>
      </c>
      <c r="H394" t="s">
        <v>828</v>
      </c>
      <c r="I394">
        <v>6</v>
      </c>
      <c r="J394">
        <v>10</v>
      </c>
      <c r="K394">
        <v>362651</v>
      </c>
      <c r="L394">
        <v>2.6</v>
      </c>
      <c r="M394" t="s">
        <v>43</v>
      </c>
      <c r="N394">
        <v>85</v>
      </c>
      <c r="O394">
        <f t="shared" si="96"/>
        <v>608</v>
      </c>
      <c r="P394">
        <f t="shared" si="97"/>
        <v>303</v>
      </c>
      <c r="Q394">
        <f t="shared" si="98"/>
        <v>305</v>
      </c>
      <c r="R394">
        <f t="shared" si="99"/>
        <v>49.650349650349654</v>
      </c>
      <c r="S394" s="1">
        <f t="shared" si="100"/>
        <v>50.24975024975025</v>
      </c>
      <c r="T394" s="1">
        <f t="shared" si="101"/>
        <v>285</v>
      </c>
      <c r="U394" s="1">
        <f t="shared" si="102"/>
        <v>323</v>
      </c>
      <c r="V394" s="1">
        <f t="shared" si="103"/>
        <v>47.5</v>
      </c>
      <c r="W394" s="1">
        <f t="shared" si="104"/>
        <v>52.5</v>
      </c>
      <c r="X394" s="1">
        <f t="shared" si="105"/>
        <v>15.001644736842104</v>
      </c>
      <c r="Y394" s="1">
        <f t="shared" si="106"/>
        <v>93</v>
      </c>
      <c r="Z394" s="1">
        <f t="shared" si="107"/>
        <v>101</v>
      </c>
      <c r="AA394" s="1">
        <f t="shared" si="108"/>
        <v>3.6516129032258071</v>
      </c>
      <c r="AB394" s="1">
        <f t="shared" si="109"/>
        <v>3.3841584158415841</v>
      </c>
      <c r="AC394" s="1">
        <f t="shared" si="110"/>
        <v>0</v>
      </c>
      <c r="AD394" s="1">
        <f t="shared" si="111"/>
        <v>1.5397767454362523E-2</v>
      </c>
    </row>
    <row r="395" spans="1:30" x14ac:dyDescent="0.35">
      <c r="A395" t="s">
        <v>829</v>
      </c>
      <c r="B395" t="s">
        <v>45</v>
      </c>
      <c r="C395" t="s">
        <v>82</v>
      </c>
      <c r="D395" t="s">
        <v>25</v>
      </c>
      <c r="E395">
        <v>33</v>
      </c>
      <c r="F395" t="s">
        <v>70</v>
      </c>
      <c r="G395" t="s">
        <v>85</v>
      </c>
      <c r="H395" t="s">
        <v>830</v>
      </c>
      <c r="I395">
        <v>4</v>
      </c>
      <c r="J395">
        <v>14</v>
      </c>
      <c r="K395">
        <v>284087</v>
      </c>
      <c r="L395">
        <v>4.8</v>
      </c>
      <c r="M395" t="s">
        <v>43</v>
      </c>
      <c r="N395">
        <v>78</v>
      </c>
      <c r="O395">
        <f t="shared" si="96"/>
        <v>607</v>
      </c>
      <c r="P395">
        <f t="shared" si="97"/>
        <v>303</v>
      </c>
      <c r="Q395">
        <f t="shared" si="98"/>
        <v>304</v>
      </c>
      <c r="R395">
        <f t="shared" si="99"/>
        <v>49.650349650349654</v>
      </c>
      <c r="S395" s="1">
        <f t="shared" si="100"/>
        <v>50.24975024975025</v>
      </c>
      <c r="T395" s="1">
        <f t="shared" si="101"/>
        <v>285</v>
      </c>
      <c r="U395" s="1">
        <f t="shared" si="102"/>
        <v>322</v>
      </c>
      <c r="V395" s="1">
        <f t="shared" si="103"/>
        <v>47.5</v>
      </c>
      <c r="W395" s="1">
        <f t="shared" si="104"/>
        <v>52.5</v>
      </c>
      <c r="X395" s="1">
        <f t="shared" si="105"/>
        <v>15.009884678747941</v>
      </c>
      <c r="Y395" s="1">
        <f t="shared" si="106"/>
        <v>93</v>
      </c>
      <c r="Z395" s="1">
        <f t="shared" si="107"/>
        <v>101</v>
      </c>
      <c r="AA395" s="1">
        <f t="shared" si="108"/>
        <v>3.6516129032258071</v>
      </c>
      <c r="AB395" s="1">
        <f t="shared" si="109"/>
        <v>3.3841584158415841</v>
      </c>
      <c r="AC395" s="1">
        <f t="shared" si="110"/>
        <v>0</v>
      </c>
      <c r="AD395" s="1">
        <f t="shared" si="111"/>
        <v>1.4302699525046302E-2</v>
      </c>
    </row>
    <row r="396" spans="1:30" x14ac:dyDescent="0.35">
      <c r="A396" t="s">
        <v>831</v>
      </c>
      <c r="B396" t="s">
        <v>23</v>
      </c>
      <c r="C396" t="s">
        <v>30</v>
      </c>
      <c r="D396" t="s">
        <v>25</v>
      </c>
      <c r="E396">
        <v>50</v>
      </c>
      <c r="F396" t="s">
        <v>74</v>
      </c>
      <c r="G396" t="s">
        <v>32</v>
      </c>
      <c r="H396" t="s">
        <v>832</v>
      </c>
      <c r="I396">
        <v>6</v>
      </c>
      <c r="J396">
        <v>8</v>
      </c>
      <c r="K396">
        <v>186479</v>
      </c>
      <c r="L396">
        <v>4.3</v>
      </c>
      <c r="M396" t="s">
        <v>43</v>
      </c>
      <c r="N396">
        <v>86</v>
      </c>
      <c r="O396">
        <f t="shared" si="96"/>
        <v>606</v>
      </c>
      <c r="P396">
        <f t="shared" si="97"/>
        <v>303</v>
      </c>
      <c r="Q396">
        <f t="shared" si="98"/>
        <v>303</v>
      </c>
      <c r="R396">
        <f t="shared" si="99"/>
        <v>49.650349650349654</v>
      </c>
      <c r="S396" s="1">
        <f t="shared" si="100"/>
        <v>50.24975024975025</v>
      </c>
      <c r="T396" s="1">
        <f t="shared" si="101"/>
        <v>285</v>
      </c>
      <c r="U396" s="1">
        <f t="shared" si="102"/>
        <v>321</v>
      </c>
      <c r="V396" s="1">
        <f t="shared" si="103"/>
        <v>47.5</v>
      </c>
      <c r="W396" s="1">
        <f t="shared" si="104"/>
        <v>52.5</v>
      </c>
      <c r="X396" s="1">
        <f t="shared" si="105"/>
        <v>15.011551155115512</v>
      </c>
      <c r="Y396" s="1">
        <f t="shared" si="106"/>
        <v>93</v>
      </c>
      <c r="Z396" s="1">
        <f t="shared" si="107"/>
        <v>101</v>
      </c>
      <c r="AA396" s="1">
        <f t="shared" si="108"/>
        <v>3.6516129032258071</v>
      </c>
      <c r="AB396" s="1">
        <f t="shared" si="109"/>
        <v>3.3841584158415841</v>
      </c>
      <c r="AC396" s="1">
        <f t="shared" si="110"/>
        <v>0</v>
      </c>
      <c r="AD396" s="1">
        <f t="shared" si="111"/>
        <v>1.4088173964003883E-2</v>
      </c>
    </row>
    <row r="397" spans="1:30" x14ac:dyDescent="0.35">
      <c r="A397" t="s">
        <v>833</v>
      </c>
      <c r="B397" t="s">
        <v>23</v>
      </c>
      <c r="C397" t="s">
        <v>64</v>
      </c>
      <c r="D397" t="s">
        <v>25</v>
      </c>
      <c r="E397">
        <v>33</v>
      </c>
      <c r="F397" t="s">
        <v>37</v>
      </c>
      <c r="G397" t="s">
        <v>61</v>
      </c>
      <c r="H397" t="s">
        <v>834</v>
      </c>
      <c r="I397">
        <v>15</v>
      </c>
      <c r="J397">
        <v>17</v>
      </c>
      <c r="K397">
        <v>245867</v>
      </c>
      <c r="L397">
        <v>4.4000000000000004</v>
      </c>
      <c r="M397" t="s">
        <v>43</v>
      </c>
      <c r="N397">
        <v>91</v>
      </c>
      <c r="O397">
        <f t="shared" si="96"/>
        <v>605</v>
      </c>
      <c r="P397">
        <f t="shared" si="97"/>
        <v>303</v>
      </c>
      <c r="Q397">
        <f t="shared" si="98"/>
        <v>302</v>
      </c>
      <c r="R397">
        <f t="shared" si="99"/>
        <v>49.650349650349654</v>
      </c>
      <c r="S397" s="1">
        <f t="shared" si="100"/>
        <v>50.24975024975025</v>
      </c>
      <c r="T397" s="1">
        <f t="shared" si="101"/>
        <v>285</v>
      </c>
      <c r="U397" s="1">
        <f t="shared" si="102"/>
        <v>320</v>
      </c>
      <c r="V397" s="1">
        <f t="shared" si="103"/>
        <v>47.5</v>
      </c>
      <c r="W397" s="1">
        <f t="shared" si="104"/>
        <v>52.5</v>
      </c>
      <c r="X397" s="1">
        <f t="shared" si="105"/>
        <v>15.023140495867768</v>
      </c>
      <c r="Y397" s="1">
        <f t="shared" si="106"/>
        <v>92</v>
      </c>
      <c r="Z397" s="1">
        <f t="shared" si="107"/>
        <v>101</v>
      </c>
      <c r="AA397" s="1">
        <f t="shared" si="108"/>
        <v>3.6445652173913046</v>
      </c>
      <c r="AB397" s="1">
        <f t="shared" si="109"/>
        <v>3.3841584158415841</v>
      </c>
      <c r="AC397" s="1">
        <f t="shared" si="110"/>
        <v>0</v>
      </c>
      <c r="AD397" s="1">
        <f t="shared" si="111"/>
        <v>1.2541520033612238E-2</v>
      </c>
    </row>
    <row r="398" spans="1:30" x14ac:dyDescent="0.35">
      <c r="A398" t="s">
        <v>835</v>
      </c>
      <c r="B398" t="s">
        <v>23</v>
      </c>
      <c r="C398" t="s">
        <v>49</v>
      </c>
      <c r="D398" t="s">
        <v>25</v>
      </c>
      <c r="E398">
        <v>49</v>
      </c>
      <c r="F398" t="s">
        <v>79</v>
      </c>
      <c r="G398" t="s">
        <v>26</v>
      </c>
      <c r="H398" t="s">
        <v>577</v>
      </c>
      <c r="I398">
        <v>19</v>
      </c>
      <c r="J398">
        <v>21</v>
      </c>
      <c r="K398">
        <v>468031</v>
      </c>
      <c r="L398">
        <v>3.9</v>
      </c>
      <c r="M398" t="s">
        <v>43</v>
      </c>
      <c r="N398">
        <v>80</v>
      </c>
      <c r="O398">
        <f t="shared" si="96"/>
        <v>604</v>
      </c>
      <c r="P398">
        <f t="shared" si="97"/>
        <v>303</v>
      </c>
      <c r="Q398">
        <f t="shared" si="98"/>
        <v>301</v>
      </c>
      <c r="R398">
        <f t="shared" si="99"/>
        <v>49.650349650349654</v>
      </c>
      <c r="S398" s="1">
        <f t="shared" si="100"/>
        <v>50.24975024975025</v>
      </c>
      <c r="T398" s="1">
        <f t="shared" si="101"/>
        <v>285</v>
      </c>
      <c r="U398" s="1">
        <f t="shared" si="102"/>
        <v>319</v>
      </c>
      <c r="V398" s="1">
        <f t="shared" si="103"/>
        <v>47.5</v>
      </c>
      <c r="W398" s="1">
        <f t="shared" si="104"/>
        <v>52.5</v>
      </c>
      <c r="X398" s="1">
        <f t="shared" si="105"/>
        <v>15.019867549668874</v>
      </c>
      <c r="Y398" s="1">
        <f t="shared" si="106"/>
        <v>92</v>
      </c>
      <c r="Z398" s="1">
        <f t="shared" si="107"/>
        <v>101</v>
      </c>
      <c r="AA398" s="1">
        <f t="shared" si="108"/>
        <v>3.6445652173913046</v>
      </c>
      <c r="AB398" s="1">
        <f t="shared" si="109"/>
        <v>3.3841584158415841</v>
      </c>
      <c r="AC398" s="1">
        <f t="shared" si="110"/>
        <v>0</v>
      </c>
      <c r="AD398" s="1">
        <f t="shared" si="111"/>
        <v>1.2995014345272494E-2</v>
      </c>
    </row>
    <row r="399" spans="1:30" x14ac:dyDescent="0.35">
      <c r="A399" t="s">
        <v>836</v>
      </c>
      <c r="B399" t="s">
        <v>45</v>
      </c>
      <c r="C399" t="s">
        <v>36</v>
      </c>
      <c r="D399" t="s">
        <v>17</v>
      </c>
      <c r="E399">
        <v>38</v>
      </c>
      <c r="F399" t="s">
        <v>37</v>
      </c>
      <c r="G399" t="s">
        <v>57</v>
      </c>
      <c r="H399" t="s">
        <v>837</v>
      </c>
      <c r="I399">
        <v>5</v>
      </c>
      <c r="J399">
        <v>10</v>
      </c>
      <c r="K399">
        <v>57121</v>
      </c>
      <c r="L399">
        <v>4.0999999999999996</v>
      </c>
      <c r="M399" t="s">
        <v>43</v>
      </c>
      <c r="N399">
        <v>85</v>
      </c>
      <c r="O399">
        <f t="shared" si="96"/>
        <v>603</v>
      </c>
      <c r="P399">
        <f t="shared" si="97"/>
        <v>303</v>
      </c>
      <c r="Q399">
        <f t="shared" si="98"/>
        <v>300</v>
      </c>
      <c r="R399">
        <f t="shared" si="99"/>
        <v>49.650349650349654</v>
      </c>
      <c r="S399" s="1">
        <f t="shared" si="100"/>
        <v>50.24975024975025</v>
      </c>
      <c r="T399" s="1">
        <f t="shared" si="101"/>
        <v>285</v>
      </c>
      <c r="U399" s="1">
        <f t="shared" si="102"/>
        <v>318</v>
      </c>
      <c r="V399" s="1">
        <f t="shared" si="103"/>
        <v>47.5</v>
      </c>
      <c r="W399" s="1">
        <f t="shared" si="104"/>
        <v>52.5</v>
      </c>
      <c r="X399" s="1">
        <f t="shared" si="105"/>
        <v>15.009950248756219</v>
      </c>
      <c r="Y399" s="1">
        <f t="shared" si="106"/>
        <v>92</v>
      </c>
      <c r="Z399" s="1">
        <f t="shared" si="107"/>
        <v>101</v>
      </c>
      <c r="AA399" s="1">
        <f t="shared" si="108"/>
        <v>3.6445652173913046</v>
      </c>
      <c r="AB399" s="1">
        <f t="shared" si="109"/>
        <v>3.3841584158415841</v>
      </c>
      <c r="AC399" s="1">
        <f t="shared" si="110"/>
        <v>0</v>
      </c>
      <c r="AD399" s="1">
        <f t="shared" si="111"/>
        <v>1.4357942875752842E-2</v>
      </c>
    </row>
    <row r="400" spans="1:30" x14ac:dyDescent="0.35">
      <c r="A400" t="s">
        <v>838</v>
      </c>
      <c r="B400" t="s">
        <v>111</v>
      </c>
      <c r="C400" t="s">
        <v>64</v>
      </c>
      <c r="D400" t="s">
        <v>25</v>
      </c>
      <c r="E400">
        <v>51</v>
      </c>
      <c r="F400" t="s">
        <v>37</v>
      </c>
      <c r="G400" t="s">
        <v>85</v>
      </c>
      <c r="H400" t="s">
        <v>839</v>
      </c>
      <c r="I400">
        <v>12</v>
      </c>
      <c r="J400">
        <v>20</v>
      </c>
      <c r="K400">
        <v>479894</v>
      </c>
      <c r="L400">
        <v>3.8</v>
      </c>
      <c r="M400" t="s">
        <v>43</v>
      </c>
      <c r="N400">
        <v>74</v>
      </c>
      <c r="O400">
        <f t="shared" si="96"/>
        <v>602</v>
      </c>
      <c r="P400">
        <f t="shared" si="97"/>
        <v>302</v>
      </c>
      <c r="Q400">
        <f t="shared" si="98"/>
        <v>300</v>
      </c>
      <c r="R400">
        <f t="shared" si="99"/>
        <v>49.650349650349654</v>
      </c>
      <c r="S400" s="1">
        <f t="shared" si="100"/>
        <v>50.24975024975025</v>
      </c>
      <c r="T400" s="1">
        <f t="shared" si="101"/>
        <v>285</v>
      </c>
      <c r="U400" s="1">
        <f t="shared" si="102"/>
        <v>317</v>
      </c>
      <c r="V400" s="1">
        <f t="shared" si="103"/>
        <v>47.5</v>
      </c>
      <c r="W400" s="1">
        <f t="shared" si="104"/>
        <v>52.5</v>
      </c>
      <c r="X400" s="1">
        <f t="shared" si="105"/>
        <v>15.018272425249169</v>
      </c>
      <c r="Y400" s="1">
        <f t="shared" si="106"/>
        <v>92</v>
      </c>
      <c r="Z400" s="1">
        <f t="shared" si="107"/>
        <v>101</v>
      </c>
      <c r="AA400" s="1">
        <f t="shared" si="108"/>
        <v>3.6445652173913046</v>
      </c>
      <c r="AB400" s="1">
        <f t="shared" si="109"/>
        <v>3.3841584158415841</v>
      </c>
      <c r="AC400" s="1">
        <f t="shared" si="110"/>
        <v>0</v>
      </c>
      <c r="AD400" s="1">
        <f t="shared" si="111"/>
        <v>1.324450172777211E-2</v>
      </c>
    </row>
    <row r="401" spans="1:30" x14ac:dyDescent="0.35">
      <c r="A401" t="s">
        <v>840</v>
      </c>
      <c r="B401" t="s">
        <v>15</v>
      </c>
      <c r="C401" t="s">
        <v>16</v>
      </c>
      <c r="D401" t="s">
        <v>17</v>
      </c>
      <c r="E401">
        <v>37</v>
      </c>
      <c r="F401" t="s">
        <v>31</v>
      </c>
      <c r="G401" t="s">
        <v>19</v>
      </c>
      <c r="H401" t="s">
        <v>841</v>
      </c>
      <c r="I401">
        <v>15</v>
      </c>
      <c r="J401">
        <v>21</v>
      </c>
      <c r="K401">
        <v>242776</v>
      </c>
      <c r="L401">
        <v>5</v>
      </c>
      <c r="M401" t="s">
        <v>21</v>
      </c>
      <c r="N401">
        <v>30</v>
      </c>
      <c r="O401">
        <f t="shared" si="96"/>
        <v>601</v>
      </c>
      <c r="P401">
        <f t="shared" si="97"/>
        <v>302</v>
      </c>
      <c r="Q401">
        <f t="shared" si="98"/>
        <v>299</v>
      </c>
      <c r="R401">
        <f t="shared" si="99"/>
        <v>49.650349650349654</v>
      </c>
      <c r="S401" s="1">
        <f t="shared" si="100"/>
        <v>50.24975024975025</v>
      </c>
      <c r="T401" s="1">
        <f t="shared" si="101"/>
        <v>285</v>
      </c>
      <c r="U401" s="1">
        <f t="shared" si="102"/>
        <v>316</v>
      </c>
      <c r="V401" s="1">
        <f t="shared" si="103"/>
        <v>47.5</v>
      </c>
      <c r="W401" s="1">
        <f t="shared" si="104"/>
        <v>52.5</v>
      </c>
      <c r="X401" s="1">
        <f t="shared" si="105"/>
        <v>15.009983361064892</v>
      </c>
      <c r="Y401" s="1">
        <f t="shared" si="106"/>
        <v>92</v>
      </c>
      <c r="Z401" s="1">
        <f t="shared" si="107"/>
        <v>101</v>
      </c>
      <c r="AA401" s="1">
        <f t="shared" si="108"/>
        <v>3.6445652173913046</v>
      </c>
      <c r="AB401" s="1">
        <f t="shared" si="109"/>
        <v>3.3841584158415841</v>
      </c>
      <c r="AC401" s="1">
        <f t="shared" si="110"/>
        <v>1</v>
      </c>
      <c r="AD401" s="1">
        <f t="shared" si="111"/>
        <v>1.438715658386904E-2</v>
      </c>
    </row>
    <row r="402" spans="1:30" x14ac:dyDescent="0.35">
      <c r="A402" t="s">
        <v>842</v>
      </c>
      <c r="B402" t="s">
        <v>55</v>
      </c>
      <c r="C402" t="s">
        <v>64</v>
      </c>
      <c r="D402" t="s">
        <v>17</v>
      </c>
      <c r="E402">
        <v>31</v>
      </c>
      <c r="F402" t="s">
        <v>18</v>
      </c>
      <c r="G402" t="s">
        <v>19</v>
      </c>
      <c r="H402" t="s">
        <v>843</v>
      </c>
      <c r="I402">
        <v>15</v>
      </c>
      <c r="J402">
        <v>19</v>
      </c>
      <c r="K402">
        <v>378538</v>
      </c>
      <c r="L402">
        <v>3.6</v>
      </c>
      <c r="M402" t="s">
        <v>21</v>
      </c>
      <c r="N402">
        <v>38</v>
      </c>
      <c r="O402">
        <f t="shared" si="96"/>
        <v>600</v>
      </c>
      <c r="P402">
        <f t="shared" si="97"/>
        <v>301</v>
      </c>
      <c r="Q402">
        <f t="shared" si="98"/>
        <v>299</v>
      </c>
      <c r="R402">
        <f t="shared" si="99"/>
        <v>49.650349650349654</v>
      </c>
      <c r="S402" s="1">
        <f t="shared" si="100"/>
        <v>50.24975024975025</v>
      </c>
      <c r="T402" s="1">
        <f t="shared" si="101"/>
        <v>284</v>
      </c>
      <c r="U402" s="1">
        <f t="shared" si="102"/>
        <v>316</v>
      </c>
      <c r="V402" s="1">
        <f t="shared" si="103"/>
        <v>47.5</v>
      </c>
      <c r="W402" s="1">
        <f t="shared" si="104"/>
        <v>52.5</v>
      </c>
      <c r="X402" s="1">
        <f t="shared" si="105"/>
        <v>15</v>
      </c>
      <c r="Y402" s="1">
        <f t="shared" si="106"/>
        <v>92</v>
      </c>
      <c r="Z402" s="1">
        <f t="shared" si="107"/>
        <v>100</v>
      </c>
      <c r="AA402" s="1">
        <f t="shared" si="108"/>
        <v>3.6445652173913046</v>
      </c>
      <c r="AB402" s="1">
        <f t="shared" si="109"/>
        <v>3.3680000000000003</v>
      </c>
      <c r="AC402" s="1">
        <f t="shared" si="110"/>
        <v>1</v>
      </c>
      <c r="AD402" s="1">
        <f t="shared" si="111"/>
        <v>1.2901824851027211E-2</v>
      </c>
    </row>
    <row r="403" spans="1:30" x14ac:dyDescent="0.35">
      <c r="A403" t="s">
        <v>844</v>
      </c>
      <c r="B403" t="s">
        <v>40</v>
      </c>
      <c r="C403" t="s">
        <v>30</v>
      </c>
      <c r="D403" t="s">
        <v>25</v>
      </c>
      <c r="E403">
        <v>41</v>
      </c>
      <c r="F403" t="s">
        <v>37</v>
      </c>
      <c r="G403" t="s">
        <v>71</v>
      </c>
      <c r="H403" t="s">
        <v>845</v>
      </c>
      <c r="I403">
        <v>5</v>
      </c>
      <c r="J403">
        <v>10</v>
      </c>
      <c r="K403">
        <v>448236</v>
      </c>
      <c r="L403">
        <v>4.3</v>
      </c>
      <c r="M403" t="s">
        <v>21</v>
      </c>
      <c r="N403">
        <v>70</v>
      </c>
      <c r="O403">
        <f t="shared" si="96"/>
        <v>599</v>
      </c>
      <c r="P403">
        <f t="shared" si="97"/>
        <v>300</v>
      </c>
      <c r="Q403">
        <f t="shared" si="98"/>
        <v>299</v>
      </c>
      <c r="R403">
        <f t="shared" si="99"/>
        <v>49.650349650349654</v>
      </c>
      <c r="S403" s="1">
        <f t="shared" si="100"/>
        <v>50.24975024975025</v>
      </c>
      <c r="T403" s="1">
        <f t="shared" si="101"/>
        <v>283</v>
      </c>
      <c r="U403" s="1">
        <f t="shared" si="102"/>
        <v>316</v>
      </c>
      <c r="V403" s="1">
        <f t="shared" si="103"/>
        <v>47.5</v>
      </c>
      <c r="W403" s="1">
        <f t="shared" si="104"/>
        <v>52.5</v>
      </c>
      <c r="X403" s="1">
        <f t="shared" si="105"/>
        <v>14.993322203672788</v>
      </c>
      <c r="Y403" s="1">
        <f t="shared" si="106"/>
        <v>92</v>
      </c>
      <c r="Z403" s="1">
        <f t="shared" si="107"/>
        <v>100</v>
      </c>
      <c r="AA403" s="1">
        <f t="shared" si="108"/>
        <v>3.6445652173913046</v>
      </c>
      <c r="AB403" s="1">
        <f t="shared" si="109"/>
        <v>3.3680000000000003</v>
      </c>
      <c r="AC403" s="1">
        <f t="shared" si="110"/>
        <v>1</v>
      </c>
      <c r="AD403" s="1">
        <f t="shared" si="111"/>
        <v>1.1907804575272841E-2</v>
      </c>
    </row>
    <row r="404" spans="1:30" x14ac:dyDescent="0.35">
      <c r="A404" t="s">
        <v>846</v>
      </c>
      <c r="B404" t="s">
        <v>60</v>
      </c>
      <c r="C404" t="s">
        <v>24</v>
      </c>
      <c r="D404" t="s">
        <v>17</v>
      </c>
      <c r="E404">
        <v>31</v>
      </c>
      <c r="F404" t="s">
        <v>70</v>
      </c>
      <c r="G404" t="s">
        <v>41</v>
      </c>
      <c r="H404" t="s">
        <v>847</v>
      </c>
      <c r="I404">
        <v>8</v>
      </c>
      <c r="J404">
        <v>14</v>
      </c>
      <c r="K404">
        <v>54922</v>
      </c>
      <c r="L404">
        <v>2.9</v>
      </c>
      <c r="M404" t="s">
        <v>21</v>
      </c>
      <c r="N404">
        <v>54</v>
      </c>
      <c r="O404">
        <f t="shared" si="96"/>
        <v>598</v>
      </c>
      <c r="P404">
        <f t="shared" si="97"/>
        <v>300</v>
      </c>
      <c r="Q404">
        <f t="shared" si="98"/>
        <v>298</v>
      </c>
      <c r="R404">
        <f t="shared" si="99"/>
        <v>49.650349650349654</v>
      </c>
      <c r="S404" s="1">
        <f t="shared" si="100"/>
        <v>50.24975024975025</v>
      </c>
      <c r="T404" s="1">
        <f t="shared" si="101"/>
        <v>282</v>
      </c>
      <c r="U404" s="1">
        <f t="shared" si="102"/>
        <v>316</v>
      </c>
      <c r="V404" s="1">
        <f t="shared" si="103"/>
        <v>47.5</v>
      </c>
      <c r="W404" s="1">
        <f t="shared" si="104"/>
        <v>52.5</v>
      </c>
      <c r="X404" s="1">
        <f t="shared" si="105"/>
        <v>15.001672240802675</v>
      </c>
      <c r="Y404" s="1">
        <f t="shared" si="106"/>
        <v>92</v>
      </c>
      <c r="Z404" s="1">
        <f t="shared" si="107"/>
        <v>100</v>
      </c>
      <c r="AA404" s="1">
        <f t="shared" si="108"/>
        <v>3.6445652173913046</v>
      </c>
      <c r="AB404" s="1">
        <f t="shared" si="109"/>
        <v>3.3680000000000003</v>
      </c>
      <c r="AC404" s="1">
        <f t="shared" si="110"/>
        <v>1</v>
      </c>
      <c r="AD404" s="1">
        <f t="shared" si="111"/>
        <v>1.3188113152038262E-2</v>
      </c>
    </row>
    <row r="405" spans="1:30" x14ac:dyDescent="0.35">
      <c r="A405" t="s">
        <v>848</v>
      </c>
      <c r="B405" t="s">
        <v>96</v>
      </c>
      <c r="C405" t="s">
        <v>52</v>
      </c>
      <c r="D405" t="s">
        <v>17</v>
      </c>
      <c r="E405">
        <v>51</v>
      </c>
      <c r="F405" t="s">
        <v>70</v>
      </c>
      <c r="G405" t="s">
        <v>61</v>
      </c>
      <c r="H405" t="s">
        <v>849</v>
      </c>
      <c r="I405">
        <v>1</v>
      </c>
      <c r="J405">
        <v>5</v>
      </c>
      <c r="K405">
        <v>341723</v>
      </c>
      <c r="L405">
        <v>2.2000000000000002</v>
      </c>
      <c r="M405" t="s">
        <v>21</v>
      </c>
      <c r="N405">
        <v>51</v>
      </c>
      <c r="O405">
        <f t="shared" si="96"/>
        <v>597</v>
      </c>
      <c r="P405">
        <f t="shared" si="97"/>
        <v>299</v>
      </c>
      <c r="Q405">
        <f t="shared" si="98"/>
        <v>298</v>
      </c>
      <c r="R405">
        <f t="shared" si="99"/>
        <v>49.650349650349654</v>
      </c>
      <c r="S405" s="1">
        <f t="shared" si="100"/>
        <v>50.24975024975025</v>
      </c>
      <c r="T405" s="1">
        <f t="shared" si="101"/>
        <v>281</v>
      </c>
      <c r="U405" s="1">
        <f t="shared" si="102"/>
        <v>316</v>
      </c>
      <c r="V405" s="1">
        <f t="shared" si="103"/>
        <v>47.5</v>
      </c>
      <c r="W405" s="1">
        <f t="shared" si="104"/>
        <v>52.5</v>
      </c>
      <c r="X405" s="1">
        <f t="shared" si="105"/>
        <v>15.003350083752094</v>
      </c>
      <c r="Y405" s="1">
        <f t="shared" si="106"/>
        <v>92</v>
      </c>
      <c r="Z405" s="1">
        <f t="shared" si="107"/>
        <v>100</v>
      </c>
      <c r="AA405" s="1">
        <f t="shared" si="108"/>
        <v>3.6445652173913046</v>
      </c>
      <c r="AB405" s="1">
        <f t="shared" si="109"/>
        <v>3.3680000000000003</v>
      </c>
      <c r="AC405" s="1">
        <f t="shared" si="110"/>
        <v>1</v>
      </c>
      <c r="AD405" s="1">
        <f t="shared" si="111"/>
        <v>1.3454981057450029E-2</v>
      </c>
    </row>
    <row r="406" spans="1:30" x14ac:dyDescent="0.35">
      <c r="A406" t="s">
        <v>850</v>
      </c>
      <c r="B406" t="s">
        <v>111</v>
      </c>
      <c r="C406" t="s">
        <v>24</v>
      </c>
      <c r="D406" t="s">
        <v>17</v>
      </c>
      <c r="E406">
        <v>49</v>
      </c>
      <c r="F406" t="s">
        <v>79</v>
      </c>
      <c r="G406" t="s">
        <v>61</v>
      </c>
      <c r="H406" t="s">
        <v>851</v>
      </c>
      <c r="I406">
        <v>7</v>
      </c>
      <c r="J406">
        <v>9</v>
      </c>
      <c r="K406">
        <v>195702</v>
      </c>
      <c r="L406">
        <v>4.5</v>
      </c>
      <c r="M406" t="s">
        <v>43</v>
      </c>
      <c r="N406">
        <v>92</v>
      </c>
      <c r="O406">
        <f t="shared" si="96"/>
        <v>596</v>
      </c>
      <c r="P406">
        <f t="shared" si="97"/>
        <v>298</v>
      </c>
      <c r="Q406">
        <f t="shared" si="98"/>
        <v>298</v>
      </c>
      <c r="R406">
        <f t="shared" si="99"/>
        <v>49.650349650349654</v>
      </c>
      <c r="S406" s="1">
        <f t="shared" si="100"/>
        <v>50.24975024975025</v>
      </c>
      <c r="T406" s="1">
        <f t="shared" si="101"/>
        <v>280</v>
      </c>
      <c r="U406" s="1">
        <f t="shared" si="102"/>
        <v>316</v>
      </c>
      <c r="V406" s="1">
        <f t="shared" si="103"/>
        <v>47.5</v>
      </c>
      <c r="W406" s="1">
        <f t="shared" si="104"/>
        <v>52.5</v>
      </c>
      <c r="X406" s="1">
        <f t="shared" si="105"/>
        <v>15.020134228187919</v>
      </c>
      <c r="Y406" s="1">
        <f t="shared" si="106"/>
        <v>92</v>
      </c>
      <c r="Z406" s="1">
        <f t="shared" si="107"/>
        <v>100</v>
      </c>
      <c r="AA406" s="1">
        <f t="shared" si="108"/>
        <v>3.6445652173913046</v>
      </c>
      <c r="AB406" s="1">
        <f t="shared" si="109"/>
        <v>3.3680000000000003</v>
      </c>
      <c r="AC406" s="1">
        <f t="shared" si="110"/>
        <v>0</v>
      </c>
      <c r="AD406" s="1">
        <f t="shared" si="111"/>
        <v>1.6040946808689411E-2</v>
      </c>
    </row>
    <row r="407" spans="1:30" x14ac:dyDescent="0.35">
      <c r="A407" t="s">
        <v>852</v>
      </c>
      <c r="B407" t="s">
        <v>29</v>
      </c>
      <c r="C407" t="s">
        <v>93</v>
      </c>
      <c r="D407" t="s">
        <v>25</v>
      </c>
      <c r="E407">
        <v>24</v>
      </c>
      <c r="F407" t="s">
        <v>70</v>
      </c>
      <c r="G407" t="s">
        <v>85</v>
      </c>
      <c r="H407" t="s">
        <v>853</v>
      </c>
      <c r="I407">
        <v>4</v>
      </c>
      <c r="J407">
        <v>7</v>
      </c>
      <c r="K407">
        <v>452835</v>
      </c>
      <c r="L407">
        <v>3.2</v>
      </c>
      <c r="M407" t="s">
        <v>43</v>
      </c>
      <c r="N407">
        <v>75</v>
      </c>
      <c r="O407">
        <f t="shared" si="96"/>
        <v>595</v>
      </c>
      <c r="P407">
        <f t="shared" si="97"/>
        <v>297</v>
      </c>
      <c r="Q407">
        <f t="shared" si="98"/>
        <v>298</v>
      </c>
      <c r="R407">
        <f t="shared" si="99"/>
        <v>49.650349650349654</v>
      </c>
      <c r="S407" s="1">
        <f t="shared" si="100"/>
        <v>50.24975024975025</v>
      </c>
      <c r="T407" s="1">
        <f t="shared" si="101"/>
        <v>280</v>
      </c>
      <c r="U407" s="1">
        <f t="shared" si="102"/>
        <v>315</v>
      </c>
      <c r="V407" s="1">
        <f t="shared" si="103"/>
        <v>47.5</v>
      </c>
      <c r="W407" s="1">
        <f t="shared" si="104"/>
        <v>52.5</v>
      </c>
      <c r="X407" s="1">
        <f t="shared" si="105"/>
        <v>15.030252100840336</v>
      </c>
      <c r="Y407" s="1">
        <f t="shared" si="106"/>
        <v>92</v>
      </c>
      <c r="Z407" s="1">
        <f t="shared" si="107"/>
        <v>100</v>
      </c>
      <c r="AA407" s="1">
        <f t="shared" si="108"/>
        <v>3.6445652173913046</v>
      </c>
      <c r="AB407" s="1">
        <f t="shared" si="109"/>
        <v>3.3680000000000003</v>
      </c>
      <c r="AC407" s="1">
        <f t="shared" si="110"/>
        <v>0</v>
      </c>
      <c r="AD407" s="1">
        <f t="shared" si="111"/>
        <v>1.4698914771205798E-2</v>
      </c>
    </row>
    <row r="408" spans="1:30" x14ac:dyDescent="0.35">
      <c r="A408" t="s">
        <v>854</v>
      </c>
      <c r="B408" t="s">
        <v>40</v>
      </c>
      <c r="C408" t="s">
        <v>24</v>
      </c>
      <c r="D408" t="s">
        <v>17</v>
      </c>
      <c r="E408">
        <v>34</v>
      </c>
      <c r="F408" t="s">
        <v>70</v>
      </c>
      <c r="G408" t="s">
        <v>32</v>
      </c>
      <c r="H408" t="s">
        <v>855</v>
      </c>
      <c r="I408">
        <v>13</v>
      </c>
      <c r="J408">
        <v>16</v>
      </c>
      <c r="K408">
        <v>300647</v>
      </c>
      <c r="L408">
        <v>3.4</v>
      </c>
      <c r="M408" t="s">
        <v>43</v>
      </c>
      <c r="N408">
        <v>79</v>
      </c>
      <c r="O408">
        <f t="shared" si="96"/>
        <v>594</v>
      </c>
      <c r="P408">
        <f t="shared" si="97"/>
        <v>297</v>
      </c>
      <c r="Q408">
        <f t="shared" si="98"/>
        <v>297</v>
      </c>
      <c r="R408">
        <f t="shared" si="99"/>
        <v>49.650349650349654</v>
      </c>
      <c r="S408" s="1">
        <f t="shared" si="100"/>
        <v>50.24975024975025</v>
      </c>
      <c r="T408" s="1">
        <f t="shared" si="101"/>
        <v>280</v>
      </c>
      <c r="U408" s="1">
        <f t="shared" si="102"/>
        <v>314</v>
      </c>
      <c r="V408" s="1">
        <f t="shared" si="103"/>
        <v>47.5</v>
      </c>
      <c r="W408" s="1">
        <f t="shared" si="104"/>
        <v>52.5</v>
      </c>
      <c r="X408" s="1">
        <f t="shared" si="105"/>
        <v>15.043771043771043</v>
      </c>
      <c r="Y408" s="1">
        <f t="shared" si="106"/>
        <v>92</v>
      </c>
      <c r="Z408" s="1">
        <f t="shared" si="107"/>
        <v>100</v>
      </c>
      <c r="AA408" s="1">
        <f t="shared" si="108"/>
        <v>3.6445652173913046</v>
      </c>
      <c r="AB408" s="1">
        <f t="shared" si="109"/>
        <v>3.3680000000000003</v>
      </c>
      <c r="AC408" s="1">
        <f t="shared" si="110"/>
        <v>0</v>
      </c>
      <c r="AD408" s="1">
        <f t="shared" si="111"/>
        <v>1.2900384538926224E-2</v>
      </c>
    </row>
    <row r="409" spans="1:30" x14ac:dyDescent="0.35">
      <c r="A409" t="s">
        <v>856</v>
      </c>
      <c r="B409" t="s">
        <v>60</v>
      </c>
      <c r="C409" t="s">
        <v>36</v>
      </c>
      <c r="D409" t="s">
        <v>25</v>
      </c>
      <c r="E409">
        <v>58</v>
      </c>
      <c r="F409" t="s">
        <v>79</v>
      </c>
      <c r="G409" t="s">
        <v>85</v>
      </c>
      <c r="H409" t="s">
        <v>857</v>
      </c>
      <c r="I409">
        <v>4</v>
      </c>
      <c r="J409">
        <v>5</v>
      </c>
      <c r="K409">
        <v>296546</v>
      </c>
      <c r="L409">
        <v>4</v>
      </c>
      <c r="M409" t="s">
        <v>21</v>
      </c>
      <c r="N409">
        <v>45</v>
      </c>
      <c r="O409">
        <f t="shared" si="96"/>
        <v>593</v>
      </c>
      <c r="P409">
        <f t="shared" si="97"/>
        <v>296</v>
      </c>
      <c r="Q409">
        <f t="shared" si="98"/>
        <v>297</v>
      </c>
      <c r="R409">
        <f t="shared" si="99"/>
        <v>49.650349650349654</v>
      </c>
      <c r="S409" s="1">
        <f t="shared" si="100"/>
        <v>50.24975024975025</v>
      </c>
      <c r="T409" s="1">
        <f t="shared" si="101"/>
        <v>280</v>
      </c>
      <c r="U409" s="1">
        <f t="shared" si="102"/>
        <v>313</v>
      </c>
      <c r="V409" s="1">
        <f t="shared" si="103"/>
        <v>47.5</v>
      </c>
      <c r="W409" s="1">
        <f t="shared" si="104"/>
        <v>52.5</v>
      </c>
      <c r="X409" s="1">
        <f t="shared" si="105"/>
        <v>15.042158516020237</v>
      </c>
      <c r="Y409" s="1">
        <f t="shared" si="106"/>
        <v>92</v>
      </c>
      <c r="Z409" s="1">
        <f t="shared" si="107"/>
        <v>100</v>
      </c>
      <c r="AA409" s="1">
        <f t="shared" si="108"/>
        <v>3.6445652173913046</v>
      </c>
      <c r="AB409" s="1">
        <f t="shared" si="109"/>
        <v>3.3680000000000003</v>
      </c>
      <c r="AC409" s="1">
        <f t="shared" si="110"/>
        <v>1</v>
      </c>
      <c r="AD409" s="1">
        <f t="shared" si="111"/>
        <v>1.3128256836880734E-2</v>
      </c>
    </row>
    <row r="410" spans="1:30" x14ac:dyDescent="0.35">
      <c r="A410" t="s">
        <v>858</v>
      </c>
      <c r="B410" t="s">
        <v>60</v>
      </c>
      <c r="C410" t="s">
        <v>64</v>
      </c>
      <c r="D410" t="s">
        <v>25</v>
      </c>
      <c r="E410">
        <v>35</v>
      </c>
      <c r="F410" t="s">
        <v>74</v>
      </c>
      <c r="G410" t="s">
        <v>26</v>
      </c>
      <c r="H410" t="s">
        <v>859</v>
      </c>
      <c r="I410">
        <v>11</v>
      </c>
      <c r="J410">
        <v>20</v>
      </c>
      <c r="K410">
        <v>358712</v>
      </c>
      <c r="L410">
        <v>2</v>
      </c>
      <c r="M410" t="s">
        <v>21</v>
      </c>
      <c r="N410">
        <v>62</v>
      </c>
      <c r="O410">
        <f t="shared" si="96"/>
        <v>592</v>
      </c>
      <c r="P410">
        <f t="shared" si="97"/>
        <v>296</v>
      </c>
      <c r="Q410">
        <f t="shared" si="98"/>
        <v>296</v>
      </c>
      <c r="R410">
        <f t="shared" si="99"/>
        <v>49.650349650349654</v>
      </c>
      <c r="S410" s="1">
        <f t="shared" si="100"/>
        <v>50.24975024975025</v>
      </c>
      <c r="T410" s="1">
        <f t="shared" si="101"/>
        <v>279</v>
      </c>
      <c r="U410" s="1">
        <f t="shared" si="102"/>
        <v>313</v>
      </c>
      <c r="V410" s="1">
        <f t="shared" si="103"/>
        <v>47.5</v>
      </c>
      <c r="W410" s="1">
        <f t="shared" si="104"/>
        <v>52.5</v>
      </c>
      <c r="X410" s="1">
        <f t="shared" si="105"/>
        <v>15.059121621621621</v>
      </c>
      <c r="Y410" s="1">
        <f t="shared" si="106"/>
        <v>92</v>
      </c>
      <c r="Z410" s="1">
        <f t="shared" si="107"/>
        <v>100</v>
      </c>
      <c r="AA410" s="1">
        <f t="shared" si="108"/>
        <v>3.6445652173913046</v>
      </c>
      <c r="AB410" s="1">
        <f t="shared" si="109"/>
        <v>3.3680000000000003</v>
      </c>
      <c r="AC410" s="1">
        <f t="shared" si="110"/>
        <v>1</v>
      </c>
      <c r="AD410" s="1">
        <f t="shared" si="111"/>
        <v>1.5733539416466106E-2</v>
      </c>
    </row>
    <row r="411" spans="1:30" x14ac:dyDescent="0.35">
      <c r="A411" t="s">
        <v>860</v>
      </c>
      <c r="B411" t="s">
        <v>69</v>
      </c>
      <c r="C411" t="s">
        <v>82</v>
      </c>
      <c r="D411" t="s">
        <v>25</v>
      </c>
      <c r="E411">
        <v>30</v>
      </c>
      <c r="F411" t="s">
        <v>70</v>
      </c>
      <c r="G411" t="s">
        <v>88</v>
      </c>
      <c r="H411" t="s">
        <v>861</v>
      </c>
      <c r="I411">
        <v>19</v>
      </c>
      <c r="J411">
        <v>23</v>
      </c>
      <c r="K411">
        <v>82691</v>
      </c>
      <c r="L411">
        <v>2.2000000000000002</v>
      </c>
      <c r="M411" t="s">
        <v>43</v>
      </c>
      <c r="N411">
        <v>84</v>
      </c>
      <c r="O411">
        <f t="shared" si="96"/>
        <v>591</v>
      </c>
      <c r="P411">
        <f t="shared" si="97"/>
        <v>296</v>
      </c>
      <c r="Q411">
        <f t="shared" si="98"/>
        <v>295</v>
      </c>
      <c r="R411">
        <f t="shared" si="99"/>
        <v>49.650349650349654</v>
      </c>
      <c r="S411" s="1">
        <f t="shared" si="100"/>
        <v>50.24975024975025</v>
      </c>
      <c r="T411" s="1">
        <f t="shared" si="101"/>
        <v>278</v>
      </c>
      <c r="U411" s="1">
        <f t="shared" si="102"/>
        <v>313</v>
      </c>
      <c r="V411" s="1">
        <f t="shared" si="103"/>
        <v>47.5</v>
      </c>
      <c r="W411" s="1">
        <f t="shared" si="104"/>
        <v>52.5</v>
      </c>
      <c r="X411" s="1">
        <f t="shared" si="105"/>
        <v>15.050761421319796</v>
      </c>
      <c r="Y411" s="1">
        <f t="shared" si="106"/>
        <v>91</v>
      </c>
      <c r="Z411" s="1">
        <f t="shared" si="107"/>
        <v>100</v>
      </c>
      <c r="AA411" s="1">
        <f t="shared" si="108"/>
        <v>3.6626373626373629</v>
      </c>
      <c r="AB411" s="1">
        <f t="shared" si="109"/>
        <v>3.3680000000000003</v>
      </c>
      <c r="AC411" s="1">
        <f t="shared" si="110"/>
        <v>0</v>
      </c>
      <c r="AD411" s="1">
        <f t="shared" si="111"/>
        <v>1.4486821836808144E-2</v>
      </c>
    </row>
    <row r="412" spans="1:30" x14ac:dyDescent="0.35">
      <c r="A412" t="s">
        <v>862</v>
      </c>
      <c r="B412" t="s">
        <v>29</v>
      </c>
      <c r="C412" t="s">
        <v>16</v>
      </c>
      <c r="D412" t="s">
        <v>17</v>
      </c>
      <c r="E412">
        <v>27</v>
      </c>
      <c r="F412" t="s">
        <v>79</v>
      </c>
      <c r="G412" t="s">
        <v>26</v>
      </c>
      <c r="H412" t="s">
        <v>863</v>
      </c>
      <c r="I412">
        <v>3</v>
      </c>
      <c r="J412">
        <v>8</v>
      </c>
      <c r="K412">
        <v>348345</v>
      </c>
      <c r="L412">
        <v>3.3</v>
      </c>
      <c r="M412" t="s">
        <v>21</v>
      </c>
      <c r="N412">
        <v>43</v>
      </c>
      <c r="O412">
        <f t="shared" si="96"/>
        <v>590</v>
      </c>
      <c r="P412">
        <f t="shared" si="97"/>
        <v>296</v>
      </c>
      <c r="Q412">
        <f t="shared" si="98"/>
        <v>294</v>
      </c>
      <c r="R412">
        <f t="shared" si="99"/>
        <v>49.650349650349654</v>
      </c>
      <c r="S412" s="1">
        <f t="shared" si="100"/>
        <v>50.24975024975025</v>
      </c>
      <c r="T412" s="1">
        <f t="shared" si="101"/>
        <v>278</v>
      </c>
      <c r="U412" s="1">
        <f t="shared" si="102"/>
        <v>312</v>
      </c>
      <c r="V412" s="1">
        <f t="shared" si="103"/>
        <v>47.5</v>
      </c>
      <c r="W412" s="1">
        <f t="shared" si="104"/>
        <v>52.5</v>
      </c>
      <c r="X412" s="1">
        <f t="shared" si="105"/>
        <v>15.03728813559322</v>
      </c>
      <c r="Y412" s="1">
        <f t="shared" si="106"/>
        <v>91</v>
      </c>
      <c r="Z412" s="1">
        <f t="shared" si="107"/>
        <v>100</v>
      </c>
      <c r="AA412" s="1">
        <f t="shared" si="108"/>
        <v>3.6626373626373629</v>
      </c>
      <c r="AB412" s="1">
        <f t="shared" si="109"/>
        <v>3.3680000000000003</v>
      </c>
      <c r="AC412" s="1">
        <f t="shared" si="110"/>
        <v>1</v>
      </c>
      <c r="AD412" s="1">
        <f t="shared" si="111"/>
        <v>1.6332468825371239E-2</v>
      </c>
    </row>
    <row r="413" spans="1:30" x14ac:dyDescent="0.35">
      <c r="A413" t="s">
        <v>864</v>
      </c>
      <c r="B413" t="s">
        <v>29</v>
      </c>
      <c r="C413" t="s">
        <v>82</v>
      </c>
      <c r="D413" t="s">
        <v>17</v>
      </c>
      <c r="E413">
        <v>55</v>
      </c>
      <c r="F413" t="s">
        <v>18</v>
      </c>
      <c r="G413" t="s">
        <v>26</v>
      </c>
      <c r="H413" t="s">
        <v>865</v>
      </c>
      <c r="I413">
        <v>1</v>
      </c>
      <c r="J413">
        <v>3</v>
      </c>
      <c r="K413">
        <v>113893</v>
      </c>
      <c r="L413">
        <v>4.2</v>
      </c>
      <c r="M413" t="s">
        <v>43</v>
      </c>
      <c r="N413">
        <v>83</v>
      </c>
      <c r="O413">
        <f t="shared" si="96"/>
        <v>589</v>
      </c>
      <c r="P413">
        <f t="shared" si="97"/>
        <v>295</v>
      </c>
      <c r="Q413">
        <f t="shared" si="98"/>
        <v>294</v>
      </c>
      <c r="R413">
        <f t="shared" si="99"/>
        <v>49.650349650349654</v>
      </c>
      <c r="S413" s="1">
        <f t="shared" si="100"/>
        <v>50.24975024975025</v>
      </c>
      <c r="T413" s="1">
        <f t="shared" si="101"/>
        <v>277</v>
      </c>
      <c r="U413" s="1">
        <f t="shared" si="102"/>
        <v>312</v>
      </c>
      <c r="V413" s="1">
        <f t="shared" si="103"/>
        <v>47.5</v>
      </c>
      <c r="W413" s="1">
        <f t="shared" si="104"/>
        <v>52.5</v>
      </c>
      <c r="X413" s="1">
        <f t="shared" si="105"/>
        <v>15.049235993208828</v>
      </c>
      <c r="Y413" s="1">
        <f t="shared" si="106"/>
        <v>91</v>
      </c>
      <c r="Z413" s="1">
        <f t="shared" si="107"/>
        <v>100</v>
      </c>
      <c r="AA413" s="1">
        <f t="shared" si="108"/>
        <v>3.6626373626373629</v>
      </c>
      <c r="AB413" s="1">
        <f t="shared" si="109"/>
        <v>3.3680000000000003</v>
      </c>
      <c r="AC413" s="1">
        <f t="shared" si="110"/>
        <v>0</v>
      </c>
      <c r="AD413" s="1">
        <f t="shared" si="111"/>
        <v>1.8175582662561394E-2</v>
      </c>
    </row>
    <row r="414" spans="1:30" x14ac:dyDescent="0.35">
      <c r="A414" t="s">
        <v>866</v>
      </c>
      <c r="B414" t="s">
        <v>60</v>
      </c>
      <c r="C414" t="s">
        <v>36</v>
      </c>
      <c r="D414" t="s">
        <v>17</v>
      </c>
      <c r="E414">
        <v>58</v>
      </c>
      <c r="F414" t="s">
        <v>79</v>
      </c>
      <c r="G414" t="s">
        <v>32</v>
      </c>
      <c r="H414" t="s">
        <v>867</v>
      </c>
      <c r="I414">
        <v>5</v>
      </c>
      <c r="J414">
        <v>14</v>
      </c>
      <c r="K414">
        <v>487132</v>
      </c>
      <c r="L414">
        <v>3.1</v>
      </c>
      <c r="M414" t="s">
        <v>21</v>
      </c>
      <c r="N414">
        <v>31</v>
      </c>
      <c r="O414">
        <f t="shared" si="96"/>
        <v>588</v>
      </c>
      <c r="P414">
        <f t="shared" si="97"/>
        <v>294</v>
      </c>
      <c r="Q414">
        <f t="shared" si="98"/>
        <v>294</v>
      </c>
      <c r="R414">
        <f t="shared" si="99"/>
        <v>49.650349650349654</v>
      </c>
      <c r="S414" s="1">
        <f t="shared" si="100"/>
        <v>50.24975024975025</v>
      </c>
      <c r="T414" s="1">
        <f t="shared" si="101"/>
        <v>277</v>
      </c>
      <c r="U414" s="1">
        <f t="shared" si="102"/>
        <v>311</v>
      </c>
      <c r="V414" s="1">
        <f t="shared" si="103"/>
        <v>47.5</v>
      </c>
      <c r="W414" s="1">
        <f t="shared" si="104"/>
        <v>52.5</v>
      </c>
      <c r="X414" s="1">
        <f t="shared" si="105"/>
        <v>15.069727891156463</v>
      </c>
      <c r="Y414" s="1">
        <f t="shared" si="106"/>
        <v>91</v>
      </c>
      <c r="Z414" s="1">
        <f t="shared" si="107"/>
        <v>100</v>
      </c>
      <c r="AA414" s="1">
        <f t="shared" si="108"/>
        <v>3.6626373626373629</v>
      </c>
      <c r="AB414" s="1">
        <f t="shared" si="109"/>
        <v>3.3680000000000003</v>
      </c>
      <c r="AC414" s="1">
        <f t="shared" si="110"/>
        <v>1</v>
      </c>
      <c r="AD414" s="1">
        <f t="shared" si="111"/>
        <v>1.5464962908481412E-2</v>
      </c>
    </row>
    <row r="415" spans="1:30" x14ac:dyDescent="0.35">
      <c r="A415" t="s">
        <v>868</v>
      </c>
      <c r="B415" t="s">
        <v>60</v>
      </c>
      <c r="C415" t="s">
        <v>82</v>
      </c>
      <c r="D415" t="s">
        <v>17</v>
      </c>
      <c r="E415">
        <v>59</v>
      </c>
      <c r="F415" t="s">
        <v>31</v>
      </c>
      <c r="G415" t="s">
        <v>26</v>
      </c>
      <c r="H415" t="s">
        <v>869</v>
      </c>
      <c r="I415">
        <v>16</v>
      </c>
      <c r="J415">
        <v>20</v>
      </c>
      <c r="K415">
        <v>322169</v>
      </c>
      <c r="L415">
        <v>3.6</v>
      </c>
      <c r="M415" t="s">
        <v>21</v>
      </c>
      <c r="N415">
        <v>38</v>
      </c>
      <c r="O415">
        <f t="shared" si="96"/>
        <v>587</v>
      </c>
      <c r="P415">
        <f t="shared" si="97"/>
        <v>293</v>
      </c>
      <c r="Q415">
        <f t="shared" si="98"/>
        <v>294</v>
      </c>
      <c r="R415">
        <f t="shared" si="99"/>
        <v>49.650349650349654</v>
      </c>
      <c r="S415" s="1">
        <f t="shared" si="100"/>
        <v>50.24975024975025</v>
      </c>
      <c r="T415" s="1">
        <f t="shared" si="101"/>
        <v>276</v>
      </c>
      <c r="U415" s="1">
        <f t="shared" si="102"/>
        <v>311</v>
      </c>
      <c r="V415" s="1">
        <f t="shared" si="103"/>
        <v>47.5</v>
      </c>
      <c r="W415" s="1">
        <f t="shared" si="104"/>
        <v>52.5</v>
      </c>
      <c r="X415" s="1">
        <f t="shared" si="105"/>
        <v>15.071550255536627</v>
      </c>
      <c r="Y415" s="1">
        <f t="shared" si="106"/>
        <v>91</v>
      </c>
      <c r="Z415" s="1">
        <f t="shared" si="107"/>
        <v>100</v>
      </c>
      <c r="AA415" s="1">
        <f t="shared" si="108"/>
        <v>3.6626373626373629</v>
      </c>
      <c r="AB415" s="1">
        <f t="shared" si="109"/>
        <v>3.3680000000000003</v>
      </c>
      <c r="AC415" s="1">
        <f t="shared" si="110"/>
        <v>1</v>
      </c>
      <c r="AD415" s="1">
        <f t="shared" si="111"/>
        <v>1.5756975365237173E-2</v>
      </c>
    </row>
    <row r="416" spans="1:30" x14ac:dyDescent="0.35">
      <c r="A416" t="s">
        <v>870</v>
      </c>
      <c r="B416" t="s">
        <v>111</v>
      </c>
      <c r="C416" t="s">
        <v>64</v>
      </c>
      <c r="D416" t="s">
        <v>25</v>
      </c>
      <c r="E416">
        <v>25</v>
      </c>
      <c r="F416" t="s">
        <v>46</v>
      </c>
      <c r="G416" t="s">
        <v>85</v>
      </c>
      <c r="H416" t="s">
        <v>871</v>
      </c>
      <c r="I416">
        <v>13</v>
      </c>
      <c r="J416">
        <v>13</v>
      </c>
      <c r="K416">
        <v>200065</v>
      </c>
      <c r="L416">
        <v>3.9</v>
      </c>
      <c r="M416" t="s">
        <v>21</v>
      </c>
      <c r="N416">
        <v>63</v>
      </c>
      <c r="O416">
        <f t="shared" si="96"/>
        <v>586</v>
      </c>
      <c r="P416">
        <f t="shared" si="97"/>
        <v>292</v>
      </c>
      <c r="Q416">
        <f t="shared" si="98"/>
        <v>294</v>
      </c>
      <c r="R416">
        <f t="shared" si="99"/>
        <v>49.650349650349654</v>
      </c>
      <c r="S416" s="1">
        <f t="shared" si="100"/>
        <v>50.24975024975025</v>
      </c>
      <c r="T416" s="1">
        <f t="shared" si="101"/>
        <v>275</v>
      </c>
      <c r="U416" s="1">
        <f t="shared" si="102"/>
        <v>311</v>
      </c>
      <c r="V416" s="1">
        <f t="shared" si="103"/>
        <v>47.5</v>
      </c>
      <c r="W416" s="1">
        <f t="shared" si="104"/>
        <v>52.5</v>
      </c>
      <c r="X416" s="1">
        <f t="shared" si="105"/>
        <v>15.063139931740615</v>
      </c>
      <c r="Y416" s="1">
        <f t="shared" si="106"/>
        <v>91</v>
      </c>
      <c r="Z416" s="1">
        <f t="shared" si="107"/>
        <v>99</v>
      </c>
      <c r="AA416" s="1">
        <f t="shared" si="108"/>
        <v>3.6626373626373629</v>
      </c>
      <c r="AB416" s="1">
        <f t="shared" si="109"/>
        <v>3.3656565656565656</v>
      </c>
      <c r="AC416" s="1">
        <f t="shared" si="110"/>
        <v>1</v>
      </c>
      <c r="AD416" s="1">
        <f t="shared" si="111"/>
        <v>1.4499201515765154E-2</v>
      </c>
    </row>
    <row r="417" spans="1:30" x14ac:dyDescent="0.35">
      <c r="A417" t="s">
        <v>872</v>
      </c>
      <c r="B417" t="s">
        <v>96</v>
      </c>
      <c r="C417" t="s">
        <v>52</v>
      </c>
      <c r="D417" t="s">
        <v>17</v>
      </c>
      <c r="E417">
        <v>43</v>
      </c>
      <c r="F417" t="s">
        <v>37</v>
      </c>
      <c r="G417" t="s">
        <v>61</v>
      </c>
      <c r="H417" t="s">
        <v>873</v>
      </c>
      <c r="I417">
        <v>20</v>
      </c>
      <c r="J417">
        <v>21</v>
      </c>
      <c r="K417">
        <v>338471</v>
      </c>
      <c r="L417">
        <v>4.4000000000000004</v>
      </c>
      <c r="M417" t="s">
        <v>21</v>
      </c>
      <c r="N417">
        <v>60</v>
      </c>
      <c r="O417">
        <f t="shared" si="96"/>
        <v>585</v>
      </c>
      <c r="P417">
        <f t="shared" si="97"/>
        <v>292</v>
      </c>
      <c r="Q417">
        <f t="shared" si="98"/>
        <v>293</v>
      </c>
      <c r="R417">
        <f t="shared" si="99"/>
        <v>49.650349650349654</v>
      </c>
      <c r="S417" s="1">
        <f t="shared" si="100"/>
        <v>50.24975024975025</v>
      </c>
      <c r="T417" s="1">
        <f t="shared" si="101"/>
        <v>274</v>
      </c>
      <c r="U417" s="1">
        <f t="shared" si="102"/>
        <v>311</v>
      </c>
      <c r="V417" s="1">
        <f t="shared" si="103"/>
        <v>47.5</v>
      </c>
      <c r="W417" s="1">
        <f t="shared" si="104"/>
        <v>52.5</v>
      </c>
      <c r="X417" s="1">
        <f t="shared" si="105"/>
        <v>15.066666666666666</v>
      </c>
      <c r="Y417" s="1">
        <f t="shared" si="106"/>
        <v>91</v>
      </c>
      <c r="Z417" s="1">
        <f t="shared" si="107"/>
        <v>99</v>
      </c>
      <c r="AA417" s="1">
        <f t="shared" si="108"/>
        <v>3.6626373626373629</v>
      </c>
      <c r="AB417" s="1">
        <f t="shared" si="109"/>
        <v>3.3656565656565656</v>
      </c>
      <c r="AC417" s="1">
        <f t="shared" si="110"/>
        <v>1</v>
      </c>
      <c r="AD417" s="1">
        <f t="shared" si="111"/>
        <v>1.5051476334363156E-2</v>
      </c>
    </row>
    <row r="418" spans="1:30" x14ac:dyDescent="0.35">
      <c r="A418" t="s">
        <v>874</v>
      </c>
      <c r="B418" t="s">
        <v>69</v>
      </c>
      <c r="C418" t="s">
        <v>82</v>
      </c>
      <c r="D418" t="s">
        <v>25</v>
      </c>
      <c r="E418">
        <v>52</v>
      </c>
      <c r="F418" t="s">
        <v>79</v>
      </c>
      <c r="G418" t="s">
        <v>41</v>
      </c>
      <c r="H418" t="s">
        <v>875</v>
      </c>
      <c r="I418">
        <v>20</v>
      </c>
      <c r="J418">
        <v>22</v>
      </c>
      <c r="K418">
        <v>477463</v>
      </c>
      <c r="L418">
        <v>2</v>
      </c>
      <c r="M418" t="s">
        <v>43</v>
      </c>
      <c r="N418">
        <v>91</v>
      </c>
      <c r="O418">
        <f t="shared" si="96"/>
        <v>584</v>
      </c>
      <c r="P418">
        <f t="shared" si="97"/>
        <v>291</v>
      </c>
      <c r="Q418">
        <f t="shared" si="98"/>
        <v>293</v>
      </c>
      <c r="R418">
        <f t="shared" si="99"/>
        <v>49.650349650349654</v>
      </c>
      <c r="S418" s="1">
        <f t="shared" si="100"/>
        <v>50.24975024975025</v>
      </c>
      <c r="T418" s="1">
        <f t="shared" si="101"/>
        <v>273</v>
      </c>
      <c r="U418" s="1">
        <f t="shared" si="102"/>
        <v>311</v>
      </c>
      <c r="V418" s="1">
        <f t="shared" si="103"/>
        <v>47.5</v>
      </c>
      <c r="W418" s="1">
        <f t="shared" si="104"/>
        <v>52.5</v>
      </c>
      <c r="X418" s="1">
        <f t="shared" si="105"/>
        <v>15.056506849315069</v>
      </c>
      <c r="Y418" s="1">
        <f t="shared" si="106"/>
        <v>91</v>
      </c>
      <c r="Z418" s="1">
        <f t="shared" si="107"/>
        <v>99</v>
      </c>
      <c r="AA418" s="1">
        <f t="shared" si="108"/>
        <v>3.6626373626373629</v>
      </c>
      <c r="AB418" s="1">
        <f t="shared" si="109"/>
        <v>3.3656565656565656</v>
      </c>
      <c r="AC418" s="1">
        <f t="shared" si="110"/>
        <v>0</v>
      </c>
      <c r="AD418" s="1">
        <f t="shared" si="111"/>
        <v>1.3525506360643643E-2</v>
      </c>
    </row>
    <row r="419" spans="1:30" x14ac:dyDescent="0.35">
      <c r="A419" t="s">
        <v>876</v>
      </c>
      <c r="B419" t="s">
        <v>55</v>
      </c>
      <c r="C419" t="s">
        <v>82</v>
      </c>
      <c r="D419" t="s">
        <v>17</v>
      </c>
      <c r="E419">
        <v>58</v>
      </c>
      <c r="F419" t="s">
        <v>74</v>
      </c>
      <c r="G419" t="s">
        <v>88</v>
      </c>
      <c r="H419" t="s">
        <v>877</v>
      </c>
      <c r="I419">
        <v>6</v>
      </c>
      <c r="J419">
        <v>12</v>
      </c>
      <c r="K419">
        <v>145277</v>
      </c>
      <c r="L419">
        <v>3.9</v>
      </c>
      <c r="M419" t="s">
        <v>21</v>
      </c>
      <c r="N419">
        <v>64</v>
      </c>
      <c r="O419">
        <f t="shared" si="96"/>
        <v>583</v>
      </c>
      <c r="P419">
        <f t="shared" si="97"/>
        <v>291</v>
      </c>
      <c r="Q419">
        <f t="shared" si="98"/>
        <v>292</v>
      </c>
      <c r="R419">
        <f t="shared" si="99"/>
        <v>49.650349650349654</v>
      </c>
      <c r="S419" s="1">
        <f t="shared" si="100"/>
        <v>50.24975024975025</v>
      </c>
      <c r="T419" s="1">
        <f t="shared" si="101"/>
        <v>273</v>
      </c>
      <c r="U419" s="1">
        <f t="shared" si="102"/>
        <v>310</v>
      </c>
      <c r="V419" s="1">
        <f t="shared" si="103"/>
        <v>47.5</v>
      </c>
      <c r="W419" s="1">
        <f t="shared" si="104"/>
        <v>52.5</v>
      </c>
      <c r="X419" s="1">
        <f t="shared" si="105"/>
        <v>15.04459691252144</v>
      </c>
      <c r="Y419" s="1">
        <f t="shared" si="106"/>
        <v>91</v>
      </c>
      <c r="Z419" s="1">
        <f t="shared" si="107"/>
        <v>99</v>
      </c>
      <c r="AA419" s="1">
        <f t="shared" si="108"/>
        <v>3.6626373626373629</v>
      </c>
      <c r="AB419" s="1">
        <f t="shared" si="109"/>
        <v>3.3656565656565656</v>
      </c>
      <c r="AC419" s="1">
        <f t="shared" si="110"/>
        <v>1</v>
      </c>
      <c r="AD419" s="1">
        <f t="shared" si="111"/>
        <v>1.5144593973527106E-2</v>
      </c>
    </row>
    <row r="420" spans="1:30" x14ac:dyDescent="0.35">
      <c r="A420" t="s">
        <v>878</v>
      </c>
      <c r="B420" t="s">
        <v>15</v>
      </c>
      <c r="C420" t="s">
        <v>36</v>
      </c>
      <c r="D420" t="s">
        <v>17</v>
      </c>
      <c r="E420">
        <v>26</v>
      </c>
      <c r="F420" t="s">
        <v>74</v>
      </c>
      <c r="G420" t="s">
        <v>85</v>
      </c>
      <c r="H420" t="s">
        <v>879</v>
      </c>
      <c r="I420">
        <v>8</v>
      </c>
      <c r="J420">
        <v>8</v>
      </c>
      <c r="K420">
        <v>99325</v>
      </c>
      <c r="L420">
        <v>4.5</v>
      </c>
      <c r="M420" t="s">
        <v>43</v>
      </c>
      <c r="N420">
        <v>72</v>
      </c>
      <c r="O420">
        <f t="shared" si="96"/>
        <v>582</v>
      </c>
      <c r="P420">
        <f t="shared" si="97"/>
        <v>290</v>
      </c>
      <c r="Q420">
        <f t="shared" si="98"/>
        <v>292</v>
      </c>
      <c r="R420">
        <f t="shared" si="99"/>
        <v>49.650349650349654</v>
      </c>
      <c r="S420" s="1">
        <f t="shared" si="100"/>
        <v>50.24975024975025</v>
      </c>
      <c r="T420" s="1">
        <f t="shared" si="101"/>
        <v>272</v>
      </c>
      <c r="U420" s="1">
        <f t="shared" si="102"/>
        <v>310</v>
      </c>
      <c r="V420" s="1">
        <f t="shared" si="103"/>
        <v>47.5</v>
      </c>
      <c r="W420" s="1">
        <f t="shared" si="104"/>
        <v>52.5</v>
      </c>
      <c r="X420" s="1">
        <f t="shared" si="105"/>
        <v>15.049828178694158</v>
      </c>
      <c r="Y420" s="1">
        <f t="shared" si="106"/>
        <v>90</v>
      </c>
      <c r="Z420" s="1">
        <f t="shared" si="107"/>
        <v>99</v>
      </c>
      <c r="AA420" s="1">
        <f t="shared" si="108"/>
        <v>3.6600000000000006</v>
      </c>
      <c r="AB420" s="1">
        <f t="shared" si="109"/>
        <v>3.3656565656565656</v>
      </c>
      <c r="AC420" s="1">
        <f t="shared" si="110"/>
        <v>0</v>
      </c>
      <c r="AD420" s="1">
        <f t="shared" si="111"/>
        <v>1.5959515460794427E-2</v>
      </c>
    </row>
    <row r="421" spans="1:30" x14ac:dyDescent="0.35">
      <c r="A421" t="s">
        <v>880</v>
      </c>
      <c r="B421" t="s">
        <v>40</v>
      </c>
      <c r="C421" t="s">
        <v>16</v>
      </c>
      <c r="D421" t="s">
        <v>25</v>
      </c>
      <c r="E421">
        <v>46</v>
      </c>
      <c r="F421" t="s">
        <v>37</v>
      </c>
      <c r="G421" t="s">
        <v>88</v>
      </c>
      <c r="H421" t="s">
        <v>881</v>
      </c>
      <c r="I421">
        <v>8</v>
      </c>
      <c r="J421">
        <v>9</v>
      </c>
      <c r="K421">
        <v>169422</v>
      </c>
      <c r="L421">
        <v>3.8</v>
      </c>
      <c r="M421" t="s">
        <v>43</v>
      </c>
      <c r="N421">
        <v>77</v>
      </c>
      <c r="O421">
        <f t="shared" si="96"/>
        <v>581</v>
      </c>
      <c r="P421">
        <f t="shared" si="97"/>
        <v>289</v>
      </c>
      <c r="Q421">
        <f t="shared" si="98"/>
        <v>292</v>
      </c>
      <c r="R421">
        <f t="shared" si="99"/>
        <v>49.650349650349654</v>
      </c>
      <c r="S421" s="1">
        <f t="shared" si="100"/>
        <v>50.24975024975025</v>
      </c>
      <c r="T421" s="1">
        <f t="shared" si="101"/>
        <v>272</v>
      </c>
      <c r="U421" s="1">
        <f t="shared" si="102"/>
        <v>309</v>
      </c>
      <c r="V421" s="1">
        <f t="shared" si="103"/>
        <v>47.5</v>
      </c>
      <c r="W421" s="1">
        <f t="shared" si="104"/>
        <v>52.5</v>
      </c>
      <c r="X421" s="1">
        <f t="shared" si="105"/>
        <v>15.06196213425129</v>
      </c>
      <c r="Y421" s="1">
        <f t="shared" si="106"/>
        <v>89</v>
      </c>
      <c r="Z421" s="1">
        <f t="shared" si="107"/>
        <v>99</v>
      </c>
      <c r="AA421" s="1">
        <f t="shared" si="108"/>
        <v>3.6505617977528093</v>
      </c>
      <c r="AB421" s="1">
        <f t="shared" si="109"/>
        <v>3.3656565656565656</v>
      </c>
      <c r="AC421" s="1">
        <f t="shared" si="110"/>
        <v>0</v>
      </c>
      <c r="AD421" s="1">
        <f t="shared" si="111"/>
        <v>1.435950811949975E-2</v>
      </c>
    </row>
    <row r="422" spans="1:30" x14ac:dyDescent="0.35">
      <c r="A422" t="s">
        <v>882</v>
      </c>
      <c r="B422" t="s">
        <v>15</v>
      </c>
      <c r="C422" t="s">
        <v>49</v>
      </c>
      <c r="D422" t="s">
        <v>17</v>
      </c>
      <c r="E422">
        <v>35</v>
      </c>
      <c r="F422" t="s">
        <v>46</v>
      </c>
      <c r="G422" t="s">
        <v>71</v>
      </c>
      <c r="H422" t="s">
        <v>883</v>
      </c>
      <c r="I422">
        <v>2</v>
      </c>
      <c r="J422">
        <v>9</v>
      </c>
      <c r="K422">
        <v>213991</v>
      </c>
      <c r="L422">
        <v>4.0999999999999996</v>
      </c>
      <c r="M422" t="s">
        <v>43</v>
      </c>
      <c r="N422">
        <v>71</v>
      </c>
      <c r="O422">
        <f t="shared" si="96"/>
        <v>580</v>
      </c>
      <c r="P422">
        <f t="shared" si="97"/>
        <v>289</v>
      </c>
      <c r="Q422">
        <f t="shared" si="98"/>
        <v>291</v>
      </c>
      <c r="R422">
        <f t="shared" si="99"/>
        <v>49.650349650349654</v>
      </c>
      <c r="S422" s="1">
        <f t="shared" si="100"/>
        <v>50.24975024975025</v>
      </c>
      <c r="T422" s="1">
        <f t="shared" si="101"/>
        <v>272</v>
      </c>
      <c r="U422" s="1">
        <f t="shared" si="102"/>
        <v>308</v>
      </c>
      <c r="V422" s="1">
        <f t="shared" si="103"/>
        <v>47.5</v>
      </c>
      <c r="W422" s="1">
        <f t="shared" si="104"/>
        <v>52.5</v>
      </c>
      <c r="X422" s="1">
        <f t="shared" si="105"/>
        <v>15.072413793103449</v>
      </c>
      <c r="Y422" s="1">
        <f t="shared" si="106"/>
        <v>89</v>
      </c>
      <c r="Z422" s="1">
        <f t="shared" si="107"/>
        <v>99</v>
      </c>
      <c r="AA422" s="1">
        <f t="shared" si="108"/>
        <v>3.6505617977528093</v>
      </c>
      <c r="AB422" s="1">
        <f t="shared" si="109"/>
        <v>3.3656565656565656</v>
      </c>
      <c r="AC422" s="1">
        <f t="shared" si="110"/>
        <v>0</v>
      </c>
      <c r="AD422" s="1">
        <f t="shared" si="111"/>
        <v>1.2977154890728987E-2</v>
      </c>
    </row>
    <row r="423" spans="1:30" x14ac:dyDescent="0.35">
      <c r="A423" t="s">
        <v>884</v>
      </c>
      <c r="B423" t="s">
        <v>60</v>
      </c>
      <c r="C423" t="s">
        <v>49</v>
      </c>
      <c r="D423" t="s">
        <v>17</v>
      </c>
      <c r="E423">
        <v>34</v>
      </c>
      <c r="F423" t="s">
        <v>70</v>
      </c>
      <c r="G423" t="s">
        <v>32</v>
      </c>
      <c r="H423" t="s">
        <v>885</v>
      </c>
      <c r="I423">
        <v>9</v>
      </c>
      <c r="J423">
        <v>19</v>
      </c>
      <c r="K423">
        <v>396030</v>
      </c>
      <c r="L423">
        <v>2.2000000000000002</v>
      </c>
      <c r="M423" t="s">
        <v>21</v>
      </c>
      <c r="N423">
        <v>31</v>
      </c>
      <c r="O423">
        <f t="shared" si="96"/>
        <v>579</v>
      </c>
      <c r="P423">
        <f t="shared" si="97"/>
        <v>288</v>
      </c>
      <c r="Q423">
        <f t="shared" si="98"/>
        <v>291</v>
      </c>
      <c r="R423">
        <f t="shared" si="99"/>
        <v>49.650349650349654</v>
      </c>
      <c r="S423" s="1">
        <f t="shared" si="100"/>
        <v>50.24975024975025</v>
      </c>
      <c r="T423" s="1">
        <f t="shared" si="101"/>
        <v>272</v>
      </c>
      <c r="U423" s="1">
        <f t="shared" si="102"/>
        <v>307</v>
      </c>
      <c r="V423" s="1">
        <f t="shared" si="103"/>
        <v>47.5</v>
      </c>
      <c r="W423" s="1">
        <f t="shared" si="104"/>
        <v>52.5</v>
      </c>
      <c r="X423" s="1">
        <f t="shared" si="105"/>
        <v>15.082901554404145</v>
      </c>
      <c r="Y423" s="1">
        <f t="shared" si="106"/>
        <v>89</v>
      </c>
      <c r="Z423" s="1">
        <f t="shared" si="107"/>
        <v>99</v>
      </c>
      <c r="AA423" s="1">
        <f t="shared" si="108"/>
        <v>3.6505617977528093</v>
      </c>
      <c r="AB423" s="1">
        <f t="shared" si="109"/>
        <v>3.3656565656565656</v>
      </c>
      <c r="AC423" s="1">
        <f t="shared" si="110"/>
        <v>1</v>
      </c>
      <c r="AD423" s="1">
        <f t="shared" si="111"/>
        <v>1.1586110947073906E-2</v>
      </c>
    </row>
    <row r="424" spans="1:30" x14ac:dyDescent="0.35">
      <c r="A424" t="s">
        <v>886</v>
      </c>
      <c r="B424" t="s">
        <v>78</v>
      </c>
      <c r="C424" t="s">
        <v>64</v>
      </c>
      <c r="D424" t="s">
        <v>25</v>
      </c>
      <c r="E424">
        <v>37</v>
      </c>
      <c r="F424" t="s">
        <v>46</v>
      </c>
      <c r="G424" t="s">
        <v>85</v>
      </c>
      <c r="H424" t="s">
        <v>887</v>
      </c>
      <c r="I424">
        <v>13</v>
      </c>
      <c r="J424">
        <v>19</v>
      </c>
      <c r="K424">
        <v>330783</v>
      </c>
      <c r="L424">
        <v>2.5</v>
      </c>
      <c r="M424" t="s">
        <v>21</v>
      </c>
      <c r="N424">
        <v>65</v>
      </c>
      <c r="O424">
        <f t="shared" si="96"/>
        <v>578</v>
      </c>
      <c r="P424">
        <f t="shared" si="97"/>
        <v>287</v>
      </c>
      <c r="Q424">
        <f t="shared" si="98"/>
        <v>291</v>
      </c>
      <c r="R424">
        <f t="shared" si="99"/>
        <v>49.650349650349654</v>
      </c>
      <c r="S424" s="1">
        <f t="shared" si="100"/>
        <v>50.24975024975025</v>
      </c>
      <c r="T424" s="1">
        <f t="shared" si="101"/>
        <v>271</v>
      </c>
      <c r="U424" s="1">
        <f t="shared" si="102"/>
        <v>307</v>
      </c>
      <c r="V424" s="1">
        <f t="shared" si="103"/>
        <v>47.5</v>
      </c>
      <c r="W424" s="1">
        <f t="shared" si="104"/>
        <v>52.5</v>
      </c>
      <c r="X424" s="1">
        <f t="shared" si="105"/>
        <v>15.076124567474048</v>
      </c>
      <c r="Y424" s="1">
        <f t="shared" si="106"/>
        <v>89</v>
      </c>
      <c r="Z424" s="1">
        <f t="shared" si="107"/>
        <v>99</v>
      </c>
      <c r="AA424" s="1">
        <f t="shared" si="108"/>
        <v>3.6505617977528093</v>
      </c>
      <c r="AB424" s="1">
        <f t="shared" si="109"/>
        <v>3.3656565656565656</v>
      </c>
      <c r="AC424" s="1">
        <f t="shared" si="110"/>
        <v>1</v>
      </c>
      <c r="AD424" s="1">
        <f t="shared" si="111"/>
        <v>1.0571384246494172E-2</v>
      </c>
    </row>
    <row r="425" spans="1:30" x14ac:dyDescent="0.35">
      <c r="A425" t="s">
        <v>888</v>
      </c>
      <c r="B425" t="s">
        <v>15</v>
      </c>
      <c r="C425" t="s">
        <v>64</v>
      </c>
      <c r="D425" t="s">
        <v>25</v>
      </c>
      <c r="E425">
        <v>33</v>
      </c>
      <c r="F425" t="s">
        <v>31</v>
      </c>
      <c r="G425" t="s">
        <v>19</v>
      </c>
      <c r="H425" t="s">
        <v>889</v>
      </c>
      <c r="I425">
        <v>12</v>
      </c>
      <c r="J425">
        <v>21</v>
      </c>
      <c r="K425">
        <v>280337</v>
      </c>
      <c r="L425">
        <v>4.9000000000000004</v>
      </c>
      <c r="M425" t="s">
        <v>21</v>
      </c>
      <c r="N425">
        <v>56</v>
      </c>
      <c r="O425">
        <f t="shared" si="96"/>
        <v>577</v>
      </c>
      <c r="P425">
        <f t="shared" si="97"/>
        <v>287</v>
      </c>
      <c r="Q425">
        <f t="shared" si="98"/>
        <v>290</v>
      </c>
      <c r="R425">
        <f t="shared" si="99"/>
        <v>49.650349650349654</v>
      </c>
      <c r="S425" s="1">
        <f t="shared" si="100"/>
        <v>50.24975024975025</v>
      </c>
      <c r="T425" s="1">
        <f t="shared" si="101"/>
        <v>270</v>
      </c>
      <c r="U425" s="1">
        <f t="shared" si="102"/>
        <v>307</v>
      </c>
      <c r="V425" s="1">
        <f t="shared" si="103"/>
        <v>47.5</v>
      </c>
      <c r="W425" s="1">
        <f t="shared" si="104"/>
        <v>52.5</v>
      </c>
      <c r="X425" s="1">
        <f t="shared" si="105"/>
        <v>15.069324090121317</v>
      </c>
      <c r="Y425" s="1">
        <f t="shared" si="106"/>
        <v>89</v>
      </c>
      <c r="Z425" s="1">
        <f t="shared" si="107"/>
        <v>99</v>
      </c>
      <c r="AA425" s="1">
        <f t="shared" si="108"/>
        <v>3.6505617977528093</v>
      </c>
      <c r="AB425" s="1">
        <f t="shared" si="109"/>
        <v>3.3656565656565656</v>
      </c>
      <c r="AC425" s="1">
        <f t="shared" si="110"/>
        <v>1</v>
      </c>
      <c r="AD425" s="1">
        <f t="shared" si="111"/>
        <v>9.5505945113590531E-3</v>
      </c>
    </row>
    <row r="426" spans="1:30" x14ac:dyDescent="0.35">
      <c r="A426" t="s">
        <v>890</v>
      </c>
      <c r="B426" t="s">
        <v>15</v>
      </c>
      <c r="C426" t="s">
        <v>30</v>
      </c>
      <c r="D426" t="s">
        <v>25</v>
      </c>
      <c r="E426">
        <v>56</v>
      </c>
      <c r="F426" t="s">
        <v>70</v>
      </c>
      <c r="G426" t="s">
        <v>41</v>
      </c>
      <c r="H426" t="s">
        <v>891</v>
      </c>
      <c r="I426">
        <v>0</v>
      </c>
      <c r="J426">
        <v>10</v>
      </c>
      <c r="K426">
        <v>482314</v>
      </c>
      <c r="L426">
        <v>2.4</v>
      </c>
      <c r="M426" t="s">
        <v>21</v>
      </c>
      <c r="N426">
        <v>55</v>
      </c>
      <c r="O426">
        <f t="shared" si="96"/>
        <v>576</v>
      </c>
      <c r="P426">
        <f t="shared" si="97"/>
        <v>287</v>
      </c>
      <c r="Q426">
        <f t="shared" si="98"/>
        <v>289</v>
      </c>
      <c r="R426">
        <f t="shared" si="99"/>
        <v>49.650349650349654</v>
      </c>
      <c r="S426" s="1">
        <f t="shared" si="100"/>
        <v>50.24975024975025</v>
      </c>
      <c r="T426" s="1">
        <f t="shared" si="101"/>
        <v>269</v>
      </c>
      <c r="U426" s="1">
        <f t="shared" si="102"/>
        <v>307</v>
      </c>
      <c r="V426" s="1">
        <f t="shared" si="103"/>
        <v>47.5</v>
      </c>
      <c r="W426" s="1">
        <f t="shared" si="104"/>
        <v>52.5</v>
      </c>
      <c r="X426" s="1">
        <f t="shared" si="105"/>
        <v>15.059027777777779</v>
      </c>
      <c r="Y426" s="1">
        <f t="shared" si="106"/>
        <v>89</v>
      </c>
      <c r="Z426" s="1">
        <f t="shared" si="107"/>
        <v>98</v>
      </c>
      <c r="AA426" s="1">
        <f t="shared" si="108"/>
        <v>3.6505617977528093</v>
      </c>
      <c r="AB426" s="1">
        <f t="shared" si="109"/>
        <v>3.35</v>
      </c>
      <c r="AC426" s="1">
        <f t="shared" si="110"/>
        <v>1</v>
      </c>
      <c r="AD426" s="1">
        <f t="shared" si="111"/>
        <v>7.9978313167029125E-3</v>
      </c>
    </row>
    <row r="427" spans="1:30" x14ac:dyDescent="0.35">
      <c r="A427" t="s">
        <v>892</v>
      </c>
      <c r="B427" t="s">
        <v>55</v>
      </c>
      <c r="C427" t="s">
        <v>93</v>
      </c>
      <c r="D427" t="s">
        <v>17</v>
      </c>
      <c r="E427">
        <v>23</v>
      </c>
      <c r="F427" t="s">
        <v>37</v>
      </c>
      <c r="G427" t="s">
        <v>19</v>
      </c>
      <c r="H427" t="s">
        <v>893</v>
      </c>
      <c r="I427">
        <v>17</v>
      </c>
      <c r="J427">
        <v>26</v>
      </c>
      <c r="K427">
        <v>288405</v>
      </c>
      <c r="L427">
        <v>2.1</v>
      </c>
      <c r="M427" t="s">
        <v>43</v>
      </c>
      <c r="N427">
        <v>96</v>
      </c>
      <c r="O427">
        <f t="shared" si="96"/>
        <v>575</v>
      </c>
      <c r="P427">
        <f t="shared" si="97"/>
        <v>287</v>
      </c>
      <c r="Q427">
        <f t="shared" si="98"/>
        <v>288</v>
      </c>
      <c r="R427">
        <f t="shared" si="99"/>
        <v>49.650349650349654</v>
      </c>
      <c r="S427" s="1">
        <f t="shared" si="100"/>
        <v>50.24975024975025</v>
      </c>
      <c r="T427" s="1">
        <f t="shared" si="101"/>
        <v>268</v>
      </c>
      <c r="U427" s="1">
        <f t="shared" si="102"/>
        <v>307</v>
      </c>
      <c r="V427" s="1">
        <f t="shared" si="103"/>
        <v>47.5</v>
      </c>
      <c r="W427" s="1">
        <f t="shared" si="104"/>
        <v>52.5</v>
      </c>
      <c r="X427" s="1">
        <f t="shared" si="105"/>
        <v>15.067826086956522</v>
      </c>
      <c r="Y427" s="1">
        <f t="shared" si="106"/>
        <v>89</v>
      </c>
      <c r="Z427" s="1">
        <f t="shared" si="107"/>
        <v>98</v>
      </c>
      <c r="AA427" s="1">
        <f t="shared" si="108"/>
        <v>3.6505617977528093</v>
      </c>
      <c r="AB427" s="1">
        <f t="shared" si="109"/>
        <v>3.35</v>
      </c>
      <c r="AC427" s="1">
        <f t="shared" si="110"/>
        <v>0</v>
      </c>
      <c r="AD427" s="1">
        <f t="shared" si="111"/>
        <v>9.3513393333156617E-3</v>
      </c>
    </row>
    <row r="428" spans="1:30" x14ac:dyDescent="0.35">
      <c r="A428" t="s">
        <v>894</v>
      </c>
      <c r="B428" t="s">
        <v>78</v>
      </c>
      <c r="C428" t="s">
        <v>82</v>
      </c>
      <c r="D428" t="s">
        <v>25</v>
      </c>
      <c r="E428">
        <v>50</v>
      </c>
      <c r="F428" t="s">
        <v>46</v>
      </c>
      <c r="G428" t="s">
        <v>19</v>
      </c>
      <c r="H428" t="s">
        <v>895</v>
      </c>
      <c r="I428">
        <v>5</v>
      </c>
      <c r="J428">
        <v>7</v>
      </c>
      <c r="K428">
        <v>281759</v>
      </c>
      <c r="L428">
        <v>2</v>
      </c>
      <c r="M428" t="s">
        <v>21</v>
      </c>
      <c r="N428">
        <v>40</v>
      </c>
      <c r="O428">
        <f t="shared" si="96"/>
        <v>574</v>
      </c>
      <c r="P428">
        <f t="shared" si="97"/>
        <v>286</v>
      </c>
      <c r="Q428">
        <f t="shared" si="98"/>
        <v>288</v>
      </c>
      <c r="R428">
        <f t="shared" si="99"/>
        <v>49.650349650349654</v>
      </c>
      <c r="S428" s="1">
        <f t="shared" si="100"/>
        <v>50.24975024975025</v>
      </c>
      <c r="T428" s="1">
        <f t="shared" si="101"/>
        <v>268</v>
      </c>
      <c r="U428" s="1">
        <f t="shared" si="102"/>
        <v>306</v>
      </c>
      <c r="V428" s="1">
        <f t="shared" si="103"/>
        <v>47.5</v>
      </c>
      <c r="W428" s="1">
        <f t="shared" si="104"/>
        <v>52.5</v>
      </c>
      <c r="X428" s="1">
        <f t="shared" si="105"/>
        <v>15.048780487804878</v>
      </c>
      <c r="Y428" s="1">
        <f t="shared" si="106"/>
        <v>89</v>
      </c>
      <c r="Z428" s="1">
        <f t="shared" si="107"/>
        <v>98</v>
      </c>
      <c r="AA428" s="1">
        <f t="shared" si="108"/>
        <v>3.6505617977528093</v>
      </c>
      <c r="AB428" s="1">
        <f t="shared" si="109"/>
        <v>3.35</v>
      </c>
      <c r="AC428" s="1">
        <f t="shared" si="110"/>
        <v>1</v>
      </c>
      <c r="AD428" s="1">
        <f t="shared" si="111"/>
        <v>1.1921468479164298E-2</v>
      </c>
    </row>
    <row r="429" spans="1:30" x14ac:dyDescent="0.35">
      <c r="A429" t="s">
        <v>896</v>
      </c>
      <c r="B429" t="s">
        <v>111</v>
      </c>
      <c r="C429" t="s">
        <v>56</v>
      </c>
      <c r="D429" t="s">
        <v>25</v>
      </c>
      <c r="E429">
        <v>33</v>
      </c>
      <c r="F429" t="s">
        <v>31</v>
      </c>
      <c r="G429" t="s">
        <v>88</v>
      </c>
      <c r="H429" t="s">
        <v>897</v>
      </c>
      <c r="I429">
        <v>6</v>
      </c>
      <c r="J429">
        <v>6</v>
      </c>
      <c r="K429">
        <v>52014</v>
      </c>
      <c r="L429">
        <v>3.4</v>
      </c>
      <c r="M429" t="s">
        <v>21</v>
      </c>
      <c r="N429">
        <v>59</v>
      </c>
      <c r="O429">
        <f t="shared" si="96"/>
        <v>573</v>
      </c>
      <c r="P429">
        <f t="shared" si="97"/>
        <v>286</v>
      </c>
      <c r="Q429">
        <f t="shared" si="98"/>
        <v>287</v>
      </c>
      <c r="R429">
        <f t="shared" si="99"/>
        <v>49.650349650349654</v>
      </c>
      <c r="S429" s="1">
        <f t="shared" si="100"/>
        <v>50.24975024975025</v>
      </c>
      <c r="T429" s="1">
        <f t="shared" si="101"/>
        <v>267</v>
      </c>
      <c r="U429" s="1">
        <f t="shared" si="102"/>
        <v>306</v>
      </c>
      <c r="V429" s="1">
        <f t="shared" si="103"/>
        <v>47.5</v>
      </c>
      <c r="W429" s="1">
        <f t="shared" si="104"/>
        <v>52.5</v>
      </c>
      <c r="X429" s="1">
        <f t="shared" si="105"/>
        <v>15.06282722513089</v>
      </c>
      <c r="Y429" s="1">
        <f t="shared" si="106"/>
        <v>89</v>
      </c>
      <c r="Z429" s="1">
        <f t="shared" si="107"/>
        <v>98</v>
      </c>
      <c r="AA429" s="1">
        <f t="shared" si="108"/>
        <v>3.6505617977528093</v>
      </c>
      <c r="AB429" s="1">
        <f t="shared" si="109"/>
        <v>3.35</v>
      </c>
      <c r="AC429" s="1">
        <f t="shared" si="110"/>
        <v>1</v>
      </c>
      <c r="AD429" s="1">
        <f t="shared" si="111"/>
        <v>1.4093345095004598E-2</v>
      </c>
    </row>
    <row r="430" spans="1:30" x14ac:dyDescent="0.35">
      <c r="A430" t="s">
        <v>898</v>
      </c>
      <c r="B430" t="s">
        <v>78</v>
      </c>
      <c r="C430" t="s">
        <v>49</v>
      </c>
      <c r="D430" t="s">
        <v>25</v>
      </c>
      <c r="E430">
        <v>30</v>
      </c>
      <c r="F430" t="s">
        <v>79</v>
      </c>
      <c r="G430" t="s">
        <v>75</v>
      </c>
      <c r="H430" t="s">
        <v>899</v>
      </c>
      <c r="I430">
        <v>9</v>
      </c>
      <c r="J430">
        <v>10</v>
      </c>
      <c r="K430">
        <v>320843</v>
      </c>
      <c r="L430">
        <v>3.8</v>
      </c>
      <c r="M430" t="s">
        <v>21</v>
      </c>
      <c r="N430">
        <v>43</v>
      </c>
      <c r="O430">
        <f t="shared" si="96"/>
        <v>572</v>
      </c>
      <c r="P430">
        <f t="shared" si="97"/>
        <v>286</v>
      </c>
      <c r="Q430">
        <f t="shared" si="98"/>
        <v>286</v>
      </c>
      <c r="R430">
        <f t="shared" si="99"/>
        <v>49.650349650349654</v>
      </c>
      <c r="S430" s="1">
        <f t="shared" si="100"/>
        <v>50.24975024975025</v>
      </c>
      <c r="T430" s="1">
        <f t="shared" si="101"/>
        <v>266</v>
      </c>
      <c r="U430" s="1">
        <f t="shared" si="102"/>
        <v>306</v>
      </c>
      <c r="V430" s="1">
        <f t="shared" si="103"/>
        <v>47.5</v>
      </c>
      <c r="W430" s="1">
        <f t="shared" si="104"/>
        <v>52.5</v>
      </c>
      <c r="X430" s="1">
        <f t="shared" si="105"/>
        <v>15.078671328671328</v>
      </c>
      <c r="Y430" s="1">
        <f t="shared" si="106"/>
        <v>89</v>
      </c>
      <c r="Z430" s="1">
        <f t="shared" si="107"/>
        <v>97</v>
      </c>
      <c r="AA430" s="1">
        <f t="shared" si="108"/>
        <v>3.6505617977528093</v>
      </c>
      <c r="AB430" s="1">
        <f t="shared" si="109"/>
        <v>3.3494845360824748</v>
      </c>
      <c r="AC430" s="1">
        <f t="shared" si="110"/>
        <v>1</v>
      </c>
      <c r="AD430" s="1">
        <f t="shared" si="111"/>
        <v>1.6554989442979087E-2</v>
      </c>
    </row>
    <row r="431" spans="1:30" x14ac:dyDescent="0.35">
      <c r="A431" t="s">
        <v>900</v>
      </c>
      <c r="B431" t="s">
        <v>40</v>
      </c>
      <c r="C431" t="s">
        <v>82</v>
      </c>
      <c r="D431" t="s">
        <v>25</v>
      </c>
      <c r="E431">
        <v>41</v>
      </c>
      <c r="F431" t="s">
        <v>46</v>
      </c>
      <c r="G431" t="s">
        <v>57</v>
      </c>
      <c r="H431" t="s">
        <v>901</v>
      </c>
      <c r="I431">
        <v>11</v>
      </c>
      <c r="J431">
        <v>12</v>
      </c>
      <c r="K431">
        <v>167377</v>
      </c>
      <c r="L431">
        <v>4.2</v>
      </c>
      <c r="M431" t="s">
        <v>21</v>
      </c>
      <c r="N431">
        <v>44</v>
      </c>
      <c r="O431">
        <f t="shared" si="96"/>
        <v>571</v>
      </c>
      <c r="P431">
        <f t="shared" si="97"/>
        <v>286</v>
      </c>
      <c r="Q431">
        <f t="shared" si="98"/>
        <v>285</v>
      </c>
      <c r="R431">
        <f t="shared" si="99"/>
        <v>49.650349650349654</v>
      </c>
      <c r="S431" s="1">
        <f t="shared" si="100"/>
        <v>50.24975024975025</v>
      </c>
      <c r="T431" s="1">
        <f t="shared" si="101"/>
        <v>265</v>
      </c>
      <c r="U431" s="1">
        <f t="shared" si="102"/>
        <v>306</v>
      </c>
      <c r="V431" s="1">
        <f t="shared" si="103"/>
        <v>47.5</v>
      </c>
      <c r="W431" s="1">
        <f t="shared" si="104"/>
        <v>52.5</v>
      </c>
      <c r="X431" s="1">
        <f t="shared" si="105"/>
        <v>15.087565674255691</v>
      </c>
      <c r="Y431" s="1">
        <f t="shared" si="106"/>
        <v>89</v>
      </c>
      <c r="Z431" s="1">
        <f t="shared" si="107"/>
        <v>97</v>
      </c>
      <c r="AA431" s="1">
        <f t="shared" si="108"/>
        <v>3.6505617977528093</v>
      </c>
      <c r="AB431" s="1">
        <f t="shared" si="109"/>
        <v>3.3494845360824748</v>
      </c>
      <c r="AC431" s="1">
        <f t="shared" si="110"/>
        <v>1</v>
      </c>
      <c r="AD431" s="1">
        <f t="shared" si="111"/>
        <v>1.7943671354192097E-2</v>
      </c>
    </row>
    <row r="432" spans="1:30" x14ac:dyDescent="0.35">
      <c r="A432" t="s">
        <v>902</v>
      </c>
      <c r="B432" t="s">
        <v>15</v>
      </c>
      <c r="C432" t="s">
        <v>24</v>
      </c>
      <c r="D432" t="s">
        <v>25</v>
      </c>
      <c r="E432">
        <v>36</v>
      </c>
      <c r="F432" t="s">
        <v>31</v>
      </c>
      <c r="G432" t="s">
        <v>88</v>
      </c>
      <c r="H432" t="s">
        <v>903</v>
      </c>
      <c r="I432">
        <v>7</v>
      </c>
      <c r="J432">
        <v>12</v>
      </c>
      <c r="K432">
        <v>401688</v>
      </c>
      <c r="L432">
        <v>4.2</v>
      </c>
      <c r="M432" t="s">
        <v>43</v>
      </c>
      <c r="N432">
        <v>74</v>
      </c>
      <c r="O432">
        <f t="shared" si="96"/>
        <v>570</v>
      </c>
      <c r="P432">
        <f t="shared" si="97"/>
        <v>286</v>
      </c>
      <c r="Q432">
        <f t="shared" si="98"/>
        <v>284</v>
      </c>
      <c r="R432">
        <f t="shared" si="99"/>
        <v>49.650349650349654</v>
      </c>
      <c r="S432" s="1">
        <f t="shared" si="100"/>
        <v>50.24975024975025</v>
      </c>
      <c r="T432" s="1">
        <f t="shared" si="101"/>
        <v>264</v>
      </c>
      <c r="U432" s="1">
        <f t="shared" si="102"/>
        <v>306</v>
      </c>
      <c r="V432" s="1">
        <f t="shared" si="103"/>
        <v>47.5</v>
      </c>
      <c r="W432" s="1">
        <f t="shared" si="104"/>
        <v>52.5</v>
      </c>
      <c r="X432" s="1">
        <f t="shared" si="105"/>
        <v>15.092982456140351</v>
      </c>
      <c r="Y432" s="1">
        <f t="shared" si="106"/>
        <v>89</v>
      </c>
      <c r="Z432" s="1">
        <f t="shared" si="107"/>
        <v>97</v>
      </c>
      <c r="AA432" s="1">
        <f t="shared" si="108"/>
        <v>3.6505617977528093</v>
      </c>
      <c r="AB432" s="1">
        <f t="shared" si="109"/>
        <v>3.3494845360824748</v>
      </c>
      <c r="AC432" s="1">
        <f t="shared" si="110"/>
        <v>0</v>
      </c>
      <c r="AD432" s="1">
        <f t="shared" si="111"/>
        <v>1.8796823920696169E-2</v>
      </c>
    </row>
    <row r="433" spans="1:30" x14ac:dyDescent="0.35">
      <c r="A433" t="s">
        <v>904</v>
      </c>
      <c r="B433" t="s">
        <v>45</v>
      </c>
      <c r="C433" t="s">
        <v>30</v>
      </c>
      <c r="D433" t="s">
        <v>17</v>
      </c>
      <c r="E433">
        <v>26</v>
      </c>
      <c r="F433" t="s">
        <v>74</v>
      </c>
      <c r="G433" t="s">
        <v>32</v>
      </c>
      <c r="H433" t="s">
        <v>905</v>
      </c>
      <c r="I433">
        <v>6</v>
      </c>
      <c r="J433">
        <v>8</v>
      </c>
      <c r="K433">
        <v>197673</v>
      </c>
      <c r="L433">
        <v>3.9</v>
      </c>
      <c r="M433" t="s">
        <v>21</v>
      </c>
      <c r="N433">
        <v>65</v>
      </c>
      <c r="O433">
        <f t="shared" si="96"/>
        <v>569</v>
      </c>
      <c r="P433">
        <f t="shared" si="97"/>
        <v>286</v>
      </c>
      <c r="Q433">
        <f t="shared" si="98"/>
        <v>283</v>
      </c>
      <c r="R433">
        <f t="shared" si="99"/>
        <v>49.650349650349654</v>
      </c>
      <c r="S433" s="1">
        <f t="shared" si="100"/>
        <v>50.24975024975025</v>
      </c>
      <c r="T433" s="1">
        <f t="shared" si="101"/>
        <v>264</v>
      </c>
      <c r="U433" s="1">
        <f t="shared" si="102"/>
        <v>305</v>
      </c>
      <c r="V433" s="1">
        <f t="shared" si="103"/>
        <v>47.5</v>
      </c>
      <c r="W433" s="1">
        <f t="shared" si="104"/>
        <v>52.5</v>
      </c>
      <c r="X433" s="1">
        <f t="shared" si="105"/>
        <v>15.098418277680141</v>
      </c>
      <c r="Y433" s="1">
        <f t="shared" si="106"/>
        <v>89</v>
      </c>
      <c r="Z433" s="1">
        <f t="shared" si="107"/>
        <v>96</v>
      </c>
      <c r="AA433" s="1">
        <f t="shared" si="108"/>
        <v>3.6505617977528093</v>
      </c>
      <c r="AB433" s="1">
        <f t="shared" si="109"/>
        <v>3.3406249999999997</v>
      </c>
      <c r="AC433" s="1">
        <f t="shared" si="110"/>
        <v>1</v>
      </c>
      <c r="AD433" s="1">
        <f t="shared" si="111"/>
        <v>1.8093409029377235E-2</v>
      </c>
    </row>
    <row r="434" spans="1:30" x14ac:dyDescent="0.35">
      <c r="A434" t="s">
        <v>906</v>
      </c>
      <c r="B434" t="s">
        <v>60</v>
      </c>
      <c r="C434" t="s">
        <v>30</v>
      </c>
      <c r="D434" t="s">
        <v>17</v>
      </c>
      <c r="E434">
        <v>24</v>
      </c>
      <c r="F434" t="s">
        <v>18</v>
      </c>
      <c r="G434" t="s">
        <v>88</v>
      </c>
      <c r="H434" t="s">
        <v>907</v>
      </c>
      <c r="I434">
        <v>20</v>
      </c>
      <c r="J434">
        <v>21</v>
      </c>
      <c r="K434">
        <v>69990</v>
      </c>
      <c r="L434">
        <v>3.7</v>
      </c>
      <c r="M434" t="s">
        <v>43</v>
      </c>
      <c r="N434">
        <v>100</v>
      </c>
      <c r="O434">
        <f t="shared" si="96"/>
        <v>568</v>
      </c>
      <c r="P434">
        <f t="shared" si="97"/>
        <v>285</v>
      </c>
      <c r="Q434">
        <f t="shared" si="98"/>
        <v>283</v>
      </c>
      <c r="R434">
        <f t="shared" si="99"/>
        <v>49.650349650349654</v>
      </c>
      <c r="S434" s="1">
        <f t="shared" si="100"/>
        <v>50.24975024975025</v>
      </c>
      <c r="T434" s="1">
        <f t="shared" si="101"/>
        <v>263</v>
      </c>
      <c r="U434" s="1">
        <f t="shared" si="102"/>
        <v>305</v>
      </c>
      <c r="V434" s="1">
        <f t="shared" si="103"/>
        <v>47.5</v>
      </c>
      <c r="W434" s="1">
        <f t="shared" si="104"/>
        <v>52.5</v>
      </c>
      <c r="X434" s="1">
        <f t="shared" si="105"/>
        <v>15.110915492957746</v>
      </c>
      <c r="Y434" s="1">
        <f t="shared" si="106"/>
        <v>88</v>
      </c>
      <c r="Z434" s="1">
        <f t="shared" si="107"/>
        <v>96</v>
      </c>
      <c r="AA434" s="1">
        <f t="shared" si="108"/>
        <v>3.6477272727272734</v>
      </c>
      <c r="AB434" s="1">
        <f t="shared" si="109"/>
        <v>3.3406249999999997</v>
      </c>
      <c r="AC434" s="1">
        <f t="shared" si="110"/>
        <v>0</v>
      </c>
      <c r="AD434" s="1">
        <f t="shared" si="111"/>
        <v>2.0046644747097053E-2</v>
      </c>
    </row>
    <row r="435" spans="1:30" x14ac:dyDescent="0.35">
      <c r="A435" t="s">
        <v>908</v>
      </c>
      <c r="B435" t="s">
        <v>23</v>
      </c>
      <c r="C435" t="s">
        <v>49</v>
      </c>
      <c r="D435" t="s">
        <v>25</v>
      </c>
      <c r="E435">
        <v>60</v>
      </c>
      <c r="F435" t="s">
        <v>46</v>
      </c>
      <c r="G435" t="s">
        <v>41</v>
      </c>
      <c r="H435" t="s">
        <v>909</v>
      </c>
      <c r="I435">
        <v>6</v>
      </c>
      <c r="J435">
        <v>14</v>
      </c>
      <c r="K435">
        <v>425478</v>
      </c>
      <c r="L435">
        <v>4.5</v>
      </c>
      <c r="M435" t="s">
        <v>43</v>
      </c>
      <c r="N435">
        <v>92</v>
      </c>
      <c r="O435">
        <f t="shared" si="96"/>
        <v>567</v>
      </c>
      <c r="P435">
        <f t="shared" si="97"/>
        <v>284</v>
      </c>
      <c r="Q435">
        <f t="shared" si="98"/>
        <v>283</v>
      </c>
      <c r="R435">
        <f t="shared" si="99"/>
        <v>49.650349650349654</v>
      </c>
      <c r="S435" s="1">
        <f t="shared" si="100"/>
        <v>50.24975024975025</v>
      </c>
      <c r="T435" s="1">
        <f t="shared" si="101"/>
        <v>263</v>
      </c>
      <c r="U435" s="1">
        <f t="shared" si="102"/>
        <v>304</v>
      </c>
      <c r="V435" s="1">
        <f t="shared" si="103"/>
        <v>47.5</v>
      </c>
      <c r="W435" s="1">
        <f t="shared" si="104"/>
        <v>52.5</v>
      </c>
      <c r="X435" s="1">
        <f t="shared" si="105"/>
        <v>15.100529100529101</v>
      </c>
      <c r="Y435" s="1">
        <f t="shared" si="106"/>
        <v>88</v>
      </c>
      <c r="Z435" s="1">
        <f t="shared" si="107"/>
        <v>96</v>
      </c>
      <c r="AA435" s="1">
        <f t="shared" si="108"/>
        <v>3.6477272727272734</v>
      </c>
      <c r="AB435" s="1">
        <f t="shared" si="109"/>
        <v>3.3406249999999997</v>
      </c>
      <c r="AC435" s="1">
        <f t="shared" si="110"/>
        <v>0</v>
      </c>
      <c r="AD435" s="1">
        <f t="shared" si="111"/>
        <v>2.1451153418805061E-2</v>
      </c>
    </row>
    <row r="436" spans="1:30" x14ac:dyDescent="0.35">
      <c r="A436" t="s">
        <v>910</v>
      </c>
      <c r="B436" t="s">
        <v>35</v>
      </c>
      <c r="C436" t="s">
        <v>36</v>
      </c>
      <c r="D436" t="s">
        <v>17</v>
      </c>
      <c r="E436">
        <v>37</v>
      </c>
      <c r="F436" t="s">
        <v>31</v>
      </c>
      <c r="G436" t="s">
        <v>41</v>
      </c>
      <c r="H436" t="s">
        <v>911</v>
      </c>
      <c r="I436">
        <v>11</v>
      </c>
      <c r="J436">
        <v>21</v>
      </c>
      <c r="K436">
        <v>433363</v>
      </c>
      <c r="L436">
        <v>4.7</v>
      </c>
      <c r="M436" t="s">
        <v>43</v>
      </c>
      <c r="N436">
        <v>94</v>
      </c>
      <c r="O436">
        <f t="shared" si="96"/>
        <v>566</v>
      </c>
      <c r="P436">
        <f t="shared" si="97"/>
        <v>284</v>
      </c>
      <c r="Q436">
        <f t="shared" si="98"/>
        <v>282</v>
      </c>
      <c r="R436">
        <f t="shared" si="99"/>
        <v>49.650349650349654</v>
      </c>
      <c r="S436" s="1">
        <f t="shared" si="100"/>
        <v>50.24975024975025</v>
      </c>
      <c r="T436" s="1">
        <f t="shared" si="101"/>
        <v>263</v>
      </c>
      <c r="U436" s="1">
        <f t="shared" si="102"/>
        <v>303</v>
      </c>
      <c r="V436" s="1">
        <f t="shared" si="103"/>
        <v>47.5</v>
      </c>
      <c r="W436" s="1">
        <f t="shared" si="104"/>
        <v>52.5</v>
      </c>
      <c r="X436" s="1">
        <f t="shared" si="105"/>
        <v>15.102473498233216</v>
      </c>
      <c r="Y436" s="1">
        <f t="shared" si="106"/>
        <v>88</v>
      </c>
      <c r="Z436" s="1">
        <f t="shared" si="107"/>
        <v>96</v>
      </c>
      <c r="AA436" s="1">
        <f t="shared" si="108"/>
        <v>3.6477272727272734</v>
      </c>
      <c r="AB436" s="1">
        <f t="shared" si="109"/>
        <v>3.3406249999999997</v>
      </c>
      <c r="AC436" s="1">
        <f t="shared" si="110"/>
        <v>0</v>
      </c>
      <c r="AD436" s="1">
        <f t="shared" si="111"/>
        <v>2.1210090342563822E-2</v>
      </c>
    </row>
    <row r="437" spans="1:30" x14ac:dyDescent="0.35">
      <c r="A437" t="s">
        <v>912</v>
      </c>
      <c r="B437" t="s">
        <v>55</v>
      </c>
      <c r="C437" t="s">
        <v>49</v>
      </c>
      <c r="D437" t="s">
        <v>25</v>
      </c>
      <c r="E437">
        <v>26</v>
      </c>
      <c r="F437" t="s">
        <v>70</v>
      </c>
      <c r="G437" t="s">
        <v>71</v>
      </c>
      <c r="H437" t="s">
        <v>913</v>
      </c>
      <c r="I437">
        <v>13</v>
      </c>
      <c r="J437">
        <v>21</v>
      </c>
      <c r="K437">
        <v>415354</v>
      </c>
      <c r="L437">
        <v>2.1</v>
      </c>
      <c r="M437" t="s">
        <v>43</v>
      </c>
      <c r="N437">
        <v>74</v>
      </c>
      <c r="O437">
        <f t="shared" si="96"/>
        <v>565</v>
      </c>
      <c r="P437">
        <f t="shared" si="97"/>
        <v>283</v>
      </c>
      <c r="Q437">
        <f t="shared" si="98"/>
        <v>282</v>
      </c>
      <c r="R437">
        <f t="shared" si="99"/>
        <v>49.650349650349654</v>
      </c>
      <c r="S437" s="1">
        <f t="shared" si="100"/>
        <v>50.24975024975025</v>
      </c>
      <c r="T437" s="1">
        <f t="shared" si="101"/>
        <v>263</v>
      </c>
      <c r="U437" s="1">
        <f t="shared" si="102"/>
        <v>302</v>
      </c>
      <c r="V437" s="1">
        <f t="shared" si="103"/>
        <v>47.5</v>
      </c>
      <c r="W437" s="1">
        <f t="shared" si="104"/>
        <v>52.5</v>
      </c>
      <c r="X437" s="1">
        <f t="shared" si="105"/>
        <v>15.092035398230088</v>
      </c>
      <c r="Y437" s="1">
        <f t="shared" si="106"/>
        <v>88</v>
      </c>
      <c r="Z437" s="1">
        <f t="shared" si="107"/>
        <v>95</v>
      </c>
      <c r="AA437" s="1">
        <f t="shared" si="108"/>
        <v>3.6477272727272734</v>
      </c>
      <c r="AB437" s="1">
        <f t="shared" si="109"/>
        <v>3.3263157894736834</v>
      </c>
      <c r="AC437" s="1">
        <f t="shared" si="110"/>
        <v>0</v>
      </c>
      <c r="AD437" s="1">
        <f t="shared" si="111"/>
        <v>2.2626301767520968E-2</v>
      </c>
    </row>
    <row r="438" spans="1:30" x14ac:dyDescent="0.35">
      <c r="A438" t="s">
        <v>914</v>
      </c>
      <c r="B438" t="s">
        <v>55</v>
      </c>
      <c r="C438" t="s">
        <v>49</v>
      </c>
      <c r="D438" t="s">
        <v>25</v>
      </c>
      <c r="E438">
        <v>50</v>
      </c>
      <c r="F438" t="s">
        <v>37</v>
      </c>
      <c r="G438" t="s">
        <v>75</v>
      </c>
      <c r="H438" t="s">
        <v>915</v>
      </c>
      <c r="I438">
        <v>8</v>
      </c>
      <c r="J438">
        <v>15</v>
      </c>
      <c r="K438">
        <v>392545</v>
      </c>
      <c r="L438">
        <v>2.2000000000000002</v>
      </c>
      <c r="M438" t="s">
        <v>43</v>
      </c>
      <c r="N438">
        <v>89</v>
      </c>
      <c r="O438">
        <f t="shared" si="96"/>
        <v>564</v>
      </c>
      <c r="P438">
        <f t="shared" si="97"/>
        <v>283</v>
      </c>
      <c r="Q438">
        <f t="shared" si="98"/>
        <v>281</v>
      </c>
      <c r="R438">
        <f t="shared" si="99"/>
        <v>49.650349650349654</v>
      </c>
      <c r="S438" s="1">
        <f t="shared" si="100"/>
        <v>50.24975024975025</v>
      </c>
      <c r="T438" s="1">
        <f t="shared" si="101"/>
        <v>263</v>
      </c>
      <c r="U438" s="1">
        <f t="shared" si="102"/>
        <v>301</v>
      </c>
      <c r="V438" s="1">
        <f t="shared" si="103"/>
        <v>47.5</v>
      </c>
      <c r="W438" s="1">
        <f t="shared" si="104"/>
        <v>52.5</v>
      </c>
      <c r="X438" s="1">
        <f t="shared" si="105"/>
        <v>15.081560283687944</v>
      </c>
      <c r="Y438" s="1">
        <f t="shared" si="106"/>
        <v>88</v>
      </c>
      <c r="Z438" s="1">
        <f t="shared" si="107"/>
        <v>95</v>
      </c>
      <c r="AA438" s="1">
        <f t="shared" si="108"/>
        <v>3.6477272727272734</v>
      </c>
      <c r="AB438" s="1">
        <f t="shared" si="109"/>
        <v>3.3263157894736834</v>
      </c>
      <c r="AC438" s="1">
        <f t="shared" si="110"/>
        <v>0</v>
      </c>
      <c r="AD438" s="1">
        <f t="shared" si="111"/>
        <v>2.4051511101863238E-2</v>
      </c>
    </row>
    <row r="439" spans="1:30" x14ac:dyDescent="0.35">
      <c r="A439" t="s">
        <v>916</v>
      </c>
      <c r="B439" t="s">
        <v>96</v>
      </c>
      <c r="C439" t="s">
        <v>64</v>
      </c>
      <c r="D439" t="s">
        <v>25</v>
      </c>
      <c r="E439">
        <v>28</v>
      </c>
      <c r="F439" t="s">
        <v>18</v>
      </c>
      <c r="G439" t="s">
        <v>32</v>
      </c>
      <c r="H439" t="s">
        <v>917</v>
      </c>
      <c r="I439">
        <v>9</v>
      </c>
      <c r="J439">
        <v>18</v>
      </c>
      <c r="K439">
        <v>473115</v>
      </c>
      <c r="L439">
        <v>3.1</v>
      </c>
      <c r="M439" t="s">
        <v>43</v>
      </c>
      <c r="N439">
        <v>81</v>
      </c>
      <c r="O439">
        <f t="shared" si="96"/>
        <v>563</v>
      </c>
      <c r="P439">
        <f t="shared" si="97"/>
        <v>283</v>
      </c>
      <c r="Q439">
        <f t="shared" si="98"/>
        <v>280</v>
      </c>
      <c r="R439">
        <f t="shared" si="99"/>
        <v>49.650349650349654</v>
      </c>
      <c r="S439" s="1">
        <f t="shared" si="100"/>
        <v>50.24975024975025</v>
      </c>
      <c r="T439" s="1">
        <f t="shared" si="101"/>
        <v>263</v>
      </c>
      <c r="U439" s="1">
        <f t="shared" si="102"/>
        <v>300</v>
      </c>
      <c r="V439" s="1">
        <f t="shared" si="103"/>
        <v>47.5</v>
      </c>
      <c r="W439" s="1">
        <f t="shared" si="104"/>
        <v>52.5</v>
      </c>
      <c r="X439" s="1">
        <f t="shared" si="105"/>
        <v>15.081705150976909</v>
      </c>
      <c r="Y439" s="1">
        <f t="shared" si="106"/>
        <v>88</v>
      </c>
      <c r="Z439" s="1">
        <f t="shared" si="107"/>
        <v>95</v>
      </c>
      <c r="AA439" s="1">
        <f t="shared" si="108"/>
        <v>3.6477272727272734</v>
      </c>
      <c r="AB439" s="1">
        <f t="shared" si="109"/>
        <v>3.3263157894736834</v>
      </c>
      <c r="AC439" s="1">
        <f t="shared" si="110"/>
        <v>0</v>
      </c>
      <c r="AD439" s="1">
        <f t="shared" si="111"/>
        <v>2.4050912515037697E-2</v>
      </c>
    </row>
    <row r="440" spans="1:30" x14ac:dyDescent="0.35">
      <c r="A440" t="s">
        <v>918</v>
      </c>
      <c r="B440" t="s">
        <v>60</v>
      </c>
      <c r="C440" t="s">
        <v>64</v>
      </c>
      <c r="D440" t="s">
        <v>25</v>
      </c>
      <c r="E440">
        <v>32</v>
      </c>
      <c r="F440" t="s">
        <v>74</v>
      </c>
      <c r="G440" t="s">
        <v>41</v>
      </c>
      <c r="H440" t="s">
        <v>919</v>
      </c>
      <c r="I440">
        <v>19</v>
      </c>
      <c r="J440">
        <v>21</v>
      </c>
      <c r="K440">
        <v>200092</v>
      </c>
      <c r="L440">
        <v>2.1</v>
      </c>
      <c r="M440" t="s">
        <v>21</v>
      </c>
      <c r="N440">
        <v>53</v>
      </c>
      <c r="O440">
        <f t="shared" si="96"/>
        <v>562</v>
      </c>
      <c r="P440">
        <f t="shared" si="97"/>
        <v>283</v>
      </c>
      <c r="Q440">
        <f t="shared" si="98"/>
        <v>279</v>
      </c>
      <c r="R440">
        <f t="shared" si="99"/>
        <v>49.650349650349654</v>
      </c>
      <c r="S440" s="1">
        <f t="shared" si="100"/>
        <v>50.24975024975025</v>
      </c>
      <c r="T440" s="1">
        <f t="shared" si="101"/>
        <v>263</v>
      </c>
      <c r="U440" s="1">
        <f t="shared" si="102"/>
        <v>299</v>
      </c>
      <c r="V440" s="1">
        <f t="shared" si="103"/>
        <v>47.5</v>
      </c>
      <c r="W440" s="1">
        <f t="shared" si="104"/>
        <v>52.5</v>
      </c>
      <c r="X440" s="1">
        <f t="shared" si="105"/>
        <v>15.076512455516013</v>
      </c>
      <c r="Y440" s="1">
        <f t="shared" si="106"/>
        <v>88</v>
      </c>
      <c r="Z440" s="1">
        <f t="shared" si="107"/>
        <v>95</v>
      </c>
      <c r="AA440" s="1">
        <f t="shared" si="108"/>
        <v>3.6477272727272734</v>
      </c>
      <c r="AB440" s="1">
        <f t="shared" si="109"/>
        <v>3.3263157894736834</v>
      </c>
      <c r="AC440" s="1">
        <f t="shared" si="110"/>
        <v>1</v>
      </c>
      <c r="AD440" s="1">
        <f t="shared" si="111"/>
        <v>2.4765350012870883E-2</v>
      </c>
    </row>
    <row r="441" spans="1:30" x14ac:dyDescent="0.35">
      <c r="A441" t="s">
        <v>920</v>
      </c>
      <c r="B441" t="s">
        <v>96</v>
      </c>
      <c r="C441" t="s">
        <v>24</v>
      </c>
      <c r="D441" t="s">
        <v>17</v>
      </c>
      <c r="E441">
        <v>54</v>
      </c>
      <c r="F441" t="s">
        <v>18</v>
      </c>
      <c r="G441" t="s">
        <v>75</v>
      </c>
      <c r="H441" t="s">
        <v>921</v>
      </c>
      <c r="I441">
        <v>12</v>
      </c>
      <c r="J441">
        <v>18</v>
      </c>
      <c r="K441">
        <v>361860</v>
      </c>
      <c r="L441">
        <v>4.3</v>
      </c>
      <c r="M441" t="s">
        <v>21</v>
      </c>
      <c r="N441">
        <v>62</v>
      </c>
      <c r="O441">
        <f t="shared" si="96"/>
        <v>561</v>
      </c>
      <c r="P441">
        <f t="shared" si="97"/>
        <v>283</v>
      </c>
      <c r="Q441">
        <f t="shared" si="98"/>
        <v>278</v>
      </c>
      <c r="R441">
        <f t="shared" si="99"/>
        <v>49.650349650349654</v>
      </c>
      <c r="S441" s="1">
        <f t="shared" si="100"/>
        <v>50.24975024975025</v>
      </c>
      <c r="T441" s="1">
        <f t="shared" si="101"/>
        <v>262</v>
      </c>
      <c r="U441" s="1">
        <f t="shared" si="102"/>
        <v>299</v>
      </c>
      <c r="V441" s="1">
        <f t="shared" si="103"/>
        <v>47.5</v>
      </c>
      <c r="W441" s="1">
        <f t="shared" si="104"/>
        <v>52.5</v>
      </c>
      <c r="X441" s="1">
        <f t="shared" si="105"/>
        <v>15.065953654188949</v>
      </c>
      <c r="Y441" s="1">
        <f t="shared" si="106"/>
        <v>87</v>
      </c>
      <c r="Z441" s="1">
        <f t="shared" si="107"/>
        <v>95</v>
      </c>
      <c r="AA441" s="1">
        <f t="shared" si="108"/>
        <v>3.6655172413793107</v>
      </c>
      <c r="AB441" s="1">
        <f t="shared" si="109"/>
        <v>3.3263157894736834</v>
      </c>
      <c r="AC441" s="1">
        <f t="shared" si="110"/>
        <v>1</v>
      </c>
      <c r="AD441" s="1">
        <f t="shared" si="111"/>
        <v>2.320386745377874E-2</v>
      </c>
    </row>
    <row r="442" spans="1:30" x14ac:dyDescent="0.35">
      <c r="A442" t="s">
        <v>922</v>
      </c>
      <c r="B442" t="s">
        <v>45</v>
      </c>
      <c r="C442" t="s">
        <v>52</v>
      </c>
      <c r="D442" t="s">
        <v>17</v>
      </c>
      <c r="E442">
        <v>51</v>
      </c>
      <c r="F442" t="s">
        <v>46</v>
      </c>
      <c r="G442" t="s">
        <v>19</v>
      </c>
      <c r="H442" t="s">
        <v>923</v>
      </c>
      <c r="I442">
        <v>2</v>
      </c>
      <c r="J442">
        <v>6</v>
      </c>
      <c r="K442">
        <v>443796</v>
      </c>
      <c r="L442">
        <v>3.7</v>
      </c>
      <c r="M442" t="s">
        <v>43</v>
      </c>
      <c r="N442">
        <v>89</v>
      </c>
      <c r="O442">
        <f t="shared" si="96"/>
        <v>560</v>
      </c>
      <c r="P442">
        <f t="shared" si="97"/>
        <v>282</v>
      </c>
      <c r="Q442">
        <f t="shared" si="98"/>
        <v>278</v>
      </c>
      <c r="R442">
        <f t="shared" si="99"/>
        <v>49.650349650349654</v>
      </c>
      <c r="S442" s="1">
        <f t="shared" si="100"/>
        <v>50.24975024975025</v>
      </c>
      <c r="T442" s="1">
        <f t="shared" si="101"/>
        <v>261</v>
      </c>
      <c r="U442" s="1">
        <f t="shared" si="102"/>
        <v>299</v>
      </c>
      <c r="V442" s="1">
        <f t="shared" si="103"/>
        <v>47.5</v>
      </c>
      <c r="W442" s="1">
        <f t="shared" si="104"/>
        <v>52.5</v>
      </c>
      <c r="X442" s="1">
        <f t="shared" si="105"/>
        <v>15.060714285714285</v>
      </c>
      <c r="Y442" s="1">
        <f t="shared" si="106"/>
        <v>87</v>
      </c>
      <c r="Z442" s="1">
        <f t="shared" si="107"/>
        <v>95</v>
      </c>
      <c r="AA442" s="1">
        <f t="shared" si="108"/>
        <v>3.6655172413793107</v>
      </c>
      <c r="AB442" s="1">
        <f t="shared" si="109"/>
        <v>3.3263157894736834</v>
      </c>
      <c r="AC442" s="1">
        <f t="shared" si="110"/>
        <v>0</v>
      </c>
      <c r="AD442" s="1">
        <f t="shared" si="111"/>
        <v>2.2435150087181967E-2</v>
      </c>
    </row>
    <row r="443" spans="1:30" x14ac:dyDescent="0.35">
      <c r="A443" t="s">
        <v>924</v>
      </c>
      <c r="B443" t="s">
        <v>29</v>
      </c>
      <c r="C443" t="s">
        <v>56</v>
      </c>
      <c r="D443" t="s">
        <v>25</v>
      </c>
      <c r="E443">
        <v>58</v>
      </c>
      <c r="F443" t="s">
        <v>79</v>
      </c>
      <c r="G443" t="s">
        <v>41</v>
      </c>
      <c r="H443" t="s">
        <v>925</v>
      </c>
      <c r="I443">
        <v>3</v>
      </c>
      <c r="J443">
        <v>9</v>
      </c>
      <c r="K443">
        <v>330281</v>
      </c>
      <c r="L443">
        <v>3</v>
      </c>
      <c r="M443" t="s">
        <v>43</v>
      </c>
      <c r="N443">
        <v>90</v>
      </c>
      <c r="O443">
        <f t="shared" si="96"/>
        <v>559</v>
      </c>
      <c r="P443">
        <f t="shared" si="97"/>
        <v>281</v>
      </c>
      <c r="Q443">
        <f t="shared" si="98"/>
        <v>278</v>
      </c>
      <c r="R443">
        <f t="shared" si="99"/>
        <v>49.650349650349654</v>
      </c>
      <c r="S443" s="1">
        <f t="shared" si="100"/>
        <v>50.24975024975025</v>
      </c>
      <c r="T443" s="1">
        <f t="shared" si="101"/>
        <v>261</v>
      </c>
      <c r="U443" s="1">
        <f t="shared" si="102"/>
        <v>298</v>
      </c>
      <c r="V443" s="1">
        <f t="shared" si="103"/>
        <v>47.5</v>
      </c>
      <c r="W443" s="1">
        <f t="shared" si="104"/>
        <v>52.5</v>
      </c>
      <c r="X443" s="1">
        <f t="shared" si="105"/>
        <v>15.076923076923077</v>
      </c>
      <c r="Y443" s="1">
        <f t="shared" si="106"/>
        <v>87</v>
      </c>
      <c r="Z443" s="1">
        <f t="shared" si="107"/>
        <v>95</v>
      </c>
      <c r="AA443" s="1">
        <f t="shared" si="108"/>
        <v>3.6655172413793107</v>
      </c>
      <c r="AB443" s="1">
        <f t="shared" si="109"/>
        <v>3.3263157894736834</v>
      </c>
      <c r="AC443" s="1">
        <f t="shared" si="110"/>
        <v>0</v>
      </c>
      <c r="AD443" s="1">
        <f t="shared" si="111"/>
        <v>2.0331527097876084E-2</v>
      </c>
    </row>
    <row r="444" spans="1:30" x14ac:dyDescent="0.35">
      <c r="A444" t="s">
        <v>926</v>
      </c>
      <c r="B444" t="s">
        <v>60</v>
      </c>
      <c r="C444" t="s">
        <v>49</v>
      </c>
      <c r="D444" t="s">
        <v>17</v>
      </c>
      <c r="E444">
        <v>33</v>
      </c>
      <c r="F444" t="s">
        <v>79</v>
      </c>
      <c r="G444" t="s">
        <v>71</v>
      </c>
      <c r="H444" t="s">
        <v>927</v>
      </c>
      <c r="I444">
        <v>17</v>
      </c>
      <c r="J444">
        <v>19</v>
      </c>
      <c r="K444">
        <v>425338</v>
      </c>
      <c r="L444">
        <v>4.0999999999999996</v>
      </c>
      <c r="M444" t="s">
        <v>21</v>
      </c>
      <c r="N444">
        <v>68</v>
      </c>
      <c r="O444">
        <f t="shared" si="96"/>
        <v>558</v>
      </c>
      <c r="P444">
        <f t="shared" si="97"/>
        <v>281</v>
      </c>
      <c r="Q444">
        <f t="shared" si="98"/>
        <v>277</v>
      </c>
      <c r="R444">
        <f t="shared" si="99"/>
        <v>49.650349650349654</v>
      </c>
      <c r="S444" s="1">
        <f t="shared" si="100"/>
        <v>50.24975024975025</v>
      </c>
      <c r="T444" s="1">
        <f t="shared" si="101"/>
        <v>261</v>
      </c>
      <c r="U444" s="1">
        <f t="shared" si="102"/>
        <v>297</v>
      </c>
      <c r="V444" s="1">
        <f t="shared" si="103"/>
        <v>47.5</v>
      </c>
      <c r="W444" s="1">
        <f t="shared" si="104"/>
        <v>52.5</v>
      </c>
      <c r="X444" s="1">
        <f t="shared" si="105"/>
        <v>15.087813620071685</v>
      </c>
      <c r="Y444" s="1">
        <f t="shared" si="106"/>
        <v>87</v>
      </c>
      <c r="Z444" s="1">
        <f t="shared" si="107"/>
        <v>95</v>
      </c>
      <c r="AA444" s="1">
        <f t="shared" si="108"/>
        <v>3.6655172413793107</v>
      </c>
      <c r="AB444" s="1">
        <f t="shared" si="109"/>
        <v>3.3263157894736834</v>
      </c>
      <c r="AC444" s="1">
        <f t="shared" si="110"/>
        <v>1</v>
      </c>
      <c r="AD444" s="1">
        <f t="shared" si="111"/>
        <v>1.8911434136930829E-2</v>
      </c>
    </row>
    <row r="445" spans="1:30" x14ac:dyDescent="0.35">
      <c r="A445" t="s">
        <v>928</v>
      </c>
      <c r="B445" t="s">
        <v>45</v>
      </c>
      <c r="C445" t="s">
        <v>82</v>
      </c>
      <c r="D445" t="s">
        <v>17</v>
      </c>
      <c r="E445">
        <v>37</v>
      </c>
      <c r="F445" t="s">
        <v>70</v>
      </c>
      <c r="G445" t="s">
        <v>71</v>
      </c>
      <c r="H445" t="s">
        <v>929</v>
      </c>
      <c r="I445">
        <v>0</v>
      </c>
      <c r="J445">
        <v>6</v>
      </c>
      <c r="K445">
        <v>70202</v>
      </c>
      <c r="L445">
        <v>3.2</v>
      </c>
      <c r="M445" t="s">
        <v>21</v>
      </c>
      <c r="N445">
        <v>38</v>
      </c>
      <c r="O445">
        <f t="shared" si="96"/>
        <v>557</v>
      </c>
      <c r="P445">
        <f t="shared" si="97"/>
        <v>280</v>
      </c>
      <c r="Q445">
        <f t="shared" si="98"/>
        <v>277</v>
      </c>
      <c r="R445">
        <f t="shared" si="99"/>
        <v>49.650349650349654</v>
      </c>
      <c r="S445" s="1">
        <f t="shared" si="100"/>
        <v>50.24975024975025</v>
      </c>
      <c r="T445" s="1">
        <f t="shared" si="101"/>
        <v>260</v>
      </c>
      <c r="U445" s="1">
        <f t="shared" si="102"/>
        <v>297</v>
      </c>
      <c r="V445" s="1">
        <f t="shared" si="103"/>
        <v>47.5</v>
      </c>
      <c r="W445" s="1">
        <f t="shared" si="104"/>
        <v>52.5</v>
      </c>
      <c r="X445" s="1">
        <f t="shared" si="105"/>
        <v>15.080789946140037</v>
      </c>
      <c r="Y445" s="1">
        <f t="shared" si="106"/>
        <v>87</v>
      </c>
      <c r="Z445" s="1">
        <f t="shared" si="107"/>
        <v>95</v>
      </c>
      <c r="AA445" s="1">
        <f t="shared" si="108"/>
        <v>3.6655172413793107</v>
      </c>
      <c r="AB445" s="1">
        <f t="shared" si="109"/>
        <v>3.3263157894736834</v>
      </c>
      <c r="AC445" s="1">
        <f t="shared" si="110"/>
        <v>1</v>
      </c>
      <c r="AD445" s="1">
        <f t="shared" si="111"/>
        <v>1.7870751181094081E-2</v>
      </c>
    </row>
    <row r="446" spans="1:30" x14ac:dyDescent="0.35">
      <c r="A446" t="s">
        <v>930</v>
      </c>
      <c r="B446" t="s">
        <v>55</v>
      </c>
      <c r="C446" t="s">
        <v>24</v>
      </c>
      <c r="D446" t="s">
        <v>25</v>
      </c>
      <c r="E446">
        <v>24</v>
      </c>
      <c r="F446" t="s">
        <v>74</v>
      </c>
      <c r="G446" t="s">
        <v>88</v>
      </c>
      <c r="H446" t="s">
        <v>931</v>
      </c>
      <c r="I446">
        <v>2</v>
      </c>
      <c r="J446">
        <v>3</v>
      </c>
      <c r="K446">
        <v>361807</v>
      </c>
      <c r="L446">
        <v>2.8</v>
      </c>
      <c r="M446" t="s">
        <v>21</v>
      </c>
      <c r="N446">
        <v>61</v>
      </c>
      <c r="O446">
        <f t="shared" si="96"/>
        <v>556</v>
      </c>
      <c r="P446">
        <f t="shared" si="97"/>
        <v>279</v>
      </c>
      <c r="Q446">
        <f t="shared" si="98"/>
        <v>277</v>
      </c>
      <c r="R446">
        <f t="shared" si="99"/>
        <v>49.650349650349654</v>
      </c>
      <c r="S446" s="1">
        <f t="shared" si="100"/>
        <v>50.24975024975025</v>
      </c>
      <c r="T446" s="1">
        <f t="shared" si="101"/>
        <v>259</v>
      </c>
      <c r="U446" s="1">
        <f t="shared" si="102"/>
        <v>297</v>
      </c>
      <c r="V446" s="1">
        <f t="shared" si="103"/>
        <v>47.5</v>
      </c>
      <c r="W446" s="1">
        <f t="shared" si="104"/>
        <v>52.5</v>
      </c>
      <c r="X446" s="1">
        <f t="shared" si="105"/>
        <v>15.097122302158274</v>
      </c>
      <c r="Y446" s="1">
        <f t="shared" si="106"/>
        <v>87</v>
      </c>
      <c r="Z446" s="1">
        <f t="shared" si="107"/>
        <v>95</v>
      </c>
      <c r="AA446" s="1">
        <f t="shared" si="108"/>
        <v>3.6655172413793107</v>
      </c>
      <c r="AB446" s="1">
        <f t="shared" si="109"/>
        <v>3.3263157894736834</v>
      </c>
      <c r="AC446" s="1">
        <f t="shared" si="110"/>
        <v>1</v>
      </c>
      <c r="AD446" s="1">
        <f t="shared" si="111"/>
        <v>2.0399290628999964E-2</v>
      </c>
    </row>
    <row r="447" spans="1:30" x14ac:dyDescent="0.35">
      <c r="A447" t="s">
        <v>932</v>
      </c>
      <c r="B447" t="s">
        <v>78</v>
      </c>
      <c r="C447" t="s">
        <v>36</v>
      </c>
      <c r="D447" t="s">
        <v>17</v>
      </c>
      <c r="E447">
        <v>24</v>
      </c>
      <c r="F447" t="s">
        <v>18</v>
      </c>
      <c r="G447" t="s">
        <v>57</v>
      </c>
      <c r="H447" t="s">
        <v>389</v>
      </c>
      <c r="I447">
        <v>0</v>
      </c>
      <c r="J447">
        <v>2</v>
      </c>
      <c r="K447">
        <v>421290</v>
      </c>
      <c r="L447">
        <v>3.2</v>
      </c>
      <c r="M447" t="s">
        <v>43</v>
      </c>
      <c r="N447">
        <v>96</v>
      </c>
      <c r="O447">
        <f t="shared" si="96"/>
        <v>555</v>
      </c>
      <c r="P447">
        <f t="shared" si="97"/>
        <v>279</v>
      </c>
      <c r="Q447">
        <f t="shared" si="98"/>
        <v>276</v>
      </c>
      <c r="R447">
        <f t="shared" si="99"/>
        <v>49.650349650349654</v>
      </c>
      <c r="S447" s="1">
        <f t="shared" si="100"/>
        <v>50.24975024975025</v>
      </c>
      <c r="T447" s="1">
        <f t="shared" si="101"/>
        <v>258</v>
      </c>
      <c r="U447" s="1">
        <f t="shared" si="102"/>
        <v>297</v>
      </c>
      <c r="V447" s="1">
        <f t="shared" si="103"/>
        <v>47.5</v>
      </c>
      <c r="W447" s="1">
        <f t="shared" si="104"/>
        <v>52.5</v>
      </c>
      <c r="X447" s="1">
        <f t="shared" si="105"/>
        <v>15.118918918918919</v>
      </c>
      <c r="Y447" s="1">
        <f t="shared" si="106"/>
        <v>86</v>
      </c>
      <c r="Z447" s="1">
        <f t="shared" si="107"/>
        <v>95</v>
      </c>
      <c r="AA447" s="1">
        <f t="shared" si="108"/>
        <v>3.6755813953488374</v>
      </c>
      <c r="AB447" s="1">
        <f t="shared" si="109"/>
        <v>3.3263157894736834</v>
      </c>
      <c r="AC447" s="1">
        <f t="shared" si="110"/>
        <v>0</v>
      </c>
      <c r="AD447" s="1">
        <f t="shared" si="111"/>
        <v>2.3801412240673999E-2</v>
      </c>
    </row>
    <row r="448" spans="1:30" x14ac:dyDescent="0.35">
      <c r="A448" t="s">
        <v>933</v>
      </c>
      <c r="B448" t="s">
        <v>78</v>
      </c>
      <c r="C448" t="s">
        <v>52</v>
      </c>
      <c r="D448" t="s">
        <v>25</v>
      </c>
      <c r="E448">
        <v>55</v>
      </c>
      <c r="F448" t="s">
        <v>18</v>
      </c>
      <c r="G448" t="s">
        <v>61</v>
      </c>
      <c r="H448" t="s">
        <v>934</v>
      </c>
      <c r="I448">
        <v>19</v>
      </c>
      <c r="J448">
        <v>19</v>
      </c>
      <c r="K448">
        <v>317561</v>
      </c>
      <c r="L448">
        <v>5</v>
      </c>
      <c r="M448" t="s">
        <v>21</v>
      </c>
      <c r="N448">
        <v>60</v>
      </c>
      <c r="O448">
        <f t="shared" si="96"/>
        <v>554</v>
      </c>
      <c r="P448">
        <f t="shared" si="97"/>
        <v>278</v>
      </c>
      <c r="Q448">
        <f t="shared" si="98"/>
        <v>276</v>
      </c>
      <c r="R448">
        <f t="shared" si="99"/>
        <v>49.650349650349654</v>
      </c>
      <c r="S448" s="1">
        <f t="shared" si="100"/>
        <v>50.24975024975025</v>
      </c>
      <c r="T448" s="1">
        <f t="shared" si="101"/>
        <v>258</v>
      </c>
      <c r="U448" s="1">
        <f t="shared" si="102"/>
        <v>296</v>
      </c>
      <c r="V448" s="1">
        <f t="shared" si="103"/>
        <v>47.5</v>
      </c>
      <c r="W448" s="1">
        <f t="shared" si="104"/>
        <v>52.5</v>
      </c>
      <c r="X448" s="1">
        <f t="shared" si="105"/>
        <v>15.14259927797834</v>
      </c>
      <c r="Y448" s="1">
        <f t="shared" si="106"/>
        <v>86</v>
      </c>
      <c r="Z448" s="1">
        <f t="shared" si="107"/>
        <v>95</v>
      </c>
      <c r="AA448" s="1">
        <f t="shared" si="108"/>
        <v>3.6755813953488374</v>
      </c>
      <c r="AB448" s="1">
        <f t="shared" si="109"/>
        <v>3.3263157894736834</v>
      </c>
      <c r="AC448" s="1">
        <f t="shared" si="110"/>
        <v>1</v>
      </c>
      <c r="AD448" s="1">
        <f t="shared" si="111"/>
        <v>2.0743485809039296E-2</v>
      </c>
    </row>
    <row r="449" spans="1:30" x14ac:dyDescent="0.35">
      <c r="A449" t="s">
        <v>935</v>
      </c>
      <c r="B449" t="s">
        <v>35</v>
      </c>
      <c r="C449" t="s">
        <v>64</v>
      </c>
      <c r="D449" t="s">
        <v>17</v>
      </c>
      <c r="E449">
        <v>41</v>
      </c>
      <c r="F449" t="s">
        <v>46</v>
      </c>
      <c r="G449" t="s">
        <v>71</v>
      </c>
      <c r="H449" t="s">
        <v>936</v>
      </c>
      <c r="I449">
        <v>6</v>
      </c>
      <c r="J449">
        <v>15</v>
      </c>
      <c r="K449">
        <v>439492</v>
      </c>
      <c r="L449">
        <v>3.9</v>
      </c>
      <c r="M449" t="s">
        <v>43</v>
      </c>
      <c r="N449">
        <v>89</v>
      </c>
      <c r="O449">
        <f t="shared" si="96"/>
        <v>553</v>
      </c>
      <c r="P449">
        <f t="shared" si="97"/>
        <v>278</v>
      </c>
      <c r="Q449">
        <f t="shared" si="98"/>
        <v>275</v>
      </c>
      <c r="R449">
        <f t="shared" si="99"/>
        <v>49.650349650349654</v>
      </c>
      <c r="S449" s="1">
        <f t="shared" si="100"/>
        <v>50.24975024975025</v>
      </c>
      <c r="T449" s="1">
        <f t="shared" si="101"/>
        <v>257</v>
      </c>
      <c r="U449" s="1">
        <f t="shared" si="102"/>
        <v>296</v>
      </c>
      <c r="V449" s="1">
        <f t="shared" si="103"/>
        <v>47.5</v>
      </c>
      <c r="W449" s="1">
        <f t="shared" si="104"/>
        <v>52.5</v>
      </c>
      <c r="X449" s="1">
        <f t="shared" si="105"/>
        <v>15.135623869801085</v>
      </c>
      <c r="Y449" s="1">
        <f t="shared" si="106"/>
        <v>86</v>
      </c>
      <c r="Z449" s="1">
        <f t="shared" si="107"/>
        <v>95</v>
      </c>
      <c r="AA449" s="1">
        <f t="shared" si="108"/>
        <v>3.6755813953488374</v>
      </c>
      <c r="AB449" s="1">
        <f t="shared" si="109"/>
        <v>3.3263157894736834</v>
      </c>
      <c r="AC449" s="1">
        <f t="shared" si="110"/>
        <v>0</v>
      </c>
      <c r="AD449" s="1">
        <f t="shared" si="111"/>
        <v>1.9704157167316029E-2</v>
      </c>
    </row>
    <row r="450" spans="1:30" x14ac:dyDescent="0.35">
      <c r="A450" t="s">
        <v>937</v>
      </c>
      <c r="B450" t="s">
        <v>96</v>
      </c>
      <c r="C450" t="s">
        <v>16</v>
      </c>
      <c r="D450" t="s">
        <v>17</v>
      </c>
      <c r="E450">
        <v>21</v>
      </c>
      <c r="F450" t="s">
        <v>37</v>
      </c>
      <c r="G450" t="s">
        <v>85</v>
      </c>
      <c r="H450" t="s">
        <v>938</v>
      </c>
      <c r="I450">
        <v>20</v>
      </c>
      <c r="J450">
        <v>20</v>
      </c>
      <c r="K450">
        <v>75497</v>
      </c>
      <c r="L450">
        <v>2.6</v>
      </c>
      <c r="M450" t="s">
        <v>43</v>
      </c>
      <c r="N450">
        <v>83</v>
      </c>
      <c r="O450">
        <f t="shared" ref="O450:O513" si="112">COUNTA(A450:A1449)</f>
        <v>552</v>
      </c>
      <c r="P450">
        <f t="shared" ref="P450:P513" si="113">COUNTIF(D450:D1449,"Male")</f>
        <v>277</v>
      </c>
      <c r="Q450">
        <f t="shared" ref="Q450:Q513" si="114">COUNTIF(D450:D1449,"Female")</f>
        <v>275</v>
      </c>
      <c r="R450">
        <f t="shared" ref="R450:R513" si="115">497/1001*100</f>
        <v>49.650349650349654</v>
      </c>
      <c r="S450" s="1">
        <f t="shared" ref="S450:S513" si="116">503/1001*100</f>
        <v>50.24975024975025</v>
      </c>
      <c r="T450" s="1">
        <f t="shared" ref="T450:T513" si="117">COUNTIF(M450:M1449,"Yes")</f>
        <v>257</v>
      </c>
      <c r="U450" s="1">
        <f t="shared" ref="U450:U513" si="118">COUNTIF(M450:M1449,"No")</f>
        <v>295</v>
      </c>
      <c r="V450" s="1">
        <f t="shared" ref="V450:V513" si="119">475/1000*100</f>
        <v>47.5</v>
      </c>
      <c r="W450" s="1">
        <f t="shared" ref="W450:W513" si="120">525/1000*100</f>
        <v>52.5</v>
      </c>
      <c r="X450" s="1">
        <f t="shared" ref="X450:X513" si="121">AVERAGE(J450:J1449)</f>
        <v>15.135869565217391</v>
      </c>
      <c r="Y450" s="1">
        <f t="shared" ref="Y450:Y513" si="122">COUNTIF(F450:F1449,"Marketing")</f>
        <v>86</v>
      </c>
      <c r="Z450" s="1">
        <f t="shared" ref="Z450:Z513" si="123">COUNTIF(F450:F1449,"IT")</f>
        <v>95</v>
      </c>
      <c r="AA450" s="1">
        <f t="shared" ref="AA450:AA513" si="124">AVERAGEIF(F450:F1449,"Marketing",L450:L1449)</f>
        <v>3.6755813953488374</v>
      </c>
      <c r="AB450" s="1">
        <f t="shared" ref="AB450:AB513" si="125">AVERAGEIF(F450:F1449,"IT",L450:L1449)</f>
        <v>3.3263157894736834</v>
      </c>
      <c r="AC450" s="1">
        <f t="shared" ref="AC450:AC513" si="126">IF(M450="yes",1,0)</f>
        <v>0</v>
      </c>
      <c r="AD450" s="1">
        <f t="shared" ref="AD450:AD513" si="127">CORREL(J450:J1449,AC450:AC1449)</f>
        <v>1.9687035058328767E-2</v>
      </c>
    </row>
    <row r="451" spans="1:30" x14ac:dyDescent="0.35">
      <c r="A451" t="s">
        <v>939</v>
      </c>
      <c r="B451" t="s">
        <v>45</v>
      </c>
      <c r="C451" t="s">
        <v>93</v>
      </c>
      <c r="D451" t="s">
        <v>17</v>
      </c>
      <c r="E451">
        <v>47</v>
      </c>
      <c r="F451" t="s">
        <v>79</v>
      </c>
      <c r="G451" t="s">
        <v>19</v>
      </c>
      <c r="H451" t="s">
        <v>940</v>
      </c>
      <c r="I451">
        <v>10</v>
      </c>
      <c r="J451">
        <v>11</v>
      </c>
      <c r="K451">
        <v>169753</v>
      </c>
      <c r="L451">
        <v>3.1</v>
      </c>
      <c r="M451" t="s">
        <v>43</v>
      </c>
      <c r="N451">
        <v>90</v>
      </c>
      <c r="O451">
        <f t="shared" si="112"/>
        <v>551</v>
      </c>
      <c r="P451">
        <f t="shared" si="113"/>
        <v>276</v>
      </c>
      <c r="Q451">
        <f t="shared" si="114"/>
        <v>275</v>
      </c>
      <c r="R451">
        <f t="shared" si="115"/>
        <v>49.650349650349654</v>
      </c>
      <c r="S451" s="1">
        <f t="shared" si="116"/>
        <v>50.24975024975025</v>
      </c>
      <c r="T451" s="1">
        <f t="shared" si="117"/>
        <v>257</v>
      </c>
      <c r="U451" s="1">
        <f t="shared" si="118"/>
        <v>294</v>
      </c>
      <c r="V451" s="1">
        <f t="shared" si="119"/>
        <v>47.5</v>
      </c>
      <c r="W451" s="1">
        <f t="shared" si="120"/>
        <v>52.5</v>
      </c>
      <c r="X451" s="1">
        <f t="shared" si="121"/>
        <v>15.127041742286751</v>
      </c>
      <c r="Y451" s="1">
        <f t="shared" si="122"/>
        <v>86</v>
      </c>
      <c r="Z451" s="1">
        <f t="shared" si="123"/>
        <v>95</v>
      </c>
      <c r="AA451" s="1">
        <f t="shared" si="124"/>
        <v>3.6755813953488374</v>
      </c>
      <c r="AB451" s="1">
        <f t="shared" si="125"/>
        <v>3.3263157894736834</v>
      </c>
      <c r="AC451" s="1">
        <f t="shared" si="126"/>
        <v>0</v>
      </c>
      <c r="AD451" s="1">
        <f t="shared" si="127"/>
        <v>2.0885510959273299E-2</v>
      </c>
    </row>
    <row r="452" spans="1:30" x14ac:dyDescent="0.35">
      <c r="A452" t="s">
        <v>941</v>
      </c>
      <c r="B452" t="s">
        <v>35</v>
      </c>
      <c r="C452" t="s">
        <v>16</v>
      </c>
      <c r="D452" t="s">
        <v>17</v>
      </c>
      <c r="E452">
        <v>24</v>
      </c>
      <c r="F452" t="s">
        <v>74</v>
      </c>
      <c r="G452" t="s">
        <v>75</v>
      </c>
      <c r="H452" t="s">
        <v>942</v>
      </c>
      <c r="I452">
        <v>16</v>
      </c>
      <c r="J452">
        <v>25</v>
      </c>
      <c r="K452">
        <v>140114</v>
      </c>
      <c r="L452">
        <v>5</v>
      </c>
      <c r="M452" t="s">
        <v>21</v>
      </c>
      <c r="N452">
        <v>43</v>
      </c>
      <c r="O452">
        <f t="shared" si="112"/>
        <v>550</v>
      </c>
      <c r="P452">
        <f t="shared" si="113"/>
        <v>275</v>
      </c>
      <c r="Q452">
        <f t="shared" si="114"/>
        <v>275</v>
      </c>
      <c r="R452">
        <f t="shared" si="115"/>
        <v>49.650349650349654</v>
      </c>
      <c r="S452" s="1">
        <f t="shared" si="116"/>
        <v>50.24975024975025</v>
      </c>
      <c r="T452" s="1">
        <f t="shared" si="117"/>
        <v>257</v>
      </c>
      <c r="U452" s="1">
        <f t="shared" si="118"/>
        <v>293</v>
      </c>
      <c r="V452" s="1">
        <f t="shared" si="119"/>
        <v>47.5</v>
      </c>
      <c r="W452" s="1">
        <f t="shared" si="120"/>
        <v>52.5</v>
      </c>
      <c r="X452" s="1">
        <f t="shared" si="121"/>
        <v>15.134545454545455</v>
      </c>
      <c r="Y452" s="1">
        <f t="shared" si="122"/>
        <v>86</v>
      </c>
      <c r="Z452" s="1">
        <f t="shared" si="123"/>
        <v>95</v>
      </c>
      <c r="AA452" s="1">
        <f t="shared" si="124"/>
        <v>3.6755813953488374</v>
      </c>
      <c r="AB452" s="1">
        <f t="shared" si="125"/>
        <v>3.3263157894736834</v>
      </c>
      <c r="AC452" s="1">
        <f t="shared" si="126"/>
        <v>1</v>
      </c>
      <c r="AD452" s="1">
        <f t="shared" si="127"/>
        <v>1.9909397563276809E-2</v>
      </c>
    </row>
    <row r="453" spans="1:30" x14ac:dyDescent="0.35">
      <c r="A453" t="s">
        <v>943</v>
      </c>
      <c r="B453" t="s">
        <v>15</v>
      </c>
      <c r="C453" t="s">
        <v>52</v>
      </c>
      <c r="D453" t="s">
        <v>25</v>
      </c>
      <c r="E453">
        <v>49</v>
      </c>
      <c r="F453" t="s">
        <v>18</v>
      </c>
      <c r="G453" t="s">
        <v>57</v>
      </c>
      <c r="H453" t="s">
        <v>944</v>
      </c>
      <c r="I453">
        <v>11</v>
      </c>
      <c r="J453">
        <v>17</v>
      </c>
      <c r="K453">
        <v>219556</v>
      </c>
      <c r="L453">
        <v>2.9</v>
      </c>
      <c r="M453" t="s">
        <v>43</v>
      </c>
      <c r="N453">
        <v>77</v>
      </c>
      <c r="O453">
        <f t="shared" si="112"/>
        <v>549</v>
      </c>
      <c r="P453">
        <f t="shared" si="113"/>
        <v>274</v>
      </c>
      <c r="Q453">
        <f t="shared" si="114"/>
        <v>275</v>
      </c>
      <c r="R453">
        <f t="shared" si="115"/>
        <v>49.650349650349654</v>
      </c>
      <c r="S453" s="1">
        <f t="shared" si="116"/>
        <v>50.24975024975025</v>
      </c>
      <c r="T453" s="1">
        <f t="shared" si="117"/>
        <v>256</v>
      </c>
      <c r="U453" s="1">
        <f t="shared" si="118"/>
        <v>293</v>
      </c>
      <c r="V453" s="1">
        <f t="shared" si="119"/>
        <v>47.5</v>
      </c>
      <c r="W453" s="1">
        <f t="shared" si="120"/>
        <v>52.5</v>
      </c>
      <c r="X453" s="1">
        <f t="shared" si="121"/>
        <v>15.116575591985429</v>
      </c>
      <c r="Y453" s="1">
        <f t="shared" si="122"/>
        <v>85</v>
      </c>
      <c r="Z453" s="1">
        <f t="shared" si="123"/>
        <v>95</v>
      </c>
      <c r="AA453" s="1">
        <f t="shared" si="124"/>
        <v>3.660000000000001</v>
      </c>
      <c r="AB453" s="1">
        <f t="shared" si="125"/>
        <v>3.3263157894736834</v>
      </c>
      <c r="AC453" s="1">
        <f t="shared" si="126"/>
        <v>0</v>
      </c>
      <c r="AD453" s="1">
        <f t="shared" si="127"/>
        <v>1.7229869582932236E-2</v>
      </c>
    </row>
    <row r="454" spans="1:30" x14ac:dyDescent="0.35">
      <c r="A454" t="s">
        <v>945</v>
      </c>
      <c r="B454" t="s">
        <v>96</v>
      </c>
      <c r="C454" t="s">
        <v>82</v>
      </c>
      <c r="D454" t="s">
        <v>25</v>
      </c>
      <c r="E454">
        <v>57</v>
      </c>
      <c r="F454" t="s">
        <v>70</v>
      </c>
      <c r="G454" t="s">
        <v>88</v>
      </c>
      <c r="H454" t="s">
        <v>946</v>
      </c>
      <c r="I454">
        <v>2</v>
      </c>
      <c r="J454">
        <v>3</v>
      </c>
      <c r="K454">
        <v>490962</v>
      </c>
      <c r="L454">
        <v>4.3</v>
      </c>
      <c r="M454" t="s">
        <v>43</v>
      </c>
      <c r="N454">
        <v>83</v>
      </c>
      <c r="O454">
        <f t="shared" si="112"/>
        <v>548</v>
      </c>
      <c r="P454">
        <f t="shared" si="113"/>
        <v>274</v>
      </c>
      <c r="Q454">
        <f t="shared" si="114"/>
        <v>274</v>
      </c>
      <c r="R454">
        <f t="shared" si="115"/>
        <v>49.650349650349654</v>
      </c>
      <c r="S454" s="1">
        <f t="shared" si="116"/>
        <v>50.24975024975025</v>
      </c>
      <c r="T454" s="1">
        <f t="shared" si="117"/>
        <v>256</v>
      </c>
      <c r="U454" s="1">
        <f t="shared" si="118"/>
        <v>292</v>
      </c>
      <c r="V454" s="1">
        <f t="shared" si="119"/>
        <v>47.5</v>
      </c>
      <c r="W454" s="1">
        <f t="shared" si="120"/>
        <v>52.5</v>
      </c>
      <c r="X454" s="1">
        <f t="shared" si="121"/>
        <v>15.113138686131387</v>
      </c>
      <c r="Y454" s="1">
        <f t="shared" si="122"/>
        <v>85</v>
      </c>
      <c r="Z454" s="1">
        <f t="shared" si="123"/>
        <v>95</v>
      </c>
      <c r="AA454" s="1">
        <f t="shared" si="124"/>
        <v>3.660000000000001</v>
      </c>
      <c r="AB454" s="1">
        <f t="shared" si="125"/>
        <v>3.3263157894736834</v>
      </c>
      <c r="AC454" s="1">
        <f t="shared" si="126"/>
        <v>0</v>
      </c>
      <c r="AD454" s="1">
        <f t="shared" si="127"/>
        <v>1.7702360391138976E-2</v>
      </c>
    </row>
    <row r="455" spans="1:30" x14ac:dyDescent="0.35">
      <c r="A455" t="s">
        <v>947</v>
      </c>
      <c r="B455" t="s">
        <v>23</v>
      </c>
      <c r="C455" t="s">
        <v>52</v>
      </c>
      <c r="D455" t="s">
        <v>25</v>
      </c>
      <c r="E455">
        <v>29</v>
      </c>
      <c r="F455" t="s">
        <v>37</v>
      </c>
      <c r="G455" t="s">
        <v>85</v>
      </c>
      <c r="H455" t="s">
        <v>948</v>
      </c>
      <c r="I455">
        <v>15</v>
      </c>
      <c r="J455">
        <v>17</v>
      </c>
      <c r="K455">
        <v>188706</v>
      </c>
      <c r="L455">
        <v>2</v>
      </c>
      <c r="M455" t="s">
        <v>21</v>
      </c>
      <c r="N455">
        <v>51</v>
      </c>
      <c r="O455">
        <f t="shared" si="112"/>
        <v>547</v>
      </c>
      <c r="P455">
        <f t="shared" si="113"/>
        <v>274</v>
      </c>
      <c r="Q455">
        <f t="shared" si="114"/>
        <v>273</v>
      </c>
      <c r="R455">
        <f t="shared" si="115"/>
        <v>49.650349650349654</v>
      </c>
      <c r="S455" s="1">
        <f t="shared" si="116"/>
        <v>50.24975024975025</v>
      </c>
      <c r="T455" s="1">
        <f t="shared" si="117"/>
        <v>256</v>
      </c>
      <c r="U455" s="1">
        <f t="shared" si="118"/>
        <v>291</v>
      </c>
      <c r="V455" s="1">
        <f t="shared" si="119"/>
        <v>47.5</v>
      </c>
      <c r="W455" s="1">
        <f t="shared" si="120"/>
        <v>52.5</v>
      </c>
      <c r="X455" s="1">
        <f t="shared" si="121"/>
        <v>15.135283363802559</v>
      </c>
      <c r="Y455" s="1">
        <f t="shared" si="122"/>
        <v>85</v>
      </c>
      <c r="Z455" s="1">
        <f t="shared" si="123"/>
        <v>95</v>
      </c>
      <c r="AA455" s="1">
        <f t="shared" si="124"/>
        <v>3.660000000000001</v>
      </c>
      <c r="AB455" s="1">
        <f t="shared" si="125"/>
        <v>3.3263157894736834</v>
      </c>
      <c r="AC455" s="1">
        <f t="shared" si="126"/>
        <v>1</v>
      </c>
      <c r="AD455" s="1">
        <f t="shared" si="127"/>
        <v>1.480594378644072E-2</v>
      </c>
    </row>
    <row r="456" spans="1:30" x14ac:dyDescent="0.35">
      <c r="A456" t="s">
        <v>949</v>
      </c>
      <c r="B456" t="s">
        <v>60</v>
      </c>
      <c r="C456" t="s">
        <v>49</v>
      </c>
      <c r="D456" t="s">
        <v>25</v>
      </c>
      <c r="E456">
        <v>51</v>
      </c>
      <c r="F456" t="s">
        <v>46</v>
      </c>
      <c r="G456" t="s">
        <v>26</v>
      </c>
      <c r="H456" t="s">
        <v>950</v>
      </c>
      <c r="I456">
        <v>8</v>
      </c>
      <c r="J456">
        <v>15</v>
      </c>
      <c r="K456">
        <v>218354</v>
      </c>
      <c r="L456">
        <v>2</v>
      </c>
      <c r="M456" t="s">
        <v>43</v>
      </c>
      <c r="N456">
        <v>81</v>
      </c>
      <c r="O456">
        <f t="shared" si="112"/>
        <v>546</v>
      </c>
      <c r="P456">
        <f t="shared" si="113"/>
        <v>274</v>
      </c>
      <c r="Q456">
        <f t="shared" si="114"/>
        <v>272</v>
      </c>
      <c r="R456">
        <f t="shared" si="115"/>
        <v>49.650349650349654</v>
      </c>
      <c r="S456" s="1">
        <f t="shared" si="116"/>
        <v>50.24975024975025</v>
      </c>
      <c r="T456" s="1">
        <f t="shared" si="117"/>
        <v>255</v>
      </c>
      <c r="U456" s="1">
        <f t="shared" si="118"/>
        <v>291</v>
      </c>
      <c r="V456" s="1">
        <f t="shared" si="119"/>
        <v>47.5</v>
      </c>
      <c r="W456" s="1">
        <f t="shared" si="120"/>
        <v>52.5</v>
      </c>
      <c r="X456" s="1">
        <f t="shared" si="121"/>
        <v>15.131868131868131</v>
      </c>
      <c r="Y456" s="1">
        <f t="shared" si="122"/>
        <v>85</v>
      </c>
      <c r="Z456" s="1">
        <f t="shared" si="123"/>
        <v>95</v>
      </c>
      <c r="AA456" s="1">
        <f t="shared" si="124"/>
        <v>3.660000000000001</v>
      </c>
      <c r="AB456" s="1">
        <f t="shared" si="125"/>
        <v>3.3263157894736834</v>
      </c>
      <c r="AC456" s="1">
        <f t="shared" si="126"/>
        <v>0</v>
      </c>
      <c r="AD456" s="1">
        <f t="shared" si="127"/>
        <v>1.4303048594594532E-2</v>
      </c>
    </row>
    <row r="457" spans="1:30" x14ac:dyDescent="0.35">
      <c r="A457" t="s">
        <v>951</v>
      </c>
      <c r="B457" t="s">
        <v>23</v>
      </c>
      <c r="C457" t="s">
        <v>36</v>
      </c>
      <c r="D457" t="s">
        <v>17</v>
      </c>
      <c r="E457">
        <v>33</v>
      </c>
      <c r="F457" t="s">
        <v>74</v>
      </c>
      <c r="G457" t="s">
        <v>71</v>
      </c>
      <c r="H457" t="s">
        <v>952</v>
      </c>
      <c r="I457">
        <v>0</v>
      </c>
      <c r="J457">
        <v>2</v>
      </c>
      <c r="K457">
        <v>143020</v>
      </c>
      <c r="L457">
        <v>4.0999999999999996</v>
      </c>
      <c r="M457" t="s">
        <v>43</v>
      </c>
      <c r="N457">
        <v>88</v>
      </c>
      <c r="O457">
        <f t="shared" si="112"/>
        <v>545</v>
      </c>
      <c r="P457">
        <f t="shared" si="113"/>
        <v>274</v>
      </c>
      <c r="Q457">
        <f t="shared" si="114"/>
        <v>271</v>
      </c>
      <c r="R457">
        <f t="shared" si="115"/>
        <v>49.650349650349654</v>
      </c>
      <c r="S457" s="1">
        <f t="shared" si="116"/>
        <v>50.24975024975025</v>
      </c>
      <c r="T457" s="1">
        <f t="shared" si="117"/>
        <v>255</v>
      </c>
      <c r="U457" s="1">
        <f t="shared" si="118"/>
        <v>290</v>
      </c>
      <c r="V457" s="1">
        <f t="shared" si="119"/>
        <v>47.5</v>
      </c>
      <c r="W457" s="1">
        <f t="shared" si="120"/>
        <v>52.5</v>
      </c>
      <c r="X457" s="1">
        <f t="shared" si="121"/>
        <v>15.132110091743119</v>
      </c>
      <c r="Y457" s="1">
        <f t="shared" si="122"/>
        <v>85</v>
      </c>
      <c r="Z457" s="1">
        <f t="shared" si="123"/>
        <v>95</v>
      </c>
      <c r="AA457" s="1">
        <f t="shared" si="124"/>
        <v>3.660000000000001</v>
      </c>
      <c r="AB457" s="1">
        <f t="shared" si="125"/>
        <v>3.3263157894736834</v>
      </c>
      <c r="AC457" s="1">
        <f t="shared" si="126"/>
        <v>0</v>
      </c>
      <c r="AD457" s="1">
        <f t="shared" si="127"/>
        <v>1.4282300991357242E-2</v>
      </c>
    </row>
    <row r="458" spans="1:30" x14ac:dyDescent="0.35">
      <c r="A458" t="s">
        <v>953</v>
      </c>
      <c r="B458" t="s">
        <v>35</v>
      </c>
      <c r="C458" t="s">
        <v>52</v>
      </c>
      <c r="D458" t="s">
        <v>25</v>
      </c>
      <c r="E458">
        <v>36</v>
      </c>
      <c r="F458" t="s">
        <v>70</v>
      </c>
      <c r="G458" t="s">
        <v>75</v>
      </c>
      <c r="H458" t="s">
        <v>954</v>
      </c>
      <c r="I458">
        <v>13</v>
      </c>
      <c r="J458">
        <v>17</v>
      </c>
      <c r="K458">
        <v>326732</v>
      </c>
      <c r="L458">
        <v>2.1</v>
      </c>
      <c r="M458" t="s">
        <v>21</v>
      </c>
      <c r="N458">
        <v>66</v>
      </c>
      <c r="O458">
        <f t="shared" si="112"/>
        <v>544</v>
      </c>
      <c r="P458">
        <f t="shared" si="113"/>
        <v>273</v>
      </c>
      <c r="Q458">
        <f t="shared" si="114"/>
        <v>271</v>
      </c>
      <c r="R458">
        <f t="shared" si="115"/>
        <v>49.650349650349654</v>
      </c>
      <c r="S458" s="1">
        <f t="shared" si="116"/>
        <v>50.24975024975025</v>
      </c>
      <c r="T458" s="1">
        <f t="shared" si="117"/>
        <v>255</v>
      </c>
      <c r="U458" s="1">
        <f t="shared" si="118"/>
        <v>289</v>
      </c>
      <c r="V458" s="1">
        <f t="shared" si="119"/>
        <v>47.5</v>
      </c>
      <c r="W458" s="1">
        <f t="shared" si="120"/>
        <v>52.5</v>
      </c>
      <c r="X458" s="1">
        <f t="shared" si="121"/>
        <v>15.15625</v>
      </c>
      <c r="Y458" s="1">
        <f t="shared" si="122"/>
        <v>84</v>
      </c>
      <c r="Z458" s="1">
        <f t="shared" si="123"/>
        <v>95</v>
      </c>
      <c r="AA458" s="1">
        <f t="shared" si="124"/>
        <v>3.654761904761906</v>
      </c>
      <c r="AB458" s="1">
        <f t="shared" si="125"/>
        <v>3.3263157894736834</v>
      </c>
      <c r="AC458" s="1">
        <f t="shared" si="126"/>
        <v>1</v>
      </c>
      <c r="AD458" s="1">
        <f t="shared" si="127"/>
        <v>1.1107909704035128E-2</v>
      </c>
    </row>
    <row r="459" spans="1:30" x14ac:dyDescent="0.35">
      <c r="A459" t="s">
        <v>955</v>
      </c>
      <c r="B459" t="s">
        <v>55</v>
      </c>
      <c r="C459" t="s">
        <v>24</v>
      </c>
      <c r="D459" t="s">
        <v>17</v>
      </c>
      <c r="E459">
        <v>34</v>
      </c>
      <c r="F459" t="s">
        <v>46</v>
      </c>
      <c r="G459" t="s">
        <v>41</v>
      </c>
      <c r="H459" t="s">
        <v>956</v>
      </c>
      <c r="I459">
        <v>11</v>
      </c>
      <c r="J459">
        <v>16</v>
      </c>
      <c r="K459">
        <v>107237</v>
      </c>
      <c r="L459">
        <v>2.9</v>
      </c>
      <c r="M459" t="s">
        <v>21</v>
      </c>
      <c r="N459">
        <v>40</v>
      </c>
      <c r="O459">
        <f t="shared" si="112"/>
        <v>543</v>
      </c>
      <c r="P459">
        <f t="shared" si="113"/>
        <v>273</v>
      </c>
      <c r="Q459">
        <f t="shared" si="114"/>
        <v>270</v>
      </c>
      <c r="R459">
        <f t="shared" si="115"/>
        <v>49.650349650349654</v>
      </c>
      <c r="S459" s="1">
        <f t="shared" si="116"/>
        <v>50.24975024975025</v>
      </c>
      <c r="T459" s="1">
        <f t="shared" si="117"/>
        <v>254</v>
      </c>
      <c r="U459" s="1">
        <f t="shared" si="118"/>
        <v>289</v>
      </c>
      <c r="V459" s="1">
        <f t="shared" si="119"/>
        <v>47.5</v>
      </c>
      <c r="W459" s="1">
        <f t="shared" si="120"/>
        <v>52.5</v>
      </c>
      <c r="X459" s="1">
        <f t="shared" si="121"/>
        <v>15.152854511970535</v>
      </c>
      <c r="Y459" s="1">
        <f t="shared" si="122"/>
        <v>84</v>
      </c>
      <c r="Z459" s="1">
        <f t="shared" si="123"/>
        <v>95</v>
      </c>
      <c r="AA459" s="1">
        <f t="shared" si="124"/>
        <v>3.654761904761906</v>
      </c>
      <c r="AB459" s="1">
        <f t="shared" si="125"/>
        <v>3.3263157894736834</v>
      </c>
      <c r="AC459" s="1">
        <f t="shared" si="126"/>
        <v>1</v>
      </c>
      <c r="AD459" s="1">
        <f t="shared" si="127"/>
        <v>1.0604434616822801E-2</v>
      </c>
    </row>
    <row r="460" spans="1:30" x14ac:dyDescent="0.35">
      <c r="A460" t="s">
        <v>957</v>
      </c>
      <c r="B460" t="s">
        <v>69</v>
      </c>
      <c r="C460" t="s">
        <v>49</v>
      </c>
      <c r="D460" t="s">
        <v>25</v>
      </c>
      <c r="E460">
        <v>54</v>
      </c>
      <c r="F460" t="s">
        <v>37</v>
      </c>
      <c r="G460" t="s">
        <v>57</v>
      </c>
      <c r="H460" t="s">
        <v>958</v>
      </c>
      <c r="I460">
        <v>11</v>
      </c>
      <c r="J460">
        <v>20</v>
      </c>
      <c r="K460">
        <v>117011</v>
      </c>
      <c r="L460">
        <v>2.2999999999999998</v>
      </c>
      <c r="M460" t="s">
        <v>43</v>
      </c>
      <c r="N460">
        <v>89</v>
      </c>
      <c r="O460">
        <f t="shared" si="112"/>
        <v>542</v>
      </c>
      <c r="P460">
        <f t="shared" si="113"/>
        <v>272</v>
      </c>
      <c r="Q460">
        <f t="shared" si="114"/>
        <v>270</v>
      </c>
      <c r="R460">
        <f t="shared" si="115"/>
        <v>49.650349650349654</v>
      </c>
      <c r="S460" s="1">
        <f t="shared" si="116"/>
        <v>50.24975024975025</v>
      </c>
      <c r="T460" s="1">
        <f t="shared" si="117"/>
        <v>253</v>
      </c>
      <c r="U460" s="1">
        <f t="shared" si="118"/>
        <v>289</v>
      </c>
      <c r="V460" s="1">
        <f t="shared" si="119"/>
        <v>47.5</v>
      </c>
      <c r="W460" s="1">
        <f t="shared" si="120"/>
        <v>52.5</v>
      </c>
      <c r="X460" s="1">
        <f t="shared" si="121"/>
        <v>15.15129151291513</v>
      </c>
      <c r="Y460" s="1">
        <f t="shared" si="122"/>
        <v>84</v>
      </c>
      <c r="Z460" s="1">
        <f t="shared" si="123"/>
        <v>95</v>
      </c>
      <c r="AA460" s="1">
        <f t="shared" si="124"/>
        <v>3.654761904761906</v>
      </c>
      <c r="AB460" s="1">
        <f t="shared" si="125"/>
        <v>3.3263157894736834</v>
      </c>
      <c r="AC460" s="1">
        <f t="shared" si="126"/>
        <v>0</v>
      </c>
      <c r="AD460" s="1">
        <f t="shared" si="127"/>
        <v>1.0378044832966199E-2</v>
      </c>
    </row>
    <row r="461" spans="1:30" x14ac:dyDescent="0.35">
      <c r="A461" t="s">
        <v>959</v>
      </c>
      <c r="B461" t="s">
        <v>111</v>
      </c>
      <c r="C461" t="s">
        <v>93</v>
      </c>
      <c r="D461" t="s">
        <v>17</v>
      </c>
      <c r="E461">
        <v>25</v>
      </c>
      <c r="F461" t="s">
        <v>79</v>
      </c>
      <c r="G461" t="s">
        <v>19</v>
      </c>
      <c r="H461" t="s">
        <v>960</v>
      </c>
      <c r="I461">
        <v>20</v>
      </c>
      <c r="J461">
        <v>21</v>
      </c>
      <c r="K461">
        <v>458521</v>
      </c>
      <c r="L461">
        <v>2</v>
      </c>
      <c r="M461" t="s">
        <v>43</v>
      </c>
      <c r="N461">
        <v>74</v>
      </c>
      <c r="O461">
        <f t="shared" si="112"/>
        <v>541</v>
      </c>
      <c r="P461">
        <f t="shared" si="113"/>
        <v>272</v>
      </c>
      <c r="Q461">
        <f t="shared" si="114"/>
        <v>269</v>
      </c>
      <c r="R461">
        <f t="shared" si="115"/>
        <v>49.650349650349654</v>
      </c>
      <c r="S461" s="1">
        <f t="shared" si="116"/>
        <v>50.24975024975025</v>
      </c>
      <c r="T461" s="1">
        <f t="shared" si="117"/>
        <v>253</v>
      </c>
      <c r="U461" s="1">
        <f t="shared" si="118"/>
        <v>288</v>
      </c>
      <c r="V461" s="1">
        <f t="shared" si="119"/>
        <v>47.5</v>
      </c>
      <c r="W461" s="1">
        <f t="shared" si="120"/>
        <v>52.5</v>
      </c>
      <c r="X461" s="1">
        <f t="shared" si="121"/>
        <v>15.142329020332717</v>
      </c>
      <c r="Y461" s="1">
        <f t="shared" si="122"/>
        <v>84</v>
      </c>
      <c r="Z461" s="1">
        <f t="shared" si="123"/>
        <v>95</v>
      </c>
      <c r="AA461" s="1">
        <f t="shared" si="124"/>
        <v>3.654761904761906</v>
      </c>
      <c r="AB461" s="1">
        <f t="shared" si="125"/>
        <v>3.3263157894736834</v>
      </c>
      <c r="AC461" s="1">
        <f t="shared" si="126"/>
        <v>0</v>
      </c>
      <c r="AD461" s="1">
        <f t="shared" si="127"/>
        <v>1.1585641913164069E-2</v>
      </c>
    </row>
    <row r="462" spans="1:30" x14ac:dyDescent="0.35">
      <c r="A462" t="s">
        <v>961</v>
      </c>
      <c r="B462" t="s">
        <v>55</v>
      </c>
      <c r="C462" t="s">
        <v>36</v>
      </c>
      <c r="D462" t="s">
        <v>25</v>
      </c>
      <c r="E462">
        <v>24</v>
      </c>
      <c r="F462" t="s">
        <v>74</v>
      </c>
      <c r="G462" t="s">
        <v>75</v>
      </c>
      <c r="H462" t="s">
        <v>554</v>
      </c>
      <c r="I462">
        <v>17</v>
      </c>
      <c r="J462">
        <v>26</v>
      </c>
      <c r="K462">
        <v>92068</v>
      </c>
      <c r="L462">
        <v>2.5</v>
      </c>
      <c r="M462" t="s">
        <v>43</v>
      </c>
      <c r="N462">
        <v>76</v>
      </c>
      <c r="O462">
        <f t="shared" si="112"/>
        <v>540</v>
      </c>
      <c r="P462">
        <f t="shared" si="113"/>
        <v>271</v>
      </c>
      <c r="Q462">
        <f t="shared" si="114"/>
        <v>269</v>
      </c>
      <c r="R462">
        <f t="shared" si="115"/>
        <v>49.650349650349654</v>
      </c>
      <c r="S462" s="1">
        <f t="shared" si="116"/>
        <v>50.24975024975025</v>
      </c>
      <c r="T462" s="1">
        <f t="shared" si="117"/>
        <v>253</v>
      </c>
      <c r="U462" s="1">
        <f t="shared" si="118"/>
        <v>287</v>
      </c>
      <c r="V462" s="1">
        <f t="shared" si="119"/>
        <v>47.5</v>
      </c>
      <c r="W462" s="1">
        <f t="shared" si="120"/>
        <v>52.5</v>
      </c>
      <c r="X462" s="1">
        <f t="shared" si="121"/>
        <v>15.131481481481481</v>
      </c>
      <c r="Y462" s="1">
        <f t="shared" si="122"/>
        <v>84</v>
      </c>
      <c r="Z462" s="1">
        <f t="shared" si="123"/>
        <v>95</v>
      </c>
      <c r="AA462" s="1">
        <f t="shared" si="124"/>
        <v>3.654761904761906</v>
      </c>
      <c r="AB462" s="1">
        <f t="shared" si="125"/>
        <v>3.3263157894736834</v>
      </c>
      <c r="AC462" s="1">
        <f t="shared" si="126"/>
        <v>0</v>
      </c>
      <c r="AD462" s="1">
        <f t="shared" si="127"/>
        <v>1.3050520828080562E-2</v>
      </c>
    </row>
    <row r="463" spans="1:30" x14ac:dyDescent="0.35">
      <c r="A463" t="s">
        <v>962</v>
      </c>
      <c r="B463" t="s">
        <v>45</v>
      </c>
      <c r="C463" t="s">
        <v>49</v>
      </c>
      <c r="D463" t="s">
        <v>17</v>
      </c>
      <c r="E463">
        <v>52</v>
      </c>
      <c r="F463" t="s">
        <v>31</v>
      </c>
      <c r="G463" t="s">
        <v>71</v>
      </c>
      <c r="H463" t="s">
        <v>963</v>
      </c>
      <c r="I463">
        <v>18</v>
      </c>
      <c r="J463">
        <v>27</v>
      </c>
      <c r="K463">
        <v>471361</v>
      </c>
      <c r="L463">
        <v>4.4000000000000004</v>
      </c>
      <c r="M463" t="s">
        <v>43</v>
      </c>
      <c r="N463">
        <v>79</v>
      </c>
      <c r="O463">
        <f t="shared" si="112"/>
        <v>539</v>
      </c>
      <c r="P463">
        <f t="shared" si="113"/>
        <v>271</v>
      </c>
      <c r="Q463">
        <f t="shared" si="114"/>
        <v>268</v>
      </c>
      <c r="R463">
        <f t="shared" si="115"/>
        <v>49.650349650349654</v>
      </c>
      <c r="S463" s="1">
        <f t="shared" si="116"/>
        <v>50.24975024975025</v>
      </c>
      <c r="T463" s="1">
        <f t="shared" si="117"/>
        <v>253</v>
      </c>
      <c r="U463" s="1">
        <f t="shared" si="118"/>
        <v>286</v>
      </c>
      <c r="V463" s="1">
        <f t="shared" si="119"/>
        <v>47.5</v>
      </c>
      <c r="W463" s="1">
        <f t="shared" si="120"/>
        <v>52.5</v>
      </c>
      <c r="X463" s="1">
        <f t="shared" si="121"/>
        <v>15.111317254174397</v>
      </c>
      <c r="Y463" s="1">
        <f t="shared" si="122"/>
        <v>83</v>
      </c>
      <c r="Z463" s="1">
        <f t="shared" si="123"/>
        <v>95</v>
      </c>
      <c r="AA463" s="1">
        <f t="shared" si="124"/>
        <v>3.6686746987951815</v>
      </c>
      <c r="AB463" s="1">
        <f t="shared" si="125"/>
        <v>3.3263157894736834</v>
      </c>
      <c r="AC463" s="1">
        <f t="shared" si="126"/>
        <v>0</v>
      </c>
      <c r="AD463" s="1">
        <f t="shared" si="127"/>
        <v>1.5790048026165467E-2</v>
      </c>
    </row>
    <row r="464" spans="1:30" x14ac:dyDescent="0.35">
      <c r="A464" t="s">
        <v>964</v>
      </c>
      <c r="B464" t="s">
        <v>45</v>
      </c>
      <c r="C464" t="s">
        <v>93</v>
      </c>
      <c r="D464" t="s">
        <v>17</v>
      </c>
      <c r="E464">
        <v>48</v>
      </c>
      <c r="F464" t="s">
        <v>31</v>
      </c>
      <c r="G464" t="s">
        <v>75</v>
      </c>
      <c r="H464" t="s">
        <v>965</v>
      </c>
      <c r="I464">
        <v>19</v>
      </c>
      <c r="J464">
        <v>29</v>
      </c>
      <c r="K464">
        <v>399396</v>
      </c>
      <c r="L464">
        <v>2.5</v>
      </c>
      <c r="M464" t="s">
        <v>21</v>
      </c>
      <c r="N464">
        <v>36</v>
      </c>
      <c r="O464">
        <f t="shared" si="112"/>
        <v>538</v>
      </c>
      <c r="P464">
        <f t="shared" si="113"/>
        <v>270</v>
      </c>
      <c r="Q464">
        <f t="shared" si="114"/>
        <v>268</v>
      </c>
      <c r="R464">
        <f t="shared" si="115"/>
        <v>49.650349650349654</v>
      </c>
      <c r="S464" s="1">
        <f t="shared" si="116"/>
        <v>50.24975024975025</v>
      </c>
      <c r="T464" s="1">
        <f t="shared" si="117"/>
        <v>253</v>
      </c>
      <c r="U464" s="1">
        <f t="shared" si="118"/>
        <v>285</v>
      </c>
      <c r="V464" s="1">
        <f t="shared" si="119"/>
        <v>47.5</v>
      </c>
      <c r="W464" s="1">
        <f t="shared" si="120"/>
        <v>52.5</v>
      </c>
      <c r="X464" s="1">
        <f t="shared" si="121"/>
        <v>15.089219330855018</v>
      </c>
      <c r="Y464" s="1">
        <f t="shared" si="122"/>
        <v>83</v>
      </c>
      <c r="Z464" s="1">
        <f t="shared" si="123"/>
        <v>94</v>
      </c>
      <c r="AA464" s="1">
        <f t="shared" si="124"/>
        <v>3.6686746987951815</v>
      </c>
      <c r="AB464" s="1">
        <f t="shared" si="125"/>
        <v>3.3148936170212768</v>
      </c>
      <c r="AC464" s="1">
        <f t="shared" si="126"/>
        <v>1</v>
      </c>
      <c r="AD464" s="1">
        <f t="shared" si="127"/>
        <v>1.8814353336629886E-2</v>
      </c>
    </row>
    <row r="465" spans="1:30" x14ac:dyDescent="0.35">
      <c r="A465" t="s">
        <v>966</v>
      </c>
      <c r="B465" t="s">
        <v>69</v>
      </c>
      <c r="C465" t="s">
        <v>56</v>
      </c>
      <c r="D465" t="s">
        <v>25</v>
      </c>
      <c r="E465">
        <v>51</v>
      </c>
      <c r="F465" t="s">
        <v>79</v>
      </c>
      <c r="G465" t="s">
        <v>32</v>
      </c>
      <c r="H465" t="s">
        <v>967</v>
      </c>
      <c r="I465">
        <v>7</v>
      </c>
      <c r="J465">
        <v>8</v>
      </c>
      <c r="K465">
        <v>236287</v>
      </c>
      <c r="L465">
        <v>2.8</v>
      </c>
      <c r="M465" t="s">
        <v>21</v>
      </c>
      <c r="N465">
        <v>66</v>
      </c>
      <c r="O465">
        <f t="shared" si="112"/>
        <v>537</v>
      </c>
      <c r="P465">
        <f t="shared" si="113"/>
        <v>269</v>
      </c>
      <c r="Q465">
        <f t="shared" si="114"/>
        <v>268</v>
      </c>
      <c r="R465">
        <f t="shared" si="115"/>
        <v>49.650349650349654</v>
      </c>
      <c r="S465" s="1">
        <f t="shared" si="116"/>
        <v>50.24975024975025</v>
      </c>
      <c r="T465" s="1">
        <f t="shared" si="117"/>
        <v>252</v>
      </c>
      <c r="U465" s="1">
        <f t="shared" si="118"/>
        <v>285</v>
      </c>
      <c r="V465" s="1">
        <f t="shared" si="119"/>
        <v>47.5</v>
      </c>
      <c r="W465" s="1">
        <f t="shared" si="120"/>
        <v>52.5</v>
      </c>
      <c r="X465" s="1">
        <f t="shared" si="121"/>
        <v>15.063314711359403</v>
      </c>
      <c r="Y465" s="1">
        <f t="shared" si="122"/>
        <v>83</v>
      </c>
      <c r="Z465" s="1">
        <f t="shared" si="123"/>
        <v>93</v>
      </c>
      <c r="AA465" s="1">
        <f t="shared" si="124"/>
        <v>3.6686746987951815</v>
      </c>
      <c r="AB465" s="1">
        <f t="shared" si="125"/>
        <v>3.3236559139784942</v>
      </c>
      <c r="AC465" s="1">
        <f t="shared" si="126"/>
        <v>1</v>
      </c>
      <c r="AD465" s="1">
        <f t="shared" si="127"/>
        <v>1.4964165154847017E-2</v>
      </c>
    </row>
    <row r="466" spans="1:30" x14ac:dyDescent="0.35">
      <c r="A466" t="s">
        <v>968</v>
      </c>
      <c r="B466" t="s">
        <v>55</v>
      </c>
      <c r="C466" t="s">
        <v>30</v>
      </c>
      <c r="D466" t="s">
        <v>25</v>
      </c>
      <c r="E466">
        <v>48</v>
      </c>
      <c r="F466" t="s">
        <v>70</v>
      </c>
      <c r="G466" t="s">
        <v>57</v>
      </c>
      <c r="H466" t="s">
        <v>383</v>
      </c>
      <c r="I466">
        <v>12</v>
      </c>
      <c r="J466">
        <v>14</v>
      </c>
      <c r="K466">
        <v>497709</v>
      </c>
      <c r="L466">
        <v>5</v>
      </c>
      <c r="M466" t="s">
        <v>21</v>
      </c>
      <c r="N466">
        <v>62</v>
      </c>
      <c r="O466">
        <f t="shared" si="112"/>
        <v>536</v>
      </c>
      <c r="P466">
        <f t="shared" si="113"/>
        <v>269</v>
      </c>
      <c r="Q466">
        <f t="shared" si="114"/>
        <v>267</v>
      </c>
      <c r="R466">
        <f t="shared" si="115"/>
        <v>49.650349650349654</v>
      </c>
      <c r="S466" s="1">
        <f t="shared" si="116"/>
        <v>50.24975024975025</v>
      </c>
      <c r="T466" s="1">
        <f t="shared" si="117"/>
        <v>251</v>
      </c>
      <c r="U466" s="1">
        <f t="shared" si="118"/>
        <v>285</v>
      </c>
      <c r="V466" s="1">
        <f t="shared" si="119"/>
        <v>47.5</v>
      </c>
      <c r="W466" s="1">
        <f t="shared" si="120"/>
        <v>52.5</v>
      </c>
      <c r="X466" s="1">
        <f t="shared" si="121"/>
        <v>15.076492537313433</v>
      </c>
      <c r="Y466" s="1">
        <f t="shared" si="122"/>
        <v>83</v>
      </c>
      <c r="Z466" s="1">
        <f t="shared" si="123"/>
        <v>93</v>
      </c>
      <c r="AA466" s="1">
        <f t="shared" si="124"/>
        <v>3.6686746987951815</v>
      </c>
      <c r="AB466" s="1">
        <f t="shared" si="125"/>
        <v>3.3236559139784942</v>
      </c>
      <c r="AC466" s="1">
        <f t="shared" si="126"/>
        <v>1</v>
      </c>
      <c r="AD466" s="1">
        <f t="shared" si="127"/>
        <v>1.7002248859810103E-2</v>
      </c>
    </row>
    <row r="467" spans="1:30" x14ac:dyDescent="0.35">
      <c r="A467" t="s">
        <v>969</v>
      </c>
      <c r="B467" t="s">
        <v>69</v>
      </c>
      <c r="C467" t="s">
        <v>24</v>
      </c>
      <c r="D467" t="s">
        <v>17</v>
      </c>
      <c r="E467">
        <v>43</v>
      </c>
      <c r="F467" t="s">
        <v>70</v>
      </c>
      <c r="G467" t="s">
        <v>88</v>
      </c>
      <c r="H467" t="s">
        <v>970</v>
      </c>
      <c r="I467">
        <v>20</v>
      </c>
      <c r="J467">
        <v>20</v>
      </c>
      <c r="K467">
        <v>50457</v>
      </c>
      <c r="L467">
        <v>2.7</v>
      </c>
      <c r="M467" t="s">
        <v>21</v>
      </c>
      <c r="N467">
        <v>70</v>
      </c>
      <c r="O467">
        <f t="shared" si="112"/>
        <v>535</v>
      </c>
      <c r="P467">
        <f t="shared" si="113"/>
        <v>269</v>
      </c>
      <c r="Q467">
        <f t="shared" si="114"/>
        <v>266</v>
      </c>
      <c r="R467">
        <f t="shared" si="115"/>
        <v>49.650349650349654</v>
      </c>
      <c r="S467" s="1">
        <f t="shared" si="116"/>
        <v>50.24975024975025</v>
      </c>
      <c r="T467" s="1">
        <f t="shared" si="117"/>
        <v>250</v>
      </c>
      <c r="U467" s="1">
        <f t="shared" si="118"/>
        <v>285</v>
      </c>
      <c r="V467" s="1">
        <f t="shared" si="119"/>
        <v>47.5</v>
      </c>
      <c r="W467" s="1">
        <f t="shared" si="120"/>
        <v>52.5</v>
      </c>
      <c r="X467" s="1">
        <f t="shared" si="121"/>
        <v>15.078504672897196</v>
      </c>
      <c r="Y467" s="1">
        <f t="shared" si="122"/>
        <v>83</v>
      </c>
      <c r="Z467" s="1">
        <f t="shared" si="123"/>
        <v>93</v>
      </c>
      <c r="AA467" s="1">
        <f t="shared" si="124"/>
        <v>3.6686746987951815</v>
      </c>
      <c r="AB467" s="1">
        <f t="shared" si="125"/>
        <v>3.3236559139784942</v>
      </c>
      <c r="AC467" s="1">
        <f t="shared" si="126"/>
        <v>1</v>
      </c>
      <c r="AD467" s="1">
        <f t="shared" si="127"/>
        <v>1.7327632532113585E-2</v>
      </c>
    </row>
    <row r="468" spans="1:30" x14ac:dyDescent="0.35">
      <c r="A468" t="s">
        <v>971</v>
      </c>
      <c r="B468" t="s">
        <v>96</v>
      </c>
      <c r="C468" t="s">
        <v>52</v>
      </c>
      <c r="D468" t="s">
        <v>17</v>
      </c>
      <c r="E468">
        <v>45</v>
      </c>
      <c r="F468" t="s">
        <v>74</v>
      </c>
      <c r="G468" t="s">
        <v>26</v>
      </c>
      <c r="H468" t="s">
        <v>972</v>
      </c>
      <c r="I468">
        <v>6</v>
      </c>
      <c r="J468">
        <v>11</v>
      </c>
      <c r="K468">
        <v>99937</v>
      </c>
      <c r="L468">
        <v>4.8</v>
      </c>
      <c r="M468" t="s">
        <v>21</v>
      </c>
      <c r="N468">
        <v>58</v>
      </c>
      <c r="O468">
        <f t="shared" si="112"/>
        <v>534</v>
      </c>
      <c r="P468">
        <f t="shared" si="113"/>
        <v>268</v>
      </c>
      <c r="Q468">
        <f t="shared" si="114"/>
        <v>266</v>
      </c>
      <c r="R468">
        <f t="shared" si="115"/>
        <v>49.650349650349654</v>
      </c>
      <c r="S468" s="1">
        <f t="shared" si="116"/>
        <v>50.24975024975025</v>
      </c>
      <c r="T468" s="1">
        <f t="shared" si="117"/>
        <v>249</v>
      </c>
      <c r="U468" s="1">
        <f t="shared" si="118"/>
        <v>285</v>
      </c>
      <c r="V468" s="1">
        <f t="shared" si="119"/>
        <v>47.5</v>
      </c>
      <c r="W468" s="1">
        <f t="shared" si="120"/>
        <v>52.5</v>
      </c>
      <c r="X468" s="1">
        <f t="shared" si="121"/>
        <v>15.069288389513108</v>
      </c>
      <c r="Y468" s="1">
        <f t="shared" si="122"/>
        <v>83</v>
      </c>
      <c r="Z468" s="1">
        <f t="shared" si="123"/>
        <v>93</v>
      </c>
      <c r="AA468" s="1">
        <f t="shared" si="124"/>
        <v>3.6686746987951815</v>
      </c>
      <c r="AB468" s="1">
        <f t="shared" si="125"/>
        <v>3.3236559139784942</v>
      </c>
      <c r="AC468" s="1">
        <f t="shared" si="126"/>
        <v>1</v>
      </c>
      <c r="AD468" s="1">
        <f t="shared" si="127"/>
        <v>1.5946166231248379E-2</v>
      </c>
    </row>
    <row r="469" spans="1:30" x14ac:dyDescent="0.35">
      <c r="A469" t="s">
        <v>973</v>
      </c>
      <c r="B469" t="s">
        <v>35</v>
      </c>
      <c r="C469" t="s">
        <v>49</v>
      </c>
      <c r="D469" t="s">
        <v>17</v>
      </c>
      <c r="E469">
        <v>51</v>
      </c>
      <c r="F469" t="s">
        <v>46</v>
      </c>
      <c r="G469" t="s">
        <v>75</v>
      </c>
      <c r="H469" t="s">
        <v>974</v>
      </c>
      <c r="I469">
        <v>12</v>
      </c>
      <c r="J469">
        <v>15</v>
      </c>
      <c r="K469">
        <v>355755</v>
      </c>
      <c r="L469">
        <v>3.5</v>
      </c>
      <c r="M469" t="s">
        <v>43</v>
      </c>
      <c r="N469">
        <v>94</v>
      </c>
      <c r="O469">
        <f t="shared" si="112"/>
        <v>533</v>
      </c>
      <c r="P469">
        <f t="shared" si="113"/>
        <v>267</v>
      </c>
      <c r="Q469">
        <f t="shared" si="114"/>
        <v>266</v>
      </c>
      <c r="R469">
        <f t="shared" si="115"/>
        <v>49.650349650349654</v>
      </c>
      <c r="S469" s="1">
        <f t="shared" si="116"/>
        <v>50.24975024975025</v>
      </c>
      <c r="T469" s="1">
        <f t="shared" si="117"/>
        <v>248</v>
      </c>
      <c r="U469" s="1">
        <f t="shared" si="118"/>
        <v>285</v>
      </c>
      <c r="V469" s="1">
        <f t="shared" si="119"/>
        <v>47.5</v>
      </c>
      <c r="W469" s="1">
        <f t="shared" si="120"/>
        <v>52.5</v>
      </c>
      <c r="X469" s="1">
        <f t="shared" si="121"/>
        <v>15.076923076923077</v>
      </c>
      <c r="Y469" s="1">
        <f t="shared" si="122"/>
        <v>82</v>
      </c>
      <c r="Z469" s="1">
        <f t="shared" si="123"/>
        <v>93</v>
      </c>
      <c r="AA469" s="1">
        <f t="shared" si="124"/>
        <v>3.6548780487804891</v>
      </c>
      <c r="AB469" s="1">
        <f t="shared" si="125"/>
        <v>3.3236559139784942</v>
      </c>
      <c r="AC469" s="1">
        <f t="shared" si="126"/>
        <v>0</v>
      </c>
      <c r="AD469" s="1">
        <f t="shared" si="127"/>
        <v>1.7136396163530156E-2</v>
      </c>
    </row>
    <row r="470" spans="1:30" x14ac:dyDescent="0.35">
      <c r="A470" t="s">
        <v>975</v>
      </c>
      <c r="B470" t="s">
        <v>45</v>
      </c>
      <c r="C470" t="s">
        <v>56</v>
      </c>
      <c r="D470" t="s">
        <v>17</v>
      </c>
      <c r="E470">
        <v>23</v>
      </c>
      <c r="F470" t="s">
        <v>37</v>
      </c>
      <c r="G470" t="s">
        <v>85</v>
      </c>
      <c r="H470" t="s">
        <v>976</v>
      </c>
      <c r="I470">
        <v>11</v>
      </c>
      <c r="J470">
        <v>18</v>
      </c>
      <c r="K470">
        <v>96417</v>
      </c>
      <c r="L470">
        <v>3.3</v>
      </c>
      <c r="M470" t="s">
        <v>21</v>
      </c>
      <c r="N470">
        <v>63</v>
      </c>
      <c r="O470">
        <f t="shared" si="112"/>
        <v>532</v>
      </c>
      <c r="P470">
        <f t="shared" si="113"/>
        <v>266</v>
      </c>
      <c r="Q470">
        <f t="shared" si="114"/>
        <v>266</v>
      </c>
      <c r="R470">
        <f t="shared" si="115"/>
        <v>49.650349650349654</v>
      </c>
      <c r="S470" s="1">
        <f t="shared" si="116"/>
        <v>50.24975024975025</v>
      </c>
      <c r="T470" s="1">
        <f t="shared" si="117"/>
        <v>248</v>
      </c>
      <c r="U470" s="1">
        <f t="shared" si="118"/>
        <v>284</v>
      </c>
      <c r="V470" s="1">
        <f t="shared" si="119"/>
        <v>47.5</v>
      </c>
      <c r="W470" s="1">
        <f t="shared" si="120"/>
        <v>52.5</v>
      </c>
      <c r="X470" s="1">
        <f t="shared" si="121"/>
        <v>15.077067669172932</v>
      </c>
      <c r="Y470" s="1">
        <f t="shared" si="122"/>
        <v>82</v>
      </c>
      <c r="Z470" s="1">
        <f t="shared" si="123"/>
        <v>93</v>
      </c>
      <c r="AA470" s="1">
        <f t="shared" si="124"/>
        <v>3.6548780487804891</v>
      </c>
      <c r="AB470" s="1">
        <f t="shared" si="125"/>
        <v>3.3236559139784942</v>
      </c>
      <c r="AC470" s="1">
        <f t="shared" si="126"/>
        <v>1</v>
      </c>
      <c r="AD470" s="1">
        <f t="shared" si="127"/>
        <v>1.7131165141365045E-2</v>
      </c>
    </row>
    <row r="471" spans="1:30" x14ac:dyDescent="0.35">
      <c r="A471" t="s">
        <v>977</v>
      </c>
      <c r="B471" t="s">
        <v>45</v>
      </c>
      <c r="C471" t="s">
        <v>16</v>
      </c>
      <c r="D471" t="s">
        <v>17</v>
      </c>
      <c r="E471">
        <v>49</v>
      </c>
      <c r="F471" t="s">
        <v>79</v>
      </c>
      <c r="G471" t="s">
        <v>88</v>
      </c>
      <c r="H471" t="s">
        <v>978</v>
      </c>
      <c r="I471">
        <v>2</v>
      </c>
      <c r="J471">
        <v>5</v>
      </c>
      <c r="K471">
        <v>199454</v>
      </c>
      <c r="L471">
        <v>3.7</v>
      </c>
      <c r="M471" t="s">
        <v>21</v>
      </c>
      <c r="N471">
        <v>57</v>
      </c>
      <c r="O471">
        <f t="shared" si="112"/>
        <v>531</v>
      </c>
      <c r="P471">
        <f t="shared" si="113"/>
        <v>265</v>
      </c>
      <c r="Q471">
        <f t="shared" si="114"/>
        <v>266</v>
      </c>
      <c r="R471">
        <f t="shared" si="115"/>
        <v>49.650349650349654</v>
      </c>
      <c r="S471" s="1">
        <f t="shared" si="116"/>
        <v>50.24975024975025</v>
      </c>
      <c r="T471" s="1">
        <f t="shared" si="117"/>
        <v>247</v>
      </c>
      <c r="U471" s="1">
        <f t="shared" si="118"/>
        <v>284</v>
      </c>
      <c r="V471" s="1">
        <f t="shared" si="119"/>
        <v>47.5</v>
      </c>
      <c r="W471" s="1">
        <f t="shared" si="120"/>
        <v>52.5</v>
      </c>
      <c r="X471" s="1">
        <f t="shared" si="121"/>
        <v>15.07156308851224</v>
      </c>
      <c r="Y471" s="1">
        <f t="shared" si="122"/>
        <v>82</v>
      </c>
      <c r="Z471" s="1">
        <f t="shared" si="123"/>
        <v>93</v>
      </c>
      <c r="AA471" s="1">
        <f t="shared" si="124"/>
        <v>3.6548780487804891</v>
      </c>
      <c r="AB471" s="1">
        <f t="shared" si="125"/>
        <v>3.3236559139784942</v>
      </c>
      <c r="AC471" s="1">
        <f t="shared" si="126"/>
        <v>1</v>
      </c>
      <c r="AD471" s="1">
        <f t="shared" si="127"/>
        <v>1.6311556907139896E-2</v>
      </c>
    </row>
    <row r="472" spans="1:30" x14ac:dyDescent="0.35">
      <c r="A472" t="s">
        <v>979</v>
      </c>
      <c r="B472" t="s">
        <v>40</v>
      </c>
      <c r="C472" t="s">
        <v>30</v>
      </c>
      <c r="D472" t="s">
        <v>25</v>
      </c>
      <c r="E472">
        <v>55</v>
      </c>
      <c r="F472" t="s">
        <v>79</v>
      </c>
      <c r="G472" t="s">
        <v>71</v>
      </c>
      <c r="H472" t="s">
        <v>980</v>
      </c>
      <c r="I472">
        <v>8</v>
      </c>
      <c r="J472">
        <v>11</v>
      </c>
      <c r="K472">
        <v>83072</v>
      </c>
      <c r="L472">
        <v>3.8</v>
      </c>
      <c r="M472" t="s">
        <v>43</v>
      </c>
      <c r="N472">
        <v>81</v>
      </c>
      <c r="O472">
        <f t="shared" si="112"/>
        <v>530</v>
      </c>
      <c r="P472">
        <f t="shared" si="113"/>
        <v>264</v>
      </c>
      <c r="Q472">
        <f t="shared" si="114"/>
        <v>266</v>
      </c>
      <c r="R472">
        <f t="shared" si="115"/>
        <v>49.650349650349654</v>
      </c>
      <c r="S472" s="1">
        <f t="shared" si="116"/>
        <v>50.24975024975025</v>
      </c>
      <c r="T472" s="1">
        <f t="shared" si="117"/>
        <v>246</v>
      </c>
      <c r="U472" s="1">
        <f t="shared" si="118"/>
        <v>284</v>
      </c>
      <c r="V472" s="1">
        <f t="shared" si="119"/>
        <v>47.5</v>
      </c>
      <c r="W472" s="1">
        <f t="shared" si="120"/>
        <v>52.5</v>
      </c>
      <c r="X472" s="1">
        <f t="shared" si="121"/>
        <v>15.090566037735849</v>
      </c>
      <c r="Y472" s="1">
        <f t="shared" si="122"/>
        <v>82</v>
      </c>
      <c r="Z472" s="1">
        <f t="shared" si="123"/>
        <v>93</v>
      </c>
      <c r="AA472" s="1">
        <f t="shared" si="124"/>
        <v>3.6548780487804891</v>
      </c>
      <c r="AB472" s="1">
        <f t="shared" si="125"/>
        <v>3.3236559139784942</v>
      </c>
      <c r="AC472" s="1">
        <f t="shared" si="126"/>
        <v>0</v>
      </c>
      <c r="AD472" s="1">
        <f t="shared" si="127"/>
        <v>1.9272920260970175E-2</v>
      </c>
    </row>
    <row r="473" spans="1:30" x14ac:dyDescent="0.35">
      <c r="A473" t="s">
        <v>981</v>
      </c>
      <c r="B473" t="s">
        <v>45</v>
      </c>
      <c r="C473" t="s">
        <v>64</v>
      </c>
      <c r="D473" t="s">
        <v>17</v>
      </c>
      <c r="E473">
        <v>29</v>
      </c>
      <c r="F473" t="s">
        <v>37</v>
      </c>
      <c r="G473" t="s">
        <v>26</v>
      </c>
      <c r="H473" t="s">
        <v>982</v>
      </c>
      <c r="I473">
        <v>8</v>
      </c>
      <c r="J473">
        <v>16</v>
      </c>
      <c r="K473">
        <v>73430</v>
      </c>
      <c r="L473">
        <v>2.8</v>
      </c>
      <c r="M473" t="s">
        <v>43</v>
      </c>
      <c r="N473">
        <v>74</v>
      </c>
      <c r="O473">
        <f t="shared" si="112"/>
        <v>529</v>
      </c>
      <c r="P473">
        <f t="shared" si="113"/>
        <v>264</v>
      </c>
      <c r="Q473">
        <f t="shared" si="114"/>
        <v>265</v>
      </c>
      <c r="R473">
        <f t="shared" si="115"/>
        <v>49.650349650349654</v>
      </c>
      <c r="S473" s="1">
        <f t="shared" si="116"/>
        <v>50.24975024975025</v>
      </c>
      <c r="T473" s="1">
        <f t="shared" si="117"/>
        <v>246</v>
      </c>
      <c r="U473" s="1">
        <f t="shared" si="118"/>
        <v>283</v>
      </c>
      <c r="V473" s="1">
        <f t="shared" si="119"/>
        <v>47.5</v>
      </c>
      <c r="W473" s="1">
        <f t="shared" si="120"/>
        <v>52.5</v>
      </c>
      <c r="X473" s="1">
        <f t="shared" si="121"/>
        <v>15.098298676748582</v>
      </c>
      <c r="Y473" s="1">
        <f t="shared" si="122"/>
        <v>82</v>
      </c>
      <c r="Z473" s="1">
        <f t="shared" si="123"/>
        <v>93</v>
      </c>
      <c r="AA473" s="1">
        <f t="shared" si="124"/>
        <v>3.6548780487804891</v>
      </c>
      <c r="AB473" s="1">
        <f t="shared" si="125"/>
        <v>3.3236559139784942</v>
      </c>
      <c r="AC473" s="1">
        <f t="shared" si="126"/>
        <v>0</v>
      </c>
      <c r="AD473" s="1">
        <f t="shared" si="127"/>
        <v>1.826741762926197E-2</v>
      </c>
    </row>
    <row r="474" spans="1:30" x14ac:dyDescent="0.35">
      <c r="A474" t="s">
        <v>983</v>
      </c>
      <c r="B474" t="s">
        <v>15</v>
      </c>
      <c r="C474" t="s">
        <v>93</v>
      </c>
      <c r="D474" t="s">
        <v>25</v>
      </c>
      <c r="E474">
        <v>29</v>
      </c>
      <c r="F474" t="s">
        <v>37</v>
      </c>
      <c r="G474" t="s">
        <v>61</v>
      </c>
      <c r="H474" t="s">
        <v>984</v>
      </c>
      <c r="I474">
        <v>3</v>
      </c>
      <c r="J474">
        <v>10</v>
      </c>
      <c r="K474">
        <v>73037</v>
      </c>
      <c r="L474">
        <v>2.2000000000000002</v>
      </c>
      <c r="M474" t="s">
        <v>21</v>
      </c>
      <c r="N474">
        <v>33</v>
      </c>
      <c r="O474">
        <f t="shared" si="112"/>
        <v>528</v>
      </c>
      <c r="P474">
        <f t="shared" si="113"/>
        <v>263</v>
      </c>
      <c r="Q474">
        <f t="shared" si="114"/>
        <v>265</v>
      </c>
      <c r="R474">
        <f t="shared" si="115"/>
        <v>49.650349650349654</v>
      </c>
      <c r="S474" s="1">
        <f t="shared" si="116"/>
        <v>50.24975024975025</v>
      </c>
      <c r="T474" s="1">
        <f t="shared" si="117"/>
        <v>246</v>
      </c>
      <c r="U474" s="1">
        <f t="shared" si="118"/>
        <v>282</v>
      </c>
      <c r="V474" s="1">
        <f t="shared" si="119"/>
        <v>47.5</v>
      </c>
      <c r="W474" s="1">
        <f t="shared" si="120"/>
        <v>52.5</v>
      </c>
      <c r="X474" s="1">
        <f t="shared" si="121"/>
        <v>15.096590909090908</v>
      </c>
      <c r="Y474" s="1">
        <f t="shared" si="122"/>
        <v>82</v>
      </c>
      <c r="Z474" s="1">
        <f t="shared" si="123"/>
        <v>93</v>
      </c>
      <c r="AA474" s="1">
        <f t="shared" si="124"/>
        <v>3.6548780487804891</v>
      </c>
      <c r="AB474" s="1">
        <f t="shared" si="125"/>
        <v>3.3236559139784942</v>
      </c>
      <c r="AC474" s="1">
        <f t="shared" si="126"/>
        <v>1</v>
      </c>
      <c r="AD474" s="1">
        <f t="shared" si="127"/>
        <v>1.8509876874864533E-2</v>
      </c>
    </row>
    <row r="475" spans="1:30" x14ac:dyDescent="0.35">
      <c r="A475" t="s">
        <v>985</v>
      </c>
      <c r="B475" t="s">
        <v>55</v>
      </c>
      <c r="C475" t="s">
        <v>36</v>
      </c>
      <c r="D475" t="s">
        <v>17</v>
      </c>
      <c r="E475">
        <v>50</v>
      </c>
      <c r="F475" t="s">
        <v>37</v>
      </c>
      <c r="G475" t="s">
        <v>85</v>
      </c>
      <c r="H475" t="s">
        <v>246</v>
      </c>
      <c r="I475">
        <v>6</v>
      </c>
      <c r="J475">
        <v>16</v>
      </c>
      <c r="K475">
        <v>207169</v>
      </c>
      <c r="L475">
        <v>4.5</v>
      </c>
      <c r="M475" t="s">
        <v>21</v>
      </c>
      <c r="N475">
        <v>46</v>
      </c>
      <c r="O475">
        <f t="shared" si="112"/>
        <v>527</v>
      </c>
      <c r="P475">
        <f t="shared" si="113"/>
        <v>263</v>
      </c>
      <c r="Q475">
        <f t="shared" si="114"/>
        <v>264</v>
      </c>
      <c r="R475">
        <f t="shared" si="115"/>
        <v>49.650349650349654</v>
      </c>
      <c r="S475" s="1">
        <f t="shared" si="116"/>
        <v>50.24975024975025</v>
      </c>
      <c r="T475" s="1">
        <f t="shared" si="117"/>
        <v>245</v>
      </c>
      <c r="U475" s="1">
        <f t="shared" si="118"/>
        <v>282</v>
      </c>
      <c r="V475" s="1">
        <f t="shared" si="119"/>
        <v>47.5</v>
      </c>
      <c r="W475" s="1">
        <f t="shared" si="120"/>
        <v>52.5</v>
      </c>
      <c r="X475" s="1">
        <f t="shared" si="121"/>
        <v>15.106261859582542</v>
      </c>
      <c r="Y475" s="1">
        <f t="shared" si="122"/>
        <v>82</v>
      </c>
      <c r="Z475" s="1">
        <f t="shared" si="123"/>
        <v>93</v>
      </c>
      <c r="AA475" s="1">
        <f t="shared" si="124"/>
        <v>3.6548780487804891</v>
      </c>
      <c r="AB475" s="1">
        <f t="shared" si="125"/>
        <v>3.3236559139784942</v>
      </c>
      <c r="AC475" s="1">
        <f t="shared" si="126"/>
        <v>1</v>
      </c>
      <c r="AD475" s="1">
        <f t="shared" si="127"/>
        <v>2.0016017343285248E-2</v>
      </c>
    </row>
    <row r="476" spans="1:30" x14ac:dyDescent="0.35">
      <c r="A476" t="s">
        <v>986</v>
      </c>
      <c r="B476" t="s">
        <v>78</v>
      </c>
      <c r="C476" t="s">
        <v>49</v>
      </c>
      <c r="D476" t="s">
        <v>25</v>
      </c>
      <c r="E476">
        <v>37</v>
      </c>
      <c r="F476" t="s">
        <v>70</v>
      </c>
      <c r="G476" t="s">
        <v>57</v>
      </c>
      <c r="H476" t="s">
        <v>987</v>
      </c>
      <c r="I476">
        <v>8</v>
      </c>
      <c r="J476">
        <v>16</v>
      </c>
      <c r="K476">
        <v>193341</v>
      </c>
      <c r="L476">
        <v>2.7</v>
      </c>
      <c r="M476" t="s">
        <v>21</v>
      </c>
      <c r="N476">
        <v>55</v>
      </c>
      <c r="O476">
        <f t="shared" si="112"/>
        <v>526</v>
      </c>
      <c r="P476">
        <f t="shared" si="113"/>
        <v>262</v>
      </c>
      <c r="Q476">
        <f t="shared" si="114"/>
        <v>264</v>
      </c>
      <c r="R476">
        <f t="shared" si="115"/>
        <v>49.650349650349654</v>
      </c>
      <c r="S476" s="1">
        <f t="shared" si="116"/>
        <v>50.24975024975025</v>
      </c>
      <c r="T476" s="1">
        <f t="shared" si="117"/>
        <v>244</v>
      </c>
      <c r="U476" s="1">
        <f t="shared" si="118"/>
        <v>282</v>
      </c>
      <c r="V476" s="1">
        <f t="shared" si="119"/>
        <v>47.5</v>
      </c>
      <c r="W476" s="1">
        <f t="shared" si="120"/>
        <v>52.5</v>
      </c>
      <c r="X476" s="1">
        <f t="shared" si="121"/>
        <v>15.104562737642585</v>
      </c>
      <c r="Y476" s="1">
        <f t="shared" si="122"/>
        <v>82</v>
      </c>
      <c r="Z476" s="1">
        <f t="shared" si="123"/>
        <v>93</v>
      </c>
      <c r="AA476" s="1">
        <f t="shared" si="124"/>
        <v>3.6548780487804891</v>
      </c>
      <c r="AB476" s="1">
        <f t="shared" si="125"/>
        <v>3.3236559139784942</v>
      </c>
      <c r="AC476" s="1">
        <f t="shared" si="126"/>
        <v>1</v>
      </c>
      <c r="AD476" s="1">
        <f t="shared" si="127"/>
        <v>1.9778525047195922E-2</v>
      </c>
    </row>
    <row r="477" spans="1:30" x14ac:dyDescent="0.35">
      <c r="A477" t="s">
        <v>988</v>
      </c>
      <c r="B477" t="s">
        <v>45</v>
      </c>
      <c r="C477" t="s">
        <v>16</v>
      </c>
      <c r="D477" t="s">
        <v>17</v>
      </c>
      <c r="E477">
        <v>38</v>
      </c>
      <c r="F477" t="s">
        <v>37</v>
      </c>
      <c r="G477" t="s">
        <v>32</v>
      </c>
      <c r="H477" t="s">
        <v>989</v>
      </c>
      <c r="I477">
        <v>12</v>
      </c>
      <c r="J477">
        <v>13</v>
      </c>
      <c r="K477">
        <v>153939</v>
      </c>
      <c r="L477">
        <v>2</v>
      </c>
      <c r="M477" t="s">
        <v>21</v>
      </c>
      <c r="N477">
        <v>40</v>
      </c>
      <c r="O477">
        <f t="shared" si="112"/>
        <v>525</v>
      </c>
      <c r="P477">
        <f t="shared" si="113"/>
        <v>262</v>
      </c>
      <c r="Q477">
        <f t="shared" si="114"/>
        <v>263</v>
      </c>
      <c r="R477">
        <f t="shared" si="115"/>
        <v>49.650349650349654</v>
      </c>
      <c r="S477" s="1">
        <f t="shared" si="116"/>
        <v>50.24975024975025</v>
      </c>
      <c r="T477" s="1">
        <f t="shared" si="117"/>
        <v>243</v>
      </c>
      <c r="U477" s="1">
        <f t="shared" si="118"/>
        <v>282</v>
      </c>
      <c r="V477" s="1">
        <f t="shared" si="119"/>
        <v>47.5</v>
      </c>
      <c r="W477" s="1">
        <f t="shared" si="120"/>
        <v>52.5</v>
      </c>
      <c r="X477" s="1">
        <f t="shared" si="121"/>
        <v>15.102857142857143</v>
      </c>
      <c r="Y477" s="1">
        <f t="shared" si="122"/>
        <v>82</v>
      </c>
      <c r="Z477" s="1">
        <f t="shared" si="123"/>
        <v>93</v>
      </c>
      <c r="AA477" s="1">
        <f t="shared" si="124"/>
        <v>3.6548780487804891</v>
      </c>
      <c r="AB477" s="1">
        <f t="shared" si="125"/>
        <v>3.3236559139784942</v>
      </c>
      <c r="AC477" s="1">
        <f t="shared" si="126"/>
        <v>1</v>
      </c>
      <c r="AD477" s="1">
        <f t="shared" si="127"/>
        <v>1.953961954013719E-2</v>
      </c>
    </row>
    <row r="478" spans="1:30" x14ac:dyDescent="0.35">
      <c r="A478" t="s">
        <v>990</v>
      </c>
      <c r="B478" t="s">
        <v>96</v>
      </c>
      <c r="C478" t="s">
        <v>30</v>
      </c>
      <c r="D478" t="s">
        <v>17</v>
      </c>
      <c r="E478">
        <v>40</v>
      </c>
      <c r="F478" t="s">
        <v>46</v>
      </c>
      <c r="G478" t="s">
        <v>75</v>
      </c>
      <c r="H478" t="s">
        <v>991</v>
      </c>
      <c r="I478">
        <v>5</v>
      </c>
      <c r="J478">
        <v>5</v>
      </c>
      <c r="K478">
        <v>312549</v>
      </c>
      <c r="L478">
        <v>3.7</v>
      </c>
      <c r="M478" t="s">
        <v>21</v>
      </c>
      <c r="N478">
        <v>33</v>
      </c>
      <c r="O478">
        <f t="shared" si="112"/>
        <v>524</v>
      </c>
      <c r="P478">
        <f t="shared" si="113"/>
        <v>261</v>
      </c>
      <c r="Q478">
        <f t="shared" si="114"/>
        <v>263</v>
      </c>
      <c r="R478">
        <f t="shared" si="115"/>
        <v>49.650349650349654</v>
      </c>
      <c r="S478" s="1">
        <f t="shared" si="116"/>
        <v>50.24975024975025</v>
      </c>
      <c r="T478" s="1">
        <f t="shared" si="117"/>
        <v>242</v>
      </c>
      <c r="U478" s="1">
        <f t="shared" si="118"/>
        <v>282</v>
      </c>
      <c r="V478" s="1">
        <f t="shared" si="119"/>
        <v>47.5</v>
      </c>
      <c r="W478" s="1">
        <f t="shared" si="120"/>
        <v>52.5</v>
      </c>
      <c r="X478" s="1">
        <f t="shared" si="121"/>
        <v>15.106870229007633</v>
      </c>
      <c r="Y478" s="1">
        <f t="shared" si="122"/>
        <v>82</v>
      </c>
      <c r="Z478" s="1">
        <f t="shared" si="123"/>
        <v>93</v>
      </c>
      <c r="AA478" s="1">
        <f t="shared" si="124"/>
        <v>3.6548780487804891</v>
      </c>
      <c r="AB478" s="1">
        <f t="shared" si="125"/>
        <v>3.3236559139784942</v>
      </c>
      <c r="AC478" s="1">
        <f t="shared" si="126"/>
        <v>1</v>
      </c>
      <c r="AD478" s="1">
        <f t="shared" si="127"/>
        <v>2.0177838966483772E-2</v>
      </c>
    </row>
    <row r="479" spans="1:30" x14ac:dyDescent="0.35">
      <c r="A479" t="s">
        <v>992</v>
      </c>
      <c r="B479" t="s">
        <v>69</v>
      </c>
      <c r="C479" t="s">
        <v>49</v>
      </c>
      <c r="D479" t="s">
        <v>17</v>
      </c>
      <c r="E479">
        <v>34</v>
      </c>
      <c r="F479" t="s">
        <v>74</v>
      </c>
      <c r="G479" t="s">
        <v>75</v>
      </c>
      <c r="H479" t="s">
        <v>993</v>
      </c>
      <c r="I479">
        <v>2</v>
      </c>
      <c r="J479">
        <v>3</v>
      </c>
      <c r="K479">
        <v>80086</v>
      </c>
      <c r="L479">
        <v>4.0999999999999996</v>
      </c>
      <c r="M479" t="s">
        <v>43</v>
      </c>
      <c r="N479">
        <v>76</v>
      </c>
      <c r="O479">
        <f t="shared" si="112"/>
        <v>523</v>
      </c>
      <c r="P479">
        <f t="shared" si="113"/>
        <v>260</v>
      </c>
      <c r="Q479">
        <f t="shared" si="114"/>
        <v>263</v>
      </c>
      <c r="R479">
        <f t="shared" si="115"/>
        <v>49.650349650349654</v>
      </c>
      <c r="S479" s="1">
        <f t="shared" si="116"/>
        <v>50.24975024975025</v>
      </c>
      <c r="T479" s="1">
        <f t="shared" si="117"/>
        <v>241</v>
      </c>
      <c r="U479" s="1">
        <f t="shared" si="118"/>
        <v>282</v>
      </c>
      <c r="V479" s="1">
        <f t="shared" si="119"/>
        <v>47.5</v>
      </c>
      <c r="W479" s="1">
        <f t="shared" si="120"/>
        <v>52.5</v>
      </c>
      <c r="X479" s="1">
        <f t="shared" si="121"/>
        <v>15.126195028680689</v>
      </c>
      <c r="Y479" s="1">
        <f t="shared" si="122"/>
        <v>82</v>
      </c>
      <c r="Z479" s="1">
        <f t="shared" si="123"/>
        <v>93</v>
      </c>
      <c r="AA479" s="1">
        <f t="shared" si="124"/>
        <v>3.6548780487804891</v>
      </c>
      <c r="AB479" s="1">
        <f t="shared" si="125"/>
        <v>3.3236559139784942</v>
      </c>
      <c r="AC479" s="1">
        <f t="shared" si="126"/>
        <v>0</v>
      </c>
      <c r="AD479" s="1">
        <f t="shared" si="127"/>
        <v>2.3210292280893424E-2</v>
      </c>
    </row>
    <row r="480" spans="1:30" x14ac:dyDescent="0.35">
      <c r="A480" t="s">
        <v>994</v>
      </c>
      <c r="B480" t="s">
        <v>55</v>
      </c>
      <c r="C480" t="s">
        <v>82</v>
      </c>
      <c r="D480" t="s">
        <v>17</v>
      </c>
      <c r="E480">
        <v>30</v>
      </c>
      <c r="F480" t="s">
        <v>79</v>
      </c>
      <c r="G480" t="s">
        <v>75</v>
      </c>
      <c r="H480" t="s">
        <v>995</v>
      </c>
      <c r="I480">
        <v>12</v>
      </c>
      <c r="J480">
        <v>18</v>
      </c>
      <c r="K480">
        <v>235991</v>
      </c>
      <c r="L480">
        <v>5</v>
      </c>
      <c r="M480" t="s">
        <v>43</v>
      </c>
      <c r="N480">
        <v>91</v>
      </c>
      <c r="O480">
        <f t="shared" si="112"/>
        <v>522</v>
      </c>
      <c r="P480">
        <f t="shared" si="113"/>
        <v>259</v>
      </c>
      <c r="Q480">
        <f t="shared" si="114"/>
        <v>263</v>
      </c>
      <c r="R480">
        <f t="shared" si="115"/>
        <v>49.650349650349654</v>
      </c>
      <c r="S480" s="1">
        <f t="shared" si="116"/>
        <v>50.24975024975025</v>
      </c>
      <c r="T480" s="1">
        <f t="shared" si="117"/>
        <v>241</v>
      </c>
      <c r="U480" s="1">
        <f t="shared" si="118"/>
        <v>281</v>
      </c>
      <c r="V480" s="1">
        <f t="shared" si="119"/>
        <v>47.5</v>
      </c>
      <c r="W480" s="1">
        <f t="shared" si="120"/>
        <v>52.5</v>
      </c>
      <c r="X480" s="1">
        <f t="shared" si="121"/>
        <v>15.149425287356323</v>
      </c>
      <c r="Y480" s="1">
        <f t="shared" si="122"/>
        <v>81</v>
      </c>
      <c r="Z480" s="1">
        <f t="shared" si="123"/>
        <v>93</v>
      </c>
      <c r="AA480" s="1">
        <f t="shared" si="124"/>
        <v>3.6493827160493839</v>
      </c>
      <c r="AB480" s="1">
        <f t="shared" si="125"/>
        <v>3.3236559139784942</v>
      </c>
      <c r="AC480" s="1">
        <f t="shared" si="126"/>
        <v>0</v>
      </c>
      <c r="AD480" s="1">
        <f t="shared" si="127"/>
        <v>2.0233197524929931E-2</v>
      </c>
    </row>
    <row r="481" spans="1:30" x14ac:dyDescent="0.35">
      <c r="A481" t="s">
        <v>996</v>
      </c>
      <c r="B481" t="s">
        <v>23</v>
      </c>
      <c r="C481" t="s">
        <v>52</v>
      </c>
      <c r="D481" t="s">
        <v>25</v>
      </c>
      <c r="E481">
        <v>57</v>
      </c>
      <c r="F481" t="s">
        <v>31</v>
      </c>
      <c r="G481" t="s">
        <v>41</v>
      </c>
      <c r="H481" t="s">
        <v>997</v>
      </c>
      <c r="I481">
        <v>20</v>
      </c>
      <c r="J481">
        <v>29</v>
      </c>
      <c r="K481">
        <v>133512</v>
      </c>
      <c r="L481">
        <v>2.5</v>
      </c>
      <c r="M481" t="s">
        <v>21</v>
      </c>
      <c r="N481">
        <v>52</v>
      </c>
      <c r="O481">
        <f t="shared" si="112"/>
        <v>521</v>
      </c>
      <c r="P481">
        <f t="shared" si="113"/>
        <v>258</v>
      </c>
      <c r="Q481">
        <f t="shared" si="114"/>
        <v>263</v>
      </c>
      <c r="R481">
        <f t="shared" si="115"/>
        <v>49.650349650349654</v>
      </c>
      <c r="S481" s="1">
        <f t="shared" si="116"/>
        <v>50.24975024975025</v>
      </c>
      <c r="T481" s="1">
        <f t="shared" si="117"/>
        <v>241</v>
      </c>
      <c r="U481" s="1">
        <f t="shared" si="118"/>
        <v>280</v>
      </c>
      <c r="V481" s="1">
        <f t="shared" si="119"/>
        <v>47.5</v>
      </c>
      <c r="W481" s="1">
        <f t="shared" si="120"/>
        <v>52.5</v>
      </c>
      <c r="X481" s="1">
        <f t="shared" si="121"/>
        <v>15.143953934740884</v>
      </c>
      <c r="Y481" s="1">
        <f t="shared" si="122"/>
        <v>81</v>
      </c>
      <c r="Z481" s="1">
        <f t="shared" si="123"/>
        <v>93</v>
      </c>
      <c r="AA481" s="1">
        <f t="shared" si="124"/>
        <v>3.6493827160493839</v>
      </c>
      <c r="AB481" s="1">
        <f t="shared" si="125"/>
        <v>3.3236559139784942</v>
      </c>
      <c r="AC481" s="1">
        <f t="shared" si="126"/>
        <v>1</v>
      </c>
      <c r="AD481" s="1">
        <f t="shared" si="127"/>
        <v>2.0975070163990712E-2</v>
      </c>
    </row>
    <row r="482" spans="1:30" x14ac:dyDescent="0.35">
      <c r="A482" t="s">
        <v>998</v>
      </c>
      <c r="B482" t="s">
        <v>111</v>
      </c>
      <c r="C482" t="s">
        <v>49</v>
      </c>
      <c r="D482" t="s">
        <v>25</v>
      </c>
      <c r="E482">
        <v>35</v>
      </c>
      <c r="F482" t="s">
        <v>31</v>
      </c>
      <c r="G482" t="s">
        <v>75</v>
      </c>
      <c r="H482" t="s">
        <v>999</v>
      </c>
      <c r="I482">
        <v>4</v>
      </c>
      <c r="J482">
        <v>8</v>
      </c>
      <c r="K482">
        <v>160698</v>
      </c>
      <c r="L482">
        <v>3.4</v>
      </c>
      <c r="M482" t="s">
        <v>21</v>
      </c>
      <c r="N482">
        <v>60</v>
      </c>
      <c r="O482">
        <f t="shared" si="112"/>
        <v>520</v>
      </c>
      <c r="P482">
        <f t="shared" si="113"/>
        <v>258</v>
      </c>
      <c r="Q482">
        <f t="shared" si="114"/>
        <v>262</v>
      </c>
      <c r="R482">
        <f t="shared" si="115"/>
        <v>49.650349650349654</v>
      </c>
      <c r="S482" s="1">
        <f t="shared" si="116"/>
        <v>50.24975024975025</v>
      </c>
      <c r="T482" s="1">
        <f t="shared" si="117"/>
        <v>240</v>
      </c>
      <c r="U482" s="1">
        <f t="shared" si="118"/>
        <v>280</v>
      </c>
      <c r="V482" s="1">
        <f t="shared" si="119"/>
        <v>47.5</v>
      </c>
      <c r="W482" s="1">
        <f t="shared" si="120"/>
        <v>52.5</v>
      </c>
      <c r="X482" s="1">
        <f t="shared" si="121"/>
        <v>15.117307692307692</v>
      </c>
      <c r="Y482" s="1">
        <f t="shared" si="122"/>
        <v>81</v>
      </c>
      <c r="Z482" s="1">
        <f t="shared" si="123"/>
        <v>92</v>
      </c>
      <c r="AA482" s="1">
        <f t="shared" si="124"/>
        <v>3.6493827160493839</v>
      </c>
      <c r="AB482" s="1">
        <f t="shared" si="125"/>
        <v>3.3326086956521741</v>
      </c>
      <c r="AC482" s="1">
        <f t="shared" si="126"/>
        <v>1</v>
      </c>
      <c r="AD482" s="1">
        <f t="shared" si="127"/>
        <v>1.6972231786687872E-2</v>
      </c>
    </row>
    <row r="483" spans="1:30" x14ac:dyDescent="0.35">
      <c r="A483" t="s">
        <v>1000</v>
      </c>
      <c r="B483" t="s">
        <v>78</v>
      </c>
      <c r="C483" t="s">
        <v>49</v>
      </c>
      <c r="D483" t="s">
        <v>25</v>
      </c>
      <c r="E483">
        <v>46</v>
      </c>
      <c r="F483" t="s">
        <v>31</v>
      </c>
      <c r="G483" t="s">
        <v>75</v>
      </c>
      <c r="H483" t="s">
        <v>1001</v>
      </c>
      <c r="I483">
        <v>12</v>
      </c>
      <c r="J483">
        <v>13</v>
      </c>
      <c r="K483">
        <v>257346</v>
      </c>
      <c r="L483">
        <v>2.2000000000000002</v>
      </c>
      <c r="M483" t="s">
        <v>43</v>
      </c>
      <c r="N483">
        <v>97</v>
      </c>
      <c r="O483">
        <f t="shared" si="112"/>
        <v>519</v>
      </c>
      <c r="P483">
        <f t="shared" si="113"/>
        <v>258</v>
      </c>
      <c r="Q483">
        <f t="shared" si="114"/>
        <v>261</v>
      </c>
      <c r="R483">
        <f t="shared" si="115"/>
        <v>49.650349650349654</v>
      </c>
      <c r="S483" s="1">
        <f t="shared" si="116"/>
        <v>50.24975024975025</v>
      </c>
      <c r="T483" s="1">
        <f t="shared" si="117"/>
        <v>239</v>
      </c>
      <c r="U483" s="1">
        <f t="shared" si="118"/>
        <v>280</v>
      </c>
      <c r="V483" s="1">
        <f t="shared" si="119"/>
        <v>47.5</v>
      </c>
      <c r="W483" s="1">
        <f t="shared" si="120"/>
        <v>52.5</v>
      </c>
      <c r="X483" s="1">
        <f t="shared" si="121"/>
        <v>15.13102119460501</v>
      </c>
      <c r="Y483" s="1">
        <f t="shared" si="122"/>
        <v>81</v>
      </c>
      <c r="Z483" s="1">
        <f t="shared" si="123"/>
        <v>91</v>
      </c>
      <c r="AA483" s="1">
        <f t="shared" si="124"/>
        <v>3.6493827160493839</v>
      </c>
      <c r="AB483" s="1">
        <f t="shared" si="125"/>
        <v>3.3318681318681325</v>
      </c>
      <c r="AC483" s="1">
        <f t="shared" si="126"/>
        <v>0</v>
      </c>
      <c r="AD483" s="1">
        <f t="shared" si="127"/>
        <v>1.9125448331474403E-2</v>
      </c>
    </row>
    <row r="484" spans="1:30" x14ac:dyDescent="0.35">
      <c r="A484" t="s">
        <v>1002</v>
      </c>
      <c r="B484" t="s">
        <v>111</v>
      </c>
      <c r="C484" t="s">
        <v>36</v>
      </c>
      <c r="D484" t="s">
        <v>25</v>
      </c>
      <c r="E484">
        <v>49</v>
      </c>
      <c r="F484" t="s">
        <v>31</v>
      </c>
      <c r="G484" t="s">
        <v>88</v>
      </c>
      <c r="H484" t="s">
        <v>1003</v>
      </c>
      <c r="I484">
        <v>17</v>
      </c>
      <c r="J484">
        <v>21</v>
      </c>
      <c r="K484">
        <v>168809</v>
      </c>
      <c r="L484">
        <v>2.2999999999999998</v>
      </c>
      <c r="M484" t="s">
        <v>21</v>
      </c>
      <c r="N484">
        <v>32</v>
      </c>
      <c r="O484">
        <f t="shared" si="112"/>
        <v>518</v>
      </c>
      <c r="P484">
        <f t="shared" si="113"/>
        <v>258</v>
      </c>
      <c r="Q484">
        <f t="shared" si="114"/>
        <v>260</v>
      </c>
      <c r="R484">
        <f t="shared" si="115"/>
        <v>49.650349650349654</v>
      </c>
      <c r="S484" s="1">
        <f t="shared" si="116"/>
        <v>50.24975024975025</v>
      </c>
      <c r="T484" s="1">
        <f t="shared" si="117"/>
        <v>239</v>
      </c>
      <c r="U484" s="1">
        <f t="shared" si="118"/>
        <v>279</v>
      </c>
      <c r="V484" s="1">
        <f t="shared" si="119"/>
        <v>47.5</v>
      </c>
      <c r="W484" s="1">
        <f t="shared" si="120"/>
        <v>52.5</v>
      </c>
      <c r="X484" s="1">
        <f t="shared" si="121"/>
        <v>15.135135135135135</v>
      </c>
      <c r="Y484" s="1">
        <f t="shared" si="122"/>
        <v>81</v>
      </c>
      <c r="Z484" s="1">
        <f t="shared" si="123"/>
        <v>90</v>
      </c>
      <c r="AA484" s="1">
        <f t="shared" si="124"/>
        <v>3.6493827160493839</v>
      </c>
      <c r="AB484" s="1">
        <f t="shared" si="125"/>
        <v>3.3444444444444446</v>
      </c>
      <c r="AC484" s="1">
        <f t="shared" si="126"/>
        <v>1</v>
      </c>
      <c r="AD484" s="1">
        <f t="shared" si="127"/>
        <v>1.8600293839496296E-2</v>
      </c>
    </row>
    <row r="485" spans="1:30" x14ac:dyDescent="0.35">
      <c r="A485" t="s">
        <v>1004</v>
      </c>
      <c r="B485" t="s">
        <v>96</v>
      </c>
      <c r="C485" t="s">
        <v>56</v>
      </c>
      <c r="D485" t="s">
        <v>25</v>
      </c>
      <c r="E485">
        <v>48</v>
      </c>
      <c r="F485" t="s">
        <v>74</v>
      </c>
      <c r="G485" t="s">
        <v>57</v>
      </c>
      <c r="H485" t="s">
        <v>1005</v>
      </c>
      <c r="I485">
        <v>9</v>
      </c>
      <c r="J485">
        <v>10</v>
      </c>
      <c r="K485">
        <v>192410</v>
      </c>
      <c r="L485">
        <v>4.4000000000000004</v>
      </c>
      <c r="M485" t="s">
        <v>21</v>
      </c>
      <c r="N485">
        <v>43</v>
      </c>
      <c r="O485">
        <f t="shared" si="112"/>
        <v>517</v>
      </c>
      <c r="P485">
        <f t="shared" si="113"/>
        <v>258</v>
      </c>
      <c r="Q485">
        <f t="shared" si="114"/>
        <v>259</v>
      </c>
      <c r="R485">
        <f t="shared" si="115"/>
        <v>49.650349650349654</v>
      </c>
      <c r="S485" s="1">
        <f t="shared" si="116"/>
        <v>50.24975024975025</v>
      </c>
      <c r="T485" s="1">
        <f t="shared" si="117"/>
        <v>238</v>
      </c>
      <c r="U485" s="1">
        <f t="shared" si="118"/>
        <v>279</v>
      </c>
      <c r="V485" s="1">
        <f t="shared" si="119"/>
        <v>47.5</v>
      </c>
      <c r="W485" s="1">
        <f t="shared" si="120"/>
        <v>52.5</v>
      </c>
      <c r="X485" s="1">
        <f t="shared" si="121"/>
        <v>15.123791102514506</v>
      </c>
      <c r="Y485" s="1">
        <f t="shared" si="122"/>
        <v>81</v>
      </c>
      <c r="Z485" s="1">
        <f t="shared" si="123"/>
        <v>89</v>
      </c>
      <c r="AA485" s="1">
        <f t="shared" si="124"/>
        <v>3.6493827160493839</v>
      </c>
      <c r="AB485" s="1">
        <f t="shared" si="125"/>
        <v>3.3561797752808986</v>
      </c>
      <c r="AC485" s="1">
        <f t="shared" si="126"/>
        <v>1</v>
      </c>
      <c r="AD485" s="1">
        <f t="shared" si="127"/>
        <v>1.6884030729327589E-2</v>
      </c>
    </row>
    <row r="486" spans="1:30" x14ac:dyDescent="0.35">
      <c r="A486" t="s">
        <v>1006</v>
      </c>
      <c r="B486" t="s">
        <v>69</v>
      </c>
      <c r="C486" t="s">
        <v>82</v>
      </c>
      <c r="D486" t="s">
        <v>25</v>
      </c>
      <c r="E486">
        <v>53</v>
      </c>
      <c r="F486" t="s">
        <v>37</v>
      </c>
      <c r="G486" t="s">
        <v>32</v>
      </c>
      <c r="H486" t="s">
        <v>1007</v>
      </c>
      <c r="I486">
        <v>7</v>
      </c>
      <c r="J486">
        <v>14</v>
      </c>
      <c r="K486">
        <v>56588</v>
      </c>
      <c r="L486">
        <v>2.1</v>
      </c>
      <c r="M486" t="s">
        <v>43</v>
      </c>
      <c r="N486">
        <v>77</v>
      </c>
      <c r="O486">
        <f t="shared" si="112"/>
        <v>516</v>
      </c>
      <c r="P486">
        <f t="shared" si="113"/>
        <v>258</v>
      </c>
      <c r="Q486">
        <f t="shared" si="114"/>
        <v>258</v>
      </c>
      <c r="R486">
        <f t="shared" si="115"/>
        <v>49.650349650349654</v>
      </c>
      <c r="S486" s="1">
        <f t="shared" si="116"/>
        <v>50.24975024975025</v>
      </c>
      <c r="T486" s="1">
        <f t="shared" si="117"/>
        <v>237</v>
      </c>
      <c r="U486" s="1">
        <f t="shared" si="118"/>
        <v>279</v>
      </c>
      <c r="V486" s="1">
        <f t="shared" si="119"/>
        <v>47.5</v>
      </c>
      <c r="W486" s="1">
        <f t="shared" si="120"/>
        <v>52.5</v>
      </c>
      <c r="X486" s="1">
        <f t="shared" si="121"/>
        <v>15.133720930232558</v>
      </c>
      <c r="Y486" s="1">
        <f t="shared" si="122"/>
        <v>80</v>
      </c>
      <c r="Z486" s="1">
        <f t="shared" si="123"/>
        <v>89</v>
      </c>
      <c r="AA486" s="1">
        <f t="shared" si="124"/>
        <v>3.6400000000000019</v>
      </c>
      <c r="AB486" s="1">
        <f t="shared" si="125"/>
        <v>3.3561797752808986</v>
      </c>
      <c r="AC486" s="1">
        <f t="shared" si="126"/>
        <v>0</v>
      </c>
      <c r="AD486" s="1">
        <f t="shared" si="127"/>
        <v>1.8446254370182505E-2</v>
      </c>
    </row>
    <row r="487" spans="1:30" x14ac:dyDescent="0.35">
      <c r="A487" t="s">
        <v>1008</v>
      </c>
      <c r="B487" t="s">
        <v>96</v>
      </c>
      <c r="C487" t="s">
        <v>82</v>
      </c>
      <c r="D487" t="s">
        <v>17</v>
      </c>
      <c r="E487">
        <v>24</v>
      </c>
      <c r="F487" t="s">
        <v>46</v>
      </c>
      <c r="G487" t="s">
        <v>61</v>
      </c>
      <c r="H487" t="s">
        <v>1009</v>
      </c>
      <c r="I487">
        <v>0</v>
      </c>
      <c r="J487">
        <v>0</v>
      </c>
      <c r="K487">
        <v>213751</v>
      </c>
      <c r="L487">
        <v>2.9</v>
      </c>
      <c r="M487" t="s">
        <v>43</v>
      </c>
      <c r="N487">
        <v>72</v>
      </c>
      <c r="O487">
        <f t="shared" si="112"/>
        <v>515</v>
      </c>
      <c r="P487">
        <f t="shared" si="113"/>
        <v>258</v>
      </c>
      <c r="Q487">
        <f t="shared" si="114"/>
        <v>257</v>
      </c>
      <c r="R487">
        <f t="shared" si="115"/>
        <v>49.650349650349654</v>
      </c>
      <c r="S487" s="1">
        <f t="shared" si="116"/>
        <v>50.24975024975025</v>
      </c>
      <c r="T487" s="1">
        <f t="shared" si="117"/>
        <v>237</v>
      </c>
      <c r="U487" s="1">
        <f t="shared" si="118"/>
        <v>278</v>
      </c>
      <c r="V487" s="1">
        <f t="shared" si="119"/>
        <v>47.5</v>
      </c>
      <c r="W487" s="1">
        <f t="shared" si="120"/>
        <v>52.5</v>
      </c>
      <c r="X487" s="1">
        <f t="shared" si="121"/>
        <v>15.135922330097088</v>
      </c>
      <c r="Y487" s="1">
        <f t="shared" si="122"/>
        <v>80</v>
      </c>
      <c r="Z487" s="1">
        <f t="shared" si="123"/>
        <v>89</v>
      </c>
      <c r="AA487" s="1">
        <f t="shared" si="124"/>
        <v>3.6400000000000019</v>
      </c>
      <c r="AB487" s="1">
        <f t="shared" si="125"/>
        <v>3.3561797752808986</v>
      </c>
      <c r="AC487" s="1">
        <f t="shared" si="126"/>
        <v>0</v>
      </c>
      <c r="AD487" s="1">
        <f t="shared" si="127"/>
        <v>1.8172769252004062E-2</v>
      </c>
    </row>
    <row r="488" spans="1:30" x14ac:dyDescent="0.35">
      <c r="A488" t="s">
        <v>1010</v>
      </c>
      <c r="B488" t="s">
        <v>78</v>
      </c>
      <c r="C488" t="s">
        <v>82</v>
      </c>
      <c r="D488" t="s">
        <v>17</v>
      </c>
      <c r="E488">
        <v>24</v>
      </c>
      <c r="F488" t="s">
        <v>74</v>
      </c>
      <c r="G488" t="s">
        <v>88</v>
      </c>
      <c r="H488" t="s">
        <v>1011</v>
      </c>
      <c r="I488">
        <v>5</v>
      </c>
      <c r="J488">
        <v>15</v>
      </c>
      <c r="K488">
        <v>294215</v>
      </c>
      <c r="L488">
        <v>3.6</v>
      </c>
      <c r="M488" t="s">
        <v>21</v>
      </c>
      <c r="N488">
        <v>67</v>
      </c>
      <c r="O488">
        <f t="shared" si="112"/>
        <v>514</v>
      </c>
      <c r="P488">
        <f t="shared" si="113"/>
        <v>257</v>
      </c>
      <c r="Q488">
        <f t="shared" si="114"/>
        <v>257</v>
      </c>
      <c r="R488">
        <f t="shared" si="115"/>
        <v>49.650349650349654</v>
      </c>
      <c r="S488" s="1">
        <f t="shared" si="116"/>
        <v>50.24975024975025</v>
      </c>
      <c r="T488" s="1">
        <f t="shared" si="117"/>
        <v>237</v>
      </c>
      <c r="U488" s="1">
        <f t="shared" si="118"/>
        <v>277</v>
      </c>
      <c r="V488" s="1">
        <f t="shared" si="119"/>
        <v>47.5</v>
      </c>
      <c r="W488" s="1">
        <f t="shared" si="120"/>
        <v>52.5</v>
      </c>
      <c r="X488" s="1">
        <f t="shared" si="121"/>
        <v>15.165369649805447</v>
      </c>
      <c r="Y488" s="1">
        <f t="shared" si="122"/>
        <v>80</v>
      </c>
      <c r="Z488" s="1">
        <f t="shared" si="123"/>
        <v>89</v>
      </c>
      <c r="AA488" s="1">
        <f t="shared" si="124"/>
        <v>3.6400000000000019</v>
      </c>
      <c r="AB488" s="1">
        <f t="shared" si="125"/>
        <v>3.3561797752808986</v>
      </c>
      <c r="AC488" s="1">
        <f t="shared" si="126"/>
        <v>1</v>
      </c>
      <c r="AD488" s="1">
        <f t="shared" si="127"/>
        <v>1.4381356802568928E-2</v>
      </c>
    </row>
    <row r="489" spans="1:30" x14ac:dyDescent="0.35">
      <c r="A489" t="s">
        <v>1012</v>
      </c>
      <c r="B489" t="s">
        <v>23</v>
      </c>
      <c r="C489" t="s">
        <v>93</v>
      </c>
      <c r="D489" t="s">
        <v>25</v>
      </c>
      <c r="E489">
        <v>39</v>
      </c>
      <c r="F489" t="s">
        <v>18</v>
      </c>
      <c r="G489" t="s">
        <v>19</v>
      </c>
      <c r="H489" t="s">
        <v>1013</v>
      </c>
      <c r="I489">
        <v>17</v>
      </c>
      <c r="J489">
        <v>18</v>
      </c>
      <c r="K489">
        <v>313062</v>
      </c>
      <c r="L489">
        <v>3.2</v>
      </c>
      <c r="M489" t="s">
        <v>21</v>
      </c>
      <c r="N489">
        <v>39</v>
      </c>
      <c r="O489">
        <f t="shared" si="112"/>
        <v>513</v>
      </c>
      <c r="P489">
        <f t="shared" si="113"/>
        <v>256</v>
      </c>
      <c r="Q489">
        <f t="shared" si="114"/>
        <v>257</v>
      </c>
      <c r="R489">
        <f t="shared" si="115"/>
        <v>49.650349650349654</v>
      </c>
      <c r="S489" s="1">
        <f t="shared" si="116"/>
        <v>50.24975024975025</v>
      </c>
      <c r="T489" s="1">
        <f t="shared" si="117"/>
        <v>236</v>
      </c>
      <c r="U489" s="1">
        <f t="shared" si="118"/>
        <v>277</v>
      </c>
      <c r="V489" s="1">
        <f t="shared" si="119"/>
        <v>47.5</v>
      </c>
      <c r="W489" s="1">
        <f t="shared" si="120"/>
        <v>52.5</v>
      </c>
      <c r="X489" s="1">
        <f t="shared" si="121"/>
        <v>15.16569200779727</v>
      </c>
      <c r="Y489" s="1">
        <f t="shared" si="122"/>
        <v>79</v>
      </c>
      <c r="Z489" s="1">
        <f t="shared" si="123"/>
        <v>89</v>
      </c>
      <c r="AA489" s="1">
        <f t="shared" si="124"/>
        <v>3.6405063291139257</v>
      </c>
      <c r="AB489" s="1">
        <f t="shared" si="125"/>
        <v>3.3561797752808986</v>
      </c>
      <c r="AC489" s="1">
        <f t="shared" si="126"/>
        <v>1</v>
      </c>
      <c r="AD489" s="1">
        <f t="shared" si="127"/>
        <v>1.4447591384753303E-2</v>
      </c>
    </row>
    <row r="490" spans="1:30" x14ac:dyDescent="0.35">
      <c r="A490" t="s">
        <v>1014</v>
      </c>
      <c r="B490" t="s">
        <v>40</v>
      </c>
      <c r="C490" t="s">
        <v>56</v>
      </c>
      <c r="D490" t="s">
        <v>25</v>
      </c>
      <c r="E490">
        <v>39</v>
      </c>
      <c r="F490" t="s">
        <v>31</v>
      </c>
      <c r="G490" t="s">
        <v>19</v>
      </c>
      <c r="H490" t="s">
        <v>1015</v>
      </c>
      <c r="I490">
        <v>0</v>
      </c>
      <c r="J490">
        <v>2</v>
      </c>
      <c r="K490">
        <v>485986</v>
      </c>
      <c r="L490">
        <v>2.2000000000000002</v>
      </c>
      <c r="M490" t="s">
        <v>21</v>
      </c>
      <c r="N490">
        <v>34</v>
      </c>
      <c r="O490">
        <f t="shared" si="112"/>
        <v>512</v>
      </c>
      <c r="P490">
        <f t="shared" si="113"/>
        <v>256</v>
      </c>
      <c r="Q490">
        <f t="shared" si="114"/>
        <v>256</v>
      </c>
      <c r="R490">
        <f t="shared" si="115"/>
        <v>49.650349650349654</v>
      </c>
      <c r="S490" s="1">
        <f t="shared" si="116"/>
        <v>50.24975024975025</v>
      </c>
      <c r="T490" s="1">
        <f t="shared" si="117"/>
        <v>235</v>
      </c>
      <c r="U490" s="1">
        <f t="shared" si="118"/>
        <v>277</v>
      </c>
      <c r="V490" s="1">
        <f t="shared" si="119"/>
        <v>47.5</v>
      </c>
      <c r="W490" s="1">
        <f t="shared" si="120"/>
        <v>52.5</v>
      </c>
      <c r="X490" s="1">
        <f t="shared" si="121"/>
        <v>15.16015625</v>
      </c>
      <c r="Y490" s="1">
        <f t="shared" si="122"/>
        <v>79</v>
      </c>
      <c r="Z490" s="1">
        <f t="shared" si="123"/>
        <v>89</v>
      </c>
      <c r="AA490" s="1">
        <f t="shared" si="124"/>
        <v>3.6405063291139257</v>
      </c>
      <c r="AB490" s="1">
        <f t="shared" si="125"/>
        <v>3.3561797752808986</v>
      </c>
      <c r="AC490" s="1">
        <f t="shared" si="126"/>
        <v>1</v>
      </c>
      <c r="AD490" s="1">
        <f t="shared" si="127"/>
        <v>1.3609893816743129E-2</v>
      </c>
    </row>
    <row r="491" spans="1:30" x14ac:dyDescent="0.35">
      <c r="A491" t="s">
        <v>1016</v>
      </c>
      <c r="B491" t="s">
        <v>40</v>
      </c>
      <c r="C491" t="s">
        <v>93</v>
      </c>
      <c r="D491" t="s">
        <v>17</v>
      </c>
      <c r="E491">
        <v>51</v>
      </c>
      <c r="F491" t="s">
        <v>31</v>
      </c>
      <c r="G491" t="s">
        <v>75</v>
      </c>
      <c r="H491" t="s">
        <v>1017</v>
      </c>
      <c r="I491">
        <v>13</v>
      </c>
      <c r="J491">
        <v>15</v>
      </c>
      <c r="K491">
        <v>326267</v>
      </c>
      <c r="L491">
        <v>2.5</v>
      </c>
      <c r="M491" t="s">
        <v>43</v>
      </c>
      <c r="N491">
        <v>84</v>
      </c>
      <c r="O491">
        <f t="shared" si="112"/>
        <v>511</v>
      </c>
      <c r="P491">
        <f t="shared" si="113"/>
        <v>256</v>
      </c>
      <c r="Q491">
        <f t="shared" si="114"/>
        <v>255</v>
      </c>
      <c r="R491">
        <f t="shared" si="115"/>
        <v>49.650349650349654</v>
      </c>
      <c r="S491" s="1">
        <f t="shared" si="116"/>
        <v>50.24975024975025</v>
      </c>
      <c r="T491" s="1">
        <f t="shared" si="117"/>
        <v>234</v>
      </c>
      <c r="U491" s="1">
        <f t="shared" si="118"/>
        <v>277</v>
      </c>
      <c r="V491" s="1">
        <f t="shared" si="119"/>
        <v>47.5</v>
      </c>
      <c r="W491" s="1">
        <f t="shared" si="120"/>
        <v>52.5</v>
      </c>
      <c r="X491" s="1">
        <f t="shared" si="121"/>
        <v>15.185909980430528</v>
      </c>
      <c r="Y491" s="1">
        <f t="shared" si="122"/>
        <v>79</v>
      </c>
      <c r="Z491" s="1">
        <f t="shared" si="123"/>
        <v>88</v>
      </c>
      <c r="AA491" s="1">
        <f t="shared" si="124"/>
        <v>3.6405063291139257</v>
      </c>
      <c r="AB491" s="1">
        <f t="shared" si="125"/>
        <v>3.3693181818181817</v>
      </c>
      <c r="AC491" s="1">
        <f t="shared" si="126"/>
        <v>0</v>
      </c>
      <c r="AD491" s="1">
        <f t="shared" si="127"/>
        <v>1.7676272197007618E-2</v>
      </c>
    </row>
    <row r="492" spans="1:30" x14ac:dyDescent="0.35">
      <c r="A492" t="s">
        <v>1018</v>
      </c>
      <c r="B492" t="s">
        <v>96</v>
      </c>
      <c r="C492" t="s">
        <v>52</v>
      </c>
      <c r="D492" t="s">
        <v>25</v>
      </c>
      <c r="E492">
        <v>38</v>
      </c>
      <c r="F492" t="s">
        <v>46</v>
      </c>
      <c r="G492" t="s">
        <v>32</v>
      </c>
      <c r="H492" t="s">
        <v>1019</v>
      </c>
      <c r="I492">
        <v>3</v>
      </c>
      <c r="J492">
        <v>7</v>
      </c>
      <c r="K492">
        <v>170495</v>
      </c>
      <c r="L492">
        <v>3</v>
      </c>
      <c r="M492" t="s">
        <v>43</v>
      </c>
      <c r="N492">
        <v>99</v>
      </c>
      <c r="O492">
        <f t="shared" si="112"/>
        <v>510</v>
      </c>
      <c r="P492">
        <f t="shared" si="113"/>
        <v>255</v>
      </c>
      <c r="Q492">
        <f t="shared" si="114"/>
        <v>255</v>
      </c>
      <c r="R492">
        <f t="shared" si="115"/>
        <v>49.650349650349654</v>
      </c>
      <c r="S492" s="1">
        <f t="shared" si="116"/>
        <v>50.24975024975025</v>
      </c>
      <c r="T492" s="1">
        <f t="shared" si="117"/>
        <v>234</v>
      </c>
      <c r="U492" s="1">
        <f t="shared" si="118"/>
        <v>276</v>
      </c>
      <c r="V492" s="1">
        <f t="shared" si="119"/>
        <v>47.5</v>
      </c>
      <c r="W492" s="1">
        <f t="shared" si="120"/>
        <v>52.5</v>
      </c>
      <c r="X492" s="1">
        <f t="shared" si="121"/>
        <v>15.186274509803921</v>
      </c>
      <c r="Y492" s="1">
        <f t="shared" si="122"/>
        <v>79</v>
      </c>
      <c r="Z492" s="1">
        <f t="shared" si="123"/>
        <v>87</v>
      </c>
      <c r="AA492" s="1">
        <f t="shared" si="124"/>
        <v>3.6405063291139257</v>
      </c>
      <c r="AB492" s="1">
        <f t="shared" si="125"/>
        <v>3.3793103448275863</v>
      </c>
      <c r="AC492" s="1">
        <f t="shared" si="126"/>
        <v>0</v>
      </c>
      <c r="AD492" s="1">
        <f t="shared" si="127"/>
        <v>1.7643031816580473E-2</v>
      </c>
    </row>
    <row r="493" spans="1:30" x14ac:dyDescent="0.35">
      <c r="A493" t="s">
        <v>1020</v>
      </c>
      <c r="B493" t="s">
        <v>96</v>
      </c>
      <c r="C493" t="s">
        <v>56</v>
      </c>
      <c r="D493" t="s">
        <v>25</v>
      </c>
      <c r="E493">
        <v>25</v>
      </c>
      <c r="F493" t="s">
        <v>74</v>
      </c>
      <c r="G493" t="s">
        <v>85</v>
      </c>
      <c r="H493" t="s">
        <v>1021</v>
      </c>
      <c r="I493">
        <v>6</v>
      </c>
      <c r="J493">
        <v>9</v>
      </c>
      <c r="K493">
        <v>327405</v>
      </c>
      <c r="L493">
        <v>3.9</v>
      </c>
      <c r="M493" t="s">
        <v>21</v>
      </c>
      <c r="N493">
        <v>68</v>
      </c>
      <c r="O493">
        <f t="shared" si="112"/>
        <v>509</v>
      </c>
      <c r="P493">
        <f t="shared" si="113"/>
        <v>255</v>
      </c>
      <c r="Q493">
        <f t="shared" si="114"/>
        <v>254</v>
      </c>
      <c r="R493">
        <f t="shared" si="115"/>
        <v>49.650349650349654</v>
      </c>
      <c r="S493" s="1">
        <f t="shared" si="116"/>
        <v>50.24975024975025</v>
      </c>
      <c r="T493" s="1">
        <f t="shared" si="117"/>
        <v>234</v>
      </c>
      <c r="U493" s="1">
        <f t="shared" si="118"/>
        <v>275</v>
      </c>
      <c r="V493" s="1">
        <f t="shared" si="119"/>
        <v>47.5</v>
      </c>
      <c r="W493" s="1">
        <f t="shared" si="120"/>
        <v>52.5</v>
      </c>
      <c r="X493" s="1">
        <f t="shared" si="121"/>
        <v>15.202357563850688</v>
      </c>
      <c r="Y493" s="1">
        <f t="shared" si="122"/>
        <v>79</v>
      </c>
      <c r="Z493" s="1">
        <f t="shared" si="123"/>
        <v>87</v>
      </c>
      <c r="AA493" s="1">
        <f t="shared" si="124"/>
        <v>3.6405063291139257</v>
      </c>
      <c r="AB493" s="1">
        <f t="shared" si="125"/>
        <v>3.3793103448275863</v>
      </c>
      <c r="AC493" s="1">
        <f t="shared" si="126"/>
        <v>1</v>
      </c>
      <c r="AD493" s="1">
        <f t="shared" si="127"/>
        <v>1.5563062687888044E-2</v>
      </c>
    </row>
    <row r="494" spans="1:30" x14ac:dyDescent="0.35">
      <c r="A494" t="s">
        <v>1022</v>
      </c>
      <c r="B494" t="s">
        <v>96</v>
      </c>
      <c r="C494" t="s">
        <v>93</v>
      </c>
      <c r="D494" t="s">
        <v>25</v>
      </c>
      <c r="E494">
        <v>37</v>
      </c>
      <c r="F494" t="s">
        <v>18</v>
      </c>
      <c r="G494" t="s">
        <v>19</v>
      </c>
      <c r="H494" t="s">
        <v>1023</v>
      </c>
      <c r="I494">
        <v>15</v>
      </c>
      <c r="J494">
        <v>24</v>
      </c>
      <c r="K494">
        <v>95807</v>
      </c>
      <c r="L494">
        <v>4.7</v>
      </c>
      <c r="M494" t="s">
        <v>43</v>
      </c>
      <c r="N494">
        <v>84</v>
      </c>
      <c r="O494">
        <f t="shared" si="112"/>
        <v>508</v>
      </c>
      <c r="P494">
        <f t="shared" si="113"/>
        <v>255</v>
      </c>
      <c r="Q494">
        <f t="shared" si="114"/>
        <v>253</v>
      </c>
      <c r="R494">
        <f t="shared" si="115"/>
        <v>49.650349650349654</v>
      </c>
      <c r="S494" s="1">
        <f t="shared" si="116"/>
        <v>50.24975024975025</v>
      </c>
      <c r="T494" s="1">
        <f t="shared" si="117"/>
        <v>233</v>
      </c>
      <c r="U494" s="1">
        <f t="shared" si="118"/>
        <v>275</v>
      </c>
      <c r="V494" s="1">
        <f t="shared" si="119"/>
        <v>47.5</v>
      </c>
      <c r="W494" s="1">
        <f t="shared" si="120"/>
        <v>52.5</v>
      </c>
      <c r="X494" s="1">
        <f t="shared" si="121"/>
        <v>15.214566929133857</v>
      </c>
      <c r="Y494" s="1">
        <f t="shared" si="122"/>
        <v>78</v>
      </c>
      <c r="Z494" s="1">
        <f t="shared" si="123"/>
        <v>87</v>
      </c>
      <c r="AA494" s="1">
        <f t="shared" si="124"/>
        <v>3.6371794871794894</v>
      </c>
      <c r="AB494" s="1">
        <f t="shared" si="125"/>
        <v>3.3793103448275863</v>
      </c>
      <c r="AC494" s="1">
        <f t="shared" si="126"/>
        <v>0</v>
      </c>
      <c r="AD494" s="1">
        <f t="shared" si="127"/>
        <v>1.7486747978218583E-2</v>
      </c>
    </row>
    <row r="495" spans="1:30" x14ac:dyDescent="0.35">
      <c r="A495" t="s">
        <v>1024</v>
      </c>
      <c r="B495" t="s">
        <v>96</v>
      </c>
      <c r="C495" t="s">
        <v>52</v>
      </c>
      <c r="D495" t="s">
        <v>25</v>
      </c>
      <c r="E495">
        <v>34</v>
      </c>
      <c r="F495" t="s">
        <v>37</v>
      </c>
      <c r="G495" t="s">
        <v>41</v>
      </c>
      <c r="H495" t="s">
        <v>1025</v>
      </c>
      <c r="I495">
        <v>12</v>
      </c>
      <c r="J495">
        <v>16</v>
      </c>
      <c r="K495">
        <v>435928</v>
      </c>
      <c r="L495">
        <v>4.9000000000000004</v>
      </c>
      <c r="M495" t="s">
        <v>21</v>
      </c>
      <c r="N495">
        <v>61</v>
      </c>
      <c r="O495">
        <f t="shared" si="112"/>
        <v>507</v>
      </c>
      <c r="P495">
        <f t="shared" si="113"/>
        <v>255</v>
      </c>
      <c r="Q495">
        <f t="shared" si="114"/>
        <v>252</v>
      </c>
      <c r="R495">
        <f t="shared" si="115"/>
        <v>49.650349650349654</v>
      </c>
      <c r="S495" s="1">
        <f t="shared" si="116"/>
        <v>50.24975024975025</v>
      </c>
      <c r="T495" s="1">
        <f t="shared" si="117"/>
        <v>233</v>
      </c>
      <c r="U495" s="1">
        <f t="shared" si="118"/>
        <v>274</v>
      </c>
      <c r="V495" s="1">
        <f t="shared" si="119"/>
        <v>47.5</v>
      </c>
      <c r="W495" s="1">
        <f t="shared" si="120"/>
        <v>52.5</v>
      </c>
      <c r="X495" s="1">
        <f t="shared" si="121"/>
        <v>15.19723865877712</v>
      </c>
      <c r="Y495" s="1">
        <f t="shared" si="122"/>
        <v>78</v>
      </c>
      <c r="Z495" s="1">
        <f t="shared" si="123"/>
        <v>87</v>
      </c>
      <c r="AA495" s="1">
        <f t="shared" si="124"/>
        <v>3.6371794871794894</v>
      </c>
      <c r="AB495" s="1">
        <f t="shared" si="125"/>
        <v>3.3793103448275863</v>
      </c>
      <c r="AC495" s="1">
        <f t="shared" si="126"/>
        <v>1</v>
      </c>
      <c r="AD495" s="1">
        <f t="shared" si="127"/>
        <v>1.981110721988379E-2</v>
      </c>
    </row>
    <row r="496" spans="1:30" x14ac:dyDescent="0.35">
      <c r="A496" t="s">
        <v>1026</v>
      </c>
      <c r="B496" t="s">
        <v>23</v>
      </c>
      <c r="C496" t="s">
        <v>16</v>
      </c>
      <c r="D496" t="s">
        <v>25</v>
      </c>
      <c r="E496">
        <v>48</v>
      </c>
      <c r="F496" t="s">
        <v>31</v>
      </c>
      <c r="G496" t="s">
        <v>88</v>
      </c>
      <c r="H496" t="s">
        <v>1027</v>
      </c>
      <c r="I496">
        <v>10</v>
      </c>
      <c r="J496">
        <v>18</v>
      </c>
      <c r="K496">
        <v>483750</v>
      </c>
      <c r="L496">
        <v>2.5</v>
      </c>
      <c r="M496" t="s">
        <v>21</v>
      </c>
      <c r="N496">
        <v>30</v>
      </c>
      <c r="O496">
        <f t="shared" si="112"/>
        <v>506</v>
      </c>
      <c r="P496">
        <f t="shared" si="113"/>
        <v>255</v>
      </c>
      <c r="Q496">
        <f t="shared" si="114"/>
        <v>251</v>
      </c>
      <c r="R496">
        <f t="shared" si="115"/>
        <v>49.650349650349654</v>
      </c>
      <c r="S496" s="1">
        <f t="shared" si="116"/>
        <v>50.24975024975025</v>
      </c>
      <c r="T496" s="1">
        <f t="shared" si="117"/>
        <v>232</v>
      </c>
      <c r="U496" s="1">
        <f t="shared" si="118"/>
        <v>274</v>
      </c>
      <c r="V496" s="1">
        <f t="shared" si="119"/>
        <v>47.5</v>
      </c>
      <c r="W496" s="1">
        <f t="shared" si="120"/>
        <v>52.5</v>
      </c>
      <c r="X496" s="1">
        <f t="shared" si="121"/>
        <v>15.195652173913043</v>
      </c>
      <c r="Y496" s="1">
        <f t="shared" si="122"/>
        <v>78</v>
      </c>
      <c r="Z496" s="1">
        <f t="shared" si="123"/>
        <v>87</v>
      </c>
      <c r="AA496" s="1">
        <f t="shared" si="124"/>
        <v>3.6371794871794894</v>
      </c>
      <c r="AB496" s="1">
        <f t="shared" si="125"/>
        <v>3.3793103448275863</v>
      </c>
      <c r="AC496" s="1">
        <f t="shared" si="126"/>
        <v>1</v>
      </c>
      <c r="AD496" s="1">
        <f t="shared" si="127"/>
        <v>1.9588389306618464E-2</v>
      </c>
    </row>
    <row r="497" spans="1:30" x14ac:dyDescent="0.35">
      <c r="A497" t="s">
        <v>1028</v>
      </c>
      <c r="B497" t="s">
        <v>29</v>
      </c>
      <c r="C497" t="s">
        <v>36</v>
      </c>
      <c r="D497" t="s">
        <v>17</v>
      </c>
      <c r="E497">
        <v>59</v>
      </c>
      <c r="F497" t="s">
        <v>46</v>
      </c>
      <c r="G497" t="s">
        <v>41</v>
      </c>
      <c r="H497" t="s">
        <v>1029</v>
      </c>
      <c r="I497">
        <v>17</v>
      </c>
      <c r="J497">
        <v>21</v>
      </c>
      <c r="K497">
        <v>423481</v>
      </c>
      <c r="L497">
        <v>3.4</v>
      </c>
      <c r="M497" t="s">
        <v>21</v>
      </c>
      <c r="N497">
        <v>48</v>
      </c>
      <c r="O497">
        <f t="shared" si="112"/>
        <v>505</v>
      </c>
      <c r="P497">
        <f t="shared" si="113"/>
        <v>255</v>
      </c>
      <c r="Q497">
        <f t="shared" si="114"/>
        <v>250</v>
      </c>
      <c r="R497">
        <f t="shared" si="115"/>
        <v>49.650349650349654</v>
      </c>
      <c r="S497" s="1">
        <f t="shared" si="116"/>
        <v>50.24975024975025</v>
      </c>
      <c r="T497" s="1">
        <f t="shared" si="117"/>
        <v>231</v>
      </c>
      <c r="U497" s="1">
        <f t="shared" si="118"/>
        <v>274</v>
      </c>
      <c r="V497" s="1">
        <f t="shared" si="119"/>
        <v>47.5</v>
      </c>
      <c r="W497" s="1">
        <f t="shared" si="120"/>
        <v>52.5</v>
      </c>
      <c r="X497" s="1">
        <f t="shared" si="121"/>
        <v>15.19009900990099</v>
      </c>
      <c r="Y497" s="1">
        <f t="shared" si="122"/>
        <v>78</v>
      </c>
      <c r="Z497" s="1">
        <f t="shared" si="123"/>
        <v>86</v>
      </c>
      <c r="AA497" s="1">
        <f t="shared" si="124"/>
        <v>3.6371794871794894</v>
      </c>
      <c r="AB497" s="1">
        <f t="shared" si="125"/>
        <v>3.3895348837209309</v>
      </c>
      <c r="AC497" s="1">
        <f t="shared" si="126"/>
        <v>1</v>
      </c>
      <c r="AD497" s="1">
        <f t="shared" si="127"/>
        <v>1.8752098863278811E-2</v>
      </c>
    </row>
    <row r="498" spans="1:30" x14ac:dyDescent="0.35">
      <c r="A498" t="s">
        <v>1030</v>
      </c>
      <c r="B498" t="s">
        <v>23</v>
      </c>
      <c r="C498" t="s">
        <v>24</v>
      </c>
      <c r="D498" t="s">
        <v>25</v>
      </c>
      <c r="E498">
        <v>32</v>
      </c>
      <c r="F498" t="s">
        <v>79</v>
      </c>
      <c r="G498" t="s">
        <v>32</v>
      </c>
      <c r="H498" t="s">
        <v>1031</v>
      </c>
      <c r="I498">
        <v>20</v>
      </c>
      <c r="J498">
        <v>30</v>
      </c>
      <c r="K498">
        <v>430939</v>
      </c>
      <c r="L498">
        <v>2.6</v>
      </c>
      <c r="M498" t="s">
        <v>43</v>
      </c>
      <c r="N498">
        <v>95</v>
      </c>
      <c r="O498">
        <f t="shared" si="112"/>
        <v>504</v>
      </c>
      <c r="P498">
        <f t="shared" si="113"/>
        <v>254</v>
      </c>
      <c r="Q498">
        <f t="shared" si="114"/>
        <v>250</v>
      </c>
      <c r="R498">
        <f t="shared" si="115"/>
        <v>49.650349650349654</v>
      </c>
      <c r="S498" s="1">
        <f t="shared" si="116"/>
        <v>50.24975024975025</v>
      </c>
      <c r="T498" s="1">
        <f t="shared" si="117"/>
        <v>230</v>
      </c>
      <c r="U498" s="1">
        <f t="shared" si="118"/>
        <v>274</v>
      </c>
      <c r="V498" s="1">
        <f t="shared" si="119"/>
        <v>47.5</v>
      </c>
      <c r="W498" s="1">
        <f t="shared" si="120"/>
        <v>52.5</v>
      </c>
      <c r="X498" s="1">
        <f t="shared" si="121"/>
        <v>15.178571428571429</v>
      </c>
      <c r="Y498" s="1">
        <f t="shared" si="122"/>
        <v>78</v>
      </c>
      <c r="Z498" s="1">
        <f t="shared" si="123"/>
        <v>86</v>
      </c>
      <c r="AA498" s="1">
        <f t="shared" si="124"/>
        <v>3.6371794871794894</v>
      </c>
      <c r="AB498" s="1">
        <f t="shared" si="125"/>
        <v>3.3895348837209309</v>
      </c>
      <c r="AC498" s="1">
        <f t="shared" si="126"/>
        <v>0</v>
      </c>
      <c r="AD498" s="1">
        <f t="shared" si="127"/>
        <v>1.6993557747882724E-2</v>
      </c>
    </row>
    <row r="499" spans="1:30" x14ac:dyDescent="0.35">
      <c r="A499" t="s">
        <v>1032</v>
      </c>
      <c r="B499" t="s">
        <v>35</v>
      </c>
      <c r="C499" t="s">
        <v>49</v>
      </c>
      <c r="D499" t="s">
        <v>25</v>
      </c>
      <c r="E499">
        <v>43</v>
      </c>
      <c r="F499" t="s">
        <v>18</v>
      </c>
      <c r="G499" t="s">
        <v>41</v>
      </c>
      <c r="H499" t="s">
        <v>1033</v>
      </c>
      <c r="I499">
        <v>0</v>
      </c>
      <c r="J499">
        <v>10</v>
      </c>
      <c r="K499">
        <v>308738</v>
      </c>
      <c r="L499">
        <v>4.3</v>
      </c>
      <c r="M499" t="s">
        <v>43</v>
      </c>
      <c r="N499">
        <v>84</v>
      </c>
      <c r="O499">
        <f t="shared" si="112"/>
        <v>503</v>
      </c>
      <c r="P499">
        <f t="shared" si="113"/>
        <v>254</v>
      </c>
      <c r="Q499">
        <f t="shared" si="114"/>
        <v>249</v>
      </c>
      <c r="R499">
        <f t="shared" si="115"/>
        <v>49.650349650349654</v>
      </c>
      <c r="S499" s="1">
        <f t="shared" si="116"/>
        <v>50.24975024975025</v>
      </c>
      <c r="T499" s="1">
        <f t="shared" si="117"/>
        <v>230</v>
      </c>
      <c r="U499" s="1">
        <f t="shared" si="118"/>
        <v>273</v>
      </c>
      <c r="V499" s="1">
        <f t="shared" si="119"/>
        <v>47.5</v>
      </c>
      <c r="W499" s="1">
        <f t="shared" si="120"/>
        <v>52.5</v>
      </c>
      <c r="X499" s="1">
        <f t="shared" si="121"/>
        <v>15.14910536779324</v>
      </c>
      <c r="Y499" s="1">
        <f t="shared" si="122"/>
        <v>78</v>
      </c>
      <c r="Z499" s="1">
        <f t="shared" si="123"/>
        <v>86</v>
      </c>
      <c r="AA499" s="1">
        <f t="shared" si="124"/>
        <v>3.6371794871794894</v>
      </c>
      <c r="AB499" s="1">
        <f t="shared" si="125"/>
        <v>3.3895348837209309</v>
      </c>
      <c r="AC499" s="1">
        <f t="shared" si="126"/>
        <v>0</v>
      </c>
      <c r="AD499" s="1">
        <f t="shared" si="127"/>
        <v>2.0952252171781493E-2</v>
      </c>
    </row>
    <row r="500" spans="1:30" x14ac:dyDescent="0.35">
      <c r="A500" t="s">
        <v>1034</v>
      </c>
      <c r="B500" t="s">
        <v>69</v>
      </c>
      <c r="C500" t="s">
        <v>16</v>
      </c>
      <c r="D500" t="s">
        <v>17</v>
      </c>
      <c r="E500">
        <v>34</v>
      </c>
      <c r="F500" t="s">
        <v>46</v>
      </c>
      <c r="G500" t="s">
        <v>71</v>
      </c>
      <c r="H500" t="s">
        <v>1035</v>
      </c>
      <c r="I500">
        <v>13</v>
      </c>
      <c r="J500">
        <v>23</v>
      </c>
      <c r="K500">
        <v>69772</v>
      </c>
      <c r="L500">
        <v>3.4</v>
      </c>
      <c r="M500" t="s">
        <v>43</v>
      </c>
      <c r="N500">
        <v>95</v>
      </c>
      <c r="O500">
        <f t="shared" si="112"/>
        <v>502</v>
      </c>
      <c r="P500">
        <f t="shared" si="113"/>
        <v>254</v>
      </c>
      <c r="Q500">
        <f t="shared" si="114"/>
        <v>248</v>
      </c>
      <c r="R500">
        <f t="shared" si="115"/>
        <v>49.650349650349654</v>
      </c>
      <c r="S500" s="1">
        <f t="shared" si="116"/>
        <v>50.24975024975025</v>
      </c>
      <c r="T500" s="1">
        <f t="shared" si="117"/>
        <v>230</v>
      </c>
      <c r="U500" s="1">
        <f t="shared" si="118"/>
        <v>272</v>
      </c>
      <c r="V500" s="1">
        <f t="shared" si="119"/>
        <v>47.5</v>
      </c>
      <c r="W500" s="1">
        <f t="shared" si="120"/>
        <v>52.5</v>
      </c>
      <c r="X500" s="1">
        <f t="shared" si="121"/>
        <v>15.159362549800797</v>
      </c>
      <c r="Y500" s="1">
        <f t="shared" si="122"/>
        <v>78</v>
      </c>
      <c r="Z500" s="1">
        <f t="shared" si="123"/>
        <v>86</v>
      </c>
      <c r="AA500" s="1">
        <f t="shared" si="124"/>
        <v>3.6371794871794894</v>
      </c>
      <c r="AB500" s="1">
        <f t="shared" si="125"/>
        <v>3.3895348837209309</v>
      </c>
      <c r="AC500" s="1">
        <f t="shared" si="126"/>
        <v>0</v>
      </c>
      <c r="AD500" s="1">
        <f t="shared" si="127"/>
        <v>1.9632691998623261E-2</v>
      </c>
    </row>
    <row r="501" spans="1:30" x14ac:dyDescent="0.35">
      <c r="A501" t="s">
        <v>1036</v>
      </c>
      <c r="B501" t="s">
        <v>111</v>
      </c>
      <c r="C501" t="s">
        <v>56</v>
      </c>
      <c r="D501" t="s">
        <v>25</v>
      </c>
      <c r="E501">
        <v>48</v>
      </c>
      <c r="F501" t="s">
        <v>18</v>
      </c>
      <c r="G501" t="s">
        <v>85</v>
      </c>
      <c r="H501" t="s">
        <v>1037</v>
      </c>
      <c r="I501">
        <v>9</v>
      </c>
      <c r="J501">
        <v>11</v>
      </c>
      <c r="K501">
        <v>88531</v>
      </c>
      <c r="L501">
        <v>2.6</v>
      </c>
      <c r="M501" t="s">
        <v>43</v>
      </c>
      <c r="N501">
        <v>83</v>
      </c>
      <c r="O501">
        <f t="shared" si="112"/>
        <v>501</v>
      </c>
      <c r="P501">
        <f t="shared" si="113"/>
        <v>253</v>
      </c>
      <c r="Q501">
        <f t="shared" si="114"/>
        <v>248</v>
      </c>
      <c r="R501">
        <f t="shared" si="115"/>
        <v>49.650349650349654</v>
      </c>
      <c r="S501" s="1">
        <f t="shared" si="116"/>
        <v>50.24975024975025</v>
      </c>
      <c r="T501" s="1">
        <f t="shared" si="117"/>
        <v>230</v>
      </c>
      <c r="U501" s="1">
        <f t="shared" si="118"/>
        <v>271</v>
      </c>
      <c r="V501" s="1">
        <f t="shared" si="119"/>
        <v>47.5</v>
      </c>
      <c r="W501" s="1">
        <f t="shared" si="120"/>
        <v>52.5</v>
      </c>
      <c r="X501" s="1">
        <f t="shared" si="121"/>
        <v>15.1437125748503</v>
      </c>
      <c r="Y501" s="1">
        <f t="shared" si="122"/>
        <v>78</v>
      </c>
      <c r="Z501" s="1">
        <f t="shared" si="123"/>
        <v>86</v>
      </c>
      <c r="AA501" s="1">
        <f t="shared" si="124"/>
        <v>3.6371794871794894</v>
      </c>
      <c r="AB501" s="1">
        <f t="shared" si="125"/>
        <v>3.3895348837209309</v>
      </c>
      <c r="AC501" s="1">
        <f t="shared" si="126"/>
        <v>0</v>
      </c>
      <c r="AD501" s="1">
        <f t="shared" si="127"/>
        <v>2.1735783458917465E-2</v>
      </c>
    </row>
    <row r="502" spans="1:30" x14ac:dyDescent="0.35">
      <c r="A502" t="s">
        <v>1038</v>
      </c>
      <c r="B502" t="s">
        <v>78</v>
      </c>
      <c r="C502" t="s">
        <v>24</v>
      </c>
      <c r="D502" t="s">
        <v>25</v>
      </c>
      <c r="E502">
        <v>49</v>
      </c>
      <c r="F502" t="s">
        <v>70</v>
      </c>
      <c r="G502" t="s">
        <v>19</v>
      </c>
      <c r="H502" t="s">
        <v>1039</v>
      </c>
      <c r="I502">
        <v>11</v>
      </c>
      <c r="J502">
        <v>18</v>
      </c>
      <c r="K502">
        <v>363090</v>
      </c>
      <c r="L502">
        <v>2.9</v>
      </c>
      <c r="M502" t="s">
        <v>21</v>
      </c>
      <c r="N502">
        <v>33</v>
      </c>
      <c r="O502">
        <f t="shared" si="112"/>
        <v>500</v>
      </c>
      <c r="P502">
        <f t="shared" si="113"/>
        <v>253</v>
      </c>
      <c r="Q502">
        <f t="shared" si="114"/>
        <v>247</v>
      </c>
      <c r="R502">
        <f t="shared" si="115"/>
        <v>49.650349650349654</v>
      </c>
      <c r="S502" s="1">
        <f t="shared" si="116"/>
        <v>50.24975024975025</v>
      </c>
      <c r="T502" s="1">
        <f t="shared" si="117"/>
        <v>230</v>
      </c>
      <c r="U502" s="1">
        <f t="shared" si="118"/>
        <v>270</v>
      </c>
      <c r="V502" s="1">
        <f t="shared" si="119"/>
        <v>47.5</v>
      </c>
      <c r="W502" s="1">
        <f t="shared" si="120"/>
        <v>52.5</v>
      </c>
      <c r="X502" s="1">
        <f t="shared" si="121"/>
        <v>15.151999999999999</v>
      </c>
      <c r="Y502" s="1">
        <f t="shared" si="122"/>
        <v>78</v>
      </c>
      <c r="Z502" s="1">
        <f t="shared" si="123"/>
        <v>86</v>
      </c>
      <c r="AA502" s="1">
        <f t="shared" si="124"/>
        <v>3.6371794871794894</v>
      </c>
      <c r="AB502" s="1">
        <f t="shared" si="125"/>
        <v>3.3895348837209309</v>
      </c>
      <c r="AC502" s="1">
        <f t="shared" si="126"/>
        <v>1</v>
      </c>
      <c r="AD502" s="1">
        <f t="shared" si="127"/>
        <v>2.0668754354253225E-2</v>
      </c>
    </row>
    <row r="503" spans="1:30" x14ac:dyDescent="0.35">
      <c r="A503" t="s">
        <v>1040</v>
      </c>
      <c r="B503" t="s">
        <v>96</v>
      </c>
      <c r="C503" t="s">
        <v>64</v>
      </c>
      <c r="D503" t="s">
        <v>17</v>
      </c>
      <c r="E503">
        <v>35</v>
      </c>
      <c r="F503" t="s">
        <v>70</v>
      </c>
      <c r="G503" t="s">
        <v>61</v>
      </c>
      <c r="H503" t="s">
        <v>1041</v>
      </c>
      <c r="I503">
        <v>20</v>
      </c>
      <c r="J503">
        <v>21</v>
      </c>
      <c r="K503">
        <v>317518</v>
      </c>
      <c r="L503">
        <v>3.7</v>
      </c>
      <c r="M503" t="s">
        <v>21</v>
      </c>
      <c r="N503">
        <v>32</v>
      </c>
      <c r="O503">
        <f t="shared" si="112"/>
        <v>499</v>
      </c>
      <c r="P503">
        <f t="shared" si="113"/>
        <v>253</v>
      </c>
      <c r="Q503">
        <f t="shared" si="114"/>
        <v>246</v>
      </c>
      <c r="R503">
        <f t="shared" si="115"/>
        <v>49.650349650349654</v>
      </c>
      <c r="S503" s="1">
        <f t="shared" si="116"/>
        <v>50.24975024975025</v>
      </c>
      <c r="T503" s="1">
        <f t="shared" si="117"/>
        <v>229</v>
      </c>
      <c r="U503" s="1">
        <f t="shared" si="118"/>
        <v>270</v>
      </c>
      <c r="V503" s="1">
        <f t="shared" si="119"/>
        <v>47.5</v>
      </c>
      <c r="W503" s="1">
        <f t="shared" si="120"/>
        <v>52.5</v>
      </c>
      <c r="X503" s="1">
        <f t="shared" si="121"/>
        <v>15.146292585170341</v>
      </c>
      <c r="Y503" s="1">
        <f t="shared" si="122"/>
        <v>78</v>
      </c>
      <c r="Z503" s="1">
        <f t="shared" si="123"/>
        <v>86</v>
      </c>
      <c r="AA503" s="1">
        <f t="shared" si="124"/>
        <v>3.6371794871794894</v>
      </c>
      <c r="AB503" s="1">
        <f t="shared" si="125"/>
        <v>3.3895348837209309</v>
      </c>
      <c r="AC503" s="1">
        <f t="shared" si="126"/>
        <v>1</v>
      </c>
      <c r="AD503" s="1">
        <f t="shared" si="127"/>
        <v>1.981160013482422E-2</v>
      </c>
    </row>
    <row r="504" spans="1:30" x14ac:dyDescent="0.35">
      <c r="A504" t="s">
        <v>1042</v>
      </c>
      <c r="B504" t="s">
        <v>55</v>
      </c>
      <c r="C504" t="s">
        <v>82</v>
      </c>
      <c r="D504" t="s">
        <v>17</v>
      </c>
      <c r="E504">
        <v>28</v>
      </c>
      <c r="F504" t="s">
        <v>31</v>
      </c>
      <c r="G504" t="s">
        <v>75</v>
      </c>
      <c r="H504" t="s">
        <v>1043</v>
      </c>
      <c r="I504">
        <v>12</v>
      </c>
      <c r="J504">
        <v>22</v>
      </c>
      <c r="K504">
        <v>261618</v>
      </c>
      <c r="L504">
        <v>2.2000000000000002</v>
      </c>
      <c r="M504" t="s">
        <v>21</v>
      </c>
      <c r="N504">
        <v>64</v>
      </c>
      <c r="O504">
        <f t="shared" si="112"/>
        <v>498</v>
      </c>
      <c r="P504">
        <f t="shared" si="113"/>
        <v>252</v>
      </c>
      <c r="Q504">
        <f t="shared" si="114"/>
        <v>246</v>
      </c>
      <c r="R504">
        <f t="shared" si="115"/>
        <v>49.650349650349654</v>
      </c>
      <c r="S504" s="1">
        <f t="shared" si="116"/>
        <v>50.24975024975025</v>
      </c>
      <c r="T504" s="1">
        <f t="shared" si="117"/>
        <v>228</v>
      </c>
      <c r="U504" s="1">
        <f t="shared" si="118"/>
        <v>270</v>
      </c>
      <c r="V504" s="1">
        <f t="shared" si="119"/>
        <v>47.5</v>
      </c>
      <c r="W504" s="1">
        <f t="shared" si="120"/>
        <v>52.5</v>
      </c>
      <c r="X504" s="1">
        <f t="shared" si="121"/>
        <v>15.134538152610443</v>
      </c>
      <c r="Y504" s="1">
        <f t="shared" si="122"/>
        <v>78</v>
      </c>
      <c r="Z504" s="1">
        <f t="shared" si="123"/>
        <v>86</v>
      </c>
      <c r="AA504" s="1">
        <f t="shared" si="124"/>
        <v>3.6371794871794894</v>
      </c>
      <c r="AB504" s="1">
        <f t="shared" si="125"/>
        <v>3.3895348837209309</v>
      </c>
      <c r="AC504" s="1">
        <f t="shared" si="126"/>
        <v>1</v>
      </c>
      <c r="AD504" s="1">
        <f t="shared" si="127"/>
        <v>1.8023034583858236E-2</v>
      </c>
    </row>
    <row r="505" spans="1:30" x14ac:dyDescent="0.35">
      <c r="A505" t="s">
        <v>1044</v>
      </c>
      <c r="B505" t="s">
        <v>60</v>
      </c>
      <c r="C505" t="s">
        <v>93</v>
      </c>
      <c r="D505" t="s">
        <v>25</v>
      </c>
      <c r="E505">
        <v>37</v>
      </c>
      <c r="F505" t="s">
        <v>31</v>
      </c>
      <c r="G505" t="s">
        <v>57</v>
      </c>
      <c r="H505" t="s">
        <v>1045</v>
      </c>
      <c r="I505">
        <v>6</v>
      </c>
      <c r="J505">
        <v>12</v>
      </c>
      <c r="K505">
        <v>66070</v>
      </c>
      <c r="L505">
        <v>4.5</v>
      </c>
      <c r="M505" t="s">
        <v>21</v>
      </c>
      <c r="N505">
        <v>54</v>
      </c>
      <c r="O505">
        <f t="shared" si="112"/>
        <v>497</v>
      </c>
      <c r="P505">
        <f t="shared" si="113"/>
        <v>251</v>
      </c>
      <c r="Q505">
        <f t="shared" si="114"/>
        <v>246</v>
      </c>
      <c r="R505">
        <f t="shared" si="115"/>
        <v>49.650349650349654</v>
      </c>
      <c r="S505" s="1">
        <f t="shared" si="116"/>
        <v>50.24975024975025</v>
      </c>
      <c r="T505" s="1">
        <f t="shared" si="117"/>
        <v>227</v>
      </c>
      <c r="U505" s="1">
        <f t="shared" si="118"/>
        <v>270</v>
      </c>
      <c r="V505" s="1">
        <f t="shared" si="119"/>
        <v>47.5</v>
      </c>
      <c r="W505" s="1">
        <f t="shared" si="120"/>
        <v>52.5</v>
      </c>
      <c r="X505" s="1">
        <f t="shared" si="121"/>
        <v>15.120724346076459</v>
      </c>
      <c r="Y505" s="1">
        <f t="shared" si="122"/>
        <v>78</v>
      </c>
      <c r="Z505" s="1">
        <f t="shared" si="123"/>
        <v>85</v>
      </c>
      <c r="AA505" s="1">
        <f t="shared" si="124"/>
        <v>3.6371794871794894</v>
      </c>
      <c r="AB505" s="1">
        <f t="shared" si="125"/>
        <v>3.4035294117647061</v>
      </c>
      <c r="AC505" s="1">
        <f t="shared" si="126"/>
        <v>1</v>
      </c>
      <c r="AD505" s="1">
        <f t="shared" si="127"/>
        <v>1.5911465126156765E-2</v>
      </c>
    </row>
    <row r="506" spans="1:30" x14ac:dyDescent="0.35">
      <c r="A506" t="s">
        <v>1046</v>
      </c>
      <c r="B506" t="s">
        <v>23</v>
      </c>
      <c r="C506" t="s">
        <v>30</v>
      </c>
      <c r="D506" t="s">
        <v>25</v>
      </c>
      <c r="E506">
        <v>52</v>
      </c>
      <c r="F506" t="s">
        <v>74</v>
      </c>
      <c r="G506" t="s">
        <v>19</v>
      </c>
      <c r="H506" t="s">
        <v>1047</v>
      </c>
      <c r="I506">
        <v>5</v>
      </c>
      <c r="J506">
        <v>10</v>
      </c>
      <c r="K506">
        <v>206692</v>
      </c>
      <c r="L506">
        <v>2.6</v>
      </c>
      <c r="M506" t="s">
        <v>43</v>
      </c>
      <c r="N506">
        <v>71</v>
      </c>
      <c r="O506">
        <f t="shared" si="112"/>
        <v>496</v>
      </c>
      <c r="P506">
        <f t="shared" si="113"/>
        <v>251</v>
      </c>
      <c r="Q506">
        <f t="shared" si="114"/>
        <v>245</v>
      </c>
      <c r="R506">
        <f t="shared" si="115"/>
        <v>49.650349650349654</v>
      </c>
      <c r="S506" s="1">
        <f t="shared" si="116"/>
        <v>50.24975024975025</v>
      </c>
      <c r="T506" s="1">
        <f t="shared" si="117"/>
        <v>226</v>
      </c>
      <c r="U506" s="1">
        <f t="shared" si="118"/>
        <v>270</v>
      </c>
      <c r="V506" s="1">
        <f t="shared" si="119"/>
        <v>47.5</v>
      </c>
      <c r="W506" s="1">
        <f t="shared" si="120"/>
        <v>52.5</v>
      </c>
      <c r="X506" s="1">
        <f t="shared" si="121"/>
        <v>15.127016129032258</v>
      </c>
      <c r="Y506" s="1">
        <f t="shared" si="122"/>
        <v>78</v>
      </c>
      <c r="Z506" s="1">
        <f t="shared" si="123"/>
        <v>84</v>
      </c>
      <c r="AA506" s="1">
        <f t="shared" si="124"/>
        <v>3.6371794871794894</v>
      </c>
      <c r="AB506" s="1">
        <f t="shared" si="125"/>
        <v>3.3904761904761904</v>
      </c>
      <c r="AC506" s="1">
        <f t="shared" si="126"/>
        <v>0</v>
      </c>
      <c r="AD506" s="1">
        <f t="shared" si="127"/>
        <v>1.6914646859956205E-2</v>
      </c>
    </row>
    <row r="507" spans="1:30" x14ac:dyDescent="0.35">
      <c r="A507" t="s">
        <v>1048</v>
      </c>
      <c r="B507" t="s">
        <v>78</v>
      </c>
      <c r="C507" t="s">
        <v>24</v>
      </c>
      <c r="D507" t="s">
        <v>17</v>
      </c>
      <c r="E507">
        <v>31</v>
      </c>
      <c r="F507" t="s">
        <v>46</v>
      </c>
      <c r="G507" t="s">
        <v>88</v>
      </c>
      <c r="H507" t="s">
        <v>1049</v>
      </c>
      <c r="I507">
        <v>3</v>
      </c>
      <c r="J507">
        <v>13</v>
      </c>
      <c r="K507">
        <v>114116</v>
      </c>
      <c r="L507">
        <v>2.5</v>
      </c>
      <c r="M507" t="s">
        <v>43</v>
      </c>
      <c r="N507">
        <v>73</v>
      </c>
      <c r="O507">
        <f t="shared" si="112"/>
        <v>495</v>
      </c>
      <c r="P507">
        <f t="shared" si="113"/>
        <v>251</v>
      </c>
      <c r="Q507">
        <f t="shared" si="114"/>
        <v>244</v>
      </c>
      <c r="R507">
        <f t="shared" si="115"/>
        <v>49.650349650349654</v>
      </c>
      <c r="S507" s="1">
        <f t="shared" si="116"/>
        <v>50.24975024975025</v>
      </c>
      <c r="T507" s="1">
        <f t="shared" si="117"/>
        <v>226</v>
      </c>
      <c r="U507" s="1">
        <f t="shared" si="118"/>
        <v>269</v>
      </c>
      <c r="V507" s="1">
        <f t="shared" si="119"/>
        <v>47.5</v>
      </c>
      <c r="W507" s="1">
        <f t="shared" si="120"/>
        <v>52.5</v>
      </c>
      <c r="X507" s="1">
        <f t="shared" si="121"/>
        <v>15.137373737373737</v>
      </c>
      <c r="Y507" s="1">
        <f t="shared" si="122"/>
        <v>77</v>
      </c>
      <c r="Z507" s="1">
        <f t="shared" si="123"/>
        <v>84</v>
      </c>
      <c r="AA507" s="1">
        <f t="shared" si="124"/>
        <v>3.6506493506493523</v>
      </c>
      <c r="AB507" s="1">
        <f t="shared" si="125"/>
        <v>3.3904761904761904</v>
      </c>
      <c r="AC507" s="1">
        <f t="shared" si="126"/>
        <v>0</v>
      </c>
      <c r="AD507" s="1">
        <f t="shared" si="127"/>
        <v>1.5584646448276125E-2</v>
      </c>
    </row>
    <row r="508" spans="1:30" x14ac:dyDescent="0.35">
      <c r="A508" t="s">
        <v>1050</v>
      </c>
      <c r="B508" t="s">
        <v>15</v>
      </c>
      <c r="C508" t="s">
        <v>36</v>
      </c>
      <c r="D508" t="s">
        <v>25</v>
      </c>
      <c r="E508">
        <v>23</v>
      </c>
      <c r="F508" t="s">
        <v>79</v>
      </c>
      <c r="G508" t="s">
        <v>41</v>
      </c>
      <c r="H508" t="s">
        <v>1051</v>
      </c>
      <c r="I508">
        <v>15</v>
      </c>
      <c r="J508">
        <v>15</v>
      </c>
      <c r="K508">
        <v>400012</v>
      </c>
      <c r="L508">
        <v>4.4000000000000004</v>
      </c>
      <c r="M508" t="s">
        <v>21</v>
      </c>
      <c r="N508">
        <v>46</v>
      </c>
      <c r="O508">
        <f t="shared" si="112"/>
        <v>494</v>
      </c>
      <c r="P508">
        <f t="shared" si="113"/>
        <v>250</v>
      </c>
      <c r="Q508">
        <f t="shared" si="114"/>
        <v>244</v>
      </c>
      <c r="R508">
        <f t="shared" si="115"/>
        <v>49.650349650349654</v>
      </c>
      <c r="S508" s="1">
        <f t="shared" si="116"/>
        <v>50.24975024975025</v>
      </c>
      <c r="T508" s="1">
        <f t="shared" si="117"/>
        <v>226</v>
      </c>
      <c r="U508" s="1">
        <f t="shared" si="118"/>
        <v>268</v>
      </c>
      <c r="V508" s="1">
        <f t="shared" si="119"/>
        <v>47.5</v>
      </c>
      <c r="W508" s="1">
        <f t="shared" si="120"/>
        <v>52.5</v>
      </c>
      <c r="X508" s="1">
        <f t="shared" si="121"/>
        <v>15.1417004048583</v>
      </c>
      <c r="Y508" s="1">
        <f t="shared" si="122"/>
        <v>77</v>
      </c>
      <c r="Z508" s="1">
        <f t="shared" si="123"/>
        <v>84</v>
      </c>
      <c r="AA508" s="1">
        <f t="shared" si="124"/>
        <v>3.6506493506493523</v>
      </c>
      <c r="AB508" s="1">
        <f t="shared" si="125"/>
        <v>3.3904761904761904</v>
      </c>
      <c r="AC508" s="1">
        <f t="shared" si="126"/>
        <v>1</v>
      </c>
      <c r="AD508" s="1">
        <f t="shared" si="127"/>
        <v>1.5033463760804252E-2</v>
      </c>
    </row>
    <row r="509" spans="1:30" x14ac:dyDescent="0.35">
      <c r="A509" t="s">
        <v>1052</v>
      </c>
      <c r="B509" t="s">
        <v>96</v>
      </c>
      <c r="C509" t="s">
        <v>24</v>
      </c>
      <c r="D509" t="s">
        <v>17</v>
      </c>
      <c r="E509">
        <v>37</v>
      </c>
      <c r="F509" t="s">
        <v>74</v>
      </c>
      <c r="G509" t="s">
        <v>71</v>
      </c>
      <c r="H509" t="s">
        <v>1053</v>
      </c>
      <c r="I509">
        <v>12</v>
      </c>
      <c r="J509">
        <v>12</v>
      </c>
      <c r="K509">
        <v>487796</v>
      </c>
      <c r="L509">
        <v>2.7</v>
      </c>
      <c r="M509" t="s">
        <v>43</v>
      </c>
      <c r="N509">
        <v>74</v>
      </c>
      <c r="O509">
        <f t="shared" si="112"/>
        <v>493</v>
      </c>
      <c r="P509">
        <f t="shared" si="113"/>
        <v>250</v>
      </c>
      <c r="Q509">
        <f t="shared" si="114"/>
        <v>243</v>
      </c>
      <c r="R509">
        <f t="shared" si="115"/>
        <v>49.650349650349654</v>
      </c>
      <c r="S509" s="1">
        <f t="shared" si="116"/>
        <v>50.24975024975025</v>
      </c>
      <c r="T509" s="1">
        <f t="shared" si="117"/>
        <v>225</v>
      </c>
      <c r="U509" s="1">
        <f t="shared" si="118"/>
        <v>268</v>
      </c>
      <c r="V509" s="1">
        <f t="shared" si="119"/>
        <v>47.5</v>
      </c>
      <c r="W509" s="1">
        <f t="shared" si="120"/>
        <v>52.5</v>
      </c>
      <c r="X509" s="1">
        <f t="shared" si="121"/>
        <v>15.141987829614605</v>
      </c>
      <c r="Y509" s="1">
        <f t="shared" si="122"/>
        <v>77</v>
      </c>
      <c r="Z509" s="1">
        <f t="shared" si="123"/>
        <v>84</v>
      </c>
      <c r="AA509" s="1">
        <f t="shared" si="124"/>
        <v>3.6506493506493523</v>
      </c>
      <c r="AB509" s="1">
        <f t="shared" si="125"/>
        <v>3.3904761904761904</v>
      </c>
      <c r="AC509" s="1">
        <f t="shared" si="126"/>
        <v>0</v>
      </c>
      <c r="AD509" s="1">
        <f t="shared" si="127"/>
        <v>1.5096217896727581E-2</v>
      </c>
    </row>
    <row r="510" spans="1:30" x14ac:dyDescent="0.35">
      <c r="A510" t="s">
        <v>1054</v>
      </c>
      <c r="B510" t="s">
        <v>35</v>
      </c>
      <c r="C510" t="s">
        <v>49</v>
      </c>
      <c r="D510" t="s">
        <v>25</v>
      </c>
      <c r="E510">
        <v>58</v>
      </c>
      <c r="F510" t="s">
        <v>70</v>
      </c>
      <c r="G510" t="s">
        <v>41</v>
      </c>
      <c r="H510" t="s">
        <v>1055</v>
      </c>
      <c r="I510">
        <v>7</v>
      </c>
      <c r="J510">
        <v>16</v>
      </c>
      <c r="K510">
        <v>212846</v>
      </c>
      <c r="L510">
        <v>2.8</v>
      </c>
      <c r="M510" t="s">
        <v>21</v>
      </c>
      <c r="N510">
        <v>65</v>
      </c>
      <c r="O510">
        <f t="shared" si="112"/>
        <v>492</v>
      </c>
      <c r="P510">
        <f t="shared" si="113"/>
        <v>249</v>
      </c>
      <c r="Q510">
        <f t="shared" si="114"/>
        <v>243</v>
      </c>
      <c r="R510">
        <f t="shared" si="115"/>
        <v>49.650349650349654</v>
      </c>
      <c r="S510" s="1">
        <f t="shared" si="116"/>
        <v>50.24975024975025</v>
      </c>
      <c r="T510" s="1">
        <f t="shared" si="117"/>
        <v>225</v>
      </c>
      <c r="U510" s="1">
        <f t="shared" si="118"/>
        <v>267</v>
      </c>
      <c r="V510" s="1">
        <f t="shared" si="119"/>
        <v>47.5</v>
      </c>
      <c r="W510" s="1">
        <f t="shared" si="120"/>
        <v>52.5</v>
      </c>
      <c r="X510" s="1">
        <f t="shared" si="121"/>
        <v>15.148373983739837</v>
      </c>
      <c r="Y510" s="1">
        <f t="shared" si="122"/>
        <v>76</v>
      </c>
      <c r="Z510" s="1">
        <f t="shared" si="123"/>
        <v>84</v>
      </c>
      <c r="AA510" s="1">
        <f t="shared" si="124"/>
        <v>3.6631578947368442</v>
      </c>
      <c r="AB510" s="1">
        <f t="shared" si="125"/>
        <v>3.3904761904761904</v>
      </c>
      <c r="AC510" s="1">
        <f t="shared" si="126"/>
        <v>1</v>
      </c>
      <c r="AD510" s="1">
        <f t="shared" si="127"/>
        <v>1.4278703353652012E-2</v>
      </c>
    </row>
    <row r="511" spans="1:30" x14ac:dyDescent="0.35">
      <c r="A511" t="s">
        <v>1056</v>
      </c>
      <c r="B511" t="s">
        <v>40</v>
      </c>
      <c r="C511" t="s">
        <v>64</v>
      </c>
      <c r="D511" t="s">
        <v>25</v>
      </c>
      <c r="E511">
        <v>47</v>
      </c>
      <c r="F511" t="s">
        <v>79</v>
      </c>
      <c r="G511" t="s">
        <v>61</v>
      </c>
      <c r="H511" t="s">
        <v>612</v>
      </c>
      <c r="I511">
        <v>16</v>
      </c>
      <c r="J511">
        <v>16</v>
      </c>
      <c r="K511">
        <v>292923</v>
      </c>
      <c r="L511">
        <v>2.1</v>
      </c>
      <c r="M511" t="s">
        <v>43</v>
      </c>
      <c r="N511">
        <v>72</v>
      </c>
      <c r="O511">
        <f t="shared" si="112"/>
        <v>491</v>
      </c>
      <c r="P511">
        <f t="shared" si="113"/>
        <v>249</v>
      </c>
      <c r="Q511">
        <f t="shared" si="114"/>
        <v>242</v>
      </c>
      <c r="R511">
        <f t="shared" si="115"/>
        <v>49.650349650349654</v>
      </c>
      <c r="S511" s="1">
        <f t="shared" si="116"/>
        <v>50.24975024975025</v>
      </c>
      <c r="T511" s="1">
        <f t="shared" si="117"/>
        <v>224</v>
      </c>
      <c r="U511" s="1">
        <f t="shared" si="118"/>
        <v>267</v>
      </c>
      <c r="V511" s="1">
        <f t="shared" si="119"/>
        <v>47.5</v>
      </c>
      <c r="W511" s="1">
        <f t="shared" si="120"/>
        <v>52.5</v>
      </c>
      <c r="X511" s="1">
        <f t="shared" si="121"/>
        <v>15.146639511201629</v>
      </c>
      <c r="Y511" s="1">
        <f t="shared" si="122"/>
        <v>76</v>
      </c>
      <c r="Z511" s="1">
        <f t="shared" si="123"/>
        <v>84</v>
      </c>
      <c r="AA511" s="1">
        <f t="shared" si="124"/>
        <v>3.6631578947368442</v>
      </c>
      <c r="AB511" s="1">
        <f t="shared" si="125"/>
        <v>3.3904761904761904</v>
      </c>
      <c r="AC511" s="1">
        <f t="shared" si="126"/>
        <v>0</v>
      </c>
      <c r="AD511" s="1">
        <f t="shared" si="127"/>
        <v>1.4027244753346746E-2</v>
      </c>
    </row>
    <row r="512" spans="1:30" x14ac:dyDescent="0.35">
      <c r="A512" t="s">
        <v>1057</v>
      </c>
      <c r="B512" t="s">
        <v>40</v>
      </c>
      <c r="C512" t="s">
        <v>52</v>
      </c>
      <c r="D512" t="s">
        <v>25</v>
      </c>
      <c r="E512">
        <v>32</v>
      </c>
      <c r="F512" t="s">
        <v>37</v>
      </c>
      <c r="G512" t="s">
        <v>32</v>
      </c>
      <c r="H512" t="s">
        <v>1058</v>
      </c>
      <c r="I512">
        <v>0</v>
      </c>
      <c r="J512">
        <v>0</v>
      </c>
      <c r="K512">
        <v>432028</v>
      </c>
      <c r="L512">
        <v>3.4</v>
      </c>
      <c r="M512" t="s">
        <v>43</v>
      </c>
      <c r="N512">
        <v>83</v>
      </c>
      <c r="O512">
        <f t="shared" si="112"/>
        <v>490</v>
      </c>
      <c r="P512">
        <f t="shared" si="113"/>
        <v>249</v>
      </c>
      <c r="Q512">
        <f t="shared" si="114"/>
        <v>241</v>
      </c>
      <c r="R512">
        <f t="shared" si="115"/>
        <v>49.650349650349654</v>
      </c>
      <c r="S512" s="1">
        <f t="shared" si="116"/>
        <v>50.24975024975025</v>
      </c>
      <c r="T512" s="1">
        <f t="shared" si="117"/>
        <v>224</v>
      </c>
      <c r="U512" s="1">
        <f t="shared" si="118"/>
        <v>266</v>
      </c>
      <c r="V512" s="1">
        <f t="shared" si="119"/>
        <v>47.5</v>
      </c>
      <c r="W512" s="1">
        <f t="shared" si="120"/>
        <v>52.5</v>
      </c>
      <c r="X512" s="1">
        <f t="shared" si="121"/>
        <v>15.144897959183673</v>
      </c>
      <c r="Y512" s="1">
        <f t="shared" si="122"/>
        <v>76</v>
      </c>
      <c r="Z512" s="1">
        <f t="shared" si="123"/>
        <v>84</v>
      </c>
      <c r="AA512" s="1">
        <f t="shared" si="124"/>
        <v>3.6631578947368442</v>
      </c>
      <c r="AB512" s="1">
        <f t="shared" si="125"/>
        <v>3.3904761904761904</v>
      </c>
      <c r="AC512" s="1">
        <f t="shared" si="126"/>
        <v>0</v>
      </c>
      <c r="AD512" s="1">
        <f t="shared" si="127"/>
        <v>1.4266240266541367E-2</v>
      </c>
    </row>
    <row r="513" spans="1:30" x14ac:dyDescent="0.35">
      <c r="A513" t="s">
        <v>1059</v>
      </c>
      <c r="B513" t="s">
        <v>96</v>
      </c>
      <c r="C513" t="s">
        <v>49</v>
      </c>
      <c r="D513" t="s">
        <v>25</v>
      </c>
      <c r="E513">
        <v>37</v>
      </c>
      <c r="F513" t="s">
        <v>79</v>
      </c>
      <c r="G513" t="s">
        <v>26</v>
      </c>
      <c r="H513" t="s">
        <v>1060</v>
      </c>
      <c r="I513">
        <v>18</v>
      </c>
      <c r="J513">
        <v>19</v>
      </c>
      <c r="K513">
        <v>327846</v>
      </c>
      <c r="L513">
        <v>4.3</v>
      </c>
      <c r="M513" t="s">
        <v>43</v>
      </c>
      <c r="N513">
        <v>81</v>
      </c>
      <c r="O513">
        <f t="shared" si="112"/>
        <v>489</v>
      </c>
      <c r="P513">
        <f t="shared" si="113"/>
        <v>249</v>
      </c>
      <c r="Q513">
        <f t="shared" si="114"/>
        <v>240</v>
      </c>
      <c r="R513">
        <f t="shared" si="115"/>
        <v>49.650349650349654</v>
      </c>
      <c r="S513" s="1">
        <f t="shared" si="116"/>
        <v>50.24975024975025</v>
      </c>
      <c r="T513" s="1">
        <f t="shared" si="117"/>
        <v>224</v>
      </c>
      <c r="U513" s="1">
        <f t="shared" si="118"/>
        <v>265</v>
      </c>
      <c r="V513" s="1">
        <f t="shared" si="119"/>
        <v>47.5</v>
      </c>
      <c r="W513" s="1">
        <f t="shared" si="120"/>
        <v>52.5</v>
      </c>
      <c r="X513" s="1">
        <f t="shared" si="121"/>
        <v>15.175869120654397</v>
      </c>
      <c r="Y513" s="1">
        <f t="shared" si="122"/>
        <v>76</v>
      </c>
      <c r="Z513" s="1">
        <f t="shared" si="123"/>
        <v>84</v>
      </c>
      <c r="AA513" s="1">
        <f t="shared" si="124"/>
        <v>3.6631578947368442</v>
      </c>
      <c r="AB513" s="1">
        <f t="shared" si="125"/>
        <v>3.3904761904761904</v>
      </c>
      <c r="AC513" s="1">
        <f t="shared" si="126"/>
        <v>0</v>
      </c>
      <c r="AD513" s="1">
        <f t="shared" si="127"/>
        <v>1.0291125091483366E-2</v>
      </c>
    </row>
    <row r="514" spans="1:30" x14ac:dyDescent="0.35">
      <c r="A514" t="s">
        <v>1061</v>
      </c>
      <c r="B514" t="s">
        <v>60</v>
      </c>
      <c r="C514" t="s">
        <v>49</v>
      </c>
      <c r="D514" t="s">
        <v>17</v>
      </c>
      <c r="E514">
        <v>28</v>
      </c>
      <c r="F514" t="s">
        <v>31</v>
      </c>
      <c r="G514" t="s">
        <v>57</v>
      </c>
      <c r="H514" t="s">
        <v>1062</v>
      </c>
      <c r="I514">
        <v>18</v>
      </c>
      <c r="J514">
        <v>20</v>
      </c>
      <c r="K514">
        <v>231884</v>
      </c>
      <c r="L514">
        <v>3.1</v>
      </c>
      <c r="M514" t="s">
        <v>43</v>
      </c>
      <c r="N514">
        <v>96</v>
      </c>
      <c r="O514">
        <f t="shared" ref="O514:O577" si="128">COUNTA(A514:A1513)</f>
        <v>488</v>
      </c>
      <c r="P514">
        <f t="shared" ref="P514:P577" si="129">COUNTIF(D514:D1513,"Male")</f>
        <v>249</v>
      </c>
      <c r="Q514">
        <f t="shared" ref="Q514:Q577" si="130">COUNTIF(D514:D1513,"Female")</f>
        <v>239</v>
      </c>
      <c r="R514">
        <f t="shared" ref="R514:R577" si="131">497/1001*100</f>
        <v>49.650349650349654</v>
      </c>
      <c r="S514" s="1">
        <f t="shared" ref="S514:S577" si="132">503/1001*100</f>
        <v>50.24975024975025</v>
      </c>
      <c r="T514" s="1">
        <f t="shared" ref="T514:T577" si="133">COUNTIF(M514:M1513,"Yes")</f>
        <v>224</v>
      </c>
      <c r="U514" s="1">
        <f t="shared" ref="U514:U577" si="134">COUNTIF(M514:M1513,"No")</f>
        <v>264</v>
      </c>
      <c r="V514" s="1">
        <f t="shared" ref="V514:V577" si="135">475/1000*100</f>
        <v>47.5</v>
      </c>
      <c r="W514" s="1">
        <f t="shared" ref="W514:W577" si="136">525/1000*100</f>
        <v>52.5</v>
      </c>
      <c r="X514" s="1">
        <f t="shared" ref="X514:X577" si="137">AVERAGE(J514:J1513)</f>
        <v>15.168032786885245</v>
      </c>
      <c r="Y514" s="1">
        <f t="shared" ref="Y514:Y577" si="138">COUNTIF(F514:F1513,"Marketing")</f>
        <v>76</v>
      </c>
      <c r="Z514" s="1">
        <f t="shared" ref="Z514:Z577" si="139">COUNTIF(F514:F1513,"IT")</f>
        <v>84</v>
      </c>
      <c r="AA514" s="1">
        <f t="shared" ref="AA514:AA577" si="140">AVERAGEIF(F514:F1513,"Marketing",L514:L1513)</f>
        <v>3.6631578947368442</v>
      </c>
      <c r="AB514" s="1">
        <f t="shared" ref="AB514:AB577" si="141">AVERAGEIF(F514:F1513,"IT",L514:L1513)</f>
        <v>3.3904761904761904</v>
      </c>
      <c r="AC514" s="1">
        <f t="shared" ref="AC514:AC577" si="142">IF(M514="yes",1,0)</f>
        <v>0</v>
      </c>
      <c r="AD514" s="1">
        <f t="shared" ref="AD514:AD577" si="143">CORREL(J514:J1513,AC514:AC1513)</f>
        <v>1.1330460300027425E-2</v>
      </c>
    </row>
    <row r="515" spans="1:30" x14ac:dyDescent="0.35">
      <c r="A515" t="s">
        <v>1063</v>
      </c>
      <c r="B515" t="s">
        <v>45</v>
      </c>
      <c r="C515" t="s">
        <v>64</v>
      </c>
      <c r="D515" t="s">
        <v>25</v>
      </c>
      <c r="E515">
        <v>32</v>
      </c>
      <c r="F515" t="s">
        <v>79</v>
      </c>
      <c r="G515" t="s">
        <v>71</v>
      </c>
      <c r="H515" t="s">
        <v>1064</v>
      </c>
      <c r="I515">
        <v>13</v>
      </c>
      <c r="J515">
        <v>17</v>
      </c>
      <c r="K515">
        <v>460546</v>
      </c>
      <c r="L515">
        <v>3</v>
      </c>
      <c r="M515" t="s">
        <v>43</v>
      </c>
      <c r="N515">
        <v>85</v>
      </c>
      <c r="O515">
        <f t="shared" si="128"/>
        <v>487</v>
      </c>
      <c r="P515">
        <f t="shared" si="129"/>
        <v>248</v>
      </c>
      <c r="Q515">
        <f t="shared" si="130"/>
        <v>239</v>
      </c>
      <c r="R515">
        <f t="shared" si="131"/>
        <v>49.650349650349654</v>
      </c>
      <c r="S515" s="1">
        <f t="shared" si="132"/>
        <v>50.24975024975025</v>
      </c>
      <c r="T515" s="1">
        <f t="shared" si="133"/>
        <v>224</v>
      </c>
      <c r="U515" s="1">
        <f t="shared" si="134"/>
        <v>263</v>
      </c>
      <c r="V515" s="1">
        <f t="shared" si="135"/>
        <v>47.5</v>
      </c>
      <c r="W515" s="1">
        <f t="shared" si="136"/>
        <v>52.5</v>
      </c>
      <c r="X515" s="1">
        <f t="shared" si="137"/>
        <v>15.158110882956878</v>
      </c>
      <c r="Y515" s="1">
        <f t="shared" si="138"/>
        <v>76</v>
      </c>
      <c r="Z515" s="1">
        <f t="shared" si="139"/>
        <v>83</v>
      </c>
      <c r="AA515" s="1">
        <f t="shared" si="140"/>
        <v>3.6631578947368442</v>
      </c>
      <c r="AB515" s="1">
        <f t="shared" si="141"/>
        <v>3.3939759036144577</v>
      </c>
      <c r="AC515" s="1">
        <f t="shared" si="142"/>
        <v>0</v>
      </c>
      <c r="AD515" s="1">
        <f t="shared" si="143"/>
        <v>1.2648300648218374E-2</v>
      </c>
    </row>
    <row r="516" spans="1:30" x14ac:dyDescent="0.35">
      <c r="A516" t="s">
        <v>1065</v>
      </c>
      <c r="B516" t="s">
        <v>45</v>
      </c>
      <c r="C516" t="s">
        <v>82</v>
      </c>
      <c r="D516" t="s">
        <v>17</v>
      </c>
      <c r="E516">
        <v>44</v>
      </c>
      <c r="F516" t="s">
        <v>31</v>
      </c>
      <c r="G516" t="s">
        <v>75</v>
      </c>
      <c r="H516" t="s">
        <v>1066</v>
      </c>
      <c r="I516">
        <v>7</v>
      </c>
      <c r="J516">
        <v>8</v>
      </c>
      <c r="K516">
        <v>387211</v>
      </c>
      <c r="L516">
        <v>2.4</v>
      </c>
      <c r="M516" t="s">
        <v>21</v>
      </c>
      <c r="N516">
        <v>63</v>
      </c>
      <c r="O516">
        <f t="shared" si="128"/>
        <v>486</v>
      </c>
      <c r="P516">
        <f t="shared" si="129"/>
        <v>248</v>
      </c>
      <c r="Q516">
        <f t="shared" si="130"/>
        <v>238</v>
      </c>
      <c r="R516">
        <f t="shared" si="131"/>
        <v>49.650349650349654</v>
      </c>
      <c r="S516" s="1">
        <f t="shared" si="132"/>
        <v>50.24975024975025</v>
      </c>
      <c r="T516" s="1">
        <f t="shared" si="133"/>
        <v>224</v>
      </c>
      <c r="U516" s="1">
        <f t="shared" si="134"/>
        <v>262</v>
      </c>
      <c r="V516" s="1">
        <f t="shared" si="135"/>
        <v>47.5</v>
      </c>
      <c r="W516" s="1">
        <f t="shared" si="136"/>
        <v>52.5</v>
      </c>
      <c r="X516" s="1">
        <f t="shared" si="137"/>
        <v>15.154320987654321</v>
      </c>
      <c r="Y516" s="1">
        <f t="shared" si="138"/>
        <v>76</v>
      </c>
      <c r="Z516" s="1">
        <f t="shared" si="139"/>
        <v>83</v>
      </c>
      <c r="AA516" s="1">
        <f t="shared" si="140"/>
        <v>3.6631578947368442</v>
      </c>
      <c r="AB516" s="1">
        <f t="shared" si="141"/>
        <v>3.3939759036144577</v>
      </c>
      <c r="AC516" s="1">
        <f t="shared" si="142"/>
        <v>1</v>
      </c>
      <c r="AD516" s="1">
        <f t="shared" si="143"/>
        <v>1.3158263113187093E-2</v>
      </c>
    </row>
    <row r="517" spans="1:30" x14ac:dyDescent="0.35">
      <c r="A517" t="s">
        <v>1067</v>
      </c>
      <c r="B517" t="s">
        <v>69</v>
      </c>
      <c r="C517" t="s">
        <v>24</v>
      </c>
      <c r="D517" t="s">
        <v>17</v>
      </c>
      <c r="E517">
        <v>56</v>
      </c>
      <c r="F517" t="s">
        <v>18</v>
      </c>
      <c r="G517" t="s">
        <v>85</v>
      </c>
      <c r="H517" t="s">
        <v>1068</v>
      </c>
      <c r="I517">
        <v>1</v>
      </c>
      <c r="J517">
        <v>11</v>
      </c>
      <c r="K517">
        <v>242855</v>
      </c>
      <c r="L517">
        <v>2.1</v>
      </c>
      <c r="M517" t="s">
        <v>43</v>
      </c>
      <c r="N517">
        <v>75</v>
      </c>
      <c r="O517">
        <f t="shared" si="128"/>
        <v>485</v>
      </c>
      <c r="P517">
        <f t="shared" si="129"/>
        <v>247</v>
      </c>
      <c r="Q517">
        <f t="shared" si="130"/>
        <v>238</v>
      </c>
      <c r="R517">
        <f t="shared" si="131"/>
        <v>49.650349650349654</v>
      </c>
      <c r="S517" s="1">
        <f t="shared" si="132"/>
        <v>50.24975024975025</v>
      </c>
      <c r="T517" s="1">
        <f t="shared" si="133"/>
        <v>223</v>
      </c>
      <c r="U517" s="1">
        <f t="shared" si="134"/>
        <v>262</v>
      </c>
      <c r="V517" s="1">
        <f t="shared" si="135"/>
        <v>47.5</v>
      </c>
      <c r="W517" s="1">
        <f t="shared" si="136"/>
        <v>52.5</v>
      </c>
      <c r="X517" s="1">
        <f t="shared" si="137"/>
        <v>15.169072164948453</v>
      </c>
      <c r="Y517" s="1">
        <f t="shared" si="138"/>
        <v>76</v>
      </c>
      <c r="Z517" s="1">
        <f t="shared" si="139"/>
        <v>82</v>
      </c>
      <c r="AA517" s="1">
        <f t="shared" si="140"/>
        <v>3.6631578947368442</v>
      </c>
      <c r="AB517" s="1">
        <f t="shared" si="141"/>
        <v>3.4060975609756099</v>
      </c>
      <c r="AC517" s="1">
        <f t="shared" si="142"/>
        <v>0</v>
      </c>
      <c r="AD517" s="1">
        <f t="shared" si="143"/>
        <v>1.5460406132227499E-2</v>
      </c>
    </row>
    <row r="518" spans="1:30" x14ac:dyDescent="0.35">
      <c r="A518" t="s">
        <v>1069</v>
      </c>
      <c r="B518" t="s">
        <v>45</v>
      </c>
      <c r="C518" t="s">
        <v>93</v>
      </c>
      <c r="D518" t="s">
        <v>17</v>
      </c>
      <c r="E518">
        <v>25</v>
      </c>
      <c r="F518" t="s">
        <v>79</v>
      </c>
      <c r="G518" t="s">
        <v>19</v>
      </c>
      <c r="H518" t="s">
        <v>853</v>
      </c>
      <c r="I518">
        <v>2</v>
      </c>
      <c r="J518">
        <v>4</v>
      </c>
      <c r="K518">
        <v>175968</v>
      </c>
      <c r="L518">
        <v>5</v>
      </c>
      <c r="M518" t="s">
        <v>43</v>
      </c>
      <c r="N518">
        <v>83</v>
      </c>
      <c r="O518">
        <f t="shared" si="128"/>
        <v>484</v>
      </c>
      <c r="P518">
        <f t="shared" si="129"/>
        <v>246</v>
      </c>
      <c r="Q518">
        <f t="shared" si="130"/>
        <v>238</v>
      </c>
      <c r="R518">
        <f t="shared" si="131"/>
        <v>49.650349650349654</v>
      </c>
      <c r="S518" s="1">
        <f t="shared" si="132"/>
        <v>50.24975024975025</v>
      </c>
      <c r="T518" s="1">
        <f t="shared" si="133"/>
        <v>223</v>
      </c>
      <c r="U518" s="1">
        <f t="shared" si="134"/>
        <v>261</v>
      </c>
      <c r="V518" s="1">
        <f t="shared" si="135"/>
        <v>47.5</v>
      </c>
      <c r="W518" s="1">
        <f t="shared" si="136"/>
        <v>52.5</v>
      </c>
      <c r="X518" s="1">
        <f t="shared" si="137"/>
        <v>15.177685950413224</v>
      </c>
      <c r="Y518" s="1">
        <f t="shared" si="138"/>
        <v>76</v>
      </c>
      <c r="Z518" s="1">
        <f t="shared" si="139"/>
        <v>82</v>
      </c>
      <c r="AA518" s="1">
        <f t="shared" si="140"/>
        <v>3.6631578947368442</v>
      </c>
      <c r="AB518" s="1">
        <f t="shared" si="141"/>
        <v>3.4060975609756099</v>
      </c>
      <c r="AC518" s="1">
        <f t="shared" si="142"/>
        <v>0</v>
      </c>
      <c r="AD518" s="1">
        <f t="shared" si="143"/>
        <v>1.4348912769884401E-2</v>
      </c>
    </row>
    <row r="519" spans="1:30" x14ac:dyDescent="0.35">
      <c r="A519" t="s">
        <v>1070</v>
      </c>
      <c r="B519" t="s">
        <v>96</v>
      </c>
      <c r="C519" t="s">
        <v>56</v>
      </c>
      <c r="D519" t="s">
        <v>25</v>
      </c>
      <c r="E519">
        <v>24</v>
      </c>
      <c r="F519" t="s">
        <v>79</v>
      </c>
      <c r="G519" t="s">
        <v>57</v>
      </c>
      <c r="H519" t="s">
        <v>1071</v>
      </c>
      <c r="I519">
        <v>12</v>
      </c>
      <c r="J519">
        <v>16</v>
      </c>
      <c r="K519">
        <v>407075</v>
      </c>
      <c r="L519">
        <v>4.3</v>
      </c>
      <c r="M519" t="s">
        <v>21</v>
      </c>
      <c r="N519">
        <v>60</v>
      </c>
      <c r="O519">
        <f t="shared" si="128"/>
        <v>483</v>
      </c>
      <c r="P519">
        <f t="shared" si="129"/>
        <v>245</v>
      </c>
      <c r="Q519">
        <f t="shared" si="130"/>
        <v>238</v>
      </c>
      <c r="R519">
        <f t="shared" si="131"/>
        <v>49.650349650349654</v>
      </c>
      <c r="S519" s="1">
        <f t="shared" si="132"/>
        <v>50.24975024975025</v>
      </c>
      <c r="T519" s="1">
        <f t="shared" si="133"/>
        <v>223</v>
      </c>
      <c r="U519" s="1">
        <f t="shared" si="134"/>
        <v>260</v>
      </c>
      <c r="V519" s="1">
        <f t="shared" si="135"/>
        <v>47.5</v>
      </c>
      <c r="W519" s="1">
        <f t="shared" si="136"/>
        <v>52.5</v>
      </c>
      <c r="X519" s="1">
        <f t="shared" si="137"/>
        <v>15.200828157349896</v>
      </c>
      <c r="Y519" s="1">
        <f t="shared" si="138"/>
        <v>76</v>
      </c>
      <c r="Z519" s="1">
        <f t="shared" si="139"/>
        <v>82</v>
      </c>
      <c r="AA519" s="1">
        <f t="shared" si="140"/>
        <v>3.6631578947368442</v>
      </c>
      <c r="AB519" s="1">
        <f t="shared" si="141"/>
        <v>3.4060975609756099</v>
      </c>
      <c r="AC519" s="1">
        <f t="shared" si="142"/>
        <v>1</v>
      </c>
      <c r="AD519" s="1">
        <f t="shared" si="143"/>
        <v>1.1350732161884973E-2</v>
      </c>
    </row>
    <row r="520" spans="1:30" x14ac:dyDescent="0.35">
      <c r="A520" t="s">
        <v>1072</v>
      </c>
      <c r="B520" t="s">
        <v>29</v>
      </c>
      <c r="C520" t="s">
        <v>52</v>
      </c>
      <c r="D520" t="s">
        <v>25</v>
      </c>
      <c r="E520">
        <v>38</v>
      </c>
      <c r="F520" t="s">
        <v>70</v>
      </c>
      <c r="G520" t="s">
        <v>85</v>
      </c>
      <c r="H520" t="s">
        <v>1073</v>
      </c>
      <c r="I520">
        <v>10</v>
      </c>
      <c r="J520">
        <v>16</v>
      </c>
      <c r="K520">
        <v>62024</v>
      </c>
      <c r="L520">
        <v>3.8</v>
      </c>
      <c r="M520" t="s">
        <v>43</v>
      </c>
      <c r="N520">
        <v>75</v>
      </c>
      <c r="O520">
        <f t="shared" si="128"/>
        <v>482</v>
      </c>
      <c r="P520">
        <f t="shared" si="129"/>
        <v>245</v>
      </c>
      <c r="Q520">
        <f t="shared" si="130"/>
        <v>237</v>
      </c>
      <c r="R520">
        <f t="shared" si="131"/>
        <v>49.650349650349654</v>
      </c>
      <c r="S520" s="1">
        <f t="shared" si="132"/>
        <v>50.24975024975025</v>
      </c>
      <c r="T520" s="1">
        <f t="shared" si="133"/>
        <v>222</v>
      </c>
      <c r="U520" s="1">
        <f t="shared" si="134"/>
        <v>260</v>
      </c>
      <c r="V520" s="1">
        <f t="shared" si="135"/>
        <v>47.5</v>
      </c>
      <c r="W520" s="1">
        <f t="shared" si="136"/>
        <v>52.5</v>
      </c>
      <c r="X520" s="1">
        <f t="shared" si="137"/>
        <v>15.199170124481327</v>
      </c>
      <c r="Y520" s="1">
        <f t="shared" si="138"/>
        <v>76</v>
      </c>
      <c r="Z520" s="1">
        <f t="shared" si="139"/>
        <v>82</v>
      </c>
      <c r="AA520" s="1">
        <f t="shared" si="140"/>
        <v>3.6631578947368442</v>
      </c>
      <c r="AB520" s="1">
        <f t="shared" si="141"/>
        <v>3.4060975609756099</v>
      </c>
      <c r="AC520" s="1">
        <f t="shared" si="142"/>
        <v>0</v>
      </c>
      <c r="AD520" s="1">
        <f t="shared" si="143"/>
        <v>1.1109676303892662E-2</v>
      </c>
    </row>
    <row r="521" spans="1:30" x14ac:dyDescent="0.35">
      <c r="A521" t="s">
        <v>1074</v>
      </c>
      <c r="B521" t="s">
        <v>15</v>
      </c>
      <c r="C521" t="s">
        <v>16</v>
      </c>
      <c r="D521" t="s">
        <v>17</v>
      </c>
      <c r="E521">
        <v>24</v>
      </c>
      <c r="F521" t="s">
        <v>74</v>
      </c>
      <c r="G521" t="s">
        <v>88</v>
      </c>
      <c r="H521" t="s">
        <v>1075</v>
      </c>
      <c r="I521">
        <v>0</v>
      </c>
      <c r="J521">
        <v>0</v>
      </c>
      <c r="K521">
        <v>148817</v>
      </c>
      <c r="L521">
        <v>4.4000000000000004</v>
      </c>
      <c r="M521" t="s">
        <v>43</v>
      </c>
      <c r="N521">
        <v>87</v>
      </c>
      <c r="O521">
        <f t="shared" si="128"/>
        <v>481</v>
      </c>
      <c r="P521">
        <f t="shared" si="129"/>
        <v>245</v>
      </c>
      <c r="Q521">
        <f t="shared" si="130"/>
        <v>236</v>
      </c>
      <c r="R521">
        <f t="shared" si="131"/>
        <v>49.650349650349654</v>
      </c>
      <c r="S521" s="1">
        <f t="shared" si="132"/>
        <v>50.24975024975025</v>
      </c>
      <c r="T521" s="1">
        <f t="shared" si="133"/>
        <v>222</v>
      </c>
      <c r="U521" s="1">
        <f t="shared" si="134"/>
        <v>259</v>
      </c>
      <c r="V521" s="1">
        <f t="shared" si="135"/>
        <v>47.5</v>
      </c>
      <c r="W521" s="1">
        <f t="shared" si="136"/>
        <v>52.5</v>
      </c>
      <c r="X521" s="1">
        <f t="shared" si="137"/>
        <v>15.197505197505198</v>
      </c>
      <c r="Y521" s="1">
        <f t="shared" si="138"/>
        <v>76</v>
      </c>
      <c r="Z521" s="1">
        <f t="shared" si="139"/>
        <v>82</v>
      </c>
      <c r="AA521" s="1">
        <f t="shared" si="140"/>
        <v>3.6631578947368442</v>
      </c>
      <c r="AB521" s="1">
        <f t="shared" si="141"/>
        <v>3.4060975609756099</v>
      </c>
      <c r="AC521" s="1">
        <f t="shared" si="142"/>
        <v>0</v>
      </c>
      <c r="AD521" s="1">
        <f t="shared" si="143"/>
        <v>1.1338500014193688E-2</v>
      </c>
    </row>
    <row r="522" spans="1:30" x14ac:dyDescent="0.35">
      <c r="A522" t="s">
        <v>1076</v>
      </c>
      <c r="B522" t="s">
        <v>60</v>
      </c>
      <c r="C522" t="s">
        <v>56</v>
      </c>
      <c r="D522" t="s">
        <v>17</v>
      </c>
      <c r="E522">
        <v>58</v>
      </c>
      <c r="F522" t="s">
        <v>31</v>
      </c>
      <c r="G522" t="s">
        <v>26</v>
      </c>
      <c r="H522" t="s">
        <v>1077</v>
      </c>
      <c r="I522">
        <v>19</v>
      </c>
      <c r="J522">
        <v>24</v>
      </c>
      <c r="K522">
        <v>376783</v>
      </c>
      <c r="L522">
        <v>5</v>
      </c>
      <c r="M522" t="s">
        <v>21</v>
      </c>
      <c r="N522">
        <v>31</v>
      </c>
      <c r="O522">
        <f t="shared" si="128"/>
        <v>480</v>
      </c>
      <c r="P522">
        <f t="shared" si="129"/>
        <v>244</v>
      </c>
      <c r="Q522">
        <f t="shared" si="130"/>
        <v>236</v>
      </c>
      <c r="R522">
        <f t="shared" si="131"/>
        <v>49.650349650349654</v>
      </c>
      <c r="S522" s="1">
        <f t="shared" si="132"/>
        <v>50.24975024975025</v>
      </c>
      <c r="T522" s="1">
        <f t="shared" si="133"/>
        <v>222</v>
      </c>
      <c r="U522" s="1">
        <f t="shared" si="134"/>
        <v>258</v>
      </c>
      <c r="V522" s="1">
        <f t="shared" si="135"/>
        <v>47.5</v>
      </c>
      <c r="W522" s="1">
        <f t="shared" si="136"/>
        <v>52.5</v>
      </c>
      <c r="X522" s="1">
        <f t="shared" si="137"/>
        <v>15.229166666666666</v>
      </c>
      <c r="Y522" s="1">
        <f t="shared" si="138"/>
        <v>75</v>
      </c>
      <c r="Z522" s="1">
        <f t="shared" si="139"/>
        <v>82</v>
      </c>
      <c r="AA522" s="1">
        <f t="shared" si="140"/>
        <v>3.6533333333333355</v>
      </c>
      <c r="AB522" s="1">
        <f t="shared" si="141"/>
        <v>3.4060975609756099</v>
      </c>
      <c r="AC522" s="1">
        <f t="shared" si="142"/>
        <v>1</v>
      </c>
      <c r="AD522" s="1">
        <f t="shared" si="143"/>
        <v>7.219132581792213E-3</v>
      </c>
    </row>
    <row r="523" spans="1:30" x14ac:dyDescent="0.35">
      <c r="A523" t="s">
        <v>1078</v>
      </c>
      <c r="B523" t="s">
        <v>40</v>
      </c>
      <c r="C523" t="s">
        <v>30</v>
      </c>
      <c r="D523" t="s">
        <v>17</v>
      </c>
      <c r="E523">
        <v>22</v>
      </c>
      <c r="F523" t="s">
        <v>70</v>
      </c>
      <c r="G523" t="s">
        <v>41</v>
      </c>
      <c r="H523" t="s">
        <v>1079</v>
      </c>
      <c r="I523">
        <v>19</v>
      </c>
      <c r="J523">
        <v>27</v>
      </c>
      <c r="K523">
        <v>372721</v>
      </c>
      <c r="L523">
        <v>3.5</v>
      </c>
      <c r="M523" t="s">
        <v>21</v>
      </c>
      <c r="N523">
        <v>36</v>
      </c>
      <c r="O523">
        <f t="shared" si="128"/>
        <v>479</v>
      </c>
      <c r="P523">
        <f t="shared" si="129"/>
        <v>243</v>
      </c>
      <c r="Q523">
        <f t="shared" si="130"/>
        <v>236</v>
      </c>
      <c r="R523">
        <f t="shared" si="131"/>
        <v>49.650349650349654</v>
      </c>
      <c r="S523" s="1">
        <f t="shared" si="132"/>
        <v>50.24975024975025</v>
      </c>
      <c r="T523" s="1">
        <f t="shared" si="133"/>
        <v>221</v>
      </c>
      <c r="U523" s="1">
        <f t="shared" si="134"/>
        <v>258</v>
      </c>
      <c r="V523" s="1">
        <f t="shared" si="135"/>
        <v>47.5</v>
      </c>
      <c r="W523" s="1">
        <f t="shared" si="136"/>
        <v>52.5</v>
      </c>
      <c r="X523" s="1">
        <f t="shared" si="137"/>
        <v>15.210855949895615</v>
      </c>
      <c r="Y523" s="1">
        <f t="shared" si="138"/>
        <v>75</v>
      </c>
      <c r="Z523" s="1">
        <f t="shared" si="139"/>
        <v>81</v>
      </c>
      <c r="AA523" s="1">
        <f t="shared" si="140"/>
        <v>3.6533333333333355</v>
      </c>
      <c r="AB523" s="1">
        <f t="shared" si="141"/>
        <v>3.38641975308642</v>
      </c>
      <c r="AC523" s="1">
        <f t="shared" si="142"/>
        <v>1</v>
      </c>
      <c r="AD523" s="1">
        <f t="shared" si="143"/>
        <v>4.4189665877538966E-3</v>
      </c>
    </row>
    <row r="524" spans="1:30" x14ac:dyDescent="0.35">
      <c r="A524" t="s">
        <v>1080</v>
      </c>
      <c r="B524" t="s">
        <v>78</v>
      </c>
      <c r="C524" t="s">
        <v>16</v>
      </c>
      <c r="D524" t="s">
        <v>17</v>
      </c>
      <c r="E524">
        <v>51</v>
      </c>
      <c r="F524" t="s">
        <v>70</v>
      </c>
      <c r="G524" t="s">
        <v>32</v>
      </c>
      <c r="H524" t="s">
        <v>1081</v>
      </c>
      <c r="I524">
        <v>15</v>
      </c>
      <c r="J524">
        <v>15</v>
      </c>
      <c r="K524">
        <v>207557</v>
      </c>
      <c r="L524">
        <v>2.6</v>
      </c>
      <c r="M524" t="s">
        <v>43</v>
      </c>
      <c r="N524">
        <v>94</v>
      </c>
      <c r="O524">
        <f t="shared" si="128"/>
        <v>478</v>
      </c>
      <c r="P524">
        <f t="shared" si="129"/>
        <v>242</v>
      </c>
      <c r="Q524">
        <f t="shared" si="130"/>
        <v>236</v>
      </c>
      <c r="R524">
        <f t="shared" si="131"/>
        <v>49.650349650349654</v>
      </c>
      <c r="S524" s="1">
        <f t="shared" si="132"/>
        <v>50.24975024975025</v>
      </c>
      <c r="T524" s="1">
        <f t="shared" si="133"/>
        <v>220</v>
      </c>
      <c r="U524" s="1">
        <f t="shared" si="134"/>
        <v>258</v>
      </c>
      <c r="V524" s="1">
        <f t="shared" si="135"/>
        <v>47.5</v>
      </c>
      <c r="W524" s="1">
        <f t="shared" si="136"/>
        <v>52.5</v>
      </c>
      <c r="X524" s="1">
        <f t="shared" si="137"/>
        <v>15.186192468619247</v>
      </c>
      <c r="Y524" s="1">
        <f t="shared" si="138"/>
        <v>75</v>
      </c>
      <c r="Z524" s="1">
        <f t="shared" si="139"/>
        <v>81</v>
      </c>
      <c r="AA524" s="1">
        <f t="shared" si="140"/>
        <v>3.6533333333333355</v>
      </c>
      <c r="AB524" s="1">
        <f t="shared" si="141"/>
        <v>3.38641975308642</v>
      </c>
      <c r="AC524" s="1">
        <f t="shared" si="142"/>
        <v>0</v>
      </c>
      <c r="AD524" s="1">
        <f t="shared" si="143"/>
        <v>6.2217424490024285E-4</v>
      </c>
    </row>
    <row r="525" spans="1:30" x14ac:dyDescent="0.35">
      <c r="A525" t="s">
        <v>1082</v>
      </c>
      <c r="B525" t="s">
        <v>96</v>
      </c>
      <c r="C525" t="s">
        <v>93</v>
      </c>
      <c r="D525" t="s">
        <v>25</v>
      </c>
      <c r="E525">
        <v>40</v>
      </c>
      <c r="F525" t="s">
        <v>79</v>
      </c>
      <c r="G525" t="s">
        <v>71</v>
      </c>
      <c r="H525" t="s">
        <v>1083</v>
      </c>
      <c r="I525">
        <v>12</v>
      </c>
      <c r="J525">
        <v>13</v>
      </c>
      <c r="K525">
        <v>305645</v>
      </c>
      <c r="L525">
        <v>3.7</v>
      </c>
      <c r="M525" t="s">
        <v>43</v>
      </c>
      <c r="N525">
        <v>91</v>
      </c>
      <c r="O525">
        <f t="shared" si="128"/>
        <v>477</v>
      </c>
      <c r="P525">
        <f t="shared" si="129"/>
        <v>241</v>
      </c>
      <c r="Q525">
        <f t="shared" si="130"/>
        <v>236</v>
      </c>
      <c r="R525">
        <f t="shared" si="131"/>
        <v>49.650349650349654</v>
      </c>
      <c r="S525" s="1">
        <f t="shared" si="132"/>
        <v>50.24975024975025</v>
      </c>
      <c r="T525" s="1">
        <f t="shared" si="133"/>
        <v>220</v>
      </c>
      <c r="U525" s="1">
        <f t="shared" si="134"/>
        <v>257</v>
      </c>
      <c r="V525" s="1">
        <f t="shared" si="135"/>
        <v>47.5</v>
      </c>
      <c r="W525" s="1">
        <f t="shared" si="136"/>
        <v>52.5</v>
      </c>
      <c r="X525" s="1">
        <f t="shared" si="137"/>
        <v>15.186582809224319</v>
      </c>
      <c r="Y525" s="1">
        <f t="shared" si="138"/>
        <v>75</v>
      </c>
      <c r="Z525" s="1">
        <f t="shared" si="139"/>
        <v>81</v>
      </c>
      <c r="AA525" s="1">
        <f t="shared" si="140"/>
        <v>3.6533333333333355</v>
      </c>
      <c r="AB525" s="1">
        <f t="shared" si="141"/>
        <v>3.38641975308642</v>
      </c>
      <c r="AC525" s="1">
        <f t="shared" si="142"/>
        <v>0</v>
      </c>
      <c r="AD525" s="1">
        <f t="shared" si="143"/>
        <v>5.7119523772580446E-4</v>
      </c>
    </row>
    <row r="526" spans="1:30" x14ac:dyDescent="0.35">
      <c r="A526" t="s">
        <v>1084</v>
      </c>
      <c r="B526" t="s">
        <v>45</v>
      </c>
      <c r="C526" t="s">
        <v>64</v>
      </c>
      <c r="D526" t="s">
        <v>25</v>
      </c>
      <c r="E526">
        <v>21</v>
      </c>
      <c r="F526" t="s">
        <v>46</v>
      </c>
      <c r="G526" t="s">
        <v>26</v>
      </c>
      <c r="H526" t="s">
        <v>1085</v>
      </c>
      <c r="I526">
        <v>20</v>
      </c>
      <c r="J526">
        <v>29</v>
      </c>
      <c r="K526">
        <v>236624</v>
      </c>
      <c r="L526">
        <v>5</v>
      </c>
      <c r="M526" t="s">
        <v>43</v>
      </c>
      <c r="N526">
        <v>89</v>
      </c>
      <c r="O526">
        <f t="shared" si="128"/>
        <v>476</v>
      </c>
      <c r="P526">
        <f t="shared" si="129"/>
        <v>241</v>
      </c>
      <c r="Q526">
        <f t="shared" si="130"/>
        <v>235</v>
      </c>
      <c r="R526">
        <f t="shared" si="131"/>
        <v>49.650349650349654</v>
      </c>
      <c r="S526" s="1">
        <f t="shared" si="132"/>
        <v>50.24975024975025</v>
      </c>
      <c r="T526" s="1">
        <f t="shared" si="133"/>
        <v>220</v>
      </c>
      <c r="U526" s="1">
        <f t="shared" si="134"/>
        <v>256</v>
      </c>
      <c r="V526" s="1">
        <f t="shared" si="135"/>
        <v>47.5</v>
      </c>
      <c r="W526" s="1">
        <f t="shared" si="136"/>
        <v>52.5</v>
      </c>
      <c r="X526" s="1">
        <f t="shared" si="137"/>
        <v>15.191176470588236</v>
      </c>
      <c r="Y526" s="1">
        <f t="shared" si="138"/>
        <v>75</v>
      </c>
      <c r="Z526" s="1">
        <f t="shared" si="139"/>
        <v>81</v>
      </c>
      <c r="AA526" s="1">
        <f t="shared" si="140"/>
        <v>3.6533333333333355</v>
      </c>
      <c r="AB526" s="1">
        <f t="shared" si="141"/>
        <v>3.38641975308642</v>
      </c>
      <c r="AC526" s="1">
        <f t="shared" si="142"/>
        <v>0</v>
      </c>
      <c r="AD526" s="1">
        <f t="shared" si="143"/>
        <v>-3.533730850668054E-5</v>
      </c>
    </row>
    <row r="527" spans="1:30" x14ac:dyDescent="0.35">
      <c r="A527" t="s">
        <v>1086</v>
      </c>
      <c r="B527" t="s">
        <v>60</v>
      </c>
      <c r="C527" t="s">
        <v>52</v>
      </c>
      <c r="D527" t="s">
        <v>17</v>
      </c>
      <c r="E527">
        <v>35</v>
      </c>
      <c r="F527" t="s">
        <v>74</v>
      </c>
      <c r="G527" t="s">
        <v>61</v>
      </c>
      <c r="H527" t="s">
        <v>1087</v>
      </c>
      <c r="I527">
        <v>8</v>
      </c>
      <c r="J527">
        <v>9</v>
      </c>
      <c r="K527">
        <v>277749</v>
      </c>
      <c r="L527">
        <v>4.0999999999999996</v>
      </c>
      <c r="M527" t="s">
        <v>21</v>
      </c>
      <c r="N527">
        <v>64</v>
      </c>
      <c r="O527">
        <f t="shared" si="128"/>
        <v>475</v>
      </c>
      <c r="P527">
        <f t="shared" si="129"/>
        <v>241</v>
      </c>
      <c r="Q527">
        <f t="shared" si="130"/>
        <v>234</v>
      </c>
      <c r="R527">
        <f t="shared" si="131"/>
        <v>49.650349650349654</v>
      </c>
      <c r="S527" s="1">
        <f t="shared" si="132"/>
        <v>50.24975024975025</v>
      </c>
      <c r="T527" s="1">
        <f t="shared" si="133"/>
        <v>220</v>
      </c>
      <c r="U527" s="1">
        <f t="shared" si="134"/>
        <v>255</v>
      </c>
      <c r="V527" s="1">
        <f t="shared" si="135"/>
        <v>47.5</v>
      </c>
      <c r="W527" s="1">
        <f t="shared" si="136"/>
        <v>52.5</v>
      </c>
      <c r="X527" s="1">
        <f t="shared" si="137"/>
        <v>15.162105263157894</v>
      </c>
      <c r="Y527" s="1">
        <f t="shared" si="138"/>
        <v>75</v>
      </c>
      <c r="Z527" s="1">
        <f t="shared" si="139"/>
        <v>81</v>
      </c>
      <c r="AA527" s="1">
        <f t="shared" si="140"/>
        <v>3.6533333333333355</v>
      </c>
      <c r="AB527" s="1">
        <f t="shared" si="141"/>
        <v>3.38641975308642</v>
      </c>
      <c r="AC527" s="1">
        <f t="shared" si="142"/>
        <v>1</v>
      </c>
      <c r="AD527" s="1">
        <f t="shared" si="143"/>
        <v>3.8258462236878134E-3</v>
      </c>
    </row>
    <row r="528" spans="1:30" x14ac:dyDescent="0.35">
      <c r="A528" t="s">
        <v>1088</v>
      </c>
      <c r="B528" t="s">
        <v>78</v>
      </c>
      <c r="C528" t="s">
        <v>24</v>
      </c>
      <c r="D528" t="s">
        <v>25</v>
      </c>
      <c r="E528">
        <v>51</v>
      </c>
      <c r="F528" t="s">
        <v>37</v>
      </c>
      <c r="G528" t="s">
        <v>41</v>
      </c>
      <c r="H528" t="s">
        <v>588</v>
      </c>
      <c r="I528">
        <v>12</v>
      </c>
      <c r="J528">
        <v>19</v>
      </c>
      <c r="K528">
        <v>324931</v>
      </c>
      <c r="L528">
        <v>3.8</v>
      </c>
      <c r="M528" t="s">
        <v>43</v>
      </c>
      <c r="N528">
        <v>79</v>
      </c>
      <c r="O528">
        <f t="shared" si="128"/>
        <v>474</v>
      </c>
      <c r="P528">
        <f t="shared" si="129"/>
        <v>240</v>
      </c>
      <c r="Q528">
        <f t="shared" si="130"/>
        <v>234</v>
      </c>
      <c r="R528">
        <f t="shared" si="131"/>
        <v>49.650349650349654</v>
      </c>
      <c r="S528" s="1">
        <f t="shared" si="132"/>
        <v>50.24975024975025</v>
      </c>
      <c r="T528" s="1">
        <f t="shared" si="133"/>
        <v>219</v>
      </c>
      <c r="U528" s="1">
        <f t="shared" si="134"/>
        <v>255</v>
      </c>
      <c r="V528" s="1">
        <f t="shared" si="135"/>
        <v>47.5</v>
      </c>
      <c r="W528" s="1">
        <f t="shared" si="136"/>
        <v>52.5</v>
      </c>
      <c r="X528" s="1">
        <f t="shared" si="137"/>
        <v>15.175105485232068</v>
      </c>
      <c r="Y528" s="1">
        <f t="shared" si="138"/>
        <v>74</v>
      </c>
      <c r="Z528" s="1">
        <f t="shared" si="139"/>
        <v>81</v>
      </c>
      <c r="AA528" s="1">
        <f t="shared" si="140"/>
        <v>3.6472972972972983</v>
      </c>
      <c r="AB528" s="1">
        <f t="shared" si="141"/>
        <v>3.38641975308642</v>
      </c>
      <c r="AC528" s="1">
        <f t="shared" si="142"/>
        <v>0</v>
      </c>
      <c r="AD528" s="1">
        <f t="shared" si="143"/>
        <v>5.8392227114196288E-3</v>
      </c>
    </row>
    <row r="529" spans="1:30" x14ac:dyDescent="0.35">
      <c r="A529" t="s">
        <v>1089</v>
      </c>
      <c r="B529" t="s">
        <v>69</v>
      </c>
      <c r="C529" t="s">
        <v>52</v>
      </c>
      <c r="D529" t="s">
        <v>25</v>
      </c>
      <c r="E529">
        <v>55</v>
      </c>
      <c r="F529" t="s">
        <v>70</v>
      </c>
      <c r="G529" t="s">
        <v>71</v>
      </c>
      <c r="H529" t="s">
        <v>1090</v>
      </c>
      <c r="I529">
        <v>6</v>
      </c>
      <c r="J529">
        <v>8</v>
      </c>
      <c r="K529">
        <v>492960</v>
      </c>
      <c r="L529">
        <v>4</v>
      </c>
      <c r="M529" t="s">
        <v>43</v>
      </c>
      <c r="N529">
        <v>84</v>
      </c>
      <c r="O529">
        <f t="shared" si="128"/>
        <v>473</v>
      </c>
      <c r="P529">
        <f t="shared" si="129"/>
        <v>240</v>
      </c>
      <c r="Q529">
        <f t="shared" si="130"/>
        <v>233</v>
      </c>
      <c r="R529">
        <f t="shared" si="131"/>
        <v>49.650349650349654</v>
      </c>
      <c r="S529" s="1">
        <f t="shared" si="132"/>
        <v>50.24975024975025</v>
      </c>
      <c r="T529" s="1">
        <f t="shared" si="133"/>
        <v>219</v>
      </c>
      <c r="U529" s="1">
        <f t="shared" si="134"/>
        <v>254</v>
      </c>
      <c r="V529" s="1">
        <f t="shared" si="135"/>
        <v>47.5</v>
      </c>
      <c r="W529" s="1">
        <f t="shared" si="136"/>
        <v>52.5</v>
      </c>
      <c r="X529" s="1">
        <f t="shared" si="137"/>
        <v>15.167019027484145</v>
      </c>
      <c r="Y529" s="1">
        <f t="shared" si="138"/>
        <v>74</v>
      </c>
      <c r="Z529" s="1">
        <f t="shared" si="139"/>
        <v>81</v>
      </c>
      <c r="AA529" s="1">
        <f t="shared" si="140"/>
        <v>3.6472972972972983</v>
      </c>
      <c r="AB529" s="1">
        <f t="shared" si="141"/>
        <v>3.38641975308642</v>
      </c>
      <c r="AC529" s="1">
        <f t="shared" si="142"/>
        <v>0</v>
      </c>
      <c r="AD529" s="1">
        <f t="shared" si="143"/>
        <v>6.9190753909325721E-3</v>
      </c>
    </row>
    <row r="530" spans="1:30" x14ac:dyDescent="0.35">
      <c r="A530" t="s">
        <v>1091</v>
      </c>
      <c r="B530" t="s">
        <v>40</v>
      </c>
      <c r="C530" t="s">
        <v>49</v>
      </c>
      <c r="D530" t="s">
        <v>25</v>
      </c>
      <c r="E530">
        <v>53</v>
      </c>
      <c r="F530" t="s">
        <v>18</v>
      </c>
      <c r="G530" t="s">
        <v>32</v>
      </c>
      <c r="H530" t="s">
        <v>1092</v>
      </c>
      <c r="I530">
        <v>16</v>
      </c>
      <c r="J530">
        <v>26</v>
      </c>
      <c r="K530">
        <v>84151</v>
      </c>
      <c r="L530">
        <v>3.6</v>
      </c>
      <c r="M530" t="s">
        <v>43</v>
      </c>
      <c r="N530">
        <v>98</v>
      </c>
      <c r="O530">
        <f t="shared" si="128"/>
        <v>472</v>
      </c>
      <c r="P530">
        <f t="shared" si="129"/>
        <v>240</v>
      </c>
      <c r="Q530">
        <f t="shared" si="130"/>
        <v>232</v>
      </c>
      <c r="R530">
        <f t="shared" si="131"/>
        <v>49.650349650349654</v>
      </c>
      <c r="S530" s="1">
        <f t="shared" si="132"/>
        <v>50.24975024975025</v>
      </c>
      <c r="T530" s="1">
        <f t="shared" si="133"/>
        <v>219</v>
      </c>
      <c r="U530" s="1">
        <f t="shared" si="134"/>
        <v>253</v>
      </c>
      <c r="V530" s="1">
        <f t="shared" si="135"/>
        <v>47.5</v>
      </c>
      <c r="W530" s="1">
        <f t="shared" si="136"/>
        <v>52.5</v>
      </c>
      <c r="X530" s="1">
        <f t="shared" si="137"/>
        <v>15.182203389830509</v>
      </c>
      <c r="Y530" s="1">
        <f t="shared" si="138"/>
        <v>74</v>
      </c>
      <c r="Z530" s="1">
        <f t="shared" si="139"/>
        <v>81</v>
      </c>
      <c r="AA530" s="1">
        <f t="shared" si="140"/>
        <v>3.6472972972972983</v>
      </c>
      <c r="AB530" s="1">
        <f t="shared" si="141"/>
        <v>3.38641975308642</v>
      </c>
      <c r="AC530" s="1">
        <f t="shared" si="142"/>
        <v>0</v>
      </c>
      <c r="AD530" s="1">
        <f t="shared" si="143"/>
        <v>4.9147652781318905E-3</v>
      </c>
    </row>
    <row r="531" spans="1:30" x14ac:dyDescent="0.35">
      <c r="A531" t="s">
        <v>1093</v>
      </c>
      <c r="B531" t="s">
        <v>35</v>
      </c>
      <c r="C531" t="s">
        <v>36</v>
      </c>
      <c r="D531" t="s">
        <v>17</v>
      </c>
      <c r="E531">
        <v>49</v>
      </c>
      <c r="F531" t="s">
        <v>18</v>
      </c>
      <c r="G531" t="s">
        <v>32</v>
      </c>
      <c r="H531" t="s">
        <v>483</v>
      </c>
      <c r="I531">
        <v>0</v>
      </c>
      <c r="J531">
        <v>4</v>
      </c>
      <c r="K531">
        <v>291208</v>
      </c>
      <c r="L531">
        <v>3.2</v>
      </c>
      <c r="M531" t="s">
        <v>43</v>
      </c>
      <c r="N531">
        <v>92</v>
      </c>
      <c r="O531">
        <f t="shared" si="128"/>
        <v>471</v>
      </c>
      <c r="P531">
        <f t="shared" si="129"/>
        <v>240</v>
      </c>
      <c r="Q531">
        <f t="shared" si="130"/>
        <v>231</v>
      </c>
      <c r="R531">
        <f t="shared" si="131"/>
        <v>49.650349650349654</v>
      </c>
      <c r="S531" s="1">
        <f t="shared" si="132"/>
        <v>50.24975024975025</v>
      </c>
      <c r="T531" s="1">
        <f t="shared" si="133"/>
        <v>219</v>
      </c>
      <c r="U531" s="1">
        <f t="shared" si="134"/>
        <v>252</v>
      </c>
      <c r="V531" s="1">
        <f t="shared" si="135"/>
        <v>47.5</v>
      </c>
      <c r="W531" s="1">
        <f t="shared" si="136"/>
        <v>52.5</v>
      </c>
      <c r="X531" s="1">
        <f t="shared" si="137"/>
        <v>15.159235668789808</v>
      </c>
      <c r="Y531" s="1">
        <f t="shared" si="138"/>
        <v>74</v>
      </c>
      <c r="Z531" s="1">
        <f t="shared" si="139"/>
        <v>81</v>
      </c>
      <c r="AA531" s="1">
        <f t="shared" si="140"/>
        <v>3.6472972972972983</v>
      </c>
      <c r="AB531" s="1">
        <f t="shared" si="141"/>
        <v>3.38641975308642</v>
      </c>
      <c r="AC531" s="1">
        <f t="shared" si="142"/>
        <v>0</v>
      </c>
      <c r="AD531" s="1">
        <f t="shared" si="143"/>
        <v>7.9953214258855054E-3</v>
      </c>
    </row>
    <row r="532" spans="1:30" x14ac:dyDescent="0.35">
      <c r="A532" t="s">
        <v>1094</v>
      </c>
      <c r="B532" t="s">
        <v>55</v>
      </c>
      <c r="C532" t="s">
        <v>30</v>
      </c>
      <c r="D532" t="s">
        <v>25</v>
      </c>
      <c r="E532">
        <v>26</v>
      </c>
      <c r="F532" t="s">
        <v>79</v>
      </c>
      <c r="G532" t="s">
        <v>41</v>
      </c>
      <c r="H532" t="s">
        <v>1095</v>
      </c>
      <c r="I532">
        <v>18</v>
      </c>
      <c r="J532">
        <v>21</v>
      </c>
      <c r="K532">
        <v>211298</v>
      </c>
      <c r="L532">
        <v>4.5</v>
      </c>
      <c r="M532" t="s">
        <v>43</v>
      </c>
      <c r="N532">
        <v>84</v>
      </c>
      <c r="O532">
        <f t="shared" si="128"/>
        <v>470</v>
      </c>
      <c r="P532">
        <f t="shared" si="129"/>
        <v>239</v>
      </c>
      <c r="Q532">
        <f t="shared" si="130"/>
        <v>231</v>
      </c>
      <c r="R532">
        <f t="shared" si="131"/>
        <v>49.650349650349654</v>
      </c>
      <c r="S532" s="1">
        <f t="shared" si="132"/>
        <v>50.24975024975025</v>
      </c>
      <c r="T532" s="1">
        <f t="shared" si="133"/>
        <v>219</v>
      </c>
      <c r="U532" s="1">
        <f t="shared" si="134"/>
        <v>251</v>
      </c>
      <c r="V532" s="1">
        <f t="shared" si="135"/>
        <v>47.5</v>
      </c>
      <c r="W532" s="1">
        <f t="shared" si="136"/>
        <v>52.5</v>
      </c>
      <c r="X532" s="1">
        <f t="shared" si="137"/>
        <v>15.182978723404256</v>
      </c>
      <c r="Y532" s="1">
        <f t="shared" si="138"/>
        <v>74</v>
      </c>
      <c r="Z532" s="1">
        <f t="shared" si="139"/>
        <v>81</v>
      </c>
      <c r="AA532" s="1">
        <f t="shared" si="140"/>
        <v>3.6472972972972983</v>
      </c>
      <c r="AB532" s="1">
        <f t="shared" si="141"/>
        <v>3.38641975308642</v>
      </c>
      <c r="AC532" s="1">
        <f t="shared" si="142"/>
        <v>0</v>
      </c>
      <c r="AD532" s="1">
        <f t="shared" si="143"/>
        <v>4.8460234247424128E-3</v>
      </c>
    </row>
    <row r="533" spans="1:30" x14ac:dyDescent="0.35">
      <c r="A533" t="s">
        <v>1096</v>
      </c>
      <c r="B533" t="s">
        <v>15</v>
      </c>
      <c r="C533" t="s">
        <v>52</v>
      </c>
      <c r="D533" t="s">
        <v>25</v>
      </c>
      <c r="E533">
        <v>60</v>
      </c>
      <c r="F533" t="s">
        <v>46</v>
      </c>
      <c r="G533" t="s">
        <v>85</v>
      </c>
      <c r="H533" t="s">
        <v>1097</v>
      </c>
      <c r="I533">
        <v>3</v>
      </c>
      <c r="J533">
        <v>3</v>
      </c>
      <c r="K533">
        <v>212577</v>
      </c>
      <c r="L533">
        <v>4.3</v>
      </c>
      <c r="M533" t="s">
        <v>43</v>
      </c>
      <c r="N533">
        <v>90</v>
      </c>
      <c r="O533">
        <f t="shared" si="128"/>
        <v>469</v>
      </c>
      <c r="P533">
        <f t="shared" si="129"/>
        <v>239</v>
      </c>
      <c r="Q533">
        <f t="shared" si="130"/>
        <v>230</v>
      </c>
      <c r="R533">
        <f t="shared" si="131"/>
        <v>49.650349650349654</v>
      </c>
      <c r="S533" s="1">
        <f t="shared" si="132"/>
        <v>50.24975024975025</v>
      </c>
      <c r="T533" s="1">
        <f t="shared" si="133"/>
        <v>219</v>
      </c>
      <c r="U533" s="1">
        <f t="shared" si="134"/>
        <v>250</v>
      </c>
      <c r="V533" s="1">
        <f t="shared" si="135"/>
        <v>47.5</v>
      </c>
      <c r="W533" s="1">
        <f t="shared" si="136"/>
        <v>52.5</v>
      </c>
      <c r="X533" s="1">
        <f t="shared" si="137"/>
        <v>15.170575692963753</v>
      </c>
      <c r="Y533" s="1">
        <f t="shared" si="138"/>
        <v>74</v>
      </c>
      <c r="Z533" s="1">
        <f t="shared" si="139"/>
        <v>81</v>
      </c>
      <c r="AA533" s="1">
        <f t="shared" si="140"/>
        <v>3.6472972972972983</v>
      </c>
      <c r="AB533" s="1">
        <f t="shared" si="141"/>
        <v>3.38641975308642</v>
      </c>
      <c r="AC533" s="1">
        <f t="shared" si="142"/>
        <v>0</v>
      </c>
      <c r="AD533" s="1">
        <f t="shared" si="143"/>
        <v>6.5173138367766734E-3</v>
      </c>
    </row>
    <row r="534" spans="1:30" x14ac:dyDescent="0.35">
      <c r="A534" t="s">
        <v>1098</v>
      </c>
      <c r="B534" t="s">
        <v>55</v>
      </c>
      <c r="C534" t="s">
        <v>93</v>
      </c>
      <c r="D534" t="s">
        <v>25</v>
      </c>
      <c r="E534">
        <v>50</v>
      </c>
      <c r="F534" t="s">
        <v>46</v>
      </c>
      <c r="G534" t="s">
        <v>41</v>
      </c>
      <c r="H534" t="s">
        <v>1099</v>
      </c>
      <c r="I534">
        <v>5</v>
      </c>
      <c r="J534">
        <v>6</v>
      </c>
      <c r="K534">
        <v>223676</v>
      </c>
      <c r="L534">
        <v>2.7</v>
      </c>
      <c r="M534" t="s">
        <v>43</v>
      </c>
      <c r="N534">
        <v>78</v>
      </c>
      <c r="O534">
        <f t="shared" si="128"/>
        <v>468</v>
      </c>
      <c r="P534">
        <f t="shared" si="129"/>
        <v>239</v>
      </c>
      <c r="Q534">
        <f t="shared" si="130"/>
        <v>229</v>
      </c>
      <c r="R534">
        <f t="shared" si="131"/>
        <v>49.650349650349654</v>
      </c>
      <c r="S534" s="1">
        <f t="shared" si="132"/>
        <v>50.24975024975025</v>
      </c>
      <c r="T534" s="1">
        <f t="shared" si="133"/>
        <v>219</v>
      </c>
      <c r="U534" s="1">
        <f t="shared" si="134"/>
        <v>249</v>
      </c>
      <c r="V534" s="1">
        <f t="shared" si="135"/>
        <v>47.5</v>
      </c>
      <c r="W534" s="1">
        <f t="shared" si="136"/>
        <v>52.5</v>
      </c>
      <c r="X534" s="1">
        <f t="shared" si="137"/>
        <v>15.196581196581196</v>
      </c>
      <c r="Y534" s="1">
        <f t="shared" si="138"/>
        <v>74</v>
      </c>
      <c r="Z534" s="1">
        <f t="shared" si="139"/>
        <v>81</v>
      </c>
      <c r="AA534" s="1">
        <f t="shared" si="140"/>
        <v>3.6472972972972983</v>
      </c>
      <c r="AB534" s="1">
        <f t="shared" si="141"/>
        <v>3.38641975308642</v>
      </c>
      <c r="AC534" s="1">
        <f t="shared" si="142"/>
        <v>0</v>
      </c>
      <c r="AD534" s="1">
        <f t="shared" si="143"/>
        <v>3.0428587062328902E-3</v>
      </c>
    </row>
    <row r="535" spans="1:30" x14ac:dyDescent="0.35">
      <c r="A535" t="s">
        <v>1100</v>
      </c>
      <c r="B535" t="s">
        <v>96</v>
      </c>
      <c r="C535" t="s">
        <v>24</v>
      </c>
      <c r="D535" t="s">
        <v>25</v>
      </c>
      <c r="E535">
        <v>40</v>
      </c>
      <c r="F535" t="s">
        <v>70</v>
      </c>
      <c r="G535" t="s">
        <v>26</v>
      </c>
      <c r="H535" t="s">
        <v>1101</v>
      </c>
      <c r="I535">
        <v>0</v>
      </c>
      <c r="J535">
        <v>7</v>
      </c>
      <c r="K535">
        <v>117297</v>
      </c>
      <c r="L535">
        <v>2.4</v>
      </c>
      <c r="M535" t="s">
        <v>21</v>
      </c>
      <c r="N535">
        <v>68</v>
      </c>
      <c r="O535">
        <f t="shared" si="128"/>
        <v>467</v>
      </c>
      <c r="P535">
        <f t="shared" si="129"/>
        <v>239</v>
      </c>
      <c r="Q535">
        <f t="shared" si="130"/>
        <v>228</v>
      </c>
      <c r="R535">
        <f t="shared" si="131"/>
        <v>49.650349650349654</v>
      </c>
      <c r="S535" s="1">
        <f t="shared" si="132"/>
        <v>50.24975024975025</v>
      </c>
      <c r="T535" s="1">
        <f t="shared" si="133"/>
        <v>219</v>
      </c>
      <c r="U535" s="1">
        <f t="shared" si="134"/>
        <v>248</v>
      </c>
      <c r="V535" s="1">
        <f t="shared" si="135"/>
        <v>47.5</v>
      </c>
      <c r="W535" s="1">
        <f t="shared" si="136"/>
        <v>52.5</v>
      </c>
      <c r="X535" s="1">
        <f t="shared" si="137"/>
        <v>15.21627408993576</v>
      </c>
      <c r="Y535" s="1">
        <f t="shared" si="138"/>
        <v>74</v>
      </c>
      <c r="Z535" s="1">
        <f t="shared" si="139"/>
        <v>81</v>
      </c>
      <c r="AA535" s="1">
        <f t="shared" si="140"/>
        <v>3.6472972972972983</v>
      </c>
      <c r="AB535" s="1">
        <f t="shared" si="141"/>
        <v>3.38641975308642</v>
      </c>
      <c r="AC535" s="1">
        <f t="shared" si="142"/>
        <v>1</v>
      </c>
      <c r="AD535" s="1">
        <f t="shared" si="143"/>
        <v>3.9214827975703876E-4</v>
      </c>
    </row>
    <row r="536" spans="1:30" x14ac:dyDescent="0.35">
      <c r="A536" t="s">
        <v>1102</v>
      </c>
      <c r="B536" t="s">
        <v>96</v>
      </c>
      <c r="C536" t="s">
        <v>36</v>
      </c>
      <c r="D536" t="s">
        <v>25</v>
      </c>
      <c r="E536">
        <v>48</v>
      </c>
      <c r="F536" t="s">
        <v>31</v>
      </c>
      <c r="G536" t="s">
        <v>26</v>
      </c>
      <c r="H536" t="s">
        <v>1103</v>
      </c>
      <c r="I536">
        <v>9</v>
      </c>
      <c r="J536">
        <v>18</v>
      </c>
      <c r="K536">
        <v>99112</v>
      </c>
      <c r="L536">
        <v>4</v>
      </c>
      <c r="M536" t="s">
        <v>21</v>
      </c>
      <c r="N536">
        <v>50</v>
      </c>
      <c r="O536">
        <f t="shared" si="128"/>
        <v>466</v>
      </c>
      <c r="P536">
        <f t="shared" si="129"/>
        <v>239</v>
      </c>
      <c r="Q536">
        <f t="shared" si="130"/>
        <v>227</v>
      </c>
      <c r="R536">
        <f t="shared" si="131"/>
        <v>49.650349650349654</v>
      </c>
      <c r="S536" s="1">
        <f t="shared" si="132"/>
        <v>50.24975024975025</v>
      </c>
      <c r="T536" s="1">
        <f t="shared" si="133"/>
        <v>218</v>
      </c>
      <c r="U536" s="1">
        <f t="shared" si="134"/>
        <v>248</v>
      </c>
      <c r="V536" s="1">
        <f t="shared" si="135"/>
        <v>47.5</v>
      </c>
      <c r="W536" s="1">
        <f t="shared" si="136"/>
        <v>52.5</v>
      </c>
      <c r="X536" s="1">
        <f t="shared" si="137"/>
        <v>15.233905579399142</v>
      </c>
      <c r="Y536" s="1">
        <f t="shared" si="138"/>
        <v>74</v>
      </c>
      <c r="Z536" s="1">
        <f t="shared" si="139"/>
        <v>81</v>
      </c>
      <c r="AA536" s="1">
        <f t="shared" si="140"/>
        <v>3.6472972972972983</v>
      </c>
      <c r="AB536" s="1">
        <f t="shared" si="141"/>
        <v>3.38641975308642</v>
      </c>
      <c r="AC536" s="1">
        <f t="shared" si="142"/>
        <v>1</v>
      </c>
      <c r="AD536" s="1">
        <f t="shared" si="143"/>
        <v>3.096738739132771E-3</v>
      </c>
    </row>
    <row r="537" spans="1:30" x14ac:dyDescent="0.35">
      <c r="A537" t="s">
        <v>1104</v>
      </c>
      <c r="B537" t="s">
        <v>35</v>
      </c>
      <c r="C537" t="s">
        <v>64</v>
      </c>
      <c r="D537" t="s">
        <v>17</v>
      </c>
      <c r="E537">
        <v>43</v>
      </c>
      <c r="F537" t="s">
        <v>18</v>
      </c>
      <c r="G537" t="s">
        <v>71</v>
      </c>
      <c r="H537" t="s">
        <v>1105</v>
      </c>
      <c r="I537">
        <v>10</v>
      </c>
      <c r="J537">
        <v>15</v>
      </c>
      <c r="K537">
        <v>272668</v>
      </c>
      <c r="L537">
        <v>4.4000000000000004</v>
      </c>
      <c r="M537" t="s">
        <v>43</v>
      </c>
      <c r="N537">
        <v>78</v>
      </c>
      <c r="O537">
        <f t="shared" si="128"/>
        <v>465</v>
      </c>
      <c r="P537">
        <f t="shared" si="129"/>
        <v>239</v>
      </c>
      <c r="Q537">
        <f t="shared" si="130"/>
        <v>226</v>
      </c>
      <c r="R537">
        <f t="shared" si="131"/>
        <v>49.650349650349654</v>
      </c>
      <c r="S537" s="1">
        <f t="shared" si="132"/>
        <v>50.24975024975025</v>
      </c>
      <c r="T537" s="1">
        <f t="shared" si="133"/>
        <v>217</v>
      </c>
      <c r="U537" s="1">
        <f t="shared" si="134"/>
        <v>248</v>
      </c>
      <c r="V537" s="1">
        <f t="shared" si="135"/>
        <v>47.5</v>
      </c>
      <c r="W537" s="1">
        <f t="shared" si="136"/>
        <v>52.5</v>
      </c>
      <c r="X537" s="1">
        <f t="shared" si="137"/>
        <v>15.227956989247312</v>
      </c>
      <c r="Y537" s="1">
        <f t="shared" si="138"/>
        <v>74</v>
      </c>
      <c r="Z537" s="1">
        <f t="shared" si="139"/>
        <v>80</v>
      </c>
      <c r="AA537" s="1">
        <f t="shared" si="140"/>
        <v>3.6472972972972983</v>
      </c>
      <c r="AB537" s="1">
        <f t="shared" si="141"/>
        <v>3.3787499999999993</v>
      </c>
      <c r="AC537" s="1">
        <f t="shared" si="142"/>
        <v>0</v>
      </c>
      <c r="AD537" s="1">
        <f t="shared" si="143"/>
        <v>2.1876608679125753E-3</v>
      </c>
    </row>
    <row r="538" spans="1:30" x14ac:dyDescent="0.35">
      <c r="A538" t="s">
        <v>1106</v>
      </c>
      <c r="B538" t="s">
        <v>40</v>
      </c>
      <c r="C538" t="s">
        <v>24</v>
      </c>
      <c r="D538" t="s">
        <v>17</v>
      </c>
      <c r="E538">
        <v>44</v>
      </c>
      <c r="F538" t="s">
        <v>31</v>
      </c>
      <c r="G538" t="s">
        <v>26</v>
      </c>
      <c r="H538" t="s">
        <v>1107</v>
      </c>
      <c r="I538">
        <v>5</v>
      </c>
      <c r="J538">
        <v>6</v>
      </c>
      <c r="K538">
        <v>106306</v>
      </c>
      <c r="L538">
        <v>2.2000000000000002</v>
      </c>
      <c r="M538" t="s">
        <v>21</v>
      </c>
      <c r="N538">
        <v>32</v>
      </c>
      <c r="O538">
        <f t="shared" si="128"/>
        <v>464</v>
      </c>
      <c r="P538">
        <f t="shared" si="129"/>
        <v>238</v>
      </c>
      <c r="Q538">
        <f t="shared" si="130"/>
        <v>226</v>
      </c>
      <c r="R538">
        <f t="shared" si="131"/>
        <v>49.650349650349654</v>
      </c>
      <c r="S538" s="1">
        <f t="shared" si="132"/>
        <v>50.24975024975025</v>
      </c>
      <c r="T538" s="1">
        <f t="shared" si="133"/>
        <v>217</v>
      </c>
      <c r="U538" s="1">
        <f t="shared" si="134"/>
        <v>247</v>
      </c>
      <c r="V538" s="1">
        <f t="shared" si="135"/>
        <v>47.5</v>
      </c>
      <c r="W538" s="1">
        <f t="shared" si="136"/>
        <v>52.5</v>
      </c>
      <c r="X538" s="1">
        <f t="shared" si="137"/>
        <v>15.228448275862069</v>
      </c>
      <c r="Y538" s="1">
        <f t="shared" si="138"/>
        <v>74</v>
      </c>
      <c r="Z538" s="1">
        <f t="shared" si="139"/>
        <v>80</v>
      </c>
      <c r="AA538" s="1">
        <f t="shared" si="140"/>
        <v>3.6472972972972983</v>
      </c>
      <c r="AB538" s="1">
        <f t="shared" si="141"/>
        <v>3.3787499999999993</v>
      </c>
      <c r="AC538" s="1">
        <f t="shared" si="142"/>
        <v>1</v>
      </c>
      <c r="AD538" s="1">
        <f t="shared" si="143"/>
        <v>2.1236596278524384E-3</v>
      </c>
    </row>
    <row r="539" spans="1:30" x14ac:dyDescent="0.35">
      <c r="A539" t="s">
        <v>1108</v>
      </c>
      <c r="B539" t="s">
        <v>78</v>
      </c>
      <c r="C539" t="s">
        <v>24</v>
      </c>
      <c r="D539" t="s">
        <v>17</v>
      </c>
      <c r="E539">
        <v>42</v>
      </c>
      <c r="F539" t="s">
        <v>74</v>
      </c>
      <c r="G539" t="s">
        <v>88</v>
      </c>
      <c r="H539" t="s">
        <v>1109</v>
      </c>
      <c r="I539">
        <v>14</v>
      </c>
      <c r="J539">
        <v>21</v>
      </c>
      <c r="K539">
        <v>391926</v>
      </c>
      <c r="L539">
        <v>2.2999999999999998</v>
      </c>
      <c r="M539" t="s">
        <v>21</v>
      </c>
      <c r="N539">
        <v>62</v>
      </c>
      <c r="O539">
        <f t="shared" si="128"/>
        <v>463</v>
      </c>
      <c r="P539">
        <f t="shared" si="129"/>
        <v>237</v>
      </c>
      <c r="Q539">
        <f t="shared" si="130"/>
        <v>226</v>
      </c>
      <c r="R539">
        <f t="shared" si="131"/>
        <v>49.650349650349654</v>
      </c>
      <c r="S539" s="1">
        <f t="shared" si="132"/>
        <v>50.24975024975025</v>
      </c>
      <c r="T539" s="1">
        <f t="shared" si="133"/>
        <v>216</v>
      </c>
      <c r="U539" s="1">
        <f t="shared" si="134"/>
        <v>247</v>
      </c>
      <c r="V539" s="1">
        <f t="shared" si="135"/>
        <v>47.5</v>
      </c>
      <c r="W539" s="1">
        <f t="shared" si="136"/>
        <v>52.5</v>
      </c>
      <c r="X539" s="1">
        <f t="shared" si="137"/>
        <v>15.248380129589632</v>
      </c>
      <c r="Y539" s="1">
        <f t="shared" si="138"/>
        <v>74</v>
      </c>
      <c r="Z539" s="1">
        <f t="shared" si="139"/>
        <v>79</v>
      </c>
      <c r="AA539" s="1">
        <f t="shared" si="140"/>
        <v>3.6472972972972983</v>
      </c>
      <c r="AB539" s="1">
        <f t="shared" si="141"/>
        <v>3.3936708860759488</v>
      </c>
      <c r="AC539" s="1">
        <f t="shared" si="142"/>
        <v>1</v>
      </c>
      <c r="AD539" s="1">
        <f t="shared" si="143"/>
        <v>5.1909270264981367E-3</v>
      </c>
    </row>
    <row r="540" spans="1:30" x14ac:dyDescent="0.35">
      <c r="A540" t="s">
        <v>1110</v>
      </c>
      <c r="B540" t="s">
        <v>96</v>
      </c>
      <c r="C540" t="s">
        <v>64</v>
      </c>
      <c r="D540" t="s">
        <v>25</v>
      </c>
      <c r="E540">
        <v>49</v>
      </c>
      <c r="F540" t="s">
        <v>79</v>
      </c>
      <c r="G540" t="s">
        <v>32</v>
      </c>
      <c r="H540" t="s">
        <v>1111</v>
      </c>
      <c r="I540">
        <v>12</v>
      </c>
      <c r="J540">
        <v>21</v>
      </c>
      <c r="K540">
        <v>146070</v>
      </c>
      <c r="L540">
        <v>3.8</v>
      </c>
      <c r="M540" t="s">
        <v>21</v>
      </c>
      <c r="N540">
        <v>52</v>
      </c>
      <c r="O540">
        <f t="shared" si="128"/>
        <v>462</v>
      </c>
      <c r="P540">
        <f t="shared" si="129"/>
        <v>236</v>
      </c>
      <c r="Q540">
        <f t="shared" si="130"/>
        <v>226</v>
      </c>
      <c r="R540">
        <f t="shared" si="131"/>
        <v>49.650349650349654</v>
      </c>
      <c r="S540" s="1">
        <f t="shared" si="132"/>
        <v>50.24975024975025</v>
      </c>
      <c r="T540" s="1">
        <f t="shared" si="133"/>
        <v>215</v>
      </c>
      <c r="U540" s="1">
        <f t="shared" si="134"/>
        <v>247</v>
      </c>
      <c r="V540" s="1">
        <f t="shared" si="135"/>
        <v>47.5</v>
      </c>
      <c r="W540" s="1">
        <f t="shared" si="136"/>
        <v>52.5</v>
      </c>
      <c r="X540" s="1">
        <f t="shared" si="137"/>
        <v>15.235930735930737</v>
      </c>
      <c r="Y540" s="1">
        <f t="shared" si="138"/>
        <v>73</v>
      </c>
      <c r="Z540" s="1">
        <f t="shared" si="139"/>
        <v>79</v>
      </c>
      <c r="AA540" s="1">
        <f t="shared" si="140"/>
        <v>3.6657534246575354</v>
      </c>
      <c r="AB540" s="1">
        <f t="shared" si="141"/>
        <v>3.3936708860759488</v>
      </c>
      <c r="AC540" s="1">
        <f t="shared" si="142"/>
        <v>1</v>
      </c>
      <c r="AD540" s="1">
        <f t="shared" si="143"/>
        <v>3.2857657575362889E-3</v>
      </c>
    </row>
    <row r="541" spans="1:30" x14ac:dyDescent="0.35">
      <c r="A541" t="s">
        <v>1112</v>
      </c>
      <c r="B541" t="s">
        <v>78</v>
      </c>
      <c r="C541" t="s">
        <v>24</v>
      </c>
      <c r="D541" t="s">
        <v>17</v>
      </c>
      <c r="E541">
        <v>31</v>
      </c>
      <c r="F541" t="s">
        <v>70</v>
      </c>
      <c r="G541" t="s">
        <v>75</v>
      </c>
      <c r="H541" t="s">
        <v>1113</v>
      </c>
      <c r="I541">
        <v>19</v>
      </c>
      <c r="J541">
        <v>23</v>
      </c>
      <c r="K541">
        <v>498748</v>
      </c>
      <c r="L541">
        <v>4.7</v>
      </c>
      <c r="M541" t="s">
        <v>43</v>
      </c>
      <c r="N541">
        <v>97</v>
      </c>
      <c r="O541">
        <f t="shared" si="128"/>
        <v>461</v>
      </c>
      <c r="P541">
        <f t="shared" si="129"/>
        <v>236</v>
      </c>
      <c r="Q541">
        <f t="shared" si="130"/>
        <v>225</v>
      </c>
      <c r="R541">
        <f t="shared" si="131"/>
        <v>49.650349650349654</v>
      </c>
      <c r="S541" s="1">
        <f t="shared" si="132"/>
        <v>50.24975024975025</v>
      </c>
      <c r="T541" s="1">
        <f t="shared" si="133"/>
        <v>214</v>
      </c>
      <c r="U541" s="1">
        <f t="shared" si="134"/>
        <v>247</v>
      </c>
      <c r="V541" s="1">
        <f t="shared" si="135"/>
        <v>47.5</v>
      </c>
      <c r="W541" s="1">
        <f t="shared" si="136"/>
        <v>52.5</v>
      </c>
      <c r="X541" s="1">
        <f t="shared" si="137"/>
        <v>15.223427331887201</v>
      </c>
      <c r="Y541" s="1">
        <f t="shared" si="138"/>
        <v>73</v>
      </c>
      <c r="Z541" s="1">
        <f t="shared" si="139"/>
        <v>79</v>
      </c>
      <c r="AA541" s="1">
        <f t="shared" si="140"/>
        <v>3.6657534246575354</v>
      </c>
      <c r="AB541" s="1">
        <f t="shared" si="141"/>
        <v>3.3936708860759488</v>
      </c>
      <c r="AC541" s="1">
        <f t="shared" si="142"/>
        <v>0</v>
      </c>
      <c r="AD541" s="1">
        <f t="shared" si="143"/>
        <v>1.3647313975991683E-3</v>
      </c>
    </row>
    <row r="542" spans="1:30" x14ac:dyDescent="0.35">
      <c r="A542" t="s">
        <v>1114</v>
      </c>
      <c r="B542" t="s">
        <v>55</v>
      </c>
      <c r="C542" t="s">
        <v>56</v>
      </c>
      <c r="D542" t="s">
        <v>25</v>
      </c>
      <c r="E542">
        <v>31</v>
      </c>
      <c r="F542" t="s">
        <v>18</v>
      </c>
      <c r="G542" t="s">
        <v>75</v>
      </c>
      <c r="H542" t="s">
        <v>1115</v>
      </c>
      <c r="I542">
        <v>15</v>
      </c>
      <c r="J542">
        <v>24</v>
      </c>
      <c r="K542">
        <v>379556</v>
      </c>
      <c r="L542">
        <v>4.3</v>
      </c>
      <c r="M542" t="s">
        <v>21</v>
      </c>
      <c r="N542">
        <v>62</v>
      </c>
      <c r="O542">
        <f t="shared" si="128"/>
        <v>460</v>
      </c>
      <c r="P542">
        <f t="shared" si="129"/>
        <v>235</v>
      </c>
      <c r="Q542">
        <f t="shared" si="130"/>
        <v>225</v>
      </c>
      <c r="R542">
        <f t="shared" si="131"/>
        <v>49.650349650349654</v>
      </c>
      <c r="S542" s="1">
        <f t="shared" si="132"/>
        <v>50.24975024975025</v>
      </c>
      <c r="T542" s="1">
        <f t="shared" si="133"/>
        <v>214</v>
      </c>
      <c r="U542" s="1">
        <f t="shared" si="134"/>
        <v>246</v>
      </c>
      <c r="V542" s="1">
        <f t="shared" si="135"/>
        <v>47.5</v>
      </c>
      <c r="W542" s="1">
        <f t="shared" si="136"/>
        <v>52.5</v>
      </c>
      <c r="X542" s="1">
        <f t="shared" si="137"/>
        <v>15.206521739130435</v>
      </c>
      <c r="Y542" s="1">
        <f t="shared" si="138"/>
        <v>73</v>
      </c>
      <c r="Z542" s="1">
        <f t="shared" si="139"/>
        <v>79</v>
      </c>
      <c r="AA542" s="1">
        <f t="shared" si="140"/>
        <v>3.6657534246575354</v>
      </c>
      <c r="AB542" s="1">
        <f t="shared" si="141"/>
        <v>3.3936708860759488</v>
      </c>
      <c r="AC542" s="1">
        <f t="shared" si="142"/>
        <v>1</v>
      </c>
      <c r="AD542" s="1">
        <f t="shared" si="143"/>
        <v>3.6311067692594589E-3</v>
      </c>
    </row>
    <row r="543" spans="1:30" x14ac:dyDescent="0.35">
      <c r="A543" t="s">
        <v>1116</v>
      </c>
      <c r="B543" t="s">
        <v>23</v>
      </c>
      <c r="C543" t="s">
        <v>49</v>
      </c>
      <c r="D543" t="s">
        <v>17</v>
      </c>
      <c r="E543">
        <v>23</v>
      </c>
      <c r="F543" t="s">
        <v>70</v>
      </c>
      <c r="G543" t="s">
        <v>41</v>
      </c>
      <c r="H543" t="s">
        <v>1117</v>
      </c>
      <c r="I543">
        <v>7</v>
      </c>
      <c r="J543">
        <v>17</v>
      </c>
      <c r="K543">
        <v>159328</v>
      </c>
      <c r="L543">
        <v>2.2000000000000002</v>
      </c>
      <c r="M543" t="s">
        <v>21</v>
      </c>
      <c r="N543">
        <v>32</v>
      </c>
      <c r="O543">
        <f t="shared" si="128"/>
        <v>459</v>
      </c>
      <c r="P543">
        <f t="shared" si="129"/>
        <v>235</v>
      </c>
      <c r="Q543">
        <f t="shared" si="130"/>
        <v>224</v>
      </c>
      <c r="R543">
        <f t="shared" si="131"/>
        <v>49.650349650349654</v>
      </c>
      <c r="S543" s="1">
        <f t="shared" si="132"/>
        <v>50.24975024975025</v>
      </c>
      <c r="T543" s="1">
        <f t="shared" si="133"/>
        <v>213</v>
      </c>
      <c r="U543" s="1">
        <f t="shared" si="134"/>
        <v>246</v>
      </c>
      <c r="V543" s="1">
        <f t="shared" si="135"/>
        <v>47.5</v>
      </c>
      <c r="W543" s="1">
        <f t="shared" si="136"/>
        <v>52.5</v>
      </c>
      <c r="X543" s="1">
        <f t="shared" si="137"/>
        <v>15.187363834422658</v>
      </c>
      <c r="Y543" s="1">
        <f t="shared" si="138"/>
        <v>73</v>
      </c>
      <c r="Z543" s="1">
        <f t="shared" si="139"/>
        <v>79</v>
      </c>
      <c r="AA543" s="1">
        <f t="shared" si="140"/>
        <v>3.6657534246575354</v>
      </c>
      <c r="AB543" s="1">
        <f t="shared" si="141"/>
        <v>3.3936708860759488</v>
      </c>
      <c r="AC543" s="1">
        <f t="shared" si="142"/>
        <v>1</v>
      </c>
      <c r="AD543" s="1">
        <f t="shared" si="143"/>
        <v>6.8487312713379905E-4</v>
      </c>
    </row>
    <row r="544" spans="1:30" x14ac:dyDescent="0.35">
      <c r="A544" t="s">
        <v>1118</v>
      </c>
      <c r="B544" t="s">
        <v>29</v>
      </c>
      <c r="C544" t="s">
        <v>93</v>
      </c>
      <c r="D544" t="s">
        <v>25</v>
      </c>
      <c r="E544">
        <v>60</v>
      </c>
      <c r="F544" t="s">
        <v>31</v>
      </c>
      <c r="G544" t="s">
        <v>41</v>
      </c>
      <c r="H544" t="s">
        <v>1119</v>
      </c>
      <c r="I544">
        <v>10</v>
      </c>
      <c r="J544">
        <v>19</v>
      </c>
      <c r="K544">
        <v>108747</v>
      </c>
      <c r="L544">
        <v>2.1</v>
      </c>
      <c r="M544" t="s">
        <v>43</v>
      </c>
      <c r="N544">
        <v>90</v>
      </c>
      <c r="O544">
        <f t="shared" si="128"/>
        <v>458</v>
      </c>
      <c r="P544">
        <f t="shared" si="129"/>
        <v>234</v>
      </c>
      <c r="Q544">
        <f t="shared" si="130"/>
        <v>224</v>
      </c>
      <c r="R544">
        <f t="shared" si="131"/>
        <v>49.650349650349654</v>
      </c>
      <c r="S544" s="1">
        <f t="shared" si="132"/>
        <v>50.24975024975025</v>
      </c>
      <c r="T544" s="1">
        <f t="shared" si="133"/>
        <v>212</v>
      </c>
      <c r="U544" s="1">
        <f t="shared" si="134"/>
        <v>246</v>
      </c>
      <c r="V544" s="1">
        <f t="shared" si="135"/>
        <v>47.5</v>
      </c>
      <c r="W544" s="1">
        <f t="shared" si="136"/>
        <v>52.5</v>
      </c>
      <c r="X544" s="1">
        <f t="shared" si="137"/>
        <v>15.183406113537117</v>
      </c>
      <c r="Y544" s="1">
        <f t="shared" si="138"/>
        <v>73</v>
      </c>
      <c r="Z544" s="1">
        <f t="shared" si="139"/>
        <v>79</v>
      </c>
      <c r="AA544" s="1">
        <f t="shared" si="140"/>
        <v>3.6657534246575354</v>
      </c>
      <c r="AB544" s="1">
        <f t="shared" si="141"/>
        <v>3.3936708860759488</v>
      </c>
      <c r="AC544" s="1">
        <f t="shared" si="142"/>
        <v>0</v>
      </c>
      <c r="AD544" s="1">
        <f t="shared" si="143"/>
        <v>7.407877182080878E-5</v>
      </c>
    </row>
    <row r="545" spans="1:30" x14ac:dyDescent="0.35">
      <c r="A545" t="s">
        <v>1120</v>
      </c>
      <c r="B545" t="s">
        <v>23</v>
      </c>
      <c r="C545" t="s">
        <v>49</v>
      </c>
      <c r="D545" t="s">
        <v>25</v>
      </c>
      <c r="E545">
        <v>53</v>
      </c>
      <c r="F545" t="s">
        <v>37</v>
      </c>
      <c r="G545" t="s">
        <v>71</v>
      </c>
      <c r="H545" t="s">
        <v>1121</v>
      </c>
      <c r="I545">
        <v>12</v>
      </c>
      <c r="J545">
        <v>14</v>
      </c>
      <c r="K545">
        <v>322770</v>
      </c>
      <c r="L545">
        <v>5</v>
      </c>
      <c r="M545" t="s">
        <v>43</v>
      </c>
      <c r="N545">
        <v>73</v>
      </c>
      <c r="O545">
        <f t="shared" si="128"/>
        <v>457</v>
      </c>
      <c r="P545">
        <f t="shared" si="129"/>
        <v>234</v>
      </c>
      <c r="Q545">
        <f t="shared" si="130"/>
        <v>223</v>
      </c>
      <c r="R545">
        <f t="shared" si="131"/>
        <v>49.650349650349654</v>
      </c>
      <c r="S545" s="1">
        <f t="shared" si="132"/>
        <v>50.24975024975025</v>
      </c>
      <c r="T545" s="1">
        <f t="shared" si="133"/>
        <v>212</v>
      </c>
      <c r="U545" s="1">
        <f t="shared" si="134"/>
        <v>245</v>
      </c>
      <c r="V545" s="1">
        <f t="shared" si="135"/>
        <v>47.5</v>
      </c>
      <c r="W545" s="1">
        <f t="shared" si="136"/>
        <v>52.5</v>
      </c>
      <c r="X545" s="1">
        <f t="shared" si="137"/>
        <v>15.175054704595185</v>
      </c>
      <c r="Y545" s="1">
        <f t="shared" si="138"/>
        <v>73</v>
      </c>
      <c r="Z545" s="1">
        <f t="shared" si="139"/>
        <v>78</v>
      </c>
      <c r="AA545" s="1">
        <f t="shared" si="140"/>
        <v>3.6657534246575354</v>
      </c>
      <c r="AB545" s="1">
        <f t="shared" si="141"/>
        <v>3.4102564102564097</v>
      </c>
      <c r="AC545" s="1">
        <f t="shared" si="142"/>
        <v>0</v>
      </c>
      <c r="AD545" s="1">
        <f t="shared" si="143"/>
        <v>1.1879892175036451E-3</v>
      </c>
    </row>
    <row r="546" spans="1:30" x14ac:dyDescent="0.35">
      <c r="A546" t="s">
        <v>1122</v>
      </c>
      <c r="B546" t="s">
        <v>40</v>
      </c>
      <c r="C546" t="s">
        <v>24</v>
      </c>
      <c r="D546" t="s">
        <v>25</v>
      </c>
      <c r="E546">
        <v>50</v>
      </c>
      <c r="F546" t="s">
        <v>46</v>
      </c>
      <c r="G546" t="s">
        <v>41</v>
      </c>
      <c r="H546" t="s">
        <v>1123</v>
      </c>
      <c r="I546">
        <v>1</v>
      </c>
      <c r="J546">
        <v>5</v>
      </c>
      <c r="K546">
        <v>67470</v>
      </c>
      <c r="L546">
        <v>3.8</v>
      </c>
      <c r="M546" t="s">
        <v>43</v>
      </c>
      <c r="N546">
        <v>74</v>
      </c>
      <c r="O546">
        <f t="shared" si="128"/>
        <v>456</v>
      </c>
      <c r="P546">
        <f t="shared" si="129"/>
        <v>234</v>
      </c>
      <c r="Q546">
        <f t="shared" si="130"/>
        <v>222</v>
      </c>
      <c r="R546">
        <f t="shared" si="131"/>
        <v>49.650349650349654</v>
      </c>
      <c r="S546" s="1">
        <f t="shared" si="132"/>
        <v>50.24975024975025</v>
      </c>
      <c r="T546" s="1">
        <f t="shared" si="133"/>
        <v>212</v>
      </c>
      <c r="U546" s="1">
        <f t="shared" si="134"/>
        <v>244</v>
      </c>
      <c r="V546" s="1">
        <f t="shared" si="135"/>
        <v>47.5</v>
      </c>
      <c r="W546" s="1">
        <f t="shared" si="136"/>
        <v>52.5</v>
      </c>
      <c r="X546" s="1">
        <f t="shared" si="137"/>
        <v>15.177631578947368</v>
      </c>
      <c r="Y546" s="1">
        <f t="shared" si="138"/>
        <v>73</v>
      </c>
      <c r="Z546" s="1">
        <f t="shared" si="139"/>
        <v>78</v>
      </c>
      <c r="AA546" s="1">
        <f t="shared" si="140"/>
        <v>3.6657534246575354</v>
      </c>
      <c r="AB546" s="1">
        <f t="shared" si="141"/>
        <v>3.4102564102564097</v>
      </c>
      <c r="AC546" s="1">
        <f t="shared" si="142"/>
        <v>0</v>
      </c>
      <c r="AD546" s="1">
        <f t="shared" si="143"/>
        <v>8.4514348765422627E-4</v>
      </c>
    </row>
    <row r="547" spans="1:30" x14ac:dyDescent="0.35">
      <c r="A547" t="s">
        <v>1124</v>
      </c>
      <c r="B547" t="s">
        <v>35</v>
      </c>
      <c r="C547" t="s">
        <v>36</v>
      </c>
      <c r="D547" t="s">
        <v>17</v>
      </c>
      <c r="E547">
        <v>25</v>
      </c>
      <c r="F547" t="s">
        <v>31</v>
      </c>
      <c r="G547" t="s">
        <v>19</v>
      </c>
      <c r="H547" t="s">
        <v>1125</v>
      </c>
      <c r="I547">
        <v>2</v>
      </c>
      <c r="J547">
        <v>3</v>
      </c>
      <c r="K547">
        <v>344685</v>
      </c>
      <c r="L547">
        <v>2.2000000000000002</v>
      </c>
      <c r="M547" t="s">
        <v>21</v>
      </c>
      <c r="N547">
        <v>43</v>
      </c>
      <c r="O547">
        <f t="shared" si="128"/>
        <v>455</v>
      </c>
      <c r="P547">
        <f t="shared" si="129"/>
        <v>234</v>
      </c>
      <c r="Q547">
        <f t="shared" si="130"/>
        <v>221</v>
      </c>
      <c r="R547">
        <f t="shared" si="131"/>
        <v>49.650349650349654</v>
      </c>
      <c r="S547" s="1">
        <f t="shared" si="132"/>
        <v>50.24975024975025</v>
      </c>
      <c r="T547" s="1">
        <f t="shared" si="133"/>
        <v>212</v>
      </c>
      <c r="U547" s="1">
        <f t="shared" si="134"/>
        <v>243</v>
      </c>
      <c r="V547" s="1">
        <f t="shared" si="135"/>
        <v>47.5</v>
      </c>
      <c r="W547" s="1">
        <f t="shared" si="136"/>
        <v>52.5</v>
      </c>
      <c r="X547" s="1">
        <f t="shared" si="137"/>
        <v>15.2</v>
      </c>
      <c r="Y547" s="1">
        <f t="shared" si="138"/>
        <v>73</v>
      </c>
      <c r="Z547" s="1">
        <f t="shared" si="139"/>
        <v>78</v>
      </c>
      <c r="AA547" s="1">
        <f t="shared" si="140"/>
        <v>3.6657534246575354</v>
      </c>
      <c r="AB547" s="1">
        <f t="shared" si="141"/>
        <v>3.4102564102564097</v>
      </c>
      <c r="AC547" s="1">
        <f t="shared" si="142"/>
        <v>1</v>
      </c>
      <c r="AD547" s="1">
        <f t="shared" si="143"/>
        <v>-2.1480987526547434E-3</v>
      </c>
    </row>
    <row r="548" spans="1:30" x14ac:dyDescent="0.35">
      <c r="A548" t="s">
        <v>1126</v>
      </c>
      <c r="B548" t="s">
        <v>55</v>
      </c>
      <c r="C548" t="s">
        <v>56</v>
      </c>
      <c r="D548" t="s">
        <v>17</v>
      </c>
      <c r="E548">
        <v>54</v>
      </c>
      <c r="F548" t="s">
        <v>46</v>
      </c>
      <c r="G548" t="s">
        <v>88</v>
      </c>
      <c r="H548" t="s">
        <v>762</v>
      </c>
      <c r="I548">
        <v>18</v>
      </c>
      <c r="J548">
        <v>20</v>
      </c>
      <c r="K548">
        <v>372511</v>
      </c>
      <c r="L548">
        <v>3.3</v>
      </c>
      <c r="M548" t="s">
        <v>21</v>
      </c>
      <c r="N548">
        <v>39</v>
      </c>
      <c r="O548">
        <f t="shared" si="128"/>
        <v>454</v>
      </c>
      <c r="P548">
        <f t="shared" si="129"/>
        <v>233</v>
      </c>
      <c r="Q548">
        <f t="shared" si="130"/>
        <v>221</v>
      </c>
      <c r="R548">
        <f t="shared" si="131"/>
        <v>49.650349650349654</v>
      </c>
      <c r="S548" s="1">
        <f t="shared" si="132"/>
        <v>50.24975024975025</v>
      </c>
      <c r="T548" s="1">
        <f t="shared" si="133"/>
        <v>211</v>
      </c>
      <c r="U548" s="1">
        <f t="shared" si="134"/>
        <v>243</v>
      </c>
      <c r="V548" s="1">
        <f t="shared" si="135"/>
        <v>47.5</v>
      </c>
      <c r="W548" s="1">
        <f t="shared" si="136"/>
        <v>52.5</v>
      </c>
      <c r="X548" s="1">
        <f t="shared" si="137"/>
        <v>15.226872246696034</v>
      </c>
      <c r="Y548" s="1">
        <f t="shared" si="138"/>
        <v>73</v>
      </c>
      <c r="Z548" s="1">
        <f t="shared" si="139"/>
        <v>77</v>
      </c>
      <c r="AA548" s="1">
        <f t="shared" si="140"/>
        <v>3.6657534246575354</v>
      </c>
      <c r="AB548" s="1">
        <f t="shared" si="141"/>
        <v>3.4259740259740261</v>
      </c>
      <c r="AC548" s="1">
        <f t="shared" si="142"/>
        <v>1</v>
      </c>
      <c r="AD548" s="1">
        <f t="shared" si="143"/>
        <v>1.9866956318979798E-3</v>
      </c>
    </row>
    <row r="549" spans="1:30" x14ac:dyDescent="0.35">
      <c r="A549" t="s">
        <v>1127</v>
      </c>
      <c r="B549" t="s">
        <v>69</v>
      </c>
      <c r="C549" t="s">
        <v>16</v>
      </c>
      <c r="D549" t="s">
        <v>17</v>
      </c>
      <c r="E549">
        <v>33</v>
      </c>
      <c r="F549" t="s">
        <v>79</v>
      </c>
      <c r="G549" t="s">
        <v>32</v>
      </c>
      <c r="H549" t="s">
        <v>1128</v>
      </c>
      <c r="I549">
        <v>11</v>
      </c>
      <c r="J549">
        <v>12</v>
      </c>
      <c r="K549">
        <v>379727</v>
      </c>
      <c r="L549">
        <v>2.1</v>
      </c>
      <c r="M549" t="s">
        <v>43</v>
      </c>
      <c r="N549">
        <v>71</v>
      </c>
      <c r="O549">
        <f t="shared" si="128"/>
        <v>453</v>
      </c>
      <c r="P549">
        <f t="shared" si="129"/>
        <v>232</v>
      </c>
      <c r="Q549">
        <f t="shared" si="130"/>
        <v>221</v>
      </c>
      <c r="R549">
        <f t="shared" si="131"/>
        <v>49.650349650349654</v>
      </c>
      <c r="S549" s="1">
        <f t="shared" si="132"/>
        <v>50.24975024975025</v>
      </c>
      <c r="T549" s="1">
        <f t="shared" si="133"/>
        <v>210</v>
      </c>
      <c r="U549" s="1">
        <f t="shared" si="134"/>
        <v>243</v>
      </c>
      <c r="V549" s="1">
        <f t="shared" si="135"/>
        <v>47.5</v>
      </c>
      <c r="W549" s="1">
        <f t="shared" si="136"/>
        <v>52.5</v>
      </c>
      <c r="X549" s="1">
        <f t="shared" si="137"/>
        <v>15.216335540838852</v>
      </c>
      <c r="Y549" s="1">
        <f t="shared" si="138"/>
        <v>73</v>
      </c>
      <c r="Z549" s="1">
        <f t="shared" si="139"/>
        <v>77</v>
      </c>
      <c r="AA549" s="1">
        <f t="shared" si="140"/>
        <v>3.6657534246575354</v>
      </c>
      <c r="AB549" s="1">
        <f t="shared" si="141"/>
        <v>3.4259740259740261</v>
      </c>
      <c r="AC549" s="1">
        <f t="shared" si="142"/>
        <v>0</v>
      </c>
      <c r="AD549" s="1">
        <f t="shared" si="143"/>
        <v>3.6215383369584303E-4</v>
      </c>
    </row>
    <row r="550" spans="1:30" x14ac:dyDescent="0.35">
      <c r="A550" t="s">
        <v>1129</v>
      </c>
      <c r="B550" t="s">
        <v>40</v>
      </c>
      <c r="C550" t="s">
        <v>64</v>
      </c>
      <c r="D550" t="s">
        <v>17</v>
      </c>
      <c r="E550">
        <v>31</v>
      </c>
      <c r="F550" t="s">
        <v>70</v>
      </c>
      <c r="G550" t="s">
        <v>88</v>
      </c>
      <c r="H550" t="s">
        <v>142</v>
      </c>
      <c r="I550">
        <v>13</v>
      </c>
      <c r="J550">
        <v>20</v>
      </c>
      <c r="K550">
        <v>223010</v>
      </c>
      <c r="L550">
        <v>2.4</v>
      </c>
      <c r="M550" t="s">
        <v>21</v>
      </c>
      <c r="N550">
        <v>47</v>
      </c>
      <c r="O550">
        <f t="shared" si="128"/>
        <v>452</v>
      </c>
      <c r="P550">
        <f t="shared" si="129"/>
        <v>231</v>
      </c>
      <c r="Q550">
        <f t="shared" si="130"/>
        <v>221</v>
      </c>
      <c r="R550">
        <f t="shared" si="131"/>
        <v>49.650349650349654</v>
      </c>
      <c r="S550" s="1">
        <f t="shared" si="132"/>
        <v>50.24975024975025</v>
      </c>
      <c r="T550" s="1">
        <f t="shared" si="133"/>
        <v>210</v>
      </c>
      <c r="U550" s="1">
        <f t="shared" si="134"/>
        <v>242</v>
      </c>
      <c r="V550" s="1">
        <f t="shared" si="135"/>
        <v>47.5</v>
      </c>
      <c r="W550" s="1">
        <f t="shared" si="136"/>
        <v>52.5</v>
      </c>
      <c r="X550" s="1">
        <f t="shared" si="137"/>
        <v>15.223451327433628</v>
      </c>
      <c r="Y550" s="1">
        <f t="shared" si="138"/>
        <v>73</v>
      </c>
      <c r="Z550" s="1">
        <f t="shared" si="139"/>
        <v>77</v>
      </c>
      <c r="AA550" s="1">
        <f t="shared" si="140"/>
        <v>3.6657534246575354</v>
      </c>
      <c r="AB550" s="1">
        <f t="shared" si="141"/>
        <v>3.4259740259740261</v>
      </c>
      <c r="AC550" s="1">
        <f t="shared" si="142"/>
        <v>1</v>
      </c>
      <c r="AD550" s="1">
        <f t="shared" si="143"/>
        <v>-5.8874545525846602E-4</v>
      </c>
    </row>
    <row r="551" spans="1:30" x14ac:dyDescent="0.35">
      <c r="A551" t="s">
        <v>1130</v>
      </c>
      <c r="B551" t="s">
        <v>35</v>
      </c>
      <c r="C551" t="s">
        <v>49</v>
      </c>
      <c r="D551" t="s">
        <v>17</v>
      </c>
      <c r="E551">
        <v>41</v>
      </c>
      <c r="F551" t="s">
        <v>31</v>
      </c>
      <c r="G551" t="s">
        <v>32</v>
      </c>
      <c r="H551" t="s">
        <v>1131</v>
      </c>
      <c r="I551">
        <v>7</v>
      </c>
      <c r="J551">
        <v>17</v>
      </c>
      <c r="K551">
        <v>180044</v>
      </c>
      <c r="L551">
        <v>2.1</v>
      </c>
      <c r="M551" t="s">
        <v>43</v>
      </c>
      <c r="N551">
        <v>89</v>
      </c>
      <c r="O551">
        <f t="shared" si="128"/>
        <v>451</v>
      </c>
      <c r="P551">
        <f t="shared" si="129"/>
        <v>230</v>
      </c>
      <c r="Q551">
        <f t="shared" si="130"/>
        <v>221</v>
      </c>
      <c r="R551">
        <f t="shared" si="131"/>
        <v>49.650349650349654</v>
      </c>
      <c r="S551" s="1">
        <f t="shared" si="132"/>
        <v>50.24975024975025</v>
      </c>
      <c r="T551" s="1">
        <f t="shared" si="133"/>
        <v>209</v>
      </c>
      <c r="U551" s="1">
        <f t="shared" si="134"/>
        <v>242</v>
      </c>
      <c r="V551" s="1">
        <f t="shared" si="135"/>
        <v>47.5</v>
      </c>
      <c r="W551" s="1">
        <f t="shared" si="136"/>
        <v>52.5</v>
      </c>
      <c r="X551" s="1">
        <f t="shared" si="137"/>
        <v>15.212860310421286</v>
      </c>
      <c r="Y551" s="1">
        <f t="shared" si="138"/>
        <v>73</v>
      </c>
      <c r="Z551" s="1">
        <f t="shared" si="139"/>
        <v>77</v>
      </c>
      <c r="AA551" s="1">
        <f t="shared" si="140"/>
        <v>3.6657534246575354</v>
      </c>
      <c r="AB551" s="1">
        <f t="shared" si="141"/>
        <v>3.4259740259740261</v>
      </c>
      <c r="AC551" s="1">
        <f t="shared" si="142"/>
        <v>0</v>
      </c>
      <c r="AD551" s="1">
        <f t="shared" si="143"/>
        <v>-2.2244561229686232E-3</v>
      </c>
    </row>
    <row r="552" spans="1:30" x14ac:dyDescent="0.35">
      <c r="A552" t="s">
        <v>1132</v>
      </c>
      <c r="B552" t="s">
        <v>23</v>
      </c>
      <c r="C552" t="s">
        <v>64</v>
      </c>
      <c r="D552" t="s">
        <v>17</v>
      </c>
      <c r="E552">
        <v>33</v>
      </c>
      <c r="F552" t="s">
        <v>18</v>
      </c>
      <c r="G552" t="s">
        <v>71</v>
      </c>
      <c r="H552" t="s">
        <v>1133</v>
      </c>
      <c r="I552">
        <v>12</v>
      </c>
      <c r="J552">
        <v>19</v>
      </c>
      <c r="K552">
        <v>365659</v>
      </c>
      <c r="L552">
        <v>3.1</v>
      </c>
      <c r="M552" t="s">
        <v>43</v>
      </c>
      <c r="N552">
        <v>82</v>
      </c>
      <c r="O552">
        <f t="shared" si="128"/>
        <v>450</v>
      </c>
      <c r="P552">
        <f t="shared" si="129"/>
        <v>229</v>
      </c>
      <c r="Q552">
        <f t="shared" si="130"/>
        <v>221</v>
      </c>
      <c r="R552">
        <f t="shared" si="131"/>
        <v>49.650349650349654</v>
      </c>
      <c r="S552" s="1">
        <f t="shared" si="132"/>
        <v>50.24975024975025</v>
      </c>
      <c r="T552" s="1">
        <f t="shared" si="133"/>
        <v>209</v>
      </c>
      <c r="U552" s="1">
        <f t="shared" si="134"/>
        <v>241</v>
      </c>
      <c r="V552" s="1">
        <f t="shared" si="135"/>
        <v>47.5</v>
      </c>
      <c r="W552" s="1">
        <f t="shared" si="136"/>
        <v>52.5</v>
      </c>
      <c r="X552" s="1">
        <f t="shared" si="137"/>
        <v>15.20888888888889</v>
      </c>
      <c r="Y552" s="1">
        <f t="shared" si="138"/>
        <v>73</v>
      </c>
      <c r="Z552" s="1">
        <f t="shared" si="139"/>
        <v>76</v>
      </c>
      <c r="AA552" s="1">
        <f t="shared" si="140"/>
        <v>3.6657534246575354</v>
      </c>
      <c r="AB552" s="1">
        <f t="shared" si="141"/>
        <v>3.4434210526315789</v>
      </c>
      <c r="AC552" s="1">
        <f t="shared" si="142"/>
        <v>0</v>
      </c>
      <c r="AD552" s="1">
        <f t="shared" si="143"/>
        <v>-1.6968333311734147E-3</v>
      </c>
    </row>
    <row r="553" spans="1:30" x14ac:dyDescent="0.35">
      <c r="A553" t="s">
        <v>1134</v>
      </c>
      <c r="B553" t="s">
        <v>23</v>
      </c>
      <c r="C553" t="s">
        <v>49</v>
      </c>
      <c r="D553" t="s">
        <v>17</v>
      </c>
      <c r="E553">
        <v>43</v>
      </c>
      <c r="F553" t="s">
        <v>70</v>
      </c>
      <c r="G553" t="s">
        <v>19</v>
      </c>
      <c r="H553" t="s">
        <v>1135</v>
      </c>
      <c r="I553">
        <v>4</v>
      </c>
      <c r="J553">
        <v>6</v>
      </c>
      <c r="K553">
        <v>119310</v>
      </c>
      <c r="L553">
        <v>4.9000000000000004</v>
      </c>
      <c r="M553" t="s">
        <v>21</v>
      </c>
      <c r="N553">
        <v>64</v>
      </c>
      <c r="O553">
        <f t="shared" si="128"/>
        <v>449</v>
      </c>
      <c r="P553">
        <f t="shared" si="129"/>
        <v>228</v>
      </c>
      <c r="Q553">
        <f t="shared" si="130"/>
        <v>221</v>
      </c>
      <c r="R553">
        <f t="shared" si="131"/>
        <v>49.650349650349654</v>
      </c>
      <c r="S553" s="1">
        <f t="shared" si="132"/>
        <v>50.24975024975025</v>
      </c>
      <c r="T553" s="1">
        <f t="shared" si="133"/>
        <v>209</v>
      </c>
      <c r="U553" s="1">
        <f t="shared" si="134"/>
        <v>240</v>
      </c>
      <c r="V553" s="1">
        <f t="shared" si="135"/>
        <v>47.5</v>
      </c>
      <c r="W553" s="1">
        <f t="shared" si="136"/>
        <v>52.5</v>
      </c>
      <c r="X553" s="1">
        <f t="shared" si="137"/>
        <v>15.200445434298441</v>
      </c>
      <c r="Y553" s="1">
        <f t="shared" si="138"/>
        <v>73</v>
      </c>
      <c r="Z553" s="1">
        <f t="shared" si="139"/>
        <v>76</v>
      </c>
      <c r="AA553" s="1">
        <f t="shared" si="140"/>
        <v>3.6657534246575354</v>
      </c>
      <c r="AB553" s="1">
        <f t="shared" si="141"/>
        <v>3.4434210526315789</v>
      </c>
      <c r="AC553" s="1">
        <f t="shared" si="142"/>
        <v>1</v>
      </c>
      <c r="AD553" s="1">
        <f t="shared" si="143"/>
        <v>-5.7092770766059401E-4</v>
      </c>
    </row>
    <row r="554" spans="1:30" x14ac:dyDescent="0.35">
      <c r="A554" t="s">
        <v>1136</v>
      </c>
      <c r="B554" t="s">
        <v>111</v>
      </c>
      <c r="C554" t="s">
        <v>93</v>
      </c>
      <c r="D554" t="s">
        <v>25</v>
      </c>
      <c r="E554">
        <v>26</v>
      </c>
      <c r="F554" t="s">
        <v>31</v>
      </c>
      <c r="G554" t="s">
        <v>88</v>
      </c>
      <c r="H554" t="s">
        <v>1137</v>
      </c>
      <c r="I554">
        <v>10</v>
      </c>
      <c r="J554">
        <v>20</v>
      </c>
      <c r="K554">
        <v>426466</v>
      </c>
      <c r="L554">
        <v>3.8</v>
      </c>
      <c r="M554" t="s">
        <v>43</v>
      </c>
      <c r="N554">
        <v>98</v>
      </c>
      <c r="O554">
        <f t="shared" si="128"/>
        <v>448</v>
      </c>
      <c r="P554">
        <f t="shared" si="129"/>
        <v>227</v>
      </c>
      <c r="Q554">
        <f t="shared" si="130"/>
        <v>221</v>
      </c>
      <c r="R554">
        <f t="shared" si="131"/>
        <v>49.650349650349654</v>
      </c>
      <c r="S554" s="1">
        <f t="shared" si="132"/>
        <v>50.24975024975025</v>
      </c>
      <c r="T554" s="1">
        <f t="shared" si="133"/>
        <v>208</v>
      </c>
      <c r="U554" s="1">
        <f t="shared" si="134"/>
        <v>240</v>
      </c>
      <c r="V554" s="1">
        <f t="shared" si="135"/>
        <v>47.5</v>
      </c>
      <c r="W554" s="1">
        <f t="shared" si="136"/>
        <v>52.5</v>
      </c>
      <c r="X554" s="1">
        <f t="shared" si="137"/>
        <v>15.220982142857142</v>
      </c>
      <c r="Y554" s="1">
        <f t="shared" si="138"/>
        <v>73</v>
      </c>
      <c r="Z554" s="1">
        <f t="shared" si="139"/>
        <v>76</v>
      </c>
      <c r="AA554" s="1">
        <f t="shared" si="140"/>
        <v>3.6657534246575354</v>
      </c>
      <c r="AB554" s="1">
        <f t="shared" si="141"/>
        <v>3.4434210526315789</v>
      </c>
      <c r="AC554" s="1">
        <f t="shared" si="142"/>
        <v>0</v>
      </c>
      <c r="AD554" s="1">
        <f t="shared" si="143"/>
        <v>2.5882337013572211E-3</v>
      </c>
    </row>
    <row r="555" spans="1:30" x14ac:dyDescent="0.35">
      <c r="A555" t="s">
        <v>1138</v>
      </c>
      <c r="B555" t="s">
        <v>69</v>
      </c>
      <c r="C555" t="s">
        <v>49</v>
      </c>
      <c r="D555" t="s">
        <v>17</v>
      </c>
      <c r="E555">
        <v>22</v>
      </c>
      <c r="F555" t="s">
        <v>18</v>
      </c>
      <c r="G555" t="s">
        <v>26</v>
      </c>
      <c r="H555" t="s">
        <v>1139</v>
      </c>
      <c r="I555">
        <v>13</v>
      </c>
      <c r="J555">
        <v>20</v>
      </c>
      <c r="K555">
        <v>209909</v>
      </c>
      <c r="L555">
        <v>3.9</v>
      </c>
      <c r="M555" t="s">
        <v>43</v>
      </c>
      <c r="N555">
        <v>99</v>
      </c>
      <c r="O555">
        <f t="shared" si="128"/>
        <v>447</v>
      </c>
      <c r="P555">
        <f t="shared" si="129"/>
        <v>227</v>
      </c>
      <c r="Q555">
        <f t="shared" si="130"/>
        <v>220</v>
      </c>
      <c r="R555">
        <f t="shared" si="131"/>
        <v>49.650349650349654</v>
      </c>
      <c r="S555" s="1">
        <f t="shared" si="132"/>
        <v>50.24975024975025</v>
      </c>
      <c r="T555" s="1">
        <f t="shared" si="133"/>
        <v>208</v>
      </c>
      <c r="U555" s="1">
        <f t="shared" si="134"/>
        <v>239</v>
      </c>
      <c r="V555" s="1">
        <f t="shared" si="135"/>
        <v>47.5</v>
      </c>
      <c r="W555" s="1">
        <f t="shared" si="136"/>
        <v>52.5</v>
      </c>
      <c r="X555" s="1">
        <f t="shared" si="137"/>
        <v>15.210290827740492</v>
      </c>
      <c r="Y555" s="1">
        <f t="shared" si="138"/>
        <v>73</v>
      </c>
      <c r="Z555" s="1">
        <f t="shared" si="139"/>
        <v>75</v>
      </c>
      <c r="AA555" s="1">
        <f t="shared" si="140"/>
        <v>3.6657534246575354</v>
      </c>
      <c r="AB555" s="1">
        <f t="shared" si="141"/>
        <v>3.4386666666666663</v>
      </c>
      <c r="AC555" s="1">
        <f t="shared" si="142"/>
        <v>0</v>
      </c>
      <c r="AD555" s="1">
        <f t="shared" si="143"/>
        <v>4.0204310007194754E-3</v>
      </c>
    </row>
    <row r="556" spans="1:30" x14ac:dyDescent="0.35">
      <c r="A556" t="s">
        <v>1140</v>
      </c>
      <c r="B556" t="s">
        <v>69</v>
      </c>
      <c r="C556" t="s">
        <v>49</v>
      </c>
      <c r="D556" t="s">
        <v>17</v>
      </c>
      <c r="E556">
        <v>49</v>
      </c>
      <c r="F556" t="s">
        <v>18</v>
      </c>
      <c r="G556" t="s">
        <v>61</v>
      </c>
      <c r="H556" t="s">
        <v>1141</v>
      </c>
      <c r="I556">
        <v>11</v>
      </c>
      <c r="J556">
        <v>14</v>
      </c>
      <c r="K556">
        <v>83634</v>
      </c>
      <c r="L556">
        <v>4.5999999999999996</v>
      </c>
      <c r="M556" t="s">
        <v>21</v>
      </c>
      <c r="N556">
        <v>47</v>
      </c>
      <c r="O556">
        <f t="shared" si="128"/>
        <v>446</v>
      </c>
      <c r="P556">
        <f t="shared" si="129"/>
        <v>226</v>
      </c>
      <c r="Q556">
        <f t="shared" si="130"/>
        <v>220</v>
      </c>
      <c r="R556">
        <f t="shared" si="131"/>
        <v>49.650349650349654</v>
      </c>
      <c r="S556" s="1">
        <f t="shared" si="132"/>
        <v>50.24975024975025</v>
      </c>
      <c r="T556" s="1">
        <f t="shared" si="133"/>
        <v>208</v>
      </c>
      <c r="U556" s="1">
        <f t="shared" si="134"/>
        <v>238</v>
      </c>
      <c r="V556" s="1">
        <f t="shared" si="135"/>
        <v>47.5</v>
      </c>
      <c r="W556" s="1">
        <f t="shared" si="136"/>
        <v>52.5</v>
      </c>
      <c r="X556" s="1">
        <f t="shared" si="137"/>
        <v>15.199551569506726</v>
      </c>
      <c r="Y556" s="1">
        <f t="shared" si="138"/>
        <v>73</v>
      </c>
      <c r="Z556" s="1">
        <f t="shared" si="139"/>
        <v>75</v>
      </c>
      <c r="AA556" s="1">
        <f t="shared" si="140"/>
        <v>3.6657534246575354</v>
      </c>
      <c r="AB556" s="1">
        <f t="shared" si="141"/>
        <v>3.4386666666666663</v>
      </c>
      <c r="AC556" s="1">
        <f t="shared" si="142"/>
        <v>1</v>
      </c>
      <c r="AD556" s="1">
        <f t="shared" si="143"/>
        <v>5.4633731756815167E-3</v>
      </c>
    </row>
    <row r="557" spans="1:30" x14ac:dyDescent="0.35">
      <c r="A557" t="s">
        <v>1142</v>
      </c>
      <c r="B557" t="s">
        <v>69</v>
      </c>
      <c r="C557" t="s">
        <v>52</v>
      </c>
      <c r="D557" t="s">
        <v>25</v>
      </c>
      <c r="E557">
        <v>21</v>
      </c>
      <c r="F557" t="s">
        <v>70</v>
      </c>
      <c r="G557" t="s">
        <v>71</v>
      </c>
      <c r="H557" t="s">
        <v>1143</v>
      </c>
      <c r="I557">
        <v>16</v>
      </c>
      <c r="J557">
        <v>18</v>
      </c>
      <c r="K557">
        <v>114996</v>
      </c>
      <c r="L557">
        <v>3.7</v>
      </c>
      <c r="M557" t="s">
        <v>43</v>
      </c>
      <c r="N557">
        <v>91</v>
      </c>
      <c r="O557">
        <f t="shared" si="128"/>
        <v>445</v>
      </c>
      <c r="P557">
        <f t="shared" si="129"/>
        <v>225</v>
      </c>
      <c r="Q557">
        <f t="shared" si="130"/>
        <v>220</v>
      </c>
      <c r="R557">
        <f t="shared" si="131"/>
        <v>49.650349650349654</v>
      </c>
      <c r="S557" s="1">
        <f t="shared" si="132"/>
        <v>50.24975024975025</v>
      </c>
      <c r="T557" s="1">
        <f t="shared" si="133"/>
        <v>207</v>
      </c>
      <c r="U557" s="1">
        <f t="shared" si="134"/>
        <v>238</v>
      </c>
      <c r="V557" s="1">
        <f t="shared" si="135"/>
        <v>47.5</v>
      </c>
      <c r="W557" s="1">
        <f t="shared" si="136"/>
        <v>52.5</v>
      </c>
      <c r="X557" s="1">
        <f t="shared" si="137"/>
        <v>15.202247191011235</v>
      </c>
      <c r="Y557" s="1">
        <f t="shared" si="138"/>
        <v>73</v>
      </c>
      <c r="Z557" s="1">
        <f t="shared" si="139"/>
        <v>75</v>
      </c>
      <c r="AA557" s="1">
        <f t="shared" si="140"/>
        <v>3.6657534246575354</v>
      </c>
      <c r="AB557" s="1">
        <f t="shared" si="141"/>
        <v>3.4386666666666663</v>
      </c>
      <c r="AC557" s="1">
        <f t="shared" si="142"/>
        <v>0</v>
      </c>
      <c r="AD557" s="1">
        <f t="shared" si="143"/>
        <v>5.8838250040900231E-3</v>
      </c>
    </row>
    <row r="558" spans="1:30" x14ac:dyDescent="0.35">
      <c r="A558" t="s">
        <v>1144</v>
      </c>
      <c r="B558" t="s">
        <v>23</v>
      </c>
      <c r="C558" t="s">
        <v>56</v>
      </c>
      <c r="D558" t="s">
        <v>17</v>
      </c>
      <c r="E558">
        <v>42</v>
      </c>
      <c r="F558" t="s">
        <v>18</v>
      </c>
      <c r="G558" t="s">
        <v>71</v>
      </c>
      <c r="H558" t="s">
        <v>1145</v>
      </c>
      <c r="I558">
        <v>9</v>
      </c>
      <c r="J558">
        <v>12</v>
      </c>
      <c r="K558">
        <v>108284</v>
      </c>
      <c r="L558">
        <v>4.8</v>
      </c>
      <c r="M558" t="s">
        <v>43</v>
      </c>
      <c r="N558">
        <v>100</v>
      </c>
      <c r="O558">
        <f t="shared" si="128"/>
        <v>444</v>
      </c>
      <c r="P558">
        <f t="shared" si="129"/>
        <v>225</v>
      </c>
      <c r="Q558">
        <f t="shared" si="130"/>
        <v>219</v>
      </c>
      <c r="R558">
        <f t="shared" si="131"/>
        <v>49.650349650349654</v>
      </c>
      <c r="S558" s="1">
        <f t="shared" si="132"/>
        <v>50.24975024975025</v>
      </c>
      <c r="T558" s="1">
        <f t="shared" si="133"/>
        <v>207</v>
      </c>
      <c r="U558" s="1">
        <f t="shared" si="134"/>
        <v>237</v>
      </c>
      <c r="V558" s="1">
        <f t="shared" si="135"/>
        <v>47.5</v>
      </c>
      <c r="W558" s="1">
        <f t="shared" si="136"/>
        <v>52.5</v>
      </c>
      <c r="X558" s="1">
        <f t="shared" si="137"/>
        <v>15.195945945945946</v>
      </c>
      <c r="Y558" s="1">
        <f t="shared" si="138"/>
        <v>73</v>
      </c>
      <c r="Z558" s="1">
        <f t="shared" si="139"/>
        <v>75</v>
      </c>
      <c r="AA558" s="1">
        <f t="shared" si="140"/>
        <v>3.6657534246575354</v>
      </c>
      <c r="AB558" s="1">
        <f t="shared" si="141"/>
        <v>3.4386666666666663</v>
      </c>
      <c r="AC558" s="1">
        <f t="shared" si="142"/>
        <v>0</v>
      </c>
      <c r="AD558" s="1">
        <f t="shared" si="143"/>
        <v>6.7317816513244857E-3</v>
      </c>
    </row>
    <row r="559" spans="1:30" x14ac:dyDescent="0.35">
      <c r="A559" t="s">
        <v>1146</v>
      </c>
      <c r="B559" t="s">
        <v>69</v>
      </c>
      <c r="C559" t="s">
        <v>49</v>
      </c>
      <c r="D559" t="s">
        <v>25</v>
      </c>
      <c r="E559">
        <v>56</v>
      </c>
      <c r="F559" t="s">
        <v>37</v>
      </c>
      <c r="G559" t="s">
        <v>32</v>
      </c>
      <c r="H559" t="s">
        <v>1147</v>
      </c>
      <c r="I559">
        <v>17</v>
      </c>
      <c r="J559">
        <v>22</v>
      </c>
      <c r="K559">
        <v>111998</v>
      </c>
      <c r="L559">
        <v>3.2</v>
      </c>
      <c r="M559" t="s">
        <v>43</v>
      </c>
      <c r="N559">
        <v>98</v>
      </c>
      <c r="O559">
        <f t="shared" si="128"/>
        <v>443</v>
      </c>
      <c r="P559">
        <f t="shared" si="129"/>
        <v>224</v>
      </c>
      <c r="Q559">
        <f t="shared" si="130"/>
        <v>219</v>
      </c>
      <c r="R559">
        <f t="shared" si="131"/>
        <v>49.650349650349654</v>
      </c>
      <c r="S559" s="1">
        <f t="shared" si="132"/>
        <v>50.24975024975025</v>
      </c>
      <c r="T559" s="1">
        <f t="shared" si="133"/>
        <v>207</v>
      </c>
      <c r="U559" s="1">
        <f t="shared" si="134"/>
        <v>236</v>
      </c>
      <c r="V559" s="1">
        <f t="shared" si="135"/>
        <v>47.5</v>
      </c>
      <c r="W559" s="1">
        <f t="shared" si="136"/>
        <v>52.5</v>
      </c>
      <c r="X559" s="1">
        <f t="shared" si="137"/>
        <v>15.20316027088036</v>
      </c>
      <c r="Y559" s="1">
        <f t="shared" si="138"/>
        <v>73</v>
      </c>
      <c r="Z559" s="1">
        <f t="shared" si="139"/>
        <v>75</v>
      </c>
      <c r="AA559" s="1">
        <f t="shared" si="140"/>
        <v>3.6657534246575354</v>
      </c>
      <c r="AB559" s="1">
        <f t="shared" si="141"/>
        <v>3.4386666666666663</v>
      </c>
      <c r="AC559" s="1">
        <f t="shared" si="142"/>
        <v>0</v>
      </c>
      <c r="AD559" s="1">
        <f t="shared" si="143"/>
        <v>5.7758288014295679E-3</v>
      </c>
    </row>
    <row r="560" spans="1:30" x14ac:dyDescent="0.35">
      <c r="A560" t="s">
        <v>1148</v>
      </c>
      <c r="B560" t="s">
        <v>69</v>
      </c>
      <c r="C560" t="s">
        <v>93</v>
      </c>
      <c r="D560" t="s">
        <v>25</v>
      </c>
      <c r="E560">
        <v>44</v>
      </c>
      <c r="F560" t="s">
        <v>31</v>
      </c>
      <c r="G560" t="s">
        <v>26</v>
      </c>
      <c r="H560" t="s">
        <v>1149</v>
      </c>
      <c r="I560">
        <v>18</v>
      </c>
      <c r="J560">
        <v>24</v>
      </c>
      <c r="K560">
        <v>297476</v>
      </c>
      <c r="L560">
        <v>2.7</v>
      </c>
      <c r="M560" t="s">
        <v>43</v>
      </c>
      <c r="N560">
        <v>77</v>
      </c>
      <c r="O560">
        <f t="shared" si="128"/>
        <v>442</v>
      </c>
      <c r="P560">
        <f t="shared" si="129"/>
        <v>224</v>
      </c>
      <c r="Q560">
        <f t="shared" si="130"/>
        <v>218</v>
      </c>
      <c r="R560">
        <f t="shared" si="131"/>
        <v>49.650349650349654</v>
      </c>
      <c r="S560" s="1">
        <f t="shared" si="132"/>
        <v>50.24975024975025</v>
      </c>
      <c r="T560" s="1">
        <f t="shared" si="133"/>
        <v>207</v>
      </c>
      <c r="U560" s="1">
        <f t="shared" si="134"/>
        <v>235</v>
      </c>
      <c r="V560" s="1">
        <f t="shared" si="135"/>
        <v>47.5</v>
      </c>
      <c r="W560" s="1">
        <f t="shared" si="136"/>
        <v>52.5</v>
      </c>
      <c r="X560" s="1">
        <f t="shared" si="137"/>
        <v>15.187782805429864</v>
      </c>
      <c r="Y560" s="1">
        <f t="shared" si="138"/>
        <v>73</v>
      </c>
      <c r="Z560" s="1">
        <f t="shared" si="139"/>
        <v>75</v>
      </c>
      <c r="AA560" s="1">
        <f t="shared" si="140"/>
        <v>3.6657534246575354</v>
      </c>
      <c r="AB560" s="1">
        <f t="shared" si="141"/>
        <v>3.4386666666666663</v>
      </c>
      <c r="AC560" s="1">
        <f t="shared" si="142"/>
        <v>0</v>
      </c>
      <c r="AD560" s="1">
        <f t="shared" si="143"/>
        <v>7.847142221996747E-3</v>
      </c>
    </row>
    <row r="561" spans="1:30" x14ac:dyDescent="0.35">
      <c r="A561" t="s">
        <v>1150</v>
      </c>
      <c r="B561" t="s">
        <v>111</v>
      </c>
      <c r="C561" t="s">
        <v>82</v>
      </c>
      <c r="D561" t="s">
        <v>17</v>
      </c>
      <c r="E561">
        <v>27</v>
      </c>
      <c r="F561" t="s">
        <v>74</v>
      </c>
      <c r="G561" t="s">
        <v>75</v>
      </c>
      <c r="H561" t="s">
        <v>1151</v>
      </c>
      <c r="I561">
        <v>6</v>
      </c>
      <c r="J561">
        <v>9</v>
      </c>
      <c r="K561">
        <v>277350</v>
      </c>
      <c r="L561">
        <v>4.3</v>
      </c>
      <c r="M561" t="s">
        <v>43</v>
      </c>
      <c r="N561">
        <v>98</v>
      </c>
      <c r="O561">
        <f t="shared" si="128"/>
        <v>441</v>
      </c>
      <c r="P561">
        <f t="shared" si="129"/>
        <v>224</v>
      </c>
      <c r="Q561">
        <f t="shared" si="130"/>
        <v>217</v>
      </c>
      <c r="R561">
        <f t="shared" si="131"/>
        <v>49.650349650349654</v>
      </c>
      <c r="S561" s="1">
        <f t="shared" si="132"/>
        <v>50.24975024975025</v>
      </c>
      <c r="T561" s="1">
        <f t="shared" si="133"/>
        <v>207</v>
      </c>
      <c r="U561" s="1">
        <f t="shared" si="134"/>
        <v>234</v>
      </c>
      <c r="V561" s="1">
        <f t="shared" si="135"/>
        <v>47.5</v>
      </c>
      <c r="W561" s="1">
        <f t="shared" si="136"/>
        <v>52.5</v>
      </c>
      <c r="X561" s="1">
        <f t="shared" si="137"/>
        <v>15.167800453514738</v>
      </c>
      <c r="Y561" s="1">
        <f t="shared" si="138"/>
        <v>73</v>
      </c>
      <c r="Z561" s="1">
        <f t="shared" si="139"/>
        <v>74</v>
      </c>
      <c r="AA561" s="1">
        <f t="shared" si="140"/>
        <v>3.6657534246575354</v>
      </c>
      <c r="AB561" s="1">
        <f t="shared" si="141"/>
        <v>3.4486486486486481</v>
      </c>
      <c r="AC561" s="1">
        <f t="shared" si="142"/>
        <v>0</v>
      </c>
      <c r="AD561" s="1">
        <f t="shared" si="143"/>
        <v>1.0552718753558713E-2</v>
      </c>
    </row>
    <row r="562" spans="1:30" x14ac:dyDescent="0.35">
      <c r="A562" t="s">
        <v>1152</v>
      </c>
      <c r="B562" t="s">
        <v>55</v>
      </c>
      <c r="C562" t="s">
        <v>16</v>
      </c>
      <c r="D562" t="s">
        <v>25</v>
      </c>
      <c r="E562">
        <v>35</v>
      </c>
      <c r="F562" t="s">
        <v>79</v>
      </c>
      <c r="G562" t="s">
        <v>85</v>
      </c>
      <c r="H562" t="s">
        <v>395</v>
      </c>
      <c r="I562">
        <v>11</v>
      </c>
      <c r="J562">
        <v>20</v>
      </c>
      <c r="K562">
        <v>488045</v>
      </c>
      <c r="L562">
        <v>3.7</v>
      </c>
      <c r="M562" t="s">
        <v>43</v>
      </c>
      <c r="N562">
        <v>96</v>
      </c>
      <c r="O562">
        <f t="shared" si="128"/>
        <v>440</v>
      </c>
      <c r="P562">
        <f t="shared" si="129"/>
        <v>223</v>
      </c>
      <c r="Q562">
        <f t="shared" si="130"/>
        <v>217</v>
      </c>
      <c r="R562">
        <f t="shared" si="131"/>
        <v>49.650349650349654</v>
      </c>
      <c r="S562" s="1">
        <f t="shared" si="132"/>
        <v>50.24975024975025</v>
      </c>
      <c r="T562" s="1">
        <f t="shared" si="133"/>
        <v>207</v>
      </c>
      <c r="U562" s="1">
        <f t="shared" si="134"/>
        <v>233</v>
      </c>
      <c r="V562" s="1">
        <f t="shared" si="135"/>
        <v>47.5</v>
      </c>
      <c r="W562" s="1">
        <f t="shared" si="136"/>
        <v>52.5</v>
      </c>
      <c r="X562" s="1">
        <f t="shared" si="137"/>
        <v>15.181818181818182</v>
      </c>
      <c r="Y562" s="1">
        <f t="shared" si="138"/>
        <v>72</v>
      </c>
      <c r="Z562" s="1">
        <f t="shared" si="139"/>
        <v>74</v>
      </c>
      <c r="AA562" s="1">
        <f t="shared" si="140"/>
        <v>3.6569444444444454</v>
      </c>
      <c r="AB562" s="1">
        <f t="shared" si="141"/>
        <v>3.4486486486486481</v>
      </c>
      <c r="AC562" s="1">
        <f t="shared" si="142"/>
        <v>0</v>
      </c>
      <c r="AD562" s="1">
        <f t="shared" si="143"/>
        <v>8.6865416119325609E-3</v>
      </c>
    </row>
    <row r="563" spans="1:30" x14ac:dyDescent="0.35">
      <c r="A563" t="s">
        <v>1153</v>
      </c>
      <c r="B563" t="s">
        <v>29</v>
      </c>
      <c r="C563" t="s">
        <v>16</v>
      </c>
      <c r="D563" t="s">
        <v>25</v>
      </c>
      <c r="E563">
        <v>41</v>
      </c>
      <c r="F563" t="s">
        <v>74</v>
      </c>
      <c r="G563" t="s">
        <v>26</v>
      </c>
      <c r="H563" t="s">
        <v>1154</v>
      </c>
      <c r="I563">
        <v>20</v>
      </c>
      <c r="J563">
        <v>24</v>
      </c>
      <c r="K563">
        <v>308582</v>
      </c>
      <c r="L563">
        <v>4.9000000000000004</v>
      </c>
      <c r="M563" t="s">
        <v>43</v>
      </c>
      <c r="N563">
        <v>92</v>
      </c>
      <c r="O563">
        <f t="shared" si="128"/>
        <v>439</v>
      </c>
      <c r="P563">
        <f t="shared" si="129"/>
        <v>223</v>
      </c>
      <c r="Q563">
        <f t="shared" si="130"/>
        <v>216</v>
      </c>
      <c r="R563">
        <f t="shared" si="131"/>
        <v>49.650349650349654</v>
      </c>
      <c r="S563" s="1">
        <f t="shared" si="132"/>
        <v>50.24975024975025</v>
      </c>
      <c r="T563" s="1">
        <f t="shared" si="133"/>
        <v>207</v>
      </c>
      <c r="U563" s="1">
        <f t="shared" si="134"/>
        <v>232</v>
      </c>
      <c r="V563" s="1">
        <f t="shared" si="135"/>
        <v>47.5</v>
      </c>
      <c r="W563" s="1">
        <f t="shared" si="136"/>
        <v>52.5</v>
      </c>
      <c r="X563" s="1">
        <f t="shared" si="137"/>
        <v>15.170842824601367</v>
      </c>
      <c r="Y563" s="1">
        <f t="shared" si="138"/>
        <v>72</v>
      </c>
      <c r="Z563" s="1">
        <f t="shared" si="139"/>
        <v>74</v>
      </c>
      <c r="AA563" s="1">
        <f t="shared" si="140"/>
        <v>3.6569444444444454</v>
      </c>
      <c r="AB563" s="1">
        <f t="shared" si="141"/>
        <v>3.4486486486486481</v>
      </c>
      <c r="AC563" s="1">
        <f t="shared" si="142"/>
        <v>0</v>
      </c>
      <c r="AD563" s="1">
        <f t="shared" si="143"/>
        <v>1.0179091811167034E-2</v>
      </c>
    </row>
    <row r="564" spans="1:30" x14ac:dyDescent="0.35">
      <c r="A564" t="s">
        <v>1155</v>
      </c>
      <c r="B564" t="s">
        <v>69</v>
      </c>
      <c r="C564" t="s">
        <v>82</v>
      </c>
      <c r="D564" t="s">
        <v>17</v>
      </c>
      <c r="E564">
        <v>53</v>
      </c>
      <c r="F564" t="s">
        <v>70</v>
      </c>
      <c r="G564" t="s">
        <v>19</v>
      </c>
      <c r="H564" t="s">
        <v>1156</v>
      </c>
      <c r="I564">
        <v>9</v>
      </c>
      <c r="J564">
        <v>18</v>
      </c>
      <c r="K564">
        <v>398445</v>
      </c>
      <c r="L564">
        <v>2.1</v>
      </c>
      <c r="M564" t="s">
        <v>21</v>
      </c>
      <c r="N564">
        <v>66</v>
      </c>
      <c r="O564">
        <f t="shared" si="128"/>
        <v>438</v>
      </c>
      <c r="P564">
        <f t="shared" si="129"/>
        <v>223</v>
      </c>
      <c r="Q564">
        <f t="shared" si="130"/>
        <v>215</v>
      </c>
      <c r="R564">
        <f t="shared" si="131"/>
        <v>49.650349650349654</v>
      </c>
      <c r="S564" s="1">
        <f t="shared" si="132"/>
        <v>50.24975024975025</v>
      </c>
      <c r="T564" s="1">
        <f t="shared" si="133"/>
        <v>207</v>
      </c>
      <c r="U564" s="1">
        <f t="shared" si="134"/>
        <v>231</v>
      </c>
      <c r="V564" s="1">
        <f t="shared" si="135"/>
        <v>47.5</v>
      </c>
      <c r="W564" s="1">
        <f t="shared" si="136"/>
        <v>52.5</v>
      </c>
      <c r="X564" s="1">
        <f t="shared" si="137"/>
        <v>15.150684931506849</v>
      </c>
      <c r="Y564" s="1">
        <f t="shared" si="138"/>
        <v>71</v>
      </c>
      <c r="Z564" s="1">
        <f t="shared" si="139"/>
        <v>74</v>
      </c>
      <c r="AA564" s="1">
        <f t="shared" si="140"/>
        <v>3.6394366197183112</v>
      </c>
      <c r="AB564" s="1">
        <f t="shared" si="141"/>
        <v>3.4486486486486481</v>
      </c>
      <c r="AC564" s="1">
        <f t="shared" si="142"/>
        <v>1</v>
      </c>
      <c r="AD564" s="1">
        <f t="shared" si="143"/>
        <v>1.2932204511926268E-2</v>
      </c>
    </row>
    <row r="565" spans="1:30" x14ac:dyDescent="0.35">
      <c r="A565" t="s">
        <v>1157</v>
      </c>
      <c r="B565" t="s">
        <v>29</v>
      </c>
      <c r="C565" t="s">
        <v>24</v>
      </c>
      <c r="D565" t="s">
        <v>25</v>
      </c>
      <c r="E565">
        <v>22</v>
      </c>
      <c r="F565" t="s">
        <v>37</v>
      </c>
      <c r="G565" t="s">
        <v>32</v>
      </c>
      <c r="H565" t="s">
        <v>645</v>
      </c>
      <c r="I565">
        <v>15</v>
      </c>
      <c r="J565">
        <v>18</v>
      </c>
      <c r="K565">
        <v>413785</v>
      </c>
      <c r="L565">
        <v>4</v>
      </c>
      <c r="M565" t="s">
        <v>21</v>
      </c>
      <c r="N565">
        <v>53</v>
      </c>
      <c r="O565">
        <f t="shared" si="128"/>
        <v>437</v>
      </c>
      <c r="P565">
        <f t="shared" si="129"/>
        <v>222</v>
      </c>
      <c r="Q565">
        <f t="shared" si="130"/>
        <v>215</v>
      </c>
      <c r="R565">
        <f t="shared" si="131"/>
        <v>49.650349650349654</v>
      </c>
      <c r="S565" s="1">
        <f t="shared" si="132"/>
        <v>50.24975024975025</v>
      </c>
      <c r="T565" s="1">
        <f t="shared" si="133"/>
        <v>206</v>
      </c>
      <c r="U565" s="1">
        <f t="shared" si="134"/>
        <v>231</v>
      </c>
      <c r="V565" s="1">
        <f t="shared" si="135"/>
        <v>47.5</v>
      </c>
      <c r="W565" s="1">
        <f t="shared" si="136"/>
        <v>52.5</v>
      </c>
      <c r="X565" s="1">
        <f t="shared" si="137"/>
        <v>15.144164759725401</v>
      </c>
      <c r="Y565" s="1">
        <f t="shared" si="138"/>
        <v>71</v>
      </c>
      <c r="Z565" s="1">
        <f t="shared" si="139"/>
        <v>74</v>
      </c>
      <c r="AA565" s="1">
        <f t="shared" si="140"/>
        <v>3.6394366197183112</v>
      </c>
      <c r="AB565" s="1">
        <f t="shared" si="141"/>
        <v>3.4486486486486481</v>
      </c>
      <c r="AC565" s="1">
        <f t="shared" si="142"/>
        <v>1</v>
      </c>
      <c r="AD565" s="1">
        <f t="shared" si="143"/>
        <v>1.1966428708276099E-2</v>
      </c>
    </row>
    <row r="566" spans="1:30" x14ac:dyDescent="0.35">
      <c r="A566" t="s">
        <v>1158</v>
      </c>
      <c r="B566" t="s">
        <v>15</v>
      </c>
      <c r="C566" t="s">
        <v>52</v>
      </c>
      <c r="D566" t="s">
        <v>17</v>
      </c>
      <c r="E566">
        <v>45</v>
      </c>
      <c r="F566" t="s">
        <v>46</v>
      </c>
      <c r="G566" t="s">
        <v>19</v>
      </c>
      <c r="H566" t="s">
        <v>97</v>
      </c>
      <c r="I566">
        <v>17</v>
      </c>
      <c r="J566">
        <v>24</v>
      </c>
      <c r="K566">
        <v>363811</v>
      </c>
      <c r="L566">
        <v>2.2000000000000002</v>
      </c>
      <c r="M566" t="s">
        <v>21</v>
      </c>
      <c r="N566">
        <v>70</v>
      </c>
      <c r="O566">
        <f t="shared" si="128"/>
        <v>436</v>
      </c>
      <c r="P566">
        <f t="shared" si="129"/>
        <v>222</v>
      </c>
      <c r="Q566">
        <f t="shared" si="130"/>
        <v>214</v>
      </c>
      <c r="R566">
        <f t="shared" si="131"/>
        <v>49.650349650349654</v>
      </c>
      <c r="S566" s="1">
        <f t="shared" si="132"/>
        <v>50.24975024975025</v>
      </c>
      <c r="T566" s="1">
        <f t="shared" si="133"/>
        <v>205</v>
      </c>
      <c r="U566" s="1">
        <f t="shared" si="134"/>
        <v>231</v>
      </c>
      <c r="V566" s="1">
        <f t="shared" si="135"/>
        <v>47.5</v>
      </c>
      <c r="W566" s="1">
        <f t="shared" si="136"/>
        <v>52.5</v>
      </c>
      <c r="X566" s="1">
        <f t="shared" si="137"/>
        <v>15.137614678899082</v>
      </c>
      <c r="Y566" s="1">
        <f t="shared" si="138"/>
        <v>71</v>
      </c>
      <c r="Z566" s="1">
        <f t="shared" si="139"/>
        <v>74</v>
      </c>
      <c r="AA566" s="1">
        <f t="shared" si="140"/>
        <v>3.6394366197183112</v>
      </c>
      <c r="AB566" s="1">
        <f t="shared" si="141"/>
        <v>3.4486486486486481</v>
      </c>
      <c r="AC566" s="1">
        <f t="shared" si="142"/>
        <v>1</v>
      </c>
      <c r="AD566" s="1">
        <f t="shared" si="143"/>
        <v>1.0993374912528248E-2</v>
      </c>
    </row>
    <row r="567" spans="1:30" x14ac:dyDescent="0.35">
      <c r="A567" t="s">
        <v>1159</v>
      </c>
      <c r="B567" t="s">
        <v>29</v>
      </c>
      <c r="C567" t="s">
        <v>30</v>
      </c>
      <c r="D567" t="s">
        <v>25</v>
      </c>
      <c r="E567">
        <v>56</v>
      </c>
      <c r="F567" t="s">
        <v>70</v>
      </c>
      <c r="G567" t="s">
        <v>41</v>
      </c>
      <c r="H567" t="s">
        <v>1160</v>
      </c>
      <c r="I567">
        <v>12</v>
      </c>
      <c r="J567">
        <v>18</v>
      </c>
      <c r="K567">
        <v>261638</v>
      </c>
      <c r="L567">
        <v>4.2</v>
      </c>
      <c r="M567" t="s">
        <v>43</v>
      </c>
      <c r="N567">
        <v>74</v>
      </c>
      <c r="O567">
        <f t="shared" si="128"/>
        <v>435</v>
      </c>
      <c r="P567">
        <f t="shared" si="129"/>
        <v>221</v>
      </c>
      <c r="Q567">
        <f t="shared" si="130"/>
        <v>214</v>
      </c>
      <c r="R567">
        <f t="shared" si="131"/>
        <v>49.650349650349654</v>
      </c>
      <c r="S567" s="1">
        <f t="shared" si="132"/>
        <v>50.24975024975025</v>
      </c>
      <c r="T567" s="1">
        <f t="shared" si="133"/>
        <v>204</v>
      </c>
      <c r="U567" s="1">
        <f t="shared" si="134"/>
        <v>231</v>
      </c>
      <c r="V567" s="1">
        <f t="shared" si="135"/>
        <v>47.5</v>
      </c>
      <c r="W567" s="1">
        <f t="shared" si="136"/>
        <v>52.5</v>
      </c>
      <c r="X567" s="1">
        <f t="shared" si="137"/>
        <v>15.117241379310345</v>
      </c>
      <c r="Y567" s="1">
        <f t="shared" si="138"/>
        <v>71</v>
      </c>
      <c r="Z567" s="1">
        <f t="shared" si="139"/>
        <v>74</v>
      </c>
      <c r="AA567" s="1">
        <f t="shared" si="140"/>
        <v>3.6394366197183112</v>
      </c>
      <c r="AB567" s="1">
        <f t="shared" si="141"/>
        <v>3.4486486486486481</v>
      </c>
      <c r="AC567" s="1">
        <f t="shared" si="142"/>
        <v>0</v>
      </c>
      <c r="AD567" s="1">
        <f t="shared" si="143"/>
        <v>7.9365781864000461E-3</v>
      </c>
    </row>
    <row r="568" spans="1:30" x14ac:dyDescent="0.35">
      <c r="A568" t="s">
        <v>1161</v>
      </c>
      <c r="B568" t="s">
        <v>69</v>
      </c>
      <c r="C568" t="s">
        <v>82</v>
      </c>
      <c r="D568" t="s">
        <v>17</v>
      </c>
      <c r="E568">
        <v>30</v>
      </c>
      <c r="F568" t="s">
        <v>31</v>
      </c>
      <c r="G568" t="s">
        <v>19</v>
      </c>
      <c r="H568" t="s">
        <v>1162</v>
      </c>
      <c r="I568">
        <v>15</v>
      </c>
      <c r="J568">
        <v>16</v>
      </c>
      <c r="K568">
        <v>50197</v>
      </c>
      <c r="L568">
        <v>3.8</v>
      </c>
      <c r="M568" t="s">
        <v>43</v>
      </c>
      <c r="N568">
        <v>97</v>
      </c>
      <c r="O568">
        <f t="shared" si="128"/>
        <v>434</v>
      </c>
      <c r="P568">
        <f t="shared" si="129"/>
        <v>221</v>
      </c>
      <c r="Q568">
        <f t="shared" si="130"/>
        <v>213</v>
      </c>
      <c r="R568">
        <f t="shared" si="131"/>
        <v>49.650349650349654</v>
      </c>
      <c r="S568" s="1">
        <f t="shared" si="132"/>
        <v>50.24975024975025</v>
      </c>
      <c r="T568" s="1">
        <f t="shared" si="133"/>
        <v>204</v>
      </c>
      <c r="U568" s="1">
        <f t="shared" si="134"/>
        <v>230</v>
      </c>
      <c r="V568" s="1">
        <f t="shared" si="135"/>
        <v>47.5</v>
      </c>
      <c r="W568" s="1">
        <f t="shared" si="136"/>
        <v>52.5</v>
      </c>
      <c r="X568" s="1">
        <f t="shared" si="137"/>
        <v>15.110599078341014</v>
      </c>
      <c r="Y568" s="1">
        <f t="shared" si="138"/>
        <v>71</v>
      </c>
      <c r="Z568" s="1">
        <f t="shared" si="139"/>
        <v>74</v>
      </c>
      <c r="AA568" s="1">
        <f t="shared" si="140"/>
        <v>3.6394366197183112</v>
      </c>
      <c r="AB568" s="1">
        <f t="shared" si="141"/>
        <v>3.4486486486486481</v>
      </c>
      <c r="AC568" s="1">
        <f t="shared" si="142"/>
        <v>0</v>
      </c>
      <c r="AD568" s="1">
        <f t="shared" si="143"/>
        <v>8.837345800030847E-3</v>
      </c>
    </row>
    <row r="569" spans="1:30" x14ac:dyDescent="0.35">
      <c r="A569" t="s">
        <v>1163</v>
      </c>
      <c r="B569" t="s">
        <v>23</v>
      </c>
      <c r="C569" t="s">
        <v>49</v>
      </c>
      <c r="D569" t="s">
        <v>17</v>
      </c>
      <c r="E569">
        <v>42</v>
      </c>
      <c r="F569" t="s">
        <v>46</v>
      </c>
      <c r="G569" t="s">
        <v>71</v>
      </c>
      <c r="H569" t="s">
        <v>1164</v>
      </c>
      <c r="I569">
        <v>8</v>
      </c>
      <c r="J569">
        <v>10</v>
      </c>
      <c r="K569">
        <v>221813</v>
      </c>
      <c r="L569">
        <v>3.2</v>
      </c>
      <c r="M569" t="s">
        <v>21</v>
      </c>
      <c r="N569">
        <v>58</v>
      </c>
      <c r="O569">
        <f t="shared" si="128"/>
        <v>433</v>
      </c>
      <c r="P569">
        <f t="shared" si="129"/>
        <v>220</v>
      </c>
      <c r="Q569">
        <f t="shared" si="130"/>
        <v>213</v>
      </c>
      <c r="R569">
        <f t="shared" si="131"/>
        <v>49.650349650349654</v>
      </c>
      <c r="S569" s="1">
        <f t="shared" si="132"/>
        <v>50.24975024975025</v>
      </c>
      <c r="T569" s="1">
        <f t="shared" si="133"/>
        <v>204</v>
      </c>
      <c r="U569" s="1">
        <f t="shared" si="134"/>
        <v>229</v>
      </c>
      <c r="V569" s="1">
        <f t="shared" si="135"/>
        <v>47.5</v>
      </c>
      <c r="W569" s="1">
        <f t="shared" si="136"/>
        <v>52.5</v>
      </c>
      <c r="X569" s="1">
        <f t="shared" si="137"/>
        <v>15.108545034642033</v>
      </c>
      <c r="Y569" s="1">
        <f t="shared" si="138"/>
        <v>71</v>
      </c>
      <c r="Z569" s="1">
        <f t="shared" si="139"/>
        <v>73</v>
      </c>
      <c r="AA569" s="1">
        <f t="shared" si="140"/>
        <v>3.6394366197183112</v>
      </c>
      <c r="AB569" s="1">
        <f t="shared" si="141"/>
        <v>3.4438356164383555</v>
      </c>
      <c r="AC569" s="1">
        <f t="shared" si="142"/>
        <v>1</v>
      </c>
      <c r="AD569" s="1">
        <f t="shared" si="143"/>
        <v>9.1224339559414346E-3</v>
      </c>
    </row>
    <row r="570" spans="1:30" x14ac:dyDescent="0.35">
      <c r="A570" t="s">
        <v>1165</v>
      </c>
      <c r="B570" t="s">
        <v>29</v>
      </c>
      <c r="C570" t="s">
        <v>24</v>
      </c>
      <c r="D570" t="s">
        <v>17</v>
      </c>
      <c r="E570">
        <v>48</v>
      </c>
      <c r="F570" t="s">
        <v>46</v>
      </c>
      <c r="G570" t="s">
        <v>88</v>
      </c>
      <c r="H570" t="s">
        <v>1166</v>
      </c>
      <c r="I570">
        <v>14</v>
      </c>
      <c r="J570">
        <v>15</v>
      </c>
      <c r="K570">
        <v>459960</v>
      </c>
      <c r="L570">
        <v>2.2000000000000002</v>
      </c>
      <c r="M570" t="s">
        <v>21</v>
      </c>
      <c r="N570">
        <v>42</v>
      </c>
      <c r="O570">
        <f t="shared" si="128"/>
        <v>432</v>
      </c>
      <c r="P570">
        <f t="shared" si="129"/>
        <v>219</v>
      </c>
      <c r="Q570">
        <f t="shared" si="130"/>
        <v>213</v>
      </c>
      <c r="R570">
        <f t="shared" si="131"/>
        <v>49.650349650349654</v>
      </c>
      <c r="S570" s="1">
        <f t="shared" si="132"/>
        <v>50.24975024975025</v>
      </c>
      <c r="T570" s="1">
        <f t="shared" si="133"/>
        <v>203</v>
      </c>
      <c r="U570" s="1">
        <f t="shared" si="134"/>
        <v>229</v>
      </c>
      <c r="V570" s="1">
        <f t="shared" si="135"/>
        <v>47.5</v>
      </c>
      <c r="W570" s="1">
        <f t="shared" si="136"/>
        <v>52.5</v>
      </c>
      <c r="X570" s="1">
        <f t="shared" si="137"/>
        <v>15.12037037037037</v>
      </c>
      <c r="Y570" s="1">
        <f t="shared" si="138"/>
        <v>71</v>
      </c>
      <c r="Z570" s="1">
        <f t="shared" si="139"/>
        <v>73</v>
      </c>
      <c r="AA570" s="1">
        <f t="shared" si="140"/>
        <v>3.6394366197183112</v>
      </c>
      <c r="AB570" s="1">
        <f t="shared" si="141"/>
        <v>3.4438356164383555</v>
      </c>
      <c r="AC570" s="1">
        <f t="shared" si="142"/>
        <v>1</v>
      </c>
      <c r="AD570" s="1">
        <f t="shared" si="143"/>
        <v>1.0926088397376943E-2</v>
      </c>
    </row>
    <row r="571" spans="1:30" x14ac:dyDescent="0.35">
      <c r="A571" t="s">
        <v>1167</v>
      </c>
      <c r="B571" t="s">
        <v>29</v>
      </c>
      <c r="C571" t="s">
        <v>56</v>
      </c>
      <c r="D571" t="s">
        <v>25</v>
      </c>
      <c r="E571">
        <v>39</v>
      </c>
      <c r="F571" t="s">
        <v>18</v>
      </c>
      <c r="G571" t="s">
        <v>88</v>
      </c>
      <c r="H571" t="s">
        <v>974</v>
      </c>
      <c r="I571">
        <v>15</v>
      </c>
      <c r="J571">
        <v>25</v>
      </c>
      <c r="K571">
        <v>311872</v>
      </c>
      <c r="L571">
        <v>3.8</v>
      </c>
      <c r="M571" t="s">
        <v>21</v>
      </c>
      <c r="N571">
        <v>63</v>
      </c>
      <c r="O571">
        <f t="shared" si="128"/>
        <v>431</v>
      </c>
      <c r="P571">
        <f t="shared" si="129"/>
        <v>218</v>
      </c>
      <c r="Q571">
        <f t="shared" si="130"/>
        <v>213</v>
      </c>
      <c r="R571">
        <f t="shared" si="131"/>
        <v>49.650349650349654</v>
      </c>
      <c r="S571" s="1">
        <f t="shared" si="132"/>
        <v>50.24975024975025</v>
      </c>
      <c r="T571" s="1">
        <f t="shared" si="133"/>
        <v>202</v>
      </c>
      <c r="U571" s="1">
        <f t="shared" si="134"/>
        <v>229</v>
      </c>
      <c r="V571" s="1">
        <f t="shared" si="135"/>
        <v>47.5</v>
      </c>
      <c r="W571" s="1">
        <f t="shared" si="136"/>
        <v>52.5</v>
      </c>
      <c r="X571" s="1">
        <f t="shared" si="137"/>
        <v>15.120649651972158</v>
      </c>
      <c r="Y571" s="1">
        <f t="shared" si="138"/>
        <v>71</v>
      </c>
      <c r="Z571" s="1">
        <f t="shared" si="139"/>
        <v>73</v>
      </c>
      <c r="AA571" s="1">
        <f t="shared" si="140"/>
        <v>3.6394366197183112</v>
      </c>
      <c r="AB571" s="1">
        <f t="shared" si="141"/>
        <v>3.4438356164383555</v>
      </c>
      <c r="AC571" s="1">
        <f t="shared" si="142"/>
        <v>1</v>
      </c>
      <c r="AD571" s="1">
        <f t="shared" si="143"/>
        <v>1.0982659080853286E-2</v>
      </c>
    </row>
    <row r="572" spans="1:30" x14ac:dyDescent="0.35">
      <c r="A572" t="s">
        <v>1168</v>
      </c>
      <c r="B572" t="s">
        <v>40</v>
      </c>
      <c r="C572" t="s">
        <v>16</v>
      </c>
      <c r="D572" t="s">
        <v>17</v>
      </c>
      <c r="E572">
        <v>39</v>
      </c>
      <c r="F572" t="s">
        <v>31</v>
      </c>
      <c r="G572" t="s">
        <v>85</v>
      </c>
      <c r="H572" t="s">
        <v>134</v>
      </c>
      <c r="I572">
        <v>8</v>
      </c>
      <c r="J572">
        <v>15</v>
      </c>
      <c r="K572">
        <v>474971</v>
      </c>
      <c r="L572">
        <v>2.6</v>
      </c>
      <c r="M572" t="s">
        <v>43</v>
      </c>
      <c r="N572">
        <v>83</v>
      </c>
      <c r="O572">
        <f t="shared" si="128"/>
        <v>430</v>
      </c>
      <c r="P572">
        <f t="shared" si="129"/>
        <v>218</v>
      </c>
      <c r="Q572">
        <f t="shared" si="130"/>
        <v>212</v>
      </c>
      <c r="R572">
        <f t="shared" si="131"/>
        <v>49.650349650349654</v>
      </c>
      <c r="S572" s="1">
        <f t="shared" si="132"/>
        <v>50.24975024975025</v>
      </c>
      <c r="T572" s="1">
        <f t="shared" si="133"/>
        <v>201</v>
      </c>
      <c r="U572" s="1">
        <f t="shared" si="134"/>
        <v>229</v>
      </c>
      <c r="V572" s="1">
        <f t="shared" si="135"/>
        <v>47.5</v>
      </c>
      <c r="W572" s="1">
        <f t="shared" si="136"/>
        <v>52.5</v>
      </c>
      <c r="X572" s="1">
        <f t="shared" si="137"/>
        <v>15.097674418604651</v>
      </c>
      <c r="Y572" s="1">
        <f t="shared" si="138"/>
        <v>71</v>
      </c>
      <c r="Z572" s="1">
        <f t="shared" si="139"/>
        <v>73</v>
      </c>
      <c r="AA572" s="1">
        <f t="shared" si="140"/>
        <v>3.6394366197183112</v>
      </c>
      <c r="AB572" s="1">
        <f t="shared" si="141"/>
        <v>3.4438356164383555</v>
      </c>
      <c r="AC572" s="1">
        <f t="shared" si="142"/>
        <v>0</v>
      </c>
      <c r="AD572" s="1">
        <f t="shared" si="143"/>
        <v>7.5349467540206253E-3</v>
      </c>
    </row>
    <row r="573" spans="1:30" x14ac:dyDescent="0.35">
      <c r="A573" t="s">
        <v>1169</v>
      </c>
      <c r="B573" t="s">
        <v>96</v>
      </c>
      <c r="C573" t="s">
        <v>49</v>
      </c>
      <c r="D573" t="s">
        <v>25</v>
      </c>
      <c r="E573">
        <v>32</v>
      </c>
      <c r="F573" t="s">
        <v>46</v>
      </c>
      <c r="G573" t="s">
        <v>85</v>
      </c>
      <c r="H573" t="s">
        <v>1170</v>
      </c>
      <c r="I573">
        <v>12</v>
      </c>
      <c r="J573">
        <v>18</v>
      </c>
      <c r="K573">
        <v>175827</v>
      </c>
      <c r="L573">
        <v>2.8</v>
      </c>
      <c r="M573" t="s">
        <v>43</v>
      </c>
      <c r="N573">
        <v>86</v>
      </c>
      <c r="O573">
        <f t="shared" si="128"/>
        <v>429</v>
      </c>
      <c r="P573">
        <f t="shared" si="129"/>
        <v>217</v>
      </c>
      <c r="Q573">
        <f t="shared" si="130"/>
        <v>212</v>
      </c>
      <c r="R573">
        <f t="shared" si="131"/>
        <v>49.650349650349654</v>
      </c>
      <c r="S573" s="1">
        <f t="shared" si="132"/>
        <v>50.24975024975025</v>
      </c>
      <c r="T573" s="1">
        <f t="shared" si="133"/>
        <v>201</v>
      </c>
      <c r="U573" s="1">
        <f t="shared" si="134"/>
        <v>228</v>
      </c>
      <c r="V573" s="1">
        <f t="shared" si="135"/>
        <v>47.5</v>
      </c>
      <c r="W573" s="1">
        <f t="shared" si="136"/>
        <v>52.5</v>
      </c>
      <c r="X573" s="1">
        <f t="shared" si="137"/>
        <v>15.097902097902098</v>
      </c>
      <c r="Y573" s="1">
        <f t="shared" si="138"/>
        <v>71</v>
      </c>
      <c r="Z573" s="1">
        <f t="shared" si="139"/>
        <v>72</v>
      </c>
      <c r="AA573" s="1">
        <f t="shared" si="140"/>
        <v>3.6394366197183112</v>
      </c>
      <c r="AB573" s="1">
        <f t="shared" si="141"/>
        <v>3.4555555555555548</v>
      </c>
      <c r="AC573" s="1">
        <f t="shared" si="142"/>
        <v>0</v>
      </c>
      <c r="AD573" s="1">
        <f t="shared" si="143"/>
        <v>7.5123029065440015E-3</v>
      </c>
    </row>
    <row r="574" spans="1:30" x14ac:dyDescent="0.35">
      <c r="A574" t="s">
        <v>1171</v>
      </c>
      <c r="B574" t="s">
        <v>96</v>
      </c>
      <c r="C574" t="s">
        <v>49</v>
      </c>
      <c r="D574" t="s">
        <v>25</v>
      </c>
      <c r="E574">
        <v>25</v>
      </c>
      <c r="F574" t="s">
        <v>79</v>
      </c>
      <c r="G574" t="s">
        <v>85</v>
      </c>
      <c r="H574" t="s">
        <v>1172</v>
      </c>
      <c r="I574">
        <v>9</v>
      </c>
      <c r="J574">
        <v>11</v>
      </c>
      <c r="K574">
        <v>69426</v>
      </c>
      <c r="L574">
        <v>2</v>
      </c>
      <c r="M574" t="s">
        <v>21</v>
      </c>
      <c r="N574">
        <v>56</v>
      </c>
      <c r="O574">
        <f t="shared" si="128"/>
        <v>428</v>
      </c>
      <c r="P574">
        <f t="shared" si="129"/>
        <v>217</v>
      </c>
      <c r="Q574">
        <f t="shared" si="130"/>
        <v>211</v>
      </c>
      <c r="R574">
        <f t="shared" si="131"/>
        <v>49.650349650349654</v>
      </c>
      <c r="S574" s="1">
        <f t="shared" si="132"/>
        <v>50.24975024975025</v>
      </c>
      <c r="T574" s="1">
        <f t="shared" si="133"/>
        <v>201</v>
      </c>
      <c r="U574" s="1">
        <f t="shared" si="134"/>
        <v>227</v>
      </c>
      <c r="V574" s="1">
        <f t="shared" si="135"/>
        <v>47.5</v>
      </c>
      <c r="W574" s="1">
        <f t="shared" si="136"/>
        <v>52.5</v>
      </c>
      <c r="X574" s="1">
        <f t="shared" si="137"/>
        <v>15.091121495327103</v>
      </c>
      <c r="Y574" s="1">
        <f t="shared" si="138"/>
        <v>71</v>
      </c>
      <c r="Z574" s="1">
        <f t="shared" si="139"/>
        <v>72</v>
      </c>
      <c r="AA574" s="1">
        <f t="shared" si="140"/>
        <v>3.6394366197183112</v>
      </c>
      <c r="AB574" s="1">
        <f t="shared" si="141"/>
        <v>3.4555555555555548</v>
      </c>
      <c r="AC574" s="1">
        <f t="shared" si="142"/>
        <v>1</v>
      </c>
      <c r="AD574" s="1">
        <f t="shared" si="143"/>
        <v>8.4269869080287572E-3</v>
      </c>
    </row>
    <row r="575" spans="1:30" x14ac:dyDescent="0.35">
      <c r="A575" t="s">
        <v>1173</v>
      </c>
      <c r="B575" t="s">
        <v>29</v>
      </c>
      <c r="C575" t="s">
        <v>52</v>
      </c>
      <c r="D575" t="s">
        <v>25</v>
      </c>
      <c r="E575">
        <v>36</v>
      </c>
      <c r="F575" t="s">
        <v>18</v>
      </c>
      <c r="G575" t="s">
        <v>71</v>
      </c>
      <c r="H575" t="s">
        <v>1174</v>
      </c>
      <c r="I575">
        <v>9</v>
      </c>
      <c r="J575">
        <v>19</v>
      </c>
      <c r="K575">
        <v>57882</v>
      </c>
      <c r="L575">
        <v>2.8</v>
      </c>
      <c r="M575" t="s">
        <v>21</v>
      </c>
      <c r="N575">
        <v>53</v>
      </c>
      <c r="O575">
        <f t="shared" si="128"/>
        <v>427</v>
      </c>
      <c r="P575">
        <f t="shared" si="129"/>
        <v>217</v>
      </c>
      <c r="Q575">
        <f t="shared" si="130"/>
        <v>210</v>
      </c>
      <c r="R575">
        <f t="shared" si="131"/>
        <v>49.650349650349654</v>
      </c>
      <c r="S575" s="1">
        <f t="shared" si="132"/>
        <v>50.24975024975025</v>
      </c>
      <c r="T575" s="1">
        <f t="shared" si="133"/>
        <v>200</v>
      </c>
      <c r="U575" s="1">
        <f t="shared" si="134"/>
        <v>227</v>
      </c>
      <c r="V575" s="1">
        <f t="shared" si="135"/>
        <v>47.5</v>
      </c>
      <c r="W575" s="1">
        <f t="shared" si="136"/>
        <v>52.5</v>
      </c>
      <c r="X575" s="1">
        <f t="shared" si="137"/>
        <v>15.100702576112413</v>
      </c>
      <c r="Y575" s="1">
        <f t="shared" si="138"/>
        <v>71</v>
      </c>
      <c r="Z575" s="1">
        <f t="shared" si="139"/>
        <v>72</v>
      </c>
      <c r="AA575" s="1">
        <f t="shared" si="140"/>
        <v>3.6394366197183112</v>
      </c>
      <c r="AB575" s="1">
        <f t="shared" si="141"/>
        <v>3.4555555555555548</v>
      </c>
      <c r="AC575" s="1">
        <f t="shared" si="142"/>
        <v>1</v>
      </c>
      <c r="AD575" s="1">
        <f t="shared" si="143"/>
        <v>9.8888674435346612E-3</v>
      </c>
    </row>
    <row r="576" spans="1:30" x14ac:dyDescent="0.35">
      <c r="A576" t="s">
        <v>1175</v>
      </c>
      <c r="B576" t="s">
        <v>15</v>
      </c>
      <c r="C576" t="s">
        <v>30</v>
      </c>
      <c r="D576" t="s">
        <v>17</v>
      </c>
      <c r="E576">
        <v>31</v>
      </c>
      <c r="F576" t="s">
        <v>37</v>
      </c>
      <c r="G576" t="s">
        <v>88</v>
      </c>
      <c r="H576" t="s">
        <v>899</v>
      </c>
      <c r="I576">
        <v>12</v>
      </c>
      <c r="J576">
        <v>21</v>
      </c>
      <c r="K576">
        <v>221097</v>
      </c>
      <c r="L576">
        <v>2.2999999999999998</v>
      </c>
      <c r="M576" t="s">
        <v>21</v>
      </c>
      <c r="N576">
        <v>42</v>
      </c>
      <c r="O576">
        <f t="shared" si="128"/>
        <v>426</v>
      </c>
      <c r="P576">
        <f t="shared" si="129"/>
        <v>217</v>
      </c>
      <c r="Q576">
        <f t="shared" si="130"/>
        <v>209</v>
      </c>
      <c r="R576">
        <f t="shared" si="131"/>
        <v>49.650349650349654</v>
      </c>
      <c r="S576" s="1">
        <f t="shared" si="132"/>
        <v>50.24975024975025</v>
      </c>
      <c r="T576" s="1">
        <f t="shared" si="133"/>
        <v>199</v>
      </c>
      <c r="U576" s="1">
        <f t="shared" si="134"/>
        <v>227</v>
      </c>
      <c r="V576" s="1">
        <f t="shared" si="135"/>
        <v>47.5</v>
      </c>
      <c r="W576" s="1">
        <f t="shared" si="136"/>
        <v>52.5</v>
      </c>
      <c r="X576" s="1">
        <f t="shared" si="137"/>
        <v>15.091549295774648</v>
      </c>
      <c r="Y576" s="1">
        <f t="shared" si="138"/>
        <v>71</v>
      </c>
      <c r="Z576" s="1">
        <f t="shared" si="139"/>
        <v>72</v>
      </c>
      <c r="AA576" s="1">
        <f t="shared" si="140"/>
        <v>3.6394366197183112</v>
      </c>
      <c r="AB576" s="1">
        <f t="shared" si="141"/>
        <v>3.4555555555555548</v>
      </c>
      <c r="AC576" s="1">
        <f t="shared" si="142"/>
        <v>1</v>
      </c>
      <c r="AD576" s="1">
        <f t="shared" si="143"/>
        <v>8.5205239079194257E-3</v>
      </c>
    </row>
    <row r="577" spans="1:30" x14ac:dyDescent="0.35">
      <c r="A577" t="s">
        <v>1176</v>
      </c>
      <c r="B577" t="s">
        <v>111</v>
      </c>
      <c r="C577" t="s">
        <v>82</v>
      </c>
      <c r="D577" t="s">
        <v>17</v>
      </c>
      <c r="E577">
        <v>28</v>
      </c>
      <c r="F577" t="s">
        <v>74</v>
      </c>
      <c r="G577" t="s">
        <v>85</v>
      </c>
      <c r="H577" t="s">
        <v>1177</v>
      </c>
      <c r="I577">
        <v>15</v>
      </c>
      <c r="J577">
        <v>21</v>
      </c>
      <c r="K577">
        <v>492654</v>
      </c>
      <c r="L577">
        <v>4.0999999999999996</v>
      </c>
      <c r="M577" t="s">
        <v>21</v>
      </c>
      <c r="N577">
        <v>68</v>
      </c>
      <c r="O577">
        <f t="shared" si="128"/>
        <v>425</v>
      </c>
      <c r="P577">
        <f t="shared" si="129"/>
        <v>216</v>
      </c>
      <c r="Q577">
        <f t="shared" si="130"/>
        <v>209</v>
      </c>
      <c r="R577">
        <f t="shared" si="131"/>
        <v>49.650349650349654</v>
      </c>
      <c r="S577" s="1">
        <f t="shared" si="132"/>
        <v>50.24975024975025</v>
      </c>
      <c r="T577" s="1">
        <f t="shared" si="133"/>
        <v>198</v>
      </c>
      <c r="U577" s="1">
        <f t="shared" si="134"/>
        <v>227</v>
      </c>
      <c r="V577" s="1">
        <f t="shared" si="135"/>
        <v>47.5</v>
      </c>
      <c r="W577" s="1">
        <f t="shared" si="136"/>
        <v>52.5</v>
      </c>
      <c r="X577" s="1">
        <f t="shared" si="137"/>
        <v>15.07764705882353</v>
      </c>
      <c r="Y577" s="1">
        <f t="shared" si="138"/>
        <v>71</v>
      </c>
      <c r="Z577" s="1">
        <f t="shared" si="139"/>
        <v>72</v>
      </c>
      <c r="AA577" s="1">
        <f t="shared" si="140"/>
        <v>3.6394366197183112</v>
      </c>
      <c r="AB577" s="1">
        <f t="shared" si="141"/>
        <v>3.4555555555555548</v>
      </c>
      <c r="AC577" s="1">
        <f t="shared" si="142"/>
        <v>1</v>
      </c>
      <c r="AD577" s="1">
        <f t="shared" si="143"/>
        <v>6.4307336338287517E-3</v>
      </c>
    </row>
    <row r="578" spans="1:30" x14ac:dyDescent="0.35">
      <c r="A578" t="s">
        <v>1178</v>
      </c>
      <c r="B578" t="s">
        <v>111</v>
      </c>
      <c r="C578" t="s">
        <v>93</v>
      </c>
      <c r="D578" t="s">
        <v>25</v>
      </c>
      <c r="E578">
        <v>39</v>
      </c>
      <c r="F578" t="s">
        <v>37</v>
      </c>
      <c r="G578" t="s">
        <v>26</v>
      </c>
      <c r="H578" t="s">
        <v>1179</v>
      </c>
      <c r="I578">
        <v>15</v>
      </c>
      <c r="J578">
        <v>18</v>
      </c>
      <c r="K578">
        <v>51744</v>
      </c>
      <c r="L578">
        <v>3.9</v>
      </c>
      <c r="M578" t="s">
        <v>21</v>
      </c>
      <c r="N578">
        <v>32</v>
      </c>
      <c r="O578">
        <f t="shared" ref="O578:O641" si="144">COUNTA(A578:A1577)</f>
        <v>424</v>
      </c>
      <c r="P578">
        <f t="shared" ref="P578:P641" si="145">COUNTIF(D578:D1577,"Male")</f>
        <v>215</v>
      </c>
      <c r="Q578">
        <f t="shared" ref="Q578:Q641" si="146">COUNTIF(D578:D1577,"Female")</f>
        <v>209</v>
      </c>
      <c r="R578">
        <f t="shared" ref="R578:R641" si="147">497/1001*100</f>
        <v>49.650349650349654</v>
      </c>
      <c r="S578" s="1">
        <f t="shared" ref="S578:S641" si="148">503/1001*100</f>
        <v>50.24975024975025</v>
      </c>
      <c r="T578" s="1">
        <f t="shared" ref="T578:T641" si="149">COUNTIF(M578:M1577,"Yes")</f>
        <v>197</v>
      </c>
      <c r="U578" s="1">
        <f t="shared" ref="U578:U641" si="150">COUNTIF(M578:M1577,"No")</f>
        <v>227</v>
      </c>
      <c r="V578" s="1">
        <f t="shared" ref="V578:V641" si="151">475/1000*100</f>
        <v>47.5</v>
      </c>
      <c r="W578" s="1">
        <f t="shared" ref="W578:W641" si="152">525/1000*100</f>
        <v>52.5</v>
      </c>
      <c r="X578" s="1">
        <f t="shared" ref="X578:X641" si="153">AVERAGE(J578:J1577)</f>
        <v>15.063679245283019</v>
      </c>
      <c r="Y578" s="1">
        <f t="shared" ref="Y578:Y641" si="154">COUNTIF(F578:F1577,"Marketing")</f>
        <v>70</v>
      </c>
      <c r="Z578" s="1">
        <f t="shared" ref="Z578:Z641" si="155">COUNTIF(F578:F1577,"IT")</f>
        <v>72</v>
      </c>
      <c r="AA578" s="1">
        <f t="shared" ref="AA578:AA641" si="156">AVERAGEIF(F578:F1577,"Marketing",L578:L1577)</f>
        <v>3.6328571428571435</v>
      </c>
      <c r="AB578" s="1">
        <f t="shared" ref="AB578:AB641" si="157">AVERAGEIF(F578:F1577,"IT",L578:L1577)</f>
        <v>3.4555555555555548</v>
      </c>
      <c r="AC578" s="1">
        <f t="shared" ref="AC578:AC641" si="158">IF(M578="yes",1,0)</f>
        <v>1</v>
      </c>
      <c r="AD578" s="1">
        <f t="shared" ref="AD578:AD641" si="159">CORREL(J578:J1577,AC578:AC1577)</f>
        <v>4.3219276599754412E-3</v>
      </c>
    </row>
    <row r="579" spans="1:30" x14ac:dyDescent="0.35">
      <c r="A579" t="s">
        <v>1180</v>
      </c>
      <c r="B579" t="s">
        <v>45</v>
      </c>
      <c r="C579" t="s">
        <v>93</v>
      </c>
      <c r="D579" t="s">
        <v>25</v>
      </c>
      <c r="E579">
        <v>27</v>
      </c>
      <c r="F579" t="s">
        <v>70</v>
      </c>
      <c r="G579" t="s">
        <v>75</v>
      </c>
      <c r="H579" t="s">
        <v>1181</v>
      </c>
      <c r="I579">
        <v>0</v>
      </c>
      <c r="J579">
        <v>5</v>
      </c>
      <c r="K579">
        <v>423968</v>
      </c>
      <c r="L579">
        <v>2.4</v>
      </c>
      <c r="M579" t="s">
        <v>21</v>
      </c>
      <c r="N579">
        <v>46</v>
      </c>
      <c r="O579">
        <f t="shared" si="144"/>
        <v>423</v>
      </c>
      <c r="P579">
        <f t="shared" si="145"/>
        <v>215</v>
      </c>
      <c r="Q579">
        <f t="shared" si="146"/>
        <v>208</v>
      </c>
      <c r="R579">
        <f t="shared" si="147"/>
        <v>49.650349650349654</v>
      </c>
      <c r="S579" s="1">
        <f t="shared" si="148"/>
        <v>50.24975024975025</v>
      </c>
      <c r="T579" s="1">
        <f t="shared" si="149"/>
        <v>196</v>
      </c>
      <c r="U579" s="1">
        <f t="shared" si="150"/>
        <v>227</v>
      </c>
      <c r="V579" s="1">
        <f t="shared" si="151"/>
        <v>47.5</v>
      </c>
      <c r="W579" s="1">
        <f t="shared" si="152"/>
        <v>52.5</v>
      </c>
      <c r="X579" s="1">
        <f t="shared" si="153"/>
        <v>15.056737588652481</v>
      </c>
      <c r="Y579" s="1">
        <f t="shared" si="154"/>
        <v>70</v>
      </c>
      <c r="Z579" s="1">
        <f t="shared" si="155"/>
        <v>72</v>
      </c>
      <c r="AA579" s="1">
        <f t="shared" si="156"/>
        <v>3.6328571428571435</v>
      </c>
      <c r="AB579" s="1">
        <f t="shared" si="157"/>
        <v>3.4555555555555548</v>
      </c>
      <c r="AC579" s="1">
        <f t="shared" si="158"/>
        <v>1</v>
      </c>
      <c r="AD579" s="1">
        <f t="shared" si="159"/>
        <v>3.2720426427273607E-3</v>
      </c>
    </row>
    <row r="580" spans="1:30" x14ac:dyDescent="0.35">
      <c r="A580" t="s">
        <v>1182</v>
      </c>
      <c r="B580" t="s">
        <v>29</v>
      </c>
      <c r="C580" t="s">
        <v>49</v>
      </c>
      <c r="D580" t="s">
        <v>25</v>
      </c>
      <c r="E580">
        <v>55</v>
      </c>
      <c r="F580" t="s">
        <v>46</v>
      </c>
      <c r="G580" t="s">
        <v>61</v>
      </c>
      <c r="H580" t="s">
        <v>1183</v>
      </c>
      <c r="I580">
        <v>14</v>
      </c>
      <c r="J580">
        <v>17</v>
      </c>
      <c r="K580">
        <v>195989</v>
      </c>
      <c r="L580">
        <v>2.9</v>
      </c>
      <c r="M580" t="s">
        <v>21</v>
      </c>
      <c r="N580">
        <v>58</v>
      </c>
      <c r="O580">
        <f t="shared" si="144"/>
        <v>422</v>
      </c>
      <c r="P580">
        <f t="shared" si="145"/>
        <v>215</v>
      </c>
      <c r="Q580">
        <f t="shared" si="146"/>
        <v>207</v>
      </c>
      <c r="R580">
        <f t="shared" si="147"/>
        <v>49.650349650349654</v>
      </c>
      <c r="S580" s="1">
        <f t="shared" si="148"/>
        <v>50.24975024975025</v>
      </c>
      <c r="T580" s="1">
        <f t="shared" si="149"/>
        <v>195</v>
      </c>
      <c r="U580" s="1">
        <f t="shared" si="150"/>
        <v>227</v>
      </c>
      <c r="V580" s="1">
        <f t="shared" si="151"/>
        <v>47.5</v>
      </c>
      <c r="W580" s="1">
        <f t="shared" si="152"/>
        <v>52.5</v>
      </c>
      <c r="X580" s="1">
        <f t="shared" si="153"/>
        <v>15.080568720379146</v>
      </c>
      <c r="Y580" s="1">
        <f t="shared" si="154"/>
        <v>70</v>
      </c>
      <c r="Z580" s="1">
        <f t="shared" si="155"/>
        <v>72</v>
      </c>
      <c r="AA580" s="1">
        <f t="shared" si="156"/>
        <v>3.6328571428571435</v>
      </c>
      <c r="AB580" s="1">
        <f t="shared" si="157"/>
        <v>3.4555555555555548</v>
      </c>
      <c r="AC580" s="1">
        <f t="shared" si="158"/>
        <v>1</v>
      </c>
      <c r="AD580" s="1">
        <f t="shared" si="159"/>
        <v>6.9257606910100907E-3</v>
      </c>
    </row>
    <row r="581" spans="1:30" x14ac:dyDescent="0.35">
      <c r="A581" t="s">
        <v>1184</v>
      </c>
      <c r="B581" t="s">
        <v>23</v>
      </c>
      <c r="C581" t="s">
        <v>49</v>
      </c>
      <c r="D581" t="s">
        <v>17</v>
      </c>
      <c r="E581">
        <v>59</v>
      </c>
      <c r="F581" t="s">
        <v>79</v>
      </c>
      <c r="G581" t="s">
        <v>19</v>
      </c>
      <c r="H581" t="s">
        <v>1185</v>
      </c>
      <c r="I581">
        <v>14</v>
      </c>
      <c r="J581">
        <v>23</v>
      </c>
      <c r="K581">
        <v>88504</v>
      </c>
      <c r="L581">
        <v>4.5</v>
      </c>
      <c r="M581" t="s">
        <v>43</v>
      </c>
      <c r="N581">
        <v>86</v>
      </c>
      <c r="O581">
        <f t="shared" si="144"/>
        <v>421</v>
      </c>
      <c r="P581">
        <f t="shared" si="145"/>
        <v>215</v>
      </c>
      <c r="Q581">
        <f t="shared" si="146"/>
        <v>206</v>
      </c>
      <c r="R581">
        <f t="shared" si="147"/>
        <v>49.650349650349654</v>
      </c>
      <c r="S581" s="1">
        <f t="shared" si="148"/>
        <v>50.24975024975025</v>
      </c>
      <c r="T581" s="1">
        <f t="shared" si="149"/>
        <v>194</v>
      </c>
      <c r="U581" s="1">
        <f t="shared" si="150"/>
        <v>227</v>
      </c>
      <c r="V581" s="1">
        <f t="shared" si="151"/>
        <v>47.5</v>
      </c>
      <c r="W581" s="1">
        <f t="shared" si="152"/>
        <v>52.5</v>
      </c>
      <c r="X581" s="1">
        <f t="shared" si="153"/>
        <v>15.076009501187649</v>
      </c>
      <c r="Y581" s="1">
        <f t="shared" si="154"/>
        <v>70</v>
      </c>
      <c r="Z581" s="1">
        <f t="shared" si="155"/>
        <v>72</v>
      </c>
      <c r="AA581" s="1">
        <f t="shared" si="156"/>
        <v>3.6328571428571435</v>
      </c>
      <c r="AB581" s="1">
        <f t="shared" si="157"/>
        <v>3.4555555555555548</v>
      </c>
      <c r="AC581" s="1">
        <f t="shared" si="158"/>
        <v>0</v>
      </c>
      <c r="AD581" s="1">
        <f t="shared" si="159"/>
        <v>6.2383012544102966E-3</v>
      </c>
    </row>
    <row r="582" spans="1:30" x14ac:dyDescent="0.35">
      <c r="A582" t="s">
        <v>1186</v>
      </c>
      <c r="B582" t="s">
        <v>111</v>
      </c>
      <c r="C582" t="s">
        <v>93</v>
      </c>
      <c r="D582" t="s">
        <v>17</v>
      </c>
      <c r="E582">
        <v>37</v>
      </c>
      <c r="F582" t="s">
        <v>37</v>
      </c>
      <c r="G582" t="s">
        <v>41</v>
      </c>
      <c r="H582" t="s">
        <v>1187</v>
      </c>
      <c r="I582">
        <v>5</v>
      </c>
      <c r="J582">
        <v>6</v>
      </c>
      <c r="K582">
        <v>396359</v>
      </c>
      <c r="L582">
        <v>2.1</v>
      </c>
      <c r="M582" t="s">
        <v>43</v>
      </c>
      <c r="N582">
        <v>92</v>
      </c>
      <c r="O582">
        <f t="shared" si="144"/>
        <v>420</v>
      </c>
      <c r="P582">
        <f t="shared" si="145"/>
        <v>214</v>
      </c>
      <c r="Q582">
        <f t="shared" si="146"/>
        <v>206</v>
      </c>
      <c r="R582">
        <f t="shared" si="147"/>
        <v>49.650349650349654</v>
      </c>
      <c r="S582" s="1">
        <f t="shared" si="148"/>
        <v>50.24975024975025</v>
      </c>
      <c r="T582" s="1">
        <f t="shared" si="149"/>
        <v>194</v>
      </c>
      <c r="U582" s="1">
        <f t="shared" si="150"/>
        <v>226</v>
      </c>
      <c r="V582" s="1">
        <f t="shared" si="151"/>
        <v>47.5</v>
      </c>
      <c r="W582" s="1">
        <f t="shared" si="152"/>
        <v>52.5</v>
      </c>
      <c r="X582" s="1">
        <f t="shared" si="153"/>
        <v>15.057142857142857</v>
      </c>
      <c r="Y582" s="1">
        <f t="shared" si="154"/>
        <v>70</v>
      </c>
      <c r="Z582" s="1">
        <f t="shared" si="155"/>
        <v>72</v>
      </c>
      <c r="AA582" s="1">
        <f t="shared" si="156"/>
        <v>3.6328571428571435</v>
      </c>
      <c r="AB582" s="1">
        <f t="shared" si="157"/>
        <v>3.4555555555555548</v>
      </c>
      <c r="AC582" s="1">
        <f t="shared" si="158"/>
        <v>0</v>
      </c>
      <c r="AD582" s="1">
        <f t="shared" si="159"/>
        <v>8.7275593671658803E-3</v>
      </c>
    </row>
    <row r="583" spans="1:30" x14ac:dyDescent="0.35">
      <c r="A583" t="s">
        <v>1188</v>
      </c>
      <c r="B583" t="s">
        <v>78</v>
      </c>
      <c r="C583" t="s">
        <v>82</v>
      </c>
      <c r="D583" t="s">
        <v>25</v>
      </c>
      <c r="E583">
        <v>44</v>
      </c>
      <c r="F583" t="s">
        <v>74</v>
      </c>
      <c r="G583" t="s">
        <v>85</v>
      </c>
      <c r="H583" t="s">
        <v>1189</v>
      </c>
      <c r="I583">
        <v>8</v>
      </c>
      <c r="J583">
        <v>11</v>
      </c>
      <c r="K583">
        <v>489298</v>
      </c>
      <c r="L583">
        <v>2.9</v>
      </c>
      <c r="M583" t="s">
        <v>21</v>
      </c>
      <c r="N583">
        <v>40</v>
      </c>
      <c r="O583">
        <f t="shared" si="144"/>
        <v>419</v>
      </c>
      <c r="P583">
        <f t="shared" si="145"/>
        <v>213</v>
      </c>
      <c r="Q583">
        <f t="shared" si="146"/>
        <v>206</v>
      </c>
      <c r="R583">
        <f t="shared" si="147"/>
        <v>49.650349650349654</v>
      </c>
      <c r="S583" s="1">
        <f t="shared" si="148"/>
        <v>50.24975024975025</v>
      </c>
      <c r="T583" s="1">
        <f t="shared" si="149"/>
        <v>194</v>
      </c>
      <c r="U583" s="1">
        <f t="shared" si="150"/>
        <v>225</v>
      </c>
      <c r="V583" s="1">
        <f t="shared" si="151"/>
        <v>47.5</v>
      </c>
      <c r="W583" s="1">
        <f t="shared" si="152"/>
        <v>52.5</v>
      </c>
      <c r="X583" s="1">
        <f t="shared" si="153"/>
        <v>15.078758949880669</v>
      </c>
      <c r="Y583" s="1">
        <f t="shared" si="154"/>
        <v>70</v>
      </c>
      <c r="Z583" s="1">
        <f t="shared" si="155"/>
        <v>72</v>
      </c>
      <c r="AA583" s="1">
        <f t="shared" si="156"/>
        <v>3.6328571428571435</v>
      </c>
      <c r="AB583" s="1">
        <f t="shared" si="157"/>
        <v>3.4555555555555548</v>
      </c>
      <c r="AC583" s="1">
        <f t="shared" si="158"/>
        <v>1</v>
      </c>
      <c r="AD583" s="1">
        <f t="shared" si="159"/>
        <v>5.9111942558365202E-3</v>
      </c>
    </row>
    <row r="584" spans="1:30" x14ac:dyDescent="0.35">
      <c r="A584" t="s">
        <v>1190</v>
      </c>
      <c r="B584" t="s">
        <v>96</v>
      </c>
      <c r="C584" t="s">
        <v>56</v>
      </c>
      <c r="D584" t="s">
        <v>25</v>
      </c>
      <c r="E584">
        <v>56</v>
      </c>
      <c r="F584" t="s">
        <v>31</v>
      </c>
      <c r="G584" t="s">
        <v>19</v>
      </c>
      <c r="H584" t="s">
        <v>1191</v>
      </c>
      <c r="I584">
        <v>3</v>
      </c>
      <c r="J584">
        <v>8</v>
      </c>
      <c r="K584">
        <v>395432</v>
      </c>
      <c r="L584">
        <v>3.4</v>
      </c>
      <c r="M584" t="s">
        <v>43</v>
      </c>
      <c r="N584">
        <v>91</v>
      </c>
      <c r="O584">
        <f t="shared" si="144"/>
        <v>418</v>
      </c>
      <c r="P584">
        <f t="shared" si="145"/>
        <v>213</v>
      </c>
      <c r="Q584">
        <f t="shared" si="146"/>
        <v>205</v>
      </c>
      <c r="R584">
        <f t="shared" si="147"/>
        <v>49.650349650349654</v>
      </c>
      <c r="S584" s="1">
        <f t="shared" si="148"/>
        <v>50.24975024975025</v>
      </c>
      <c r="T584" s="1">
        <f t="shared" si="149"/>
        <v>193</v>
      </c>
      <c r="U584" s="1">
        <f t="shared" si="150"/>
        <v>225</v>
      </c>
      <c r="V584" s="1">
        <f t="shared" si="151"/>
        <v>47.5</v>
      </c>
      <c r="W584" s="1">
        <f t="shared" si="152"/>
        <v>52.5</v>
      </c>
      <c r="X584" s="1">
        <f t="shared" si="153"/>
        <v>15.088516746411484</v>
      </c>
      <c r="Y584" s="1">
        <f t="shared" si="154"/>
        <v>69</v>
      </c>
      <c r="Z584" s="1">
        <f t="shared" si="155"/>
        <v>72</v>
      </c>
      <c r="AA584" s="1">
        <f t="shared" si="156"/>
        <v>3.6434782608695655</v>
      </c>
      <c r="AB584" s="1">
        <f t="shared" si="157"/>
        <v>3.4555555555555548</v>
      </c>
      <c r="AC584" s="1">
        <f t="shared" si="158"/>
        <v>0</v>
      </c>
      <c r="AD584" s="1">
        <f t="shared" si="159"/>
        <v>7.4126182066435236E-3</v>
      </c>
    </row>
    <row r="585" spans="1:30" x14ac:dyDescent="0.35">
      <c r="A585" t="s">
        <v>1192</v>
      </c>
      <c r="B585" t="s">
        <v>35</v>
      </c>
      <c r="C585" t="s">
        <v>30</v>
      </c>
      <c r="D585" t="s">
        <v>17</v>
      </c>
      <c r="E585">
        <v>38</v>
      </c>
      <c r="F585" t="s">
        <v>18</v>
      </c>
      <c r="G585" t="s">
        <v>19</v>
      </c>
      <c r="H585" t="s">
        <v>1193</v>
      </c>
      <c r="I585">
        <v>19</v>
      </c>
      <c r="J585">
        <v>19</v>
      </c>
      <c r="K585">
        <v>53422</v>
      </c>
      <c r="L585">
        <v>4.3</v>
      </c>
      <c r="M585" t="s">
        <v>21</v>
      </c>
      <c r="N585">
        <v>54</v>
      </c>
      <c r="O585">
        <f t="shared" si="144"/>
        <v>417</v>
      </c>
      <c r="P585">
        <f t="shared" si="145"/>
        <v>213</v>
      </c>
      <c r="Q585">
        <f t="shared" si="146"/>
        <v>204</v>
      </c>
      <c r="R585">
        <f t="shared" si="147"/>
        <v>49.650349650349654</v>
      </c>
      <c r="S585" s="1">
        <f t="shared" si="148"/>
        <v>50.24975024975025</v>
      </c>
      <c r="T585" s="1">
        <f t="shared" si="149"/>
        <v>193</v>
      </c>
      <c r="U585" s="1">
        <f t="shared" si="150"/>
        <v>224</v>
      </c>
      <c r="V585" s="1">
        <f t="shared" si="151"/>
        <v>47.5</v>
      </c>
      <c r="W585" s="1">
        <f t="shared" si="152"/>
        <v>52.5</v>
      </c>
      <c r="X585" s="1">
        <f t="shared" si="153"/>
        <v>15.105515587529975</v>
      </c>
      <c r="Y585" s="1">
        <f t="shared" si="154"/>
        <v>69</v>
      </c>
      <c r="Z585" s="1">
        <f t="shared" si="155"/>
        <v>71</v>
      </c>
      <c r="AA585" s="1">
        <f t="shared" si="156"/>
        <v>3.6434782608695655</v>
      </c>
      <c r="AB585" s="1">
        <f t="shared" si="157"/>
        <v>3.4563380281690139</v>
      </c>
      <c r="AC585" s="1">
        <f t="shared" si="158"/>
        <v>1</v>
      </c>
      <c r="AD585" s="1">
        <f t="shared" si="159"/>
        <v>5.1964426320252038E-3</v>
      </c>
    </row>
    <row r="586" spans="1:30" x14ac:dyDescent="0.35">
      <c r="A586" t="s">
        <v>1194</v>
      </c>
      <c r="B586" t="s">
        <v>40</v>
      </c>
      <c r="C586" t="s">
        <v>56</v>
      </c>
      <c r="D586" t="s">
        <v>17</v>
      </c>
      <c r="E586">
        <v>33</v>
      </c>
      <c r="F586" t="s">
        <v>74</v>
      </c>
      <c r="G586" t="s">
        <v>32</v>
      </c>
      <c r="H586" t="s">
        <v>1195</v>
      </c>
      <c r="I586">
        <v>6</v>
      </c>
      <c r="J586">
        <v>7</v>
      </c>
      <c r="K586">
        <v>299489</v>
      </c>
      <c r="L586">
        <v>3.1</v>
      </c>
      <c r="M586" t="s">
        <v>21</v>
      </c>
      <c r="N586">
        <v>60</v>
      </c>
      <c r="O586">
        <f t="shared" si="144"/>
        <v>416</v>
      </c>
      <c r="P586">
        <f t="shared" si="145"/>
        <v>212</v>
      </c>
      <c r="Q586">
        <f t="shared" si="146"/>
        <v>204</v>
      </c>
      <c r="R586">
        <f t="shared" si="147"/>
        <v>49.650349650349654</v>
      </c>
      <c r="S586" s="1">
        <f t="shared" si="148"/>
        <v>50.24975024975025</v>
      </c>
      <c r="T586" s="1">
        <f t="shared" si="149"/>
        <v>192</v>
      </c>
      <c r="U586" s="1">
        <f t="shared" si="150"/>
        <v>224</v>
      </c>
      <c r="V586" s="1">
        <f t="shared" si="151"/>
        <v>47.5</v>
      </c>
      <c r="W586" s="1">
        <f t="shared" si="152"/>
        <v>52.5</v>
      </c>
      <c r="X586" s="1">
        <f t="shared" si="153"/>
        <v>15.096153846153847</v>
      </c>
      <c r="Y586" s="1">
        <f t="shared" si="154"/>
        <v>69</v>
      </c>
      <c r="Z586" s="1">
        <f t="shared" si="155"/>
        <v>71</v>
      </c>
      <c r="AA586" s="1">
        <f t="shared" si="156"/>
        <v>3.6434782608695655</v>
      </c>
      <c r="AB586" s="1">
        <f t="shared" si="157"/>
        <v>3.4563380281690139</v>
      </c>
      <c r="AC586" s="1">
        <f t="shared" si="158"/>
        <v>1</v>
      </c>
      <c r="AD586" s="1">
        <f t="shared" si="159"/>
        <v>3.775926573806372E-3</v>
      </c>
    </row>
    <row r="587" spans="1:30" x14ac:dyDescent="0.35">
      <c r="A587" t="s">
        <v>1196</v>
      </c>
      <c r="B587" t="s">
        <v>60</v>
      </c>
      <c r="C587" t="s">
        <v>93</v>
      </c>
      <c r="D587" t="s">
        <v>25</v>
      </c>
      <c r="E587">
        <v>46</v>
      </c>
      <c r="F587" t="s">
        <v>46</v>
      </c>
      <c r="G587" t="s">
        <v>26</v>
      </c>
      <c r="H587" t="s">
        <v>1197</v>
      </c>
      <c r="I587">
        <v>1</v>
      </c>
      <c r="J587">
        <v>2</v>
      </c>
      <c r="K587">
        <v>260301</v>
      </c>
      <c r="L587">
        <v>4.7</v>
      </c>
      <c r="M587" t="s">
        <v>21</v>
      </c>
      <c r="N587">
        <v>67</v>
      </c>
      <c r="O587">
        <f t="shared" si="144"/>
        <v>415</v>
      </c>
      <c r="P587">
        <f t="shared" si="145"/>
        <v>211</v>
      </c>
      <c r="Q587">
        <f t="shared" si="146"/>
        <v>204</v>
      </c>
      <c r="R587">
        <f t="shared" si="147"/>
        <v>49.650349650349654</v>
      </c>
      <c r="S587" s="1">
        <f t="shared" si="148"/>
        <v>50.24975024975025</v>
      </c>
      <c r="T587" s="1">
        <f t="shared" si="149"/>
        <v>191</v>
      </c>
      <c r="U587" s="1">
        <f t="shared" si="150"/>
        <v>224</v>
      </c>
      <c r="V587" s="1">
        <f t="shared" si="151"/>
        <v>47.5</v>
      </c>
      <c r="W587" s="1">
        <f t="shared" si="152"/>
        <v>52.5</v>
      </c>
      <c r="X587" s="1">
        <f t="shared" si="153"/>
        <v>15.11566265060241</v>
      </c>
      <c r="Y587" s="1">
        <f t="shared" si="154"/>
        <v>68</v>
      </c>
      <c r="Z587" s="1">
        <f t="shared" si="155"/>
        <v>71</v>
      </c>
      <c r="AA587" s="1">
        <f t="shared" si="156"/>
        <v>3.6514705882352949</v>
      </c>
      <c r="AB587" s="1">
        <f t="shared" si="157"/>
        <v>3.4563380281690139</v>
      </c>
      <c r="AC587" s="1">
        <f t="shared" si="158"/>
        <v>1</v>
      </c>
      <c r="AD587" s="1">
        <f t="shared" si="159"/>
        <v>6.7754387147157527E-3</v>
      </c>
    </row>
    <row r="588" spans="1:30" x14ac:dyDescent="0.35">
      <c r="A588" t="s">
        <v>1198</v>
      </c>
      <c r="B588" t="s">
        <v>69</v>
      </c>
      <c r="C588" t="s">
        <v>16</v>
      </c>
      <c r="D588" t="s">
        <v>25</v>
      </c>
      <c r="E588">
        <v>28</v>
      </c>
      <c r="F588" t="s">
        <v>37</v>
      </c>
      <c r="G588" t="s">
        <v>57</v>
      </c>
      <c r="H588" t="s">
        <v>1199</v>
      </c>
      <c r="I588">
        <v>19</v>
      </c>
      <c r="J588">
        <v>24</v>
      </c>
      <c r="K588">
        <v>244632</v>
      </c>
      <c r="L588">
        <v>3.9</v>
      </c>
      <c r="M588" t="s">
        <v>43</v>
      </c>
      <c r="N588">
        <v>84</v>
      </c>
      <c r="O588">
        <f t="shared" si="144"/>
        <v>414</v>
      </c>
      <c r="P588">
        <f t="shared" si="145"/>
        <v>211</v>
      </c>
      <c r="Q588">
        <f t="shared" si="146"/>
        <v>203</v>
      </c>
      <c r="R588">
        <f t="shared" si="147"/>
        <v>49.650349650349654</v>
      </c>
      <c r="S588" s="1">
        <f t="shared" si="148"/>
        <v>50.24975024975025</v>
      </c>
      <c r="T588" s="1">
        <f t="shared" si="149"/>
        <v>190</v>
      </c>
      <c r="U588" s="1">
        <f t="shared" si="150"/>
        <v>224</v>
      </c>
      <c r="V588" s="1">
        <f t="shared" si="151"/>
        <v>47.5</v>
      </c>
      <c r="W588" s="1">
        <f t="shared" si="152"/>
        <v>52.5</v>
      </c>
      <c r="X588" s="1">
        <f t="shared" si="153"/>
        <v>15.147342995169081</v>
      </c>
      <c r="Y588" s="1">
        <f t="shared" si="154"/>
        <v>68</v>
      </c>
      <c r="Z588" s="1">
        <f t="shared" si="155"/>
        <v>71</v>
      </c>
      <c r="AA588" s="1">
        <f t="shared" si="156"/>
        <v>3.6514705882352949</v>
      </c>
      <c r="AB588" s="1">
        <f t="shared" si="157"/>
        <v>3.4563380281690139</v>
      </c>
      <c r="AC588" s="1">
        <f t="shared" si="158"/>
        <v>0</v>
      </c>
      <c r="AD588" s="1">
        <f t="shared" si="159"/>
        <v>1.1693197731133241E-2</v>
      </c>
    </row>
    <row r="589" spans="1:30" x14ac:dyDescent="0.35">
      <c r="A589" t="s">
        <v>1200</v>
      </c>
      <c r="B589" t="s">
        <v>69</v>
      </c>
      <c r="C589" t="s">
        <v>82</v>
      </c>
      <c r="D589" t="s">
        <v>17</v>
      </c>
      <c r="E589">
        <v>45</v>
      </c>
      <c r="F589" t="s">
        <v>31</v>
      </c>
      <c r="G589" t="s">
        <v>57</v>
      </c>
      <c r="H589" t="s">
        <v>1201</v>
      </c>
      <c r="I589">
        <v>18</v>
      </c>
      <c r="J589">
        <v>19</v>
      </c>
      <c r="K589">
        <v>385042</v>
      </c>
      <c r="L589">
        <v>4.8</v>
      </c>
      <c r="M589" t="s">
        <v>21</v>
      </c>
      <c r="N589">
        <v>32</v>
      </c>
      <c r="O589">
        <f t="shared" si="144"/>
        <v>413</v>
      </c>
      <c r="P589">
        <f t="shared" si="145"/>
        <v>211</v>
      </c>
      <c r="Q589">
        <f t="shared" si="146"/>
        <v>202</v>
      </c>
      <c r="R589">
        <f t="shared" si="147"/>
        <v>49.650349650349654</v>
      </c>
      <c r="S589" s="1">
        <f t="shared" si="148"/>
        <v>50.24975024975025</v>
      </c>
      <c r="T589" s="1">
        <f t="shared" si="149"/>
        <v>190</v>
      </c>
      <c r="U589" s="1">
        <f t="shared" si="150"/>
        <v>223</v>
      </c>
      <c r="V589" s="1">
        <f t="shared" si="151"/>
        <v>47.5</v>
      </c>
      <c r="W589" s="1">
        <f t="shared" si="152"/>
        <v>52.5</v>
      </c>
      <c r="X589" s="1">
        <f t="shared" si="153"/>
        <v>15.12590799031477</v>
      </c>
      <c r="Y589" s="1">
        <f t="shared" si="154"/>
        <v>68</v>
      </c>
      <c r="Z589" s="1">
        <f t="shared" si="155"/>
        <v>71</v>
      </c>
      <c r="AA589" s="1">
        <f t="shared" si="156"/>
        <v>3.6514705882352949</v>
      </c>
      <c r="AB589" s="1">
        <f t="shared" si="157"/>
        <v>3.4563380281690139</v>
      </c>
      <c r="AC589" s="1">
        <f t="shared" si="158"/>
        <v>1</v>
      </c>
      <c r="AD589" s="1">
        <f t="shared" si="159"/>
        <v>1.4536402840660774E-2</v>
      </c>
    </row>
    <row r="590" spans="1:30" x14ac:dyDescent="0.35">
      <c r="A590" t="s">
        <v>1202</v>
      </c>
      <c r="B590" t="s">
        <v>60</v>
      </c>
      <c r="C590" t="s">
        <v>24</v>
      </c>
      <c r="D590" t="s">
        <v>17</v>
      </c>
      <c r="E590">
        <v>49</v>
      </c>
      <c r="F590" t="s">
        <v>46</v>
      </c>
      <c r="G590" t="s">
        <v>32</v>
      </c>
      <c r="H590" t="s">
        <v>1203</v>
      </c>
      <c r="I590">
        <v>9</v>
      </c>
      <c r="J590">
        <v>19</v>
      </c>
      <c r="K590">
        <v>343931</v>
      </c>
      <c r="L590">
        <v>4.2</v>
      </c>
      <c r="M590" t="s">
        <v>43</v>
      </c>
      <c r="N590">
        <v>99</v>
      </c>
      <c r="O590">
        <f t="shared" si="144"/>
        <v>412</v>
      </c>
      <c r="P590">
        <f t="shared" si="145"/>
        <v>210</v>
      </c>
      <c r="Q590">
        <f t="shared" si="146"/>
        <v>202</v>
      </c>
      <c r="R590">
        <f t="shared" si="147"/>
        <v>49.650349650349654</v>
      </c>
      <c r="S590" s="1">
        <f t="shared" si="148"/>
        <v>50.24975024975025</v>
      </c>
      <c r="T590" s="1">
        <f t="shared" si="149"/>
        <v>189</v>
      </c>
      <c r="U590" s="1">
        <f t="shared" si="150"/>
        <v>223</v>
      </c>
      <c r="V590" s="1">
        <f t="shared" si="151"/>
        <v>47.5</v>
      </c>
      <c r="W590" s="1">
        <f t="shared" si="152"/>
        <v>52.5</v>
      </c>
      <c r="X590" s="1">
        <f t="shared" si="153"/>
        <v>15.116504854368932</v>
      </c>
      <c r="Y590" s="1">
        <f t="shared" si="154"/>
        <v>68</v>
      </c>
      <c r="Z590" s="1">
        <f t="shared" si="155"/>
        <v>70</v>
      </c>
      <c r="AA590" s="1">
        <f t="shared" si="156"/>
        <v>3.6514705882352949</v>
      </c>
      <c r="AB590" s="1">
        <f t="shared" si="157"/>
        <v>3.4371428571428568</v>
      </c>
      <c r="AC590" s="1">
        <f t="shared" si="158"/>
        <v>0</v>
      </c>
      <c r="AD590" s="1">
        <f t="shared" si="159"/>
        <v>1.3113744509719432E-2</v>
      </c>
    </row>
    <row r="591" spans="1:30" x14ac:dyDescent="0.35">
      <c r="A591" t="s">
        <v>1204</v>
      </c>
      <c r="B591" t="s">
        <v>111</v>
      </c>
      <c r="C591" t="s">
        <v>56</v>
      </c>
      <c r="D591" t="s">
        <v>25</v>
      </c>
      <c r="E591">
        <v>25</v>
      </c>
      <c r="F591" t="s">
        <v>31</v>
      </c>
      <c r="G591" t="s">
        <v>71</v>
      </c>
      <c r="H591" t="s">
        <v>1205</v>
      </c>
      <c r="I591">
        <v>19</v>
      </c>
      <c r="J591">
        <v>26</v>
      </c>
      <c r="K591">
        <v>451305</v>
      </c>
      <c r="L591">
        <v>3.7</v>
      </c>
      <c r="M591" t="s">
        <v>21</v>
      </c>
      <c r="N591">
        <v>51</v>
      </c>
      <c r="O591">
        <f t="shared" si="144"/>
        <v>411</v>
      </c>
      <c r="P591">
        <f t="shared" si="145"/>
        <v>209</v>
      </c>
      <c r="Q591">
        <f t="shared" si="146"/>
        <v>202</v>
      </c>
      <c r="R591">
        <f t="shared" si="147"/>
        <v>49.650349650349654</v>
      </c>
      <c r="S591" s="1">
        <f t="shared" si="148"/>
        <v>50.24975024975025</v>
      </c>
      <c r="T591" s="1">
        <f t="shared" si="149"/>
        <v>189</v>
      </c>
      <c r="U591" s="1">
        <f t="shared" si="150"/>
        <v>222</v>
      </c>
      <c r="V591" s="1">
        <f t="shared" si="151"/>
        <v>47.5</v>
      </c>
      <c r="W591" s="1">
        <f t="shared" si="152"/>
        <v>52.5</v>
      </c>
      <c r="X591" s="1">
        <f t="shared" si="153"/>
        <v>15.107055961070559</v>
      </c>
      <c r="Y591" s="1">
        <f t="shared" si="154"/>
        <v>68</v>
      </c>
      <c r="Z591" s="1">
        <f t="shared" si="155"/>
        <v>70</v>
      </c>
      <c r="AA591" s="1">
        <f t="shared" si="156"/>
        <v>3.6514705882352949</v>
      </c>
      <c r="AB591" s="1">
        <f t="shared" si="157"/>
        <v>3.4371428571428568</v>
      </c>
      <c r="AC591" s="1">
        <f t="shared" si="158"/>
        <v>1</v>
      </c>
      <c r="AD591" s="1">
        <f t="shared" si="159"/>
        <v>1.4367708248668103E-2</v>
      </c>
    </row>
    <row r="592" spans="1:30" x14ac:dyDescent="0.35">
      <c r="A592" t="s">
        <v>1206</v>
      </c>
      <c r="B592" t="s">
        <v>111</v>
      </c>
      <c r="C592" t="s">
        <v>52</v>
      </c>
      <c r="D592" t="s">
        <v>17</v>
      </c>
      <c r="E592">
        <v>36</v>
      </c>
      <c r="F592" t="s">
        <v>74</v>
      </c>
      <c r="G592" t="s">
        <v>75</v>
      </c>
      <c r="H592" t="s">
        <v>1207</v>
      </c>
      <c r="I592">
        <v>11</v>
      </c>
      <c r="J592">
        <v>12</v>
      </c>
      <c r="K592">
        <v>104352</v>
      </c>
      <c r="L592">
        <v>2.8</v>
      </c>
      <c r="M592" t="s">
        <v>43</v>
      </c>
      <c r="N592">
        <v>87</v>
      </c>
      <c r="O592">
        <f t="shared" si="144"/>
        <v>410</v>
      </c>
      <c r="P592">
        <f t="shared" si="145"/>
        <v>209</v>
      </c>
      <c r="Q592">
        <f t="shared" si="146"/>
        <v>201</v>
      </c>
      <c r="R592">
        <f t="shared" si="147"/>
        <v>49.650349650349654</v>
      </c>
      <c r="S592" s="1">
        <f t="shared" si="148"/>
        <v>50.24975024975025</v>
      </c>
      <c r="T592" s="1">
        <f t="shared" si="149"/>
        <v>188</v>
      </c>
      <c r="U592" s="1">
        <f t="shared" si="150"/>
        <v>222</v>
      </c>
      <c r="V592" s="1">
        <f t="shared" si="151"/>
        <v>47.5</v>
      </c>
      <c r="W592" s="1">
        <f t="shared" si="152"/>
        <v>52.5</v>
      </c>
      <c r="X592" s="1">
        <f t="shared" si="153"/>
        <v>15.080487804878048</v>
      </c>
      <c r="Y592" s="1">
        <f t="shared" si="154"/>
        <v>68</v>
      </c>
      <c r="Z592" s="1">
        <f t="shared" si="155"/>
        <v>69</v>
      </c>
      <c r="AA592" s="1">
        <f t="shared" si="156"/>
        <v>3.6514705882352949</v>
      </c>
      <c r="AB592" s="1">
        <f t="shared" si="157"/>
        <v>3.4333333333333331</v>
      </c>
      <c r="AC592" s="1">
        <f t="shared" si="158"/>
        <v>0</v>
      </c>
      <c r="AD592" s="1">
        <f t="shared" si="159"/>
        <v>1.0331794842114215E-2</v>
      </c>
    </row>
    <row r="593" spans="1:30" x14ac:dyDescent="0.35">
      <c r="A593" t="s">
        <v>1208</v>
      </c>
      <c r="B593" t="s">
        <v>40</v>
      </c>
      <c r="C593" t="s">
        <v>93</v>
      </c>
      <c r="D593" t="s">
        <v>17</v>
      </c>
      <c r="E593">
        <v>29</v>
      </c>
      <c r="F593" t="s">
        <v>70</v>
      </c>
      <c r="G593" t="s">
        <v>57</v>
      </c>
      <c r="H593" t="s">
        <v>1209</v>
      </c>
      <c r="I593">
        <v>6</v>
      </c>
      <c r="J593">
        <v>6</v>
      </c>
      <c r="K593">
        <v>231773</v>
      </c>
      <c r="L593">
        <v>3.2</v>
      </c>
      <c r="M593" t="s">
        <v>43</v>
      </c>
      <c r="N593">
        <v>89</v>
      </c>
      <c r="O593">
        <f t="shared" si="144"/>
        <v>409</v>
      </c>
      <c r="P593">
        <f t="shared" si="145"/>
        <v>208</v>
      </c>
      <c r="Q593">
        <f t="shared" si="146"/>
        <v>201</v>
      </c>
      <c r="R593">
        <f t="shared" si="147"/>
        <v>49.650349650349654</v>
      </c>
      <c r="S593" s="1">
        <f t="shared" si="148"/>
        <v>50.24975024975025</v>
      </c>
      <c r="T593" s="1">
        <f t="shared" si="149"/>
        <v>188</v>
      </c>
      <c r="U593" s="1">
        <f t="shared" si="150"/>
        <v>221</v>
      </c>
      <c r="V593" s="1">
        <f t="shared" si="151"/>
        <v>47.5</v>
      </c>
      <c r="W593" s="1">
        <f t="shared" si="152"/>
        <v>52.5</v>
      </c>
      <c r="X593" s="1">
        <f t="shared" si="153"/>
        <v>15.0880195599022</v>
      </c>
      <c r="Y593" s="1">
        <f t="shared" si="154"/>
        <v>67</v>
      </c>
      <c r="Z593" s="1">
        <f t="shared" si="155"/>
        <v>69</v>
      </c>
      <c r="AA593" s="1">
        <f t="shared" si="156"/>
        <v>3.6641791044776126</v>
      </c>
      <c r="AB593" s="1">
        <f t="shared" si="157"/>
        <v>3.4333333333333331</v>
      </c>
      <c r="AC593" s="1">
        <f t="shared" si="158"/>
        <v>0</v>
      </c>
      <c r="AD593" s="1">
        <f t="shared" si="159"/>
        <v>9.3597356656447833E-3</v>
      </c>
    </row>
    <row r="594" spans="1:30" x14ac:dyDescent="0.35">
      <c r="A594" t="s">
        <v>1210</v>
      </c>
      <c r="B594" t="s">
        <v>55</v>
      </c>
      <c r="C594" t="s">
        <v>16</v>
      </c>
      <c r="D594" t="s">
        <v>17</v>
      </c>
      <c r="E594">
        <v>30</v>
      </c>
      <c r="F594" t="s">
        <v>18</v>
      </c>
      <c r="G594" t="s">
        <v>19</v>
      </c>
      <c r="H594" t="s">
        <v>1211</v>
      </c>
      <c r="I594">
        <v>4</v>
      </c>
      <c r="J594">
        <v>11</v>
      </c>
      <c r="K594">
        <v>310400</v>
      </c>
      <c r="L594">
        <v>3.1</v>
      </c>
      <c r="M594" t="s">
        <v>21</v>
      </c>
      <c r="N594">
        <v>66</v>
      </c>
      <c r="O594">
        <f t="shared" si="144"/>
        <v>408</v>
      </c>
      <c r="P594">
        <f t="shared" si="145"/>
        <v>207</v>
      </c>
      <c r="Q594">
        <f t="shared" si="146"/>
        <v>201</v>
      </c>
      <c r="R594">
        <f t="shared" si="147"/>
        <v>49.650349650349654</v>
      </c>
      <c r="S594" s="1">
        <f t="shared" si="148"/>
        <v>50.24975024975025</v>
      </c>
      <c r="T594" s="1">
        <f t="shared" si="149"/>
        <v>188</v>
      </c>
      <c r="U594" s="1">
        <f t="shared" si="150"/>
        <v>220</v>
      </c>
      <c r="V594" s="1">
        <f t="shared" si="151"/>
        <v>47.5</v>
      </c>
      <c r="W594" s="1">
        <f t="shared" si="152"/>
        <v>52.5</v>
      </c>
      <c r="X594" s="1">
        <f t="shared" si="153"/>
        <v>15.110294117647058</v>
      </c>
      <c r="Y594" s="1">
        <f t="shared" si="154"/>
        <v>67</v>
      </c>
      <c r="Z594" s="1">
        <f t="shared" si="155"/>
        <v>69</v>
      </c>
      <c r="AA594" s="1">
        <f t="shared" si="156"/>
        <v>3.6641791044776126</v>
      </c>
      <c r="AB594" s="1">
        <f t="shared" si="157"/>
        <v>3.4333333333333331</v>
      </c>
      <c r="AC594" s="1">
        <f t="shared" si="158"/>
        <v>1</v>
      </c>
      <c r="AD594" s="1">
        <f t="shared" si="159"/>
        <v>6.4660208352595233E-3</v>
      </c>
    </row>
    <row r="595" spans="1:30" x14ac:dyDescent="0.35">
      <c r="A595" t="s">
        <v>1212</v>
      </c>
      <c r="B595" t="s">
        <v>29</v>
      </c>
      <c r="C595" t="s">
        <v>36</v>
      </c>
      <c r="D595" t="s">
        <v>25</v>
      </c>
      <c r="E595">
        <v>49</v>
      </c>
      <c r="F595" t="s">
        <v>37</v>
      </c>
      <c r="G595" t="s">
        <v>19</v>
      </c>
      <c r="H595" t="s">
        <v>1213</v>
      </c>
      <c r="I595">
        <v>16</v>
      </c>
      <c r="J595">
        <v>23</v>
      </c>
      <c r="K595">
        <v>427991</v>
      </c>
      <c r="L595">
        <v>3.9</v>
      </c>
      <c r="M595" t="s">
        <v>43</v>
      </c>
      <c r="N595">
        <v>100</v>
      </c>
      <c r="O595">
        <f t="shared" si="144"/>
        <v>407</v>
      </c>
      <c r="P595">
        <f t="shared" si="145"/>
        <v>206</v>
      </c>
      <c r="Q595">
        <f t="shared" si="146"/>
        <v>201</v>
      </c>
      <c r="R595">
        <f t="shared" si="147"/>
        <v>49.650349650349654</v>
      </c>
      <c r="S595" s="1">
        <f t="shared" si="148"/>
        <v>50.24975024975025</v>
      </c>
      <c r="T595" s="1">
        <f t="shared" si="149"/>
        <v>187</v>
      </c>
      <c r="U595" s="1">
        <f t="shared" si="150"/>
        <v>220</v>
      </c>
      <c r="V595" s="1">
        <f t="shared" si="151"/>
        <v>47.5</v>
      </c>
      <c r="W595" s="1">
        <f t="shared" si="152"/>
        <v>52.5</v>
      </c>
      <c r="X595" s="1">
        <f t="shared" si="153"/>
        <v>15.120393120393121</v>
      </c>
      <c r="Y595" s="1">
        <f t="shared" si="154"/>
        <v>67</v>
      </c>
      <c r="Z595" s="1">
        <f t="shared" si="155"/>
        <v>69</v>
      </c>
      <c r="AA595" s="1">
        <f t="shared" si="156"/>
        <v>3.6641791044776126</v>
      </c>
      <c r="AB595" s="1">
        <f t="shared" si="157"/>
        <v>3.4333333333333331</v>
      </c>
      <c r="AC595" s="1">
        <f t="shared" si="158"/>
        <v>0</v>
      </c>
      <c r="AD595" s="1">
        <f t="shared" si="159"/>
        <v>8.031553960103386E-3</v>
      </c>
    </row>
    <row r="596" spans="1:30" x14ac:dyDescent="0.35">
      <c r="A596" t="s">
        <v>1214</v>
      </c>
      <c r="B596" t="s">
        <v>40</v>
      </c>
      <c r="C596" t="s">
        <v>52</v>
      </c>
      <c r="D596" t="s">
        <v>25</v>
      </c>
      <c r="E596">
        <v>56</v>
      </c>
      <c r="F596" t="s">
        <v>70</v>
      </c>
      <c r="G596" t="s">
        <v>71</v>
      </c>
      <c r="H596" t="s">
        <v>867</v>
      </c>
      <c r="I596">
        <v>7</v>
      </c>
      <c r="J596">
        <v>7</v>
      </c>
      <c r="K596">
        <v>154190</v>
      </c>
      <c r="L596">
        <v>2.4</v>
      </c>
      <c r="M596" t="s">
        <v>21</v>
      </c>
      <c r="N596">
        <v>44</v>
      </c>
      <c r="O596">
        <f t="shared" si="144"/>
        <v>406</v>
      </c>
      <c r="P596">
        <f t="shared" si="145"/>
        <v>206</v>
      </c>
      <c r="Q596">
        <f t="shared" si="146"/>
        <v>200</v>
      </c>
      <c r="R596">
        <f t="shared" si="147"/>
        <v>49.650349650349654</v>
      </c>
      <c r="S596" s="1">
        <f t="shared" si="148"/>
        <v>50.24975024975025</v>
      </c>
      <c r="T596" s="1">
        <f t="shared" si="149"/>
        <v>187</v>
      </c>
      <c r="U596" s="1">
        <f t="shared" si="150"/>
        <v>219</v>
      </c>
      <c r="V596" s="1">
        <f t="shared" si="151"/>
        <v>47.5</v>
      </c>
      <c r="W596" s="1">
        <f t="shared" si="152"/>
        <v>52.5</v>
      </c>
      <c r="X596" s="1">
        <f t="shared" si="153"/>
        <v>15.100985221674877</v>
      </c>
      <c r="Y596" s="1">
        <f t="shared" si="154"/>
        <v>67</v>
      </c>
      <c r="Z596" s="1">
        <f t="shared" si="155"/>
        <v>69</v>
      </c>
      <c r="AA596" s="1">
        <f t="shared" si="156"/>
        <v>3.6641791044776126</v>
      </c>
      <c r="AB596" s="1">
        <f t="shared" si="157"/>
        <v>3.4333333333333331</v>
      </c>
      <c r="AC596" s="1">
        <f t="shared" si="158"/>
        <v>1</v>
      </c>
      <c r="AD596" s="1">
        <f t="shared" si="159"/>
        <v>1.0596599313699268E-2</v>
      </c>
    </row>
    <row r="597" spans="1:30" x14ac:dyDescent="0.35">
      <c r="A597" t="s">
        <v>1215</v>
      </c>
      <c r="B597" t="s">
        <v>78</v>
      </c>
      <c r="C597" t="s">
        <v>93</v>
      </c>
      <c r="D597" t="s">
        <v>17</v>
      </c>
      <c r="E597">
        <v>60</v>
      </c>
      <c r="F597" t="s">
        <v>74</v>
      </c>
      <c r="G597" t="s">
        <v>71</v>
      </c>
      <c r="H597" t="s">
        <v>1216</v>
      </c>
      <c r="I597">
        <v>4</v>
      </c>
      <c r="J597">
        <v>12</v>
      </c>
      <c r="K597">
        <v>157925</v>
      </c>
      <c r="L597">
        <v>4</v>
      </c>
      <c r="M597" t="s">
        <v>43</v>
      </c>
      <c r="N597">
        <v>93</v>
      </c>
      <c r="O597">
        <f t="shared" si="144"/>
        <v>405</v>
      </c>
      <c r="P597">
        <f t="shared" si="145"/>
        <v>206</v>
      </c>
      <c r="Q597">
        <f t="shared" si="146"/>
        <v>199</v>
      </c>
      <c r="R597">
        <f t="shared" si="147"/>
        <v>49.650349650349654</v>
      </c>
      <c r="S597" s="1">
        <f t="shared" si="148"/>
        <v>50.24975024975025</v>
      </c>
      <c r="T597" s="1">
        <f t="shared" si="149"/>
        <v>186</v>
      </c>
      <c r="U597" s="1">
        <f t="shared" si="150"/>
        <v>219</v>
      </c>
      <c r="V597" s="1">
        <f t="shared" si="151"/>
        <v>47.5</v>
      </c>
      <c r="W597" s="1">
        <f t="shared" si="152"/>
        <v>52.5</v>
      </c>
      <c r="X597" s="1">
        <f t="shared" si="153"/>
        <v>15.120987654320988</v>
      </c>
      <c r="Y597" s="1">
        <f t="shared" si="154"/>
        <v>67</v>
      </c>
      <c r="Z597" s="1">
        <f t="shared" si="155"/>
        <v>69</v>
      </c>
      <c r="AA597" s="1">
        <f t="shared" si="156"/>
        <v>3.6641791044776126</v>
      </c>
      <c r="AB597" s="1">
        <f t="shared" si="157"/>
        <v>3.4333333333333331</v>
      </c>
      <c r="AC597" s="1">
        <f t="shared" si="158"/>
        <v>0</v>
      </c>
      <c r="AD597" s="1">
        <f t="shared" si="159"/>
        <v>1.3709660058542926E-2</v>
      </c>
    </row>
    <row r="598" spans="1:30" x14ac:dyDescent="0.35">
      <c r="A598" t="s">
        <v>1217</v>
      </c>
      <c r="B598" t="s">
        <v>45</v>
      </c>
      <c r="C598" t="s">
        <v>49</v>
      </c>
      <c r="D598" t="s">
        <v>25</v>
      </c>
      <c r="E598">
        <v>48</v>
      </c>
      <c r="F598" t="s">
        <v>18</v>
      </c>
      <c r="G598" t="s">
        <v>57</v>
      </c>
      <c r="H598" t="s">
        <v>1218</v>
      </c>
      <c r="I598">
        <v>17</v>
      </c>
      <c r="J598">
        <v>27</v>
      </c>
      <c r="K598">
        <v>343580</v>
      </c>
      <c r="L598">
        <v>3.2</v>
      </c>
      <c r="M598" t="s">
        <v>21</v>
      </c>
      <c r="N598">
        <v>61</v>
      </c>
      <c r="O598">
        <f t="shared" si="144"/>
        <v>404</v>
      </c>
      <c r="P598">
        <f t="shared" si="145"/>
        <v>205</v>
      </c>
      <c r="Q598">
        <f t="shared" si="146"/>
        <v>199</v>
      </c>
      <c r="R598">
        <f t="shared" si="147"/>
        <v>49.650349650349654</v>
      </c>
      <c r="S598" s="1">
        <f t="shared" si="148"/>
        <v>50.24975024975025</v>
      </c>
      <c r="T598" s="1">
        <f t="shared" si="149"/>
        <v>186</v>
      </c>
      <c r="U598" s="1">
        <f t="shared" si="150"/>
        <v>218</v>
      </c>
      <c r="V598" s="1">
        <f t="shared" si="151"/>
        <v>47.5</v>
      </c>
      <c r="W598" s="1">
        <f t="shared" si="152"/>
        <v>52.5</v>
      </c>
      <c r="X598" s="1">
        <f t="shared" si="153"/>
        <v>15.128712871287128</v>
      </c>
      <c r="Y598" s="1">
        <f t="shared" si="154"/>
        <v>66</v>
      </c>
      <c r="Z598" s="1">
        <f t="shared" si="155"/>
        <v>69</v>
      </c>
      <c r="AA598" s="1">
        <f t="shared" si="156"/>
        <v>3.6590909090909096</v>
      </c>
      <c r="AB598" s="1">
        <f t="shared" si="157"/>
        <v>3.4333333333333331</v>
      </c>
      <c r="AC598" s="1">
        <f t="shared" si="158"/>
        <v>1</v>
      </c>
      <c r="AD598" s="1">
        <f t="shared" si="159"/>
        <v>1.2715706387065685E-2</v>
      </c>
    </row>
    <row r="599" spans="1:30" x14ac:dyDescent="0.35">
      <c r="A599" t="s">
        <v>1219</v>
      </c>
      <c r="B599" t="s">
        <v>45</v>
      </c>
      <c r="C599" t="s">
        <v>36</v>
      </c>
      <c r="D599" t="s">
        <v>25</v>
      </c>
      <c r="E599">
        <v>28</v>
      </c>
      <c r="F599" t="s">
        <v>74</v>
      </c>
      <c r="G599" t="s">
        <v>75</v>
      </c>
      <c r="H599" t="s">
        <v>1220</v>
      </c>
      <c r="I599">
        <v>6</v>
      </c>
      <c r="J599">
        <v>15</v>
      </c>
      <c r="K599">
        <v>118719</v>
      </c>
      <c r="L599">
        <v>4.4000000000000004</v>
      </c>
      <c r="M599" t="s">
        <v>21</v>
      </c>
      <c r="N599">
        <v>70</v>
      </c>
      <c r="O599">
        <f t="shared" si="144"/>
        <v>403</v>
      </c>
      <c r="P599">
        <f t="shared" si="145"/>
        <v>205</v>
      </c>
      <c r="Q599">
        <f t="shared" si="146"/>
        <v>198</v>
      </c>
      <c r="R599">
        <f t="shared" si="147"/>
        <v>49.650349650349654</v>
      </c>
      <c r="S599" s="1">
        <f t="shared" si="148"/>
        <v>50.24975024975025</v>
      </c>
      <c r="T599" s="1">
        <f t="shared" si="149"/>
        <v>185</v>
      </c>
      <c r="U599" s="1">
        <f t="shared" si="150"/>
        <v>218</v>
      </c>
      <c r="V599" s="1">
        <f t="shared" si="151"/>
        <v>47.5</v>
      </c>
      <c r="W599" s="1">
        <f t="shared" si="152"/>
        <v>52.5</v>
      </c>
      <c r="X599" s="1">
        <f t="shared" si="153"/>
        <v>15.099255583126551</v>
      </c>
      <c r="Y599" s="1">
        <f t="shared" si="154"/>
        <v>66</v>
      </c>
      <c r="Z599" s="1">
        <f t="shared" si="155"/>
        <v>69</v>
      </c>
      <c r="AA599" s="1">
        <f t="shared" si="156"/>
        <v>3.6590909090909096</v>
      </c>
      <c r="AB599" s="1">
        <f t="shared" si="157"/>
        <v>3.4333333333333331</v>
      </c>
      <c r="AC599" s="1">
        <f t="shared" si="158"/>
        <v>1</v>
      </c>
      <c r="AD599" s="1">
        <f t="shared" si="159"/>
        <v>8.2351049255844164E-3</v>
      </c>
    </row>
    <row r="600" spans="1:30" x14ac:dyDescent="0.35">
      <c r="A600" t="s">
        <v>1221</v>
      </c>
      <c r="B600" t="s">
        <v>55</v>
      </c>
      <c r="C600" t="s">
        <v>52</v>
      </c>
      <c r="D600" t="s">
        <v>25</v>
      </c>
      <c r="E600">
        <v>34</v>
      </c>
      <c r="F600" t="s">
        <v>46</v>
      </c>
      <c r="G600" t="s">
        <v>85</v>
      </c>
      <c r="H600" t="s">
        <v>1222</v>
      </c>
      <c r="I600">
        <v>0</v>
      </c>
      <c r="J600">
        <v>4</v>
      </c>
      <c r="K600">
        <v>456622</v>
      </c>
      <c r="L600">
        <v>2.6</v>
      </c>
      <c r="M600" t="s">
        <v>21</v>
      </c>
      <c r="N600">
        <v>46</v>
      </c>
      <c r="O600">
        <f t="shared" si="144"/>
        <v>402</v>
      </c>
      <c r="P600">
        <f t="shared" si="145"/>
        <v>205</v>
      </c>
      <c r="Q600">
        <f t="shared" si="146"/>
        <v>197</v>
      </c>
      <c r="R600">
        <f t="shared" si="147"/>
        <v>49.650349650349654</v>
      </c>
      <c r="S600" s="1">
        <f t="shared" si="148"/>
        <v>50.24975024975025</v>
      </c>
      <c r="T600" s="1">
        <f t="shared" si="149"/>
        <v>184</v>
      </c>
      <c r="U600" s="1">
        <f t="shared" si="150"/>
        <v>218</v>
      </c>
      <c r="V600" s="1">
        <f t="shared" si="151"/>
        <v>47.5</v>
      </c>
      <c r="W600" s="1">
        <f t="shared" si="152"/>
        <v>52.5</v>
      </c>
      <c r="X600" s="1">
        <f t="shared" si="153"/>
        <v>15.099502487562189</v>
      </c>
      <c r="Y600" s="1">
        <f t="shared" si="154"/>
        <v>65</v>
      </c>
      <c r="Z600" s="1">
        <f t="shared" si="155"/>
        <v>69</v>
      </c>
      <c r="AA600" s="1">
        <f t="shared" si="156"/>
        <v>3.6476923076923087</v>
      </c>
      <c r="AB600" s="1">
        <f t="shared" si="157"/>
        <v>3.4333333333333331</v>
      </c>
      <c r="AC600" s="1">
        <f t="shared" si="158"/>
        <v>1</v>
      </c>
      <c r="AD600" s="1">
        <f t="shared" si="159"/>
        <v>8.2853471338062458E-3</v>
      </c>
    </row>
    <row r="601" spans="1:30" x14ac:dyDescent="0.35">
      <c r="A601" t="s">
        <v>1223</v>
      </c>
      <c r="B601" t="s">
        <v>29</v>
      </c>
      <c r="C601" t="s">
        <v>82</v>
      </c>
      <c r="D601" t="s">
        <v>25</v>
      </c>
      <c r="E601">
        <v>48</v>
      </c>
      <c r="F601" t="s">
        <v>70</v>
      </c>
      <c r="G601" t="s">
        <v>88</v>
      </c>
      <c r="H601" t="s">
        <v>1224</v>
      </c>
      <c r="I601">
        <v>14</v>
      </c>
      <c r="J601">
        <v>21</v>
      </c>
      <c r="K601">
        <v>468356</v>
      </c>
      <c r="L601">
        <v>2.4</v>
      </c>
      <c r="M601" t="s">
        <v>43</v>
      </c>
      <c r="N601">
        <v>72</v>
      </c>
      <c r="O601">
        <f t="shared" si="144"/>
        <v>401</v>
      </c>
      <c r="P601">
        <f t="shared" si="145"/>
        <v>205</v>
      </c>
      <c r="Q601">
        <f t="shared" si="146"/>
        <v>196</v>
      </c>
      <c r="R601">
        <f t="shared" si="147"/>
        <v>49.650349650349654</v>
      </c>
      <c r="S601" s="1">
        <f t="shared" si="148"/>
        <v>50.24975024975025</v>
      </c>
      <c r="T601" s="1">
        <f t="shared" si="149"/>
        <v>183</v>
      </c>
      <c r="U601" s="1">
        <f t="shared" si="150"/>
        <v>218</v>
      </c>
      <c r="V601" s="1">
        <f t="shared" si="151"/>
        <v>47.5</v>
      </c>
      <c r="W601" s="1">
        <f t="shared" si="152"/>
        <v>52.5</v>
      </c>
      <c r="X601" s="1">
        <f t="shared" si="153"/>
        <v>15.12718204488778</v>
      </c>
      <c r="Y601" s="1">
        <f t="shared" si="154"/>
        <v>65</v>
      </c>
      <c r="Z601" s="1">
        <f t="shared" si="155"/>
        <v>69</v>
      </c>
      <c r="AA601" s="1">
        <f t="shared" si="156"/>
        <v>3.6476923076923087</v>
      </c>
      <c r="AB601" s="1">
        <f t="shared" si="157"/>
        <v>3.4333333333333331</v>
      </c>
      <c r="AC601" s="1">
        <f t="shared" si="158"/>
        <v>0</v>
      </c>
      <c r="AD601" s="1">
        <f t="shared" si="159"/>
        <v>1.2619221386405352E-2</v>
      </c>
    </row>
    <row r="602" spans="1:30" x14ac:dyDescent="0.35">
      <c r="A602" t="s">
        <v>1225</v>
      </c>
      <c r="B602" t="s">
        <v>40</v>
      </c>
      <c r="C602" t="s">
        <v>64</v>
      </c>
      <c r="D602" t="s">
        <v>17</v>
      </c>
      <c r="E602">
        <v>32</v>
      </c>
      <c r="F602" t="s">
        <v>18</v>
      </c>
      <c r="G602" t="s">
        <v>19</v>
      </c>
      <c r="H602" t="s">
        <v>1226</v>
      </c>
      <c r="I602">
        <v>4</v>
      </c>
      <c r="J602">
        <v>14</v>
      </c>
      <c r="K602">
        <v>332652</v>
      </c>
      <c r="L602">
        <v>3.6</v>
      </c>
      <c r="M602" t="s">
        <v>21</v>
      </c>
      <c r="N602">
        <v>44</v>
      </c>
      <c r="O602">
        <f t="shared" si="144"/>
        <v>400</v>
      </c>
      <c r="P602">
        <f t="shared" si="145"/>
        <v>205</v>
      </c>
      <c r="Q602">
        <f t="shared" si="146"/>
        <v>195</v>
      </c>
      <c r="R602">
        <f t="shared" si="147"/>
        <v>49.650349650349654</v>
      </c>
      <c r="S602" s="1">
        <f t="shared" si="148"/>
        <v>50.24975024975025</v>
      </c>
      <c r="T602" s="1">
        <f t="shared" si="149"/>
        <v>183</v>
      </c>
      <c r="U602" s="1">
        <f t="shared" si="150"/>
        <v>217</v>
      </c>
      <c r="V602" s="1">
        <f t="shared" si="151"/>
        <v>47.5</v>
      </c>
      <c r="W602" s="1">
        <f t="shared" si="152"/>
        <v>52.5</v>
      </c>
      <c r="X602" s="1">
        <f t="shared" si="153"/>
        <v>15.112500000000001</v>
      </c>
      <c r="Y602" s="1">
        <f t="shared" si="154"/>
        <v>65</v>
      </c>
      <c r="Z602" s="1">
        <f t="shared" si="155"/>
        <v>69</v>
      </c>
      <c r="AA602" s="1">
        <f t="shared" si="156"/>
        <v>3.6476923076923087</v>
      </c>
      <c r="AB602" s="1">
        <f t="shared" si="157"/>
        <v>3.4333333333333331</v>
      </c>
      <c r="AC602" s="1">
        <f t="shared" si="158"/>
        <v>1</v>
      </c>
      <c r="AD602" s="1">
        <f t="shared" si="159"/>
        <v>1.4559980963949814E-2</v>
      </c>
    </row>
    <row r="603" spans="1:30" x14ac:dyDescent="0.35">
      <c r="A603" t="s">
        <v>1227</v>
      </c>
      <c r="B603" t="s">
        <v>35</v>
      </c>
      <c r="C603" t="s">
        <v>16</v>
      </c>
      <c r="D603" t="s">
        <v>25</v>
      </c>
      <c r="E603">
        <v>42</v>
      </c>
      <c r="F603" t="s">
        <v>79</v>
      </c>
      <c r="G603" t="s">
        <v>71</v>
      </c>
      <c r="H603" t="s">
        <v>1228</v>
      </c>
      <c r="I603">
        <v>1</v>
      </c>
      <c r="J603">
        <v>6</v>
      </c>
      <c r="K603">
        <v>455476</v>
      </c>
      <c r="L603">
        <v>4.7</v>
      </c>
      <c r="M603" t="s">
        <v>43</v>
      </c>
      <c r="N603">
        <v>78</v>
      </c>
      <c r="O603">
        <f t="shared" si="144"/>
        <v>399</v>
      </c>
      <c r="P603">
        <f t="shared" si="145"/>
        <v>204</v>
      </c>
      <c r="Q603">
        <f t="shared" si="146"/>
        <v>195</v>
      </c>
      <c r="R603">
        <f t="shared" si="147"/>
        <v>49.650349650349654</v>
      </c>
      <c r="S603" s="1">
        <f t="shared" si="148"/>
        <v>50.24975024975025</v>
      </c>
      <c r="T603" s="1">
        <f t="shared" si="149"/>
        <v>182</v>
      </c>
      <c r="U603" s="1">
        <f t="shared" si="150"/>
        <v>217</v>
      </c>
      <c r="V603" s="1">
        <f t="shared" si="151"/>
        <v>47.5</v>
      </c>
      <c r="W603" s="1">
        <f t="shared" si="152"/>
        <v>52.5</v>
      </c>
      <c r="X603" s="1">
        <f t="shared" si="153"/>
        <v>15.115288220551378</v>
      </c>
      <c r="Y603" s="1">
        <f t="shared" si="154"/>
        <v>65</v>
      </c>
      <c r="Z603" s="1">
        <f t="shared" si="155"/>
        <v>69</v>
      </c>
      <c r="AA603" s="1">
        <f t="shared" si="156"/>
        <v>3.6476923076923087</v>
      </c>
      <c r="AB603" s="1">
        <f t="shared" si="157"/>
        <v>3.4333333333333331</v>
      </c>
      <c r="AC603" s="1">
        <f t="shared" si="158"/>
        <v>0</v>
      </c>
      <c r="AD603" s="1">
        <f t="shared" si="159"/>
        <v>1.5014348224278122E-2</v>
      </c>
    </row>
    <row r="604" spans="1:30" x14ac:dyDescent="0.35">
      <c r="A604" t="s">
        <v>1229</v>
      </c>
      <c r="B604" t="s">
        <v>35</v>
      </c>
      <c r="C604" t="s">
        <v>93</v>
      </c>
      <c r="D604" t="s">
        <v>17</v>
      </c>
      <c r="E604">
        <v>34</v>
      </c>
      <c r="F604" t="s">
        <v>74</v>
      </c>
      <c r="G604" t="s">
        <v>26</v>
      </c>
      <c r="H604" t="s">
        <v>1230</v>
      </c>
      <c r="I604">
        <v>20</v>
      </c>
      <c r="J604">
        <v>27</v>
      </c>
      <c r="K604">
        <v>54017</v>
      </c>
      <c r="L604">
        <v>5</v>
      </c>
      <c r="M604" t="s">
        <v>21</v>
      </c>
      <c r="N604">
        <v>33</v>
      </c>
      <c r="O604">
        <f t="shared" si="144"/>
        <v>398</v>
      </c>
      <c r="P604">
        <f t="shared" si="145"/>
        <v>204</v>
      </c>
      <c r="Q604">
        <f t="shared" si="146"/>
        <v>194</v>
      </c>
      <c r="R604">
        <f t="shared" si="147"/>
        <v>49.650349650349654</v>
      </c>
      <c r="S604" s="1">
        <f t="shared" si="148"/>
        <v>50.24975024975025</v>
      </c>
      <c r="T604" s="1">
        <f t="shared" si="149"/>
        <v>182</v>
      </c>
      <c r="U604" s="1">
        <f t="shared" si="150"/>
        <v>216</v>
      </c>
      <c r="V604" s="1">
        <f t="shared" si="151"/>
        <v>47.5</v>
      </c>
      <c r="W604" s="1">
        <f t="shared" si="152"/>
        <v>52.5</v>
      </c>
      <c r="X604" s="1">
        <f t="shared" si="153"/>
        <v>15.138190954773869</v>
      </c>
      <c r="Y604" s="1">
        <f t="shared" si="154"/>
        <v>65</v>
      </c>
      <c r="Z604" s="1">
        <f t="shared" si="155"/>
        <v>69</v>
      </c>
      <c r="AA604" s="1">
        <f t="shared" si="156"/>
        <v>3.6476923076923087</v>
      </c>
      <c r="AB604" s="1">
        <f t="shared" si="157"/>
        <v>3.4333333333333331</v>
      </c>
      <c r="AC604" s="1">
        <f t="shared" si="158"/>
        <v>1</v>
      </c>
      <c r="AD604" s="1">
        <f t="shared" si="159"/>
        <v>1.2074764852811958E-2</v>
      </c>
    </row>
    <row r="605" spans="1:30" x14ac:dyDescent="0.35">
      <c r="A605" t="s">
        <v>1231</v>
      </c>
      <c r="B605" t="s">
        <v>35</v>
      </c>
      <c r="C605" t="s">
        <v>64</v>
      </c>
      <c r="D605" t="s">
        <v>17</v>
      </c>
      <c r="E605">
        <v>31</v>
      </c>
      <c r="F605" t="s">
        <v>18</v>
      </c>
      <c r="G605" t="s">
        <v>19</v>
      </c>
      <c r="H605" t="s">
        <v>1232</v>
      </c>
      <c r="I605">
        <v>12</v>
      </c>
      <c r="J605">
        <v>15</v>
      </c>
      <c r="K605">
        <v>491206</v>
      </c>
      <c r="L605">
        <v>4.7</v>
      </c>
      <c r="M605" t="s">
        <v>43</v>
      </c>
      <c r="N605">
        <v>88</v>
      </c>
      <c r="O605">
        <f t="shared" si="144"/>
        <v>397</v>
      </c>
      <c r="P605">
        <f t="shared" si="145"/>
        <v>203</v>
      </c>
      <c r="Q605">
        <f t="shared" si="146"/>
        <v>194</v>
      </c>
      <c r="R605">
        <f t="shared" si="147"/>
        <v>49.650349650349654</v>
      </c>
      <c r="S605" s="1">
        <f t="shared" si="148"/>
        <v>50.24975024975025</v>
      </c>
      <c r="T605" s="1">
        <f t="shared" si="149"/>
        <v>181</v>
      </c>
      <c r="U605" s="1">
        <f t="shared" si="150"/>
        <v>216</v>
      </c>
      <c r="V605" s="1">
        <f t="shared" si="151"/>
        <v>47.5</v>
      </c>
      <c r="W605" s="1">
        <f t="shared" si="152"/>
        <v>52.5</v>
      </c>
      <c r="X605" s="1">
        <f t="shared" si="153"/>
        <v>15.108312342569269</v>
      </c>
      <c r="Y605" s="1">
        <f t="shared" si="154"/>
        <v>64</v>
      </c>
      <c r="Z605" s="1">
        <f t="shared" si="155"/>
        <v>69</v>
      </c>
      <c r="AA605" s="1">
        <f t="shared" si="156"/>
        <v>3.6265625000000008</v>
      </c>
      <c r="AB605" s="1">
        <f t="shared" si="157"/>
        <v>3.4333333333333331</v>
      </c>
      <c r="AC605" s="1">
        <f t="shared" si="158"/>
        <v>0</v>
      </c>
      <c r="AD605" s="1">
        <f t="shared" si="159"/>
        <v>7.4877553867511888E-3</v>
      </c>
    </row>
    <row r="606" spans="1:30" x14ac:dyDescent="0.35">
      <c r="A606" t="s">
        <v>1233</v>
      </c>
      <c r="B606" t="s">
        <v>60</v>
      </c>
      <c r="C606" t="s">
        <v>36</v>
      </c>
      <c r="D606" t="s">
        <v>25</v>
      </c>
      <c r="E606">
        <v>48</v>
      </c>
      <c r="F606" t="s">
        <v>37</v>
      </c>
      <c r="G606" t="s">
        <v>71</v>
      </c>
      <c r="H606" t="s">
        <v>1234</v>
      </c>
      <c r="I606">
        <v>19</v>
      </c>
      <c r="J606">
        <v>26</v>
      </c>
      <c r="K606">
        <v>186180</v>
      </c>
      <c r="L606">
        <v>2.7</v>
      </c>
      <c r="M606" t="s">
        <v>21</v>
      </c>
      <c r="N606">
        <v>44</v>
      </c>
      <c r="O606">
        <f t="shared" si="144"/>
        <v>396</v>
      </c>
      <c r="P606">
        <f t="shared" si="145"/>
        <v>202</v>
      </c>
      <c r="Q606">
        <f t="shared" si="146"/>
        <v>194</v>
      </c>
      <c r="R606">
        <f t="shared" si="147"/>
        <v>49.650349650349654</v>
      </c>
      <c r="S606" s="1">
        <f t="shared" si="148"/>
        <v>50.24975024975025</v>
      </c>
      <c r="T606" s="1">
        <f t="shared" si="149"/>
        <v>181</v>
      </c>
      <c r="U606" s="1">
        <f t="shared" si="150"/>
        <v>215</v>
      </c>
      <c r="V606" s="1">
        <f t="shared" si="151"/>
        <v>47.5</v>
      </c>
      <c r="W606" s="1">
        <f t="shared" si="152"/>
        <v>52.5</v>
      </c>
      <c r="X606" s="1">
        <f t="shared" si="153"/>
        <v>15.108585858585858</v>
      </c>
      <c r="Y606" s="1">
        <f t="shared" si="154"/>
        <v>64</v>
      </c>
      <c r="Z606" s="1">
        <f t="shared" si="155"/>
        <v>69</v>
      </c>
      <c r="AA606" s="1">
        <f t="shared" si="156"/>
        <v>3.6265625000000008</v>
      </c>
      <c r="AB606" s="1">
        <f t="shared" si="157"/>
        <v>3.4333333333333331</v>
      </c>
      <c r="AC606" s="1">
        <f t="shared" si="158"/>
        <v>1</v>
      </c>
      <c r="AD606" s="1">
        <f t="shared" si="159"/>
        <v>7.4599957463217003E-3</v>
      </c>
    </row>
    <row r="607" spans="1:30" x14ac:dyDescent="0.35">
      <c r="A607" t="s">
        <v>1235</v>
      </c>
      <c r="B607" t="s">
        <v>35</v>
      </c>
      <c r="C607" t="s">
        <v>93</v>
      </c>
      <c r="D607" t="s">
        <v>17</v>
      </c>
      <c r="E607">
        <v>44</v>
      </c>
      <c r="F607" t="s">
        <v>31</v>
      </c>
      <c r="G607" t="s">
        <v>71</v>
      </c>
      <c r="H607" t="s">
        <v>729</v>
      </c>
      <c r="I607">
        <v>10</v>
      </c>
      <c r="J607">
        <v>14</v>
      </c>
      <c r="K607">
        <v>235788</v>
      </c>
      <c r="L607">
        <v>4.2</v>
      </c>
      <c r="M607" t="s">
        <v>21</v>
      </c>
      <c r="N607">
        <v>58</v>
      </c>
      <c r="O607">
        <f t="shared" si="144"/>
        <v>395</v>
      </c>
      <c r="P607">
        <f t="shared" si="145"/>
        <v>202</v>
      </c>
      <c r="Q607">
        <f t="shared" si="146"/>
        <v>193</v>
      </c>
      <c r="R607">
        <f t="shared" si="147"/>
        <v>49.650349650349654</v>
      </c>
      <c r="S607" s="1">
        <f t="shared" si="148"/>
        <v>50.24975024975025</v>
      </c>
      <c r="T607" s="1">
        <f t="shared" si="149"/>
        <v>180</v>
      </c>
      <c r="U607" s="1">
        <f t="shared" si="150"/>
        <v>215</v>
      </c>
      <c r="V607" s="1">
        <f t="shared" si="151"/>
        <v>47.5</v>
      </c>
      <c r="W607" s="1">
        <f t="shared" si="152"/>
        <v>52.5</v>
      </c>
      <c r="X607" s="1">
        <f t="shared" si="153"/>
        <v>15.081012658227849</v>
      </c>
      <c r="Y607" s="1">
        <f t="shared" si="154"/>
        <v>64</v>
      </c>
      <c r="Z607" s="1">
        <f t="shared" si="155"/>
        <v>69</v>
      </c>
      <c r="AA607" s="1">
        <f t="shared" si="156"/>
        <v>3.6265625000000008</v>
      </c>
      <c r="AB607" s="1">
        <f t="shared" si="157"/>
        <v>3.4333333333333331</v>
      </c>
      <c r="AC607" s="1">
        <f t="shared" si="158"/>
        <v>1</v>
      </c>
      <c r="AD607" s="1">
        <f t="shared" si="159"/>
        <v>3.1999526920658146E-3</v>
      </c>
    </row>
    <row r="608" spans="1:30" x14ac:dyDescent="0.35">
      <c r="A608" t="s">
        <v>1236</v>
      </c>
      <c r="B608" t="s">
        <v>45</v>
      </c>
      <c r="C608" t="s">
        <v>56</v>
      </c>
      <c r="D608" t="s">
        <v>17</v>
      </c>
      <c r="E608">
        <v>30</v>
      </c>
      <c r="F608" t="s">
        <v>37</v>
      </c>
      <c r="G608" t="s">
        <v>88</v>
      </c>
      <c r="H608" t="s">
        <v>1237</v>
      </c>
      <c r="I608">
        <v>13</v>
      </c>
      <c r="J608">
        <v>16</v>
      </c>
      <c r="K608">
        <v>451992</v>
      </c>
      <c r="L608">
        <v>2.5</v>
      </c>
      <c r="M608" t="s">
        <v>43</v>
      </c>
      <c r="N608">
        <v>74</v>
      </c>
      <c r="O608">
        <f t="shared" si="144"/>
        <v>394</v>
      </c>
      <c r="P608">
        <f t="shared" si="145"/>
        <v>201</v>
      </c>
      <c r="Q608">
        <f t="shared" si="146"/>
        <v>193</v>
      </c>
      <c r="R608">
        <f t="shared" si="147"/>
        <v>49.650349650349654</v>
      </c>
      <c r="S608" s="1">
        <f t="shared" si="148"/>
        <v>50.24975024975025</v>
      </c>
      <c r="T608" s="1">
        <f t="shared" si="149"/>
        <v>179</v>
      </c>
      <c r="U608" s="1">
        <f t="shared" si="150"/>
        <v>215</v>
      </c>
      <c r="V608" s="1">
        <f t="shared" si="151"/>
        <v>47.5</v>
      </c>
      <c r="W608" s="1">
        <f t="shared" si="152"/>
        <v>52.5</v>
      </c>
      <c r="X608" s="1">
        <f t="shared" si="153"/>
        <v>15.083756345177665</v>
      </c>
      <c r="Y608" s="1">
        <f t="shared" si="154"/>
        <v>64</v>
      </c>
      <c r="Z608" s="1">
        <f t="shared" si="155"/>
        <v>68</v>
      </c>
      <c r="AA608" s="1">
        <f t="shared" si="156"/>
        <v>3.6265625000000008</v>
      </c>
      <c r="AB608" s="1">
        <f t="shared" si="157"/>
        <v>3.4220588235294112</v>
      </c>
      <c r="AC608" s="1">
        <f t="shared" si="158"/>
        <v>0</v>
      </c>
      <c r="AD608" s="1">
        <f t="shared" si="159"/>
        <v>3.6328583417355744E-3</v>
      </c>
    </row>
    <row r="609" spans="1:30" x14ac:dyDescent="0.35">
      <c r="A609" t="s">
        <v>1238</v>
      </c>
      <c r="B609" t="s">
        <v>78</v>
      </c>
      <c r="C609" t="s">
        <v>30</v>
      </c>
      <c r="D609" t="s">
        <v>17</v>
      </c>
      <c r="E609">
        <v>50</v>
      </c>
      <c r="F609" t="s">
        <v>37</v>
      </c>
      <c r="G609" t="s">
        <v>19</v>
      </c>
      <c r="H609" t="s">
        <v>1239</v>
      </c>
      <c r="I609">
        <v>20</v>
      </c>
      <c r="J609">
        <v>26</v>
      </c>
      <c r="K609">
        <v>124701</v>
      </c>
      <c r="L609">
        <v>4</v>
      </c>
      <c r="M609" t="s">
        <v>21</v>
      </c>
      <c r="N609">
        <v>69</v>
      </c>
      <c r="O609">
        <f t="shared" si="144"/>
        <v>393</v>
      </c>
      <c r="P609">
        <f t="shared" si="145"/>
        <v>200</v>
      </c>
      <c r="Q609">
        <f t="shared" si="146"/>
        <v>193</v>
      </c>
      <c r="R609">
        <f t="shared" si="147"/>
        <v>49.650349650349654</v>
      </c>
      <c r="S609" s="1">
        <f t="shared" si="148"/>
        <v>50.24975024975025</v>
      </c>
      <c r="T609" s="1">
        <f t="shared" si="149"/>
        <v>179</v>
      </c>
      <c r="U609" s="1">
        <f t="shared" si="150"/>
        <v>214</v>
      </c>
      <c r="V609" s="1">
        <f t="shared" si="151"/>
        <v>47.5</v>
      </c>
      <c r="W609" s="1">
        <f t="shared" si="152"/>
        <v>52.5</v>
      </c>
      <c r="X609" s="1">
        <f t="shared" si="153"/>
        <v>15.081424936386769</v>
      </c>
      <c r="Y609" s="1">
        <f t="shared" si="154"/>
        <v>64</v>
      </c>
      <c r="Z609" s="1">
        <f t="shared" si="155"/>
        <v>68</v>
      </c>
      <c r="AA609" s="1">
        <f t="shared" si="156"/>
        <v>3.6265625000000008</v>
      </c>
      <c r="AB609" s="1">
        <f t="shared" si="157"/>
        <v>3.4220588235294112</v>
      </c>
      <c r="AC609" s="1">
        <f t="shared" si="158"/>
        <v>1</v>
      </c>
      <c r="AD609" s="1">
        <f t="shared" si="159"/>
        <v>3.9398723679066362E-3</v>
      </c>
    </row>
    <row r="610" spans="1:30" x14ac:dyDescent="0.35">
      <c r="A610" t="s">
        <v>1240</v>
      </c>
      <c r="B610" t="s">
        <v>96</v>
      </c>
      <c r="C610" t="s">
        <v>64</v>
      </c>
      <c r="D610" t="s">
        <v>25</v>
      </c>
      <c r="E610">
        <v>43</v>
      </c>
      <c r="F610" t="s">
        <v>74</v>
      </c>
      <c r="G610" t="s">
        <v>26</v>
      </c>
      <c r="H610" t="s">
        <v>1241</v>
      </c>
      <c r="I610">
        <v>10</v>
      </c>
      <c r="J610">
        <v>19</v>
      </c>
      <c r="K610">
        <v>200287</v>
      </c>
      <c r="L610">
        <v>4.5999999999999996</v>
      </c>
      <c r="M610" t="s">
        <v>21</v>
      </c>
      <c r="N610">
        <v>40</v>
      </c>
      <c r="O610">
        <f t="shared" si="144"/>
        <v>392</v>
      </c>
      <c r="P610">
        <f t="shared" si="145"/>
        <v>199</v>
      </c>
      <c r="Q610">
        <f t="shared" si="146"/>
        <v>193</v>
      </c>
      <c r="R610">
        <f t="shared" si="147"/>
        <v>49.650349650349654</v>
      </c>
      <c r="S610" s="1">
        <f t="shared" si="148"/>
        <v>50.24975024975025</v>
      </c>
      <c r="T610" s="1">
        <f t="shared" si="149"/>
        <v>178</v>
      </c>
      <c r="U610" s="1">
        <f t="shared" si="150"/>
        <v>214</v>
      </c>
      <c r="V610" s="1">
        <f t="shared" si="151"/>
        <v>47.5</v>
      </c>
      <c r="W610" s="1">
        <f t="shared" si="152"/>
        <v>52.5</v>
      </c>
      <c r="X610" s="1">
        <f t="shared" si="153"/>
        <v>15.053571428571429</v>
      </c>
      <c r="Y610" s="1">
        <f t="shared" si="154"/>
        <v>64</v>
      </c>
      <c r="Z610" s="1">
        <f t="shared" si="155"/>
        <v>68</v>
      </c>
      <c r="AA610" s="1">
        <f t="shared" si="156"/>
        <v>3.6265625000000008</v>
      </c>
      <c r="AB610" s="1">
        <f t="shared" si="157"/>
        <v>3.4220588235294112</v>
      </c>
      <c r="AC610" s="1">
        <f t="shared" si="158"/>
        <v>1</v>
      </c>
      <c r="AD610" s="1">
        <f t="shared" si="159"/>
        <v>-3.9086104087609032E-4</v>
      </c>
    </row>
    <row r="611" spans="1:30" x14ac:dyDescent="0.35">
      <c r="A611" t="s">
        <v>1242</v>
      </c>
      <c r="B611" t="s">
        <v>15</v>
      </c>
      <c r="C611" t="s">
        <v>56</v>
      </c>
      <c r="D611" t="s">
        <v>25</v>
      </c>
      <c r="E611">
        <v>46</v>
      </c>
      <c r="F611" t="s">
        <v>46</v>
      </c>
      <c r="G611" t="s">
        <v>71</v>
      </c>
      <c r="H611" t="s">
        <v>1243</v>
      </c>
      <c r="I611">
        <v>12</v>
      </c>
      <c r="J611">
        <v>18</v>
      </c>
      <c r="K611">
        <v>106416</v>
      </c>
      <c r="L611">
        <v>4.8</v>
      </c>
      <c r="M611" t="s">
        <v>43</v>
      </c>
      <c r="N611">
        <v>99</v>
      </c>
      <c r="O611">
        <f t="shared" si="144"/>
        <v>391</v>
      </c>
      <c r="P611">
        <f t="shared" si="145"/>
        <v>199</v>
      </c>
      <c r="Q611">
        <f t="shared" si="146"/>
        <v>192</v>
      </c>
      <c r="R611">
        <f t="shared" si="147"/>
        <v>49.650349650349654</v>
      </c>
      <c r="S611" s="1">
        <f t="shared" si="148"/>
        <v>50.24975024975025</v>
      </c>
      <c r="T611" s="1">
        <f t="shared" si="149"/>
        <v>177</v>
      </c>
      <c r="U611" s="1">
        <f t="shared" si="150"/>
        <v>214</v>
      </c>
      <c r="V611" s="1">
        <f t="shared" si="151"/>
        <v>47.5</v>
      </c>
      <c r="W611" s="1">
        <f t="shared" si="152"/>
        <v>52.5</v>
      </c>
      <c r="X611" s="1">
        <f t="shared" si="153"/>
        <v>15.043478260869565</v>
      </c>
      <c r="Y611" s="1">
        <f t="shared" si="154"/>
        <v>63</v>
      </c>
      <c r="Z611" s="1">
        <f t="shared" si="155"/>
        <v>68</v>
      </c>
      <c r="AA611" s="1">
        <f t="shared" si="156"/>
        <v>3.611111111111112</v>
      </c>
      <c r="AB611" s="1">
        <f t="shared" si="157"/>
        <v>3.4220588235294112</v>
      </c>
      <c r="AC611" s="1">
        <f t="shared" si="158"/>
        <v>0</v>
      </c>
      <c r="AD611" s="1">
        <f t="shared" si="159"/>
        <v>-1.9705941143285913E-3</v>
      </c>
    </row>
    <row r="612" spans="1:30" x14ac:dyDescent="0.35">
      <c r="A612" t="s">
        <v>1244</v>
      </c>
      <c r="B612" t="s">
        <v>23</v>
      </c>
      <c r="C612" t="s">
        <v>36</v>
      </c>
      <c r="D612" t="s">
        <v>17</v>
      </c>
      <c r="E612">
        <v>41</v>
      </c>
      <c r="F612" t="s">
        <v>18</v>
      </c>
      <c r="G612" t="s">
        <v>26</v>
      </c>
      <c r="H612" t="s">
        <v>1245</v>
      </c>
      <c r="I612">
        <v>16</v>
      </c>
      <c r="J612">
        <v>17</v>
      </c>
      <c r="K612">
        <v>235318</v>
      </c>
      <c r="L612">
        <v>2.7</v>
      </c>
      <c r="M612" t="s">
        <v>43</v>
      </c>
      <c r="N612">
        <v>85</v>
      </c>
      <c r="O612">
        <f t="shared" si="144"/>
        <v>390</v>
      </c>
      <c r="P612">
        <f t="shared" si="145"/>
        <v>199</v>
      </c>
      <c r="Q612">
        <f t="shared" si="146"/>
        <v>191</v>
      </c>
      <c r="R612">
        <f t="shared" si="147"/>
        <v>49.650349650349654</v>
      </c>
      <c r="S612" s="1">
        <f t="shared" si="148"/>
        <v>50.24975024975025</v>
      </c>
      <c r="T612" s="1">
        <f t="shared" si="149"/>
        <v>177</v>
      </c>
      <c r="U612" s="1">
        <f t="shared" si="150"/>
        <v>213</v>
      </c>
      <c r="V612" s="1">
        <f t="shared" si="151"/>
        <v>47.5</v>
      </c>
      <c r="W612" s="1">
        <f t="shared" si="152"/>
        <v>52.5</v>
      </c>
      <c r="X612" s="1">
        <f t="shared" si="153"/>
        <v>15.035897435897436</v>
      </c>
      <c r="Y612" s="1">
        <f t="shared" si="154"/>
        <v>63</v>
      </c>
      <c r="Z612" s="1">
        <f t="shared" si="155"/>
        <v>68</v>
      </c>
      <c r="AA612" s="1">
        <f t="shared" si="156"/>
        <v>3.611111111111112</v>
      </c>
      <c r="AB612" s="1">
        <f t="shared" si="157"/>
        <v>3.4220588235294112</v>
      </c>
      <c r="AC612" s="1">
        <f t="shared" si="158"/>
        <v>0</v>
      </c>
      <c r="AD612" s="1">
        <f t="shared" si="159"/>
        <v>-9.9097384271895845E-4</v>
      </c>
    </row>
    <row r="613" spans="1:30" x14ac:dyDescent="0.35">
      <c r="A613" t="s">
        <v>1246</v>
      </c>
      <c r="B613" t="s">
        <v>69</v>
      </c>
      <c r="C613" t="s">
        <v>64</v>
      </c>
      <c r="D613" t="s">
        <v>25</v>
      </c>
      <c r="E613">
        <v>41</v>
      </c>
      <c r="F613" t="s">
        <v>79</v>
      </c>
      <c r="G613" t="s">
        <v>19</v>
      </c>
      <c r="H613" t="s">
        <v>1247</v>
      </c>
      <c r="I613">
        <v>9</v>
      </c>
      <c r="J613">
        <v>19</v>
      </c>
      <c r="K613">
        <v>301095</v>
      </c>
      <c r="L613">
        <v>3.1</v>
      </c>
      <c r="M613" t="s">
        <v>21</v>
      </c>
      <c r="N613">
        <v>67</v>
      </c>
      <c r="O613">
        <f t="shared" si="144"/>
        <v>389</v>
      </c>
      <c r="P613">
        <f t="shared" si="145"/>
        <v>198</v>
      </c>
      <c r="Q613">
        <f t="shared" si="146"/>
        <v>191</v>
      </c>
      <c r="R613">
        <f t="shared" si="147"/>
        <v>49.650349650349654</v>
      </c>
      <c r="S613" s="1">
        <f t="shared" si="148"/>
        <v>50.24975024975025</v>
      </c>
      <c r="T613" s="1">
        <f t="shared" si="149"/>
        <v>177</v>
      </c>
      <c r="U613" s="1">
        <f t="shared" si="150"/>
        <v>212</v>
      </c>
      <c r="V613" s="1">
        <f t="shared" si="151"/>
        <v>47.5</v>
      </c>
      <c r="W613" s="1">
        <f t="shared" si="152"/>
        <v>52.5</v>
      </c>
      <c r="X613" s="1">
        <f t="shared" si="153"/>
        <v>15.030848329048844</v>
      </c>
      <c r="Y613" s="1">
        <f t="shared" si="154"/>
        <v>63</v>
      </c>
      <c r="Z613" s="1">
        <f t="shared" si="155"/>
        <v>68</v>
      </c>
      <c r="AA613" s="1">
        <f t="shared" si="156"/>
        <v>3.611111111111112</v>
      </c>
      <c r="AB613" s="1">
        <f t="shared" si="157"/>
        <v>3.4220588235294112</v>
      </c>
      <c r="AC613" s="1">
        <f t="shared" si="158"/>
        <v>1</v>
      </c>
      <c r="AD613" s="1">
        <f t="shared" si="159"/>
        <v>-3.3721289708499183E-4</v>
      </c>
    </row>
    <row r="614" spans="1:30" x14ac:dyDescent="0.35">
      <c r="A614" t="s">
        <v>1248</v>
      </c>
      <c r="B614" t="s">
        <v>29</v>
      </c>
      <c r="C614" t="s">
        <v>30</v>
      </c>
      <c r="D614" t="s">
        <v>17</v>
      </c>
      <c r="E614">
        <v>47</v>
      </c>
      <c r="F614" t="s">
        <v>74</v>
      </c>
      <c r="G614" t="s">
        <v>88</v>
      </c>
      <c r="H614" t="s">
        <v>1249</v>
      </c>
      <c r="I614">
        <v>11</v>
      </c>
      <c r="J614">
        <v>12</v>
      </c>
      <c r="K614">
        <v>179347</v>
      </c>
      <c r="L614">
        <v>3.1</v>
      </c>
      <c r="M614" t="s">
        <v>43</v>
      </c>
      <c r="N614">
        <v>81</v>
      </c>
      <c r="O614">
        <f t="shared" si="144"/>
        <v>388</v>
      </c>
      <c r="P614">
        <f t="shared" si="145"/>
        <v>198</v>
      </c>
      <c r="Q614">
        <f t="shared" si="146"/>
        <v>190</v>
      </c>
      <c r="R614">
        <f t="shared" si="147"/>
        <v>49.650349650349654</v>
      </c>
      <c r="S614" s="1">
        <f t="shared" si="148"/>
        <v>50.24975024975025</v>
      </c>
      <c r="T614" s="1">
        <f t="shared" si="149"/>
        <v>176</v>
      </c>
      <c r="U614" s="1">
        <f t="shared" si="150"/>
        <v>212</v>
      </c>
      <c r="V614" s="1">
        <f t="shared" si="151"/>
        <v>47.5</v>
      </c>
      <c r="W614" s="1">
        <f t="shared" si="152"/>
        <v>52.5</v>
      </c>
      <c r="X614" s="1">
        <f t="shared" si="153"/>
        <v>15.020618556701031</v>
      </c>
      <c r="Y614" s="1">
        <f t="shared" si="154"/>
        <v>63</v>
      </c>
      <c r="Z614" s="1">
        <f t="shared" si="155"/>
        <v>68</v>
      </c>
      <c r="AA614" s="1">
        <f t="shared" si="156"/>
        <v>3.611111111111112</v>
      </c>
      <c r="AB614" s="1">
        <f t="shared" si="157"/>
        <v>3.4220588235294112</v>
      </c>
      <c r="AC614" s="1">
        <f t="shared" si="158"/>
        <v>0</v>
      </c>
      <c r="AD614" s="1">
        <f t="shared" si="159"/>
        <v>-1.9302710753746925E-3</v>
      </c>
    </row>
    <row r="615" spans="1:30" x14ac:dyDescent="0.35">
      <c r="A615" t="s">
        <v>1250</v>
      </c>
      <c r="B615" t="s">
        <v>55</v>
      </c>
      <c r="C615" t="s">
        <v>56</v>
      </c>
      <c r="D615" t="s">
        <v>17</v>
      </c>
      <c r="E615">
        <v>27</v>
      </c>
      <c r="F615" t="s">
        <v>31</v>
      </c>
      <c r="G615" t="s">
        <v>88</v>
      </c>
      <c r="H615" t="s">
        <v>1251</v>
      </c>
      <c r="I615">
        <v>19</v>
      </c>
      <c r="J615">
        <v>26</v>
      </c>
      <c r="K615">
        <v>210017</v>
      </c>
      <c r="L615">
        <v>2.7</v>
      </c>
      <c r="M615" t="s">
        <v>43</v>
      </c>
      <c r="N615">
        <v>76</v>
      </c>
      <c r="O615">
        <f t="shared" si="144"/>
        <v>387</v>
      </c>
      <c r="P615">
        <f t="shared" si="145"/>
        <v>197</v>
      </c>
      <c r="Q615">
        <f t="shared" si="146"/>
        <v>190</v>
      </c>
      <c r="R615">
        <f t="shared" si="147"/>
        <v>49.650349650349654</v>
      </c>
      <c r="S615" s="1">
        <f t="shared" si="148"/>
        <v>50.24975024975025</v>
      </c>
      <c r="T615" s="1">
        <f t="shared" si="149"/>
        <v>176</v>
      </c>
      <c r="U615" s="1">
        <f t="shared" si="150"/>
        <v>211</v>
      </c>
      <c r="V615" s="1">
        <f t="shared" si="151"/>
        <v>47.5</v>
      </c>
      <c r="W615" s="1">
        <f t="shared" si="152"/>
        <v>52.5</v>
      </c>
      <c r="X615" s="1">
        <f t="shared" si="153"/>
        <v>15.02842377260982</v>
      </c>
      <c r="Y615" s="1">
        <f t="shared" si="154"/>
        <v>62</v>
      </c>
      <c r="Z615" s="1">
        <f t="shared" si="155"/>
        <v>68</v>
      </c>
      <c r="AA615" s="1">
        <f t="shared" si="156"/>
        <v>3.6193548387096786</v>
      </c>
      <c r="AB615" s="1">
        <f t="shared" si="157"/>
        <v>3.4220588235294112</v>
      </c>
      <c r="AC615" s="1">
        <f t="shared" si="158"/>
        <v>0</v>
      </c>
      <c r="AD615" s="1">
        <f t="shared" si="159"/>
        <v>-2.9427925214100424E-3</v>
      </c>
    </row>
    <row r="616" spans="1:30" x14ac:dyDescent="0.35">
      <c r="A616" t="s">
        <v>1252</v>
      </c>
      <c r="B616" t="s">
        <v>69</v>
      </c>
      <c r="C616" t="s">
        <v>56</v>
      </c>
      <c r="D616" t="s">
        <v>17</v>
      </c>
      <c r="E616">
        <v>60</v>
      </c>
      <c r="F616" t="s">
        <v>31</v>
      </c>
      <c r="G616" t="s">
        <v>85</v>
      </c>
      <c r="H616" t="s">
        <v>1253</v>
      </c>
      <c r="I616">
        <v>19</v>
      </c>
      <c r="J616">
        <v>27</v>
      </c>
      <c r="K616">
        <v>258895</v>
      </c>
      <c r="L616">
        <v>4.7</v>
      </c>
      <c r="M616" t="s">
        <v>43</v>
      </c>
      <c r="N616">
        <v>86</v>
      </c>
      <c r="O616">
        <f t="shared" si="144"/>
        <v>386</v>
      </c>
      <c r="P616">
        <f t="shared" si="145"/>
        <v>196</v>
      </c>
      <c r="Q616">
        <f t="shared" si="146"/>
        <v>190</v>
      </c>
      <c r="R616">
        <f t="shared" si="147"/>
        <v>49.650349650349654</v>
      </c>
      <c r="S616" s="1">
        <f t="shared" si="148"/>
        <v>50.24975024975025</v>
      </c>
      <c r="T616" s="1">
        <f t="shared" si="149"/>
        <v>176</v>
      </c>
      <c r="U616" s="1">
        <f t="shared" si="150"/>
        <v>210</v>
      </c>
      <c r="V616" s="1">
        <f t="shared" si="151"/>
        <v>47.5</v>
      </c>
      <c r="W616" s="1">
        <f t="shared" si="152"/>
        <v>52.5</v>
      </c>
      <c r="X616" s="1">
        <f t="shared" si="153"/>
        <v>15</v>
      </c>
      <c r="Y616" s="1">
        <f t="shared" si="154"/>
        <v>62</v>
      </c>
      <c r="Z616" s="1">
        <f t="shared" si="155"/>
        <v>67</v>
      </c>
      <c r="AA616" s="1">
        <f t="shared" si="156"/>
        <v>3.6193548387096786</v>
      </c>
      <c r="AB616" s="1">
        <f t="shared" si="157"/>
        <v>3.4328358208955221</v>
      </c>
      <c r="AC616" s="1">
        <f t="shared" si="158"/>
        <v>0</v>
      </c>
      <c r="AD616" s="1">
        <f t="shared" si="159"/>
        <v>7.3833352163519097E-4</v>
      </c>
    </row>
    <row r="617" spans="1:30" x14ac:dyDescent="0.35">
      <c r="A617" t="s">
        <v>1254</v>
      </c>
      <c r="B617" t="s">
        <v>35</v>
      </c>
      <c r="C617" t="s">
        <v>36</v>
      </c>
      <c r="D617" t="s">
        <v>25</v>
      </c>
      <c r="E617">
        <v>46</v>
      </c>
      <c r="F617" t="s">
        <v>46</v>
      </c>
      <c r="G617" t="s">
        <v>75</v>
      </c>
      <c r="H617" t="s">
        <v>1255</v>
      </c>
      <c r="I617">
        <v>17</v>
      </c>
      <c r="J617">
        <v>18</v>
      </c>
      <c r="K617">
        <v>329694</v>
      </c>
      <c r="L617">
        <v>4.3</v>
      </c>
      <c r="M617" t="s">
        <v>43</v>
      </c>
      <c r="N617">
        <v>77</v>
      </c>
      <c r="O617">
        <f t="shared" si="144"/>
        <v>385</v>
      </c>
      <c r="P617">
        <f t="shared" si="145"/>
        <v>195</v>
      </c>
      <c r="Q617">
        <f t="shared" si="146"/>
        <v>190</v>
      </c>
      <c r="R617">
        <f t="shared" si="147"/>
        <v>49.650349650349654</v>
      </c>
      <c r="S617" s="1">
        <f t="shared" si="148"/>
        <v>50.24975024975025</v>
      </c>
      <c r="T617" s="1">
        <f t="shared" si="149"/>
        <v>176</v>
      </c>
      <c r="U617" s="1">
        <f t="shared" si="150"/>
        <v>209</v>
      </c>
      <c r="V617" s="1">
        <f t="shared" si="151"/>
        <v>47.5</v>
      </c>
      <c r="W617" s="1">
        <f t="shared" si="152"/>
        <v>52.5</v>
      </c>
      <c r="X617" s="1">
        <f t="shared" si="153"/>
        <v>14.968831168831169</v>
      </c>
      <c r="Y617" s="1">
        <f t="shared" si="154"/>
        <v>62</v>
      </c>
      <c r="Z617" s="1">
        <f t="shared" si="155"/>
        <v>66</v>
      </c>
      <c r="AA617" s="1">
        <f t="shared" si="156"/>
        <v>3.6193548387096786</v>
      </c>
      <c r="AB617" s="1">
        <f t="shared" si="157"/>
        <v>3.4136363636363636</v>
      </c>
      <c r="AC617" s="1">
        <f t="shared" si="158"/>
        <v>0</v>
      </c>
      <c r="AD617" s="1">
        <f t="shared" si="159"/>
        <v>4.812006744902857E-3</v>
      </c>
    </row>
    <row r="618" spans="1:30" x14ac:dyDescent="0.35">
      <c r="A618" t="s">
        <v>1256</v>
      </c>
      <c r="B618" t="s">
        <v>45</v>
      </c>
      <c r="C618" t="s">
        <v>93</v>
      </c>
      <c r="D618" t="s">
        <v>25</v>
      </c>
      <c r="E618">
        <v>36</v>
      </c>
      <c r="F618" t="s">
        <v>31</v>
      </c>
      <c r="G618" t="s">
        <v>61</v>
      </c>
      <c r="H618" t="s">
        <v>1257</v>
      </c>
      <c r="I618">
        <v>4</v>
      </c>
      <c r="J618">
        <v>12</v>
      </c>
      <c r="K618">
        <v>433092</v>
      </c>
      <c r="L618">
        <v>2.7</v>
      </c>
      <c r="M618" t="s">
        <v>43</v>
      </c>
      <c r="N618">
        <v>97</v>
      </c>
      <c r="O618">
        <f t="shared" si="144"/>
        <v>384</v>
      </c>
      <c r="P618">
        <f t="shared" si="145"/>
        <v>195</v>
      </c>
      <c r="Q618">
        <f t="shared" si="146"/>
        <v>189</v>
      </c>
      <c r="R618">
        <f t="shared" si="147"/>
        <v>49.650349650349654</v>
      </c>
      <c r="S618" s="1">
        <f t="shared" si="148"/>
        <v>50.24975024975025</v>
      </c>
      <c r="T618" s="1">
        <f t="shared" si="149"/>
        <v>176</v>
      </c>
      <c r="U618" s="1">
        <f t="shared" si="150"/>
        <v>208</v>
      </c>
      <c r="V618" s="1">
        <f t="shared" si="151"/>
        <v>47.5</v>
      </c>
      <c r="W618" s="1">
        <f t="shared" si="152"/>
        <v>52.5</v>
      </c>
      <c r="X618" s="1">
        <f t="shared" si="153"/>
        <v>14.9609375</v>
      </c>
      <c r="Y618" s="1">
        <f t="shared" si="154"/>
        <v>62</v>
      </c>
      <c r="Z618" s="1">
        <f t="shared" si="155"/>
        <v>66</v>
      </c>
      <c r="AA618" s="1">
        <f t="shared" si="156"/>
        <v>3.6193548387096786</v>
      </c>
      <c r="AB618" s="1">
        <f t="shared" si="157"/>
        <v>3.4136363636363636</v>
      </c>
      <c r="AC618" s="1">
        <f t="shared" si="158"/>
        <v>0</v>
      </c>
      <c r="AD618" s="1">
        <f t="shared" si="159"/>
        <v>5.8506070640664334E-3</v>
      </c>
    </row>
    <row r="619" spans="1:30" x14ac:dyDescent="0.35">
      <c r="A619" t="s">
        <v>1258</v>
      </c>
      <c r="B619" t="s">
        <v>111</v>
      </c>
      <c r="C619" t="s">
        <v>49</v>
      </c>
      <c r="D619" t="s">
        <v>17</v>
      </c>
      <c r="E619">
        <v>32</v>
      </c>
      <c r="F619" t="s">
        <v>79</v>
      </c>
      <c r="G619" t="s">
        <v>26</v>
      </c>
      <c r="H619" t="s">
        <v>1259</v>
      </c>
      <c r="I619">
        <v>5</v>
      </c>
      <c r="J619">
        <v>8</v>
      </c>
      <c r="K619">
        <v>461363</v>
      </c>
      <c r="L619">
        <v>4.4000000000000004</v>
      </c>
      <c r="M619" t="s">
        <v>43</v>
      </c>
      <c r="N619">
        <v>85</v>
      </c>
      <c r="O619">
        <f t="shared" si="144"/>
        <v>383</v>
      </c>
      <c r="P619">
        <f t="shared" si="145"/>
        <v>195</v>
      </c>
      <c r="Q619">
        <f t="shared" si="146"/>
        <v>188</v>
      </c>
      <c r="R619">
        <f t="shared" si="147"/>
        <v>49.650349650349654</v>
      </c>
      <c r="S619" s="1">
        <f t="shared" si="148"/>
        <v>50.24975024975025</v>
      </c>
      <c r="T619" s="1">
        <f t="shared" si="149"/>
        <v>176</v>
      </c>
      <c r="U619" s="1">
        <f t="shared" si="150"/>
        <v>207</v>
      </c>
      <c r="V619" s="1">
        <f t="shared" si="151"/>
        <v>47.5</v>
      </c>
      <c r="W619" s="1">
        <f t="shared" si="152"/>
        <v>52.5</v>
      </c>
      <c r="X619" s="1">
        <f t="shared" si="153"/>
        <v>14.968668407310705</v>
      </c>
      <c r="Y619" s="1">
        <f t="shared" si="154"/>
        <v>62</v>
      </c>
      <c r="Z619" s="1">
        <f t="shared" si="155"/>
        <v>65</v>
      </c>
      <c r="AA619" s="1">
        <f t="shared" si="156"/>
        <v>3.6193548387096786</v>
      </c>
      <c r="AB619" s="1">
        <f t="shared" si="157"/>
        <v>3.4246153846153842</v>
      </c>
      <c r="AC619" s="1">
        <f t="shared" si="158"/>
        <v>0</v>
      </c>
      <c r="AD619" s="1">
        <f t="shared" si="159"/>
        <v>4.8462171907886721E-3</v>
      </c>
    </row>
    <row r="620" spans="1:30" x14ac:dyDescent="0.35">
      <c r="A620" t="s">
        <v>1260</v>
      </c>
      <c r="B620" t="s">
        <v>60</v>
      </c>
      <c r="C620" t="s">
        <v>56</v>
      </c>
      <c r="D620" t="s">
        <v>25</v>
      </c>
      <c r="E620">
        <v>45</v>
      </c>
      <c r="F620" t="s">
        <v>31</v>
      </c>
      <c r="G620" t="s">
        <v>57</v>
      </c>
      <c r="H620" t="s">
        <v>1261</v>
      </c>
      <c r="I620">
        <v>20</v>
      </c>
      <c r="J620">
        <v>22</v>
      </c>
      <c r="K620">
        <v>411956</v>
      </c>
      <c r="L620">
        <v>2.7</v>
      </c>
      <c r="M620" t="s">
        <v>21</v>
      </c>
      <c r="N620">
        <v>51</v>
      </c>
      <c r="O620">
        <f t="shared" si="144"/>
        <v>382</v>
      </c>
      <c r="P620">
        <f t="shared" si="145"/>
        <v>194</v>
      </c>
      <c r="Q620">
        <f t="shared" si="146"/>
        <v>188</v>
      </c>
      <c r="R620">
        <f t="shared" si="147"/>
        <v>49.650349650349654</v>
      </c>
      <c r="S620" s="1">
        <f t="shared" si="148"/>
        <v>50.24975024975025</v>
      </c>
      <c r="T620" s="1">
        <f t="shared" si="149"/>
        <v>176</v>
      </c>
      <c r="U620" s="1">
        <f t="shared" si="150"/>
        <v>206</v>
      </c>
      <c r="V620" s="1">
        <f t="shared" si="151"/>
        <v>47.5</v>
      </c>
      <c r="W620" s="1">
        <f t="shared" si="152"/>
        <v>52.5</v>
      </c>
      <c r="X620" s="1">
        <f t="shared" si="153"/>
        <v>14.986910994764397</v>
      </c>
      <c r="Y620" s="1">
        <f t="shared" si="154"/>
        <v>62</v>
      </c>
      <c r="Z620" s="1">
        <f t="shared" si="155"/>
        <v>65</v>
      </c>
      <c r="AA620" s="1">
        <f t="shared" si="156"/>
        <v>3.6193548387096786</v>
      </c>
      <c r="AB620" s="1">
        <f t="shared" si="157"/>
        <v>3.4246153846153842</v>
      </c>
      <c r="AC620" s="1">
        <f t="shared" si="158"/>
        <v>1</v>
      </c>
      <c r="AD620" s="1">
        <f t="shared" si="159"/>
        <v>2.4635889748660452E-3</v>
      </c>
    </row>
    <row r="621" spans="1:30" x14ac:dyDescent="0.35">
      <c r="A621" t="s">
        <v>1262</v>
      </c>
      <c r="B621" t="s">
        <v>45</v>
      </c>
      <c r="C621" t="s">
        <v>56</v>
      </c>
      <c r="D621" t="s">
        <v>25</v>
      </c>
      <c r="E621">
        <v>32</v>
      </c>
      <c r="F621" t="s">
        <v>74</v>
      </c>
      <c r="G621" t="s">
        <v>71</v>
      </c>
      <c r="H621" t="s">
        <v>1263</v>
      </c>
      <c r="I621">
        <v>20</v>
      </c>
      <c r="J621">
        <v>29</v>
      </c>
      <c r="K621">
        <v>151245</v>
      </c>
      <c r="L621">
        <v>2</v>
      </c>
      <c r="M621" t="s">
        <v>43</v>
      </c>
      <c r="N621">
        <v>90</v>
      </c>
      <c r="O621">
        <f t="shared" si="144"/>
        <v>381</v>
      </c>
      <c r="P621">
        <f t="shared" si="145"/>
        <v>194</v>
      </c>
      <c r="Q621">
        <f t="shared" si="146"/>
        <v>187</v>
      </c>
      <c r="R621">
        <f t="shared" si="147"/>
        <v>49.650349650349654</v>
      </c>
      <c r="S621" s="1">
        <f t="shared" si="148"/>
        <v>50.24975024975025</v>
      </c>
      <c r="T621" s="1">
        <f t="shared" si="149"/>
        <v>175</v>
      </c>
      <c r="U621" s="1">
        <f t="shared" si="150"/>
        <v>206</v>
      </c>
      <c r="V621" s="1">
        <f t="shared" si="151"/>
        <v>47.5</v>
      </c>
      <c r="W621" s="1">
        <f t="shared" si="152"/>
        <v>52.5</v>
      </c>
      <c r="X621" s="1">
        <f t="shared" si="153"/>
        <v>14.968503937007874</v>
      </c>
      <c r="Y621" s="1">
        <f t="shared" si="154"/>
        <v>62</v>
      </c>
      <c r="Z621" s="1">
        <f t="shared" si="155"/>
        <v>64</v>
      </c>
      <c r="AA621" s="1">
        <f t="shared" si="156"/>
        <v>3.6193548387096786</v>
      </c>
      <c r="AB621" s="1">
        <f t="shared" si="157"/>
        <v>3.4359374999999996</v>
      </c>
      <c r="AC621" s="1">
        <f t="shared" si="158"/>
        <v>0</v>
      </c>
      <c r="AD621" s="1">
        <f t="shared" si="159"/>
        <v>-3.6508521241064649E-4</v>
      </c>
    </row>
    <row r="622" spans="1:30" x14ac:dyDescent="0.35">
      <c r="A622" t="s">
        <v>1264</v>
      </c>
      <c r="B622" t="s">
        <v>29</v>
      </c>
      <c r="C622" t="s">
        <v>52</v>
      </c>
      <c r="D622" t="s">
        <v>17</v>
      </c>
      <c r="E622">
        <v>35</v>
      </c>
      <c r="F622" t="s">
        <v>74</v>
      </c>
      <c r="G622" t="s">
        <v>85</v>
      </c>
      <c r="H622" t="s">
        <v>1025</v>
      </c>
      <c r="I622">
        <v>18</v>
      </c>
      <c r="J622">
        <v>28</v>
      </c>
      <c r="K622">
        <v>178441</v>
      </c>
      <c r="L622">
        <v>2.2999999999999998</v>
      </c>
      <c r="M622" t="s">
        <v>21</v>
      </c>
      <c r="N622">
        <v>38</v>
      </c>
      <c r="O622">
        <f t="shared" si="144"/>
        <v>380</v>
      </c>
      <c r="P622">
        <f t="shared" si="145"/>
        <v>194</v>
      </c>
      <c r="Q622">
        <f t="shared" si="146"/>
        <v>186</v>
      </c>
      <c r="R622">
        <f t="shared" si="147"/>
        <v>49.650349650349654</v>
      </c>
      <c r="S622" s="1">
        <f t="shared" si="148"/>
        <v>50.24975024975025</v>
      </c>
      <c r="T622" s="1">
        <f t="shared" si="149"/>
        <v>175</v>
      </c>
      <c r="U622" s="1">
        <f t="shared" si="150"/>
        <v>205</v>
      </c>
      <c r="V622" s="1">
        <f t="shared" si="151"/>
        <v>47.5</v>
      </c>
      <c r="W622" s="1">
        <f t="shared" si="152"/>
        <v>52.5</v>
      </c>
      <c r="X622" s="1">
        <f t="shared" si="153"/>
        <v>14.93157894736842</v>
      </c>
      <c r="Y622" s="1">
        <f t="shared" si="154"/>
        <v>61</v>
      </c>
      <c r="Z622" s="1">
        <f t="shared" si="155"/>
        <v>64</v>
      </c>
      <c r="AA622" s="1">
        <f t="shared" si="156"/>
        <v>3.6459016393442631</v>
      </c>
      <c r="AB622" s="1">
        <f t="shared" si="157"/>
        <v>3.4359374999999996</v>
      </c>
      <c r="AC622" s="1">
        <f t="shared" si="158"/>
        <v>1</v>
      </c>
      <c r="AD622" s="1">
        <f t="shared" si="159"/>
        <v>4.49588023755373E-3</v>
      </c>
    </row>
    <row r="623" spans="1:30" x14ac:dyDescent="0.35">
      <c r="A623" t="s">
        <v>1265</v>
      </c>
      <c r="B623" t="s">
        <v>78</v>
      </c>
      <c r="C623" t="s">
        <v>16</v>
      </c>
      <c r="D623" t="s">
        <v>25</v>
      </c>
      <c r="E623">
        <v>38</v>
      </c>
      <c r="F623" t="s">
        <v>79</v>
      </c>
      <c r="G623" t="s">
        <v>75</v>
      </c>
      <c r="H623" t="s">
        <v>1266</v>
      </c>
      <c r="I623">
        <v>2</v>
      </c>
      <c r="J623">
        <v>8</v>
      </c>
      <c r="K623">
        <v>182608</v>
      </c>
      <c r="L623">
        <v>2.1</v>
      </c>
      <c r="M623" t="s">
        <v>43</v>
      </c>
      <c r="N623">
        <v>84</v>
      </c>
      <c r="O623">
        <f t="shared" si="144"/>
        <v>379</v>
      </c>
      <c r="P623">
        <f t="shared" si="145"/>
        <v>193</v>
      </c>
      <c r="Q623">
        <f t="shared" si="146"/>
        <v>186</v>
      </c>
      <c r="R623">
        <f t="shared" si="147"/>
        <v>49.650349650349654</v>
      </c>
      <c r="S623" s="1">
        <f t="shared" si="148"/>
        <v>50.24975024975025</v>
      </c>
      <c r="T623" s="1">
        <f t="shared" si="149"/>
        <v>174</v>
      </c>
      <c r="U623" s="1">
        <f t="shared" si="150"/>
        <v>205</v>
      </c>
      <c r="V623" s="1">
        <f t="shared" si="151"/>
        <v>47.5</v>
      </c>
      <c r="W623" s="1">
        <f t="shared" si="152"/>
        <v>52.5</v>
      </c>
      <c r="X623" s="1">
        <f t="shared" si="153"/>
        <v>14.897097625329815</v>
      </c>
      <c r="Y623" s="1">
        <f t="shared" si="154"/>
        <v>60</v>
      </c>
      <c r="Z623" s="1">
        <f t="shared" si="155"/>
        <v>64</v>
      </c>
      <c r="AA623" s="1">
        <f t="shared" si="156"/>
        <v>3.6683333333333343</v>
      </c>
      <c r="AB623" s="1">
        <f t="shared" si="157"/>
        <v>3.4359374999999996</v>
      </c>
      <c r="AC623" s="1">
        <f t="shared" si="158"/>
        <v>0</v>
      </c>
      <c r="AD623" s="1">
        <f t="shared" si="159"/>
        <v>-8.2918435834561464E-4</v>
      </c>
    </row>
    <row r="624" spans="1:30" x14ac:dyDescent="0.35">
      <c r="A624" t="s">
        <v>1267</v>
      </c>
      <c r="B624" t="s">
        <v>55</v>
      </c>
      <c r="C624" t="s">
        <v>16</v>
      </c>
      <c r="D624" t="s">
        <v>25</v>
      </c>
      <c r="E624">
        <v>40</v>
      </c>
      <c r="F624" t="s">
        <v>31</v>
      </c>
      <c r="G624" t="s">
        <v>75</v>
      </c>
      <c r="H624" t="s">
        <v>1268</v>
      </c>
      <c r="I624">
        <v>18</v>
      </c>
      <c r="J624">
        <v>21</v>
      </c>
      <c r="K624">
        <v>377644</v>
      </c>
      <c r="L624">
        <v>5</v>
      </c>
      <c r="M624" t="s">
        <v>21</v>
      </c>
      <c r="N624">
        <v>58</v>
      </c>
      <c r="O624">
        <f t="shared" si="144"/>
        <v>378</v>
      </c>
      <c r="P624">
        <f t="shared" si="145"/>
        <v>193</v>
      </c>
      <c r="Q624">
        <f t="shared" si="146"/>
        <v>185</v>
      </c>
      <c r="R624">
        <f t="shared" si="147"/>
        <v>49.650349650349654</v>
      </c>
      <c r="S624" s="1">
        <f t="shared" si="148"/>
        <v>50.24975024975025</v>
      </c>
      <c r="T624" s="1">
        <f t="shared" si="149"/>
        <v>174</v>
      </c>
      <c r="U624" s="1">
        <f t="shared" si="150"/>
        <v>204</v>
      </c>
      <c r="V624" s="1">
        <f t="shared" si="151"/>
        <v>47.5</v>
      </c>
      <c r="W624" s="1">
        <f t="shared" si="152"/>
        <v>52.5</v>
      </c>
      <c r="X624" s="1">
        <f t="shared" si="153"/>
        <v>14.915343915343914</v>
      </c>
      <c r="Y624" s="1">
        <f t="shared" si="154"/>
        <v>60</v>
      </c>
      <c r="Z624" s="1">
        <f t="shared" si="155"/>
        <v>64</v>
      </c>
      <c r="AA624" s="1">
        <f t="shared" si="156"/>
        <v>3.6683333333333343</v>
      </c>
      <c r="AB624" s="1">
        <f t="shared" si="157"/>
        <v>3.4359374999999996</v>
      </c>
      <c r="AC624" s="1">
        <f t="shared" si="158"/>
        <v>1</v>
      </c>
      <c r="AD624" s="1">
        <f t="shared" si="159"/>
        <v>-3.2411696971703938E-3</v>
      </c>
    </row>
    <row r="625" spans="1:30" x14ac:dyDescent="0.35">
      <c r="A625" t="s">
        <v>1269</v>
      </c>
      <c r="B625" t="s">
        <v>78</v>
      </c>
      <c r="C625" t="s">
        <v>16</v>
      </c>
      <c r="D625" t="s">
        <v>25</v>
      </c>
      <c r="E625">
        <v>31</v>
      </c>
      <c r="F625" t="s">
        <v>74</v>
      </c>
      <c r="G625" t="s">
        <v>85</v>
      </c>
      <c r="H625" t="s">
        <v>1270</v>
      </c>
      <c r="I625">
        <v>11</v>
      </c>
      <c r="J625">
        <v>14</v>
      </c>
      <c r="K625">
        <v>62133</v>
      </c>
      <c r="L625">
        <v>3.5</v>
      </c>
      <c r="M625" t="s">
        <v>43</v>
      </c>
      <c r="N625">
        <v>88</v>
      </c>
      <c r="O625">
        <f t="shared" si="144"/>
        <v>377</v>
      </c>
      <c r="P625">
        <f t="shared" si="145"/>
        <v>193</v>
      </c>
      <c r="Q625">
        <f t="shared" si="146"/>
        <v>184</v>
      </c>
      <c r="R625">
        <f t="shared" si="147"/>
        <v>49.650349650349654</v>
      </c>
      <c r="S625" s="1">
        <f t="shared" si="148"/>
        <v>50.24975024975025</v>
      </c>
      <c r="T625" s="1">
        <f t="shared" si="149"/>
        <v>173</v>
      </c>
      <c r="U625" s="1">
        <f t="shared" si="150"/>
        <v>204</v>
      </c>
      <c r="V625" s="1">
        <f t="shared" si="151"/>
        <v>47.5</v>
      </c>
      <c r="W625" s="1">
        <f t="shared" si="152"/>
        <v>52.5</v>
      </c>
      <c r="X625" s="1">
        <f t="shared" si="153"/>
        <v>14.89920424403183</v>
      </c>
      <c r="Y625" s="1">
        <f t="shared" si="154"/>
        <v>60</v>
      </c>
      <c r="Z625" s="1">
        <f t="shared" si="155"/>
        <v>63</v>
      </c>
      <c r="AA625" s="1">
        <f t="shared" si="156"/>
        <v>3.6683333333333343</v>
      </c>
      <c r="AB625" s="1">
        <f t="shared" si="157"/>
        <v>3.4111111111111105</v>
      </c>
      <c r="AC625" s="1">
        <f t="shared" si="158"/>
        <v>0</v>
      </c>
      <c r="AD625" s="1">
        <f t="shared" si="159"/>
        <v>-5.7551792083723888E-3</v>
      </c>
    </row>
    <row r="626" spans="1:30" x14ac:dyDescent="0.35">
      <c r="A626" t="s">
        <v>1271</v>
      </c>
      <c r="B626" t="s">
        <v>29</v>
      </c>
      <c r="C626" t="s">
        <v>30</v>
      </c>
      <c r="D626" t="s">
        <v>17</v>
      </c>
      <c r="E626">
        <v>32</v>
      </c>
      <c r="F626" t="s">
        <v>37</v>
      </c>
      <c r="G626" t="s">
        <v>71</v>
      </c>
      <c r="H626" t="s">
        <v>1272</v>
      </c>
      <c r="I626">
        <v>18</v>
      </c>
      <c r="J626">
        <v>18</v>
      </c>
      <c r="K626">
        <v>432338</v>
      </c>
      <c r="L626">
        <v>3.4</v>
      </c>
      <c r="M626" t="s">
        <v>43</v>
      </c>
      <c r="N626">
        <v>72</v>
      </c>
      <c r="O626">
        <f t="shared" si="144"/>
        <v>376</v>
      </c>
      <c r="P626">
        <f t="shared" si="145"/>
        <v>193</v>
      </c>
      <c r="Q626">
        <f t="shared" si="146"/>
        <v>183</v>
      </c>
      <c r="R626">
        <f t="shared" si="147"/>
        <v>49.650349650349654</v>
      </c>
      <c r="S626" s="1">
        <f t="shared" si="148"/>
        <v>50.24975024975025</v>
      </c>
      <c r="T626" s="1">
        <f t="shared" si="149"/>
        <v>173</v>
      </c>
      <c r="U626" s="1">
        <f t="shared" si="150"/>
        <v>203</v>
      </c>
      <c r="V626" s="1">
        <f t="shared" si="151"/>
        <v>47.5</v>
      </c>
      <c r="W626" s="1">
        <f t="shared" si="152"/>
        <v>52.5</v>
      </c>
      <c r="X626" s="1">
        <f t="shared" si="153"/>
        <v>14.901595744680851</v>
      </c>
      <c r="Y626" s="1">
        <f t="shared" si="154"/>
        <v>59</v>
      </c>
      <c r="Z626" s="1">
        <f t="shared" si="155"/>
        <v>63</v>
      </c>
      <c r="AA626" s="1">
        <f t="shared" si="156"/>
        <v>3.6711864406779671</v>
      </c>
      <c r="AB626" s="1">
        <f t="shared" si="157"/>
        <v>3.4111111111111105</v>
      </c>
      <c r="AC626" s="1">
        <f t="shared" si="158"/>
        <v>0</v>
      </c>
      <c r="AD626" s="1">
        <f t="shared" si="159"/>
        <v>-6.0770311478830601E-3</v>
      </c>
    </row>
    <row r="627" spans="1:30" x14ac:dyDescent="0.35">
      <c r="A627" t="s">
        <v>1273</v>
      </c>
      <c r="B627" t="s">
        <v>35</v>
      </c>
      <c r="C627" t="s">
        <v>24</v>
      </c>
      <c r="D627" t="s">
        <v>17</v>
      </c>
      <c r="E627">
        <v>41</v>
      </c>
      <c r="F627" t="s">
        <v>70</v>
      </c>
      <c r="G627" t="s">
        <v>19</v>
      </c>
      <c r="H627" t="s">
        <v>1274</v>
      </c>
      <c r="I627">
        <v>13</v>
      </c>
      <c r="J627">
        <v>16</v>
      </c>
      <c r="K627">
        <v>353249</v>
      </c>
      <c r="L627">
        <v>2.5</v>
      </c>
      <c r="M627" t="s">
        <v>21</v>
      </c>
      <c r="N627">
        <v>36</v>
      </c>
      <c r="O627">
        <f t="shared" si="144"/>
        <v>375</v>
      </c>
      <c r="P627">
        <f t="shared" si="145"/>
        <v>192</v>
      </c>
      <c r="Q627">
        <f t="shared" si="146"/>
        <v>183</v>
      </c>
      <c r="R627">
        <f t="shared" si="147"/>
        <v>49.650349650349654</v>
      </c>
      <c r="S627" s="1">
        <f t="shared" si="148"/>
        <v>50.24975024975025</v>
      </c>
      <c r="T627" s="1">
        <f t="shared" si="149"/>
        <v>173</v>
      </c>
      <c r="U627" s="1">
        <f t="shared" si="150"/>
        <v>202</v>
      </c>
      <c r="V627" s="1">
        <f t="shared" si="151"/>
        <v>47.5</v>
      </c>
      <c r="W627" s="1">
        <f t="shared" si="152"/>
        <v>52.5</v>
      </c>
      <c r="X627" s="1">
        <f t="shared" si="153"/>
        <v>14.893333333333333</v>
      </c>
      <c r="Y627" s="1">
        <f t="shared" si="154"/>
        <v>59</v>
      </c>
      <c r="Z627" s="1">
        <f t="shared" si="155"/>
        <v>63</v>
      </c>
      <c r="AA627" s="1">
        <f t="shared" si="156"/>
        <v>3.6711864406779671</v>
      </c>
      <c r="AB627" s="1">
        <f t="shared" si="157"/>
        <v>3.4111111111111105</v>
      </c>
      <c r="AC627" s="1">
        <f t="shared" si="158"/>
        <v>1</v>
      </c>
      <c r="AD627" s="1">
        <f t="shared" si="159"/>
        <v>-4.9949423029010016E-3</v>
      </c>
    </row>
    <row r="628" spans="1:30" x14ac:dyDescent="0.35">
      <c r="A628" t="s">
        <v>1275</v>
      </c>
      <c r="B628" t="s">
        <v>15</v>
      </c>
      <c r="C628" t="s">
        <v>24</v>
      </c>
      <c r="D628" t="s">
        <v>25</v>
      </c>
      <c r="E628">
        <v>28</v>
      </c>
      <c r="F628" t="s">
        <v>79</v>
      </c>
      <c r="G628" t="s">
        <v>57</v>
      </c>
      <c r="H628" t="s">
        <v>934</v>
      </c>
      <c r="I628">
        <v>5</v>
      </c>
      <c r="J628">
        <v>10</v>
      </c>
      <c r="K628">
        <v>307230</v>
      </c>
      <c r="L628">
        <v>4.0999999999999996</v>
      </c>
      <c r="M628" t="s">
        <v>43</v>
      </c>
      <c r="N628">
        <v>86</v>
      </c>
      <c r="O628">
        <f t="shared" si="144"/>
        <v>374</v>
      </c>
      <c r="P628">
        <f t="shared" si="145"/>
        <v>191</v>
      </c>
      <c r="Q628">
        <f t="shared" si="146"/>
        <v>183</v>
      </c>
      <c r="R628">
        <f t="shared" si="147"/>
        <v>49.650349650349654</v>
      </c>
      <c r="S628" s="1">
        <f t="shared" si="148"/>
        <v>50.24975024975025</v>
      </c>
      <c r="T628" s="1">
        <f t="shared" si="149"/>
        <v>172</v>
      </c>
      <c r="U628" s="1">
        <f t="shared" si="150"/>
        <v>202</v>
      </c>
      <c r="V628" s="1">
        <f t="shared" si="151"/>
        <v>47.5</v>
      </c>
      <c r="W628" s="1">
        <f t="shared" si="152"/>
        <v>52.5</v>
      </c>
      <c r="X628" s="1">
        <f t="shared" si="153"/>
        <v>14.890374331550802</v>
      </c>
      <c r="Y628" s="1">
        <f t="shared" si="154"/>
        <v>59</v>
      </c>
      <c r="Z628" s="1">
        <f t="shared" si="155"/>
        <v>63</v>
      </c>
      <c r="AA628" s="1">
        <f t="shared" si="156"/>
        <v>3.6711864406779671</v>
      </c>
      <c r="AB628" s="1">
        <f t="shared" si="157"/>
        <v>3.4111111111111105</v>
      </c>
      <c r="AC628" s="1">
        <f t="shared" si="158"/>
        <v>0</v>
      </c>
      <c r="AD628" s="1">
        <f t="shared" si="159"/>
        <v>-5.4596972408923654E-3</v>
      </c>
    </row>
    <row r="629" spans="1:30" x14ac:dyDescent="0.35">
      <c r="A629" t="s">
        <v>1276</v>
      </c>
      <c r="B629" t="s">
        <v>78</v>
      </c>
      <c r="C629" t="s">
        <v>30</v>
      </c>
      <c r="D629" t="s">
        <v>25</v>
      </c>
      <c r="E629">
        <v>51</v>
      </c>
      <c r="F629" t="s">
        <v>79</v>
      </c>
      <c r="G629" t="s">
        <v>75</v>
      </c>
      <c r="H629" t="s">
        <v>1277</v>
      </c>
      <c r="I629">
        <v>8</v>
      </c>
      <c r="J629">
        <v>8</v>
      </c>
      <c r="K629">
        <v>90301</v>
      </c>
      <c r="L629">
        <v>2.2999999999999998</v>
      </c>
      <c r="M629" t="s">
        <v>21</v>
      </c>
      <c r="N629">
        <v>51</v>
      </c>
      <c r="O629">
        <f t="shared" si="144"/>
        <v>373</v>
      </c>
      <c r="P629">
        <f t="shared" si="145"/>
        <v>191</v>
      </c>
      <c r="Q629">
        <f t="shared" si="146"/>
        <v>182</v>
      </c>
      <c r="R629">
        <f t="shared" si="147"/>
        <v>49.650349650349654</v>
      </c>
      <c r="S629" s="1">
        <f t="shared" si="148"/>
        <v>50.24975024975025</v>
      </c>
      <c r="T629" s="1">
        <f t="shared" si="149"/>
        <v>172</v>
      </c>
      <c r="U629" s="1">
        <f t="shared" si="150"/>
        <v>201</v>
      </c>
      <c r="V629" s="1">
        <f t="shared" si="151"/>
        <v>47.5</v>
      </c>
      <c r="W629" s="1">
        <f t="shared" si="152"/>
        <v>52.5</v>
      </c>
      <c r="X629" s="1">
        <f t="shared" si="153"/>
        <v>14.90348525469169</v>
      </c>
      <c r="Y629" s="1">
        <f t="shared" si="154"/>
        <v>59</v>
      </c>
      <c r="Z629" s="1">
        <f t="shared" si="155"/>
        <v>63</v>
      </c>
      <c r="AA629" s="1">
        <f t="shared" si="156"/>
        <v>3.6711864406779671</v>
      </c>
      <c r="AB629" s="1">
        <f t="shared" si="157"/>
        <v>3.4111111111111105</v>
      </c>
      <c r="AC629" s="1">
        <f t="shared" si="158"/>
        <v>1</v>
      </c>
      <c r="AD629" s="1">
        <f t="shared" si="159"/>
        <v>-7.1959103212367202E-3</v>
      </c>
    </row>
    <row r="630" spans="1:30" x14ac:dyDescent="0.35">
      <c r="A630" t="s">
        <v>1278</v>
      </c>
      <c r="B630" t="s">
        <v>69</v>
      </c>
      <c r="C630" t="s">
        <v>49</v>
      </c>
      <c r="D630" t="s">
        <v>25</v>
      </c>
      <c r="E630">
        <v>55</v>
      </c>
      <c r="F630" t="s">
        <v>37</v>
      </c>
      <c r="G630" t="s">
        <v>61</v>
      </c>
      <c r="H630" t="s">
        <v>762</v>
      </c>
      <c r="I630">
        <v>10</v>
      </c>
      <c r="J630">
        <v>17</v>
      </c>
      <c r="K630">
        <v>50808</v>
      </c>
      <c r="L630">
        <v>3.4</v>
      </c>
      <c r="M630" t="s">
        <v>43</v>
      </c>
      <c r="N630">
        <v>93</v>
      </c>
      <c r="O630">
        <f t="shared" si="144"/>
        <v>372</v>
      </c>
      <c r="P630">
        <f t="shared" si="145"/>
        <v>191</v>
      </c>
      <c r="Q630">
        <f t="shared" si="146"/>
        <v>181</v>
      </c>
      <c r="R630">
        <f t="shared" si="147"/>
        <v>49.650349650349654</v>
      </c>
      <c r="S630" s="1">
        <f t="shared" si="148"/>
        <v>50.24975024975025</v>
      </c>
      <c r="T630" s="1">
        <f t="shared" si="149"/>
        <v>171</v>
      </c>
      <c r="U630" s="1">
        <f t="shared" si="150"/>
        <v>201</v>
      </c>
      <c r="V630" s="1">
        <f t="shared" si="151"/>
        <v>47.5</v>
      </c>
      <c r="W630" s="1">
        <f t="shared" si="152"/>
        <v>52.5</v>
      </c>
      <c r="X630" s="1">
        <f t="shared" si="153"/>
        <v>14.922043010752688</v>
      </c>
      <c r="Y630" s="1">
        <f t="shared" si="154"/>
        <v>59</v>
      </c>
      <c r="Z630" s="1">
        <f t="shared" si="155"/>
        <v>63</v>
      </c>
      <c r="AA630" s="1">
        <f t="shared" si="156"/>
        <v>3.6711864406779671</v>
      </c>
      <c r="AB630" s="1">
        <f t="shared" si="157"/>
        <v>3.4111111111111105</v>
      </c>
      <c r="AC630" s="1">
        <f t="shared" si="158"/>
        <v>0</v>
      </c>
      <c r="AD630" s="1">
        <f t="shared" si="159"/>
        <v>-4.3527522072345703E-3</v>
      </c>
    </row>
    <row r="631" spans="1:30" x14ac:dyDescent="0.35">
      <c r="A631" t="s">
        <v>1279</v>
      </c>
      <c r="B631" t="s">
        <v>45</v>
      </c>
      <c r="C631" t="s">
        <v>16</v>
      </c>
      <c r="D631" t="s">
        <v>17</v>
      </c>
      <c r="E631">
        <v>53</v>
      </c>
      <c r="F631" t="s">
        <v>79</v>
      </c>
      <c r="G631" t="s">
        <v>32</v>
      </c>
      <c r="H631" t="s">
        <v>1280</v>
      </c>
      <c r="I631">
        <v>4</v>
      </c>
      <c r="J631">
        <v>4</v>
      </c>
      <c r="K631">
        <v>84786</v>
      </c>
      <c r="L631">
        <v>4.9000000000000004</v>
      </c>
      <c r="M631" t="s">
        <v>43</v>
      </c>
      <c r="N631">
        <v>90</v>
      </c>
      <c r="O631">
        <f t="shared" si="144"/>
        <v>371</v>
      </c>
      <c r="P631">
        <f t="shared" si="145"/>
        <v>191</v>
      </c>
      <c r="Q631">
        <f t="shared" si="146"/>
        <v>180</v>
      </c>
      <c r="R631">
        <f t="shared" si="147"/>
        <v>49.650349650349654</v>
      </c>
      <c r="S631" s="1">
        <f t="shared" si="148"/>
        <v>50.24975024975025</v>
      </c>
      <c r="T631" s="1">
        <f t="shared" si="149"/>
        <v>171</v>
      </c>
      <c r="U631" s="1">
        <f t="shared" si="150"/>
        <v>200</v>
      </c>
      <c r="V631" s="1">
        <f t="shared" si="151"/>
        <v>47.5</v>
      </c>
      <c r="W631" s="1">
        <f t="shared" si="152"/>
        <v>52.5</v>
      </c>
      <c r="X631" s="1">
        <f t="shared" si="153"/>
        <v>14.916442048517521</v>
      </c>
      <c r="Y631" s="1">
        <f t="shared" si="154"/>
        <v>59</v>
      </c>
      <c r="Z631" s="1">
        <f t="shared" si="155"/>
        <v>63</v>
      </c>
      <c r="AA631" s="1">
        <f t="shared" si="156"/>
        <v>3.6711864406779671</v>
      </c>
      <c r="AB631" s="1">
        <f t="shared" si="157"/>
        <v>3.4111111111111105</v>
      </c>
      <c r="AC631" s="1">
        <f t="shared" si="158"/>
        <v>0</v>
      </c>
      <c r="AD631" s="1">
        <f t="shared" si="159"/>
        <v>-3.6219925218103758E-3</v>
      </c>
    </row>
    <row r="632" spans="1:30" x14ac:dyDescent="0.35">
      <c r="A632" t="s">
        <v>1281</v>
      </c>
      <c r="B632" t="s">
        <v>40</v>
      </c>
      <c r="C632" t="s">
        <v>93</v>
      </c>
      <c r="D632" t="s">
        <v>25</v>
      </c>
      <c r="E632">
        <v>36</v>
      </c>
      <c r="F632" t="s">
        <v>79</v>
      </c>
      <c r="G632" t="s">
        <v>19</v>
      </c>
      <c r="H632" t="s">
        <v>1282</v>
      </c>
      <c r="I632">
        <v>20</v>
      </c>
      <c r="J632">
        <v>27</v>
      </c>
      <c r="K632">
        <v>188549</v>
      </c>
      <c r="L632">
        <v>2.5</v>
      </c>
      <c r="M632" t="s">
        <v>21</v>
      </c>
      <c r="N632">
        <v>57</v>
      </c>
      <c r="O632">
        <f t="shared" si="144"/>
        <v>370</v>
      </c>
      <c r="P632">
        <f t="shared" si="145"/>
        <v>190</v>
      </c>
      <c r="Q632">
        <f t="shared" si="146"/>
        <v>180</v>
      </c>
      <c r="R632">
        <f t="shared" si="147"/>
        <v>49.650349650349654</v>
      </c>
      <c r="S632" s="1">
        <f t="shared" si="148"/>
        <v>50.24975024975025</v>
      </c>
      <c r="T632" s="1">
        <f t="shared" si="149"/>
        <v>171</v>
      </c>
      <c r="U632" s="1">
        <f t="shared" si="150"/>
        <v>199</v>
      </c>
      <c r="V632" s="1">
        <f t="shared" si="151"/>
        <v>47.5</v>
      </c>
      <c r="W632" s="1">
        <f t="shared" si="152"/>
        <v>52.5</v>
      </c>
      <c r="X632" s="1">
        <f t="shared" si="153"/>
        <v>14.945945945945946</v>
      </c>
      <c r="Y632" s="1">
        <f t="shared" si="154"/>
        <v>59</v>
      </c>
      <c r="Z632" s="1">
        <f t="shared" si="155"/>
        <v>63</v>
      </c>
      <c r="AA632" s="1">
        <f t="shared" si="156"/>
        <v>3.6711864406779671</v>
      </c>
      <c r="AB632" s="1">
        <f t="shared" si="157"/>
        <v>3.4111111111111105</v>
      </c>
      <c r="AC632" s="1">
        <f t="shared" si="158"/>
        <v>1</v>
      </c>
      <c r="AD632" s="1">
        <f t="shared" si="159"/>
        <v>-7.5336599408909449E-3</v>
      </c>
    </row>
    <row r="633" spans="1:30" x14ac:dyDescent="0.35">
      <c r="A633" t="s">
        <v>1283</v>
      </c>
      <c r="B633" t="s">
        <v>15</v>
      </c>
      <c r="C633" t="s">
        <v>16</v>
      </c>
      <c r="D633" t="s">
        <v>25</v>
      </c>
      <c r="E633">
        <v>58</v>
      </c>
      <c r="F633" t="s">
        <v>31</v>
      </c>
      <c r="G633" t="s">
        <v>75</v>
      </c>
      <c r="H633" t="s">
        <v>1284</v>
      </c>
      <c r="I633">
        <v>20</v>
      </c>
      <c r="J633">
        <v>23</v>
      </c>
      <c r="K633">
        <v>122112</v>
      </c>
      <c r="L633">
        <v>4</v>
      </c>
      <c r="M633" t="s">
        <v>43</v>
      </c>
      <c r="N633">
        <v>83</v>
      </c>
      <c r="O633">
        <f t="shared" si="144"/>
        <v>369</v>
      </c>
      <c r="P633">
        <f t="shared" si="145"/>
        <v>190</v>
      </c>
      <c r="Q633">
        <f t="shared" si="146"/>
        <v>179</v>
      </c>
      <c r="R633">
        <f t="shared" si="147"/>
        <v>49.650349650349654</v>
      </c>
      <c r="S633" s="1">
        <f t="shared" si="148"/>
        <v>50.24975024975025</v>
      </c>
      <c r="T633" s="1">
        <f t="shared" si="149"/>
        <v>170</v>
      </c>
      <c r="U633" s="1">
        <f t="shared" si="150"/>
        <v>199</v>
      </c>
      <c r="V633" s="1">
        <f t="shared" si="151"/>
        <v>47.5</v>
      </c>
      <c r="W633" s="1">
        <f t="shared" si="152"/>
        <v>52.5</v>
      </c>
      <c r="X633" s="1">
        <f t="shared" si="153"/>
        <v>14.913279132791327</v>
      </c>
      <c r="Y633" s="1">
        <f t="shared" si="154"/>
        <v>59</v>
      </c>
      <c r="Z633" s="1">
        <f t="shared" si="155"/>
        <v>63</v>
      </c>
      <c r="AA633" s="1">
        <f t="shared" si="156"/>
        <v>3.6711864406779671</v>
      </c>
      <c r="AB633" s="1">
        <f t="shared" si="157"/>
        <v>3.4111111111111105</v>
      </c>
      <c r="AC633" s="1">
        <f t="shared" si="158"/>
        <v>0</v>
      </c>
      <c r="AD633" s="1">
        <f t="shared" si="159"/>
        <v>-1.2623526419054464E-2</v>
      </c>
    </row>
    <row r="634" spans="1:30" x14ac:dyDescent="0.35">
      <c r="A634" t="s">
        <v>1285</v>
      </c>
      <c r="B634" t="s">
        <v>55</v>
      </c>
      <c r="C634" t="s">
        <v>52</v>
      </c>
      <c r="D634" t="s">
        <v>25</v>
      </c>
      <c r="E634">
        <v>32</v>
      </c>
      <c r="F634" t="s">
        <v>37</v>
      </c>
      <c r="G634" t="s">
        <v>41</v>
      </c>
      <c r="H634" t="s">
        <v>1286</v>
      </c>
      <c r="I634">
        <v>17</v>
      </c>
      <c r="J634">
        <v>19</v>
      </c>
      <c r="K634">
        <v>262626</v>
      </c>
      <c r="L634">
        <v>4.9000000000000004</v>
      </c>
      <c r="M634" t="s">
        <v>43</v>
      </c>
      <c r="N634">
        <v>93</v>
      </c>
      <c r="O634">
        <f t="shared" si="144"/>
        <v>368</v>
      </c>
      <c r="P634">
        <f t="shared" si="145"/>
        <v>190</v>
      </c>
      <c r="Q634">
        <f t="shared" si="146"/>
        <v>178</v>
      </c>
      <c r="R634">
        <f t="shared" si="147"/>
        <v>49.650349650349654</v>
      </c>
      <c r="S634" s="1">
        <f t="shared" si="148"/>
        <v>50.24975024975025</v>
      </c>
      <c r="T634" s="1">
        <f t="shared" si="149"/>
        <v>170</v>
      </c>
      <c r="U634" s="1">
        <f t="shared" si="150"/>
        <v>198</v>
      </c>
      <c r="V634" s="1">
        <f t="shared" si="151"/>
        <v>47.5</v>
      </c>
      <c r="W634" s="1">
        <f t="shared" si="152"/>
        <v>52.5</v>
      </c>
      <c r="X634" s="1">
        <f t="shared" si="153"/>
        <v>14.891304347826088</v>
      </c>
      <c r="Y634" s="1">
        <f t="shared" si="154"/>
        <v>59</v>
      </c>
      <c r="Z634" s="1">
        <f t="shared" si="155"/>
        <v>62</v>
      </c>
      <c r="AA634" s="1">
        <f t="shared" si="156"/>
        <v>3.6711864406779671</v>
      </c>
      <c r="AB634" s="1">
        <f t="shared" si="157"/>
        <v>3.4016129032258062</v>
      </c>
      <c r="AC634" s="1">
        <f t="shared" si="158"/>
        <v>0</v>
      </c>
      <c r="AD634" s="1">
        <f t="shared" si="159"/>
        <v>-9.7518275340584618E-3</v>
      </c>
    </row>
    <row r="635" spans="1:30" x14ac:dyDescent="0.35">
      <c r="A635" t="s">
        <v>1287</v>
      </c>
      <c r="B635" t="s">
        <v>55</v>
      </c>
      <c r="C635" t="s">
        <v>93</v>
      </c>
      <c r="D635" t="s">
        <v>17</v>
      </c>
      <c r="E635">
        <v>54</v>
      </c>
      <c r="F635" t="s">
        <v>18</v>
      </c>
      <c r="G635" t="s">
        <v>32</v>
      </c>
      <c r="H635" t="s">
        <v>1288</v>
      </c>
      <c r="I635">
        <v>17</v>
      </c>
      <c r="J635">
        <v>19</v>
      </c>
      <c r="K635">
        <v>333365</v>
      </c>
      <c r="L635">
        <v>2.8</v>
      </c>
      <c r="M635" t="s">
        <v>21</v>
      </c>
      <c r="N635">
        <v>62</v>
      </c>
      <c r="O635">
        <f t="shared" si="144"/>
        <v>367</v>
      </c>
      <c r="P635">
        <f t="shared" si="145"/>
        <v>190</v>
      </c>
      <c r="Q635">
        <f t="shared" si="146"/>
        <v>177</v>
      </c>
      <c r="R635">
        <f t="shared" si="147"/>
        <v>49.650349650349654</v>
      </c>
      <c r="S635" s="1">
        <f t="shared" si="148"/>
        <v>50.24975024975025</v>
      </c>
      <c r="T635" s="1">
        <f t="shared" si="149"/>
        <v>170</v>
      </c>
      <c r="U635" s="1">
        <f t="shared" si="150"/>
        <v>197</v>
      </c>
      <c r="V635" s="1">
        <f t="shared" si="151"/>
        <v>47.5</v>
      </c>
      <c r="W635" s="1">
        <f t="shared" si="152"/>
        <v>52.5</v>
      </c>
      <c r="X635" s="1">
        <f t="shared" si="153"/>
        <v>14.880108991825614</v>
      </c>
      <c r="Y635" s="1">
        <f t="shared" si="154"/>
        <v>59</v>
      </c>
      <c r="Z635" s="1">
        <f t="shared" si="155"/>
        <v>62</v>
      </c>
      <c r="AA635" s="1">
        <f t="shared" si="156"/>
        <v>3.6711864406779671</v>
      </c>
      <c r="AB635" s="1">
        <f t="shared" si="157"/>
        <v>3.4016129032258062</v>
      </c>
      <c r="AC635" s="1">
        <f t="shared" si="158"/>
        <v>1</v>
      </c>
      <c r="AD635" s="1">
        <f t="shared" si="159"/>
        <v>-8.2832032725067197E-3</v>
      </c>
    </row>
    <row r="636" spans="1:30" x14ac:dyDescent="0.35">
      <c r="A636" t="s">
        <v>1289</v>
      </c>
      <c r="B636" t="s">
        <v>15</v>
      </c>
      <c r="C636" t="s">
        <v>24</v>
      </c>
      <c r="D636" t="s">
        <v>25</v>
      </c>
      <c r="E636">
        <v>47</v>
      </c>
      <c r="F636" t="s">
        <v>18</v>
      </c>
      <c r="G636" t="s">
        <v>71</v>
      </c>
      <c r="H636" t="s">
        <v>1290</v>
      </c>
      <c r="I636">
        <v>5</v>
      </c>
      <c r="J636">
        <v>7</v>
      </c>
      <c r="K636">
        <v>52648</v>
      </c>
      <c r="L636">
        <v>3.5</v>
      </c>
      <c r="M636" t="s">
        <v>43</v>
      </c>
      <c r="N636">
        <v>86</v>
      </c>
      <c r="O636">
        <f t="shared" si="144"/>
        <v>366</v>
      </c>
      <c r="P636">
        <f t="shared" si="145"/>
        <v>189</v>
      </c>
      <c r="Q636">
        <f t="shared" si="146"/>
        <v>177</v>
      </c>
      <c r="R636">
        <f t="shared" si="147"/>
        <v>49.650349650349654</v>
      </c>
      <c r="S636" s="1">
        <f t="shared" si="148"/>
        <v>50.24975024975025</v>
      </c>
      <c r="T636" s="1">
        <f t="shared" si="149"/>
        <v>169</v>
      </c>
      <c r="U636" s="1">
        <f t="shared" si="150"/>
        <v>197</v>
      </c>
      <c r="V636" s="1">
        <f t="shared" si="151"/>
        <v>47.5</v>
      </c>
      <c r="W636" s="1">
        <f t="shared" si="152"/>
        <v>52.5</v>
      </c>
      <c r="X636" s="1">
        <f t="shared" si="153"/>
        <v>14.868852459016393</v>
      </c>
      <c r="Y636" s="1">
        <f t="shared" si="154"/>
        <v>59</v>
      </c>
      <c r="Z636" s="1">
        <f t="shared" si="155"/>
        <v>62</v>
      </c>
      <c r="AA636" s="1">
        <f t="shared" si="156"/>
        <v>3.6711864406779671</v>
      </c>
      <c r="AB636" s="1">
        <f t="shared" si="157"/>
        <v>3.4016129032258062</v>
      </c>
      <c r="AC636" s="1">
        <f t="shared" si="158"/>
        <v>0</v>
      </c>
      <c r="AD636" s="1">
        <f t="shared" si="159"/>
        <v>-1.0033670721845628E-2</v>
      </c>
    </row>
    <row r="637" spans="1:30" x14ac:dyDescent="0.35">
      <c r="A637" t="s">
        <v>1291</v>
      </c>
      <c r="B637" t="s">
        <v>111</v>
      </c>
      <c r="C637" t="s">
        <v>16</v>
      </c>
      <c r="D637" t="s">
        <v>25</v>
      </c>
      <c r="E637">
        <v>33</v>
      </c>
      <c r="F637" t="s">
        <v>37</v>
      </c>
      <c r="G637" t="s">
        <v>75</v>
      </c>
      <c r="H637" t="s">
        <v>192</v>
      </c>
      <c r="I637">
        <v>12</v>
      </c>
      <c r="J637">
        <v>21</v>
      </c>
      <c r="K637">
        <v>155859</v>
      </c>
      <c r="L637">
        <v>4.8</v>
      </c>
      <c r="M637" t="s">
        <v>43</v>
      </c>
      <c r="N637">
        <v>100</v>
      </c>
      <c r="O637">
        <f t="shared" si="144"/>
        <v>365</v>
      </c>
      <c r="P637">
        <f t="shared" si="145"/>
        <v>189</v>
      </c>
      <c r="Q637">
        <f t="shared" si="146"/>
        <v>176</v>
      </c>
      <c r="R637">
        <f t="shared" si="147"/>
        <v>49.650349650349654</v>
      </c>
      <c r="S637" s="1">
        <f t="shared" si="148"/>
        <v>50.24975024975025</v>
      </c>
      <c r="T637" s="1">
        <f t="shared" si="149"/>
        <v>169</v>
      </c>
      <c r="U637" s="1">
        <f t="shared" si="150"/>
        <v>196</v>
      </c>
      <c r="V637" s="1">
        <f t="shared" si="151"/>
        <v>47.5</v>
      </c>
      <c r="W637" s="1">
        <f t="shared" si="152"/>
        <v>52.5</v>
      </c>
      <c r="X637" s="1">
        <f t="shared" si="153"/>
        <v>14.890410958904109</v>
      </c>
      <c r="Y637" s="1">
        <f t="shared" si="154"/>
        <v>59</v>
      </c>
      <c r="Z637" s="1">
        <f t="shared" si="155"/>
        <v>62</v>
      </c>
      <c r="AA637" s="1">
        <f t="shared" si="156"/>
        <v>3.6711864406779671</v>
      </c>
      <c r="AB637" s="1">
        <f t="shared" si="157"/>
        <v>3.4016129032258062</v>
      </c>
      <c r="AC637" s="1">
        <f t="shared" si="158"/>
        <v>0</v>
      </c>
      <c r="AD637" s="1">
        <f t="shared" si="159"/>
        <v>-1.2919101549494827E-2</v>
      </c>
    </row>
    <row r="638" spans="1:30" x14ac:dyDescent="0.35">
      <c r="A638" t="s">
        <v>1292</v>
      </c>
      <c r="B638" t="s">
        <v>40</v>
      </c>
      <c r="C638" t="s">
        <v>24</v>
      </c>
      <c r="D638" t="s">
        <v>25</v>
      </c>
      <c r="E638">
        <v>53</v>
      </c>
      <c r="F638" t="s">
        <v>79</v>
      </c>
      <c r="G638" t="s">
        <v>85</v>
      </c>
      <c r="H638" t="s">
        <v>1293</v>
      </c>
      <c r="I638">
        <v>11</v>
      </c>
      <c r="J638">
        <v>20</v>
      </c>
      <c r="K638">
        <v>367541</v>
      </c>
      <c r="L638">
        <v>4</v>
      </c>
      <c r="M638" t="s">
        <v>43</v>
      </c>
      <c r="N638">
        <v>94</v>
      </c>
      <c r="O638">
        <f t="shared" si="144"/>
        <v>364</v>
      </c>
      <c r="P638">
        <f t="shared" si="145"/>
        <v>189</v>
      </c>
      <c r="Q638">
        <f t="shared" si="146"/>
        <v>175</v>
      </c>
      <c r="R638">
        <f t="shared" si="147"/>
        <v>49.650349650349654</v>
      </c>
      <c r="S638" s="1">
        <f t="shared" si="148"/>
        <v>50.24975024975025</v>
      </c>
      <c r="T638" s="1">
        <f t="shared" si="149"/>
        <v>169</v>
      </c>
      <c r="U638" s="1">
        <f t="shared" si="150"/>
        <v>195</v>
      </c>
      <c r="V638" s="1">
        <f t="shared" si="151"/>
        <v>47.5</v>
      </c>
      <c r="W638" s="1">
        <f t="shared" si="152"/>
        <v>52.5</v>
      </c>
      <c r="X638" s="1">
        <f t="shared" si="153"/>
        <v>14.873626373626374</v>
      </c>
      <c r="Y638" s="1">
        <f t="shared" si="154"/>
        <v>59</v>
      </c>
      <c r="Z638" s="1">
        <f t="shared" si="155"/>
        <v>62</v>
      </c>
      <c r="AA638" s="1">
        <f t="shared" si="156"/>
        <v>3.6711864406779671</v>
      </c>
      <c r="AB638" s="1">
        <f t="shared" si="157"/>
        <v>3.4016129032258062</v>
      </c>
      <c r="AC638" s="1">
        <f t="shared" si="158"/>
        <v>0</v>
      </c>
      <c r="AD638" s="1">
        <f t="shared" si="159"/>
        <v>-1.0719231575255542E-2</v>
      </c>
    </row>
    <row r="639" spans="1:30" x14ac:dyDescent="0.35">
      <c r="A639" t="s">
        <v>1294</v>
      </c>
      <c r="B639" t="s">
        <v>45</v>
      </c>
      <c r="C639" t="s">
        <v>36</v>
      </c>
      <c r="D639" t="s">
        <v>17</v>
      </c>
      <c r="E639">
        <v>32</v>
      </c>
      <c r="F639" t="s">
        <v>79</v>
      </c>
      <c r="G639" t="s">
        <v>41</v>
      </c>
      <c r="H639" t="s">
        <v>1295</v>
      </c>
      <c r="I639">
        <v>14</v>
      </c>
      <c r="J639">
        <v>15</v>
      </c>
      <c r="K639">
        <v>440436</v>
      </c>
      <c r="L639">
        <v>4.2</v>
      </c>
      <c r="M639" t="s">
        <v>21</v>
      </c>
      <c r="N639">
        <v>39</v>
      </c>
      <c r="O639">
        <f t="shared" si="144"/>
        <v>363</v>
      </c>
      <c r="P639">
        <f t="shared" si="145"/>
        <v>189</v>
      </c>
      <c r="Q639">
        <f t="shared" si="146"/>
        <v>174</v>
      </c>
      <c r="R639">
        <f t="shared" si="147"/>
        <v>49.650349650349654</v>
      </c>
      <c r="S639" s="1">
        <f t="shared" si="148"/>
        <v>50.24975024975025</v>
      </c>
      <c r="T639" s="1">
        <f t="shared" si="149"/>
        <v>169</v>
      </c>
      <c r="U639" s="1">
        <f t="shared" si="150"/>
        <v>194</v>
      </c>
      <c r="V639" s="1">
        <f t="shared" si="151"/>
        <v>47.5</v>
      </c>
      <c r="W639" s="1">
        <f t="shared" si="152"/>
        <v>52.5</v>
      </c>
      <c r="X639" s="1">
        <f t="shared" si="153"/>
        <v>14.859504132231406</v>
      </c>
      <c r="Y639" s="1">
        <f t="shared" si="154"/>
        <v>59</v>
      </c>
      <c r="Z639" s="1">
        <f t="shared" si="155"/>
        <v>62</v>
      </c>
      <c r="AA639" s="1">
        <f t="shared" si="156"/>
        <v>3.6711864406779671</v>
      </c>
      <c r="AB639" s="1">
        <f t="shared" si="157"/>
        <v>3.4016129032258062</v>
      </c>
      <c r="AC639" s="1">
        <f t="shared" si="158"/>
        <v>1</v>
      </c>
      <c r="AD639" s="1">
        <f t="shared" si="159"/>
        <v>-8.8611313995398747E-3</v>
      </c>
    </row>
    <row r="640" spans="1:30" x14ac:dyDescent="0.35">
      <c r="A640" t="s">
        <v>1296</v>
      </c>
      <c r="B640" t="s">
        <v>60</v>
      </c>
      <c r="C640" t="s">
        <v>82</v>
      </c>
      <c r="D640" t="s">
        <v>17</v>
      </c>
      <c r="E640">
        <v>43</v>
      </c>
      <c r="F640" t="s">
        <v>31</v>
      </c>
      <c r="G640" t="s">
        <v>88</v>
      </c>
      <c r="H640" t="s">
        <v>1297</v>
      </c>
      <c r="I640">
        <v>18</v>
      </c>
      <c r="J640">
        <v>22</v>
      </c>
      <c r="K640">
        <v>189796</v>
      </c>
      <c r="L640">
        <v>2.2999999999999998</v>
      </c>
      <c r="M640" t="s">
        <v>43</v>
      </c>
      <c r="N640">
        <v>77</v>
      </c>
      <c r="O640">
        <f t="shared" si="144"/>
        <v>362</v>
      </c>
      <c r="P640">
        <f t="shared" si="145"/>
        <v>188</v>
      </c>
      <c r="Q640">
        <f t="shared" si="146"/>
        <v>174</v>
      </c>
      <c r="R640">
        <f t="shared" si="147"/>
        <v>49.650349650349654</v>
      </c>
      <c r="S640" s="1">
        <f t="shared" si="148"/>
        <v>50.24975024975025</v>
      </c>
      <c r="T640" s="1">
        <f t="shared" si="149"/>
        <v>168</v>
      </c>
      <c r="U640" s="1">
        <f t="shared" si="150"/>
        <v>194</v>
      </c>
      <c r="V640" s="1">
        <f t="shared" si="151"/>
        <v>47.5</v>
      </c>
      <c r="W640" s="1">
        <f t="shared" si="152"/>
        <v>52.5</v>
      </c>
      <c r="X640" s="1">
        <f t="shared" si="153"/>
        <v>14.859116022099448</v>
      </c>
      <c r="Y640" s="1">
        <f t="shared" si="154"/>
        <v>59</v>
      </c>
      <c r="Z640" s="1">
        <f t="shared" si="155"/>
        <v>62</v>
      </c>
      <c r="AA640" s="1">
        <f t="shared" si="156"/>
        <v>3.6711864406779671</v>
      </c>
      <c r="AB640" s="1">
        <f t="shared" si="157"/>
        <v>3.4016129032258062</v>
      </c>
      <c r="AC640" s="1">
        <f t="shared" si="158"/>
        <v>0</v>
      </c>
      <c r="AD640" s="1">
        <f t="shared" si="159"/>
        <v>-8.9345863325154401E-3</v>
      </c>
    </row>
    <row r="641" spans="1:30" x14ac:dyDescent="0.35">
      <c r="A641" t="s">
        <v>1298</v>
      </c>
      <c r="B641" t="s">
        <v>55</v>
      </c>
      <c r="C641" t="s">
        <v>36</v>
      </c>
      <c r="D641" t="s">
        <v>17</v>
      </c>
      <c r="E641">
        <v>50</v>
      </c>
      <c r="F641" t="s">
        <v>31</v>
      </c>
      <c r="G641" t="s">
        <v>19</v>
      </c>
      <c r="H641" t="s">
        <v>1299</v>
      </c>
      <c r="I641">
        <v>10</v>
      </c>
      <c r="J641">
        <v>13</v>
      </c>
      <c r="K641">
        <v>297713</v>
      </c>
      <c r="L641">
        <v>3.1</v>
      </c>
      <c r="M641" t="s">
        <v>43</v>
      </c>
      <c r="N641">
        <v>96</v>
      </c>
      <c r="O641">
        <f t="shared" si="144"/>
        <v>361</v>
      </c>
      <c r="P641">
        <f t="shared" si="145"/>
        <v>187</v>
      </c>
      <c r="Q641">
        <f t="shared" si="146"/>
        <v>174</v>
      </c>
      <c r="R641">
        <f t="shared" si="147"/>
        <v>49.650349650349654</v>
      </c>
      <c r="S641" s="1">
        <f t="shared" si="148"/>
        <v>50.24975024975025</v>
      </c>
      <c r="T641" s="1">
        <f t="shared" si="149"/>
        <v>168</v>
      </c>
      <c r="U641" s="1">
        <f t="shared" si="150"/>
        <v>193</v>
      </c>
      <c r="V641" s="1">
        <f t="shared" si="151"/>
        <v>47.5</v>
      </c>
      <c r="W641" s="1">
        <f t="shared" si="152"/>
        <v>52.5</v>
      </c>
      <c r="X641" s="1">
        <f t="shared" si="153"/>
        <v>14.839335180055402</v>
      </c>
      <c r="Y641" s="1">
        <f t="shared" si="154"/>
        <v>59</v>
      </c>
      <c r="Z641" s="1">
        <f t="shared" si="155"/>
        <v>61</v>
      </c>
      <c r="AA641" s="1">
        <f t="shared" si="156"/>
        <v>3.6711864406779671</v>
      </c>
      <c r="AB641" s="1">
        <f t="shared" si="157"/>
        <v>3.4196721311475411</v>
      </c>
      <c r="AC641" s="1">
        <f t="shared" si="158"/>
        <v>0</v>
      </c>
      <c r="AD641" s="1">
        <f t="shared" si="159"/>
        <v>-6.3309978344422415E-3</v>
      </c>
    </row>
    <row r="642" spans="1:30" x14ac:dyDescent="0.35">
      <c r="A642" t="s">
        <v>1300</v>
      </c>
      <c r="B642" t="s">
        <v>35</v>
      </c>
      <c r="C642" t="s">
        <v>56</v>
      </c>
      <c r="D642" t="s">
        <v>25</v>
      </c>
      <c r="E642">
        <v>43</v>
      </c>
      <c r="F642" t="s">
        <v>31</v>
      </c>
      <c r="G642" t="s">
        <v>85</v>
      </c>
      <c r="H642" t="s">
        <v>1301</v>
      </c>
      <c r="I642">
        <v>16</v>
      </c>
      <c r="J642">
        <v>25</v>
      </c>
      <c r="K642">
        <v>111417</v>
      </c>
      <c r="L642">
        <v>4.5999999999999996</v>
      </c>
      <c r="M642" t="s">
        <v>43</v>
      </c>
      <c r="N642">
        <v>85</v>
      </c>
      <c r="O642">
        <f t="shared" ref="O642:O705" si="160">COUNTA(A642:A1641)</f>
        <v>360</v>
      </c>
      <c r="P642">
        <f t="shared" ref="P642:P705" si="161">COUNTIF(D642:D1641,"Male")</f>
        <v>186</v>
      </c>
      <c r="Q642">
        <f t="shared" ref="Q642:Q705" si="162">COUNTIF(D642:D1641,"Female")</f>
        <v>174</v>
      </c>
      <c r="R642">
        <f t="shared" ref="R642:R705" si="163">497/1001*100</f>
        <v>49.650349650349654</v>
      </c>
      <c r="S642" s="1">
        <f t="shared" ref="S642:S705" si="164">503/1001*100</f>
        <v>50.24975024975025</v>
      </c>
      <c r="T642" s="1">
        <f t="shared" ref="T642:T705" si="165">COUNTIF(M642:M1641,"Yes")</f>
        <v>168</v>
      </c>
      <c r="U642" s="1">
        <f t="shared" ref="U642:U705" si="166">COUNTIF(M642:M1641,"No")</f>
        <v>192</v>
      </c>
      <c r="V642" s="1">
        <f t="shared" ref="V642:V705" si="167">475/1000*100</f>
        <v>47.5</v>
      </c>
      <c r="W642" s="1">
        <f t="shared" ref="W642:W705" si="168">525/1000*100</f>
        <v>52.5</v>
      </c>
      <c r="X642" s="1">
        <f t="shared" ref="X642:X705" si="169">AVERAGE(J642:J1641)</f>
        <v>14.844444444444445</v>
      </c>
      <c r="Y642" s="1">
        <f t="shared" ref="Y642:Y705" si="170">COUNTIF(F642:F1641,"Marketing")</f>
        <v>59</v>
      </c>
      <c r="Z642" s="1">
        <f t="shared" ref="Z642:Z705" si="171">COUNTIF(F642:F1641,"IT")</f>
        <v>60</v>
      </c>
      <c r="AA642" s="1">
        <f t="shared" ref="AA642:AA705" si="172">AVERAGEIF(F642:F1641,"Marketing",L642:L1641)</f>
        <v>3.6711864406779671</v>
      </c>
      <c r="AB642" s="1">
        <f t="shared" ref="AB642:AB705" si="173">AVERAGEIF(F642:F1641,"IT",L642:L1641)</f>
        <v>3.4249999999999998</v>
      </c>
      <c r="AC642" s="1">
        <f t="shared" ref="AC642:AC705" si="174">IF(M642="yes",1,0)</f>
        <v>0</v>
      </c>
      <c r="AD642" s="1">
        <f t="shared" ref="AD642:AD705" si="175">CORREL(J642:J1641,AC642:AC1641)</f>
        <v>-7.0187327013171716E-3</v>
      </c>
    </row>
    <row r="643" spans="1:30" x14ac:dyDescent="0.35">
      <c r="A643" t="s">
        <v>1302</v>
      </c>
      <c r="B643" t="s">
        <v>69</v>
      </c>
      <c r="C643" t="s">
        <v>64</v>
      </c>
      <c r="D643" t="s">
        <v>25</v>
      </c>
      <c r="E643">
        <v>45</v>
      </c>
      <c r="F643" t="s">
        <v>46</v>
      </c>
      <c r="G643" t="s">
        <v>88</v>
      </c>
      <c r="H643" t="s">
        <v>1303</v>
      </c>
      <c r="I643">
        <v>4</v>
      </c>
      <c r="J643">
        <v>11</v>
      </c>
      <c r="K643">
        <v>86522</v>
      </c>
      <c r="L643">
        <v>2.7</v>
      </c>
      <c r="M643" t="s">
        <v>21</v>
      </c>
      <c r="N643">
        <v>43</v>
      </c>
      <c r="O643">
        <f t="shared" si="160"/>
        <v>359</v>
      </c>
      <c r="P643">
        <f t="shared" si="161"/>
        <v>186</v>
      </c>
      <c r="Q643">
        <f t="shared" si="162"/>
        <v>173</v>
      </c>
      <c r="R643">
        <f t="shared" si="163"/>
        <v>49.650349650349654</v>
      </c>
      <c r="S643" s="1">
        <f t="shared" si="164"/>
        <v>50.24975024975025</v>
      </c>
      <c r="T643" s="1">
        <f t="shared" si="165"/>
        <v>168</v>
      </c>
      <c r="U643" s="1">
        <f t="shared" si="166"/>
        <v>191</v>
      </c>
      <c r="V643" s="1">
        <f t="shared" si="167"/>
        <v>47.5</v>
      </c>
      <c r="W643" s="1">
        <f t="shared" si="168"/>
        <v>52.5</v>
      </c>
      <c r="X643" s="1">
        <f t="shared" si="169"/>
        <v>14.816155988857938</v>
      </c>
      <c r="Y643" s="1">
        <f t="shared" si="170"/>
        <v>59</v>
      </c>
      <c r="Z643" s="1">
        <f t="shared" si="171"/>
        <v>59</v>
      </c>
      <c r="AA643" s="1">
        <f t="shared" si="172"/>
        <v>3.6711864406779671</v>
      </c>
      <c r="AB643" s="1">
        <f t="shared" si="173"/>
        <v>3.405084745762712</v>
      </c>
      <c r="AC643" s="1">
        <f t="shared" si="174"/>
        <v>1</v>
      </c>
      <c r="AD643" s="1">
        <f t="shared" si="175"/>
        <v>-3.2702339997198642E-3</v>
      </c>
    </row>
    <row r="644" spans="1:30" x14ac:dyDescent="0.35">
      <c r="A644" t="s">
        <v>1304</v>
      </c>
      <c r="B644" t="s">
        <v>15</v>
      </c>
      <c r="C644" t="s">
        <v>16</v>
      </c>
      <c r="D644" t="s">
        <v>17</v>
      </c>
      <c r="E644">
        <v>38</v>
      </c>
      <c r="F644" t="s">
        <v>46</v>
      </c>
      <c r="G644" t="s">
        <v>26</v>
      </c>
      <c r="H644" t="s">
        <v>1305</v>
      </c>
      <c r="I644">
        <v>13</v>
      </c>
      <c r="J644">
        <v>18</v>
      </c>
      <c r="K644">
        <v>163987</v>
      </c>
      <c r="L644">
        <v>4.5</v>
      </c>
      <c r="M644" t="s">
        <v>21</v>
      </c>
      <c r="N644">
        <v>54</v>
      </c>
      <c r="O644">
        <f t="shared" si="160"/>
        <v>358</v>
      </c>
      <c r="P644">
        <f t="shared" si="161"/>
        <v>186</v>
      </c>
      <c r="Q644">
        <f t="shared" si="162"/>
        <v>172</v>
      </c>
      <c r="R644">
        <f t="shared" si="163"/>
        <v>49.650349650349654</v>
      </c>
      <c r="S644" s="1">
        <f t="shared" si="164"/>
        <v>50.24975024975025</v>
      </c>
      <c r="T644" s="1">
        <f t="shared" si="165"/>
        <v>167</v>
      </c>
      <c r="U644" s="1">
        <f t="shared" si="166"/>
        <v>191</v>
      </c>
      <c r="V644" s="1">
        <f t="shared" si="167"/>
        <v>47.5</v>
      </c>
      <c r="W644" s="1">
        <f t="shared" si="168"/>
        <v>52.5</v>
      </c>
      <c r="X644" s="1">
        <f t="shared" si="169"/>
        <v>14.826815642458101</v>
      </c>
      <c r="Y644" s="1">
        <f t="shared" si="170"/>
        <v>59</v>
      </c>
      <c r="Z644" s="1">
        <f t="shared" si="171"/>
        <v>59</v>
      </c>
      <c r="AA644" s="1">
        <f t="shared" si="172"/>
        <v>3.6711864406779671</v>
      </c>
      <c r="AB644" s="1">
        <f t="shared" si="173"/>
        <v>3.405084745762712</v>
      </c>
      <c r="AC644" s="1">
        <f t="shared" si="174"/>
        <v>1</v>
      </c>
      <c r="AD644" s="1">
        <f t="shared" si="175"/>
        <v>-1.6552078668054455E-3</v>
      </c>
    </row>
    <row r="645" spans="1:30" x14ac:dyDescent="0.35">
      <c r="A645" t="s">
        <v>1306</v>
      </c>
      <c r="B645" t="s">
        <v>96</v>
      </c>
      <c r="C645" t="s">
        <v>82</v>
      </c>
      <c r="D645" t="s">
        <v>17</v>
      </c>
      <c r="E645">
        <v>28</v>
      </c>
      <c r="F645" t="s">
        <v>74</v>
      </c>
      <c r="G645" t="s">
        <v>61</v>
      </c>
      <c r="H645" t="s">
        <v>1307</v>
      </c>
      <c r="I645">
        <v>12</v>
      </c>
      <c r="J645">
        <v>16</v>
      </c>
      <c r="K645">
        <v>66000</v>
      </c>
      <c r="L645">
        <v>3.8</v>
      </c>
      <c r="M645" t="s">
        <v>43</v>
      </c>
      <c r="N645">
        <v>94</v>
      </c>
      <c r="O645">
        <f t="shared" si="160"/>
        <v>357</v>
      </c>
      <c r="P645">
        <f t="shared" si="161"/>
        <v>185</v>
      </c>
      <c r="Q645">
        <f t="shared" si="162"/>
        <v>172</v>
      </c>
      <c r="R645">
        <f t="shared" si="163"/>
        <v>49.650349650349654</v>
      </c>
      <c r="S645" s="1">
        <f t="shared" si="164"/>
        <v>50.24975024975025</v>
      </c>
      <c r="T645" s="1">
        <f t="shared" si="165"/>
        <v>166</v>
      </c>
      <c r="U645" s="1">
        <f t="shared" si="166"/>
        <v>191</v>
      </c>
      <c r="V645" s="1">
        <f t="shared" si="167"/>
        <v>47.5</v>
      </c>
      <c r="W645" s="1">
        <f t="shared" si="168"/>
        <v>52.5</v>
      </c>
      <c r="X645" s="1">
        <f t="shared" si="169"/>
        <v>14.817927170868348</v>
      </c>
      <c r="Y645" s="1">
        <f t="shared" si="170"/>
        <v>59</v>
      </c>
      <c r="Z645" s="1">
        <f t="shared" si="171"/>
        <v>59</v>
      </c>
      <c r="AA645" s="1">
        <f t="shared" si="172"/>
        <v>3.6711864406779671</v>
      </c>
      <c r="AB645" s="1">
        <f t="shared" si="173"/>
        <v>3.405084745762712</v>
      </c>
      <c r="AC645" s="1">
        <f t="shared" si="174"/>
        <v>0</v>
      </c>
      <c r="AD645" s="1">
        <f t="shared" si="175"/>
        <v>-3.0130410846046628E-3</v>
      </c>
    </row>
    <row r="646" spans="1:30" x14ac:dyDescent="0.35">
      <c r="A646" t="s">
        <v>1308</v>
      </c>
      <c r="B646" t="s">
        <v>45</v>
      </c>
      <c r="C646" t="s">
        <v>82</v>
      </c>
      <c r="D646" t="s">
        <v>25</v>
      </c>
      <c r="E646">
        <v>49</v>
      </c>
      <c r="F646" t="s">
        <v>31</v>
      </c>
      <c r="G646" t="s">
        <v>19</v>
      </c>
      <c r="H646" t="s">
        <v>1309</v>
      </c>
      <c r="I646">
        <v>5</v>
      </c>
      <c r="J646">
        <v>15</v>
      </c>
      <c r="K646">
        <v>284933</v>
      </c>
      <c r="L646">
        <v>4.0999999999999996</v>
      </c>
      <c r="M646" t="s">
        <v>43</v>
      </c>
      <c r="N646">
        <v>99</v>
      </c>
      <c r="O646">
        <f t="shared" si="160"/>
        <v>356</v>
      </c>
      <c r="P646">
        <f t="shared" si="161"/>
        <v>184</v>
      </c>
      <c r="Q646">
        <f t="shared" si="162"/>
        <v>172</v>
      </c>
      <c r="R646">
        <f t="shared" si="163"/>
        <v>49.650349650349654</v>
      </c>
      <c r="S646" s="1">
        <f t="shared" si="164"/>
        <v>50.24975024975025</v>
      </c>
      <c r="T646" s="1">
        <f t="shared" si="165"/>
        <v>166</v>
      </c>
      <c r="U646" s="1">
        <f t="shared" si="166"/>
        <v>190</v>
      </c>
      <c r="V646" s="1">
        <f t="shared" si="167"/>
        <v>47.5</v>
      </c>
      <c r="W646" s="1">
        <f t="shared" si="168"/>
        <v>52.5</v>
      </c>
      <c r="X646" s="1">
        <f t="shared" si="169"/>
        <v>14.814606741573034</v>
      </c>
      <c r="Y646" s="1">
        <f t="shared" si="170"/>
        <v>58</v>
      </c>
      <c r="Z646" s="1">
        <f t="shared" si="171"/>
        <v>59</v>
      </c>
      <c r="AA646" s="1">
        <f t="shared" si="172"/>
        <v>3.6689655172413804</v>
      </c>
      <c r="AB646" s="1">
        <f t="shared" si="173"/>
        <v>3.405084745762712</v>
      </c>
      <c r="AC646" s="1">
        <f t="shared" si="174"/>
        <v>0</v>
      </c>
      <c r="AD646" s="1">
        <f t="shared" si="175"/>
        <v>-2.5764590794114242E-3</v>
      </c>
    </row>
    <row r="647" spans="1:30" x14ac:dyDescent="0.35">
      <c r="A647" t="s">
        <v>1310</v>
      </c>
      <c r="B647" t="s">
        <v>15</v>
      </c>
      <c r="C647" t="s">
        <v>52</v>
      </c>
      <c r="D647" t="s">
        <v>17</v>
      </c>
      <c r="E647">
        <v>55</v>
      </c>
      <c r="F647" t="s">
        <v>79</v>
      </c>
      <c r="G647" t="s">
        <v>41</v>
      </c>
      <c r="H647" t="s">
        <v>600</v>
      </c>
      <c r="I647">
        <v>13</v>
      </c>
      <c r="J647">
        <v>18</v>
      </c>
      <c r="K647">
        <v>496951</v>
      </c>
      <c r="L647">
        <v>4.0999999999999996</v>
      </c>
      <c r="M647" t="s">
        <v>43</v>
      </c>
      <c r="N647">
        <v>97</v>
      </c>
      <c r="O647">
        <f t="shared" si="160"/>
        <v>355</v>
      </c>
      <c r="P647">
        <f t="shared" si="161"/>
        <v>184</v>
      </c>
      <c r="Q647">
        <f t="shared" si="162"/>
        <v>171</v>
      </c>
      <c r="R647">
        <f t="shared" si="163"/>
        <v>49.650349650349654</v>
      </c>
      <c r="S647" s="1">
        <f t="shared" si="164"/>
        <v>50.24975024975025</v>
      </c>
      <c r="T647" s="1">
        <f t="shared" si="165"/>
        <v>166</v>
      </c>
      <c r="U647" s="1">
        <f t="shared" si="166"/>
        <v>189</v>
      </c>
      <c r="V647" s="1">
        <f t="shared" si="167"/>
        <v>47.5</v>
      </c>
      <c r="W647" s="1">
        <f t="shared" si="168"/>
        <v>52.5</v>
      </c>
      <c r="X647" s="1">
        <f t="shared" si="169"/>
        <v>14.814084507042253</v>
      </c>
      <c r="Y647" s="1">
        <f t="shared" si="170"/>
        <v>58</v>
      </c>
      <c r="Z647" s="1">
        <f t="shared" si="171"/>
        <v>58</v>
      </c>
      <c r="AA647" s="1">
        <f t="shared" si="172"/>
        <v>3.6689655172413804</v>
      </c>
      <c r="AB647" s="1">
        <f t="shared" si="173"/>
        <v>3.3931034482758626</v>
      </c>
      <c r="AC647" s="1">
        <f t="shared" si="174"/>
        <v>0</v>
      </c>
      <c r="AD647" s="1">
        <f t="shared" si="175"/>
        <v>-2.5102888442927584E-3</v>
      </c>
    </row>
    <row r="648" spans="1:30" x14ac:dyDescent="0.35">
      <c r="A648" t="s">
        <v>1311</v>
      </c>
      <c r="B648" t="s">
        <v>78</v>
      </c>
      <c r="C648" t="s">
        <v>24</v>
      </c>
      <c r="D648" t="s">
        <v>25</v>
      </c>
      <c r="E648">
        <v>34</v>
      </c>
      <c r="F648" t="s">
        <v>31</v>
      </c>
      <c r="G648" t="s">
        <v>75</v>
      </c>
      <c r="H648" t="s">
        <v>310</v>
      </c>
      <c r="I648">
        <v>5</v>
      </c>
      <c r="J648">
        <v>7</v>
      </c>
      <c r="K648">
        <v>169945</v>
      </c>
      <c r="L648">
        <v>2.8</v>
      </c>
      <c r="M648" t="s">
        <v>43</v>
      </c>
      <c r="N648">
        <v>100</v>
      </c>
      <c r="O648">
        <f t="shared" si="160"/>
        <v>354</v>
      </c>
      <c r="P648">
        <f t="shared" si="161"/>
        <v>183</v>
      </c>
      <c r="Q648">
        <f t="shared" si="162"/>
        <v>171</v>
      </c>
      <c r="R648">
        <f t="shared" si="163"/>
        <v>49.650349650349654</v>
      </c>
      <c r="S648" s="1">
        <f t="shared" si="164"/>
        <v>50.24975024975025</v>
      </c>
      <c r="T648" s="1">
        <f t="shared" si="165"/>
        <v>166</v>
      </c>
      <c r="U648" s="1">
        <f t="shared" si="166"/>
        <v>188</v>
      </c>
      <c r="V648" s="1">
        <f t="shared" si="167"/>
        <v>47.5</v>
      </c>
      <c r="W648" s="1">
        <f t="shared" si="168"/>
        <v>52.5</v>
      </c>
      <c r="X648" s="1">
        <f t="shared" si="169"/>
        <v>14.805084745762711</v>
      </c>
      <c r="Y648" s="1">
        <f t="shared" si="170"/>
        <v>58</v>
      </c>
      <c r="Z648" s="1">
        <f t="shared" si="171"/>
        <v>58</v>
      </c>
      <c r="AA648" s="1">
        <f t="shared" si="172"/>
        <v>3.6689655172413804</v>
      </c>
      <c r="AB648" s="1">
        <f t="shared" si="173"/>
        <v>3.3931034482758626</v>
      </c>
      <c r="AC648" s="1">
        <f t="shared" si="174"/>
        <v>0</v>
      </c>
      <c r="AD648" s="1">
        <f t="shared" si="175"/>
        <v>-1.3171979697655049E-3</v>
      </c>
    </row>
    <row r="649" spans="1:30" x14ac:dyDescent="0.35">
      <c r="A649" t="s">
        <v>1312</v>
      </c>
      <c r="B649" t="s">
        <v>111</v>
      </c>
      <c r="C649" t="s">
        <v>93</v>
      </c>
      <c r="D649" t="s">
        <v>25</v>
      </c>
      <c r="E649">
        <v>38</v>
      </c>
      <c r="F649" t="s">
        <v>79</v>
      </c>
      <c r="G649" t="s">
        <v>19</v>
      </c>
      <c r="H649" t="s">
        <v>1313</v>
      </c>
      <c r="I649">
        <v>2</v>
      </c>
      <c r="J649">
        <v>5</v>
      </c>
      <c r="K649">
        <v>88213</v>
      </c>
      <c r="L649">
        <v>3.6</v>
      </c>
      <c r="M649" t="s">
        <v>21</v>
      </c>
      <c r="N649">
        <v>42</v>
      </c>
      <c r="O649">
        <f t="shared" si="160"/>
        <v>353</v>
      </c>
      <c r="P649">
        <f t="shared" si="161"/>
        <v>183</v>
      </c>
      <c r="Q649">
        <f t="shared" si="162"/>
        <v>170</v>
      </c>
      <c r="R649">
        <f t="shared" si="163"/>
        <v>49.650349650349654</v>
      </c>
      <c r="S649" s="1">
        <f t="shared" si="164"/>
        <v>50.24975024975025</v>
      </c>
      <c r="T649" s="1">
        <f t="shared" si="165"/>
        <v>166</v>
      </c>
      <c r="U649" s="1">
        <f t="shared" si="166"/>
        <v>187</v>
      </c>
      <c r="V649" s="1">
        <f t="shared" si="167"/>
        <v>47.5</v>
      </c>
      <c r="W649" s="1">
        <f t="shared" si="168"/>
        <v>52.5</v>
      </c>
      <c r="X649" s="1">
        <f t="shared" si="169"/>
        <v>14.827195467422097</v>
      </c>
      <c r="Y649" s="1">
        <f t="shared" si="170"/>
        <v>58</v>
      </c>
      <c r="Z649" s="1">
        <f t="shared" si="171"/>
        <v>57</v>
      </c>
      <c r="AA649" s="1">
        <f t="shared" si="172"/>
        <v>3.6689655172413804</v>
      </c>
      <c r="AB649" s="1">
        <f t="shared" si="173"/>
        <v>3.4035087719298249</v>
      </c>
      <c r="AC649" s="1">
        <f t="shared" si="174"/>
        <v>1</v>
      </c>
      <c r="AD649" s="1">
        <f t="shared" si="175"/>
        <v>-4.2705646144367299E-3</v>
      </c>
    </row>
    <row r="650" spans="1:30" x14ac:dyDescent="0.35">
      <c r="A650" t="s">
        <v>1314</v>
      </c>
      <c r="B650" t="s">
        <v>40</v>
      </c>
      <c r="C650" t="s">
        <v>16</v>
      </c>
      <c r="D650" t="s">
        <v>17</v>
      </c>
      <c r="E650">
        <v>32</v>
      </c>
      <c r="F650" t="s">
        <v>79</v>
      </c>
      <c r="G650" t="s">
        <v>61</v>
      </c>
      <c r="H650" t="s">
        <v>1315</v>
      </c>
      <c r="I650">
        <v>15</v>
      </c>
      <c r="J650">
        <v>22</v>
      </c>
      <c r="K650">
        <v>333973</v>
      </c>
      <c r="L650">
        <v>2.2999999999999998</v>
      </c>
      <c r="M650" t="s">
        <v>21</v>
      </c>
      <c r="N650">
        <v>51</v>
      </c>
      <c r="O650">
        <f t="shared" si="160"/>
        <v>352</v>
      </c>
      <c r="P650">
        <f t="shared" si="161"/>
        <v>183</v>
      </c>
      <c r="Q650">
        <f t="shared" si="162"/>
        <v>169</v>
      </c>
      <c r="R650">
        <f t="shared" si="163"/>
        <v>49.650349650349654</v>
      </c>
      <c r="S650" s="1">
        <f t="shared" si="164"/>
        <v>50.24975024975025</v>
      </c>
      <c r="T650" s="1">
        <f t="shared" si="165"/>
        <v>165</v>
      </c>
      <c r="U650" s="1">
        <f t="shared" si="166"/>
        <v>187</v>
      </c>
      <c r="V650" s="1">
        <f t="shared" si="167"/>
        <v>47.5</v>
      </c>
      <c r="W650" s="1">
        <f t="shared" si="168"/>
        <v>52.5</v>
      </c>
      <c r="X650" s="1">
        <f t="shared" si="169"/>
        <v>14.855113636363637</v>
      </c>
      <c r="Y650" s="1">
        <f t="shared" si="170"/>
        <v>58</v>
      </c>
      <c r="Z650" s="1">
        <f t="shared" si="171"/>
        <v>57</v>
      </c>
      <c r="AA650" s="1">
        <f t="shared" si="172"/>
        <v>3.6689655172413804</v>
      </c>
      <c r="AB650" s="1">
        <f t="shared" si="173"/>
        <v>3.4035087719298249</v>
      </c>
      <c r="AC650" s="1">
        <f t="shared" si="174"/>
        <v>1</v>
      </c>
      <c r="AD650" s="1">
        <f t="shared" si="175"/>
        <v>-7.5664468488419864E-5</v>
      </c>
    </row>
    <row r="651" spans="1:30" x14ac:dyDescent="0.35">
      <c r="A651" t="s">
        <v>1316</v>
      </c>
      <c r="B651" t="s">
        <v>29</v>
      </c>
      <c r="C651" t="s">
        <v>93</v>
      </c>
      <c r="D651" t="s">
        <v>17</v>
      </c>
      <c r="E651">
        <v>50</v>
      </c>
      <c r="F651" t="s">
        <v>46</v>
      </c>
      <c r="G651" t="s">
        <v>41</v>
      </c>
      <c r="H651" t="s">
        <v>1317</v>
      </c>
      <c r="I651">
        <v>7</v>
      </c>
      <c r="J651">
        <v>15</v>
      </c>
      <c r="K651">
        <v>252942</v>
      </c>
      <c r="L651">
        <v>2.2999999999999998</v>
      </c>
      <c r="M651" t="s">
        <v>43</v>
      </c>
      <c r="N651">
        <v>84</v>
      </c>
      <c r="O651">
        <f t="shared" si="160"/>
        <v>351</v>
      </c>
      <c r="P651">
        <f t="shared" si="161"/>
        <v>182</v>
      </c>
      <c r="Q651">
        <f t="shared" si="162"/>
        <v>169</v>
      </c>
      <c r="R651">
        <f t="shared" si="163"/>
        <v>49.650349650349654</v>
      </c>
      <c r="S651" s="1">
        <f t="shared" si="164"/>
        <v>50.24975024975025</v>
      </c>
      <c r="T651" s="1">
        <f t="shared" si="165"/>
        <v>164</v>
      </c>
      <c r="U651" s="1">
        <f t="shared" si="166"/>
        <v>187</v>
      </c>
      <c r="V651" s="1">
        <f t="shared" si="167"/>
        <v>47.5</v>
      </c>
      <c r="W651" s="1">
        <f t="shared" si="168"/>
        <v>52.5</v>
      </c>
      <c r="X651" s="1">
        <f t="shared" si="169"/>
        <v>14.834757834757834</v>
      </c>
      <c r="Y651" s="1">
        <f t="shared" si="170"/>
        <v>58</v>
      </c>
      <c r="Z651" s="1">
        <f t="shared" si="171"/>
        <v>57</v>
      </c>
      <c r="AA651" s="1">
        <f t="shared" si="172"/>
        <v>3.6689655172413804</v>
      </c>
      <c r="AB651" s="1">
        <f t="shared" si="173"/>
        <v>3.4035087719298249</v>
      </c>
      <c r="AC651" s="1">
        <f t="shared" si="174"/>
        <v>0</v>
      </c>
      <c r="AD651" s="1">
        <f t="shared" si="175"/>
        <v>-3.1575846209909893E-3</v>
      </c>
    </row>
    <row r="652" spans="1:30" x14ac:dyDescent="0.35">
      <c r="A652" t="s">
        <v>1318</v>
      </c>
      <c r="B652" t="s">
        <v>55</v>
      </c>
      <c r="C652" t="s">
        <v>82</v>
      </c>
      <c r="D652" t="s">
        <v>25</v>
      </c>
      <c r="E652">
        <v>23</v>
      </c>
      <c r="F652" t="s">
        <v>37</v>
      </c>
      <c r="G652" t="s">
        <v>61</v>
      </c>
      <c r="H652" t="s">
        <v>1319</v>
      </c>
      <c r="I652">
        <v>10</v>
      </c>
      <c r="J652">
        <v>15</v>
      </c>
      <c r="K652">
        <v>464007</v>
      </c>
      <c r="L652">
        <v>4.7</v>
      </c>
      <c r="M652" t="s">
        <v>43</v>
      </c>
      <c r="N652">
        <v>96</v>
      </c>
      <c r="O652">
        <f t="shared" si="160"/>
        <v>350</v>
      </c>
      <c r="P652">
        <f t="shared" si="161"/>
        <v>181</v>
      </c>
      <c r="Q652">
        <f t="shared" si="162"/>
        <v>169</v>
      </c>
      <c r="R652">
        <f t="shared" si="163"/>
        <v>49.650349650349654</v>
      </c>
      <c r="S652" s="1">
        <f t="shared" si="164"/>
        <v>50.24975024975025</v>
      </c>
      <c r="T652" s="1">
        <f t="shared" si="165"/>
        <v>164</v>
      </c>
      <c r="U652" s="1">
        <f t="shared" si="166"/>
        <v>186</v>
      </c>
      <c r="V652" s="1">
        <f t="shared" si="167"/>
        <v>47.5</v>
      </c>
      <c r="W652" s="1">
        <f t="shared" si="168"/>
        <v>52.5</v>
      </c>
      <c r="X652" s="1">
        <f t="shared" si="169"/>
        <v>14.834285714285715</v>
      </c>
      <c r="Y652" s="1">
        <f t="shared" si="170"/>
        <v>58</v>
      </c>
      <c r="Z652" s="1">
        <f t="shared" si="171"/>
        <v>57</v>
      </c>
      <c r="AA652" s="1">
        <f t="shared" si="172"/>
        <v>3.6689655172413804</v>
      </c>
      <c r="AB652" s="1">
        <f t="shared" si="173"/>
        <v>3.4035087719298249</v>
      </c>
      <c r="AC652" s="1">
        <f t="shared" si="174"/>
        <v>0</v>
      </c>
      <c r="AD652" s="1">
        <f t="shared" si="175"/>
        <v>-3.0987880405829128E-3</v>
      </c>
    </row>
    <row r="653" spans="1:30" x14ac:dyDescent="0.35">
      <c r="A653" t="s">
        <v>1320</v>
      </c>
      <c r="B653" t="s">
        <v>29</v>
      </c>
      <c r="C653" t="s">
        <v>30</v>
      </c>
      <c r="D653" t="s">
        <v>17</v>
      </c>
      <c r="E653">
        <v>45</v>
      </c>
      <c r="F653" t="s">
        <v>37</v>
      </c>
      <c r="G653" t="s">
        <v>75</v>
      </c>
      <c r="H653" t="s">
        <v>1321</v>
      </c>
      <c r="I653">
        <v>17</v>
      </c>
      <c r="J653">
        <v>24</v>
      </c>
      <c r="K653">
        <v>177143</v>
      </c>
      <c r="L653">
        <v>2.5</v>
      </c>
      <c r="M653" t="s">
        <v>43</v>
      </c>
      <c r="N653">
        <v>84</v>
      </c>
      <c r="O653">
        <f t="shared" si="160"/>
        <v>349</v>
      </c>
      <c r="P653">
        <f t="shared" si="161"/>
        <v>181</v>
      </c>
      <c r="Q653">
        <f t="shared" si="162"/>
        <v>168</v>
      </c>
      <c r="R653">
        <f t="shared" si="163"/>
        <v>49.650349650349654</v>
      </c>
      <c r="S653" s="1">
        <f t="shared" si="164"/>
        <v>50.24975024975025</v>
      </c>
      <c r="T653" s="1">
        <f t="shared" si="165"/>
        <v>164</v>
      </c>
      <c r="U653" s="1">
        <f t="shared" si="166"/>
        <v>185</v>
      </c>
      <c r="V653" s="1">
        <f t="shared" si="167"/>
        <v>47.5</v>
      </c>
      <c r="W653" s="1">
        <f t="shared" si="168"/>
        <v>52.5</v>
      </c>
      <c r="X653" s="1">
        <f t="shared" si="169"/>
        <v>14.833810888252149</v>
      </c>
      <c r="Y653" s="1">
        <f t="shared" si="170"/>
        <v>58</v>
      </c>
      <c r="Z653" s="1">
        <f t="shared" si="171"/>
        <v>57</v>
      </c>
      <c r="AA653" s="1">
        <f t="shared" si="172"/>
        <v>3.6689655172413804</v>
      </c>
      <c r="AB653" s="1">
        <f t="shared" si="173"/>
        <v>3.4035087719298249</v>
      </c>
      <c r="AC653" s="1">
        <f t="shared" si="174"/>
        <v>0</v>
      </c>
      <c r="AD653" s="1">
        <f t="shared" si="175"/>
        <v>-3.0395101949105283E-3</v>
      </c>
    </row>
    <row r="654" spans="1:30" x14ac:dyDescent="0.35">
      <c r="A654" t="s">
        <v>1322</v>
      </c>
      <c r="B654" t="s">
        <v>96</v>
      </c>
      <c r="C654" t="s">
        <v>30</v>
      </c>
      <c r="D654" t="s">
        <v>17</v>
      </c>
      <c r="E654">
        <v>56</v>
      </c>
      <c r="F654" t="s">
        <v>37</v>
      </c>
      <c r="G654" t="s">
        <v>85</v>
      </c>
      <c r="H654" t="s">
        <v>1323</v>
      </c>
      <c r="I654">
        <v>7</v>
      </c>
      <c r="J654">
        <v>16</v>
      </c>
      <c r="K654">
        <v>197937</v>
      </c>
      <c r="L654">
        <v>3.7</v>
      </c>
      <c r="M654" t="s">
        <v>21</v>
      </c>
      <c r="N654">
        <v>60</v>
      </c>
      <c r="O654">
        <f t="shared" si="160"/>
        <v>348</v>
      </c>
      <c r="P654">
        <f t="shared" si="161"/>
        <v>180</v>
      </c>
      <c r="Q654">
        <f t="shared" si="162"/>
        <v>168</v>
      </c>
      <c r="R654">
        <f t="shared" si="163"/>
        <v>49.650349650349654</v>
      </c>
      <c r="S654" s="1">
        <f t="shared" si="164"/>
        <v>50.24975024975025</v>
      </c>
      <c r="T654" s="1">
        <f t="shared" si="165"/>
        <v>164</v>
      </c>
      <c r="U654" s="1">
        <f t="shared" si="166"/>
        <v>184</v>
      </c>
      <c r="V654" s="1">
        <f t="shared" si="167"/>
        <v>47.5</v>
      </c>
      <c r="W654" s="1">
        <f t="shared" si="168"/>
        <v>52.5</v>
      </c>
      <c r="X654" s="1">
        <f t="shared" si="169"/>
        <v>14.807471264367816</v>
      </c>
      <c r="Y654" s="1">
        <f t="shared" si="170"/>
        <v>58</v>
      </c>
      <c r="Z654" s="1">
        <f t="shared" si="171"/>
        <v>57</v>
      </c>
      <c r="AA654" s="1">
        <f t="shared" si="172"/>
        <v>3.6689655172413804</v>
      </c>
      <c r="AB654" s="1">
        <f t="shared" si="173"/>
        <v>3.4035087719298249</v>
      </c>
      <c r="AC654" s="1">
        <f t="shared" si="174"/>
        <v>1</v>
      </c>
      <c r="AD654" s="1">
        <f t="shared" si="175"/>
        <v>4.6817517876517615E-4</v>
      </c>
    </row>
    <row r="655" spans="1:30" x14ac:dyDescent="0.35">
      <c r="A655" t="s">
        <v>1324</v>
      </c>
      <c r="B655" t="s">
        <v>35</v>
      </c>
      <c r="C655" t="s">
        <v>36</v>
      </c>
      <c r="D655" t="s">
        <v>25</v>
      </c>
      <c r="E655">
        <v>39</v>
      </c>
      <c r="F655" t="s">
        <v>31</v>
      </c>
      <c r="G655" t="s">
        <v>88</v>
      </c>
      <c r="H655" t="s">
        <v>1325</v>
      </c>
      <c r="I655">
        <v>9</v>
      </c>
      <c r="J655">
        <v>11</v>
      </c>
      <c r="K655">
        <v>209928</v>
      </c>
      <c r="L655">
        <v>2.7</v>
      </c>
      <c r="M655" t="s">
        <v>21</v>
      </c>
      <c r="N655">
        <v>48</v>
      </c>
      <c r="O655">
        <f t="shared" si="160"/>
        <v>347</v>
      </c>
      <c r="P655">
        <f t="shared" si="161"/>
        <v>179</v>
      </c>
      <c r="Q655">
        <f t="shared" si="162"/>
        <v>168</v>
      </c>
      <c r="R655">
        <f t="shared" si="163"/>
        <v>49.650349650349654</v>
      </c>
      <c r="S655" s="1">
        <f t="shared" si="164"/>
        <v>50.24975024975025</v>
      </c>
      <c r="T655" s="1">
        <f t="shared" si="165"/>
        <v>163</v>
      </c>
      <c r="U655" s="1">
        <f t="shared" si="166"/>
        <v>184</v>
      </c>
      <c r="V655" s="1">
        <f t="shared" si="167"/>
        <v>47.5</v>
      </c>
      <c r="W655" s="1">
        <f t="shared" si="168"/>
        <v>52.5</v>
      </c>
      <c r="X655" s="1">
        <f t="shared" si="169"/>
        <v>14.804034582132564</v>
      </c>
      <c r="Y655" s="1">
        <f t="shared" si="170"/>
        <v>58</v>
      </c>
      <c r="Z655" s="1">
        <f t="shared" si="171"/>
        <v>57</v>
      </c>
      <c r="AA655" s="1">
        <f t="shared" si="172"/>
        <v>3.6689655172413804</v>
      </c>
      <c r="AB655" s="1">
        <f t="shared" si="173"/>
        <v>3.4035087719298249</v>
      </c>
      <c r="AC655" s="1">
        <f t="shared" si="174"/>
        <v>1</v>
      </c>
      <c r="AD655" s="1">
        <f t="shared" si="175"/>
        <v>-4.7030458577929633E-5</v>
      </c>
    </row>
    <row r="656" spans="1:30" x14ac:dyDescent="0.35">
      <c r="A656" t="s">
        <v>1326</v>
      </c>
      <c r="B656" t="s">
        <v>45</v>
      </c>
      <c r="C656" t="s">
        <v>93</v>
      </c>
      <c r="D656" t="s">
        <v>17</v>
      </c>
      <c r="E656">
        <v>59</v>
      </c>
      <c r="F656" t="s">
        <v>74</v>
      </c>
      <c r="G656" t="s">
        <v>57</v>
      </c>
      <c r="H656" t="s">
        <v>1327</v>
      </c>
      <c r="I656">
        <v>13</v>
      </c>
      <c r="J656">
        <v>15</v>
      </c>
      <c r="K656">
        <v>125859</v>
      </c>
      <c r="L656">
        <v>4.4000000000000004</v>
      </c>
      <c r="M656" t="s">
        <v>21</v>
      </c>
      <c r="N656">
        <v>58</v>
      </c>
      <c r="O656">
        <f t="shared" si="160"/>
        <v>346</v>
      </c>
      <c r="P656">
        <f t="shared" si="161"/>
        <v>179</v>
      </c>
      <c r="Q656">
        <f t="shared" si="162"/>
        <v>167</v>
      </c>
      <c r="R656">
        <f t="shared" si="163"/>
        <v>49.650349650349654</v>
      </c>
      <c r="S656" s="1">
        <f t="shared" si="164"/>
        <v>50.24975024975025</v>
      </c>
      <c r="T656" s="1">
        <f t="shared" si="165"/>
        <v>162</v>
      </c>
      <c r="U656" s="1">
        <f t="shared" si="166"/>
        <v>184</v>
      </c>
      <c r="V656" s="1">
        <f t="shared" si="167"/>
        <v>47.5</v>
      </c>
      <c r="W656" s="1">
        <f t="shared" si="168"/>
        <v>52.5</v>
      </c>
      <c r="X656" s="1">
        <f t="shared" si="169"/>
        <v>14.815028901734104</v>
      </c>
      <c r="Y656" s="1">
        <f t="shared" si="170"/>
        <v>58</v>
      </c>
      <c r="Z656" s="1">
        <f t="shared" si="171"/>
        <v>56</v>
      </c>
      <c r="AA656" s="1">
        <f t="shared" si="172"/>
        <v>3.6689655172413804</v>
      </c>
      <c r="AB656" s="1">
        <f t="shared" si="173"/>
        <v>3.4160714285714291</v>
      </c>
      <c r="AC656" s="1">
        <f t="shared" si="174"/>
        <v>1</v>
      </c>
      <c r="AD656" s="1">
        <f t="shared" si="175"/>
        <v>1.6069506674002384E-3</v>
      </c>
    </row>
    <row r="657" spans="1:30" x14ac:dyDescent="0.35">
      <c r="A657" t="s">
        <v>1328</v>
      </c>
      <c r="B657" t="s">
        <v>23</v>
      </c>
      <c r="C657" t="s">
        <v>56</v>
      </c>
      <c r="D657" t="s">
        <v>17</v>
      </c>
      <c r="E657">
        <v>44</v>
      </c>
      <c r="F657" t="s">
        <v>18</v>
      </c>
      <c r="G657" t="s">
        <v>88</v>
      </c>
      <c r="H657" t="s">
        <v>1329</v>
      </c>
      <c r="I657">
        <v>18</v>
      </c>
      <c r="J657">
        <v>21</v>
      </c>
      <c r="K657">
        <v>128181</v>
      </c>
      <c r="L657">
        <v>4.0999999999999996</v>
      </c>
      <c r="M657" t="s">
        <v>21</v>
      </c>
      <c r="N657">
        <v>34</v>
      </c>
      <c r="O657">
        <f t="shared" si="160"/>
        <v>345</v>
      </c>
      <c r="P657">
        <f t="shared" si="161"/>
        <v>178</v>
      </c>
      <c r="Q657">
        <f t="shared" si="162"/>
        <v>167</v>
      </c>
      <c r="R657">
        <f t="shared" si="163"/>
        <v>49.650349650349654</v>
      </c>
      <c r="S657" s="1">
        <f t="shared" si="164"/>
        <v>50.24975024975025</v>
      </c>
      <c r="T657" s="1">
        <f t="shared" si="165"/>
        <v>161</v>
      </c>
      <c r="U657" s="1">
        <f t="shared" si="166"/>
        <v>184</v>
      </c>
      <c r="V657" s="1">
        <f t="shared" si="167"/>
        <v>47.5</v>
      </c>
      <c r="W657" s="1">
        <f t="shared" si="168"/>
        <v>52.5</v>
      </c>
      <c r="X657" s="1">
        <f t="shared" si="169"/>
        <v>14.814492753623188</v>
      </c>
      <c r="Y657" s="1">
        <f t="shared" si="170"/>
        <v>57</v>
      </c>
      <c r="Z657" s="1">
        <f t="shared" si="171"/>
        <v>56</v>
      </c>
      <c r="AA657" s="1">
        <f t="shared" si="172"/>
        <v>3.6561403508771941</v>
      </c>
      <c r="AB657" s="1">
        <f t="shared" si="173"/>
        <v>3.4160714285714291</v>
      </c>
      <c r="AC657" s="1">
        <f t="shared" si="174"/>
        <v>1</v>
      </c>
      <c r="AD657" s="1">
        <f t="shared" si="175"/>
        <v>1.5288081852359893E-3</v>
      </c>
    </row>
    <row r="658" spans="1:30" x14ac:dyDescent="0.35">
      <c r="A658" t="s">
        <v>1330</v>
      </c>
      <c r="B658" t="s">
        <v>96</v>
      </c>
      <c r="C658" t="s">
        <v>56</v>
      </c>
      <c r="D658" t="s">
        <v>17</v>
      </c>
      <c r="E658">
        <v>40</v>
      </c>
      <c r="F658" t="s">
        <v>74</v>
      </c>
      <c r="G658" t="s">
        <v>41</v>
      </c>
      <c r="H658" t="s">
        <v>1331</v>
      </c>
      <c r="I658">
        <v>8</v>
      </c>
      <c r="J658">
        <v>17</v>
      </c>
      <c r="K658">
        <v>469178</v>
      </c>
      <c r="L658">
        <v>4</v>
      </c>
      <c r="M658" t="s">
        <v>21</v>
      </c>
      <c r="N658">
        <v>34</v>
      </c>
      <c r="O658">
        <f t="shared" si="160"/>
        <v>344</v>
      </c>
      <c r="P658">
        <f t="shared" si="161"/>
        <v>177</v>
      </c>
      <c r="Q658">
        <f t="shared" si="162"/>
        <v>167</v>
      </c>
      <c r="R658">
        <f t="shared" si="163"/>
        <v>49.650349650349654</v>
      </c>
      <c r="S658" s="1">
        <f t="shared" si="164"/>
        <v>50.24975024975025</v>
      </c>
      <c r="T658" s="1">
        <f t="shared" si="165"/>
        <v>160</v>
      </c>
      <c r="U658" s="1">
        <f t="shared" si="166"/>
        <v>184</v>
      </c>
      <c r="V658" s="1">
        <f t="shared" si="167"/>
        <v>47.5</v>
      </c>
      <c r="W658" s="1">
        <f t="shared" si="168"/>
        <v>52.5</v>
      </c>
      <c r="X658" s="1">
        <f t="shared" si="169"/>
        <v>14.796511627906977</v>
      </c>
      <c r="Y658" s="1">
        <f t="shared" si="170"/>
        <v>57</v>
      </c>
      <c r="Z658" s="1">
        <f t="shared" si="171"/>
        <v>56</v>
      </c>
      <c r="AA658" s="1">
        <f t="shared" si="172"/>
        <v>3.6561403508771941</v>
      </c>
      <c r="AB658" s="1">
        <f t="shared" si="173"/>
        <v>3.4160714285714291</v>
      </c>
      <c r="AC658" s="1">
        <f t="shared" si="174"/>
        <v>1</v>
      </c>
      <c r="AD658" s="1">
        <f t="shared" si="175"/>
        <v>-1.184165831573091E-3</v>
      </c>
    </row>
    <row r="659" spans="1:30" x14ac:dyDescent="0.35">
      <c r="A659" t="s">
        <v>1332</v>
      </c>
      <c r="B659" t="s">
        <v>69</v>
      </c>
      <c r="C659" t="s">
        <v>30</v>
      </c>
      <c r="D659" t="s">
        <v>17</v>
      </c>
      <c r="E659">
        <v>54</v>
      </c>
      <c r="F659" t="s">
        <v>46</v>
      </c>
      <c r="G659" t="s">
        <v>41</v>
      </c>
      <c r="H659" t="s">
        <v>871</v>
      </c>
      <c r="I659">
        <v>17</v>
      </c>
      <c r="J659">
        <v>17</v>
      </c>
      <c r="K659">
        <v>492113</v>
      </c>
      <c r="L659">
        <v>3.9</v>
      </c>
      <c r="M659" t="s">
        <v>21</v>
      </c>
      <c r="N659">
        <v>62</v>
      </c>
      <c r="O659">
        <f t="shared" si="160"/>
        <v>343</v>
      </c>
      <c r="P659">
        <f t="shared" si="161"/>
        <v>176</v>
      </c>
      <c r="Q659">
        <f t="shared" si="162"/>
        <v>167</v>
      </c>
      <c r="R659">
        <f t="shared" si="163"/>
        <v>49.650349650349654</v>
      </c>
      <c r="S659" s="1">
        <f t="shared" si="164"/>
        <v>50.24975024975025</v>
      </c>
      <c r="T659" s="1">
        <f t="shared" si="165"/>
        <v>159</v>
      </c>
      <c r="U659" s="1">
        <f t="shared" si="166"/>
        <v>184</v>
      </c>
      <c r="V659" s="1">
        <f t="shared" si="167"/>
        <v>47.5</v>
      </c>
      <c r="W659" s="1">
        <f t="shared" si="168"/>
        <v>52.5</v>
      </c>
      <c r="X659" s="1">
        <f t="shared" si="169"/>
        <v>14.790087463556851</v>
      </c>
      <c r="Y659" s="1">
        <f t="shared" si="170"/>
        <v>56</v>
      </c>
      <c r="Z659" s="1">
        <f t="shared" si="171"/>
        <v>56</v>
      </c>
      <c r="AA659" s="1">
        <f t="shared" si="172"/>
        <v>3.6500000000000012</v>
      </c>
      <c r="AB659" s="1">
        <f t="shared" si="173"/>
        <v>3.4160714285714291</v>
      </c>
      <c r="AC659" s="1">
        <f t="shared" si="174"/>
        <v>1</v>
      </c>
      <c r="AD659" s="1">
        <f t="shared" si="175"/>
        <v>-2.1588774759525938E-3</v>
      </c>
    </row>
    <row r="660" spans="1:30" x14ac:dyDescent="0.35">
      <c r="A660" t="s">
        <v>1333</v>
      </c>
      <c r="B660" t="s">
        <v>23</v>
      </c>
      <c r="C660" t="s">
        <v>49</v>
      </c>
      <c r="D660" t="s">
        <v>25</v>
      </c>
      <c r="E660">
        <v>47</v>
      </c>
      <c r="F660" t="s">
        <v>70</v>
      </c>
      <c r="G660" t="s">
        <v>19</v>
      </c>
      <c r="H660" t="s">
        <v>1334</v>
      </c>
      <c r="I660">
        <v>4</v>
      </c>
      <c r="J660">
        <v>14</v>
      </c>
      <c r="K660">
        <v>459312</v>
      </c>
      <c r="L660">
        <v>5</v>
      </c>
      <c r="M660" t="s">
        <v>43</v>
      </c>
      <c r="N660">
        <v>75</v>
      </c>
      <c r="O660">
        <f t="shared" si="160"/>
        <v>342</v>
      </c>
      <c r="P660">
        <f t="shared" si="161"/>
        <v>175</v>
      </c>
      <c r="Q660">
        <f t="shared" si="162"/>
        <v>167</v>
      </c>
      <c r="R660">
        <f t="shared" si="163"/>
        <v>49.650349650349654</v>
      </c>
      <c r="S660" s="1">
        <f t="shared" si="164"/>
        <v>50.24975024975025</v>
      </c>
      <c r="T660" s="1">
        <f t="shared" si="165"/>
        <v>158</v>
      </c>
      <c r="U660" s="1">
        <f t="shared" si="166"/>
        <v>184</v>
      </c>
      <c r="V660" s="1">
        <f t="shared" si="167"/>
        <v>47.5</v>
      </c>
      <c r="W660" s="1">
        <f t="shared" si="168"/>
        <v>52.5</v>
      </c>
      <c r="X660" s="1">
        <f t="shared" si="169"/>
        <v>14.783625730994151</v>
      </c>
      <c r="Y660" s="1">
        <f t="shared" si="170"/>
        <v>56</v>
      </c>
      <c r="Z660" s="1">
        <f t="shared" si="171"/>
        <v>56</v>
      </c>
      <c r="AA660" s="1">
        <f t="shared" si="172"/>
        <v>3.6500000000000012</v>
      </c>
      <c r="AB660" s="1">
        <f t="shared" si="173"/>
        <v>3.4160714285714291</v>
      </c>
      <c r="AC660" s="1">
        <f t="shared" si="174"/>
        <v>0</v>
      </c>
      <c r="AD660" s="1">
        <f t="shared" si="175"/>
        <v>-3.1428852407144208E-3</v>
      </c>
    </row>
    <row r="661" spans="1:30" x14ac:dyDescent="0.35">
      <c r="A661" t="s">
        <v>1335</v>
      </c>
      <c r="B661" t="s">
        <v>15</v>
      </c>
      <c r="C661" t="s">
        <v>36</v>
      </c>
      <c r="D661" t="s">
        <v>17</v>
      </c>
      <c r="E661">
        <v>59</v>
      </c>
      <c r="F661" t="s">
        <v>74</v>
      </c>
      <c r="G661" t="s">
        <v>41</v>
      </c>
      <c r="H661" t="s">
        <v>369</v>
      </c>
      <c r="I661">
        <v>10</v>
      </c>
      <c r="J661">
        <v>11</v>
      </c>
      <c r="K661">
        <v>202212</v>
      </c>
      <c r="L661">
        <v>4.2</v>
      </c>
      <c r="M661" t="s">
        <v>21</v>
      </c>
      <c r="N661">
        <v>44</v>
      </c>
      <c r="O661">
        <f t="shared" si="160"/>
        <v>341</v>
      </c>
      <c r="P661">
        <f t="shared" si="161"/>
        <v>175</v>
      </c>
      <c r="Q661">
        <f t="shared" si="162"/>
        <v>166</v>
      </c>
      <c r="R661">
        <f t="shared" si="163"/>
        <v>49.650349650349654</v>
      </c>
      <c r="S661" s="1">
        <f t="shared" si="164"/>
        <v>50.24975024975025</v>
      </c>
      <c r="T661" s="1">
        <f t="shared" si="165"/>
        <v>158</v>
      </c>
      <c r="U661" s="1">
        <f t="shared" si="166"/>
        <v>183</v>
      </c>
      <c r="V661" s="1">
        <f t="shared" si="167"/>
        <v>47.5</v>
      </c>
      <c r="W661" s="1">
        <f t="shared" si="168"/>
        <v>52.5</v>
      </c>
      <c r="X661" s="1">
        <f t="shared" si="169"/>
        <v>14.785923753665688</v>
      </c>
      <c r="Y661" s="1">
        <f t="shared" si="170"/>
        <v>56</v>
      </c>
      <c r="Z661" s="1">
        <f t="shared" si="171"/>
        <v>56</v>
      </c>
      <c r="AA661" s="1">
        <f t="shared" si="172"/>
        <v>3.6500000000000012</v>
      </c>
      <c r="AB661" s="1">
        <f t="shared" si="173"/>
        <v>3.4160714285714291</v>
      </c>
      <c r="AC661" s="1">
        <f t="shared" si="174"/>
        <v>1</v>
      </c>
      <c r="AD661" s="1">
        <f t="shared" si="175"/>
        <v>-3.4465761290428847E-3</v>
      </c>
    </row>
    <row r="662" spans="1:30" x14ac:dyDescent="0.35">
      <c r="A662" t="s">
        <v>1336</v>
      </c>
      <c r="B662" t="s">
        <v>55</v>
      </c>
      <c r="C662" t="s">
        <v>82</v>
      </c>
      <c r="D662" t="s">
        <v>25</v>
      </c>
      <c r="E662">
        <v>26</v>
      </c>
      <c r="F662" t="s">
        <v>37</v>
      </c>
      <c r="G662" t="s">
        <v>71</v>
      </c>
      <c r="H662" t="s">
        <v>1337</v>
      </c>
      <c r="I662">
        <v>17</v>
      </c>
      <c r="J662">
        <v>22</v>
      </c>
      <c r="K662">
        <v>239216</v>
      </c>
      <c r="L662">
        <v>2.1</v>
      </c>
      <c r="M662" t="s">
        <v>43</v>
      </c>
      <c r="N662">
        <v>77</v>
      </c>
      <c r="O662">
        <f t="shared" si="160"/>
        <v>340</v>
      </c>
      <c r="P662">
        <f t="shared" si="161"/>
        <v>174</v>
      </c>
      <c r="Q662">
        <f t="shared" si="162"/>
        <v>166</v>
      </c>
      <c r="R662">
        <f t="shared" si="163"/>
        <v>49.650349650349654</v>
      </c>
      <c r="S662" s="1">
        <f t="shared" si="164"/>
        <v>50.24975024975025</v>
      </c>
      <c r="T662" s="1">
        <f t="shared" si="165"/>
        <v>157</v>
      </c>
      <c r="U662" s="1">
        <f t="shared" si="166"/>
        <v>183</v>
      </c>
      <c r="V662" s="1">
        <f t="shared" si="167"/>
        <v>47.5</v>
      </c>
      <c r="W662" s="1">
        <f t="shared" si="168"/>
        <v>52.5</v>
      </c>
      <c r="X662" s="1">
        <f t="shared" si="169"/>
        <v>14.797058823529412</v>
      </c>
      <c r="Y662" s="1">
        <f t="shared" si="170"/>
        <v>55</v>
      </c>
      <c r="Z662" s="1">
        <f t="shared" si="171"/>
        <v>56</v>
      </c>
      <c r="AA662" s="1">
        <f t="shared" si="172"/>
        <v>3.6400000000000015</v>
      </c>
      <c r="AB662" s="1">
        <f t="shared" si="173"/>
        <v>3.4160714285714291</v>
      </c>
      <c r="AC662" s="1">
        <f t="shared" si="174"/>
        <v>0</v>
      </c>
      <c r="AD662" s="1">
        <f t="shared" si="175"/>
        <v>-1.768516511303839E-3</v>
      </c>
    </row>
    <row r="663" spans="1:30" x14ac:dyDescent="0.35">
      <c r="A663" t="s">
        <v>1338</v>
      </c>
      <c r="B663" t="s">
        <v>23</v>
      </c>
      <c r="C663" t="s">
        <v>24</v>
      </c>
      <c r="D663" t="s">
        <v>17</v>
      </c>
      <c r="E663">
        <v>35</v>
      </c>
      <c r="F663" t="s">
        <v>74</v>
      </c>
      <c r="G663" t="s">
        <v>75</v>
      </c>
      <c r="H663" t="s">
        <v>1339</v>
      </c>
      <c r="I663">
        <v>8</v>
      </c>
      <c r="J663">
        <v>11</v>
      </c>
      <c r="K663">
        <v>231139</v>
      </c>
      <c r="L663">
        <v>4.4000000000000004</v>
      </c>
      <c r="M663" t="s">
        <v>43</v>
      </c>
      <c r="N663">
        <v>84</v>
      </c>
      <c r="O663">
        <f t="shared" si="160"/>
        <v>339</v>
      </c>
      <c r="P663">
        <f t="shared" si="161"/>
        <v>174</v>
      </c>
      <c r="Q663">
        <f t="shared" si="162"/>
        <v>165</v>
      </c>
      <c r="R663">
        <f t="shared" si="163"/>
        <v>49.650349650349654</v>
      </c>
      <c r="S663" s="1">
        <f t="shared" si="164"/>
        <v>50.24975024975025</v>
      </c>
      <c r="T663" s="1">
        <f t="shared" si="165"/>
        <v>157</v>
      </c>
      <c r="U663" s="1">
        <f t="shared" si="166"/>
        <v>182</v>
      </c>
      <c r="V663" s="1">
        <f t="shared" si="167"/>
        <v>47.5</v>
      </c>
      <c r="W663" s="1">
        <f t="shared" si="168"/>
        <v>52.5</v>
      </c>
      <c r="X663" s="1">
        <f t="shared" si="169"/>
        <v>14.775811209439528</v>
      </c>
      <c r="Y663" s="1">
        <f t="shared" si="170"/>
        <v>55</v>
      </c>
      <c r="Z663" s="1">
        <f t="shared" si="171"/>
        <v>56</v>
      </c>
      <c r="AA663" s="1">
        <f t="shared" si="172"/>
        <v>3.6400000000000015</v>
      </c>
      <c r="AB663" s="1">
        <f t="shared" si="173"/>
        <v>3.4160714285714291</v>
      </c>
      <c r="AC663" s="1">
        <f t="shared" si="174"/>
        <v>0</v>
      </c>
      <c r="AD663" s="1">
        <f t="shared" si="175"/>
        <v>9.9330898844157407E-4</v>
      </c>
    </row>
    <row r="664" spans="1:30" x14ac:dyDescent="0.35">
      <c r="A664" t="s">
        <v>1340</v>
      </c>
      <c r="B664" t="s">
        <v>40</v>
      </c>
      <c r="C664" t="s">
        <v>36</v>
      </c>
      <c r="D664" t="s">
        <v>25</v>
      </c>
      <c r="E664">
        <v>45</v>
      </c>
      <c r="F664" t="s">
        <v>70</v>
      </c>
      <c r="G664" t="s">
        <v>85</v>
      </c>
      <c r="H664" t="s">
        <v>280</v>
      </c>
      <c r="I664">
        <v>17</v>
      </c>
      <c r="J664">
        <v>23</v>
      </c>
      <c r="K664">
        <v>441913</v>
      </c>
      <c r="L664">
        <v>4.0999999999999996</v>
      </c>
      <c r="M664" t="s">
        <v>21</v>
      </c>
      <c r="N664">
        <v>32</v>
      </c>
      <c r="O664">
        <f t="shared" si="160"/>
        <v>338</v>
      </c>
      <c r="P664">
        <f t="shared" si="161"/>
        <v>173</v>
      </c>
      <c r="Q664">
        <f t="shared" si="162"/>
        <v>165</v>
      </c>
      <c r="R664">
        <f t="shared" si="163"/>
        <v>49.650349650349654</v>
      </c>
      <c r="S664" s="1">
        <f t="shared" si="164"/>
        <v>50.24975024975025</v>
      </c>
      <c r="T664" s="1">
        <f t="shared" si="165"/>
        <v>157</v>
      </c>
      <c r="U664" s="1">
        <f t="shared" si="166"/>
        <v>181</v>
      </c>
      <c r="V664" s="1">
        <f t="shared" si="167"/>
        <v>47.5</v>
      </c>
      <c r="W664" s="1">
        <f t="shared" si="168"/>
        <v>52.5</v>
      </c>
      <c r="X664" s="1">
        <f t="shared" si="169"/>
        <v>14.78698224852071</v>
      </c>
      <c r="Y664" s="1">
        <f t="shared" si="170"/>
        <v>54</v>
      </c>
      <c r="Z664" s="1">
        <f t="shared" si="171"/>
        <v>56</v>
      </c>
      <c r="AA664" s="1">
        <f t="shared" si="172"/>
        <v>3.6259259259259267</v>
      </c>
      <c r="AB664" s="1">
        <f t="shared" si="173"/>
        <v>3.4160714285714291</v>
      </c>
      <c r="AC664" s="1">
        <f t="shared" si="174"/>
        <v>1</v>
      </c>
      <c r="AD664" s="1">
        <f t="shared" si="175"/>
        <v>-4.6209810915788437E-4</v>
      </c>
    </row>
    <row r="665" spans="1:30" x14ac:dyDescent="0.35">
      <c r="A665" t="s">
        <v>1341</v>
      </c>
      <c r="B665" t="s">
        <v>35</v>
      </c>
      <c r="C665" t="s">
        <v>64</v>
      </c>
      <c r="D665" t="s">
        <v>17</v>
      </c>
      <c r="E665">
        <v>57</v>
      </c>
      <c r="F665" t="s">
        <v>31</v>
      </c>
      <c r="G665" t="s">
        <v>71</v>
      </c>
      <c r="H665" t="s">
        <v>1342</v>
      </c>
      <c r="I665">
        <v>17</v>
      </c>
      <c r="J665">
        <v>25</v>
      </c>
      <c r="K665">
        <v>90588</v>
      </c>
      <c r="L665">
        <v>4</v>
      </c>
      <c r="M665" t="s">
        <v>43</v>
      </c>
      <c r="N665">
        <v>100</v>
      </c>
      <c r="O665">
        <f t="shared" si="160"/>
        <v>337</v>
      </c>
      <c r="P665">
        <f t="shared" si="161"/>
        <v>173</v>
      </c>
      <c r="Q665">
        <f t="shared" si="162"/>
        <v>164</v>
      </c>
      <c r="R665">
        <f t="shared" si="163"/>
        <v>49.650349650349654</v>
      </c>
      <c r="S665" s="1">
        <f t="shared" si="164"/>
        <v>50.24975024975025</v>
      </c>
      <c r="T665" s="1">
        <f t="shared" si="165"/>
        <v>156</v>
      </c>
      <c r="U665" s="1">
        <f t="shared" si="166"/>
        <v>181</v>
      </c>
      <c r="V665" s="1">
        <f t="shared" si="167"/>
        <v>47.5</v>
      </c>
      <c r="W665" s="1">
        <f t="shared" si="168"/>
        <v>52.5</v>
      </c>
      <c r="X665" s="1">
        <f t="shared" si="169"/>
        <v>14.762611275964392</v>
      </c>
      <c r="Y665" s="1">
        <f t="shared" si="170"/>
        <v>54</v>
      </c>
      <c r="Z665" s="1">
        <f t="shared" si="171"/>
        <v>56</v>
      </c>
      <c r="AA665" s="1">
        <f t="shared" si="172"/>
        <v>3.6259259259259267</v>
      </c>
      <c r="AB665" s="1">
        <f t="shared" si="173"/>
        <v>3.4160714285714291</v>
      </c>
      <c r="AC665" s="1">
        <f t="shared" si="174"/>
        <v>0</v>
      </c>
      <c r="AD665" s="1">
        <f t="shared" si="175"/>
        <v>-4.142064907178996E-3</v>
      </c>
    </row>
    <row r="666" spans="1:30" x14ac:dyDescent="0.35">
      <c r="A666" t="s">
        <v>1343</v>
      </c>
      <c r="B666" t="s">
        <v>55</v>
      </c>
      <c r="C666" t="s">
        <v>93</v>
      </c>
      <c r="D666" t="s">
        <v>17</v>
      </c>
      <c r="E666">
        <v>36</v>
      </c>
      <c r="F666" t="s">
        <v>18</v>
      </c>
      <c r="G666" t="s">
        <v>75</v>
      </c>
      <c r="H666" t="s">
        <v>1344</v>
      </c>
      <c r="I666">
        <v>20</v>
      </c>
      <c r="J666">
        <v>25</v>
      </c>
      <c r="K666">
        <v>168678</v>
      </c>
      <c r="L666">
        <v>3.9</v>
      </c>
      <c r="M666" t="s">
        <v>43</v>
      </c>
      <c r="N666">
        <v>93</v>
      </c>
      <c r="O666">
        <f t="shared" si="160"/>
        <v>336</v>
      </c>
      <c r="P666">
        <f t="shared" si="161"/>
        <v>172</v>
      </c>
      <c r="Q666">
        <f t="shared" si="162"/>
        <v>164</v>
      </c>
      <c r="R666">
        <f t="shared" si="163"/>
        <v>49.650349650349654</v>
      </c>
      <c r="S666" s="1">
        <f t="shared" si="164"/>
        <v>50.24975024975025</v>
      </c>
      <c r="T666" s="1">
        <f t="shared" si="165"/>
        <v>156</v>
      </c>
      <c r="U666" s="1">
        <f t="shared" si="166"/>
        <v>180</v>
      </c>
      <c r="V666" s="1">
        <f t="shared" si="167"/>
        <v>47.5</v>
      </c>
      <c r="W666" s="1">
        <f t="shared" si="168"/>
        <v>52.5</v>
      </c>
      <c r="X666" s="1">
        <f t="shared" si="169"/>
        <v>14.732142857142858</v>
      </c>
      <c r="Y666" s="1">
        <f t="shared" si="170"/>
        <v>54</v>
      </c>
      <c r="Z666" s="1">
        <f t="shared" si="171"/>
        <v>55</v>
      </c>
      <c r="AA666" s="1">
        <f t="shared" si="172"/>
        <v>3.6259259259259267</v>
      </c>
      <c r="AB666" s="1">
        <f t="shared" si="173"/>
        <v>3.4054545454545462</v>
      </c>
      <c r="AC666" s="1">
        <f t="shared" si="174"/>
        <v>0</v>
      </c>
      <c r="AD666" s="1">
        <f t="shared" si="175"/>
        <v>-1.7946350950444635E-4</v>
      </c>
    </row>
    <row r="667" spans="1:30" x14ac:dyDescent="0.35">
      <c r="A667" t="s">
        <v>1345</v>
      </c>
      <c r="B667" t="s">
        <v>96</v>
      </c>
      <c r="C667" t="s">
        <v>49</v>
      </c>
      <c r="D667" t="s">
        <v>17</v>
      </c>
      <c r="E667">
        <v>36</v>
      </c>
      <c r="F667" t="s">
        <v>46</v>
      </c>
      <c r="G667" t="s">
        <v>85</v>
      </c>
      <c r="H667" t="s">
        <v>1346</v>
      </c>
      <c r="I667">
        <v>15</v>
      </c>
      <c r="J667">
        <v>15</v>
      </c>
      <c r="K667">
        <v>61188</v>
      </c>
      <c r="L667">
        <v>3.3</v>
      </c>
      <c r="M667" t="s">
        <v>21</v>
      </c>
      <c r="N667">
        <v>40</v>
      </c>
      <c r="O667">
        <f t="shared" si="160"/>
        <v>335</v>
      </c>
      <c r="P667">
        <f t="shared" si="161"/>
        <v>171</v>
      </c>
      <c r="Q667">
        <f t="shared" si="162"/>
        <v>164</v>
      </c>
      <c r="R667">
        <f t="shared" si="163"/>
        <v>49.650349650349654</v>
      </c>
      <c r="S667" s="1">
        <f t="shared" si="164"/>
        <v>50.24975024975025</v>
      </c>
      <c r="T667" s="1">
        <f t="shared" si="165"/>
        <v>156</v>
      </c>
      <c r="U667" s="1">
        <f t="shared" si="166"/>
        <v>179</v>
      </c>
      <c r="V667" s="1">
        <f t="shared" si="167"/>
        <v>47.5</v>
      </c>
      <c r="W667" s="1">
        <f t="shared" si="168"/>
        <v>52.5</v>
      </c>
      <c r="X667" s="1">
        <f t="shared" si="169"/>
        <v>14.701492537313433</v>
      </c>
      <c r="Y667" s="1">
        <f t="shared" si="170"/>
        <v>54</v>
      </c>
      <c r="Z667" s="1">
        <f t="shared" si="171"/>
        <v>55</v>
      </c>
      <c r="AA667" s="1">
        <f t="shared" si="172"/>
        <v>3.6259259259259267</v>
      </c>
      <c r="AB667" s="1">
        <f t="shared" si="173"/>
        <v>3.4054545454545462</v>
      </c>
      <c r="AC667" s="1">
        <f t="shared" si="174"/>
        <v>1</v>
      </c>
      <c r="AD667" s="1">
        <f t="shared" si="175"/>
        <v>3.8418659867444438E-3</v>
      </c>
    </row>
    <row r="668" spans="1:30" x14ac:dyDescent="0.35">
      <c r="A668" t="s">
        <v>1347</v>
      </c>
      <c r="B668" t="s">
        <v>55</v>
      </c>
      <c r="C668" t="s">
        <v>49</v>
      </c>
      <c r="D668" t="s">
        <v>17</v>
      </c>
      <c r="E668">
        <v>31</v>
      </c>
      <c r="F668" t="s">
        <v>74</v>
      </c>
      <c r="G668" t="s">
        <v>61</v>
      </c>
      <c r="H668" t="s">
        <v>1348</v>
      </c>
      <c r="I668">
        <v>12</v>
      </c>
      <c r="J668">
        <v>14</v>
      </c>
      <c r="K668">
        <v>168000</v>
      </c>
      <c r="L668">
        <v>4.9000000000000004</v>
      </c>
      <c r="M668" t="s">
        <v>43</v>
      </c>
      <c r="N668">
        <v>74</v>
      </c>
      <c r="O668">
        <f t="shared" si="160"/>
        <v>334</v>
      </c>
      <c r="P668">
        <f t="shared" si="161"/>
        <v>170</v>
      </c>
      <c r="Q668">
        <f t="shared" si="162"/>
        <v>164</v>
      </c>
      <c r="R668">
        <f t="shared" si="163"/>
        <v>49.650349650349654</v>
      </c>
      <c r="S668" s="1">
        <f t="shared" si="164"/>
        <v>50.24975024975025</v>
      </c>
      <c r="T668" s="1">
        <f t="shared" si="165"/>
        <v>155</v>
      </c>
      <c r="U668" s="1">
        <f t="shared" si="166"/>
        <v>179</v>
      </c>
      <c r="V668" s="1">
        <f t="shared" si="167"/>
        <v>47.5</v>
      </c>
      <c r="W668" s="1">
        <f t="shared" si="168"/>
        <v>52.5</v>
      </c>
      <c r="X668" s="1">
        <f t="shared" si="169"/>
        <v>14.700598802395209</v>
      </c>
      <c r="Y668" s="1">
        <f t="shared" si="170"/>
        <v>54</v>
      </c>
      <c r="Z668" s="1">
        <f t="shared" si="171"/>
        <v>55</v>
      </c>
      <c r="AA668" s="1">
        <f t="shared" si="172"/>
        <v>3.6259259259259267</v>
      </c>
      <c r="AB668" s="1">
        <f t="shared" si="173"/>
        <v>3.4054545454545462</v>
      </c>
      <c r="AC668" s="1">
        <f t="shared" si="174"/>
        <v>0</v>
      </c>
      <c r="AD668" s="1">
        <f t="shared" si="175"/>
        <v>3.713687498354348E-3</v>
      </c>
    </row>
    <row r="669" spans="1:30" x14ac:dyDescent="0.35">
      <c r="A669" t="s">
        <v>1349</v>
      </c>
      <c r="B669" t="s">
        <v>45</v>
      </c>
      <c r="C669" t="s">
        <v>24</v>
      </c>
      <c r="D669" t="s">
        <v>25</v>
      </c>
      <c r="E669">
        <v>51</v>
      </c>
      <c r="F669" t="s">
        <v>74</v>
      </c>
      <c r="G669" t="s">
        <v>61</v>
      </c>
      <c r="H669" t="s">
        <v>1007</v>
      </c>
      <c r="I669">
        <v>14</v>
      </c>
      <c r="J669">
        <v>21</v>
      </c>
      <c r="K669">
        <v>371907</v>
      </c>
      <c r="L669">
        <v>2.9</v>
      </c>
      <c r="M669" t="s">
        <v>21</v>
      </c>
      <c r="N669">
        <v>50</v>
      </c>
      <c r="O669">
        <f t="shared" si="160"/>
        <v>333</v>
      </c>
      <c r="P669">
        <f t="shared" si="161"/>
        <v>169</v>
      </c>
      <c r="Q669">
        <f t="shared" si="162"/>
        <v>164</v>
      </c>
      <c r="R669">
        <f t="shared" si="163"/>
        <v>49.650349650349654</v>
      </c>
      <c r="S669" s="1">
        <f t="shared" si="164"/>
        <v>50.24975024975025</v>
      </c>
      <c r="T669" s="1">
        <f t="shared" si="165"/>
        <v>155</v>
      </c>
      <c r="U669" s="1">
        <f t="shared" si="166"/>
        <v>178</v>
      </c>
      <c r="V669" s="1">
        <f t="shared" si="167"/>
        <v>47.5</v>
      </c>
      <c r="W669" s="1">
        <f t="shared" si="168"/>
        <v>52.5</v>
      </c>
      <c r="X669" s="1">
        <f t="shared" si="169"/>
        <v>14.702702702702704</v>
      </c>
      <c r="Y669" s="1">
        <f t="shared" si="170"/>
        <v>53</v>
      </c>
      <c r="Z669" s="1">
        <f t="shared" si="171"/>
        <v>55</v>
      </c>
      <c r="AA669" s="1">
        <f t="shared" si="172"/>
        <v>3.6018867924528308</v>
      </c>
      <c r="AB669" s="1">
        <f t="shared" si="173"/>
        <v>3.4054545454545462</v>
      </c>
      <c r="AC669" s="1">
        <f t="shared" si="174"/>
        <v>1</v>
      </c>
      <c r="AD669" s="1">
        <f t="shared" si="175"/>
        <v>3.4434274642030438E-3</v>
      </c>
    </row>
    <row r="670" spans="1:30" x14ac:dyDescent="0.35">
      <c r="A670" t="s">
        <v>1350</v>
      </c>
      <c r="B670" t="s">
        <v>60</v>
      </c>
      <c r="C670" t="s">
        <v>49</v>
      </c>
      <c r="D670" t="s">
        <v>17</v>
      </c>
      <c r="E670">
        <v>22</v>
      </c>
      <c r="F670" t="s">
        <v>70</v>
      </c>
      <c r="G670" t="s">
        <v>61</v>
      </c>
      <c r="H670" t="s">
        <v>1351</v>
      </c>
      <c r="I670">
        <v>3</v>
      </c>
      <c r="J670">
        <v>13</v>
      </c>
      <c r="K670">
        <v>69711</v>
      </c>
      <c r="L670">
        <v>5</v>
      </c>
      <c r="M670" t="s">
        <v>43</v>
      </c>
      <c r="N670">
        <v>90</v>
      </c>
      <c r="O670">
        <f t="shared" si="160"/>
        <v>332</v>
      </c>
      <c r="P670">
        <f t="shared" si="161"/>
        <v>169</v>
      </c>
      <c r="Q670">
        <f t="shared" si="162"/>
        <v>163</v>
      </c>
      <c r="R670">
        <f t="shared" si="163"/>
        <v>49.650349650349654</v>
      </c>
      <c r="S670" s="1">
        <f t="shared" si="164"/>
        <v>50.24975024975025</v>
      </c>
      <c r="T670" s="1">
        <f t="shared" si="165"/>
        <v>154</v>
      </c>
      <c r="U670" s="1">
        <f t="shared" si="166"/>
        <v>178</v>
      </c>
      <c r="V670" s="1">
        <f t="shared" si="167"/>
        <v>47.5</v>
      </c>
      <c r="W670" s="1">
        <f t="shared" si="168"/>
        <v>52.5</v>
      </c>
      <c r="X670" s="1">
        <f t="shared" si="169"/>
        <v>14.683734939759036</v>
      </c>
      <c r="Y670" s="1">
        <f t="shared" si="170"/>
        <v>52</v>
      </c>
      <c r="Z670" s="1">
        <f t="shared" si="171"/>
        <v>55</v>
      </c>
      <c r="AA670" s="1">
        <f t="shared" si="172"/>
        <v>3.6153846153846159</v>
      </c>
      <c r="AB670" s="1">
        <f t="shared" si="173"/>
        <v>3.4054545454545462</v>
      </c>
      <c r="AC670" s="1">
        <f t="shared" si="174"/>
        <v>0</v>
      </c>
      <c r="AD670" s="1">
        <f t="shared" si="175"/>
        <v>5.9642516458709486E-4</v>
      </c>
    </row>
    <row r="671" spans="1:30" x14ac:dyDescent="0.35">
      <c r="A671" t="s">
        <v>1352</v>
      </c>
      <c r="B671" t="s">
        <v>35</v>
      </c>
      <c r="C671" t="s">
        <v>49</v>
      </c>
      <c r="D671" t="s">
        <v>17</v>
      </c>
      <c r="E671">
        <v>48</v>
      </c>
      <c r="F671" t="s">
        <v>70</v>
      </c>
      <c r="G671" t="s">
        <v>19</v>
      </c>
      <c r="H671" t="s">
        <v>1353</v>
      </c>
      <c r="I671">
        <v>15</v>
      </c>
      <c r="J671">
        <v>16</v>
      </c>
      <c r="K671">
        <v>268976</v>
      </c>
      <c r="L671">
        <v>2.8</v>
      </c>
      <c r="M671" t="s">
        <v>43</v>
      </c>
      <c r="N671">
        <v>82</v>
      </c>
      <c r="O671">
        <f t="shared" si="160"/>
        <v>331</v>
      </c>
      <c r="P671">
        <f t="shared" si="161"/>
        <v>168</v>
      </c>
      <c r="Q671">
        <f t="shared" si="162"/>
        <v>163</v>
      </c>
      <c r="R671">
        <f t="shared" si="163"/>
        <v>49.650349650349654</v>
      </c>
      <c r="S671" s="1">
        <f t="shared" si="164"/>
        <v>50.24975024975025</v>
      </c>
      <c r="T671" s="1">
        <f t="shared" si="165"/>
        <v>154</v>
      </c>
      <c r="U671" s="1">
        <f t="shared" si="166"/>
        <v>177</v>
      </c>
      <c r="V671" s="1">
        <f t="shared" si="167"/>
        <v>47.5</v>
      </c>
      <c r="W671" s="1">
        <f t="shared" si="168"/>
        <v>52.5</v>
      </c>
      <c r="X671" s="1">
        <f t="shared" si="169"/>
        <v>14.688821752265861</v>
      </c>
      <c r="Y671" s="1">
        <f t="shared" si="170"/>
        <v>52</v>
      </c>
      <c r="Z671" s="1">
        <f t="shared" si="171"/>
        <v>55</v>
      </c>
      <c r="AA671" s="1">
        <f t="shared" si="172"/>
        <v>3.6153846153846159</v>
      </c>
      <c r="AB671" s="1">
        <f t="shared" si="173"/>
        <v>3.4054545454545462</v>
      </c>
      <c r="AC671" s="1">
        <f t="shared" si="174"/>
        <v>0</v>
      </c>
      <c r="AD671" s="1">
        <f t="shared" si="175"/>
        <v>-6.6562307970866532E-5</v>
      </c>
    </row>
    <row r="672" spans="1:30" x14ac:dyDescent="0.35">
      <c r="A672" t="s">
        <v>1354</v>
      </c>
      <c r="B672" t="s">
        <v>29</v>
      </c>
      <c r="C672" t="s">
        <v>52</v>
      </c>
      <c r="D672" t="s">
        <v>17</v>
      </c>
      <c r="E672">
        <v>59</v>
      </c>
      <c r="F672" t="s">
        <v>18</v>
      </c>
      <c r="G672" t="s">
        <v>57</v>
      </c>
      <c r="H672" t="s">
        <v>1355</v>
      </c>
      <c r="I672">
        <v>2</v>
      </c>
      <c r="J672">
        <v>2</v>
      </c>
      <c r="K672">
        <v>90074</v>
      </c>
      <c r="L672">
        <v>3.4</v>
      </c>
      <c r="M672" t="s">
        <v>21</v>
      </c>
      <c r="N672">
        <v>49</v>
      </c>
      <c r="O672">
        <f t="shared" si="160"/>
        <v>330</v>
      </c>
      <c r="P672">
        <f t="shared" si="161"/>
        <v>167</v>
      </c>
      <c r="Q672">
        <f t="shared" si="162"/>
        <v>163</v>
      </c>
      <c r="R672">
        <f t="shared" si="163"/>
        <v>49.650349650349654</v>
      </c>
      <c r="S672" s="1">
        <f t="shared" si="164"/>
        <v>50.24975024975025</v>
      </c>
      <c r="T672" s="1">
        <f t="shared" si="165"/>
        <v>154</v>
      </c>
      <c r="U672" s="1">
        <f t="shared" si="166"/>
        <v>176</v>
      </c>
      <c r="V672" s="1">
        <f t="shared" si="167"/>
        <v>47.5</v>
      </c>
      <c r="W672" s="1">
        <f t="shared" si="168"/>
        <v>52.5</v>
      </c>
      <c r="X672" s="1">
        <f t="shared" si="169"/>
        <v>14.684848484848485</v>
      </c>
      <c r="Y672" s="1">
        <f t="shared" si="170"/>
        <v>52</v>
      </c>
      <c r="Z672" s="1">
        <f t="shared" si="171"/>
        <v>55</v>
      </c>
      <c r="AA672" s="1">
        <f t="shared" si="172"/>
        <v>3.6153846153846159</v>
      </c>
      <c r="AB672" s="1">
        <f t="shared" si="173"/>
        <v>3.4054545454545462</v>
      </c>
      <c r="AC672" s="1">
        <f t="shared" si="174"/>
        <v>1</v>
      </c>
      <c r="AD672" s="1">
        <f t="shared" si="175"/>
        <v>4.5256103791412733E-4</v>
      </c>
    </row>
    <row r="673" spans="1:30" x14ac:dyDescent="0.35">
      <c r="A673" t="s">
        <v>1356</v>
      </c>
      <c r="B673" t="s">
        <v>15</v>
      </c>
      <c r="C673" t="s">
        <v>30</v>
      </c>
      <c r="D673" t="s">
        <v>17</v>
      </c>
      <c r="E673">
        <v>33</v>
      </c>
      <c r="F673" t="s">
        <v>74</v>
      </c>
      <c r="G673" t="s">
        <v>57</v>
      </c>
      <c r="H673" t="s">
        <v>1357</v>
      </c>
      <c r="I673">
        <v>13</v>
      </c>
      <c r="J673">
        <v>19</v>
      </c>
      <c r="K673">
        <v>119633</v>
      </c>
      <c r="L673">
        <v>4.5999999999999996</v>
      </c>
      <c r="M673" t="s">
        <v>21</v>
      </c>
      <c r="N673">
        <v>35</v>
      </c>
      <c r="O673">
        <f t="shared" si="160"/>
        <v>329</v>
      </c>
      <c r="P673">
        <f t="shared" si="161"/>
        <v>166</v>
      </c>
      <c r="Q673">
        <f t="shared" si="162"/>
        <v>163</v>
      </c>
      <c r="R673">
        <f t="shared" si="163"/>
        <v>49.650349650349654</v>
      </c>
      <c r="S673" s="1">
        <f t="shared" si="164"/>
        <v>50.24975024975025</v>
      </c>
      <c r="T673" s="1">
        <f t="shared" si="165"/>
        <v>153</v>
      </c>
      <c r="U673" s="1">
        <f t="shared" si="166"/>
        <v>176</v>
      </c>
      <c r="V673" s="1">
        <f t="shared" si="167"/>
        <v>47.5</v>
      </c>
      <c r="W673" s="1">
        <f t="shared" si="168"/>
        <v>52.5</v>
      </c>
      <c r="X673" s="1">
        <f t="shared" si="169"/>
        <v>14.723404255319149</v>
      </c>
      <c r="Y673" s="1">
        <f t="shared" si="170"/>
        <v>52</v>
      </c>
      <c r="Z673" s="1">
        <f t="shared" si="171"/>
        <v>55</v>
      </c>
      <c r="AA673" s="1">
        <f t="shared" si="172"/>
        <v>3.6153846153846159</v>
      </c>
      <c r="AB673" s="1">
        <f t="shared" si="173"/>
        <v>3.4054545454545462</v>
      </c>
      <c r="AC673" s="1">
        <f t="shared" si="174"/>
        <v>1</v>
      </c>
      <c r="AD673" s="1">
        <f t="shared" si="175"/>
        <v>6.251398944701031E-3</v>
      </c>
    </row>
    <row r="674" spans="1:30" x14ac:dyDescent="0.35">
      <c r="A674" t="s">
        <v>1358</v>
      </c>
      <c r="B674" t="s">
        <v>23</v>
      </c>
      <c r="C674" t="s">
        <v>24</v>
      </c>
      <c r="D674" t="s">
        <v>17</v>
      </c>
      <c r="E674">
        <v>35</v>
      </c>
      <c r="F674" t="s">
        <v>18</v>
      </c>
      <c r="G674" t="s">
        <v>61</v>
      </c>
      <c r="H674" t="s">
        <v>443</v>
      </c>
      <c r="I674">
        <v>6</v>
      </c>
      <c r="J674">
        <v>13</v>
      </c>
      <c r="K674">
        <v>98089</v>
      </c>
      <c r="L674">
        <v>2.2999999999999998</v>
      </c>
      <c r="M674" t="s">
        <v>21</v>
      </c>
      <c r="N674">
        <v>37</v>
      </c>
      <c r="O674">
        <f t="shared" si="160"/>
        <v>328</v>
      </c>
      <c r="P674">
        <f t="shared" si="161"/>
        <v>165</v>
      </c>
      <c r="Q674">
        <f t="shared" si="162"/>
        <v>163</v>
      </c>
      <c r="R674">
        <f t="shared" si="163"/>
        <v>49.650349650349654</v>
      </c>
      <c r="S674" s="1">
        <f t="shared" si="164"/>
        <v>50.24975024975025</v>
      </c>
      <c r="T674" s="1">
        <f t="shared" si="165"/>
        <v>152</v>
      </c>
      <c r="U674" s="1">
        <f t="shared" si="166"/>
        <v>176</v>
      </c>
      <c r="V674" s="1">
        <f t="shared" si="167"/>
        <v>47.5</v>
      </c>
      <c r="W674" s="1">
        <f t="shared" si="168"/>
        <v>52.5</v>
      </c>
      <c r="X674" s="1">
        <f t="shared" si="169"/>
        <v>14.710365853658537</v>
      </c>
      <c r="Y674" s="1">
        <f t="shared" si="170"/>
        <v>51</v>
      </c>
      <c r="Z674" s="1">
        <f t="shared" si="171"/>
        <v>55</v>
      </c>
      <c r="AA674" s="1">
        <f t="shared" si="172"/>
        <v>3.5960784313725496</v>
      </c>
      <c r="AB674" s="1">
        <f t="shared" si="173"/>
        <v>3.4054545454545462</v>
      </c>
      <c r="AC674" s="1">
        <f t="shared" si="174"/>
        <v>1</v>
      </c>
      <c r="AD674" s="1">
        <f t="shared" si="175"/>
        <v>4.3013112985657966E-3</v>
      </c>
    </row>
    <row r="675" spans="1:30" x14ac:dyDescent="0.35">
      <c r="A675" t="s">
        <v>1359</v>
      </c>
      <c r="B675" t="s">
        <v>96</v>
      </c>
      <c r="C675" t="s">
        <v>30</v>
      </c>
      <c r="D675" t="s">
        <v>17</v>
      </c>
      <c r="E675">
        <v>48</v>
      </c>
      <c r="F675" t="s">
        <v>18</v>
      </c>
      <c r="G675" t="s">
        <v>75</v>
      </c>
      <c r="H675" t="s">
        <v>1360</v>
      </c>
      <c r="I675">
        <v>15</v>
      </c>
      <c r="J675">
        <v>24</v>
      </c>
      <c r="K675">
        <v>378386</v>
      </c>
      <c r="L675">
        <v>2.6</v>
      </c>
      <c r="M675" t="s">
        <v>21</v>
      </c>
      <c r="N675">
        <v>47</v>
      </c>
      <c r="O675">
        <f t="shared" si="160"/>
        <v>327</v>
      </c>
      <c r="P675">
        <f t="shared" si="161"/>
        <v>164</v>
      </c>
      <c r="Q675">
        <f t="shared" si="162"/>
        <v>163</v>
      </c>
      <c r="R675">
        <f t="shared" si="163"/>
        <v>49.650349650349654</v>
      </c>
      <c r="S675" s="1">
        <f t="shared" si="164"/>
        <v>50.24975024975025</v>
      </c>
      <c r="T675" s="1">
        <f t="shared" si="165"/>
        <v>151</v>
      </c>
      <c r="U675" s="1">
        <f t="shared" si="166"/>
        <v>176</v>
      </c>
      <c r="V675" s="1">
        <f t="shared" si="167"/>
        <v>47.5</v>
      </c>
      <c r="W675" s="1">
        <f t="shared" si="168"/>
        <v>52.5</v>
      </c>
      <c r="X675" s="1">
        <f t="shared" si="169"/>
        <v>14.715596330275229</v>
      </c>
      <c r="Y675" s="1">
        <f t="shared" si="170"/>
        <v>51</v>
      </c>
      <c r="Z675" s="1">
        <f t="shared" si="171"/>
        <v>55</v>
      </c>
      <c r="AA675" s="1">
        <f t="shared" si="172"/>
        <v>3.5960784313725496</v>
      </c>
      <c r="AB675" s="1">
        <f t="shared" si="173"/>
        <v>3.4054545454545462</v>
      </c>
      <c r="AC675" s="1">
        <f t="shared" si="174"/>
        <v>1</v>
      </c>
      <c r="AD675" s="1">
        <f t="shared" si="175"/>
        <v>5.0988752222321321E-3</v>
      </c>
    </row>
    <row r="676" spans="1:30" x14ac:dyDescent="0.35">
      <c r="A676" t="s">
        <v>1361</v>
      </c>
      <c r="B676" t="s">
        <v>45</v>
      </c>
      <c r="C676" t="s">
        <v>64</v>
      </c>
      <c r="D676" t="s">
        <v>25</v>
      </c>
      <c r="E676">
        <v>58</v>
      </c>
      <c r="F676" t="s">
        <v>70</v>
      </c>
      <c r="G676" t="s">
        <v>26</v>
      </c>
      <c r="H676" t="s">
        <v>1362</v>
      </c>
      <c r="I676">
        <v>9</v>
      </c>
      <c r="J676">
        <v>19</v>
      </c>
      <c r="K676">
        <v>329349</v>
      </c>
      <c r="L676">
        <v>4.5999999999999996</v>
      </c>
      <c r="M676" t="s">
        <v>43</v>
      </c>
      <c r="N676">
        <v>84</v>
      </c>
      <c r="O676">
        <f t="shared" si="160"/>
        <v>326</v>
      </c>
      <c r="P676">
        <f t="shared" si="161"/>
        <v>163</v>
      </c>
      <c r="Q676">
        <f t="shared" si="162"/>
        <v>163</v>
      </c>
      <c r="R676">
        <f t="shared" si="163"/>
        <v>49.650349650349654</v>
      </c>
      <c r="S676" s="1">
        <f t="shared" si="164"/>
        <v>50.24975024975025</v>
      </c>
      <c r="T676" s="1">
        <f t="shared" si="165"/>
        <v>150</v>
      </c>
      <c r="U676" s="1">
        <f t="shared" si="166"/>
        <v>176</v>
      </c>
      <c r="V676" s="1">
        <f t="shared" si="167"/>
        <v>47.5</v>
      </c>
      <c r="W676" s="1">
        <f t="shared" si="168"/>
        <v>52.5</v>
      </c>
      <c r="X676" s="1">
        <f t="shared" si="169"/>
        <v>14.687116564417177</v>
      </c>
      <c r="Y676" s="1">
        <f t="shared" si="170"/>
        <v>51</v>
      </c>
      <c r="Z676" s="1">
        <f t="shared" si="171"/>
        <v>55</v>
      </c>
      <c r="AA676" s="1">
        <f t="shared" si="172"/>
        <v>3.5960784313725496</v>
      </c>
      <c r="AB676" s="1">
        <f t="shared" si="173"/>
        <v>3.4054545454545462</v>
      </c>
      <c r="AC676" s="1">
        <f t="shared" si="174"/>
        <v>0</v>
      </c>
      <c r="AD676" s="1">
        <f t="shared" si="175"/>
        <v>8.0331344971854186E-4</v>
      </c>
    </row>
    <row r="677" spans="1:30" x14ac:dyDescent="0.35">
      <c r="A677" t="s">
        <v>1363</v>
      </c>
      <c r="B677" t="s">
        <v>78</v>
      </c>
      <c r="C677" t="s">
        <v>30</v>
      </c>
      <c r="D677" t="s">
        <v>17</v>
      </c>
      <c r="E677">
        <v>52</v>
      </c>
      <c r="F677" t="s">
        <v>74</v>
      </c>
      <c r="G677" t="s">
        <v>88</v>
      </c>
      <c r="H677" t="s">
        <v>1364</v>
      </c>
      <c r="I677">
        <v>4</v>
      </c>
      <c r="J677">
        <v>6</v>
      </c>
      <c r="K677">
        <v>318546</v>
      </c>
      <c r="L677">
        <v>3.5</v>
      </c>
      <c r="M677" t="s">
        <v>43</v>
      </c>
      <c r="N677">
        <v>74</v>
      </c>
      <c r="O677">
        <f t="shared" si="160"/>
        <v>325</v>
      </c>
      <c r="P677">
        <f t="shared" si="161"/>
        <v>163</v>
      </c>
      <c r="Q677">
        <f t="shared" si="162"/>
        <v>162</v>
      </c>
      <c r="R677">
        <f t="shared" si="163"/>
        <v>49.650349650349654</v>
      </c>
      <c r="S677" s="1">
        <f t="shared" si="164"/>
        <v>50.24975024975025</v>
      </c>
      <c r="T677" s="1">
        <f t="shared" si="165"/>
        <v>150</v>
      </c>
      <c r="U677" s="1">
        <f t="shared" si="166"/>
        <v>175</v>
      </c>
      <c r="V677" s="1">
        <f t="shared" si="167"/>
        <v>47.5</v>
      </c>
      <c r="W677" s="1">
        <f t="shared" si="168"/>
        <v>52.5</v>
      </c>
      <c r="X677" s="1">
        <f t="shared" si="169"/>
        <v>14.673846153846155</v>
      </c>
      <c r="Y677" s="1">
        <f t="shared" si="170"/>
        <v>51</v>
      </c>
      <c r="Z677" s="1">
        <f t="shared" si="171"/>
        <v>55</v>
      </c>
      <c r="AA677" s="1">
        <f t="shared" si="172"/>
        <v>3.5960784313725496</v>
      </c>
      <c r="AB677" s="1">
        <f t="shared" si="173"/>
        <v>3.4054545454545462</v>
      </c>
      <c r="AC677" s="1">
        <f t="shared" si="174"/>
        <v>0</v>
      </c>
      <c r="AD677" s="1">
        <f t="shared" si="175"/>
        <v>2.5228016630365236E-3</v>
      </c>
    </row>
    <row r="678" spans="1:30" x14ac:dyDescent="0.35">
      <c r="A678" t="s">
        <v>1365</v>
      </c>
      <c r="B678" t="s">
        <v>35</v>
      </c>
      <c r="C678" t="s">
        <v>36</v>
      </c>
      <c r="D678" t="s">
        <v>17</v>
      </c>
      <c r="E678">
        <v>34</v>
      </c>
      <c r="F678" t="s">
        <v>79</v>
      </c>
      <c r="G678" t="s">
        <v>19</v>
      </c>
      <c r="H678" t="s">
        <v>1366</v>
      </c>
      <c r="I678">
        <v>6</v>
      </c>
      <c r="J678">
        <v>12</v>
      </c>
      <c r="K678">
        <v>178048</v>
      </c>
      <c r="L678">
        <v>3.2</v>
      </c>
      <c r="M678" t="s">
        <v>21</v>
      </c>
      <c r="N678">
        <v>61</v>
      </c>
      <c r="O678">
        <f t="shared" si="160"/>
        <v>324</v>
      </c>
      <c r="P678">
        <f t="shared" si="161"/>
        <v>162</v>
      </c>
      <c r="Q678">
        <f t="shared" si="162"/>
        <v>162</v>
      </c>
      <c r="R678">
        <f t="shared" si="163"/>
        <v>49.650349650349654</v>
      </c>
      <c r="S678" s="1">
        <f t="shared" si="164"/>
        <v>50.24975024975025</v>
      </c>
      <c r="T678" s="1">
        <f t="shared" si="165"/>
        <v>150</v>
      </c>
      <c r="U678" s="1">
        <f t="shared" si="166"/>
        <v>174</v>
      </c>
      <c r="V678" s="1">
        <f t="shared" si="167"/>
        <v>47.5</v>
      </c>
      <c r="W678" s="1">
        <f t="shared" si="168"/>
        <v>52.5</v>
      </c>
      <c r="X678" s="1">
        <f t="shared" si="169"/>
        <v>14.700617283950617</v>
      </c>
      <c r="Y678" s="1">
        <f t="shared" si="170"/>
        <v>50</v>
      </c>
      <c r="Z678" s="1">
        <f t="shared" si="171"/>
        <v>55</v>
      </c>
      <c r="AA678" s="1">
        <f t="shared" si="172"/>
        <v>3.5980000000000003</v>
      </c>
      <c r="AB678" s="1">
        <f t="shared" si="173"/>
        <v>3.4054545454545462</v>
      </c>
      <c r="AC678" s="1">
        <f t="shared" si="174"/>
        <v>1</v>
      </c>
      <c r="AD678" s="1">
        <f t="shared" si="175"/>
        <v>-9.4637774707650015E-4</v>
      </c>
    </row>
    <row r="679" spans="1:30" x14ac:dyDescent="0.35">
      <c r="A679" t="s">
        <v>1367</v>
      </c>
      <c r="B679" t="s">
        <v>55</v>
      </c>
      <c r="C679" t="s">
        <v>49</v>
      </c>
      <c r="D679" t="s">
        <v>17</v>
      </c>
      <c r="E679">
        <v>36</v>
      </c>
      <c r="F679" t="s">
        <v>74</v>
      </c>
      <c r="G679" t="s">
        <v>32</v>
      </c>
      <c r="H679" t="s">
        <v>1368</v>
      </c>
      <c r="I679">
        <v>15</v>
      </c>
      <c r="J679">
        <v>23</v>
      </c>
      <c r="K679">
        <v>256850</v>
      </c>
      <c r="L679">
        <v>4.7</v>
      </c>
      <c r="M679" t="s">
        <v>21</v>
      </c>
      <c r="N679">
        <v>61</v>
      </c>
      <c r="O679">
        <f t="shared" si="160"/>
        <v>323</v>
      </c>
      <c r="P679">
        <f t="shared" si="161"/>
        <v>161</v>
      </c>
      <c r="Q679">
        <f t="shared" si="162"/>
        <v>162</v>
      </c>
      <c r="R679">
        <f t="shared" si="163"/>
        <v>49.650349650349654</v>
      </c>
      <c r="S679" s="1">
        <f t="shared" si="164"/>
        <v>50.24975024975025</v>
      </c>
      <c r="T679" s="1">
        <f t="shared" si="165"/>
        <v>149</v>
      </c>
      <c r="U679" s="1">
        <f t="shared" si="166"/>
        <v>174</v>
      </c>
      <c r="V679" s="1">
        <f t="shared" si="167"/>
        <v>47.5</v>
      </c>
      <c r="W679" s="1">
        <f t="shared" si="168"/>
        <v>52.5</v>
      </c>
      <c r="X679" s="1">
        <f t="shared" si="169"/>
        <v>14.708978328173375</v>
      </c>
      <c r="Y679" s="1">
        <f t="shared" si="170"/>
        <v>50</v>
      </c>
      <c r="Z679" s="1">
        <f t="shared" si="171"/>
        <v>55</v>
      </c>
      <c r="AA679" s="1">
        <f t="shared" si="172"/>
        <v>3.5980000000000003</v>
      </c>
      <c r="AB679" s="1">
        <f t="shared" si="173"/>
        <v>3.4054545454545462</v>
      </c>
      <c r="AC679" s="1">
        <f t="shared" si="174"/>
        <v>1</v>
      </c>
      <c r="AD679" s="1">
        <f t="shared" si="175"/>
        <v>3.1438867490792764E-4</v>
      </c>
    </row>
    <row r="680" spans="1:30" x14ac:dyDescent="0.35">
      <c r="A680" t="s">
        <v>1369</v>
      </c>
      <c r="B680" t="s">
        <v>15</v>
      </c>
      <c r="C680" t="s">
        <v>64</v>
      </c>
      <c r="D680" t="s">
        <v>25</v>
      </c>
      <c r="E680">
        <v>43</v>
      </c>
      <c r="F680" t="s">
        <v>79</v>
      </c>
      <c r="G680" t="s">
        <v>41</v>
      </c>
      <c r="H680" t="s">
        <v>1370</v>
      </c>
      <c r="I680">
        <v>18</v>
      </c>
      <c r="J680">
        <v>25</v>
      </c>
      <c r="K680">
        <v>256797</v>
      </c>
      <c r="L680">
        <v>3.5</v>
      </c>
      <c r="M680" t="s">
        <v>43</v>
      </c>
      <c r="N680">
        <v>98</v>
      </c>
      <c r="O680">
        <f t="shared" si="160"/>
        <v>322</v>
      </c>
      <c r="P680">
        <f t="shared" si="161"/>
        <v>160</v>
      </c>
      <c r="Q680">
        <f t="shared" si="162"/>
        <v>162</v>
      </c>
      <c r="R680">
        <f t="shared" si="163"/>
        <v>49.650349650349654</v>
      </c>
      <c r="S680" s="1">
        <f t="shared" si="164"/>
        <v>50.24975024975025</v>
      </c>
      <c r="T680" s="1">
        <f t="shared" si="165"/>
        <v>148</v>
      </c>
      <c r="U680" s="1">
        <f t="shared" si="166"/>
        <v>174</v>
      </c>
      <c r="V680" s="1">
        <f t="shared" si="167"/>
        <v>47.5</v>
      </c>
      <c r="W680" s="1">
        <f t="shared" si="168"/>
        <v>52.5</v>
      </c>
      <c r="X680" s="1">
        <f t="shared" si="169"/>
        <v>14.683229813664596</v>
      </c>
      <c r="Y680" s="1">
        <f t="shared" si="170"/>
        <v>49</v>
      </c>
      <c r="Z680" s="1">
        <f t="shared" si="171"/>
        <v>55</v>
      </c>
      <c r="AA680" s="1">
        <f t="shared" si="172"/>
        <v>3.5755102040816324</v>
      </c>
      <c r="AB680" s="1">
        <f t="shared" si="173"/>
        <v>3.4054545454545462</v>
      </c>
      <c r="AC680" s="1">
        <f t="shared" si="174"/>
        <v>0</v>
      </c>
      <c r="AD680" s="1">
        <f t="shared" si="175"/>
        <v>-3.5881236546347209E-3</v>
      </c>
    </row>
    <row r="681" spans="1:30" x14ac:dyDescent="0.35">
      <c r="A681" t="s">
        <v>1371</v>
      </c>
      <c r="B681" t="s">
        <v>15</v>
      </c>
      <c r="C681" t="s">
        <v>24</v>
      </c>
      <c r="D681" t="s">
        <v>25</v>
      </c>
      <c r="E681">
        <v>24</v>
      </c>
      <c r="F681" t="s">
        <v>70</v>
      </c>
      <c r="G681" t="s">
        <v>75</v>
      </c>
      <c r="H681" t="s">
        <v>1372</v>
      </c>
      <c r="I681">
        <v>13</v>
      </c>
      <c r="J681">
        <v>17</v>
      </c>
      <c r="K681">
        <v>485676</v>
      </c>
      <c r="L681">
        <v>2.6</v>
      </c>
      <c r="M681" t="s">
        <v>21</v>
      </c>
      <c r="N681">
        <v>39</v>
      </c>
      <c r="O681">
        <f t="shared" si="160"/>
        <v>321</v>
      </c>
      <c r="P681">
        <f t="shared" si="161"/>
        <v>160</v>
      </c>
      <c r="Q681">
        <f t="shared" si="162"/>
        <v>161</v>
      </c>
      <c r="R681">
        <f t="shared" si="163"/>
        <v>49.650349650349654</v>
      </c>
      <c r="S681" s="1">
        <f t="shared" si="164"/>
        <v>50.24975024975025</v>
      </c>
      <c r="T681" s="1">
        <f t="shared" si="165"/>
        <v>148</v>
      </c>
      <c r="U681" s="1">
        <f t="shared" si="166"/>
        <v>173</v>
      </c>
      <c r="V681" s="1">
        <f t="shared" si="167"/>
        <v>47.5</v>
      </c>
      <c r="W681" s="1">
        <f t="shared" si="168"/>
        <v>52.5</v>
      </c>
      <c r="X681" s="1">
        <f t="shared" si="169"/>
        <v>14.651090342679128</v>
      </c>
      <c r="Y681" s="1">
        <f t="shared" si="170"/>
        <v>49</v>
      </c>
      <c r="Z681" s="1">
        <f t="shared" si="171"/>
        <v>55</v>
      </c>
      <c r="AA681" s="1">
        <f t="shared" si="172"/>
        <v>3.5755102040816324</v>
      </c>
      <c r="AB681" s="1">
        <f t="shared" si="173"/>
        <v>3.4054545454545462</v>
      </c>
      <c r="AC681" s="1">
        <f t="shared" si="174"/>
        <v>1</v>
      </c>
      <c r="AD681" s="1">
        <f t="shared" si="175"/>
        <v>5.5900668811254125E-4</v>
      </c>
    </row>
    <row r="682" spans="1:30" x14ac:dyDescent="0.35">
      <c r="A682" t="s">
        <v>1373</v>
      </c>
      <c r="B682" t="s">
        <v>60</v>
      </c>
      <c r="C682" t="s">
        <v>56</v>
      </c>
      <c r="D682" t="s">
        <v>25</v>
      </c>
      <c r="E682">
        <v>24</v>
      </c>
      <c r="F682" t="s">
        <v>31</v>
      </c>
      <c r="G682" t="s">
        <v>75</v>
      </c>
      <c r="H682" t="s">
        <v>1374</v>
      </c>
      <c r="I682">
        <v>8</v>
      </c>
      <c r="J682">
        <v>10</v>
      </c>
      <c r="K682">
        <v>158039</v>
      </c>
      <c r="L682">
        <v>2.2000000000000002</v>
      </c>
      <c r="M682" t="s">
        <v>43</v>
      </c>
      <c r="N682">
        <v>73</v>
      </c>
      <c r="O682">
        <f t="shared" si="160"/>
        <v>320</v>
      </c>
      <c r="P682">
        <f t="shared" si="161"/>
        <v>160</v>
      </c>
      <c r="Q682">
        <f t="shared" si="162"/>
        <v>160</v>
      </c>
      <c r="R682">
        <f t="shared" si="163"/>
        <v>49.650349650349654</v>
      </c>
      <c r="S682" s="1">
        <f t="shared" si="164"/>
        <v>50.24975024975025</v>
      </c>
      <c r="T682" s="1">
        <f t="shared" si="165"/>
        <v>147</v>
      </c>
      <c r="U682" s="1">
        <f t="shared" si="166"/>
        <v>173</v>
      </c>
      <c r="V682" s="1">
        <f t="shared" si="167"/>
        <v>47.5</v>
      </c>
      <c r="W682" s="1">
        <f t="shared" si="168"/>
        <v>52.5</v>
      </c>
      <c r="X682" s="1">
        <f t="shared" si="169"/>
        <v>14.643750000000001</v>
      </c>
      <c r="Y682" s="1">
        <f t="shared" si="170"/>
        <v>49</v>
      </c>
      <c r="Z682" s="1">
        <f t="shared" si="171"/>
        <v>55</v>
      </c>
      <c r="AA682" s="1">
        <f t="shared" si="172"/>
        <v>3.5755102040816324</v>
      </c>
      <c r="AB682" s="1">
        <f t="shared" si="173"/>
        <v>3.4054545454545462</v>
      </c>
      <c r="AC682" s="1">
        <f t="shared" si="174"/>
        <v>0</v>
      </c>
      <c r="AD682" s="1">
        <f t="shared" si="175"/>
        <v>-5.5365304182547622E-4</v>
      </c>
    </row>
    <row r="683" spans="1:30" x14ac:dyDescent="0.35">
      <c r="A683" t="s">
        <v>1375</v>
      </c>
      <c r="B683" t="s">
        <v>29</v>
      </c>
      <c r="C683" t="s">
        <v>64</v>
      </c>
      <c r="D683" t="s">
        <v>25</v>
      </c>
      <c r="E683">
        <v>55</v>
      </c>
      <c r="F683" t="s">
        <v>46</v>
      </c>
      <c r="G683" t="s">
        <v>71</v>
      </c>
      <c r="H683" t="s">
        <v>1376</v>
      </c>
      <c r="I683">
        <v>1</v>
      </c>
      <c r="J683">
        <v>8</v>
      </c>
      <c r="K683">
        <v>337321</v>
      </c>
      <c r="L683">
        <v>4.5999999999999996</v>
      </c>
      <c r="M683" t="s">
        <v>43</v>
      </c>
      <c r="N683">
        <v>77</v>
      </c>
      <c r="O683">
        <f t="shared" si="160"/>
        <v>319</v>
      </c>
      <c r="P683">
        <f t="shared" si="161"/>
        <v>160</v>
      </c>
      <c r="Q683">
        <f t="shared" si="162"/>
        <v>159</v>
      </c>
      <c r="R683">
        <f t="shared" si="163"/>
        <v>49.650349650349654</v>
      </c>
      <c r="S683" s="1">
        <f t="shared" si="164"/>
        <v>50.24975024975025</v>
      </c>
      <c r="T683" s="1">
        <f t="shared" si="165"/>
        <v>147</v>
      </c>
      <c r="U683" s="1">
        <f t="shared" si="166"/>
        <v>172</v>
      </c>
      <c r="V683" s="1">
        <f t="shared" si="167"/>
        <v>47.5</v>
      </c>
      <c r="W683" s="1">
        <f t="shared" si="168"/>
        <v>52.5</v>
      </c>
      <c r="X683" s="1">
        <f t="shared" si="169"/>
        <v>14.658307210031348</v>
      </c>
      <c r="Y683" s="1">
        <f t="shared" si="170"/>
        <v>49</v>
      </c>
      <c r="Z683" s="1">
        <f t="shared" si="171"/>
        <v>54</v>
      </c>
      <c r="AA683" s="1">
        <f t="shared" si="172"/>
        <v>3.5755102040816324</v>
      </c>
      <c r="AB683" s="1">
        <f t="shared" si="173"/>
        <v>3.4277777777777789</v>
      </c>
      <c r="AC683" s="1">
        <f t="shared" si="174"/>
        <v>0</v>
      </c>
      <c r="AD683" s="1">
        <f t="shared" si="175"/>
        <v>-2.4353670202755069E-3</v>
      </c>
    </row>
    <row r="684" spans="1:30" x14ac:dyDescent="0.35">
      <c r="A684" t="s">
        <v>1377</v>
      </c>
      <c r="B684" t="s">
        <v>111</v>
      </c>
      <c r="C684" t="s">
        <v>30</v>
      </c>
      <c r="D684" t="s">
        <v>25</v>
      </c>
      <c r="E684">
        <v>50</v>
      </c>
      <c r="F684" t="s">
        <v>74</v>
      </c>
      <c r="G684" t="s">
        <v>75</v>
      </c>
      <c r="H684" t="s">
        <v>1378</v>
      </c>
      <c r="I684">
        <v>14</v>
      </c>
      <c r="J684">
        <v>24</v>
      </c>
      <c r="K684">
        <v>132244</v>
      </c>
      <c r="L684">
        <v>3.9</v>
      </c>
      <c r="M684" t="s">
        <v>43</v>
      </c>
      <c r="N684">
        <v>86</v>
      </c>
      <c r="O684">
        <f t="shared" si="160"/>
        <v>318</v>
      </c>
      <c r="P684">
        <f t="shared" si="161"/>
        <v>160</v>
      </c>
      <c r="Q684">
        <f t="shared" si="162"/>
        <v>158</v>
      </c>
      <c r="R684">
        <f t="shared" si="163"/>
        <v>49.650349650349654</v>
      </c>
      <c r="S684" s="1">
        <f t="shared" si="164"/>
        <v>50.24975024975025</v>
      </c>
      <c r="T684" s="1">
        <f t="shared" si="165"/>
        <v>147</v>
      </c>
      <c r="U684" s="1">
        <f t="shared" si="166"/>
        <v>171</v>
      </c>
      <c r="V684" s="1">
        <f t="shared" si="167"/>
        <v>47.5</v>
      </c>
      <c r="W684" s="1">
        <f t="shared" si="168"/>
        <v>52.5</v>
      </c>
      <c r="X684" s="1">
        <f t="shared" si="169"/>
        <v>14.679245283018869</v>
      </c>
      <c r="Y684" s="1">
        <f t="shared" si="170"/>
        <v>49</v>
      </c>
      <c r="Z684" s="1">
        <f t="shared" si="171"/>
        <v>54</v>
      </c>
      <c r="AA684" s="1">
        <f t="shared" si="172"/>
        <v>3.5755102040816324</v>
      </c>
      <c r="AB684" s="1">
        <f t="shared" si="173"/>
        <v>3.4277777777777789</v>
      </c>
      <c r="AC684" s="1">
        <f t="shared" si="174"/>
        <v>0</v>
      </c>
      <c r="AD684" s="1">
        <f t="shared" si="175"/>
        <v>-5.1542445147259039E-3</v>
      </c>
    </row>
    <row r="685" spans="1:30" x14ac:dyDescent="0.35">
      <c r="A685" t="s">
        <v>1379</v>
      </c>
      <c r="B685" t="s">
        <v>15</v>
      </c>
      <c r="C685" t="s">
        <v>82</v>
      </c>
      <c r="D685" t="s">
        <v>17</v>
      </c>
      <c r="E685">
        <v>37</v>
      </c>
      <c r="F685" t="s">
        <v>46</v>
      </c>
      <c r="G685" t="s">
        <v>61</v>
      </c>
      <c r="H685" t="s">
        <v>1380</v>
      </c>
      <c r="I685">
        <v>9</v>
      </c>
      <c r="J685">
        <v>16</v>
      </c>
      <c r="K685">
        <v>375804</v>
      </c>
      <c r="L685">
        <v>2.7</v>
      </c>
      <c r="M685" t="s">
        <v>43</v>
      </c>
      <c r="N685">
        <v>82</v>
      </c>
      <c r="O685">
        <f t="shared" si="160"/>
        <v>317</v>
      </c>
      <c r="P685">
        <f t="shared" si="161"/>
        <v>160</v>
      </c>
      <c r="Q685">
        <f t="shared" si="162"/>
        <v>157</v>
      </c>
      <c r="R685">
        <f t="shared" si="163"/>
        <v>49.650349650349654</v>
      </c>
      <c r="S685" s="1">
        <f t="shared" si="164"/>
        <v>50.24975024975025</v>
      </c>
      <c r="T685" s="1">
        <f t="shared" si="165"/>
        <v>147</v>
      </c>
      <c r="U685" s="1">
        <f t="shared" si="166"/>
        <v>170</v>
      </c>
      <c r="V685" s="1">
        <f t="shared" si="167"/>
        <v>47.5</v>
      </c>
      <c r="W685" s="1">
        <f t="shared" si="168"/>
        <v>52.5</v>
      </c>
      <c r="X685" s="1">
        <f t="shared" si="169"/>
        <v>14.649842271293375</v>
      </c>
      <c r="Y685" s="1">
        <f t="shared" si="170"/>
        <v>48</v>
      </c>
      <c r="Z685" s="1">
        <f t="shared" si="171"/>
        <v>54</v>
      </c>
      <c r="AA685" s="1">
        <f t="shared" si="172"/>
        <v>3.5687500000000001</v>
      </c>
      <c r="AB685" s="1">
        <f t="shared" si="173"/>
        <v>3.4277777777777789</v>
      </c>
      <c r="AC685" s="1">
        <f t="shared" si="174"/>
        <v>0</v>
      </c>
      <c r="AD685" s="1">
        <f t="shared" si="175"/>
        <v>-1.3508891380704137E-3</v>
      </c>
    </row>
    <row r="686" spans="1:30" x14ac:dyDescent="0.35">
      <c r="A686" t="s">
        <v>1381</v>
      </c>
      <c r="B686" t="s">
        <v>96</v>
      </c>
      <c r="C686" t="s">
        <v>30</v>
      </c>
      <c r="D686" t="s">
        <v>17</v>
      </c>
      <c r="E686">
        <v>50</v>
      </c>
      <c r="F686" t="s">
        <v>18</v>
      </c>
      <c r="G686" t="s">
        <v>57</v>
      </c>
      <c r="H686" t="s">
        <v>1382</v>
      </c>
      <c r="I686">
        <v>13</v>
      </c>
      <c r="J686">
        <v>14</v>
      </c>
      <c r="K686">
        <v>278689</v>
      </c>
      <c r="L686">
        <v>2.7</v>
      </c>
      <c r="M686" t="s">
        <v>21</v>
      </c>
      <c r="N686">
        <v>36</v>
      </c>
      <c r="O686">
        <f t="shared" si="160"/>
        <v>316</v>
      </c>
      <c r="P686">
        <f t="shared" si="161"/>
        <v>159</v>
      </c>
      <c r="Q686">
        <f t="shared" si="162"/>
        <v>157</v>
      </c>
      <c r="R686">
        <f t="shared" si="163"/>
        <v>49.650349650349654</v>
      </c>
      <c r="S686" s="1">
        <f t="shared" si="164"/>
        <v>50.24975024975025</v>
      </c>
      <c r="T686" s="1">
        <f t="shared" si="165"/>
        <v>147</v>
      </c>
      <c r="U686" s="1">
        <f t="shared" si="166"/>
        <v>169</v>
      </c>
      <c r="V686" s="1">
        <f t="shared" si="167"/>
        <v>47.5</v>
      </c>
      <c r="W686" s="1">
        <f t="shared" si="168"/>
        <v>52.5</v>
      </c>
      <c r="X686" s="1">
        <f t="shared" si="169"/>
        <v>14.645569620253164</v>
      </c>
      <c r="Y686" s="1">
        <f t="shared" si="170"/>
        <v>48</v>
      </c>
      <c r="Z686" s="1">
        <f t="shared" si="171"/>
        <v>54</v>
      </c>
      <c r="AA686" s="1">
        <f t="shared" si="172"/>
        <v>3.5687500000000001</v>
      </c>
      <c r="AB686" s="1">
        <f t="shared" si="173"/>
        <v>3.4277777777777789</v>
      </c>
      <c r="AC686" s="1">
        <f t="shared" si="174"/>
        <v>1</v>
      </c>
      <c r="AD686" s="1">
        <f t="shared" si="175"/>
        <v>-7.963140777551E-4</v>
      </c>
    </row>
    <row r="687" spans="1:30" x14ac:dyDescent="0.35">
      <c r="A687" t="s">
        <v>1383</v>
      </c>
      <c r="B687" t="s">
        <v>35</v>
      </c>
      <c r="C687" t="s">
        <v>64</v>
      </c>
      <c r="D687" t="s">
        <v>25</v>
      </c>
      <c r="E687">
        <v>60</v>
      </c>
      <c r="F687" t="s">
        <v>74</v>
      </c>
      <c r="G687" t="s">
        <v>75</v>
      </c>
      <c r="H687" t="s">
        <v>1384</v>
      </c>
      <c r="I687">
        <v>16</v>
      </c>
      <c r="J687">
        <v>23</v>
      </c>
      <c r="K687">
        <v>353762</v>
      </c>
      <c r="L687">
        <v>2.1</v>
      </c>
      <c r="M687" t="s">
        <v>21</v>
      </c>
      <c r="N687">
        <v>52</v>
      </c>
      <c r="O687">
        <f t="shared" si="160"/>
        <v>315</v>
      </c>
      <c r="P687">
        <f t="shared" si="161"/>
        <v>158</v>
      </c>
      <c r="Q687">
        <f t="shared" si="162"/>
        <v>157</v>
      </c>
      <c r="R687">
        <f t="shared" si="163"/>
        <v>49.650349650349654</v>
      </c>
      <c r="S687" s="1">
        <f t="shared" si="164"/>
        <v>50.24975024975025</v>
      </c>
      <c r="T687" s="1">
        <f t="shared" si="165"/>
        <v>146</v>
      </c>
      <c r="U687" s="1">
        <f t="shared" si="166"/>
        <v>169</v>
      </c>
      <c r="V687" s="1">
        <f t="shared" si="167"/>
        <v>47.5</v>
      </c>
      <c r="W687" s="1">
        <f t="shared" si="168"/>
        <v>52.5</v>
      </c>
      <c r="X687" s="1">
        <f t="shared" si="169"/>
        <v>14.647619047619047</v>
      </c>
      <c r="Y687" s="1">
        <f t="shared" si="170"/>
        <v>48</v>
      </c>
      <c r="Z687" s="1">
        <f t="shared" si="171"/>
        <v>54</v>
      </c>
      <c r="AA687" s="1">
        <f t="shared" si="172"/>
        <v>3.5687500000000001</v>
      </c>
      <c r="AB687" s="1">
        <f t="shared" si="173"/>
        <v>3.4277777777777789</v>
      </c>
      <c r="AC687" s="1">
        <f t="shared" si="174"/>
        <v>1</v>
      </c>
      <c r="AD687" s="1">
        <f t="shared" si="175"/>
        <v>-4.9033332315187399E-4</v>
      </c>
    </row>
    <row r="688" spans="1:30" x14ac:dyDescent="0.35">
      <c r="A688" t="s">
        <v>1385</v>
      </c>
      <c r="B688" t="s">
        <v>96</v>
      </c>
      <c r="C688" t="s">
        <v>82</v>
      </c>
      <c r="D688" t="s">
        <v>25</v>
      </c>
      <c r="E688">
        <v>26</v>
      </c>
      <c r="F688" t="s">
        <v>70</v>
      </c>
      <c r="G688" t="s">
        <v>75</v>
      </c>
      <c r="H688" t="s">
        <v>1386</v>
      </c>
      <c r="I688">
        <v>19</v>
      </c>
      <c r="J688">
        <v>20</v>
      </c>
      <c r="K688">
        <v>248428</v>
      </c>
      <c r="L688">
        <v>3.5</v>
      </c>
      <c r="M688" t="s">
        <v>21</v>
      </c>
      <c r="N688">
        <v>32</v>
      </c>
      <c r="O688">
        <f t="shared" si="160"/>
        <v>314</v>
      </c>
      <c r="P688">
        <f t="shared" si="161"/>
        <v>158</v>
      </c>
      <c r="Q688">
        <f t="shared" si="162"/>
        <v>156</v>
      </c>
      <c r="R688">
        <f t="shared" si="163"/>
        <v>49.650349650349654</v>
      </c>
      <c r="S688" s="1">
        <f t="shared" si="164"/>
        <v>50.24975024975025</v>
      </c>
      <c r="T688" s="1">
        <f t="shared" si="165"/>
        <v>145</v>
      </c>
      <c r="U688" s="1">
        <f t="shared" si="166"/>
        <v>169</v>
      </c>
      <c r="V688" s="1">
        <f t="shared" si="167"/>
        <v>47.5</v>
      </c>
      <c r="W688" s="1">
        <f t="shared" si="168"/>
        <v>52.5</v>
      </c>
      <c r="X688" s="1">
        <f t="shared" si="169"/>
        <v>14.621019108280255</v>
      </c>
      <c r="Y688" s="1">
        <f t="shared" si="170"/>
        <v>47</v>
      </c>
      <c r="Z688" s="1">
        <f t="shared" si="171"/>
        <v>54</v>
      </c>
      <c r="AA688" s="1">
        <f t="shared" si="172"/>
        <v>3.5999999999999996</v>
      </c>
      <c r="AB688" s="1">
        <f t="shared" si="173"/>
        <v>3.4277777777777789</v>
      </c>
      <c r="AC688" s="1">
        <f t="shared" si="174"/>
        <v>1</v>
      </c>
      <c r="AD688" s="1">
        <f t="shared" si="175"/>
        <v>-4.4987753964859257E-3</v>
      </c>
    </row>
    <row r="689" spans="1:30" x14ac:dyDescent="0.35">
      <c r="A689" t="s">
        <v>1387</v>
      </c>
      <c r="B689" t="s">
        <v>96</v>
      </c>
      <c r="C689" t="s">
        <v>52</v>
      </c>
      <c r="D689" t="s">
        <v>17</v>
      </c>
      <c r="E689">
        <v>48</v>
      </c>
      <c r="F689" t="s">
        <v>46</v>
      </c>
      <c r="G689" t="s">
        <v>85</v>
      </c>
      <c r="H689" t="s">
        <v>1388</v>
      </c>
      <c r="I689">
        <v>17</v>
      </c>
      <c r="J689">
        <v>21</v>
      </c>
      <c r="K689">
        <v>259539</v>
      </c>
      <c r="L689">
        <v>2.8</v>
      </c>
      <c r="M689" t="s">
        <v>21</v>
      </c>
      <c r="N689">
        <v>46</v>
      </c>
      <c r="O689">
        <f t="shared" si="160"/>
        <v>313</v>
      </c>
      <c r="P689">
        <f t="shared" si="161"/>
        <v>158</v>
      </c>
      <c r="Q689">
        <f t="shared" si="162"/>
        <v>155</v>
      </c>
      <c r="R689">
        <f t="shared" si="163"/>
        <v>49.650349650349654</v>
      </c>
      <c r="S689" s="1">
        <f t="shared" si="164"/>
        <v>50.24975024975025</v>
      </c>
      <c r="T689" s="1">
        <f t="shared" si="165"/>
        <v>144</v>
      </c>
      <c r="U689" s="1">
        <f t="shared" si="166"/>
        <v>169</v>
      </c>
      <c r="V689" s="1">
        <f t="shared" si="167"/>
        <v>47.5</v>
      </c>
      <c r="W689" s="1">
        <f t="shared" si="168"/>
        <v>52.5</v>
      </c>
      <c r="X689" s="1">
        <f t="shared" si="169"/>
        <v>14.603833865814696</v>
      </c>
      <c r="Y689" s="1">
        <f t="shared" si="170"/>
        <v>47</v>
      </c>
      <c r="Z689" s="1">
        <f t="shared" si="171"/>
        <v>54</v>
      </c>
      <c r="AA689" s="1">
        <f t="shared" si="172"/>
        <v>3.5999999999999996</v>
      </c>
      <c r="AB689" s="1">
        <f t="shared" si="173"/>
        <v>3.4277777777777789</v>
      </c>
      <c r="AC689" s="1">
        <f t="shared" si="174"/>
        <v>1</v>
      </c>
      <c r="AD689" s="1">
        <f t="shared" si="175"/>
        <v>-7.1068379576667562E-3</v>
      </c>
    </row>
    <row r="690" spans="1:30" x14ac:dyDescent="0.35">
      <c r="A690" t="s">
        <v>1389</v>
      </c>
      <c r="B690" t="s">
        <v>55</v>
      </c>
      <c r="C690" t="s">
        <v>24</v>
      </c>
      <c r="D690" t="s">
        <v>17</v>
      </c>
      <c r="E690">
        <v>43</v>
      </c>
      <c r="F690" t="s">
        <v>79</v>
      </c>
      <c r="G690" t="s">
        <v>61</v>
      </c>
      <c r="H690" t="s">
        <v>1390</v>
      </c>
      <c r="I690">
        <v>4</v>
      </c>
      <c r="J690">
        <v>12</v>
      </c>
      <c r="K690">
        <v>62727</v>
      </c>
      <c r="L690">
        <v>3.1</v>
      </c>
      <c r="M690" t="s">
        <v>43</v>
      </c>
      <c r="N690">
        <v>82</v>
      </c>
      <c r="O690">
        <f t="shared" si="160"/>
        <v>312</v>
      </c>
      <c r="P690">
        <f t="shared" si="161"/>
        <v>157</v>
      </c>
      <c r="Q690">
        <f t="shared" si="162"/>
        <v>155</v>
      </c>
      <c r="R690">
        <f t="shared" si="163"/>
        <v>49.650349650349654</v>
      </c>
      <c r="S690" s="1">
        <f t="shared" si="164"/>
        <v>50.24975024975025</v>
      </c>
      <c r="T690" s="1">
        <f t="shared" si="165"/>
        <v>143</v>
      </c>
      <c r="U690" s="1">
        <f t="shared" si="166"/>
        <v>169</v>
      </c>
      <c r="V690" s="1">
        <f t="shared" si="167"/>
        <v>47.5</v>
      </c>
      <c r="W690" s="1">
        <f t="shared" si="168"/>
        <v>52.5</v>
      </c>
      <c r="X690" s="1">
        <f t="shared" si="169"/>
        <v>14.583333333333334</v>
      </c>
      <c r="Y690" s="1">
        <f t="shared" si="170"/>
        <v>47</v>
      </c>
      <c r="Z690" s="1">
        <f t="shared" si="171"/>
        <v>54</v>
      </c>
      <c r="AA690" s="1">
        <f t="shared" si="172"/>
        <v>3.5999999999999996</v>
      </c>
      <c r="AB690" s="1">
        <f t="shared" si="173"/>
        <v>3.4277777777777789</v>
      </c>
      <c r="AC690" s="1">
        <f t="shared" si="174"/>
        <v>0</v>
      </c>
      <c r="AD690" s="1">
        <f t="shared" si="175"/>
        <v>-1.0235467638661523E-2</v>
      </c>
    </row>
    <row r="691" spans="1:30" x14ac:dyDescent="0.35">
      <c r="A691" t="s">
        <v>1391</v>
      </c>
      <c r="B691" t="s">
        <v>60</v>
      </c>
      <c r="C691" t="s">
        <v>52</v>
      </c>
      <c r="D691" t="s">
        <v>17</v>
      </c>
      <c r="E691">
        <v>54</v>
      </c>
      <c r="F691" t="s">
        <v>46</v>
      </c>
      <c r="G691" t="s">
        <v>57</v>
      </c>
      <c r="H691" t="s">
        <v>230</v>
      </c>
      <c r="I691">
        <v>8</v>
      </c>
      <c r="J691">
        <v>13</v>
      </c>
      <c r="K691">
        <v>483715</v>
      </c>
      <c r="L691">
        <v>3.2</v>
      </c>
      <c r="M691" t="s">
        <v>21</v>
      </c>
      <c r="N691">
        <v>51</v>
      </c>
      <c r="O691">
        <f t="shared" si="160"/>
        <v>311</v>
      </c>
      <c r="P691">
        <f t="shared" si="161"/>
        <v>156</v>
      </c>
      <c r="Q691">
        <f t="shared" si="162"/>
        <v>155</v>
      </c>
      <c r="R691">
        <f t="shared" si="163"/>
        <v>49.650349650349654</v>
      </c>
      <c r="S691" s="1">
        <f t="shared" si="164"/>
        <v>50.24975024975025</v>
      </c>
      <c r="T691" s="1">
        <f t="shared" si="165"/>
        <v>143</v>
      </c>
      <c r="U691" s="1">
        <f t="shared" si="166"/>
        <v>168</v>
      </c>
      <c r="V691" s="1">
        <f t="shared" si="167"/>
        <v>47.5</v>
      </c>
      <c r="W691" s="1">
        <f t="shared" si="168"/>
        <v>52.5</v>
      </c>
      <c r="X691" s="1">
        <f t="shared" si="169"/>
        <v>14.591639871382636</v>
      </c>
      <c r="Y691" s="1">
        <f t="shared" si="170"/>
        <v>47</v>
      </c>
      <c r="Z691" s="1">
        <f t="shared" si="171"/>
        <v>54</v>
      </c>
      <c r="AA691" s="1">
        <f t="shared" si="172"/>
        <v>3.5999999999999996</v>
      </c>
      <c r="AB691" s="1">
        <f t="shared" si="173"/>
        <v>3.4277777777777789</v>
      </c>
      <c r="AC691" s="1">
        <f t="shared" si="174"/>
        <v>1</v>
      </c>
      <c r="AD691" s="1">
        <f t="shared" si="175"/>
        <v>-1.1318169351866723E-2</v>
      </c>
    </row>
    <row r="692" spans="1:30" x14ac:dyDescent="0.35">
      <c r="A692" t="s">
        <v>1392</v>
      </c>
      <c r="B692" t="s">
        <v>69</v>
      </c>
      <c r="C692" t="s">
        <v>93</v>
      </c>
      <c r="D692" t="s">
        <v>17</v>
      </c>
      <c r="E692">
        <v>36</v>
      </c>
      <c r="F692" t="s">
        <v>79</v>
      </c>
      <c r="G692" t="s">
        <v>88</v>
      </c>
      <c r="H692" t="s">
        <v>1393</v>
      </c>
      <c r="I692">
        <v>14</v>
      </c>
      <c r="J692">
        <v>18</v>
      </c>
      <c r="K692">
        <v>172718</v>
      </c>
      <c r="L692">
        <v>2.4</v>
      </c>
      <c r="M692" t="s">
        <v>43</v>
      </c>
      <c r="N692">
        <v>71</v>
      </c>
      <c r="O692">
        <f t="shared" si="160"/>
        <v>310</v>
      </c>
      <c r="P692">
        <f t="shared" si="161"/>
        <v>155</v>
      </c>
      <c r="Q692">
        <f t="shared" si="162"/>
        <v>155</v>
      </c>
      <c r="R692">
        <f t="shared" si="163"/>
        <v>49.650349650349654</v>
      </c>
      <c r="S692" s="1">
        <f t="shared" si="164"/>
        <v>50.24975024975025</v>
      </c>
      <c r="T692" s="1">
        <f t="shared" si="165"/>
        <v>142</v>
      </c>
      <c r="U692" s="1">
        <f t="shared" si="166"/>
        <v>168</v>
      </c>
      <c r="V692" s="1">
        <f t="shared" si="167"/>
        <v>47.5</v>
      </c>
      <c r="W692" s="1">
        <f t="shared" si="168"/>
        <v>52.5</v>
      </c>
      <c r="X692" s="1">
        <f t="shared" si="169"/>
        <v>14.596774193548388</v>
      </c>
      <c r="Y692" s="1">
        <f t="shared" si="170"/>
        <v>47</v>
      </c>
      <c r="Z692" s="1">
        <f t="shared" si="171"/>
        <v>54</v>
      </c>
      <c r="AA692" s="1">
        <f t="shared" si="172"/>
        <v>3.5999999999999996</v>
      </c>
      <c r="AB692" s="1">
        <f t="shared" si="173"/>
        <v>3.4277777777777789</v>
      </c>
      <c r="AC692" s="1">
        <f t="shared" si="174"/>
        <v>0</v>
      </c>
      <c r="AD692" s="1">
        <f t="shared" si="175"/>
        <v>-1.0564503109890813E-2</v>
      </c>
    </row>
    <row r="693" spans="1:30" x14ac:dyDescent="0.35">
      <c r="A693" t="s">
        <v>1394</v>
      </c>
      <c r="B693" t="s">
        <v>111</v>
      </c>
      <c r="C693" t="s">
        <v>49</v>
      </c>
      <c r="D693" t="s">
        <v>17</v>
      </c>
      <c r="E693">
        <v>54</v>
      </c>
      <c r="F693" t="s">
        <v>74</v>
      </c>
      <c r="G693" t="s">
        <v>75</v>
      </c>
      <c r="H693" t="s">
        <v>1395</v>
      </c>
      <c r="I693">
        <v>16</v>
      </c>
      <c r="J693">
        <v>16</v>
      </c>
      <c r="K693">
        <v>464521</v>
      </c>
      <c r="L693">
        <v>3.2</v>
      </c>
      <c r="M693" t="s">
        <v>43</v>
      </c>
      <c r="N693">
        <v>71</v>
      </c>
      <c r="O693">
        <f t="shared" si="160"/>
        <v>309</v>
      </c>
      <c r="P693">
        <f t="shared" si="161"/>
        <v>154</v>
      </c>
      <c r="Q693">
        <f t="shared" si="162"/>
        <v>155</v>
      </c>
      <c r="R693">
        <f t="shared" si="163"/>
        <v>49.650349650349654</v>
      </c>
      <c r="S693" s="1">
        <f t="shared" si="164"/>
        <v>50.24975024975025</v>
      </c>
      <c r="T693" s="1">
        <f t="shared" si="165"/>
        <v>142</v>
      </c>
      <c r="U693" s="1">
        <f t="shared" si="166"/>
        <v>167</v>
      </c>
      <c r="V693" s="1">
        <f t="shared" si="167"/>
        <v>47.5</v>
      </c>
      <c r="W693" s="1">
        <f t="shared" si="168"/>
        <v>52.5</v>
      </c>
      <c r="X693" s="1">
        <f t="shared" si="169"/>
        <v>14.585760517799352</v>
      </c>
      <c r="Y693" s="1">
        <f t="shared" si="170"/>
        <v>47</v>
      </c>
      <c r="Z693" s="1">
        <f t="shared" si="171"/>
        <v>54</v>
      </c>
      <c r="AA693" s="1">
        <f t="shared" si="172"/>
        <v>3.5999999999999996</v>
      </c>
      <c r="AB693" s="1">
        <f t="shared" si="173"/>
        <v>3.4277777777777789</v>
      </c>
      <c r="AC693" s="1">
        <f t="shared" si="174"/>
        <v>0</v>
      </c>
      <c r="AD693" s="1">
        <f t="shared" si="175"/>
        <v>-9.1732576038642041E-3</v>
      </c>
    </row>
    <row r="694" spans="1:30" x14ac:dyDescent="0.35">
      <c r="A694" t="s">
        <v>1396</v>
      </c>
      <c r="B694" t="s">
        <v>55</v>
      </c>
      <c r="C694" t="s">
        <v>24</v>
      </c>
      <c r="D694" t="s">
        <v>17</v>
      </c>
      <c r="E694">
        <v>41</v>
      </c>
      <c r="F694" t="s">
        <v>79</v>
      </c>
      <c r="G694" t="s">
        <v>26</v>
      </c>
      <c r="H694" t="s">
        <v>1299</v>
      </c>
      <c r="I694">
        <v>4</v>
      </c>
      <c r="J694">
        <v>8</v>
      </c>
      <c r="K694">
        <v>462265</v>
      </c>
      <c r="L694">
        <v>2.4</v>
      </c>
      <c r="M694" t="s">
        <v>21</v>
      </c>
      <c r="N694">
        <v>64</v>
      </c>
      <c r="O694">
        <f t="shared" si="160"/>
        <v>308</v>
      </c>
      <c r="P694">
        <f t="shared" si="161"/>
        <v>153</v>
      </c>
      <c r="Q694">
        <f t="shared" si="162"/>
        <v>155</v>
      </c>
      <c r="R694">
        <f t="shared" si="163"/>
        <v>49.650349650349654</v>
      </c>
      <c r="S694" s="1">
        <f t="shared" si="164"/>
        <v>50.24975024975025</v>
      </c>
      <c r="T694" s="1">
        <f t="shared" si="165"/>
        <v>142</v>
      </c>
      <c r="U694" s="1">
        <f t="shared" si="166"/>
        <v>166</v>
      </c>
      <c r="V694" s="1">
        <f t="shared" si="167"/>
        <v>47.5</v>
      </c>
      <c r="W694" s="1">
        <f t="shared" si="168"/>
        <v>52.5</v>
      </c>
      <c r="X694" s="1">
        <f t="shared" si="169"/>
        <v>14.581168831168831</v>
      </c>
      <c r="Y694" s="1">
        <f t="shared" si="170"/>
        <v>46</v>
      </c>
      <c r="Z694" s="1">
        <f t="shared" si="171"/>
        <v>54</v>
      </c>
      <c r="AA694" s="1">
        <f t="shared" si="172"/>
        <v>3.6086956521739126</v>
      </c>
      <c r="AB694" s="1">
        <f t="shared" si="173"/>
        <v>3.4277777777777789</v>
      </c>
      <c r="AC694" s="1">
        <f t="shared" si="174"/>
        <v>1</v>
      </c>
      <c r="AD694" s="1">
        <f t="shared" si="175"/>
        <v>-8.5980167524144259E-3</v>
      </c>
    </row>
    <row r="695" spans="1:30" x14ac:dyDescent="0.35">
      <c r="A695" t="s">
        <v>1397</v>
      </c>
      <c r="B695" t="s">
        <v>35</v>
      </c>
      <c r="C695" t="s">
        <v>82</v>
      </c>
      <c r="D695" t="s">
        <v>17</v>
      </c>
      <c r="E695">
        <v>39</v>
      </c>
      <c r="F695" t="s">
        <v>18</v>
      </c>
      <c r="G695" t="s">
        <v>85</v>
      </c>
      <c r="H695" t="s">
        <v>1398</v>
      </c>
      <c r="I695">
        <v>11</v>
      </c>
      <c r="J695">
        <v>16</v>
      </c>
      <c r="K695">
        <v>230221</v>
      </c>
      <c r="L695">
        <v>5</v>
      </c>
      <c r="M695" t="s">
        <v>43</v>
      </c>
      <c r="N695">
        <v>75</v>
      </c>
      <c r="O695">
        <f t="shared" si="160"/>
        <v>307</v>
      </c>
      <c r="P695">
        <f t="shared" si="161"/>
        <v>152</v>
      </c>
      <c r="Q695">
        <f t="shared" si="162"/>
        <v>155</v>
      </c>
      <c r="R695">
        <f t="shared" si="163"/>
        <v>49.650349650349654</v>
      </c>
      <c r="S695" s="1">
        <f t="shared" si="164"/>
        <v>50.24975024975025</v>
      </c>
      <c r="T695" s="1">
        <f t="shared" si="165"/>
        <v>141</v>
      </c>
      <c r="U695" s="1">
        <f t="shared" si="166"/>
        <v>166</v>
      </c>
      <c r="V695" s="1">
        <f t="shared" si="167"/>
        <v>47.5</v>
      </c>
      <c r="W695" s="1">
        <f t="shared" si="168"/>
        <v>52.5</v>
      </c>
      <c r="X695" s="1">
        <f t="shared" si="169"/>
        <v>14.602605863192183</v>
      </c>
      <c r="Y695" s="1">
        <f t="shared" si="170"/>
        <v>46</v>
      </c>
      <c r="Z695" s="1">
        <f t="shared" si="171"/>
        <v>54</v>
      </c>
      <c r="AA695" s="1">
        <f t="shared" si="172"/>
        <v>3.6086956521739126</v>
      </c>
      <c r="AB695" s="1">
        <f t="shared" si="173"/>
        <v>3.4277777777777789</v>
      </c>
      <c r="AC695" s="1">
        <f t="shared" si="174"/>
        <v>0</v>
      </c>
      <c r="AD695" s="1">
        <f t="shared" si="175"/>
        <v>-5.4037285915363503E-3</v>
      </c>
    </row>
    <row r="696" spans="1:30" x14ac:dyDescent="0.35">
      <c r="A696" t="s">
        <v>1399</v>
      </c>
      <c r="B696" t="s">
        <v>45</v>
      </c>
      <c r="C696" t="s">
        <v>52</v>
      </c>
      <c r="D696" t="s">
        <v>17</v>
      </c>
      <c r="E696">
        <v>57</v>
      </c>
      <c r="F696" t="s">
        <v>18</v>
      </c>
      <c r="G696" t="s">
        <v>41</v>
      </c>
      <c r="H696" t="s">
        <v>1400</v>
      </c>
      <c r="I696">
        <v>2</v>
      </c>
      <c r="J696">
        <v>3</v>
      </c>
      <c r="K696">
        <v>466489</v>
      </c>
      <c r="L696">
        <v>4.9000000000000004</v>
      </c>
      <c r="M696" t="s">
        <v>43</v>
      </c>
      <c r="N696">
        <v>77</v>
      </c>
      <c r="O696">
        <f t="shared" si="160"/>
        <v>306</v>
      </c>
      <c r="P696">
        <f t="shared" si="161"/>
        <v>151</v>
      </c>
      <c r="Q696">
        <f t="shared" si="162"/>
        <v>155</v>
      </c>
      <c r="R696">
        <f t="shared" si="163"/>
        <v>49.650349650349654</v>
      </c>
      <c r="S696" s="1">
        <f t="shared" si="164"/>
        <v>50.24975024975025</v>
      </c>
      <c r="T696" s="1">
        <f t="shared" si="165"/>
        <v>141</v>
      </c>
      <c r="U696" s="1">
        <f t="shared" si="166"/>
        <v>165</v>
      </c>
      <c r="V696" s="1">
        <f t="shared" si="167"/>
        <v>47.5</v>
      </c>
      <c r="W696" s="1">
        <f t="shared" si="168"/>
        <v>52.5</v>
      </c>
      <c r="X696" s="1">
        <f t="shared" si="169"/>
        <v>14.598039215686274</v>
      </c>
      <c r="Y696" s="1">
        <f t="shared" si="170"/>
        <v>46</v>
      </c>
      <c r="Z696" s="1">
        <f t="shared" si="171"/>
        <v>54</v>
      </c>
      <c r="AA696" s="1">
        <f t="shared" si="172"/>
        <v>3.6086956521739126</v>
      </c>
      <c r="AB696" s="1">
        <f t="shared" si="173"/>
        <v>3.4277777777777789</v>
      </c>
      <c r="AC696" s="1">
        <f t="shared" si="174"/>
        <v>0</v>
      </c>
      <c r="AD696" s="1">
        <f t="shared" si="175"/>
        <v>-4.8276556692496593E-3</v>
      </c>
    </row>
    <row r="697" spans="1:30" x14ac:dyDescent="0.35">
      <c r="A697" t="s">
        <v>1401</v>
      </c>
      <c r="B697" t="s">
        <v>78</v>
      </c>
      <c r="C697" t="s">
        <v>36</v>
      </c>
      <c r="D697" t="s">
        <v>17</v>
      </c>
      <c r="E697">
        <v>52</v>
      </c>
      <c r="F697" t="s">
        <v>18</v>
      </c>
      <c r="G697" t="s">
        <v>61</v>
      </c>
      <c r="H697" t="s">
        <v>602</v>
      </c>
      <c r="I697">
        <v>0</v>
      </c>
      <c r="J697">
        <v>4</v>
      </c>
      <c r="K697">
        <v>324730</v>
      </c>
      <c r="L697">
        <v>3.4</v>
      </c>
      <c r="M697" t="s">
        <v>21</v>
      </c>
      <c r="N697">
        <v>30</v>
      </c>
      <c r="O697">
        <f t="shared" si="160"/>
        <v>305</v>
      </c>
      <c r="P697">
        <f t="shared" si="161"/>
        <v>150</v>
      </c>
      <c r="Q697">
        <f t="shared" si="162"/>
        <v>155</v>
      </c>
      <c r="R697">
        <f t="shared" si="163"/>
        <v>49.650349650349654</v>
      </c>
      <c r="S697" s="1">
        <f t="shared" si="164"/>
        <v>50.24975024975025</v>
      </c>
      <c r="T697" s="1">
        <f t="shared" si="165"/>
        <v>141</v>
      </c>
      <c r="U697" s="1">
        <f t="shared" si="166"/>
        <v>164</v>
      </c>
      <c r="V697" s="1">
        <f t="shared" si="167"/>
        <v>47.5</v>
      </c>
      <c r="W697" s="1">
        <f t="shared" si="168"/>
        <v>52.5</v>
      </c>
      <c r="X697" s="1">
        <f t="shared" si="169"/>
        <v>14.636065573770491</v>
      </c>
      <c r="Y697" s="1">
        <f t="shared" si="170"/>
        <v>46</v>
      </c>
      <c r="Z697" s="1">
        <f t="shared" si="171"/>
        <v>54</v>
      </c>
      <c r="AA697" s="1">
        <f t="shared" si="172"/>
        <v>3.6086956521739126</v>
      </c>
      <c r="AB697" s="1">
        <f t="shared" si="173"/>
        <v>3.4277777777777789</v>
      </c>
      <c r="AC697" s="1">
        <f t="shared" si="174"/>
        <v>1</v>
      </c>
      <c r="AD697" s="1">
        <f t="shared" si="175"/>
        <v>-9.7447453141289875E-3</v>
      </c>
    </row>
    <row r="698" spans="1:30" x14ac:dyDescent="0.35">
      <c r="A698" t="s">
        <v>1402</v>
      </c>
      <c r="B698" t="s">
        <v>15</v>
      </c>
      <c r="C698" t="s">
        <v>30</v>
      </c>
      <c r="D698" t="s">
        <v>17</v>
      </c>
      <c r="E698">
        <v>55</v>
      </c>
      <c r="F698" t="s">
        <v>70</v>
      </c>
      <c r="G698" t="s">
        <v>88</v>
      </c>
      <c r="H698" t="s">
        <v>1403</v>
      </c>
      <c r="I698">
        <v>2</v>
      </c>
      <c r="J698">
        <v>7</v>
      </c>
      <c r="K698">
        <v>239140</v>
      </c>
      <c r="L698">
        <v>3.3</v>
      </c>
      <c r="M698" t="s">
        <v>21</v>
      </c>
      <c r="N698">
        <v>43</v>
      </c>
      <c r="O698">
        <f t="shared" si="160"/>
        <v>304</v>
      </c>
      <c r="P698">
        <f t="shared" si="161"/>
        <v>149</v>
      </c>
      <c r="Q698">
        <f t="shared" si="162"/>
        <v>155</v>
      </c>
      <c r="R698">
        <f t="shared" si="163"/>
        <v>49.650349650349654</v>
      </c>
      <c r="S698" s="1">
        <f t="shared" si="164"/>
        <v>50.24975024975025</v>
      </c>
      <c r="T698" s="1">
        <f t="shared" si="165"/>
        <v>140</v>
      </c>
      <c r="U698" s="1">
        <f t="shared" si="166"/>
        <v>164</v>
      </c>
      <c r="V698" s="1">
        <f t="shared" si="167"/>
        <v>47.5</v>
      </c>
      <c r="W698" s="1">
        <f t="shared" si="168"/>
        <v>52.5</v>
      </c>
      <c r="X698" s="1">
        <f t="shared" si="169"/>
        <v>14.671052631578947</v>
      </c>
      <c r="Y698" s="1">
        <f t="shared" si="170"/>
        <v>46</v>
      </c>
      <c r="Z698" s="1">
        <f t="shared" si="171"/>
        <v>54</v>
      </c>
      <c r="AA698" s="1">
        <f t="shared" si="172"/>
        <v>3.6086956521739126</v>
      </c>
      <c r="AB698" s="1">
        <f t="shared" si="173"/>
        <v>3.4277777777777789</v>
      </c>
      <c r="AC698" s="1">
        <f t="shared" si="174"/>
        <v>1</v>
      </c>
      <c r="AD698" s="1">
        <f t="shared" si="175"/>
        <v>-4.536828039095127E-3</v>
      </c>
    </row>
    <row r="699" spans="1:30" x14ac:dyDescent="0.35">
      <c r="A699" t="s">
        <v>1404</v>
      </c>
      <c r="B699" t="s">
        <v>45</v>
      </c>
      <c r="C699" t="s">
        <v>16</v>
      </c>
      <c r="D699" t="s">
        <v>25</v>
      </c>
      <c r="E699">
        <v>25</v>
      </c>
      <c r="F699" t="s">
        <v>74</v>
      </c>
      <c r="G699" t="s">
        <v>88</v>
      </c>
      <c r="H699" t="s">
        <v>1405</v>
      </c>
      <c r="I699">
        <v>1</v>
      </c>
      <c r="J699">
        <v>7</v>
      </c>
      <c r="K699">
        <v>83294</v>
      </c>
      <c r="L699">
        <v>5</v>
      </c>
      <c r="M699" t="s">
        <v>21</v>
      </c>
      <c r="N699">
        <v>32</v>
      </c>
      <c r="O699">
        <f t="shared" si="160"/>
        <v>303</v>
      </c>
      <c r="P699">
        <f t="shared" si="161"/>
        <v>148</v>
      </c>
      <c r="Q699">
        <f t="shared" si="162"/>
        <v>155</v>
      </c>
      <c r="R699">
        <f t="shared" si="163"/>
        <v>49.650349650349654</v>
      </c>
      <c r="S699" s="1">
        <f t="shared" si="164"/>
        <v>50.24975024975025</v>
      </c>
      <c r="T699" s="1">
        <f t="shared" si="165"/>
        <v>139</v>
      </c>
      <c r="U699" s="1">
        <f t="shared" si="166"/>
        <v>164</v>
      </c>
      <c r="V699" s="1">
        <f t="shared" si="167"/>
        <v>47.5</v>
      </c>
      <c r="W699" s="1">
        <f t="shared" si="168"/>
        <v>52.5</v>
      </c>
      <c r="X699" s="1">
        <f t="shared" si="169"/>
        <v>14.696369636963697</v>
      </c>
      <c r="Y699" s="1">
        <f t="shared" si="170"/>
        <v>46</v>
      </c>
      <c r="Z699" s="1">
        <f t="shared" si="171"/>
        <v>54</v>
      </c>
      <c r="AA699" s="1">
        <f t="shared" si="172"/>
        <v>3.6086956521739126</v>
      </c>
      <c r="AB699" s="1">
        <f t="shared" si="173"/>
        <v>3.4277777777777789</v>
      </c>
      <c r="AC699" s="1">
        <f t="shared" si="174"/>
        <v>1</v>
      </c>
      <c r="AD699" s="1">
        <f t="shared" si="175"/>
        <v>-7.3216570942966248E-4</v>
      </c>
    </row>
    <row r="700" spans="1:30" x14ac:dyDescent="0.35">
      <c r="A700" t="s">
        <v>1406</v>
      </c>
      <c r="B700" t="s">
        <v>96</v>
      </c>
      <c r="C700" t="s">
        <v>82</v>
      </c>
      <c r="D700" t="s">
        <v>25</v>
      </c>
      <c r="E700">
        <v>29</v>
      </c>
      <c r="F700" t="s">
        <v>37</v>
      </c>
      <c r="G700" t="s">
        <v>41</v>
      </c>
      <c r="H700" t="s">
        <v>1407</v>
      </c>
      <c r="I700">
        <v>12</v>
      </c>
      <c r="J700">
        <v>17</v>
      </c>
      <c r="K700">
        <v>343608</v>
      </c>
      <c r="L700">
        <v>3.9</v>
      </c>
      <c r="M700" t="s">
        <v>43</v>
      </c>
      <c r="N700">
        <v>88</v>
      </c>
      <c r="O700">
        <f t="shared" si="160"/>
        <v>302</v>
      </c>
      <c r="P700">
        <f t="shared" si="161"/>
        <v>148</v>
      </c>
      <c r="Q700">
        <f t="shared" si="162"/>
        <v>154</v>
      </c>
      <c r="R700">
        <f t="shared" si="163"/>
        <v>49.650349650349654</v>
      </c>
      <c r="S700" s="1">
        <f t="shared" si="164"/>
        <v>50.24975024975025</v>
      </c>
      <c r="T700" s="1">
        <f t="shared" si="165"/>
        <v>138</v>
      </c>
      <c r="U700" s="1">
        <f t="shared" si="166"/>
        <v>164</v>
      </c>
      <c r="V700" s="1">
        <f t="shared" si="167"/>
        <v>47.5</v>
      </c>
      <c r="W700" s="1">
        <f t="shared" si="168"/>
        <v>52.5</v>
      </c>
      <c r="X700" s="1">
        <f t="shared" si="169"/>
        <v>14.721854304635762</v>
      </c>
      <c r="Y700" s="1">
        <f t="shared" si="170"/>
        <v>45</v>
      </c>
      <c r="Z700" s="1">
        <f t="shared" si="171"/>
        <v>54</v>
      </c>
      <c r="AA700" s="1">
        <f t="shared" si="172"/>
        <v>3.5777777777777779</v>
      </c>
      <c r="AB700" s="1">
        <f t="shared" si="173"/>
        <v>3.4277777777777789</v>
      </c>
      <c r="AC700" s="1">
        <f t="shared" si="174"/>
        <v>0</v>
      </c>
      <c r="AD700" s="1">
        <f t="shared" si="175"/>
        <v>3.1271823943439378E-3</v>
      </c>
    </row>
    <row r="701" spans="1:30" x14ac:dyDescent="0.35">
      <c r="A701" t="s">
        <v>1408</v>
      </c>
      <c r="B701" t="s">
        <v>111</v>
      </c>
      <c r="C701" t="s">
        <v>93</v>
      </c>
      <c r="D701" t="s">
        <v>17</v>
      </c>
      <c r="E701">
        <v>59</v>
      </c>
      <c r="F701" t="s">
        <v>74</v>
      </c>
      <c r="G701" t="s">
        <v>61</v>
      </c>
      <c r="H701" t="s">
        <v>1409</v>
      </c>
      <c r="I701">
        <v>13</v>
      </c>
      <c r="J701">
        <v>22</v>
      </c>
      <c r="K701">
        <v>355355</v>
      </c>
      <c r="L701">
        <v>3.6</v>
      </c>
      <c r="M701" t="s">
        <v>21</v>
      </c>
      <c r="N701">
        <v>62</v>
      </c>
      <c r="O701">
        <f t="shared" si="160"/>
        <v>301</v>
      </c>
      <c r="P701">
        <f t="shared" si="161"/>
        <v>148</v>
      </c>
      <c r="Q701">
        <f t="shared" si="162"/>
        <v>153</v>
      </c>
      <c r="R701">
        <f t="shared" si="163"/>
        <v>49.650349650349654</v>
      </c>
      <c r="S701" s="1">
        <f t="shared" si="164"/>
        <v>50.24975024975025</v>
      </c>
      <c r="T701" s="1">
        <f t="shared" si="165"/>
        <v>138</v>
      </c>
      <c r="U701" s="1">
        <f t="shared" si="166"/>
        <v>163</v>
      </c>
      <c r="V701" s="1">
        <f t="shared" si="167"/>
        <v>47.5</v>
      </c>
      <c r="W701" s="1">
        <f t="shared" si="168"/>
        <v>52.5</v>
      </c>
      <c r="X701" s="1">
        <f t="shared" si="169"/>
        <v>14.714285714285714</v>
      </c>
      <c r="Y701" s="1">
        <f t="shared" si="170"/>
        <v>45</v>
      </c>
      <c r="Z701" s="1">
        <f t="shared" si="171"/>
        <v>54</v>
      </c>
      <c r="AA701" s="1">
        <f t="shared" si="172"/>
        <v>3.5777777777777779</v>
      </c>
      <c r="AB701" s="1">
        <f t="shared" si="173"/>
        <v>3.4277777777777789</v>
      </c>
      <c r="AC701" s="1">
        <f t="shared" si="174"/>
        <v>1</v>
      </c>
      <c r="AD701" s="1">
        <f t="shared" si="175"/>
        <v>4.0987665430101648E-3</v>
      </c>
    </row>
    <row r="702" spans="1:30" x14ac:dyDescent="0.35">
      <c r="A702" t="s">
        <v>1410</v>
      </c>
      <c r="B702" t="s">
        <v>96</v>
      </c>
      <c r="C702" t="s">
        <v>36</v>
      </c>
      <c r="D702" t="s">
        <v>25</v>
      </c>
      <c r="E702">
        <v>54</v>
      </c>
      <c r="F702" t="s">
        <v>18</v>
      </c>
      <c r="G702" t="s">
        <v>61</v>
      </c>
      <c r="H702" t="s">
        <v>1411</v>
      </c>
      <c r="I702">
        <v>20</v>
      </c>
      <c r="J702">
        <v>26</v>
      </c>
      <c r="K702">
        <v>284777</v>
      </c>
      <c r="L702">
        <v>3.7</v>
      </c>
      <c r="M702" t="s">
        <v>21</v>
      </c>
      <c r="N702">
        <v>32</v>
      </c>
      <c r="O702">
        <f t="shared" si="160"/>
        <v>300</v>
      </c>
      <c r="P702">
        <f t="shared" si="161"/>
        <v>147</v>
      </c>
      <c r="Q702">
        <f t="shared" si="162"/>
        <v>153</v>
      </c>
      <c r="R702">
        <f t="shared" si="163"/>
        <v>49.650349650349654</v>
      </c>
      <c r="S702" s="1">
        <f t="shared" si="164"/>
        <v>50.24975024975025</v>
      </c>
      <c r="T702" s="1">
        <f t="shared" si="165"/>
        <v>137</v>
      </c>
      <c r="U702" s="1">
        <f t="shared" si="166"/>
        <v>163</v>
      </c>
      <c r="V702" s="1">
        <f t="shared" si="167"/>
        <v>47.5</v>
      </c>
      <c r="W702" s="1">
        <f t="shared" si="168"/>
        <v>52.5</v>
      </c>
      <c r="X702" s="1">
        <f t="shared" si="169"/>
        <v>14.69</v>
      </c>
      <c r="Y702" s="1">
        <f t="shared" si="170"/>
        <v>44</v>
      </c>
      <c r="Z702" s="1">
        <f t="shared" si="171"/>
        <v>54</v>
      </c>
      <c r="AA702" s="1">
        <f t="shared" si="172"/>
        <v>3.5772727272727276</v>
      </c>
      <c r="AB702" s="1">
        <f t="shared" si="173"/>
        <v>3.4277777777777789</v>
      </c>
      <c r="AC702" s="1">
        <f t="shared" si="174"/>
        <v>1</v>
      </c>
      <c r="AD702" s="1">
        <f t="shared" si="175"/>
        <v>4.3660189549436698E-4</v>
      </c>
    </row>
    <row r="703" spans="1:30" x14ac:dyDescent="0.35">
      <c r="A703" t="s">
        <v>1412</v>
      </c>
      <c r="B703" t="s">
        <v>55</v>
      </c>
      <c r="C703" t="s">
        <v>30</v>
      </c>
      <c r="D703" t="s">
        <v>17</v>
      </c>
      <c r="E703">
        <v>60</v>
      </c>
      <c r="F703" t="s">
        <v>31</v>
      </c>
      <c r="G703" t="s">
        <v>26</v>
      </c>
      <c r="H703" t="s">
        <v>1413</v>
      </c>
      <c r="I703">
        <v>2</v>
      </c>
      <c r="J703">
        <v>4</v>
      </c>
      <c r="K703">
        <v>499071</v>
      </c>
      <c r="L703">
        <v>2.1</v>
      </c>
      <c r="M703" t="s">
        <v>21</v>
      </c>
      <c r="N703">
        <v>43</v>
      </c>
      <c r="O703">
        <f t="shared" si="160"/>
        <v>299</v>
      </c>
      <c r="P703">
        <f t="shared" si="161"/>
        <v>147</v>
      </c>
      <c r="Q703">
        <f t="shared" si="162"/>
        <v>152</v>
      </c>
      <c r="R703">
        <f t="shared" si="163"/>
        <v>49.650349650349654</v>
      </c>
      <c r="S703" s="1">
        <f t="shared" si="164"/>
        <v>50.24975024975025</v>
      </c>
      <c r="T703" s="1">
        <f t="shared" si="165"/>
        <v>136</v>
      </c>
      <c r="U703" s="1">
        <f t="shared" si="166"/>
        <v>163</v>
      </c>
      <c r="V703" s="1">
        <f t="shared" si="167"/>
        <v>47.5</v>
      </c>
      <c r="W703" s="1">
        <f t="shared" si="168"/>
        <v>52.5</v>
      </c>
      <c r="X703" s="1">
        <f t="shared" si="169"/>
        <v>14.652173913043478</v>
      </c>
      <c r="Y703" s="1">
        <f t="shared" si="170"/>
        <v>44</v>
      </c>
      <c r="Z703" s="1">
        <f t="shared" si="171"/>
        <v>54</v>
      </c>
      <c r="AA703" s="1">
        <f t="shared" si="172"/>
        <v>3.5772727272727276</v>
      </c>
      <c r="AB703" s="1">
        <f t="shared" si="173"/>
        <v>3.4277777777777789</v>
      </c>
      <c r="AC703" s="1">
        <f t="shared" si="174"/>
        <v>1</v>
      </c>
      <c r="AD703" s="1">
        <f t="shared" si="175"/>
        <v>-5.3234673566480931E-3</v>
      </c>
    </row>
    <row r="704" spans="1:30" x14ac:dyDescent="0.35">
      <c r="A704" t="s">
        <v>1414</v>
      </c>
      <c r="B704" t="s">
        <v>96</v>
      </c>
      <c r="C704" t="s">
        <v>93</v>
      </c>
      <c r="D704" t="s">
        <v>25</v>
      </c>
      <c r="E704">
        <v>45</v>
      </c>
      <c r="F704" t="s">
        <v>79</v>
      </c>
      <c r="G704" t="s">
        <v>26</v>
      </c>
      <c r="H704" t="s">
        <v>1415</v>
      </c>
      <c r="I704">
        <v>3</v>
      </c>
      <c r="J704">
        <v>10</v>
      </c>
      <c r="K704">
        <v>393943</v>
      </c>
      <c r="L704">
        <v>2.8</v>
      </c>
      <c r="M704" t="s">
        <v>21</v>
      </c>
      <c r="N704">
        <v>36</v>
      </c>
      <c r="O704">
        <f t="shared" si="160"/>
        <v>298</v>
      </c>
      <c r="P704">
        <f t="shared" si="161"/>
        <v>146</v>
      </c>
      <c r="Q704">
        <f t="shared" si="162"/>
        <v>152</v>
      </c>
      <c r="R704">
        <f t="shared" si="163"/>
        <v>49.650349650349654</v>
      </c>
      <c r="S704" s="1">
        <f t="shared" si="164"/>
        <v>50.24975024975025</v>
      </c>
      <c r="T704" s="1">
        <f t="shared" si="165"/>
        <v>135</v>
      </c>
      <c r="U704" s="1">
        <f t="shared" si="166"/>
        <v>163</v>
      </c>
      <c r="V704" s="1">
        <f t="shared" si="167"/>
        <v>47.5</v>
      </c>
      <c r="W704" s="1">
        <f t="shared" si="168"/>
        <v>52.5</v>
      </c>
      <c r="X704" s="1">
        <f t="shared" si="169"/>
        <v>14.687919463087248</v>
      </c>
      <c r="Y704" s="1">
        <f t="shared" si="170"/>
        <v>44</v>
      </c>
      <c r="Z704" s="1">
        <f t="shared" si="171"/>
        <v>53</v>
      </c>
      <c r="AA704" s="1">
        <f t="shared" si="172"/>
        <v>3.5772727272727276</v>
      </c>
      <c r="AB704" s="1">
        <f t="shared" si="173"/>
        <v>3.4528301886792456</v>
      </c>
      <c r="AC704" s="1">
        <f t="shared" si="174"/>
        <v>1</v>
      </c>
      <c r="AD704" s="1">
        <f t="shared" si="175"/>
        <v>1.230216962134571E-4</v>
      </c>
    </row>
    <row r="705" spans="1:30" x14ac:dyDescent="0.35">
      <c r="A705" t="s">
        <v>1416</v>
      </c>
      <c r="B705" t="s">
        <v>29</v>
      </c>
      <c r="C705" t="s">
        <v>30</v>
      </c>
      <c r="D705" t="s">
        <v>17</v>
      </c>
      <c r="E705">
        <v>53</v>
      </c>
      <c r="F705" t="s">
        <v>37</v>
      </c>
      <c r="G705" t="s">
        <v>71</v>
      </c>
      <c r="H705" t="s">
        <v>1417</v>
      </c>
      <c r="I705">
        <v>20</v>
      </c>
      <c r="J705">
        <v>23</v>
      </c>
      <c r="K705">
        <v>286731</v>
      </c>
      <c r="L705">
        <v>5</v>
      </c>
      <c r="M705" t="s">
        <v>43</v>
      </c>
      <c r="N705">
        <v>100</v>
      </c>
      <c r="O705">
        <f t="shared" si="160"/>
        <v>297</v>
      </c>
      <c r="P705">
        <f t="shared" si="161"/>
        <v>146</v>
      </c>
      <c r="Q705">
        <f t="shared" si="162"/>
        <v>151</v>
      </c>
      <c r="R705">
        <f t="shared" si="163"/>
        <v>49.650349650349654</v>
      </c>
      <c r="S705" s="1">
        <f t="shared" si="164"/>
        <v>50.24975024975025</v>
      </c>
      <c r="T705" s="1">
        <f t="shared" si="165"/>
        <v>134</v>
      </c>
      <c r="U705" s="1">
        <f t="shared" si="166"/>
        <v>163</v>
      </c>
      <c r="V705" s="1">
        <f t="shared" si="167"/>
        <v>47.5</v>
      </c>
      <c r="W705" s="1">
        <f t="shared" si="168"/>
        <v>52.5</v>
      </c>
      <c r="X705" s="1">
        <f t="shared" si="169"/>
        <v>14.703703703703704</v>
      </c>
      <c r="Y705" s="1">
        <f t="shared" si="170"/>
        <v>44</v>
      </c>
      <c r="Z705" s="1">
        <f t="shared" si="171"/>
        <v>53</v>
      </c>
      <c r="AA705" s="1">
        <f t="shared" si="172"/>
        <v>3.5772727272727276</v>
      </c>
      <c r="AB705" s="1">
        <f t="shared" si="173"/>
        <v>3.4528301886792456</v>
      </c>
      <c r="AC705" s="1">
        <f t="shared" si="174"/>
        <v>0</v>
      </c>
      <c r="AD705" s="1">
        <f t="shared" si="175"/>
        <v>2.5485296567745643E-3</v>
      </c>
    </row>
    <row r="706" spans="1:30" x14ac:dyDescent="0.35">
      <c r="A706" t="s">
        <v>1418</v>
      </c>
      <c r="B706" t="s">
        <v>55</v>
      </c>
      <c r="C706" t="s">
        <v>30</v>
      </c>
      <c r="D706" t="s">
        <v>25</v>
      </c>
      <c r="E706">
        <v>29</v>
      </c>
      <c r="F706" t="s">
        <v>74</v>
      </c>
      <c r="G706" t="s">
        <v>75</v>
      </c>
      <c r="H706" t="s">
        <v>1419</v>
      </c>
      <c r="I706">
        <v>10</v>
      </c>
      <c r="J706">
        <v>18</v>
      </c>
      <c r="K706">
        <v>93617</v>
      </c>
      <c r="L706">
        <v>4.5</v>
      </c>
      <c r="M706" t="s">
        <v>43</v>
      </c>
      <c r="N706">
        <v>87</v>
      </c>
      <c r="O706">
        <f t="shared" ref="O706:O769" si="176">COUNTA(A706:A1705)</f>
        <v>296</v>
      </c>
      <c r="P706">
        <f t="shared" ref="P706:P769" si="177">COUNTIF(D706:D1705,"Male")</f>
        <v>145</v>
      </c>
      <c r="Q706">
        <f t="shared" ref="Q706:Q769" si="178">COUNTIF(D706:D1705,"Female")</f>
        <v>151</v>
      </c>
      <c r="R706">
        <f t="shared" ref="R706:R769" si="179">497/1001*100</f>
        <v>49.650349650349654</v>
      </c>
      <c r="S706" s="1">
        <f t="shared" ref="S706:S769" si="180">503/1001*100</f>
        <v>50.24975024975025</v>
      </c>
      <c r="T706" s="1">
        <f t="shared" ref="T706:T769" si="181">COUNTIF(M706:M1705,"Yes")</f>
        <v>134</v>
      </c>
      <c r="U706" s="1">
        <f t="shared" ref="U706:U769" si="182">COUNTIF(M706:M1705,"No")</f>
        <v>162</v>
      </c>
      <c r="V706" s="1">
        <f t="shared" ref="V706:V769" si="183">475/1000*100</f>
        <v>47.5</v>
      </c>
      <c r="W706" s="1">
        <f t="shared" ref="W706:W769" si="184">525/1000*100</f>
        <v>52.5</v>
      </c>
      <c r="X706" s="1">
        <f t="shared" ref="X706:X769" si="185">AVERAGE(J706:J1705)</f>
        <v>14.675675675675675</v>
      </c>
      <c r="Y706" s="1">
        <f t="shared" ref="Y706:Y769" si="186">COUNTIF(F706:F1705,"Marketing")</f>
        <v>44</v>
      </c>
      <c r="Z706" s="1">
        <f t="shared" ref="Z706:Z769" si="187">COUNTIF(F706:F1705,"IT")</f>
        <v>53</v>
      </c>
      <c r="AA706" s="1">
        <f t="shared" ref="AA706:AA769" si="188">AVERAGEIF(F706:F1705,"Marketing",L706:L1705)</f>
        <v>3.5772727272727276</v>
      </c>
      <c r="AB706" s="1">
        <f t="shared" ref="AB706:AB769" si="189">AVERAGEIF(F706:F1705,"IT",L706:L1705)</f>
        <v>3.4528301886792456</v>
      </c>
      <c r="AC706" s="1">
        <f t="shared" ref="AC706:AC769" si="190">IF(M706="yes",1,0)</f>
        <v>0</v>
      </c>
      <c r="AD706" s="1">
        <f t="shared" ref="AD706:AD769" si="191">CORREL(J706:J1705,AC706:AC1705)</f>
        <v>6.1110075853401408E-3</v>
      </c>
    </row>
    <row r="707" spans="1:30" x14ac:dyDescent="0.35">
      <c r="A707" t="s">
        <v>1420</v>
      </c>
      <c r="B707" t="s">
        <v>55</v>
      </c>
      <c r="C707" t="s">
        <v>36</v>
      </c>
      <c r="D707" t="s">
        <v>17</v>
      </c>
      <c r="E707">
        <v>44</v>
      </c>
      <c r="F707" t="s">
        <v>46</v>
      </c>
      <c r="G707" t="s">
        <v>71</v>
      </c>
      <c r="H707" t="s">
        <v>1421</v>
      </c>
      <c r="I707">
        <v>1</v>
      </c>
      <c r="J707">
        <v>11</v>
      </c>
      <c r="K707">
        <v>450551</v>
      </c>
      <c r="L707">
        <v>3.9</v>
      </c>
      <c r="M707" t="s">
        <v>43</v>
      </c>
      <c r="N707">
        <v>97</v>
      </c>
      <c r="O707">
        <f t="shared" si="176"/>
        <v>295</v>
      </c>
      <c r="P707">
        <f t="shared" si="177"/>
        <v>145</v>
      </c>
      <c r="Q707">
        <f t="shared" si="178"/>
        <v>150</v>
      </c>
      <c r="R707">
        <f t="shared" si="179"/>
        <v>49.650349650349654</v>
      </c>
      <c r="S707" s="1">
        <f t="shared" si="180"/>
        <v>50.24975024975025</v>
      </c>
      <c r="T707" s="1">
        <f t="shared" si="181"/>
        <v>134</v>
      </c>
      <c r="U707" s="1">
        <f t="shared" si="182"/>
        <v>161</v>
      </c>
      <c r="V707" s="1">
        <f t="shared" si="183"/>
        <v>47.5</v>
      </c>
      <c r="W707" s="1">
        <f t="shared" si="184"/>
        <v>52.5</v>
      </c>
      <c r="X707" s="1">
        <f t="shared" si="185"/>
        <v>14.664406779661016</v>
      </c>
      <c r="Y707" s="1">
        <f t="shared" si="186"/>
        <v>43</v>
      </c>
      <c r="Z707" s="1">
        <f t="shared" si="187"/>
        <v>53</v>
      </c>
      <c r="AA707" s="1">
        <f t="shared" si="188"/>
        <v>3.5558139534883724</v>
      </c>
      <c r="AB707" s="1">
        <f t="shared" si="189"/>
        <v>3.4528301886792456</v>
      </c>
      <c r="AC707" s="1">
        <f t="shared" si="190"/>
        <v>0</v>
      </c>
      <c r="AD707" s="1">
        <f t="shared" si="191"/>
        <v>7.5529235263965388E-3</v>
      </c>
    </row>
    <row r="708" spans="1:30" x14ac:dyDescent="0.35">
      <c r="A708" t="s">
        <v>1422</v>
      </c>
      <c r="B708" t="s">
        <v>96</v>
      </c>
      <c r="C708" t="s">
        <v>24</v>
      </c>
      <c r="D708" t="s">
        <v>25</v>
      </c>
      <c r="E708">
        <v>26</v>
      </c>
      <c r="F708" t="s">
        <v>70</v>
      </c>
      <c r="G708" t="s">
        <v>75</v>
      </c>
      <c r="H708" t="s">
        <v>1423</v>
      </c>
      <c r="I708">
        <v>7</v>
      </c>
      <c r="J708">
        <v>8</v>
      </c>
      <c r="K708">
        <v>80406</v>
      </c>
      <c r="L708">
        <v>3.1</v>
      </c>
      <c r="M708" t="s">
        <v>43</v>
      </c>
      <c r="N708">
        <v>79</v>
      </c>
      <c r="O708">
        <f t="shared" si="176"/>
        <v>294</v>
      </c>
      <c r="P708">
        <f t="shared" si="177"/>
        <v>144</v>
      </c>
      <c r="Q708">
        <f t="shared" si="178"/>
        <v>150</v>
      </c>
      <c r="R708">
        <f t="shared" si="179"/>
        <v>49.650349650349654</v>
      </c>
      <c r="S708" s="1">
        <f t="shared" si="180"/>
        <v>50.24975024975025</v>
      </c>
      <c r="T708" s="1">
        <f t="shared" si="181"/>
        <v>134</v>
      </c>
      <c r="U708" s="1">
        <f t="shared" si="182"/>
        <v>160</v>
      </c>
      <c r="V708" s="1">
        <f t="shared" si="183"/>
        <v>47.5</v>
      </c>
      <c r="W708" s="1">
        <f t="shared" si="184"/>
        <v>52.5</v>
      </c>
      <c r="X708" s="1">
        <f t="shared" si="185"/>
        <v>14.67687074829932</v>
      </c>
      <c r="Y708" s="1">
        <f t="shared" si="186"/>
        <v>43</v>
      </c>
      <c r="Z708" s="1">
        <f t="shared" si="187"/>
        <v>53</v>
      </c>
      <c r="AA708" s="1">
        <f t="shared" si="188"/>
        <v>3.5558139534883724</v>
      </c>
      <c r="AB708" s="1">
        <f t="shared" si="189"/>
        <v>3.4528301886792456</v>
      </c>
      <c r="AC708" s="1">
        <f t="shared" si="190"/>
        <v>0</v>
      </c>
      <c r="AD708" s="1">
        <f t="shared" si="191"/>
        <v>5.981167954537495E-3</v>
      </c>
    </row>
    <row r="709" spans="1:30" x14ac:dyDescent="0.35">
      <c r="A709" t="s">
        <v>1424</v>
      </c>
      <c r="B709" t="s">
        <v>78</v>
      </c>
      <c r="C709" t="s">
        <v>93</v>
      </c>
      <c r="D709" t="s">
        <v>17</v>
      </c>
      <c r="E709">
        <v>35</v>
      </c>
      <c r="F709" t="s">
        <v>18</v>
      </c>
      <c r="G709" t="s">
        <v>61</v>
      </c>
      <c r="H709" t="s">
        <v>1425</v>
      </c>
      <c r="I709">
        <v>8</v>
      </c>
      <c r="J709">
        <v>18</v>
      </c>
      <c r="K709">
        <v>168988</v>
      </c>
      <c r="L709">
        <v>5</v>
      </c>
      <c r="M709" t="s">
        <v>21</v>
      </c>
      <c r="N709">
        <v>68</v>
      </c>
      <c r="O709">
        <f t="shared" si="176"/>
        <v>293</v>
      </c>
      <c r="P709">
        <f t="shared" si="177"/>
        <v>144</v>
      </c>
      <c r="Q709">
        <f t="shared" si="178"/>
        <v>149</v>
      </c>
      <c r="R709">
        <f t="shared" si="179"/>
        <v>49.650349650349654</v>
      </c>
      <c r="S709" s="1">
        <f t="shared" si="180"/>
        <v>50.24975024975025</v>
      </c>
      <c r="T709" s="1">
        <f t="shared" si="181"/>
        <v>134</v>
      </c>
      <c r="U709" s="1">
        <f t="shared" si="182"/>
        <v>159</v>
      </c>
      <c r="V709" s="1">
        <f t="shared" si="183"/>
        <v>47.5</v>
      </c>
      <c r="W709" s="1">
        <f t="shared" si="184"/>
        <v>52.5</v>
      </c>
      <c r="X709" s="1">
        <f t="shared" si="185"/>
        <v>14.699658703071673</v>
      </c>
      <c r="Y709" s="1">
        <f t="shared" si="186"/>
        <v>43</v>
      </c>
      <c r="Z709" s="1">
        <f t="shared" si="187"/>
        <v>53</v>
      </c>
      <c r="AA709" s="1">
        <f t="shared" si="188"/>
        <v>3.5558139534883724</v>
      </c>
      <c r="AB709" s="1">
        <f t="shared" si="189"/>
        <v>3.4528301886792456</v>
      </c>
      <c r="AC709" s="1">
        <f t="shared" si="190"/>
        <v>1</v>
      </c>
      <c r="AD709" s="1">
        <f t="shared" si="191"/>
        <v>3.09076778475706E-3</v>
      </c>
    </row>
    <row r="710" spans="1:30" x14ac:dyDescent="0.35">
      <c r="A710" t="s">
        <v>1426</v>
      </c>
      <c r="B710" t="s">
        <v>15</v>
      </c>
      <c r="C710" t="s">
        <v>64</v>
      </c>
      <c r="D710" t="s">
        <v>25</v>
      </c>
      <c r="E710">
        <v>37</v>
      </c>
      <c r="F710" t="s">
        <v>74</v>
      </c>
      <c r="G710" t="s">
        <v>57</v>
      </c>
      <c r="H710" t="s">
        <v>954</v>
      </c>
      <c r="I710">
        <v>11</v>
      </c>
      <c r="J710">
        <v>12</v>
      </c>
      <c r="K710">
        <v>424228</v>
      </c>
      <c r="L710">
        <v>3.1</v>
      </c>
      <c r="M710" t="s">
        <v>43</v>
      </c>
      <c r="N710">
        <v>97</v>
      </c>
      <c r="O710">
        <f t="shared" si="176"/>
        <v>292</v>
      </c>
      <c r="P710">
        <f t="shared" si="177"/>
        <v>143</v>
      </c>
      <c r="Q710">
        <f t="shared" si="178"/>
        <v>149</v>
      </c>
      <c r="R710">
        <f t="shared" si="179"/>
        <v>49.650349650349654</v>
      </c>
      <c r="S710" s="1">
        <f t="shared" si="180"/>
        <v>50.24975024975025</v>
      </c>
      <c r="T710" s="1">
        <f t="shared" si="181"/>
        <v>133</v>
      </c>
      <c r="U710" s="1">
        <f t="shared" si="182"/>
        <v>159</v>
      </c>
      <c r="V710" s="1">
        <f t="shared" si="183"/>
        <v>47.5</v>
      </c>
      <c r="W710" s="1">
        <f t="shared" si="184"/>
        <v>52.5</v>
      </c>
      <c r="X710" s="1">
        <f t="shared" si="185"/>
        <v>14.688356164383562</v>
      </c>
      <c r="Y710" s="1">
        <f t="shared" si="186"/>
        <v>43</v>
      </c>
      <c r="Z710" s="1">
        <f t="shared" si="187"/>
        <v>53</v>
      </c>
      <c r="AA710" s="1">
        <f t="shared" si="188"/>
        <v>3.5558139534883724</v>
      </c>
      <c r="AB710" s="1">
        <f t="shared" si="189"/>
        <v>3.4528301886792456</v>
      </c>
      <c r="AC710" s="1">
        <f t="shared" si="190"/>
        <v>0</v>
      </c>
      <c r="AD710" s="1">
        <f t="shared" si="191"/>
        <v>1.3827757067853936E-3</v>
      </c>
    </row>
    <row r="711" spans="1:30" x14ac:dyDescent="0.35">
      <c r="A711" t="s">
        <v>1427</v>
      </c>
      <c r="B711" t="s">
        <v>35</v>
      </c>
      <c r="C711" t="s">
        <v>82</v>
      </c>
      <c r="D711" t="s">
        <v>25</v>
      </c>
      <c r="E711">
        <v>33</v>
      </c>
      <c r="F711" t="s">
        <v>70</v>
      </c>
      <c r="G711" t="s">
        <v>57</v>
      </c>
      <c r="H711" t="s">
        <v>1428</v>
      </c>
      <c r="I711">
        <v>17</v>
      </c>
      <c r="J711">
        <v>26</v>
      </c>
      <c r="K711">
        <v>351310</v>
      </c>
      <c r="L711">
        <v>3.1</v>
      </c>
      <c r="M711" t="s">
        <v>43</v>
      </c>
      <c r="N711">
        <v>91</v>
      </c>
      <c r="O711">
        <f t="shared" si="176"/>
        <v>291</v>
      </c>
      <c r="P711">
        <f t="shared" si="177"/>
        <v>143</v>
      </c>
      <c r="Q711">
        <f t="shared" si="178"/>
        <v>148</v>
      </c>
      <c r="R711">
        <f t="shared" si="179"/>
        <v>49.650349650349654</v>
      </c>
      <c r="S711" s="1">
        <f t="shared" si="180"/>
        <v>50.24975024975025</v>
      </c>
      <c r="T711" s="1">
        <f t="shared" si="181"/>
        <v>133</v>
      </c>
      <c r="U711" s="1">
        <f t="shared" si="182"/>
        <v>158</v>
      </c>
      <c r="V711" s="1">
        <f t="shared" si="183"/>
        <v>47.5</v>
      </c>
      <c r="W711" s="1">
        <f t="shared" si="184"/>
        <v>52.5</v>
      </c>
      <c r="X711" s="1">
        <f t="shared" si="185"/>
        <v>14.697594501718212</v>
      </c>
      <c r="Y711" s="1">
        <f t="shared" si="186"/>
        <v>42</v>
      </c>
      <c r="Z711" s="1">
        <f t="shared" si="187"/>
        <v>53</v>
      </c>
      <c r="AA711" s="1">
        <f t="shared" si="188"/>
        <v>3.5666666666666664</v>
      </c>
      <c r="AB711" s="1">
        <f t="shared" si="189"/>
        <v>3.4528301886792456</v>
      </c>
      <c r="AC711" s="1">
        <f t="shared" si="190"/>
        <v>0</v>
      </c>
      <c r="AD711" s="1">
        <f t="shared" si="191"/>
        <v>2.1028593992835346E-4</v>
      </c>
    </row>
    <row r="712" spans="1:30" x14ac:dyDescent="0.35">
      <c r="A712" t="s">
        <v>1429</v>
      </c>
      <c r="B712" t="s">
        <v>29</v>
      </c>
      <c r="C712" t="s">
        <v>82</v>
      </c>
      <c r="D712" t="s">
        <v>17</v>
      </c>
      <c r="E712">
        <v>24</v>
      </c>
      <c r="F712" t="s">
        <v>37</v>
      </c>
      <c r="G712" t="s">
        <v>26</v>
      </c>
      <c r="H712" t="s">
        <v>1430</v>
      </c>
      <c r="I712">
        <v>17</v>
      </c>
      <c r="J712">
        <v>20</v>
      </c>
      <c r="K712">
        <v>497271</v>
      </c>
      <c r="L712">
        <v>2.2999999999999998</v>
      </c>
      <c r="M712" t="s">
        <v>21</v>
      </c>
      <c r="N712">
        <v>40</v>
      </c>
      <c r="O712">
        <f t="shared" si="176"/>
        <v>290</v>
      </c>
      <c r="P712">
        <f t="shared" si="177"/>
        <v>143</v>
      </c>
      <c r="Q712">
        <f t="shared" si="178"/>
        <v>147</v>
      </c>
      <c r="R712">
        <f t="shared" si="179"/>
        <v>49.650349650349654</v>
      </c>
      <c r="S712" s="1">
        <f t="shared" si="180"/>
        <v>50.24975024975025</v>
      </c>
      <c r="T712" s="1">
        <f t="shared" si="181"/>
        <v>133</v>
      </c>
      <c r="U712" s="1">
        <f t="shared" si="182"/>
        <v>157</v>
      </c>
      <c r="V712" s="1">
        <f t="shared" si="183"/>
        <v>47.5</v>
      </c>
      <c r="W712" s="1">
        <f t="shared" si="184"/>
        <v>52.5</v>
      </c>
      <c r="X712" s="1">
        <f t="shared" si="185"/>
        <v>14.658620689655173</v>
      </c>
      <c r="Y712" s="1">
        <f t="shared" si="186"/>
        <v>42</v>
      </c>
      <c r="Z712" s="1">
        <f t="shared" si="187"/>
        <v>53</v>
      </c>
      <c r="AA712" s="1">
        <f t="shared" si="188"/>
        <v>3.5666666666666664</v>
      </c>
      <c r="AB712" s="1">
        <f t="shared" si="189"/>
        <v>3.4528301886792456</v>
      </c>
      <c r="AC712" s="1">
        <f t="shared" si="190"/>
        <v>1</v>
      </c>
      <c r="AD712" s="1">
        <f t="shared" si="191"/>
        <v>5.1960210369192848E-3</v>
      </c>
    </row>
    <row r="713" spans="1:30" x14ac:dyDescent="0.35">
      <c r="A713" t="s">
        <v>1431</v>
      </c>
      <c r="B713" t="s">
        <v>45</v>
      </c>
      <c r="C713" t="s">
        <v>82</v>
      </c>
      <c r="D713" t="s">
        <v>25</v>
      </c>
      <c r="E713">
        <v>39</v>
      </c>
      <c r="F713" t="s">
        <v>31</v>
      </c>
      <c r="G713" t="s">
        <v>88</v>
      </c>
      <c r="H713" t="s">
        <v>1432</v>
      </c>
      <c r="I713">
        <v>16</v>
      </c>
      <c r="J713">
        <v>21</v>
      </c>
      <c r="K713">
        <v>461680</v>
      </c>
      <c r="L713">
        <v>4.9000000000000004</v>
      </c>
      <c r="M713" t="s">
        <v>21</v>
      </c>
      <c r="N713">
        <v>32</v>
      </c>
      <c r="O713">
        <f t="shared" si="176"/>
        <v>289</v>
      </c>
      <c r="P713">
        <f t="shared" si="177"/>
        <v>142</v>
      </c>
      <c r="Q713">
        <f t="shared" si="178"/>
        <v>147</v>
      </c>
      <c r="R713">
        <f t="shared" si="179"/>
        <v>49.650349650349654</v>
      </c>
      <c r="S713" s="1">
        <f t="shared" si="180"/>
        <v>50.24975024975025</v>
      </c>
      <c r="T713" s="1">
        <f t="shared" si="181"/>
        <v>132</v>
      </c>
      <c r="U713" s="1">
        <f t="shared" si="182"/>
        <v>157</v>
      </c>
      <c r="V713" s="1">
        <f t="shared" si="183"/>
        <v>47.5</v>
      </c>
      <c r="W713" s="1">
        <f t="shared" si="184"/>
        <v>52.5</v>
      </c>
      <c r="X713" s="1">
        <f t="shared" si="185"/>
        <v>14.640138408304498</v>
      </c>
      <c r="Y713" s="1">
        <f t="shared" si="186"/>
        <v>42</v>
      </c>
      <c r="Z713" s="1">
        <f t="shared" si="187"/>
        <v>53</v>
      </c>
      <c r="AA713" s="1">
        <f t="shared" si="188"/>
        <v>3.5666666666666664</v>
      </c>
      <c r="AB713" s="1">
        <f t="shared" si="189"/>
        <v>3.4528301886792456</v>
      </c>
      <c r="AC713" s="1">
        <f t="shared" si="190"/>
        <v>1</v>
      </c>
      <c r="AD713" s="1">
        <f t="shared" si="191"/>
        <v>2.4129229107996797E-3</v>
      </c>
    </row>
    <row r="714" spans="1:30" x14ac:dyDescent="0.35">
      <c r="A714" t="s">
        <v>1433</v>
      </c>
      <c r="B714" t="s">
        <v>29</v>
      </c>
      <c r="C714" t="s">
        <v>30</v>
      </c>
      <c r="D714" t="s">
        <v>25</v>
      </c>
      <c r="E714">
        <v>30</v>
      </c>
      <c r="F714" t="s">
        <v>31</v>
      </c>
      <c r="G714" t="s">
        <v>26</v>
      </c>
      <c r="H714" t="s">
        <v>1434</v>
      </c>
      <c r="I714">
        <v>1</v>
      </c>
      <c r="J714">
        <v>9</v>
      </c>
      <c r="K714">
        <v>205159</v>
      </c>
      <c r="L714">
        <v>2.1</v>
      </c>
      <c r="M714" t="s">
        <v>21</v>
      </c>
      <c r="N714">
        <v>69</v>
      </c>
      <c r="O714">
        <f t="shared" si="176"/>
        <v>288</v>
      </c>
      <c r="P714">
        <f t="shared" si="177"/>
        <v>142</v>
      </c>
      <c r="Q714">
        <f t="shared" si="178"/>
        <v>146</v>
      </c>
      <c r="R714">
        <f t="shared" si="179"/>
        <v>49.650349650349654</v>
      </c>
      <c r="S714" s="1">
        <f t="shared" si="180"/>
        <v>50.24975024975025</v>
      </c>
      <c r="T714" s="1">
        <f t="shared" si="181"/>
        <v>131</v>
      </c>
      <c r="U714" s="1">
        <f t="shared" si="182"/>
        <v>157</v>
      </c>
      <c r="V714" s="1">
        <f t="shared" si="183"/>
        <v>47.5</v>
      </c>
      <c r="W714" s="1">
        <f t="shared" si="184"/>
        <v>52.5</v>
      </c>
      <c r="X714" s="1">
        <f t="shared" si="185"/>
        <v>14.618055555555555</v>
      </c>
      <c r="Y714" s="1">
        <f t="shared" si="186"/>
        <v>42</v>
      </c>
      <c r="Z714" s="1">
        <f t="shared" si="187"/>
        <v>52</v>
      </c>
      <c r="AA714" s="1">
        <f t="shared" si="188"/>
        <v>3.5666666666666664</v>
      </c>
      <c r="AB714" s="1">
        <f t="shared" si="189"/>
        <v>3.4250000000000003</v>
      </c>
      <c r="AC714" s="1">
        <f t="shared" si="190"/>
        <v>1</v>
      </c>
      <c r="AD714" s="1">
        <f t="shared" si="191"/>
        <v>-9.3420606703803705E-4</v>
      </c>
    </row>
    <row r="715" spans="1:30" x14ac:dyDescent="0.35">
      <c r="A715" t="s">
        <v>1435</v>
      </c>
      <c r="B715" t="s">
        <v>35</v>
      </c>
      <c r="C715" t="s">
        <v>64</v>
      </c>
      <c r="D715" t="s">
        <v>25</v>
      </c>
      <c r="E715">
        <v>58</v>
      </c>
      <c r="F715" t="s">
        <v>79</v>
      </c>
      <c r="G715" t="s">
        <v>32</v>
      </c>
      <c r="H715" t="s">
        <v>1436</v>
      </c>
      <c r="I715">
        <v>0</v>
      </c>
      <c r="J715">
        <v>3</v>
      </c>
      <c r="K715">
        <v>158452</v>
      </c>
      <c r="L715">
        <v>5</v>
      </c>
      <c r="M715" t="s">
        <v>43</v>
      </c>
      <c r="N715">
        <v>76</v>
      </c>
      <c r="O715">
        <f t="shared" si="176"/>
        <v>287</v>
      </c>
      <c r="P715">
        <f t="shared" si="177"/>
        <v>142</v>
      </c>
      <c r="Q715">
        <f t="shared" si="178"/>
        <v>145</v>
      </c>
      <c r="R715">
        <f t="shared" si="179"/>
        <v>49.650349650349654</v>
      </c>
      <c r="S715" s="1">
        <f t="shared" si="180"/>
        <v>50.24975024975025</v>
      </c>
      <c r="T715" s="1">
        <f t="shared" si="181"/>
        <v>130</v>
      </c>
      <c r="U715" s="1">
        <f t="shared" si="182"/>
        <v>157</v>
      </c>
      <c r="V715" s="1">
        <f t="shared" si="183"/>
        <v>47.5</v>
      </c>
      <c r="W715" s="1">
        <f t="shared" si="184"/>
        <v>52.5</v>
      </c>
      <c r="X715" s="1">
        <f t="shared" si="185"/>
        <v>14.637630662020905</v>
      </c>
      <c r="Y715" s="1">
        <f t="shared" si="186"/>
        <v>42</v>
      </c>
      <c r="Z715" s="1">
        <f t="shared" si="187"/>
        <v>51</v>
      </c>
      <c r="AA715" s="1">
        <f t="shared" si="188"/>
        <v>3.5666666666666664</v>
      </c>
      <c r="AB715" s="1">
        <f t="shared" si="189"/>
        <v>3.4509803921568634</v>
      </c>
      <c r="AC715" s="1">
        <f t="shared" si="190"/>
        <v>0</v>
      </c>
      <c r="AD715" s="1">
        <f t="shared" si="191"/>
        <v>2.0466004154495935E-3</v>
      </c>
    </row>
    <row r="716" spans="1:30" x14ac:dyDescent="0.35">
      <c r="A716" t="s">
        <v>1437</v>
      </c>
      <c r="B716" t="s">
        <v>78</v>
      </c>
      <c r="C716" t="s">
        <v>36</v>
      </c>
      <c r="D716" t="s">
        <v>25</v>
      </c>
      <c r="E716">
        <v>50</v>
      </c>
      <c r="F716" t="s">
        <v>37</v>
      </c>
      <c r="G716" t="s">
        <v>71</v>
      </c>
      <c r="H716" t="s">
        <v>1438</v>
      </c>
      <c r="I716">
        <v>0</v>
      </c>
      <c r="J716">
        <v>8</v>
      </c>
      <c r="K716">
        <v>90696</v>
      </c>
      <c r="L716">
        <v>5</v>
      </c>
      <c r="M716" t="s">
        <v>21</v>
      </c>
      <c r="N716">
        <v>65</v>
      </c>
      <c r="O716">
        <f t="shared" si="176"/>
        <v>286</v>
      </c>
      <c r="P716">
        <f t="shared" si="177"/>
        <v>142</v>
      </c>
      <c r="Q716">
        <f t="shared" si="178"/>
        <v>144</v>
      </c>
      <c r="R716">
        <f t="shared" si="179"/>
        <v>49.650349650349654</v>
      </c>
      <c r="S716" s="1">
        <f t="shared" si="180"/>
        <v>50.24975024975025</v>
      </c>
      <c r="T716" s="1">
        <f t="shared" si="181"/>
        <v>130</v>
      </c>
      <c r="U716" s="1">
        <f t="shared" si="182"/>
        <v>156</v>
      </c>
      <c r="V716" s="1">
        <f t="shared" si="183"/>
        <v>47.5</v>
      </c>
      <c r="W716" s="1">
        <f t="shared" si="184"/>
        <v>52.5</v>
      </c>
      <c r="X716" s="1">
        <f t="shared" si="185"/>
        <v>14.678321678321678</v>
      </c>
      <c r="Y716" s="1">
        <f t="shared" si="186"/>
        <v>42</v>
      </c>
      <c r="Z716" s="1">
        <f t="shared" si="187"/>
        <v>51</v>
      </c>
      <c r="AA716" s="1">
        <f t="shared" si="188"/>
        <v>3.5666666666666664</v>
      </c>
      <c r="AB716" s="1">
        <f t="shared" si="189"/>
        <v>3.4509803921568634</v>
      </c>
      <c r="AC716" s="1">
        <f t="shared" si="190"/>
        <v>1</v>
      </c>
      <c r="AD716" s="1">
        <f t="shared" si="191"/>
        <v>-3.1077912769665776E-3</v>
      </c>
    </row>
    <row r="717" spans="1:30" x14ac:dyDescent="0.35">
      <c r="A717" t="s">
        <v>1439</v>
      </c>
      <c r="B717" t="s">
        <v>78</v>
      </c>
      <c r="C717" t="s">
        <v>52</v>
      </c>
      <c r="D717" t="s">
        <v>25</v>
      </c>
      <c r="E717">
        <v>22</v>
      </c>
      <c r="F717" t="s">
        <v>31</v>
      </c>
      <c r="G717" t="s">
        <v>61</v>
      </c>
      <c r="H717" t="s">
        <v>1440</v>
      </c>
      <c r="I717">
        <v>13</v>
      </c>
      <c r="J717">
        <v>22</v>
      </c>
      <c r="K717">
        <v>442738</v>
      </c>
      <c r="L717">
        <v>4.3</v>
      </c>
      <c r="M717" t="s">
        <v>43</v>
      </c>
      <c r="N717">
        <v>99</v>
      </c>
      <c r="O717">
        <f t="shared" si="176"/>
        <v>285</v>
      </c>
      <c r="P717">
        <f t="shared" si="177"/>
        <v>142</v>
      </c>
      <c r="Q717">
        <f t="shared" si="178"/>
        <v>143</v>
      </c>
      <c r="R717">
        <f t="shared" si="179"/>
        <v>49.650349650349654</v>
      </c>
      <c r="S717" s="1">
        <f t="shared" si="180"/>
        <v>50.24975024975025</v>
      </c>
      <c r="T717" s="1">
        <f t="shared" si="181"/>
        <v>129</v>
      </c>
      <c r="U717" s="1">
        <f t="shared" si="182"/>
        <v>156</v>
      </c>
      <c r="V717" s="1">
        <f t="shared" si="183"/>
        <v>47.5</v>
      </c>
      <c r="W717" s="1">
        <f t="shared" si="184"/>
        <v>52.5</v>
      </c>
      <c r="X717" s="1">
        <f t="shared" si="185"/>
        <v>14.701754385964913</v>
      </c>
      <c r="Y717" s="1">
        <f t="shared" si="186"/>
        <v>42</v>
      </c>
      <c r="Z717" s="1">
        <f t="shared" si="187"/>
        <v>51</v>
      </c>
      <c r="AA717" s="1">
        <f t="shared" si="188"/>
        <v>3.5666666666666664</v>
      </c>
      <c r="AB717" s="1">
        <f t="shared" si="189"/>
        <v>3.4509803921568634</v>
      </c>
      <c r="AC717" s="1">
        <f t="shared" si="190"/>
        <v>0</v>
      </c>
      <c r="AD717" s="1">
        <f t="shared" si="191"/>
        <v>4.6434425627937012E-4</v>
      </c>
    </row>
    <row r="718" spans="1:30" x14ac:dyDescent="0.35">
      <c r="A718" t="s">
        <v>1441</v>
      </c>
      <c r="B718" t="s">
        <v>111</v>
      </c>
      <c r="C718" t="s">
        <v>82</v>
      </c>
      <c r="D718" t="s">
        <v>25</v>
      </c>
      <c r="E718">
        <v>36</v>
      </c>
      <c r="F718" t="s">
        <v>70</v>
      </c>
      <c r="G718" t="s">
        <v>32</v>
      </c>
      <c r="H718" t="s">
        <v>1442</v>
      </c>
      <c r="I718">
        <v>15</v>
      </c>
      <c r="J718">
        <v>23</v>
      </c>
      <c r="K718">
        <v>490457</v>
      </c>
      <c r="L718">
        <v>4.2</v>
      </c>
      <c r="M718" t="s">
        <v>43</v>
      </c>
      <c r="N718">
        <v>79</v>
      </c>
      <c r="O718">
        <f t="shared" si="176"/>
        <v>284</v>
      </c>
      <c r="P718">
        <f t="shared" si="177"/>
        <v>142</v>
      </c>
      <c r="Q718">
        <f t="shared" si="178"/>
        <v>142</v>
      </c>
      <c r="R718">
        <f t="shared" si="179"/>
        <v>49.650349650349654</v>
      </c>
      <c r="S718" s="1">
        <f t="shared" si="180"/>
        <v>50.24975024975025</v>
      </c>
      <c r="T718" s="1">
        <f t="shared" si="181"/>
        <v>129</v>
      </c>
      <c r="U718" s="1">
        <f t="shared" si="182"/>
        <v>155</v>
      </c>
      <c r="V718" s="1">
        <f t="shared" si="183"/>
        <v>47.5</v>
      </c>
      <c r="W718" s="1">
        <f t="shared" si="184"/>
        <v>52.5</v>
      </c>
      <c r="X718" s="1">
        <f t="shared" si="185"/>
        <v>14.67605633802817</v>
      </c>
      <c r="Y718" s="1">
        <f t="shared" si="186"/>
        <v>42</v>
      </c>
      <c r="Z718" s="1">
        <f t="shared" si="187"/>
        <v>50</v>
      </c>
      <c r="AA718" s="1">
        <f t="shared" si="188"/>
        <v>3.5666666666666664</v>
      </c>
      <c r="AB718" s="1">
        <f t="shared" si="189"/>
        <v>3.4340000000000002</v>
      </c>
      <c r="AC718" s="1">
        <f t="shared" si="190"/>
        <v>0</v>
      </c>
      <c r="AD718" s="1">
        <f t="shared" si="191"/>
        <v>3.7262097101146458E-3</v>
      </c>
    </row>
    <row r="719" spans="1:30" x14ac:dyDescent="0.35">
      <c r="A719" t="s">
        <v>1443</v>
      </c>
      <c r="B719" t="s">
        <v>23</v>
      </c>
      <c r="C719" t="s">
        <v>30</v>
      </c>
      <c r="D719" t="s">
        <v>25</v>
      </c>
      <c r="E719">
        <v>48</v>
      </c>
      <c r="F719" t="s">
        <v>31</v>
      </c>
      <c r="G719" t="s">
        <v>19</v>
      </c>
      <c r="H719" t="s">
        <v>1444</v>
      </c>
      <c r="I719">
        <v>19</v>
      </c>
      <c r="J719">
        <v>23</v>
      </c>
      <c r="K719">
        <v>141739</v>
      </c>
      <c r="L719">
        <v>2.7</v>
      </c>
      <c r="M719" t="s">
        <v>43</v>
      </c>
      <c r="N719">
        <v>71</v>
      </c>
      <c r="O719">
        <f t="shared" si="176"/>
        <v>283</v>
      </c>
      <c r="P719">
        <f t="shared" si="177"/>
        <v>142</v>
      </c>
      <c r="Q719">
        <f t="shared" si="178"/>
        <v>141</v>
      </c>
      <c r="R719">
        <f t="shared" si="179"/>
        <v>49.650349650349654</v>
      </c>
      <c r="S719" s="1">
        <f t="shared" si="180"/>
        <v>50.24975024975025</v>
      </c>
      <c r="T719" s="1">
        <f t="shared" si="181"/>
        <v>129</v>
      </c>
      <c r="U719" s="1">
        <f t="shared" si="182"/>
        <v>154</v>
      </c>
      <c r="V719" s="1">
        <f t="shared" si="183"/>
        <v>47.5</v>
      </c>
      <c r="W719" s="1">
        <f t="shared" si="184"/>
        <v>52.5</v>
      </c>
      <c r="X719" s="1">
        <f t="shared" si="185"/>
        <v>14.646643109540635</v>
      </c>
      <c r="Y719" s="1">
        <f t="shared" si="186"/>
        <v>42</v>
      </c>
      <c r="Z719" s="1">
        <f t="shared" si="187"/>
        <v>50</v>
      </c>
      <c r="AA719" s="1">
        <f t="shared" si="188"/>
        <v>3.5666666666666664</v>
      </c>
      <c r="AB719" s="1">
        <f t="shared" si="189"/>
        <v>3.4340000000000002</v>
      </c>
      <c r="AC719" s="1">
        <f t="shared" si="190"/>
        <v>0</v>
      </c>
      <c r="AD719" s="1">
        <f t="shared" si="191"/>
        <v>7.4866384800314047E-3</v>
      </c>
    </row>
    <row r="720" spans="1:30" x14ac:dyDescent="0.35">
      <c r="A720" t="s">
        <v>1445</v>
      </c>
      <c r="B720" t="s">
        <v>111</v>
      </c>
      <c r="C720" t="s">
        <v>16</v>
      </c>
      <c r="D720" t="s">
        <v>25</v>
      </c>
      <c r="E720">
        <v>59</v>
      </c>
      <c r="F720" t="s">
        <v>70</v>
      </c>
      <c r="G720" t="s">
        <v>61</v>
      </c>
      <c r="H720" t="s">
        <v>1446</v>
      </c>
      <c r="I720">
        <v>4</v>
      </c>
      <c r="J720">
        <v>13</v>
      </c>
      <c r="K720">
        <v>297609</v>
      </c>
      <c r="L720">
        <v>4.9000000000000004</v>
      </c>
      <c r="M720" t="s">
        <v>21</v>
      </c>
      <c r="N720">
        <v>58</v>
      </c>
      <c r="O720">
        <f t="shared" si="176"/>
        <v>282</v>
      </c>
      <c r="P720">
        <f t="shared" si="177"/>
        <v>142</v>
      </c>
      <c r="Q720">
        <f t="shared" si="178"/>
        <v>140</v>
      </c>
      <c r="R720">
        <f t="shared" si="179"/>
        <v>49.650349650349654</v>
      </c>
      <c r="S720" s="1">
        <f t="shared" si="180"/>
        <v>50.24975024975025</v>
      </c>
      <c r="T720" s="1">
        <f t="shared" si="181"/>
        <v>129</v>
      </c>
      <c r="U720" s="1">
        <f t="shared" si="182"/>
        <v>153</v>
      </c>
      <c r="V720" s="1">
        <f t="shared" si="183"/>
        <v>47.5</v>
      </c>
      <c r="W720" s="1">
        <f t="shared" si="184"/>
        <v>52.5</v>
      </c>
      <c r="X720" s="1">
        <f t="shared" si="185"/>
        <v>14.617021276595745</v>
      </c>
      <c r="Y720" s="1">
        <f t="shared" si="186"/>
        <v>42</v>
      </c>
      <c r="Z720" s="1">
        <f t="shared" si="187"/>
        <v>49</v>
      </c>
      <c r="AA720" s="1">
        <f t="shared" si="188"/>
        <v>3.5666666666666664</v>
      </c>
      <c r="AB720" s="1">
        <f t="shared" si="189"/>
        <v>3.4489795918367352</v>
      </c>
      <c r="AC720" s="1">
        <f t="shared" si="190"/>
        <v>1</v>
      </c>
      <c r="AD720" s="1">
        <f t="shared" si="191"/>
        <v>1.1303149000693515E-2</v>
      </c>
    </row>
    <row r="721" spans="1:30" x14ac:dyDescent="0.35">
      <c r="A721" t="s">
        <v>1447</v>
      </c>
      <c r="B721" t="s">
        <v>111</v>
      </c>
      <c r="C721" t="s">
        <v>93</v>
      </c>
      <c r="D721" t="s">
        <v>25</v>
      </c>
      <c r="E721">
        <v>43</v>
      </c>
      <c r="F721" t="s">
        <v>31</v>
      </c>
      <c r="G721" t="s">
        <v>19</v>
      </c>
      <c r="H721" t="s">
        <v>1448</v>
      </c>
      <c r="I721">
        <v>19</v>
      </c>
      <c r="J721">
        <v>28</v>
      </c>
      <c r="K721">
        <v>346534</v>
      </c>
      <c r="L721">
        <v>4.9000000000000004</v>
      </c>
      <c r="M721" t="s">
        <v>21</v>
      </c>
      <c r="N721">
        <v>38</v>
      </c>
      <c r="O721">
        <f t="shared" si="176"/>
        <v>281</v>
      </c>
      <c r="P721">
        <f t="shared" si="177"/>
        <v>142</v>
      </c>
      <c r="Q721">
        <f t="shared" si="178"/>
        <v>139</v>
      </c>
      <c r="R721">
        <f t="shared" si="179"/>
        <v>49.650349650349654</v>
      </c>
      <c r="S721" s="1">
        <f t="shared" si="180"/>
        <v>50.24975024975025</v>
      </c>
      <c r="T721" s="1">
        <f t="shared" si="181"/>
        <v>128</v>
      </c>
      <c r="U721" s="1">
        <f t="shared" si="182"/>
        <v>153</v>
      </c>
      <c r="V721" s="1">
        <f t="shared" si="183"/>
        <v>47.5</v>
      </c>
      <c r="W721" s="1">
        <f t="shared" si="184"/>
        <v>52.5</v>
      </c>
      <c r="X721" s="1">
        <f t="shared" si="185"/>
        <v>14.622775800711743</v>
      </c>
      <c r="Y721" s="1">
        <f t="shared" si="186"/>
        <v>42</v>
      </c>
      <c r="Z721" s="1">
        <f t="shared" si="187"/>
        <v>49</v>
      </c>
      <c r="AA721" s="1">
        <f t="shared" si="188"/>
        <v>3.5666666666666664</v>
      </c>
      <c r="AB721" s="1">
        <f t="shared" si="189"/>
        <v>3.4489795918367352</v>
      </c>
      <c r="AC721" s="1">
        <f t="shared" si="190"/>
        <v>1</v>
      </c>
      <c r="AD721" s="1">
        <f t="shared" si="191"/>
        <v>1.2202663746916526E-2</v>
      </c>
    </row>
    <row r="722" spans="1:30" x14ac:dyDescent="0.35">
      <c r="A722" t="s">
        <v>1449</v>
      </c>
      <c r="B722" t="s">
        <v>35</v>
      </c>
      <c r="C722" t="s">
        <v>16</v>
      </c>
      <c r="D722" t="s">
        <v>25</v>
      </c>
      <c r="E722">
        <v>40</v>
      </c>
      <c r="F722" t="s">
        <v>74</v>
      </c>
      <c r="G722" t="s">
        <v>61</v>
      </c>
      <c r="H722" t="s">
        <v>1450</v>
      </c>
      <c r="I722">
        <v>0</v>
      </c>
      <c r="J722">
        <v>9</v>
      </c>
      <c r="K722">
        <v>119525</v>
      </c>
      <c r="L722">
        <v>4.0999999999999996</v>
      </c>
      <c r="M722" t="s">
        <v>43</v>
      </c>
      <c r="N722">
        <v>81</v>
      </c>
      <c r="O722">
        <f t="shared" si="176"/>
        <v>280</v>
      </c>
      <c r="P722">
        <f t="shared" si="177"/>
        <v>142</v>
      </c>
      <c r="Q722">
        <f t="shared" si="178"/>
        <v>138</v>
      </c>
      <c r="R722">
        <f t="shared" si="179"/>
        <v>49.650349650349654</v>
      </c>
      <c r="S722" s="1">
        <f t="shared" si="180"/>
        <v>50.24975024975025</v>
      </c>
      <c r="T722" s="1">
        <f t="shared" si="181"/>
        <v>127</v>
      </c>
      <c r="U722" s="1">
        <f t="shared" si="182"/>
        <v>153</v>
      </c>
      <c r="V722" s="1">
        <f t="shared" si="183"/>
        <v>47.5</v>
      </c>
      <c r="W722" s="1">
        <f t="shared" si="184"/>
        <v>52.5</v>
      </c>
      <c r="X722" s="1">
        <f t="shared" si="185"/>
        <v>14.574999999999999</v>
      </c>
      <c r="Y722" s="1">
        <f t="shared" si="186"/>
        <v>42</v>
      </c>
      <c r="Z722" s="1">
        <f t="shared" si="187"/>
        <v>48</v>
      </c>
      <c r="AA722" s="1">
        <f t="shared" si="188"/>
        <v>3.5666666666666664</v>
      </c>
      <c r="AB722" s="1">
        <f t="shared" si="189"/>
        <v>3.4187500000000006</v>
      </c>
      <c r="AC722" s="1">
        <f t="shared" si="190"/>
        <v>0</v>
      </c>
      <c r="AD722" s="1">
        <f t="shared" si="191"/>
        <v>4.9832266212642131E-3</v>
      </c>
    </row>
    <row r="723" spans="1:30" x14ac:dyDescent="0.35">
      <c r="A723" t="s">
        <v>1451</v>
      </c>
      <c r="B723" t="s">
        <v>55</v>
      </c>
      <c r="C723" t="s">
        <v>30</v>
      </c>
      <c r="D723" t="s">
        <v>17</v>
      </c>
      <c r="E723">
        <v>30</v>
      </c>
      <c r="F723" t="s">
        <v>31</v>
      </c>
      <c r="G723" t="s">
        <v>41</v>
      </c>
      <c r="H723" t="s">
        <v>1452</v>
      </c>
      <c r="I723">
        <v>20</v>
      </c>
      <c r="J723">
        <v>20</v>
      </c>
      <c r="K723">
        <v>85141</v>
      </c>
      <c r="L723">
        <v>2.2000000000000002</v>
      </c>
      <c r="M723" t="s">
        <v>43</v>
      </c>
      <c r="N723">
        <v>97</v>
      </c>
      <c r="O723">
        <f t="shared" si="176"/>
        <v>279</v>
      </c>
      <c r="P723">
        <f t="shared" si="177"/>
        <v>142</v>
      </c>
      <c r="Q723">
        <f t="shared" si="178"/>
        <v>137</v>
      </c>
      <c r="R723">
        <f t="shared" si="179"/>
        <v>49.650349650349654</v>
      </c>
      <c r="S723" s="1">
        <f t="shared" si="180"/>
        <v>50.24975024975025</v>
      </c>
      <c r="T723" s="1">
        <f t="shared" si="181"/>
        <v>127</v>
      </c>
      <c r="U723" s="1">
        <f t="shared" si="182"/>
        <v>152</v>
      </c>
      <c r="V723" s="1">
        <f t="shared" si="183"/>
        <v>47.5</v>
      </c>
      <c r="W723" s="1">
        <f t="shared" si="184"/>
        <v>52.5</v>
      </c>
      <c r="X723" s="1">
        <f t="shared" si="185"/>
        <v>14.594982078853047</v>
      </c>
      <c r="Y723" s="1">
        <f t="shared" si="186"/>
        <v>41</v>
      </c>
      <c r="Z723" s="1">
        <f t="shared" si="187"/>
        <v>48</v>
      </c>
      <c r="AA723" s="1">
        <f t="shared" si="188"/>
        <v>3.5536585365853655</v>
      </c>
      <c r="AB723" s="1">
        <f t="shared" si="189"/>
        <v>3.4187500000000006</v>
      </c>
      <c r="AC723" s="1">
        <f t="shared" si="190"/>
        <v>0</v>
      </c>
      <c r="AD723" s="1">
        <f t="shared" si="191"/>
        <v>2.4476052639732866E-3</v>
      </c>
    </row>
    <row r="724" spans="1:30" x14ac:dyDescent="0.35">
      <c r="A724" t="s">
        <v>1453</v>
      </c>
      <c r="B724" t="s">
        <v>35</v>
      </c>
      <c r="C724" t="s">
        <v>82</v>
      </c>
      <c r="D724" t="s">
        <v>17</v>
      </c>
      <c r="E724">
        <v>36</v>
      </c>
      <c r="F724" t="s">
        <v>74</v>
      </c>
      <c r="G724" t="s">
        <v>57</v>
      </c>
      <c r="H724" t="s">
        <v>1454</v>
      </c>
      <c r="I724">
        <v>19</v>
      </c>
      <c r="J724">
        <v>22</v>
      </c>
      <c r="K724">
        <v>112816</v>
      </c>
      <c r="L724">
        <v>3.2</v>
      </c>
      <c r="M724" t="s">
        <v>43</v>
      </c>
      <c r="N724">
        <v>75</v>
      </c>
      <c r="O724">
        <f t="shared" si="176"/>
        <v>278</v>
      </c>
      <c r="P724">
        <f t="shared" si="177"/>
        <v>141</v>
      </c>
      <c r="Q724">
        <f t="shared" si="178"/>
        <v>137</v>
      </c>
      <c r="R724">
        <f t="shared" si="179"/>
        <v>49.650349650349654</v>
      </c>
      <c r="S724" s="1">
        <f t="shared" si="180"/>
        <v>50.24975024975025</v>
      </c>
      <c r="T724" s="1">
        <f t="shared" si="181"/>
        <v>127</v>
      </c>
      <c r="U724" s="1">
        <f t="shared" si="182"/>
        <v>151</v>
      </c>
      <c r="V724" s="1">
        <f t="shared" si="183"/>
        <v>47.5</v>
      </c>
      <c r="W724" s="1">
        <f t="shared" si="184"/>
        <v>52.5</v>
      </c>
      <c r="X724" s="1">
        <f t="shared" si="185"/>
        <v>14.575539568345324</v>
      </c>
      <c r="Y724" s="1">
        <f t="shared" si="186"/>
        <v>41</v>
      </c>
      <c r="Z724" s="1">
        <f t="shared" si="187"/>
        <v>47</v>
      </c>
      <c r="AA724" s="1">
        <f t="shared" si="188"/>
        <v>3.5536585365853655</v>
      </c>
      <c r="AB724" s="1">
        <f t="shared" si="189"/>
        <v>3.4446808510638305</v>
      </c>
      <c r="AC724" s="1">
        <f t="shared" si="190"/>
        <v>0</v>
      </c>
      <c r="AD724" s="1">
        <f t="shared" si="191"/>
        <v>4.9397453621631325E-3</v>
      </c>
    </row>
    <row r="725" spans="1:30" x14ac:dyDescent="0.35">
      <c r="A725" t="s">
        <v>1455</v>
      </c>
      <c r="B725" t="s">
        <v>15</v>
      </c>
      <c r="C725" t="s">
        <v>24</v>
      </c>
      <c r="D725" t="s">
        <v>25</v>
      </c>
      <c r="E725">
        <v>52</v>
      </c>
      <c r="F725" t="s">
        <v>79</v>
      </c>
      <c r="G725" t="s">
        <v>19</v>
      </c>
      <c r="H725" t="s">
        <v>1456</v>
      </c>
      <c r="I725">
        <v>1</v>
      </c>
      <c r="J725">
        <v>6</v>
      </c>
      <c r="K725">
        <v>107088</v>
      </c>
      <c r="L725">
        <v>4.2</v>
      </c>
      <c r="M725" t="s">
        <v>43</v>
      </c>
      <c r="N725">
        <v>80</v>
      </c>
      <c r="O725">
        <f t="shared" si="176"/>
        <v>277</v>
      </c>
      <c r="P725">
        <f t="shared" si="177"/>
        <v>140</v>
      </c>
      <c r="Q725">
        <f t="shared" si="178"/>
        <v>137</v>
      </c>
      <c r="R725">
        <f t="shared" si="179"/>
        <v>49.650349650349654</v>
      </c>
      <c r="S725" s="1">
        <f t="shared" si="180"/>
        <v>50.24975024975025</v>
      </c>
      <c r="T725" s="1">
        <f t="shared" si="181"/>
        <v>127</v>
      </c>
      <c r="U725" s="1">
        <f t="shared" si="182"/>
        <v>150</v>
      </c>
      <c r="V725" s="1">
        <f t="shared" si="183"/>
        <v>47.5</v>
      </c>
      <c r="W725" s="1">
        <f t="shared" si="184"/>
        <v>52.5</v>
      </c>
      <c r="X725" s="1">
        <f t="shared" si="185"/>
        <v>14.548736462093864</v>
      </c>
      <c r="Y725" s="1">
        <f t="shared" si="186"/>
        <v>40</v>
      </c>
      <c r="Z725" s="1">
        <f t="shared" si="187"/>
        <v>47</v>
      </c>
      <c r="AA725" s="1">
        <f t="shared" si="188"/>
        <v>3.5625</v>
      </c>
      <c r="AB725" s="1">
        <f t="shared" si="189"/>
        <v>3.4446808510638305</v>
      </c>
      <c r="AC725" s="1">
        <f t="shared" si="190"/>
        <v>0</v>
      </c>
      <c r="AD725" s="1">
        <f t="shared" si="191"/>
        <v>8.3958070731156176E-3</v>
      </c>
    </row>
    <row r="726" spans="1:30" x14ac:dyDescent="0.35">
      <c r="A726" t="s">
        <v>1457</v>
      </c>
      <c r="B726" t="s">
        <v>40</v>
      </c>
      <c r="C726" t="s">
        <v>64</v>
      </c>
      <c r="D726" t="s">
        <v>25</v>
      </c>
      <c r="E726">
        <v>49</v>
      </c>
      <c r="F726" t="s">
        <v>46</v>
      </c>
      <c r="G726" t="s">
        <v>71</v>
      </c>
      <c r="H726" t="s">
        <v>1458</v>
      </c>
      <c r="I726">
        <v>13</v>
      </c>
      <c r="J726">
        <v>16</v>
      </c>
      <c r="K726">
        <v>85398</v>
      </c>
      <c r="L726">
        <v>2.2000000000000002</v>
      </c>
      <c r="M726" t="s">
        <v>43</v>
      </c>
      <c r="N726">
        <v>82</v>
      </c>
      <c r="O726">
        <f t="shared" si="176"/>
        <v>276</v>
      </c>
      <c r="P726">
        <f t="shared" si="177"/>
        <v>140</v>
      </c>
      <c r="Q726">
        <f t="shared" si="178"/>
        <v>136</v>
      </c>
      <c r="R726">
        <f t="shared" si="179"/>
        <v>49.650349650349654</v>
      </c>
      <c r="S726" s="1">
        <f t="shared" si="180"/>
        <v>50.24975024975025</v>
      </c>
      <c r="T726" s="1">
        <f t="shared" si="181"/>
        <v>127</v>
      </c>
      <c r="U726" s="1">
        <f t="shared" si="182"/>
        <v>149</v>
      </c>
      <c r="V726" s="1">
        <f t="shared" si="183"/>
        <v>47.5</v>
      </c>
      <c r="W726" s="1">
        <f t="shared" si="184"/>
        <v>52.5</v>
      </c>
      <c r="X726" s="1">
        <f t="shared" si="185"/>
        <v>14.579710144927537</v>
      </c>
      <c r="Y726" s="1">
        <f t="shared" si="186"/>
        <v>40</v>
      </c>
      <c r="Z726" s="1">
        <f t="shared" si="187"/>
        <v>47</v>
      </c>
      <c r="AA726" s="1">
        <f t="shared" si="188"/>
        <v>3.5625</v>
      </c>
      <c r="AB726" s="1">
        <f t="shared" si="189"/>
        <v>3.4446808510638305</v>
      </c>
      <c r="AC726" s="1">
        <f t="shared" si="190"/>
        <v>0</v>
      </c>
      <c r="AD726" s="1">
        <f t="shared" si="191"/>
        <v>4.4399975477789604E-3</v>
      </c>
    </row>
    <row r="727" spans="1:30" x14ac:dyDescent="0.35">
      <c r="A727" t="s">
        <v>1459</v>
      </c>
      <c r="B727" t="s">
        <v>29</v>
      </c>
      <c r="C727" t="s">
        <v>36</v>
      </c>
      <c r="D727" t="s">
        <v>17</v>
      </c>
      <c r="E727">
        <v>45</v>
      </c>
      <c r="F727" t="s">
        <v>70</v>
      </c>
      <c r="G727" t="s">
        <v>71</v>
      </c>
      <c r="H727" t="s">
        <v>1325</v>
      </c>
      <c r="I727">
        <v>8</v>
      </c>
      <c r="J727">
        <v>9</v>
      </c>
      <c r="K727">
        <v>498104</v>
      </c>
      <c r="L727">
        <v>3.4</v>
      </c>
      <c r="M727" t="s">
        <v>21</v>
      </c>
      <c r="N727">
        <v>63</v>
      </c>
      <c r="O727">
        <f t="shared" si="176"/>
        <v>275</v>
      </c>
      <c r="P727">
        <f t="shared" si="177"/>
        <v>140</v>
      </c>
      <c r="Q727">
        <f t="shared" si="178"/>
        <v>135</v>
      </c>
      <c r="R727">
        <f t="shared" si="179"/>
        <v>49.650349650349654</v>
      </c>
      <c r="S727" s="1">
        <f t="shared" si="180"/>
        <v>50.24975024975025</v>
      </c>
      <c r="T727" s="1">
        <f t="shared" si="181"/>
        <v>127</v>
      </c>
      <c r="U727" s="1">
        <f t="shared" si="182"/>
        <v>148</v>
      </c>
      <c r="V727" s="1">
        <f t="shared" si="183"/>
        <v>47.5</v>
      </c>
      <c r="W727" s="1">
        <f t="shared" si="184"/>
        <v>52.5</v>
      </c>
      <c r="X727" s="1">
        <f t="shared" si="185"/>
        <v>14.574545454545454</v>
      </c>
      <c r="Y727" s="1">
        <f t="shared" si="186"/>
        <v>40</v>
      </c>
      <c r="Z727" s="1">
        <f t="shared" si="187"/>
        <v>47</v>
      </c>
      <c r="AA727" s="1">
        <f t="shared" si="188"/>
        <v>3.5625</v>
      </c>
      <c r="AB727" s="1">
        <f t="shared" si="189"/>
        <v>3.4446808510638305</v>
      </c>
      <c r="AC727" s="1">
        <f t="shared" si="190"/>
        <v>1</v>
      </c>
      <c r="AD727" s="1">
        <f t="shared" si="191"/>
        <v>5.1136779918471214E-3</v>
      </c>
    </row>
    <row r="728" spans="1:30" x14ac:dyDescent="0.35">
      <c r="A728" t="s">
        <v>1460</v>
      </c>
      <c r="B728" t="s">
        <v>40</v>
      </c>
      <c r="C728" t="s">
        <v>49</v>
      </c>
      <c r="D728" t="s">
        <v>17</v>
      </c>
      <c r="E728">
        <v>22</v>
      </c>
      <c r="F728" t="s">
        <v>79</v>
      </c>
      <c r="G728" t="s">
        <v>71</v>
      </c>
      <c r="H728" t="s">
        <v>1461</v>
      </c>
      <c r="I728">
        <v>9</v>
      </c>
      <c r="J728">
        <v>9</v>
      </c>
      <c r="K728">
        <v>108344</v>
      </c>
      <c r="L728">
        <v>4.0999999999999996</v>
      </c>
      <c r="M728" t="s">
        <v>43</v>
      </c>
      <c r="N728">
        <v>76</v>
      </c>
      <c r="O728">
        <f t="shared" si="176"/>
        <v>274</v>
      </c>
      <c r="P728">
        <f t="shared" si="177"/>
        <v>139</v>
      </c>
      <c r="Q728">
        <f t="shared" si="178"/>
        <v>135</v>
      </c>
      <c r="R728">
        <f t="shared" si="179"/>
        <v>49.650349650349654</v>
      </c>
      <c r="S728" s="1">
        <f t="shared" si="180"/>
        <v>50.24975024975025</v>
      </c>
      <c r="T728" s="1">
        <f t="shared" si="181"/>
        <v>126</v>
      </c>
      <c r="U728" s="1">
        <f t="shared" si="182"/>
        <v>148</v>
      </c>
      <c r="V728" s="1">
        <f t="shared" si="183"/>
        <v>47.5</v>
      </c>
      <c r="W728" s="1">
        <f t="shared" si="184"/>
        <v>52.5</v>
      </c>
      <c r="X728" s="1">
        <f t="shared" si="185"/>
        <v>14.594890510948906</v>
      </c>
      <c r="Y728" s="1">
        <f t="shared" si="186"/>
        <v>40</v>
      </c>
      <c r="Z728" s="1">
        <f t="shared" si="187"/>
        <v>47</v>
      </c>
      <c r="AA728" s="1">
        <f t="shared" si="188"/>
        <v>3.5625</v>
      </c>
      <c r="AB728" s="1">
        <f t="shared" si="189"/>
        <v>3.4446808510638305</v>
      </c>
      <c r="AC728" s="1">
        <f t="shared" si="190"/>
        <v>0</v>
      </c>
      <c r="AD728" s="1">
        <f t="shared" si="191"/>
        <v>8.1996434736107786E-3</v>
      </c>
    </row>
    <row r="729" spans="1:30" x14ac:dyDescent="0.35">
      <c r="A729" t="s">
        <v>1462</v>
      </c>
      <c r="B729" t="s">
        <v>23</v>
      </c>
      <c r="C729" t="s">
        <v>36</v>
      </c>
      <c r="D729" t="s">
        <v>25</v>
      </c>
      <c r="E729">
        <v>28</v>
      </c>
      <c r="F729" t="s">
        <v>31</v>
      </c>
      <c r="G729" t="s">
        <v>41</v>
      </c>
      <c r="H729" t="s">
        <v>1013</v>
      </c>
      <c r="I729">
        <v>0</v>
      </c>
      <c r="J729">
        <v>0</v>
      </c>
      <c r="K729">
        <v>80482</v>
      </c>
      <c r="L729">
        <v>3.4</v>
      </c>
      <c r="M729" t="s">
        <v>21</v>
      </c>
      <c r="N729">
        <v>62</v>
      </c>
      <c r="O729">
        <f t="shared" si="176"/>
        <v>273</v>
      </c>
      <c r="P729">
        <f t="shared" si="177"/>
        <v>138</v>
      </c>
      <c r="Q729">
        <f t="shared" si="178"/>
        <v>135</v>
      </c>
      <c r="R729">
        <f t="shared" si="179"/>
        <v>49.650349650349654</v>
      </c>
      <c r="S729" s="1">
        <f t="shared" si="180"/>
        <v>50.24975024975025</v>
      </c>
      <c r="T729" s="1">
        <f t="shared" si="181"/>
        <v>126</v>
      </c>
      <c r="U729" s="1">
        <f t="shared" si="182"/>
        <v>147</v>
      </c>
      <c r="V729" s="1">
        <f t="shared" si="183"/>
        <v>47.5</v>
      </c>
      <c r="W729" s="1">
        <f t="shared" si="184"/>
        <v>52.5</v>
      </c>
      <c r="X729" s="1">
        <f t="shared" si="185"/>
        <v>14.615384615384615</v>
      </c>
      <c r="Y729" s="1">
        <f t="shared" si="186"/>
        <v>40</v>
      </c>
      <c r="Z729" s="1">
        <f t="shared" si="187"/>
        <v>47</v>
      </c>
      <c r="AA729" s="1">
        <f t="shared" si="188"/>
        <v>3.5625</v>
      </c>
      <c r="AB729" s="1">
        <f t="shared" si="189"/>
        <v>3.4446808510638305</v>
      </c>
      <c r="AC729" s="1">
        <f t="shared" si="190"/>
        <v>1</v>
      </c>
      <c r="AD729" s="1">
        <f t="shared" si="191"/>
        <v>5.582261574170088E-3</v>
      </c>
    </row>
    <row r="730" spans="1:30" x14ac:dyDescent="0.35">
      <c r="A730" t="s">
        <v>1463</v>
      </c>
      <c r="B730" t="s">
        <v>35</v>
      </c>
      <c r="C730" t="s">
        <v>93</v>
      </c>
      <c r="D730" t="s">
        <v>17</v>
      </c>
      <c r="E730">
        <v>24</v>
      </c>
      <c r="F730" t="s">
        <v>18</v>
      </c>
      <c r="G730" t="s">
        <v>32</v>
      </c>
      <c r="H730" t="s">
        <v>1464</v>
      </c>
      <c r="I730">
        <v>6</v>
      </c>
      <c r="J730">
        <v>13</v>
      </c>
      <c r="K730">
        <v>373395</v>
      </c>
      <c r="L730">
        <v>3.3</v>
      </c>
      <c r="M730" t="s">
        <v>21</v>
      </c>
      <c r="N730">
        <v>34</v>
      </c>
      <c r="O730">
        <f t="shared" si="176"/>
        <v>272</v>
      </c>
      <c r="P730">
        <f t="shared" si="177"/>
        <v>138</v>
      </c>
      <c r="Q730">
        <f t="shared" si="178"/>
        <v>134</v>
      </c>
      <c r="R730">
        <f t="shared" si="179"/>
        <v>49.650349650349654</v>
      </c>
      <c r="S730" s="1">
        <f t="shared" si="180"/>
        <v>50.24975024975025</v>
      </c>
      <c r="T730" s="1">
        <f t="shared" si="181"/>
        <v>125</v>
      </c>
      <c r="U730" s="1">
        <f t="shared" si="182"/>
        <v>147</v>
      </c>
      <c r="V730" s="1">
        <f t="shared" si="183"/>
        <v>47.5</v>
      </c>
      <c r="W730" s="1">
        <f t="shared" si="184"/>
        <v>52.5</v>
      </c>
      <c r="X730" s="1">
        <f t="shared" si="185"/>
        <v>14.669117647058824</v>
      </c>
      <c r="Y730" s="1">
        <f t="shared" si="186"/>
        <v>40</v>
      </c>
      <c r="Z730" s="1">
        <f t="shared" si="187"/>
        <v>46</v>
      </c>
      <c r="AA730" s="1">
        <f t="shared" si="188"/>
        <v>3.5625</v>
      </c>
      <c r="AB730" s="1">
        <f t="shared" si="189"/>
        <v>3.4456521739130439</v>
      </c>
      <c r="AC730" s="1">
        <f t="shared" si="190"/>
        <v>1</v>
      </c>
      <c r="AD730" s="1">
        <f t="shared" si="191"/>
        <v>1.3790172612246928E-2</v>
      </c>
    </row>
    <row r="731" spans="1:30" x14ac:dyDescent="0.35">
      <c r="A731" t="s">
        <v>1465</v>
      </c>
      <c r="B731" t="s">
        <v>40</v>
      </c>
      <c r="C731" t="s">
        <v>93</v>
      </c>
      <c r="D731" t="s">
        <v>25</v>
      </c>
      <c r="E731">
        <v>34</v>
      </c>
      <c r="F731" t="s">
        <v>46</v>
      </c>
      <c r="G731" t="s">
        <v>61</v>
      </c>
      <c r="H731" t="s">
        <v>1466</v>
      </c>
      <c r="I731">
        <v>13</v>
      </c>
      <c r="J731">
        <v>13</v>
      </c>
      <c r="K731">
        <v>397760</v>
      </c>
      <c r="L731">
        <v>2.1</v>
      </c>
      <c r="M731" t="s">
        <v>21</v>
      </c>
      <c r="N731">
        <v>30</v>
      </c>
      <c r="O731">
        <f t="shared" si="176"/>
        <v>271</v>
      </c>
      <c r="P731">
        <f t="shared" si="177"/>
        <v>137</v>
      </c>
      <c r="Q731">
        <f t="shared" si="178"/>
        <v>134</v>
      </c>
      <c r="R731">
        <f t="shared" si="179"/>
        <v>49.650349650349654</v>
      </c>
      <c r="S731" s="1">
        <f t="shared" si="180"/>
        <v>50.24975024975025</v>
      </c>
      <c r="T731" s="1">
        <f t="shared" si="181"/>
        <v>124</v>
      </c>
      <c r="U731" s="1">
        <f t="shared" si="182"/>
        <v>147</v>
      </c>
      <c r="V731" s="1">
        <f t="shared" si="183"/>
        <v>47.5</v>
      </c>
      <c r="W731" s="1">
        <f t="shared" si="184"/>
        <v>52.5</v>
      </c>
      <c r="X731" s="1">
        <f t="shared" si="185"/>
        <v>14.675276752767529</v>
      </c>
      <c r="Y731" s="1">
        <f t="shared" si="186"/>
        <v>40</v>
      </c>
      <c r="Z731" s="1">
        <f t="shared" si="187"/>
        <v>46</v>
      </c>
      <c r="AA731" s="1">
        <f t="shared" si="188"/>
        <v>3.5625</v>
      </c>
      <c r="AB731" s="1">
        <f t="shared" si="189"/>
        <v>3.4456521739130439</v>
      </c>
      <c r="AC731" s="1">
        <f t="shared" si="190"/>
        <v>1</v>
      </c>
      <c r="AD731" s="1">
        <f t="shared" si="191"/>
        <v>1.4758231046947623E-2</v>
      </c>
    </row>
    <row r="732" spans="1:30" x14ac:dyDescent="0.35">
      <c r="A732" t="s">
        <v>1467</v>
      </c>
      <c r="B732" t="s">
        <v>96</v>
      </c>
      <c r="C732" t="s">
        <v>24</v>
      </c>
      <c r="D732" t="s">
        <v>25</v>
      </c>
      <c r="E732">
        <v>50</v>
      </c>
      <c r="F732" t="s">
        <v>70</v>
      </c>
      <c r="G732" t="s">
        <v>71</v>
      </c>
      <c r="H732" t="s">
        <v>1468</v>
      </c>
      <c r="I732">
        <v>19</v>
      </c>
      <c r="J732">
        <v>24</v>
      </c>
      <c r="K732">
        <v>434269</v>
      </c>
      <c r="L732">
        <v>3.3</v>
      </c>
      <c r="M732" t="s">
        <v>43</v>
      </c>
      <c r="N732">
        <v>84</v>
      </c>
      <c r="O732">
        <f t="shared" si="176"/>
        <v>270</v>
      </c>
      <c r="P732">
        <f t="shared" si="177"/>
        <v>137</v>
      </c>
      <c r="Q732">
        <f t="shared" si="178"/>
        <v>133</v>
      </c>
      <c r="R732">
        <f t="shared" si="179"/>
        <v>49.650349650349654</v>
      </c>
      <c r="S732" s="1">
        <f t="shared" si="180"/>
        <v>50.24975024975025</v>
      </c>
      <c r="T732" s="1">
        <f t="shared" si="181"/>
        <v>123</v>
      </c>
      <c r="U732" s="1">
        <f t="shared" si="182"/>
        <v>147</v>
      </c>
      <c r="V732" s="1">
        <f t="shared" si="183"/>
        <v>47.5</v>
      </c>
      <c r="W732" s="1">
        <f t="shared" si="184"/>
        <v>52.5</v>
      </c>
      <c r="X732" s="1">
        <f t="shared" si="185"/>
        <v>14.681481481481482</v>
      </c>
      <c r="Y732" s="1">
        <f t="shared" si="186"/>
        <v>40</v>
      </c>
      <c r="Z732" s="1">
        <f t="shared" si="187"/>
        <v>46</v>
      </c>
      <c r="AA732" s="1">
        <f t="shared" si="188"/>
        <v>3.5625</v>
      </c>
      <c r="AB732" s="1">
        <f t="shared" si="189"/>
        <v>3.4456521739130439</v>
      </c>
      <c r="AC732" s="1">
        <f t="shared" si="190"/>
        <v>0</v>
      </c>
      <c r="AD732" s="1">
        <f t="shared" si="191"/>
        <v>1.573799844280899E-2</v>
      </c>
    </row>
    <row r="733" spans="1:30" x14ac:dyDescent="0.35">
      <c r="A733" t="s">
        <v>1469</v>
      </c>
      <c r="B733" t="s">
        <v>111</v>
      </c>
      <c r="C733" t="s">
        <v>82</v>
      </c>
      <c r="D733" t="s">
        <v>17</v>
      </c>
      <c r="E733">
        <v>35</v>
      </c>
      <c r="F733" t="s">
        <v>31</v>
      </c>
      <c r="G733" t="s">
        <v>41</v>
      </c>
      <c r="H733" t="s">
        <v>1470</v>
      </c>
      <c r="I733">
        <v>10</v>
      </c>
      <c r="J733">
        <v>12</v>
      </c>
      <c r="K733">
        <v>450082</v>
      </c>
      <c r="L733">
        <v>2.2999999999999998</v>
      </c>
      <c r="M733" t="s">
        <v>43</v>
      </c>
      <c r="N733">
        <v>86</v>
      </c>
      <c r="O733">
        <f t="shared" si="176"/>
        <v>269</v>
      </c>
      <c r="P733">
        <f t="shared" si="177"/>
        <v>137</v>
      </c>
      <c r="Q733">
        <f t="shared" si="178"/>
        <v>132</v>
      </c>
      <c r="R733">
        <f t="shared" si="179"/>
        <v>49.650349650349654</v>
      </c>
      <c r="S733" s="1">
        <f t="shared" si="180"/>
        <v>50.24975024975025</v>
      </c>
      <c r="T733" s="1">
        <f t="shared" si="181"/>
        <v>123</v>
      </c>
      <c r="U733" s="1">
        <f t="shared" si="182"/>
        <v>146</v>
      </c>
      <c r="V733" s="1">
        <f t="shared" si="183"/>
        <v>47.5</v>
      </c>
      <c r="W733" s="1">
        <f t="shared" si="184"/>
        <v>52.5</v>
      </c>
      <c r="X733" s="1">
        <f t="shared" si="185"/>
        <v>14.646840148698885</v>
      </c>
      <c r="Y733" s="1">
        <f t="shared" si="186"/>
        <v>40</v>
      </c>
      <c r="Z733" s="1">
        <f t="shared" si="187"/>
        <v>46</v>
      </c>
      <c r="AA733" s="1">
        <f t="shared" si="188"/>
        <v>3.5625</v>
      </c>
      <c r="AB733" s="1">
        <f t="shared" si="189"/>
        <v>3.4456521739130439</v>
      </c>
      <c r="AC733" s="1">
        <f t="shared" si="190"/>
        <v>0</v>
      </c>
      <c r="AD733" s="1">
        <f t="shared" si="191"/>
        <v>2.0251218660721895E-2</v>
      </c>
    </row>
    <row r="734" spans="1:30" x14ac:dyDescent="0.35">
      <c r="A734" t="s">
        <v>1471</v>
      </c>
      <c r="B734" t="s">
        <v>96</v>
      </c>
      <c r="C734" t="s">
        <v>82</v>
      </c>
      <c r="D734" t="s">
        <v>25</v>
      </c>
      <c r="E734">
        <v>29</v>
      </c>
      <c r="F734" t="s">
        <v>74</v>
      </c>
      <c r="G734" t="s">
        <v>61</v>
      </c>
      <c r="H734" t="s">
        <v>1472</v>
      </c>
      <c r="I734">
        <v>10</v>
      </c>
      <c r="J734">
        <v>20</v>
      </c>
      <c r="K734">
        <v>124399</v>
      </c>
      <c r="L734">
        <v>4.8</v>
      </c>
      <c r="M734" t="s">
        <v>21</v>
      </c>
      <c r="N734">
        <v>52</v>
      </c>
      <c r="O734">
        <f t="shared" si="176"/>
        <v>268</v>
      </c>
      <c r="P734">
        <f t="shared" si="177"/>
        <v>136</v>
      </c>
      <c r="Q734">
        <f t="shared" si="178"/>
        <v>132</v>
      </c>
      <c r="R734">
        <f t="shared" si="179"/>
        <v>49.650349650349654</v>
      </c>
      <c r="S734" s="1">
        <f t="shared" si="180"/>
        <v>50.24975024975025</v>
      </c>
      <c r="T734" s="1">
        <f t="shared" si="181"/>
        <v>123</v>
      </c>
      <c r="U734" s="1">
        <f t="shared" si="182"/>
        <v>145</v>
      </c>
      <c r="V734" s="1">
        <f t="shared" si="183"/>
        <v>47.5</v>
      </c>
      <c r="W734" s="1">
        <f t="shared" si="184"/>
        <v>52.5</v>
      </c>
      <c r="X734" s="1">
        <f t="shared" si="185"/>
        <v>14.656716417910447</v>
      </c>
      <c r="Y734" s="1">
        <f t="shared" si="186"/>
        <v>40</v>
      </c>
      <c r="Z734" s="1">
        <f t="shared" si="187"/>
        <v>45</v>
      </c>
      <c r="AA734" s="1">
        <f t="shared" si="188"/>
        <v>3.5625</v>
      </c>
      <c r="AB734" s="1">
        <f t="shared" si="189"/>
        <v>3.4711111111111115</v>
      </c>
      <c r="AC734" s="1">
        <f t="shared" si="190"/>
        <v>1</v>
      </c>
      <c r="AD734" s="1">
        <f t="shared" si="191"/>
        <v>1.9020416027266108E-2</v>
      </c>
    </row>
    <row r="735" spans="1:30" x14ac:dyDescent="0.35">
      <c r="A735" t="s">
        <v>1473</v>
      </c>
      <c r="B735" t="s">
        <v>15</v>
      </c>
      <c r="C735" t="s">
        <v>16</v>
      </c>
      <c r="D735" t="s">
        <v>25</v>
      </c>
      <c r="E735">
        <v>44</v>
      </c>
      <c r="F735" t="s">
        <v>70</v>
      </c>
      <c r="G735" t="s">
        <v>26</v>
      </c>
      <c r="H735" t="s">
        <v>1474</v>
      </c>
      <c r="I735">
        <v>8</v>
      </c>
      <c r="J735">
        <v>11</v>
      </c>
      <c r="K735">
        <v>279960</v>
      </c>
      <c r="L735">
        <v>2</v>
      </c>
      <c r="M735" t="s">
        <v>43</v>
      </c>
      <c r="N735">
        <v>81</v>
      </c>
      <c r="O735">
        <f t="shared" si="176"/>
        <v>267</v>
      </c>
      <c r="P735">
        <f t="shared" si="177"/>
        <v>136</v>
      </c>
      <c r="Q735">
        <f t="shared" si="178"/>
        <v>131</v>
      </c>
      <c r="R735">
        <f t="shared" si="179"/>
        <v>49.650349650349654</v>
      </c>
      <c r="S735" s="1">
        <f t="shared" si="180"/>
        <v>50.24975024975025</v>
      </c>
      <c r="T735" s="1">
        <f t="shared" si="181"/>
        <v>122</v>
      </c>
      <c r="U735" s="1">
        <f t="shared" si="182"/>
        <v>145</v>
      </c>
      <c r="V735" s="1">
        <f t="shared" si="183"/>
        <v>47.5</v>
      </c>
      <c r="W735" s="1">
        <f t="shared" si="184"/>
        <v>52.5</v>
      </c>
      <c r="X735" s="1">
        <f t="shared" si="185"/>
        <v>14.636704119850187</v>
      </c>
      <c r="Y735" s="1">
        <f t="shared" si="186"/>
        <v>39</v>
      </c>
      <c r="Z735" s="1">
        <f t="shared" si="187"/>
        <v>45</v>
      </c>
      <c r="AA735" s="1">
        <f t="shared" si="188"/>
        <v>3.5307692307692307</v>
      </c>
      <c r="AB735" s="1">
        <f t="shared" si="189"/>
        <v>3.4711111111111115</v>
      </c>
      <c r="AC735" s="1">
        <f t="shared" si="190"/>
        <v>0</v>
      </c>
      <c r="AD735" s="1">
        <f t="shared" si="191"/>
        <v>1.6043895731500862E-2</v>
      </c>
    </row>
    <row r="736" spans="1:30" x14ac:dyDescent="0.35">
      <c r="A736" t="s">
        <v>1475</v>
      </c>
      <c r="B736" t="s">
        <v>69</v>
      </c>
      <c r="C736" t="s">
        <v>52</v>
      </c>
      <c r="D736" t="s">
        <v>17</v>
      </c>
      <c r="E736">
        <v>33</v>
      </c>
      <c r="F736" t="s">
        <v>46</v>
      </c>
      <c r="G736" t="s">
        <v>57</v>
      </c>
      <c r="H736" t="s">
        <v>1476</v>
      </c>
      <c r="I736">
        <v>20</v>
      </c>
      <c r="J736">
        <v>20</v>
      </c>
      <c r="K736">
        <v>73911</v>
      </c>
      <c r="L736">
        <v>4.9000000000000004</v>
      </c>
      <c r="M736" t="s">
        <v>43</v>
      </c>
      <c r="N736">
        <v>84</v>
      </c>
      <c r="O736">
        <f t="shared" si="176"/>
        <v>266</v>
      </c>
      <c r="P736">
        <f t="shared" si="177"/>
        <v>136</v>
      </c>
      <c r="Q736">
        <f t="shared" si="178"/>
        <v>130</v>
      </c>
      <c r="R736">
        <f t="shared" si="179"/>
        <v>49.650349650349654</v>
      </c>
      <c r="S736" s="1">
        <f t="shared" si="180"/>
        <v>50.24975024975025</v>
      </c>
      <c r="T736" s="1">
        <f t="shared" si="181"/>
        <v>122</v>
      </c>
      <c r="U736" s="1">
        <f t="shared" si="182"/>
        <v>144</v>
      </c>
      <c r="V736" s="1">
        <f t="shared" si="183"/>
        <v>47.5</v>
      </c>
      <c r="W736" s="1">
        <f t="shared" si="184"/>
        <v>52.5</v>
      </c>
      <c r="X736" s="1">
        <f t="shared" si="185"/>
        <v>14.650375939849624</v>
      </c>
      <c r="Y736" s="1">
        <f t="shared" si="186"/>
        <v>39</v>
      </c>
      <c r="Z736" s="1">
        <f t="shared" si="187"/>
        <v>45</v>
      </c>
      <c r="AA736" s="1">
        <f t="shared" si="188"/>
        <v>3.5307692307692307</v>
      </c>
      <c r="AB736" s="1">
        <f t="shared" si="189"/>
        <v>3.4711111111111115</v>
      </c>
      <c r="AC736" s="1">
        <f t="shared" si="190"/>
        <v>0</v>
      </c>
      <c r="AD736" s="1">
        <f t="shared" si="191"/>
        <v>1.4326934348023884E-2</v>
      </c>
    </row>
    <row r="737" spans="1:30" x14ac:dyDescent="0.35">
      <c r="A737" t="s">
        <v>1477</v>
      </c>
      <c r="B737" t="s">
        <v>60</v>
      </c>
      <c r="C737" t="s">
        <v>52</v>
      </c>
      <c r="D737" t="s">
        <v>17</v>
      </c>
      <c r="E737">
        <v>34</v>
      </c>
      <c r="F737" t="s">
        <v>46</v>
      </c>
      <c r="G737" t="s">
        <v>26</v>
      </c>
      <c r="H737" t="s">
        <v>1478</v>
      </c>
      <c r="I737">
        <v>4</v>
      </c>
      <c r="J737">
        <v>9</v>
      </c>
      <c r="K737">
        <v>154371</v>
      </c>
      <c r="L737">
        <v>4</v>
      </c>
      <c r="M737" t="s">
        <v>43</v>
      </c>
      <c r="N737">
        <v>93</v>
      </c>
      <c r="O737">
        <f t="shared" si="176"/>
        <v>265</v>
      </c>
      <c r="P737">
        <f t="shared" si="177"/>
        <v>135</v>
      </c>
      <c r="Q737">
        <f t="shared" si="178"/>
        <v>130</v>
      </c>
      <c r="R737">
        <f t="shared" si="179"/>
        <v>49.650349650349654</v>
      </c>
      <c r="S737" s="1">
        <f t="shared" si="180"/>
        <v>50.24975024975025</v>
      </c>
      <c r="T737" s="1">
        <f t="shared" si="181"/>
        <v>122</v>
      </c>
      <c r="U737" s="1">
        <f t="shared" si="182"/>
        <v>143</v>
      </c>
      <c r="V737" s="1">
        <f t="shared" si="183"/>
        <v>47.5</v>
      </c>
      <c r="W737" s="1">
        <f t="shared" si="184"/>
        <v>52.5</v>
      </c>
      <c r="X737" s="1">
        <f t="shared" si="185"/>
        <v>14.630188679245283</v>
      </c>
      <c r="Y737" s="1">
        <f t="shared" si="186"/>
        <v>39</v>
      </c>
      <c r="Z737" s="1">
        <f t="shared" si="187"/>
        <v>45</v>
      </c>
      <c r="AA737" s="1">
        <f t="shared" si="188"/>
        <v>3.5307692307692307</v>
      </c>
      <c r="AB737" s="1">
        <f t="shared" si="189"/>
        <v>3.4711111111111115</v>
      </c>
      <c r="AC737" s="1">
        <f t="shared" si="190"/>
        <v>0</v>
      </c>
      <c r="AD737" s="1">
        <f t="shared" si="191"/>
        <v>1.6955951552211513E-2</v>
      </c>
    </row>
    <row r="738" spans="1:30" x14ac:dyDescent="0.35">
      <c r="A738" t="s">
        <v>1479</v>
      </c>
      <c r="B738" t="s">
        <v>111</v>
      </c>
      <c r="C738" t="s">
        <v>49</v>
      </c>
      <c r="D738" t="s">
        <v>17</v>
      </c>
      <c r="E738">
        <v>41</v>
      </c>
      <c r="F738" t="s">
        <v>18</v>
      </c>
      <c r="G738" t="s">
        <v>32</v>
      </c>
      <c r="H738" t="s">
        <v>1480</v>
      </c>
      <c r="I738">
        <v>18</v>
      </c>
      <c r="J738">
        <v>28</v>
      </c>
      <c r="K738">
        <v>491409</v>
      </c>
      <c r="L738">
        <v>4.7</v>
      </c>
      <c r="M738" t="s">
        <v>21</v>
      </c>
      <c r="N738">
        <v>51</v>
      </c>
      <c r="O738">
        <f t="shared" si="176"/>
        <v>264</v>
      </c>
      <c r="P738">
        <f t="shared" si="177"/>
        <v>134</v>
      </c>
      <c r="Q738">
        <f t="shared" si="178"/>
        <v>130</v>
      </c>
      <c r="R738">
        <f t="shared" si="179"/>
        <v>49.650349650349654</v>
      </c>
      <c r="S738" s="1">
        <f t="shared" si="180"/>
        <v>50.24975024975025</v>
      </c>
      <c r="T738" s="1">
        <f t="shared" si="181"/>
        <v>122</v>
      </c>
      <c r="U738" s="1">
        <f t="shared" si="182"/>
        <v>142</v>
      </c>
      <c r="V738" s="1">
        <f t="shared" si="183"/>
        <v>47.5</v>
      </c>
      <c r="W738" s="1">
        <f t="shared" si="184"/>
        <v>52.5</v>
      </c>
      <c r="X738" s="1">
        <f t="shared" si="185"/>
        <v>14.651515151515152</v>
      </c>
      <c r="Y738" s="1">
        <f t="shared" si="186"/>
        <v>39</v>
      </c>
      <c r="Z738" s="1">
        <f t="shared" si="187"/>
        <v>45</v>
      </c>
      <c r="AA738" s="1">
        <f t="shared" si="188"/>
        <v>3.5307692307692307</v>
      </c>
      <c r="AB738" s="1">
        <f t="shared" si="189"/>
        <v>3.4711111111111115</v>
      </c>
      <c r="AC738" s="1">
        <f t="shared" si="190"/>
        <v>1</v>
      </c>
      <c r="AD738" s="1">
        <f t="shared" si="191"/>
        <v>1.4258252805398879E-2</v>
      </c>
    </row>
    <row r="739" spans="1:30" x14ac:dyDescent="0.35">
      <c r="A739" t="s">
        <v>1481</v>
      </c>
      <c r="B739" t="s">
        <v>45</v>
      </c>
      <c r="C739" t="s">
        <v>24</v>
      </c>
      <c r="D739" t="s">
        <v>17</v>
      </c>
      <c r="E739">
        <v>22</v>
      </c>
      <c r="F739" t="s">
        <v>31</v>
      </c>
      <c r="G739" t="s">
        <v>19</v>
      </c>
      <c r="H739" t="s">
        <v>1482</v>
      </c>
      <c r="I739">
        <v>15</v>
      </c>
      <c r="J739">
        <v>23</v>
      </c>
      <c r="K739">
        <v>188493</v>
      </c>
      <c r="L739">
        <v>3</v>
      </c>
      <c r="M739" t="s">
        <v>21</v>
      </c>
      <c r="N739">
        <v>32</v>
      </c>
      <c r="O739">
        <f t="shared" si="176"/>
        <v>263</v>
      </c>
      <c r="P739">
        <f t="shared" si="177"/>
        <v>133</v>
      </c>
      <c r="Q739">
        <f t="shared" si="178"/>
        <v>130</v>
      </c>
      <c r="R739">
        <f t="shared" si="179"/>
        <v>49.650349650349654</v>
      </c>
      <c r="S739" s="1">
        <f t="shared" si="180"/>
        <v>50.24975024975025</v>
      </c>
      <c r="T739" s="1">
        <f t="shared" si="181"/>
        <v>121</v>
      </c>
      <c r="U739" s="1">
        <f t="shared" si="182"/>
        <v>142</v>
      </c>
      <c r="V739" s="1">
        <f t="shared" si="183"/>
        <v>47.5</v>
      </c>
      <c r="W739" s="1">
        <f t="shared" si="184"/>
        <v>52.5</v>
      </c>
      <c r="X739" s="1">
        <f t="shared" si="185"/>
        <v>14.600760456273765</v>
      </c>
      <c r="Y739" s="1">
        <f t="shared" si="186"/>
        <v>39</v>
      </c>
      <c r="Z739" s="1">
        <f t="shared" si="187"/>
        <v>45</v>
      </c>
      <c r="AA739" s="1">
        <f t="shared" si="188"/>
        <v>3.5307692307692307</v>
      </c>
      <c r="AB739" s="1">
        <f t="shared" si="189"/>
        <v>3.4711111111111115</v>
      </c>
      <c r="AC739" s="1">
        <f t="shared" si="190"/>
        <v>1</v>
      </c>
      <c r="AD739" s="1">
        <f t="shared" si="191"/>
        <v>6.713584862256922E-3</v>
      </c>
    </row>
    <row r="740" spans="1:30" x14ac:dyDescent="0.35">
      <c r="A740" t="s">
        <v>1483</v>
      </c>
      <c r="B740" t="s">
        <v>45</v>
      </c>
      <c r="C740" t="s">
        <v>93</v>
      </c>
      <c r="D740" t="s">
        <v>25</v>
      </c>
      <c r="E740">
        <v>58</v>
      </c>
      <c r="F740" t="s">
        <v>79</v>
      </c>
      <c r="G740" t="s">
        <v>57</v>
      </c>
      <c r="H740" t="s">
        <v>1484</v>
      </c>
      <c r="I740">
        <v>10</v>
      </c>
      <c r="J740">
        <v>13</v>
      </c>
      <c r="K740">
        <v>264935</v>
      </c>
      <c r="L740">
        <v>2.4</v>
      </c>
      <c r="M740" t="s">
        <v>21</v>
      </c>
      <c r="N740">
        <v>54</v>
      </c>
      <c r="O740">
        <f t="shared" si="176"/>
        <v>262</v>
      </c>
      <c r="P740">
        <f t="shared" si="177"/>
        <v>132</v>
      </c>
      <c r="Q740">
        <f t="shared" si="178"/>
        <v>130</v>
      </c>
      <c r="R740">
        <f t="shared" si="179"/>
        <v>49.650349650349654</v>
      </c>
      <c r="S740" s="1">
        <f t="shared" si="180"/>
        <v>50.24975024975025</v>
      </c>
      <c r="T740" s="1">
        <f t="shared" si="181"/>
        <v>120</v>
      </c>
      <c r="U740" s="1">
        <f t="shared" si="182"/>
        <v>142</v>
      </c>
      <c r="V740" s="1">
        <f t="shared" si="183"/>
        <v>47.5</v>
      </c>
      <c r="W740" s="1">
        <f t="shared" si="184"/>
        <v>52.5</v>
      </c>
      <c r="X740" s="1">
        <f t="shared" si="185"/>
        <v>14.568702290076336</v>
      </c>
      <c r="Y740" s="1">
        <f t="shared" si="186"/>
        <v>39</v>
      </c>
      <c r="Z740" s="1">
        <f t="shared" si="187"/>
        <v>44</v>
      </c>
      <c r="AA740" s="1">
        <f t="shared" si="188"/>
        <v>3.5307692307692307</v>
      </c>
      <c r="AB740" s="1">
        <f t="shared" si="189"/>
        <v>3.4818181818181824</v>
      </c>
      <c r="AC740" s="1">
        <f t="shared" si="190"/>
        <v>1</v>
      </c>
      <c r="AD740" s="1">
        <f t="shared" si="191"/>
        <v>1.8777431697423179E-3</v>
      </c>
    </row>
    <row r="741" spans="1:30" x14ac:dyDescent="0.35">
      <c r="A741" t="s">
        <v>1485</v>
      </c>
      <c r="B741" t="s">
        <v>69</v>
      </c>
      <c r="C741" t="s">
        <v>24</v>
      </c>
      <c r="D741" t="s">
        <v>17</v>
      </c>
      <c r="E741">
        <v>57</v>
      </c>
      <c r="F741" t="s">
        <v>18</v>
      </c>
      <c r="G741" t="s">
        <v>57</v>
      </c>
      <c r="H741" t="s">
        <v>1486</v>
      </c>
      <c r="I741">
        <v>0</v>
      </c>
      <c r="J741">
        <v>3</v>
      </c>
      <c r="K741">
        <v>298783</v>
      </c>
      <c r="L741">
        <v>3.3</v>
      </c>
      <c r="M741" t="s">
        <v>21</v>
      </c>
      <c r="N741">
        <v>54</v>
      </c>
      <c r="O741">
        <f t="shared" si="176"/>
        <v>261</v>
      </c>
      <c r="P741">
        <f t="shared" si="177"/>
        <v>132</v>
      </c>
      <c r="Q741">
        <f t="shared" si="178"/>
        <v>129</v>
      </c>
      <c r="R741">
        <f t="shared" si="179"/>
        <v>49.650349650349654</v>
      </c>
      <c r="S741" s="1">
        <f t="shared" si="180"/>
        <v>50.24975024975025</v>
      </c>
      <c r="T741" s="1">
        <f t="shared" si="181"/>
        <v>119</v>
      </c>
      <c r="U741" s="1">
        <f t="shared" si="182"/>
        <v>142</v>
      </c>
      <c r="V741" s="1">
        <f t="shared" si="183"/>
        <v>47.5</v>
      </c>
      <c r="W741" s="1">
        <f t="shared" si="184"/>
        <v>52.5</v>
      </c>
      <c r="X741" s="1">
        <f t="shared" si="185"/>
        <v>14.574712643678161</v>
      </c>
      <c r="Y741" s="1">
        <f t="shared" si="186"/>
        <v>39</v>
      </c>
      <c r="Z741" s="1">
        <f t="shared" si="187"/>
        <v>44</v>
      </c>
      <c r="AA741" s="1">
        <f t="shared" si="188"/>
        <v>3.5307692307692307</v>
      </c>
      <c r="AB741" s="1">
        <f t="shared" si="189"/>
        <v>3.4818181818181824</v>
      </c>
      <c r="AC741" s="1">
        <f t="shared" si="190"/>
        <v>1</v>
      </c>
      <c r="AD741" s="1">
        <f t="shared" si="191"/>
        <v>2.7971316913397142E-3</v>
      </c>
    </row>
    <row r="742" spans="1:30" x14ac:dyDescent="0.35">
      <c r="A742" t="s">
        <v>1487</v>
      </c>
      <c r="B742" t="s">
        <v>111</v>
      </c>
      <c r="C742" t="s">
        <v>56</v>
      </c>
      <c r="D742" t="s">
        <v>17</v>
      </c>
      <c r="E742">
        <v>50</v>
      </c>
      <c r="F742" t="s">
        <v>79</v>
      </c>
      <c r="G742" t="s">
        <v>32</v>
      </c>
      <c r="H742" t="s">
        <v>1488</v>
      </c>
      <c r="I742">
        <v>8</v>
      </c>
      <c r="J742">
        <v>13</v>
      </c>
      <c r="K742">
        <v>96787</v>
      </c>
      <c r="L742">
        <v>2.6</v>
      </c>
      <c r="M742" t="s">
        <v>21</v>
      </c>
      <c r="N742">
        <v>50</v>
      </c>
      <c r="O742">
        <f t="shared" si="176"/>
        <v>260</v>
      </c>
      <c r="P742">
        <f t="shared" si="177"/>
        <v>131</v>
      </c>
      <c r="Q742">
        <f t="shared" si="178"/>
        <v>129</v>
      </c>
      <c r="R742">
        <f t="shared" si="179"/>
        <v>49.650349650349654</v>
      </c>
      <c r="S742" s="1">
        <f t="shared" si="180"/>
        <v>50.24975024975025</v>
      </c>
      <c r="T742" s="1">
        <f t="shared" si="181"/>
        <v>118</v>
      </c>
      <c r="U742" s="1">
        <f t="shared" si="182"/>
        <v>142</v>
      </c>
      <c r="V742" s="1">
        <f t="shared" si="183"/>
        <v>47.5</v>
      </c>
      <c r="W742" s="1">
        <f t="shared" si="184"/>
        <v>52.5</v>
      </c>
      <c r="X742" s="1">
        <f t="shared" si="185"/>
        <v>14.61923076923077</v>
      </c>
      <c r="Y742" s="1">
        <f t="shared" si="186"/>
        <v>39</v>
      </c>
      <c r="Z742" s="1">
        <f t="shared" si="187"/>
        <v>44</v>
      </c>
      <c r="AA742" s="1">
        <f t="shared" si="188"/>
        <v>3.5307692307692307</v>
      </c>
      <c r="AB742" s="1">
        <f t="shared" si="189"/>
        <v>3.4818181818181824</v>
      </c>
      <c r="AC742" s="1">
        <f t="shared" si="190"/>
        <v>1</v>
      </c>
      <c r="AD742" s="1">
        <f t="shared" si="191"/>
        <v>9.644461132222594E-3</v>
      </c>
    </row>
    <row r="743" spans="1:30" x14ac:dyDescent="0.35">
      <c r="A743" t="s">
        <v>1489</v>
      </c>
      <c r="B743" t="s">
        <v>78</v>
      </c>
      <c r="C743" t="s">
        <v>82</v>
      </c>
      <c r="D743" t="s">
        <v>25</v>
      </c>
      <c r="E743">
        <v>54</v>
      </c>
      <c r="F743" t="s">
        <v>74</v>
      </c>
      <c r="G743" t="s">
        <v>57</v>
      </c>
      <c r="H743" t="s">
        <v>1490</v>
      </c>
      <c r="I743">
        <v>7</v>
      </c>
      <c r="J743">
        <v>17</v>
      </c>
      <c r="K743">
        <v>348862</v>
      </c>
      <c r="L743">
        <v>3.6</v>
      </c>
      <c r="M743" t="s">
        <v>21</v>
      </c>
      <c r="N743">
        <v>61</v>
      </c>
      <c r="O743">
        <f t="shared" si="176"/>
        <v>259</v>
      </c>
      <c r="P743">
        <f t="shared" si="177"/>
        <v>130</v>
      </c>
      <c r="Q743">
        <f t="shared" si="178"/>
        <v>129</v>
      </c>
      <c r="R743">
        <f t="shared" si="179"/>
        <v>49.650349650349654</v>
      </c>
      <c r="S743" s="1">
        <f t="shared" si="180"/>
        <v>50.24975024975025</v>
      </c>
      <c r="T743" s="1">
        <f t="shared" si="181"/>
        <v>117</v>
      </c>
      <c r="U743" s="1">
        <f t="shared" si="182"/>
        <v>142</v>
      </c>
      <c r="V743" s="1">
        <f t="shared" si="183"/>
        <v>47.5</v>
      </c>
      <c r="W743" s="1">
        <f t="shared" si="184"/>
        <v>52.5</v>
      </c>
      <c r="X743" s="1">
        <f t="shared" si="185"/>
        <v>14.625482625482626</v>
      </c>
      <c r="Y743" s="1">
        <f t="shared" si="186"/>
        <v>39</v>
      </c>
      <c r="Z743" s="1">
        <f t="shared" si="187"/>
        <v>44</v>
      </c>
      <c r="AA743" s="1">
        <f t="shared" si="188"/>
        <v>3.5307692307692307</v>
      </c>
      <c r="AB743" s="1">
        <f t="shared" si="189"/>
        <v>3.4818181818181824</v>
      </c>
      <c r="AC743" s="1">
        <f t="shared" si="190"/>
        <v>1</v>
      </c>
      <c r="AD743" s="1">
        <f t="shared" si="191"/>
        <v>1.0628939538441512E-2</v>
      </c>
    </row>
    <row r="744" spans="1:30" x14ac:dyDescent="0.35">
      <c r="A744" t="s">
        <v>1491</v>
      </c>
      <c r="B744" t="s">
        <v>29</v>
      </c>
      <c r="C744" t="s">
        <v>24</v>
      </c>
      <c r="D744" t="s">
        <v>17</v>
      </c>
      <c r="E744">
        <v>39</v>
      </c>
      <c r="F744" t="s">
        <v>37</v>
      </c>
      <c r="G744" t="s">
        <v>32</v>
      </c>
      <c r="H744" t="s">
        <v>1492</v>
      </c>
      <c r="I744">
        <v>0</v>
      </c>
      <c r="J744">
        <v>4</v>
      </c>
      <c r="K744">
        <v>406301</v>
      </c>
      <c r="L744">
        <v>2.8</v>
      </c>
      <c r="M744" t="s">
        <v>21</v>
      </c>
      <c r="N744">
        <v>44</v>
      </c>
      <c r="O744">
        <f t="shared" si="176"/>
        <v>258</v>
      </c>
      <c r="P744">
        <f t="shared" si="177"/>
        <v>130</v>
      </c>
      <c r="Q744">
        <f t="shared" si="178"/>
        <v>128</v>
      </c>
      <c r="R744">
        <f t="shared" si="179"/>
        <v>49.650349650349654</v>
      </c>
      <c r="S744" s="1">
        <f t="shared" si="180"/>
        <v>50.24975024975025</v>
      </c>
      <c r="T744" s="1">
        <f t="shared" si="181"/>
        <v>116</v>
      </c>
      <c r="U744" s="1">
        <f t="shared" si="182"/>
        <v>142</v>
      </c>
      <c r="V744" s="1">
        <f t="shared" si="183"/>
        <v>47.5</v>
      </c>
      <c r="W744" s="1">
        <f t="shared" si="184"/>
        <v>52.5</v>
      </c>
      <c r="X744" s="1">
        <f t="shared" si="185"/>
        <v>14.616279069767442</v>
      </c>
      <c r="Y744" s="1">
        <f t="shared" si="186"/>
        <v>38</v>
      </c>
      <c r="Z744" s="1">
        <f t="shared" si="187"/>
        <v>44</v>
      </c>
      <c r="AA744" s="1">
        <f t="shared" si="188"/>
        <v>3.5289473684210519</v>
      </c>
      <c r="AB744" s="1">
        <f t="shared" si="189"/>
        <v>3.4818181818181824</v>
      </c>
      <c r="AC744" s="1">
        <f t="shared" si="190"/>
        <v>1</v>
      </c>
      <c r="AD744" s="1">
        <f t="shared" si="191"/>
        <v>9.237879473730724E-3</v>
      </c>
    </row>
    <row r="745" spans="1:30" x14ac:dyDescent="0.35">
      <c r="A745" t="s">
        <v>1493</v>
      </c>
      <c r="B745" t="s">
        <v>69</v>
      </c>
      <c r="C745" t="s">
        <v>49</v>
      </c>
      <c r="D745" t="s">
        <v>17</v>
      </c>
      <c r="E745">
        <v>24</v>
      </c>
      <c r="F745" t="s">
        <v>31</v>
      </c>
      <c r="G745" t="s">
        <v>71</v>
      </c>
      <c r="H745" t="s">
        <v>1494</v>
      </c>
      <c r="I745">
        <v>15</v>
      </c>
      <c r="J745">
        <v>19</v>
      </c>
      <c r="K745">
        <v>86404</v>
      </c>
      <c r="L745">
        <v>3</v>
      </c>
      <c r="M745" t="s">
        <v>21</v>
      </c>
      <c r="N745">
        <v>70</v>
      </c>
      <c r="O745">
        <f t="shared" si="176"/>
        <v>257</v>
      </c>
      <c r="P745">
        <f t="shared" si="177"/>
        <v>129</v>
      </c>
      <c r="Q745">
        <f t="shared" si="178"/>
        <v>128</v>
      </c>
      <c r="R745">
        <f t="shared" si="179"/>
        <v>49.650349650349654</v>
      </c>
      <c r="S745" s="1">
        <f t="shared" si="180"/>
        <v>50.24975024975025</v>
      </c>
      <c r="T745" s="1">
        <f t="shared" si="181"/>
        <v>115</v>
      </c>
      <c r="U745" s="1">
        <f t="shared" si="182"/>
        <v>142</v>
      </c>
      <c r="V745" s="1">
        <f t="shared" si="183"/>
        <v>47.5</v>
      </c>
      <c r="W745" s="1">
        <f t="shared" si="184"/>
        <v>52.5</v>
      </c>
      <c r="X745" s="1">
        <f t="shared" si="185"/>
        <v>14.657587548638132</v>
      </c>
      <c r="Y745" s="1">
        <f t="shared" si="186"/>
        <v>38</v>
      </c>
      <c r="Z745" s="1">
        <f t="shared" si="187"/>
        <v>44</v>
      </c>
      <c r="AA745" s="1">
        <f t="shared" si="188"/>
        <v>3.5289473684210519</v>
      </c>
      <c r="AB745" s="1">
        <f t="shared" si="189"/>
        <v>3.4818181818181824</v>
      </c>
      <c r="AC745" s="1">
        <f t="shared" si="190"/>
        <v>1</v>
      </c>
      <c r="AD745" s="1">
        <f t="shared" si="191"/>
        <v>1.5708451320138147E-2</v>
      </c>
    </row>
    <row r="746" spans="1:30" x14ac:dyDescent="0.35">
      <c r="A746" t="s">
        <v>1495</v>
      </c>
      <c r="B746" t="s">
        <v>96</v>
      </c>
      <c r="C746" t="s">
        <v>30</v>
      </c>
      <c r="D746" t="s">
        <v>17</v>
      </c>
      <c r="E746">
        <v>47</v>
      </c>
      <c r="F746" t="s">
        <v>37</v>
      </c>
      <c r="G746" t="s">
        <v>71</v>
      </c>
      <c r="H746" t="s">
        <v>1496</v>
      </c>
      <c r="I746">
        <v>14</v>
      </c>
      <c r="J746">
        <v>24</v>
      </c>
      <c r="K746">
        <v>494164</v>
      </c>
      <c r="L746">
        <v>2.6</v>
      </c>
      <c r="M746" t="s">
        <v>43</v>
      </c>
      <c r="N746">
        <v>79</v>
      </c>
      <c r="O746">
        <f t="shared" si="176"/>
        <v>256</v>
      </c>
      <c r="P746">
        <f t="shared" si="177"/>
        <v>128</v>
      </c>
      <c r="Q746">
        <f t="shared" si="178"/>
        <v>128</v>
      </c>
      <c r="R746">
        <f t="shared" si="179"/>
        <v>49.650349650349654</v>
      </c>
      <c r="S746" s="1">
        <f t="shared" si="180"/>
        <v>50.24975024975025</v>
      </c>
      <c r="T746" s="1">
        <f t="shared" si="181"/>
        <v>114</v>
      </c>
      <c r="U746" s="1">
        <f t="shared" si="182"/>
        <v>142</v>
      </c>
      <c r="V746" s="1">
        <f t="shared" si="183"/>
        <v>47.5</v>
      </c>
      <c r="W746" s="1">
        <f t="shared" si="184"/>
        <v>52.5</v>
      </c>
      <c r="X746" s="1">
        <f t="shared" si="185"/>
        <v>14.640625</v>
      </c>
      <c r="Y746" s="1">
        <f t="shared" si="186"/>
        <v>38</v>
      </c>
      <c r="Z746" s="1">
        <f t="shared" si="187"/>
        <v>43</v>
      </c>
      <c r="AA746" s="1">
        <f t="shared" si="188"/>
        <v>3.5289473684210519</v>
      </c>
      <c r="AB746" s="1">
        <f t="shared" si="189"/>
        <v>3.493023255813954</v>
      </c>
      <c r="AC746" s="1">
        <f t="shared" si="190"/>
        <v>0</v>
      </c>
      <c r="AD746" s="1">
        <f t="shared" si="191"/>
        <v>1.3117853597273518E-2</v>
      </c>
    </row>
    <row r="747" spans="1:30" x14ac:dyDescent="0.35">
      <c r="A747" t="s">
        <v>1497</v>
      </c>
      <c r="B747" t="s">
        <v>96</v>
      </c>
      <c r="C747" t="s">
        <v>30</v>
      </c>
      <c r="D747" t="s">
        <v>25</v>
      </c>
      <c r="E747">
        <v>50</v>
      </c>
      <c r="F747" t="s">
        <v>70</v>
      </c>
      <c r="G747" t="s">
        <v>57</v>
      </c>
      <c r="H747" t="s">
        <v>1498</v>
      </c>
      <c r="I747">
        <v>0</v>
      </c>
      <c r="J747">
        <v>9</v>
      </c>
      <c r="K747">
        <v>287258</v>
      </c>
      <c r="L747">
        <v>3.6</v>
      </c>
      <c r="M747" t="s">
        <v>43</v>
      </c>
      <c r="N747">
        <v>76</v>
      </c>
      <c r="O747">
        <f t="shared" si="176"/>
        <v>255</v>
      </c>
      <c r="P747">
        <f t="shared" si="177"/>
        <v>127</v>
      </c>
      <c r="Q747">
        <f t="shared" si="178"/>
        <v>128</v>
      </c>
      <c r="R747">
        <f t="shared" si="179"/>
        <v>49.650349650349654</v>
      </c>
      <c r="S747" s="1">
        <f t="shared" si="180"/>
        <v>50.24975024975025</v>
      </c>
      <c r="T747" s="1">
        <f t="shared" si="181"/>
        <v>114</v>
      </c>
      <c r="U747" s="1">
        <f t="shared" si="182"/>
        <v>141</v>
      </c>
      <c r="V747" s="1">
        <f t="shared" si="183"/>
        <v>47.5</v>
      </c>
      <c r="W747" s="1">
        <f t="shared" si="184"/>
        <v>52.5</v>
      </c>
      <c r="X747" s="1">
        <f t="shared" si="185"/>
        <v>14.603921568627451</v>
      </c>
      <c r="Y747" s="1">
        <f t="shared" si="186"/>
        <v>38</v>
      </c>
      <c r="Z747" s="1">
        <f t="shared" si="187"/>
        <v>43</v>
      </c>
      <c r="AA747" s="1">
        <f t="shared" si="188"/>
        <v>3.5289473684210519</v>
      </c>
      <c r="AB747" s="1">
        <f t="shared" si="189"/>
        <v>3.493023255813954</v>
      </c>
      <c r="AC747" s="1">
        <f t="shared" si="190"/>
        <v>0</v>
      </c>
      <c r="AD747" s="1">
        <f t="shared" si="191"/>
        <v>1.7791219711102098E-2</v>
      </c>
    </row>
    <row r="748" spans="1:30" x14ac:dyDescent="0.35">
      <c r="A748" t="s">
        <v>1499</v>
      </c>
      <c r="B748" t="s">
        <v>45</v>
      </c>
      <c r="C748" t="s">
        <v>56</v>
      </c>
      <c r="D748" t="s">
        <v>25</v>
      </c>
      <c r="E748">
        <v>29</v>
      </c>
      <c r="F748" t="s">
        <v>46</v>
      </c>
      <c r="G748" t="s">
        <v>88</v>
      </c>
      <c r="H748" t="s">
        <v>1500</v>
      </c>
      <c r="I748">
        <v>2</v>
      </c>
      <c r="J748">
        <v>11</v>
      </c>
      <c r="K748">
        <v>91627</v>
      </c>
      <c r="L748">
        <v>4.7</v>
      </c>
      <c r="M748" t="s">
        <v>43</v>
      </c>
      <c r="N748">
        <v>83</v>
      </c>
      <c r="O748">
        <f t="shared" si="176"/>
        <v>254</v>
      </c>
      <c r="P748">
        <f t="shared" si="177"/>
        <v>127</v>
      </c>
      <c r="Q748">
        <f t="shared" si="178"/>
        <v>127</v>
      </c>
      <c r="R748">
        <f t="shared" si="179"/>
        <v>49.650349650349654</v>
      </c>
      <c r="S748" s="1">
        <f t="shared" si="180"/>
        <v>50.24975024975025</v>
      </c>
      <c r="T748" s="1">
        <f t="shared" si="181"/>
        <v>114</v>
      </c>
      <c r="U748" s="1">
        <f t="shared" si="182"/>
        <v>140</v>
      </c>
      <c r="V748" s="1">
        <f t="shared" si="183"/>
        <v>47.5</v>
      </c>
      <c r="W748" s="1">
        <f t="shared" si="184"/>
        <v>52.5</v>
      </c>
      <c r="X748" s="1">
        <f t="shared" si="185"/>
        <v>14.625984251968504</v>
      </c>
      <c r="Y748" s="1">
        <f t="shared" si="186"/>
        <v>38</v>
      </c>
      <c r="Z748" s="1">
        <f t="shared" si="187"/>
        <v>43</v>
      </c>
      <c r="AA748" s="1">
        <f t="shared" si="188"/>
        <v>3.5289473684210519</v>
      </c>
      <c r="AB748" s="1">
        <f t="shared" si="189"/>
        <v>3.493023255813954</v>
      </c>
      <c r="AC748" s="1">
        <f t="shared" si="190"/>
        <v>0</v>
      </c>
      <c r="AD748" s="1">
        <f t="shared" si="191"/>
        <v>1.5063113247781482E-2</v>
      </c>
    </row>
    <row r="749" spans="1:30" x14ac:dyDescent="0.35">
      <c r="A749" t="s">
        <v>1501</v>
      </c>
      <c r="B749" t="s">
        <v>69</v>
      </c>
      <c r="C749" t="s">
        <v>82</v>
      </c>
      <c r="D749" t="s">
        <v>25</v>
      </c>
      <c r="E749">
        <v>31</v>
      </c>
      <c r="F749" t="s">
        <v>46</v>
      </c>
      <c r="G749" t="s">
        <v>26</v>
      </c>
      <c r="H749" t="s">
        <v>1502</v>
      </c>
      <c r="I749">
        <v>4</v>
      </c>
      <c r="J749">
        <v>12</v>
      </c>
      <c r="K749">
        <v>178945</v>
      </c>
      <c r="L749">
        <v>4.3</v>
      </c>
      <c r="M749" t="s">
        <v>43</v>
      </c>
      <c r="N749">
        <v>100</v>
      </c>
      <c r="O749">
        <f t="shared" si="176"/>
        <v>253</v>
      </c>
      <c r="P749">
        <f t="shared" si="177"/>
        <v>127</v>
      </c>
      <c r="Q749">
        <f t="shared" si="178"/>
        <v>126</v>
      </c>
      <c r="R749">
        <f t="shared" si="179"/>
        <v>49.650349650349654</v>
      </c>
      <c r="S749" s="1">
        <f t="shared" si="180"/>
        <v>50.24975024975025</v>
      </c>
      <c r="T749" s="1">
        <f t="shared" si="181"/>
        <v>114</v>
      </c>
      <c r="U749" s="1">
        <f t="shared" si="182"/>
        <v>139</v>
      </c>
      <c r="V749" s="1">
        <f t="shared" si="183"/>
        <v>47.5</v>
      </c>
      <c r="W749" s="1">
        <f t="shared" si="184"/>
        <v>52.5</v>
      </c>
      <c r="X749" s="1">
        <f t="shared" si="185"/>
        <v>14.640316205533598</v>
      </c>
      <c r="Y749" s="1">
        <f t="shared" si="186"/>
        <v>38</v>
      </c>
      <c r="Z749" s="1">
        <f t="shared" si="187"/>
        <v>43</v>
      </c>
      <c r="AA749" s="1">
        <f t="shared" si="188"/>
        <v>3.5289473684210519</v>
      </c>
      <c r="AB749" s="1">
        <f t="shared" si="189"/>
        <v>3.493023255813954</v>
      </c>
      <c r="AC749" s="1">
        <f t="shared" si="190"/>
        <v>0</v>
      </c>
      <c r="AD749" s="1">
        <f t="shared" si="191"/>
        <v>1.3286625420206375E-2</v>
      </c>
    </row>
    <row r="750" spans="1:30" x14ac:dyDescent="0.35">
      <c r="A750" t="s">
        <v>1503</v>
      </c>
      <c r="B750" t="s">
        <v>69</v>
      </c>
      <c r="C750" t="s">
        <v>49</v>
      </c>
      <c r="D750" t="s">
        <v>17</v>
      </c>
      <c r="E750">
        <v>50</v>
      </c>
      <c r="F750" t="s">
        <v>74</v>
      </c>
      <c r="G750" t="s">
        <v>75</v>
      </c>
      <c r="H750" t="s">
        <v>1504</v>
      </c>
      <c r="I750">
        <v>7</v>
      </c>
      <c r="J750">
        <v>16</v>
      </c>
      <c r="K750">
        <v>320140</v>
      </c>
      <c r="L750">
        <v>3.8</v>
      </c>
      <c r="M750" t="s">
        <v>21</v>
      </c>
      <c r="N750">
        <v>41</v>
      </c>
      <c r="O750">
        <f t="shared" si="176"/>
        <v>252</v>
      </c>
      <c r="P750">
        <f t="shared" si="177"/>
        <v>127</v>
      </c>
      <c r="Q750">
        <f t="shared" si="178"/>
        <v>125</v>
      </c>
      <c r="R750">
        <f t="shared" si="179"/>
        <v>49.650349650349654</v>
      </c>
      <c r="S750" s="1">
        <f t="shared" si="180"/>
        <v>50.24975024975025</v>
      </c>
      <c r="T750" s="1">
        <f t="shared" si="181"/>
        <v>114</v>
      </c>
      <c r="U750" s="1">
        <f t="shared" si="182"/>
        <v>138</v>
      </c>
      <c r="V750" s="1">
        <f t="shared" si="183"/>
        <v>47.5</v>
      </c>
      <c r="W750" s="1">
        <f t="shared" si="184"/>
        <v>52.5</v>
      </c>
      <c r="X750" s="1">
        <f t="shared" si="185"/>
        <v>14.65079365079365</v>
      </c>
      <c r="Y750" s="1">
        <f t="shared" si="186"/>
        <v>38</v>
      </c>
      <c r="Z750" s="1">
        <f t="shared" si="187"/>
        <v>43</v>
      </c>
      <c r="AA750" s="1">
        <f t="shared" si="188"/>
        <v>3.5289473684210519</v>
      </c>
      <c r="AB750" s="1">
        <f t="shared" si="189"/>
        <v>3.493023255813954</v>
      </c>
      <c r="AC750" s="1">
        <f t="shared" si="190"/>
        <v>1</v>
      </c>
      <c r="AD750" s="1">
        <f t="shared" si="191"/>
        <v>1.1987303451167932E-2</v>
      </c>
    </row>
    <row r="751" spans="1:30" x14ac:dyDescent="0.35">
      <c r="A751" t="s">
        <v>1505</v>
      </c>
      <c r="B751" t="s">
        <v>55</v>
      </c>
      <c r="C751" t="s">
        <v>36</v>
      </c>
      <c r="D751" t="s">
        <v>17</v>
      </c>
      <c r="E751">
        <v>27</v>
      </c>
      <c r="F751" t="s">
        <v>18</v>
      </c>
      <c r="G751" t="s">
        <v>61</v>
      </c>
      <c r="H751" t="s">
        <v>1506</v>
      </c>
      <c r="I751">
        <v>3</v>
      </c>
      <c r="J751">
        <v>4</v>
      </c>
      <c r="K751">
        <v>442156</v>
      </c>
      <c r="L751">
        <v>3.9</v>
      </c>
      <c r="M751" t="s">
        <v>21</v>
      </c>
      <c r="N751">
        <v>43</v>
      </c>
      <c r="O751">
        <f t="shared" si="176"/>
        <v>251</v>
      </c>
      <c r="P751">
        <f t="shared" si="177"/>
        <v>126</v>
      </c>
      <c r="Q751">
        <f t="shared" si="178"/>
        <v>125</v>
      </c>
      <c r="R751">
        <f t="shared" si="179"/>
        <v>49.650349650349654</v>
      </c>
      <c r="S751" s="1">
        <f t="shared" si="180"/>
        <v>50.24975024975025</v>
      </c>
      <c r="T751" s="1">
        <f t="shared" si="181"/>
        <v>113</v>
      </c>
      <c r="U751" s="1">
        <f t="shared" si="182"/>
        <v>138</v>
      </c>
      <c r="V751" s="1">
        <f t="shared" si="183"/>
        <v>47.5</v>
      </c>
      <c r="W751" s="1">
        <f t="shared" si="184"/>
        <v>52.5</v>
      </c>
      <c r="X751" s="1">
        <f t="shared" si="185"/>
        <v>14.645418326693227</v>
      </c>
      <c r="Y751" s="1">
        <f t="shared" si="186"/>
        <v>37</v>
      </c>
      <c r="Z751" s="1">
        <f t="shared" si="187"/>
        <v>43</v>
      </c>
      <c r="AA751" s="1">
        <f t="shared" si="188"/>
        <v>3.521621621621621</v>
      </c>
      <c r="AB751" s="1">
        <f t="shared" si="189"/>
        <v>3.493023255813954</v>
      </c>
      <c r="AC751" s="1">
        <f t="shared" si="190"/>
        <v>1</v>
      </c>
      <c r="AD751" s="1">
        <f t="shared" si="191"/>
        <v>1.1192490186342812E-2</v>
      </c>
    </row>
    <row r="752" spans="1:30" x14ac:dyDescent="0.35">
      <c r="A752" t="s">
        <v>1507</v>
      </c>
      <c r="B752" t="s">
        <v>23</v>
      </c>
      <c r="C752" t="s">
        <v>64</v>
      </c>
      <c r="D752" t="s">
        <v>25</v>
      </c>
      <c r="E752">
        <v>51</v>
      </c>
      <c r="F752" t="s">
        <v>79</v>
      </c>
      <c r="G752" t="s">
        <v>75</v>
      </c>
      <c r="H752" t="s">
        <v>1508</v>
      </c>
      <c r="I752">
        <v>18</v>
      </c>
      <c r="J752">
        <v>18</v>
      </c>
      <c r="K752">
        <v>495832</v>
      </c>
      <c r="L752">
        <v>2.6</v>
      </c>
      <c r="M752" t="s">
        <v>43</v>
      </c>
      <c r="N752">
        <v>74</v>
      </c>
      <c r="O752">
        <f t="shared" si="176"/>
        <v>250</v>
      </c>
      <c r="P752">
        <f t="shared" si="177"/>
        <v>125</v>
      </c>
      <c r="Q752">
        <f t="shared" si="178"/>
        <v>125</v>
      </c>
      <c r="R752">
        <f t="shared" si="179"/>
        <v>49.650349650349654</v>
      </c>
      <c r="S752" s="1">
        <f t="shared" si="180"/>
        <v>50.24975024975025</v>
      </c>
      <c r="T752" s="1">
        <f t="shared" si="181"/>
        <v>112</v>
      </c>
      <c r="U752" s="1">
        <f t="shared" si="182"/>
        <v>138</v>
      </c>
      <c r="V752" s="1">
        <f t="shared" si="183"/>
        <v>47.5</v>
      </c>
      <c r="W752" s="1">
        <f t="shared" si="184"/>
        <v>52.5</v>
      </c>
      <c r="X752" s="1">
        <f t="shared" si="185"/>
        <v>14.688000000000001</v>
      </c>
      <c r="Y752" s="1">
        <f t="shared" si="186"/>
        <v>37</v>
      </c>
      <c r="Z752" s="1">
        <f t="shared" si="187"/>
        <v>43</v>
      </c>
      <c r="AA752" s="1">
        <f t="shared" si="188"/>
        <v>3.521621621621621</v>
      </c>
      <c r="AB752" s="1">
        <f t="shared" si="189"/>
        <v>3.493023255813954</v>
      </c>
      <c r="AC752" s="1">
        <f t="shared" si="190"/>
        <v>0</v>
      </c>
      <c r="AD752" s="1">
        <f t="shared" si="191"/>
        <v>1.7846837363543113E-2</v>
      </c>
    </row>
    <row r="753" spans="1:30" x14ac:dyDescent="0.35">
      <c r="A753" t="s">
        <v>1509</v>
      </c>
      <c r="B753" t="s">
        <v>60</v>
      </c>
      <c r="C753" t="s">
        <v>49</v>
      </c>
      <c r="D753" t="s">
        <v>25</v>
      </c>
      <c r="E753">
        <v>30</v>
      </c>
      <c r="F753" t="s">
        <v>79</v>
      </c>
      <c r="G753" t="s">
        <v>32</v>
      </c>
      <c r="H753" t="s">
        <v>1510</v>
      </c>
      <c r="I753">
        <v>9</v>
      </c>
      <c r="J753">
        <v>19</v>
      </c>
      <c r="K753">
        <v>341833</v>
      </c>
      <c r="L753">
        <v>4.4000000000000004</v>
      </c>
      <c r="M753" t="s">
        <v>21</v>
      </c>
      <c r="N753">
        <v>33</v>
      </c>
      <c r="O753">
        <f t="shared" si="176"/>
        <v>249</v>
      </c>
      <c r="P753">
        <f t="shared" si="177"/>
        <v>125</v>
      </c>
      <c r="Q753">
        <f t="shared" si="178"/>
        <v>124</v>
      </c>
      <c r="R753">
        <f t="shared" si="179"/>
        <v>49.650349650349654</v>
      </c>
      <c r="S753" s="1">
        <f t="shared" si="180"/>
        <v>50.24975024975025</v>
      </c>
      <c r="T753" s="1">
        <f t="shared" si="181"/>
        <v>112</v>
      </c>
      <c r="U753" s="1">
        <f t="shared" si="182"/>
        <v>137</v>
      </c>
      <c r="V753" s="1">
        <f t="shared" si="183"/>
        <v>47.5</v>
      </c>
      <c r="W753" s="1">
        <f t="shared" si="184"/>
        <v>52.5</v>
      </c>
      <c r="X753" s="1">
        <f t="shared" si="185"/>
        <v>14.674698795180722</v>
      </c>
      <c r="Y753" s="1">
        <f t="shared" si="186"/>
        <v>37</v>
      </c>
      <c r="Z753" s="1">
        <f t="shared" si="187"/>
        <v>43</v>
      </c>
      <c r="AA753" s="1">
        <f t="shared" si="188"/>
        <v>3.521621621621621</v>
      </c>
      <c r="AB753" s="1">
        <f t="shared" si="189"/>
        <v>3.493023255813954</v>
      </c>
      <c r="AC753" s="1">
        <f t="shared" si="190"/>
        <v>1</v>
      </c>
      <c r="AD753" s="1">
        <f t="shared" si="191"/>
        <v>1.9554588353461286E-2</v>
      </c>
    </row>
    <row r="754" spans="1:30" x14ac:dyDescent="0.35">
      <c r="A754" t="s">
        <v>1511</v>
      </c>
      <c r="B754" t="s">
        <v>35</v>
      </c>
      <c r="C754" t="s">
        <v>82</v>
      </c>
      <c r="D754" t="s">
        <v>17</v>
      </c>
      <c r="E754">
        <v>27</v>
      </c>
      <c r="F754" t="s">
        <v>79</v>
      </c>
      <c r="G754" t="s">
        <v>32</v>
      </c>
      <c r="H754" t="s">
        <v>1342</v>
      </c>
      <c r="I754">
        <v>1</v>
      </c>
      <c r="J754">
        <v>1</v>
      </c>
      <c r="K754">
        <v>154613</v>
      </c>
      <c r="L754">
        <v>2.2999999999999998</v>
      </c>
      <c r="M754" t="s">
        <v>43</v>
      </c>
      <c r="N754">
        <v>100</v>
      </c>
      <c r="O754">
        <f t="shared" si="176"/>
        <v>248</v>
      </c>
      <c r="P754">
        <f t="shared" si="177"/>
        <v>125</v>
      </c>
      <c r="Q754">
        <f t="shared" si="178"/>
        <v>123</v>
      </c>
      <c r="R754">
        <f t="shared" si="179"/>
        <v>49.650349650349654</v>
      </c>
      <c r="S754" s="1">
        <f t="shared" si="180"/>
        <v>50.24975024975025</v>
      </c>
      <c r="T754" s="1">
        <f t="shared" si="181"/>
        <v>111</v>
      </c>
      <c r="U754" s="1">
        <f t="shared" si="182"/>
        <v>137</v>
      </c>
      <c r="V754" s="1">
        <f t="shared" si="183"/>
        <v>47.5</v>
      </c>
      <c r="W754" s="1">
        <f t="shared" si="184"/>
        <v>52.5</v>
      </c>
      <c r="X754" s="1">
        <f t="shared" si="185"/>
        <v>14.65725806451613</v>
      </c>
      <c r="Y754" s="1">
        <f t="shared" si="186"/>
        <v>37</v>
      </c>
      <c r="Z754" s="1">
        <f t="shared" si="187"/>
        <v>43</v>
      </c>
      <c r="AA754" s="1">
        <f t="shared" si="188"/>
        <v>3.521621621621621</v>
      </c>
      <c r="AB754" s="1">
        <f t="shared" si="189"/>
        <v>3.493023255813954</v>
      </c>
      <c r="AC754" s="1">
        <f t="shared" si="190"/>
        <v>0</v>
      </c>
      <c r="AD754" s="1">
        <f t="shared" si="191"/>
        <v>1.6928635245617336E-2</v>
      </c>
    </row>
    <row r="755" spans="1:30" x14ac:dyDescent="0.35">
      <c r="A755" t="s">
        <v>1512</v>
      </c>
      <c r="B755" t="s">
        <v>111</v>
      </c>
      <c r="C755" t="s">
        <v>16</v>
      </c>
      <c r="D755" t="s">
        <v>25</v>
      </c>
      <c r="E755">
        <v>41</v>
      </c>
      <c r="F755" t="s">
        <v>31</v>
      </c>
      <c r="G755" t="s">
        <v>32</v>
      </c>
      <c r="H755" t="s">
        <v>461</v>
      </c>
      <c r="I755">
        <v>10</v>
      </c>
      <c r="J755">
        <v>16</v>
      </c>
      <c r="K755">
        <v>432793</v>
      </c>
      <c r="L755">
        <v>4.0999999999999996</v>
      </c>
      <c r="M755" t="s">
        <v>21</v>
      </c>
      <c r="N755">
        <v>42</v>
      </c>
      <c r="O755">
        <f t="shared" si="176"/>
        <v>247</v>
      </c>
      <c r="P755">
        <f t="shared" si="177"/>
        <v>124</v>
      </c>
      <c r="Q755">
        <f t="shared" si="178"/>
        <v>123</v>
      </c>
      <c r="R755">
        <f t="shared" si="179"/>
        <v>49.650349650349654</v>
      </c>
      <c r="S755" s="1">
        <f t="shared" si="180"/>
        <v>50.24975024975025</v>
      </c>
      <c r="T755" s="1">
        <f t="shared" si="181"/>
        <v>111</v>
      </c>
      <c r="U755" s="1">
        <f t="shared" si="182"/>
        <v>136</v>
      </c>
      <c r="V755" s="1">
        <f t="shared" si="183"/>
        <v>47.5</v>
      </c>
      <c r="W755" s="1">
        <f t="shared" si="184"/>
        <v>52.5</v>
      </c>
      <c r="X755" s="1">
        <f t="shared" si="185"/>
        <v>14.712550607287449</v>
      </c>
      <c r="Y755" s="1">
        <f t="shared" si="186"/>
        <v>37</v>
      </c>
      <c r="Z755" s="1">
        <f t="shared" si="187"/>
        <v>43</v>
      </c>
      <c r="AA755" s="1">
        <f t="shared" si="188"/>
        <v>3.521621621621621</v>
      </c>
      <c r="AB755" s="1">
        <f t="shared" si="189"/>
        <v>3.493023255813954</v>
      </c>
      <c r="AC755" s="1">
        <f t="shared" si="190"/>
        <v>1</v>
      </c>
      <c r="AD755" s="1">
        <f t="shared" si="191"/>
        <v>1.0112723106918534E-2</v>
      </c>
    </row>
    <row r="756" spans="1:30" x14ac:dyDescent="0.35">
      <c r="A756" t="s">
        <v>1513</v>
      </c>
      <c r="B756" t="s">
        <v>35</v>
      </c>
      <c r="C756" t="s">
        <v>30</v>
      </c>
      <c r="D756" t="s">
        <v>17</v>
      </c>
      <c r="E756">
        <v>21</v>
      </c>
      <c r="F756" t="s">
        <v>31</v>
      </c>
      <c r="G756" t="s">
        <v>41</v>
      </c>
      <c r="H756" t="s">
        <v>1514</v>
      </c>
      <c r="I756">
        <v>10</v>
      </c>
      <c r="J756">
        <v>10</v>
      </c>
      <c r="K756">
        <v>153123</v>
      </c>
      <c r="L756">
        <v>3.1</v>
      </c>
      <c r="M756" t="s">
        <v>43</v>
      </c>
      <c r="N756">
        <v>71</v>
      </c>
      <c r="O756">
        <f t="shared" si="176"/>
        <v>246</v>
      </c>
      <c r="P756">
        <f t="shared" si="177"/>
        <v>124</v>
      </c>
      <c r="Q756">
        <f t="shared" si="178"/>
        <v>122</v>
      </c>
      <c r="R756">
        <f t="shared" si="179"/>
        <v>49.650349650349654</v>
      </c>
      <c r="S756" s="1">
        <f t="shared" si="180"/>
        <v>50.24975024975025</v>
      </c>
      <c r="T756" s="1">
        <f t="shared" si="181"/>
        <v>110</v>
      </c>
      <c r="U756" s="1">
        <f t="shared" si="182"/>
        <v>136</v>
      </c>
      <c r="V756" s="1">
        <f t="shared" si="183"/>
        <v>47.5</v>
      </c>
      <c r="W756" s="1">
        <f t="shared" si="184"/>
        <v>52.5</v>
      </c>
      <c r="X756" s="1">
        <f t="shared" si="185"/>
        <v>14.707317073170731</v>
      </c>
      <c r="Y756" s="1">
        <f t="shared" si="186"/>
        <v>37</v>
      </c>
      <c r="Z756" s="1">
        <f t="shared" si="187"/>
        <v>42</v>
      </c>
      <c r="AA756" s="1">
        <f t="shared" si="188"/>
        <v>3.521621621621621</v>
      </c>
      <c r="AB756" s="1">
        <f t="shared" si="189"/>
        <v>3.4785714285714291</v>
      </c>
      <c r="AC756" s="1">
        <f t="shared" si="190"/>
        <v>0</v>
      </c>
      <c r="AD756" s="1">
        <f t="shared" si="191"/>
        <v>9.3284718941737139E-3</v>
      </c>
    </row>
    <row r="757" spans="1:30" x14ac:dyDescent="0.35">
      <c r="A757" t="s">
        <v>1515</v>
      </c>
      <c r="B757" t="s">
        <v>29</v>
      </c>
      <c r="C757" t="s">
        <v>16</v>
      </c>
      <c r="D757" t="s">
        <v>25</v>
      </c>
      <c r="E757">
        <v>47</v>
      </c>
      <c r="F757" t="s">
        <v>37</v>
      </c>
      <c r="G757" t="s">
        <v>85</v>
      </c>
      <c r="H757" t="s">
        <v>184</v>
      </c>
      <c r="I757">
        <v>12</v>
      </c>
      <c r="J757">
        <v>18</v>
      </c>
      <c r="K757">
        <v>263154</v>
      </c>
      <c r="L757">
        <v>3.8</v>
      </c>
      <c r="M757" t="s">
        <v>43</v>
      </c>
      <c r="N757">
        <v>99</v>
      </c>
      <c r="O757">
        <f t="shared" si="176"/>
        <v>245</v>
      </c>
      <c r="P757">
        <f t="shared" si="177"/>
        <v>123</v>
      </c>
      <c r="Q757">
        <f t="shared" si="178"/>
        <v>122</v>
      </c>
      <c r="R757">
        <f t="shared" si="179"/>
        <v>49.650349650349654</v>
      </c>
      <c r="S757" s="1">
        <f t="shared" si="180"/>
        <v>50.24975024975025</v>
      </c>
      <c r="T757" s="1">
        <f t="shared" si="181"/>
        <v>110</v>
      </c>
      <c r="U757" s="1">
        <f t="shared" si="182"/>
        <v>135</v>
      </c>
      <c r="V757" s="1">
        <f t="shared" si="183"/>
        <v>47.5</v>
      </c>
      <c r="W757" s="1">
        <f t="shared" si="184"/>
        <v>52.5</v>
      </c>
      <c r="X757" s="1">
        <f t="shared" si="185"/>
        <v>14.726530612244899</v>
      </c>
      <c r="Y757" s="1">
        <f t="shared" si="186"/>
        <v>37</v>
      </c>
      <c r="Z757" s="1">
        <f t="shared" si="187"/>
        <v>41</v>
      </c>
      <c r="AA757" s="1">
        <f t="shared" si="188"/>
        <v>3.521621621621621</v>
      </c>
      <c r="AB757" s="1">
        <f t="shared" si="189"/>
        <v>3.4878048780487814</v>
      </c>
      <c r="AC757" s="1">
        <f t="shared" si="190"/>
        <v>0</v>
      </c>
      <c r="AD757" s="1">
        <f t="shared" si="191"/>
        <v>6.9402379092280177E-3</v>
      </c>
    </row>
    <row r="758" spans="1:30" x14ac:dyDescent="0.35">
      <c r="A758" t="s">
        <v>1516</v>
      </c>
      <c r="B758" t="s">
        <v>23</v>
      </c>
      <c r="C758" t="s">
        <v>49</v>
      </c>
      <c r="D758" t="s">
        <v>25</v>
      </c>
      <c r="E758">
        <v>46</v>
      </c>
      <c r="F758" t="s">
        <v>37</v>
      </c>
      <c r="G758" t="s">
        <v>57</v>
      </c>
      <c r="H758" t="s">
        <v>1517</v>
      </c>
      <c r="I758">
        <v>5</v>
      </c>
      <c r="J758">
        <v>5</v>
      </c>
      <c r="K758">
        <v>401897</v>
      </c>
      <c r="L758">
        <v>3.8</v>
      </c>
      <c r="M758" t="s">
        <v>43</v>
      </c>
      <c r="N758">
        <v>96</v>
      </c>
      <c r="O758">
        <f t="shared" si="176"/>
        <v>244</v>
      </c>
      <c r="P758">
        <f t="shared" si="177"/>
        <v>123</v>
      </c>
      <c r="Q758">
        <f t="shared" si="178"/>
        <v>121</v>
      </c>
      <c r="R758">
        <f t="shared" si="179"/>
        <v>49.650349650349654</v>
      </c>
      <c r="S758" s="1">
        <f t="shared" si="180"/>
        <v>50.24975024975025</v>
      </c>
      <c r="T758" s="1">
        <f t="shared" si="181"/>
        <v>110</v>
      </c>
      <c r="U758" s="1">
        <f t="shared" si="182"/>
        <v>134</v>
      </c>
      <c r="V758" s="1">
        <f t="shared" si="183"/>
        <v>47.5</v>
      </c>
      <c r="W758" s="1">
        <f t="shared" si="184"/>
        <v>52.5</v>
      </c>
      <c r="X758" s="1">
        <f t="shared" si="185"/>
        <v>14.71311475409836</v>
      </c>
      <c r="Y758" s="1">
        <f t="shared" si="186"/>
        <v>37</v>
      </c>
      <c r="Z758" s="1">
        <f t="shared" si="187"/>
        <v>41</v>
      </c>
      <c r="AA758" s="1">
        <f t="shared" si="188"/>
        <v>3.521621621621621</v>
      </c>
      <c r="AB758" s="1">
        <f t="shared" si="189"/>
        <v>3.4878048780487814</v>
      </c>
      <c r="AC758" s="1">
        <f t="shared" si="190"/>
        <v>0</v>
      </c>
      <c r="AD758" s="1">
        <f t="shared" si="191"/>
        <v>8.6424350075452391E-3</v>
      </c>
    </row>
    <row r="759" spans="1:30" x14ac:dyDescent="0.35">
      <c r="A759" t="s">
        <v>1518</v>
      </c>
      <c r="B759" t="s">
        <v>29</v>
      </c>
      <c r="C759" t="s">
        <v>30</v>
      </c>
      <c r="D759" t="s">
        <v>25</v>
      </c>
      <c r="E759">
        <v>36</v>
      </c>
      <c r="F759" t="s">
        <v>74</v>
      </c>
      <c r="G759" t="s">
        <v>71</v>
      </c>
      <c r="H759" t="s">
        <v>1519</v>
      </c>
      <c r="I759">
        <v>16</v>
      </c>
      <c r="J759">
        <v>25</v>
      </c>
      <c r="K759">
        <v>240648</v>
      </c>
      <c r="L759">
        <v>4.0999999999999996</v>
      </c>
      <c r="M759" t="s">
        <v>43</v>
      </c>
      <c r="N759">
        <v>72</v>
      </c>
      <c r="O759">
        <f t="shared" si="176"/>
        <v>243</v>
      </c>
      <c r="P759">
        <f t="shared" si="177"/>
        <v>123</v>
      </c>
      <c r="Q759">
        <f t="shared" si="178"/>
        <v>120</v>
      </c>
      <c r="R759">
        <f t="shared" si="179"/>
        <v>49.650349650349654</v>
      </c>
      <c r="S759" s="1">
        <f t="shared" si="180"/>
        <v>50.24975024975025</v>
      </c>
      <c r="T759" s="1">
        <f t="shared" si="181"/>
        <v>110</v>
      </c>
      <c r="U759" s="1">
        <f t="shared" si="182"/>
        <v>133</v>
      </c>
      <c r="V759" s="1">
        <f t="shared" si="183"/>
        <v>47.5</v>
      </c>
      <c r="W759" s="1">
        <f t="shared" si="184"/>
        <v>52.5</v>
      </c>
      <c r="X759" s="1">
        <f t="shared" si="185"/>
        <v>14.753086419753087</v>
      </c>
      <c r="Y759" s="1">
        <f t="shared" si="186"/>
        <v>37</v>
      </c>
      <c r="Z759" s="1">
        <f t="shared" si="187"/>
        <v>41</v>
      </c>
      <c r="AA759" s="1">
        <f t="shared" si="188"/>
        <v>3.521621621621621</v>
      </c>
      <c r="AB759" s="1">
        <f t="shared" si="189"/>
        <v>3.4878048780487814</v>
      </c>
      <c r="AC759" s="1">
        <f t="shared" si="190"/>
        <v>0</v>
      </c>
      <c r="AD759" s="1">
        <f t="shared" si="191"/>
        <v>3.634009342187593E-3</v>
      </c>
    </row>
    <row r="760" spans="1:30" x14ac:dyDescent="0.35">
      <c r="A760" t="s">
        <v>1520</v>
      </c>
      <c r="B760" t="s">
        <v>29</v>
      </c>
      <c r="C760" t="s">
        <v>16</v>
      </c>
      <c r="D760" t="s">
        <v>17</v>
      </c>
      <c r="E760">
        <v>38</v>
      </c>
      <c r="F760" t="s">
        <v>18</v>
      </c>
      <c r="G760" t="s">
        <v>61</v>
      </c>
      <c r="H760" t="s">
        <v>1521</v>
      </c>
      <c r="I760">
        <v>5</v>
      </c>
      <c r="J760">
        <v>10</v>
      </c>
      <c r="K760">
        <v>276879</v>
      </c>
      <c r="L760">
        <v>4.3</v>
      </c>
      <c r="M760" t="s">
        <v>43</v>
      </c>
      <c r="N760">
        <v>94</v>
      </c>
      <c r="O760">
        <f t="shared" si="176"/>
        <v>242</v>
      </c>
      <c r="P760">
        <f t="shared" si="177"/>
        <v>123</v>
      </c>
      <c r="Q760">
        <f t="shared" si="178"/>
        <v>119</v>
      </c>
      <c r="R760">
        <f t="shared" si="179"/>
        <v>49.650349650349654</v>
      </c>
      <c r="S760" s="1">
        <f t="shared" si="180"/>
        <v>50.24975024975025</v>
      </c>
      <c r="T760" s="1">
        <f t="shared" si="181"/>
        <v>110</v>
      </c>
      <c r="U760" s="1">
        <f t="shared" si="182"/>
        <v>132</v>
      </c>
      <c r="V760" s="1">
        <f t="shared" si="183"/>
        <v>47.5</v>
      </c>
      <c r="W760" s="1">
        <f t="shared" si="184"/>
        <v>52.5</v>
      </c>
      <c r="X760" s="1">
        <f t="shared" si="185"/>
        <v>14.710743801652892</v>
      </c>
      <c r="Y760" s="1">
        <f t="shared" si="186"/>
        <v>36</v>
      </c>
      <c r="Z760" s="1">
        <f t="shared" si="187"/>
        <v>41</v>
      </c>
      <c r="AA760" s="1">
        <f t="shared" si="188"/>
        <v>3.5055555555555546</v>
      </c>
      <c r="AB760" s="1">
        <f t="shared" si="189"/>
        <v>3.4878048780487814</v>
      </c>
      <c r="AC760" s="1">
        <f t="shared" si="190"/>
        <v>0</v>
      </c>
      <c r="AD760" s="1">
        <f t="shared" si="191"/>
        <v>9.042953533114963E-3</v>
      </c>
    </row>
    <row r="761" spans="1:30" x14ac:dyDescent="0.35">
      <c r="A761" t="s">
        <v>1522</v>
      </c>
      <c r="B761" t="s">
        <v>60</v>
      </c>
      <c r="C761" t="s">
        <v>56</v>
      </c>
      <c r="D761" t="s">
        <v>17</v>
      </c>
      <c r="E761">
        <v>45</v>
      </c>
      <c r="F761" t="s">
        <v>18</v>
      </c>
      <c r="G761" t="s">
        <v>57</v>
      </c>
      <c r="H761" t="s">
        <v>1523</v>
      </c>
      <c r="I761">
        <v>7</v>
      </c>
      <c r="J761">
        <v>16</v>
      </c>
      <c r="K761">
        <v>483978</v>
      </c>
      <c r="L761">
        <v>4.7</v>
      </c>
      <c r="M761" t="s">
        <v>43</v>
      </c>
      <c r="N761">
        <v>76</v>
      </c>
      <c r="O761">
        <f t="shared" si="176"/>
        <v>241</v>
      </c>
      <c r="P761">
        <f t="shared" si="177"/>
        <v>122</v>
      </c>
      <c r="Q761">
        <f t="shared" si="178"/>
        <v>119</v>
      </c>
      <c r="R761">
        <f t="shared" si="179"/>
        <v>49.650349650349654</v>
      </c>
      <c r="S761" s="1">
        <f t="shared" si="180"/>
        <v>50.24975024975025</v>
      </c>
      <c r="T761" s="1">
        <f t="shared" si="181"/>
        <v>110</v>
      </c>
      <c r="U761" s="1">
        <f t="shared" si="182"/>
        <v>131</v>
      </c>
      <c r="V761" s="1">
        <f t="shared" si="183"/>
        <v>47.5</v>
      </c>
      <c r="W761" s="1">
        <f t="shared" si="184"/>
        <v>52.5</v>
      </c>
      <c r="X761" s="1">
        <f t="shared" si="185"/>
        <v>14.730290456431534</v>
      </c>
      <c r="Y761" s="1">
        <f t="shared" si="186"/>
        <v>36</v>
      </c>
      <c r="Z761" s="1">
        <f t="shared" si="187"/>
        <v>41</v>
      </c>
      <c r="AA761" s="1">
        <f t="shared" si="188"/>
        <v>3.5055555555555546</v>
      </c>
      <c r="AB761" s="1">
        <f t="shared" si="189"/>
        <v>3.4878048780487814</v>
      </c>
      <c r="AC761" s="1">
        <f t="shared" si="190"/>
        <v>0</v>
      </c>
      <c r="AD761" s="1">
        <f t="shared" si="191"/>
        <v>6.5732341844030777E-3</v>
      </c>
    </row>
    <row r="762" spans="1:30" x14ac:dyDescent="0.35">
      <c r="A762" t="s">
        <v>1524</v>
      </c>
      <c r="B762" t="s">
        <v>35</v>
      </c>
      <c r="C762" t="s">
        <v>93</v>
      </c>
      <c r="D762" t="s">
        <v>17</v>
      </c>
      <c r="E762">
        <v>44</v>
      </c>
      <c r="F762" t="s">
        <v>31</v>
      </c>
      <c r="G762" t="s">
        <v>41</v>
      </c>
      <c r="H762" t="s">
        <v>1525</v>
      </c>
      <c r="I762">
        <v>19</v>
      </c>
      <c r="J762">
        <v>20</v>
      </c>
      <c r="K762">
        <v>282312</v>
      </c>
      <c r="L762">
        <v>2.6</v>
      </c>
      <c r="M762" t="s">
        <v>43</v>
      </c>
      <c r="N762">
        <v>84</v>
      </c>
      <c r="O762">
        <f t="shared" si="176"/>
        <v>240</v>
      </c>
      <c r="P762">
        <f t="shared" si="177"/>
        <v>121</v>
      </c>
      <c r="Q762">
        <f t="shared" si="178"/>
        <v>119</v>
      </c>
      <c r="R762">
        <f t="shared" si="179"/>
        <v>49.650349650349654</v>
      </c>
      <c r="S762" s="1">
        <f t="shared" si="180"/>
        <v>50.24975024975025</v>
      </c>
      <c r="T762" s="1">
        <f t="shared" si="181"/>
        <v>110</v>
      </c>
      <c r="U762" s="1">
        <f t="shared" si="182"/>
        <v>130</v>
      </c>
      <c r="V762" s="1">
        <f t="shared" si="183"/>
        <v>47.5</v>
      </c>
      <c r="W762" s="1">
        <f t="shared" si="184"/>
        <v>52.5</v>
      </c>
      <c r="X762" s="1">
        <f t="shared" si="185"/>
        <v>14.725</v>
      </c>
      <c r="Y762" s="1">
        <f t="shared" si="186"/>
        <v>36</v>
      </c>
      <c r="Z762" s="1">
        <f t="shared" si="187"/>
        <v>41</v>
      </c>
      <c r="AA762" s="1">
        <f t="shared" si="188"/>
        <v>3.5055555555555546</v>
      </c>
      <c r="AB762" s="1">
        <f t="shared" si="189"/>
        <v>3.4878048780487814</v>
      </c>
      <c r="AC762" s="1">
        <f t="shared" si="190"/>
        <v>0</v>
      </c>
      <c r="AD762" s="1">
        <f t="shared" si="191"/>
        <v>7.2613071493320249E-3</v>
      </c>
    </row>
    <row r="763" spans="1:30" x14ac:dyDescent="0.35">
      <c r="A763" t="s">
        <v>1526</v>
      </c>
      <c r="B763" t="s">
        <v>29</v>
      </c>
      <c r="C763" t="s">
        <v>24</v>
      </c>
      <c r="D763" t="s">
        <v>17</v>
      </c>
      <c r="E763">
        <v>50</v>
      </c>
      <c r="F763" t="s">
        <v>79</v>
      </c>
      <c r="G763" t="s">
        <v>71</v>
      </c>
      <c r="H763" t="s">
        <v>1527</v>
      </c>
      <c r="I763">
        <v>12</v>
      </c>
      <c r="J763">
        <v>21</v>
      </c>
      <c r="K763">
        <v>128821</v>
      </c>
      <c r="L763">
        <v>2.9</v>
      </c>
      <c r="M763" t="s">
        <v>43</v>
      </c>
      <c r="N763">
        <v>92</v>
      </c>
      <c r="O763">
        <f t="shared" si="176"/>
        <v>239</v>
      </c>
      <c r="P763">
        <f t="shared" si="177"/>
        <v>120</v>
      </c>
      <c r="Q763">
        <f t="shared" si="178"/>
        <v>119</v>
      </c>
      <c r="R763">
        <f t="shared" si="179"/>
        <v>49.650349650349654</v>
      </c>
      <c r="S763" s="1">
        <f t="shared" si="180"/>
        <v>50.24975024975025</v>
      </c>
      <c r="T763" s="1">
        <f t="shared" si="181"/>
        <v>110</v>
      </c>
      <c r="U763" s="1">
        <f t="shared" si="182"/>
        <v>129</v>
      </c>
      <c r="V763" s="1">
        <f t="shared" si="183"/>
        <v>47.5</v>
      </c>
      <c r="W763" s="1">
        <f t="shared" si="184"/>
        <v>52.5</v>
      </c>
      <c r="X763" s="1">
        <f t="shared" si="185"/>
        <v>14.702928870292887</v>
      </c>
      <c r="Y763" s="1">
        <f t="shared" si="186"/>
        <v>36</v>
      </c>
      <c r="Z763" s="1">
        <f t="shared" si="187"/>
        <v>40</v>
      </c>
      <c r="AA763" s="1">
        <f t="shared" si="188"/>
        <v>3.5055555555555546</v>
      </c>
      <c r="AB763" s="1">
        <f t="shared" si="189"/>
        <v>3.5100000000000002</v>
      </c>
      <c r="AC763" s="1">
        <f t="shared" si="190"/>
        <v>0</v>
      </c>
      <c r="AD763" s="1">
        <f t="shared" si="191"/>
        <v>1.011123785167293E-2</v>
      </c>
    </row>
    <row r="764" spans="1:30" x14ac:dyDescent="0.35">
      <c r="A764" t="s">
        <v>1528</v>
      </c>
      <c r="B764" t="s">
        <v>45</v>
      </c>
      <c r="C764" t="s">
        <v>24</v>
      </c>
      <c r="D764" t="s">
        <v>25</v>
      </c>
      <c r="E764">
        <v>49</v>
      </c>
      <c r="F764" t="s">
        <v>70</v>
      </c>
      <c r="G764" t="s">
        <v>57</v>
      </c>
      <c r="H764" t="s">
        <v>1529</v>
      </c>
      <c r="I764">
        <v>0</v>
      </c>
      <c r="J764">
        <v>4</v>
      </c>
      <c r="K764">
        <v>299489</v>
      </c>
      <c r="L764">
        <v>3.6</v>
      </c>
      <c r="M764" t="s">
        <v>43</v>
      </c>
      <c r="N764">
        <v>86</v>
      </c>
      <c r="O764">
        <f t="shared" si="176"/>
        <v>238</v>
      </c>
      <c r="P764">
        <f t="shared" si="177"/>
        <v>119</v>
      </c>
      <c r="Q764">
        <f t="shared" si="178"/>
        <v>119</v>
      </c>
      <c r="R764">
        <f t="shared" si="179"/>
        <v>49.650349650349654</v>
      </c>
      <c r="S764" s="1">
        <f t="shared" si="180"/>
        <v>50.24975024975025</v>
      </c>
      <c r="T764" s="1">
        <f t="shared" si="181"/>
        <v>110</v>
      </c>
      <c r="U764" s="1">
        <f t="shared" si="182"/>
        <v>128</v>
      </c>
      <c r="V764" s="1">
        <f t="shared" si="183"/>
        <v>47.5</v>
      </c>
      <c r="W764" s="1">
        <f t="shared" si="184"/>
        <v>52.5</v>
      </c>
      <c r="X764" s="1">
        <f t="shared" si="185"/>
        <v>14.676470588235293</v>
      </c>
      <c r="Y764" s="1">
        <f t="shared" si="186"/>
        <v>36</v>
      </c>
      <c r="Z764" s="1">
        <f t="shared" si="187"/>
        <v>40</v>
      </c>
      <c r="AA764" s="1">
        <f t="shared" si="188"/>
        <v>3.5055555555555546</v>
      </c>
      <c r="AB764" s="1">
        <f t="shared" si="189"/>
        <v>3.5100000000000002</v>
      </c>
      <c r="AC764" s="1">
        <f t="shared" si="190"/>
        <v>0</v>
      </c>
      <c r="AD764" s="1">
        <f t="shared" si="191"/>
        <v>1.3548408586535424E-2</v>
      </c>
    </row>
    <row r="765" spans="1:30" x14ac:dyDescent="0.35">
      <c r="A765" t="s">
        <v>1530</v>
      </c>
      <c r="B765" t="s">
        <v>111</v>
      </c>
      <c r="C765" t="s">
        <v>24</v>
      </c>
      <c r="D765" t="s">
        <v>17</v>
      </c>
      <c r="E765">
        <v>43</v>
      </c>
      <c r="F765" t="s">
        <v>79</v>
      </c>
      <c r="G765" t="s">
        <v>57</v>
      </c>
      <c r="H765" t="s">
        <v>735</v>
      </c>
      <c r="I765">
        <v>4</v>
      </c>
      <c r="J765">
        <v>11</v>
      </c>
      <c r="K765">
        <v>425565</v>
      </c>
      <c r="L765">
        <v>4</v>
      </c>
      <c r="M765" t="s">
        <v>21</v>
      </c>
      <c r="N765">
        <v>69</v>
      </c>
      <c r="O765">
        <f t="shared" si="176"/>
        <v>237</v>
      </c>
      <c r="P765">
        <f t="shared" si="177"/>
        <v>119</v>
      </c>
      <c r="Q765">
        <f t="shared" si="178"/>
        <v>118</v>
      </c>
      <c r="R765">
        <f t="shared" si="179"/>
        <v>49.650349650349654</v>
      </c>
      <c r="S765" s="1">
        <f t="shared" si="180"/>
        <v>50.24975024975025</v>
      </c>
      <c r="T765" s="1">
        <f t="shared" si="181"/>
        <v>110</v>
      </c>
      <c r="U765" s="1">
        <f t="shared" si="182"/>
        <v>127</v>
      </c>
      <c r="V765" s="1">
        <f t="shared" si="183"/>
        <v>47.5</v>
      </c>
      <c r="W765" s="1">
        <f t="shared" si="184"/>
        <v>52.5</v>
      </c>
      <c r="X765" s="1">
        <f t="shared" si="185"/>
        <v>14.721518987341772</v>
      </c>
      <c r="Y765" s="1">
        <f t="shared" si="186"/>
        <v>36</v>
      </c>
      <c r="Z765" s="1">
        <f t="shared" si="187"/>
        <v>40</v>
      </c>
      <c r="AA765" s="1">
        <f t="shared" si="188"/>
        <v>3.5055555555555546</v>
      </c>
      <c r="AB765" s="1">
        <f t="shared" si="189"/>
        <v>3.5100000000000002</v>
      </c>
      <c r="AC765" s="1">
        <f t="shared" si="190"/>
        <v>1</v>
      </c>
      <c r="AD765" s="1">
        <f t="shared" si="191"/>
        <v>7.8051886094429286E-3</v>
      </c>
    </row>
    <row r="766" spans="1:30" x14ac:dyDescent="0.35">
      <c r="A766" t="s">
        <v>1531</v>
      </c>
      <c r="B766" t="s">
        <v>60</v>
      </c>
      <c r="C766" t="s">
        <v>36</v>
      </c>
      <c r="D766" t="s">
        <v>17</v>
      </c>
      <c r="E766">
        <v>31</v>
      </c>
      <c r="F766" t="s">
        <v>79</v>
      </c>
      <c r="G766" t="s">
        <v>57</v>
      </c>
      <c r="H766" t="s">
        <v>1532</v>
      </c>
      <c r="I766">
        <v>0</v>
      </c>
      <c r="J766">
        <v>10</v>
      </c>
      <c r="K766">
        <v>493832</v>
      </c>
      <c r="L766">
        <v>4.8</v>
      </c>
      <c r="M766" t="s">
        <v>21</v>
      </c>
      <c r="N766">
        <v>31</v>
      </c>
      <c r="O766">
        <f t="shared" si="176"/>
        <v>236</v>
      </c>
      <c r="P766">
        <f t="shared" si="177"/>
        <v>118</v>
      </c>
      <c r="Q766">
        <f t="shared" si="178"/>
        <v>118</v>
      </c>
      <c r="R766">
        <f t="shared" si="179"/>
        <v>49.650349650349654</v>
      </c>
      <c r="S766" s="1">
        <f t="shared" si="180"/>
        <v>50.24975024975025</v>
      </c>
      <c r="T766" s="1">
        <f t="shared" si="181"/>
        <v>109</v>
      </c>
      <c r="U766" s="1">
        <f t="shared" si="182"/>
        <v>127</v>
      </c>
      <c r="V766" s="1">
        <f t="shared" si="183"/>
        <v>47.5</v>
      </c>
      <c r="W766" s="1">
        <f t="shared" si="184"/>
        <v>52.5</v>
      </c>
      <c r="X766" s="1">
        <f t="shared" si="185"/>
        <v>14.73728813559322</v>
      </c>
      <c r="Y766" s="1">
        <f t="shared" si="186"/>
        <v>36</v>
      </c>
      <c r="Z766" s="1">
        <f t="shared" si="187"/>
        <v>40</v>
      </c>
      <c r="AA766" s="1">
        <f t="shared" si="188"/>
        <v>3.5055555555555546</v>
      </c>
      <c r="AB766" s="1">
        <f t="shared" si="189"/>
        <v>3.5100000000000002</v>
      </c>
      <c r="AC766" s="1">
        <f t="shared" si="190"/>
        <v>1</v>
      </c>
      <c r="AD766" s="1">
        <f t="shared" si="191"/>
        <v>1.019255249653085E-2</v>
      </c>
    </row>
    <row r="767" spans="1:30" x14ac:dyDescent="0.35">
      <c r="A767" t="s">
        <v>1533</v>
      </c>
      <c r="B767" t="s">
        <v>69</v>
      </c>
      <c r="C767" t="s">
        <v>24</v>
      </c>
      <c r="D767" t="s">
        <v>17</v>
      </c>
      <c r="E767">
        <v>57</v>
      </c>
      <c r="F767" t="s">
        <v>18</v>
      </c>
      <c r="G767" t="s">
        <v>57</v>
      </c>
      <c r="H767" t="s">
        <v>1534</v>
      </c>
      <c r="I767">
        <v>11</v>
      </c>
      <c r="J767">
        <v>20</v>
      </c>
      <c r="K767">
        <v>202846</v>
      </c>
      <c r="L767">
        <v>2.1</v>
      </c>
      <c r="M767" t="s">
        <v>21</v>
      </c>
      <c r="N767">
        <v>62</v>
      </c>
      <c r="O767">
        <f t="shared" si="176"/>
        <v>235</v>
      </c>
      <c r="P767">
        <f t="shared" si="177"/>
        <v>117</v>
      </c>
      <c r="Q767">
        <f t="shared" si="178"/>
        <v>118</v>
      </c>
      <c r="R767">
        <f t="shared" si="179"/>
        <v>49.650349650349654</v>
      </c>
      <c r="S767" s="1">
        <f t="shared" si="180"/>
        <v>50.24975024975025</v>
      </c>
      <c r="T767" s="1">
        <f t="shared" si="181"/>
        <v>108</v>
      </c>
      <c r="U767" s="1">
        <f t="shared" si="182"/>
        <v>127</v>
      </c>
      <c r="V767" s="1">
        <f t="shared" si="183"/>
        <v>47.5</v>
      </c>
      <c r="W767" s="1">
        <f t="shared" si="184"/>
        <v>52.5</v>
      </c>
      <c r="X767" s="1">
        <f t="shared" si="185"/>
        <v>14.757446808510638</v>
      </c>
      <c r="Y767" s="1">
        <f t="shared" si="186"/>
        <v>36</v>
      </c>
      <c r="Z767" s="1">
        <f t="shared" si="187"/>
        <v>40</v>
      </c>
      <c r="AA767" s="1">
        <f t="shared" si="188"/>
        <v>3.5055555555555546</v>
      </c>
      <c r="AB767" s="1">
        <f t="shared" si="189"/>
        <v>3.5100000000000002</v>
      </c>
      <c r="AC767" s="1">
        <f t="shared" si="190"/>
        <v>1</v>
      </c>
      <c r="AD767" s="1">
        <f t="shared" si="191"/>
        <v>1.3259383796334749E-2</v>
      </c>
    </row>
    <row r="768" spans="1:30" x14ac:dyDescent="0.35">
      <c r="A768" t="s">
        <v>1535</v>
      </c>
      <c r="B768" t="s">
        <v>60</v>
      </c>
      <c r="C768" t="s">
        <v>52</v>
      </c>
      <c r="D768" t="s">
        <v>25</v>
      </c>
      <c r="E768">
        <v>32</v>
      </c>
      <c r="F768" t="s">
        <v>18</v>
      </c>
      <c r="G768" t="s">
        <v>57</v>
      </c>
      <c r="H768" t="s">
        <v>1266</v>
      </c>
      <c r="I768">
        <v>6</v>
      </c>
      <c r="J768">
        <v>13</v>
      </c>
      <c r="K768">
        <v>492819</v>
      </c>
      <c r="L768">
        <v>2.2000000000000002</v>
      </c>
      <c r="M768" t="s">
        <v>43</v>
      </c>
      <c r="N768">
        <v>97</v>
      </c>
      <c r="O768">
        <f t="shared" si="176"/>
        <v>234</v>
      </c>
      <c r="P768">
        <f t="shared" si="177"/>
        <v>116</v>
      </c>
      <c r="Q768">
        <f t="shared" si="178"/>
        <v>118</v>
      </c>
      <c r="R768">
        <f t="shared" si="179"/>
        <v>49.650349650349654</v>
      </c>
      <c r="S768" s="1">
        <f t="shared" si="180"/>
        <v>50.24975024975025</v>
      </c>
      <c r="T768" s="1">
        <f t="shared" si="181"/>
        <v>107</v>
      </c>
      <c r="U768" s="1">
        <f t="shared" si="182"/>
        <v>127</v>
      </c>
      <c r="V768" s="1">
        <f t="shared" si="183"/>
        <v>47.5</v>
      </c>
      <c r="W768" s="1">
        <f t="shared" si="184"/>
        <v>52.5</v>
      </c>
      <c r="X768" s="1">
        <f t="shared" si="185"/>
        <v>14.735042735042734</v>
      </c>
      <c r="Y768" s="1">
        <f t="shared" si="186"/>
        <v>36</v>
      </c>
      <c r="Z768" s="1">
        <f t="shared" si="187"/>
        <v>40</v>
      </c>
      <c r="AA768" s="1">
        <f t="shared" si="188"/>
        <v>3.5055555555555546</v>
      </c>
      <c r="AB768" s="1">
        <f t="shared" si="189"/>
        <v>3.5100000000000002</v>
      </c>
      <c r="AC768" s="1">
        <f t="shared" si="190"/>
        <v>0</v>
      </c>
      <c r="AD768" s="1">
        <f t="shared" si="191"/>
        <v>9.9257714876585246E-3</v>
      </c>
    </row>
    <row r="769" spans="1:30" x14ac:dyDescent="0.35">
      <c r="A769" t="s">
        <v>1536</v>
      </c>
      <c r="B769" t="s">
        <v>96</v>
      </c>
      <c r="C769" t="s">
        <v>64</v>
      </c>
      <c r="D769" t="s">
        <v>17</v>
      </c>
      <c r="E769">
        <v>41</v>
      </c>
      <c r="F769" t="s">
        <v>74</v>
      </c>
      <c r="G769" t="s">
        <v>57</v>
      </c>
      <c r="H769" t="s">
        <v>1537</v>
      </c>
      <c r="I769">
        <v>17</v>
      </c>
      <c r="J769">
        <v>19</v>
      </c>
      <c r="K769">
        <v>459812</v>
      </c>
      <c r="L769">
        <v>3.2</v>
      </c>
      <c r="M769" t="s">
        <v>43</v>
      </c>
      <c r="N769">
        <v>95</v>
      </c>
      <c r="O769">
        <f t="shared" si="176"/>
        <v>233</v>
      </c>
      <c r="P769">
        <f t="shared" si="177"/>
        <v>116</v>
      </c>
      <c r="Q769">
        <f t="shared" si="178"/>
        <v>117</v>
      </c>
      <c r="R769">
        <f t="shared" si="179"/>
        <v>49.650349650349654</v>
      </c>
      <c r="S769" s="1">
        <f t="shared" si="180"/>
        <v>50.24975024975025</v>
      </c>
      <c r="T769" s="1">
        <f t="shared" si="181"/>
        <v>107</v>
      </c>
      <c r="U769" s="1">
        <f t="shared" si="182"/>
        <v>126</v>
      </c>
      <c r="V769" s="1">
        <f t="shared" si="183"/>
        <v>47.5</v>
      </c>
      <c r="W769" s="1">
        <f t="shared" si="184"/>
        <v>52.5</v>
      </c>
      <c r="X769" s="1">
        <f t="shared" si="185"/>
        <v>14.742489270386265</v>
      </c>
      <c r="Y769" s="1">
        <f t="shared" si="186"/>
        <v>36</v>
      </c>
      <c r="Z769" s="1">
        <f t="shared" si="187"/>
        <v>40</v>
      </c>
      <c r="AA769" s="1">
        <f t="shared" si="188"/>
        <v>3.5055555555555546</v>
      </c>
      <c r="AB769" s="1">
        <f t="shared" si="189"/>
        <v>3.5100000000000002</v>
      </c>
      <c r="AC769" s="1">
        <f t="shared" si="190"/>
        <v>0</v>
      </c>
      <c r="AD769" s="1">
        <f t="shared" si="191"/>
        <v>8.996069669639022E-3</v>
      </c>
    </row>
    <row r="770" spans="1:30" x14ac:dyDescent="0.35">
      <c r="A770" t="s">
        <v>1538</v>
      </c>
      <c r="B770" t="s">
        <v>96</v>
      </c>
      <c r="C770" t="s">
        <v>64</v>
      </c>
      <c r="D770" t="s">
        <v>17</v>
      </c>
      <c r="E770">
        <v>47</v>
      </c>
      <c r="F770" t="s">
        <v>79</v>
      </c>
      <c r="G770" t="s">
        <v>41</v>
      </c>
      <c r="H770" t="s">
        <v>1539</v>
      </c>
      <c r="I770">
        <v>0</v>
      </c>
      <c r="J770">
        <v>2</v>
      </c>
      <c r="K770">
        <v>421811</v>
      </c>
      <c r="L770">
        <v>3.5</v>
      </c>
      <c r="M770" t="s">
        <v>21</v>
      </c>
      <c r="N770">
        <v>32</v>
      </c>
      <c r="O770">
        <f t="shared" ref="O770:O833" si="192">COUNTA(A770:A1769)</f>
        <v>232</v>
      </c>
      <c r="P770">
        <f t="shared" ref="P770:P833" si="193">COUNTIF(D770:D1769,"Male")</f>
        <v>115</v>
      </c>
      <c r="Q770">
        <f t="shared" ref="Q770:Q833" si="194">COUNTIF(D770:D1769,"Female")</f>
        <v>117</v>
      </c>
      <c r="R770">
        <f t="shared" ref="R770:R833" si="195">497/1001*100</f>
        <v>49.650349650349654</v>
      </c>
      <c r="S770" s="1">
        <f t="shared" ref="S770:S833" si="196">503/1001*100</f>
        <v>50.24975024975025</v>
      </c>
      <c r="T770" s="1">
        <f t="shared" ref="T770:T833" si="197">COUNTIF(M770:M1769,"Yes")</f>
        <v>107</v>
      </c>
      <c r="U770" s="1">
        <f t="shared" ref="U770:U833" si="198">COUNTIF(M770:M1769,"No")</f>
        <v>125</v>
      </c>
      <c r="V770" s="1">
        <f t="shared" ref="V770:V833" si="199">475/1000*100</f>
        <v>47.5</v>
      </c>
      <c r="W770" s="1">
        <f t="shared" ref="W770:W833" si="200">525/1000*100</f>
        <v>52.5</v>
      </c>
      <c r="X770" s="1">
        <f t="shared" ref="X770:X833" si="201">AVERAGE(J770:J1769)</f>
        <v>14.724137931034482</v>
      </c>
      <c r="Y770" s="1">
        <f t="shared" ref="Y770:Y833" si="202">COUNTIF(F770:F1769,"Marketing")</f>
        <v>35</v>
      </c>
      <c r="Z770" s="1">
        <f t="shared" ref="Z770:Z833" si="203">COUNTIF(F770:F1769,"IT")</f>
        <v>40</v>
      </c>
      <c r="AA770" s="1">
        <f t="shared" ref="AA770:AA833" si="204">AVERAGEIF(F770:F1769,"Marketing",L770:L1769)</f>
        <v>3.5142857142857138</v>
      </c>
      <c r="AB770" s="1">
        <f t="shared" ref="AB770:AB833" si="205">AVERAGEIF(F770:F1769,"IT",L770:L1769)</f>
        <v>3.5100000000000002</v>
      </c>
      <c r="AC770" s="1">
        <f t="shared" ref="AC770:AC833" si="206">IF(M770="yes",1,0)</f>
        <v>1</v>
      </c>
      <c r="AD770" s="1">
        <f t="shared" ref="AD770:AD833" si="207">CORREL(J770:J1769,AC770:AC1769)</f>
        <v>1.1363918766545529E-2</v>
      </c>
    </row>
    <row r="771" spans="1:30" x14ac:dyDescent="0.35">
      <c r="A771" t="s">
        <v>1540</v>
      </c>
      <c r="B771" t="s">
        <v>78</v>
      </c>
      <c r="C771" t="s">
        <v>16</v>
      </c>
      <c r="D771" t="s">
        <v>17</v>
      </c>
      <c r="E771">
        <v>28</v>
      </c>
      <c r="F771" t="s">
        <v>31</v>
      </c>
      <c r="G771" t="s">
        <v>41</v>
      </c>
      <c r="H771" t="s">
        <v>1541</v>
      </c>
      <c r="I771">
        <v>20</v>
      </c>
      <c r="J771">
        <v>20</v>
      </c>
      <c r="K771">
        <v>194199</v>
      </c>
      <c r="L771">
        <v>4.4000000000000004</v>
      </c>
      <c r="M771" t="s">
        <v>21</v>
      </c>
      <c r="N771">
        <v>37</v>
      </c>
      <c r="O771">
        <f t="shared" si="192"/>
        <v>231</v>
      </c>
      <c r="P771">
        <f t="shared" si="193"/>
        <v>114</v>
      </c>
      <c r="Q771">
        <f t="shared" si="194"/>
        <v>117</v>
      </c>
      <c r="R771">
        <f t="shared" si="195"/>
        <v>49.650349650349654</v>
      </c>
      <c r="S771" s="1">
        <f t="shared" si="196"/>
        <v>50.24975024975025</v>
      </c>
      <c r="T771" s="1">
        <f t="shared" si="197"/>
        <v>106</v>
      </c>
      <c r="U771" s="1">
        <f t="shared" si="198"/>
        <v>125</v>
      </c>
      <c r="V771" s="1">
        <f t="shared" si="199"/>
        <v>47.5</v>
      </c>
      <c r="W771" s="1">
        <f t="shared" si="200"/>
        <v>52.5</v>
      </c>
      <c r="X771" s="1">
        <f t="shared" si="201"/>
        <v>14.779220779220779</v>
      </c>
      <c r="Y771" s="1">
        <f t="shared" si="202"/>
        <v>35</v>
      </c>
      <c r="Z771" s="1">
        <f t="shared" si="203"/>
        <v>40</v>
      </c>
      <c r="AA771" s="1">
        <f t="shared" si="204"/>
        <v>3.5142857142857138</v>
      </c>
      <c r="AB771" s="1">
        <f t="shared" si="205"/>
        <v>3.5100000000000002</v>
      </c>
      <c r="AC771" s="1">
        <f t="shared" si="206"/>
        <v>1</v>
      </c>
      <c r="AD771" s="1">
        <f t="shared" si="207"/>
        <v>1.976752885683811E-2</v>
      </c>
    </row>
    <row r="772" spans="1:30" x14ac:dyDescent="0.35">
      <c r="A772" t="s">
        <v>1542</v>
      </c>
      <c r="B772" t="s">
        <v>15</v>
      </c>
      <c r="C772" t="s">
        <v>36</v>
      </c>
      <c r="D772" t="s">
        <v>25</v>
      </c>
      <c r="E772">
        <v>22</v>
      </c>
      <c r="F772" t="s">
        <v>31</v>
      </c>
      <c r="G772" t="s">
        <v>57</v>
      </c>
      <c r="H772" t="s">
        <v>1543</v>
      </c>
      <c r="I772">
        <v>2</v>
      </c>
      <c r="J772">
        <v>5</v>
      </c>
      <c r="K772">
        <v>331724</v>
      </c>
      <c r="L772">
        <v>4.5</v>
      </c>
      <c r="M772" t="s">
        <v>43</v>
      </c>
      <c r="N772">
        <v>100</v>
      </c>
      <c r="O772">
        <f t="shared" si="192"/>
        <v>230</v>
      </c>
      <c r="P772">
        <f t="shared" si="193"/>
        <v>113</v>
      </c>
      <c r="Q772">
        <f t="shared" si="194"/>
        <v>117</v>
      </c>
      <c r="R772">
        <f t="shared" si="195"/>
        <v>49.650349650349654</v>
      </c>
      <c r="S772" s="1">
        <f t="shared" si="196"/>
        <v>50.24975024975025</v>
      </c>
      <c r="T772" s="1">
        <f t="shared" si="197"/>
        <v>105</v>
      </c>
      <c r="U772" s="1">
        <f t="shared" si="198"/>
        <v>125</v>
      </c>
      <c r="V772" s="1">
        <f t="shared" si="199"/>
        <v>47.5</v>
      </c>
      <c r="W772" s="1">
        <f t="shared" si="200"/>
        <v>52.5</v>
      </c>
      <c r="X772" s="1">
        <f t="shared" si="201"/>
        <v>14.756521739130434</v>
      </c>
      <c r="Y772" s="1">
        <f t="shared" si="202"/>
        <v>35</v>
      </c>
      <c r="Z772" s="1">
        <f t="shared" si="203"/>
        <v>39</v>
      </c>
      <c r="AA772" s="1">
        <f t="shared" si="204"/>
        <v>3.5142857142857138</v>
      </c>
      <c r="AB772" s="1">
        <f t="shared" si="205"/>
        <v>3.4871794871794872</v>
      </c>
      <c r="AC772" s="1">
        <f t="shared" si="206"/>
        <v>0</v>
      </c>
      <c r="AD772" s="1">
        <f t="shared" si="207"/>
        <v>1.6408863577729953E-2</v>
      </c>
    </row>
    <row r="773" spans="1:30" x14ac:dyDescent="0.35">
      <c r="A773" t="s">
        <v>1544</v>
      </c>
      <c r="B773" t="s">
        <v>45</v>
      </c>
      <c r="C773" t="s">
        <v>93</v>
      </c>
      <c r="D773" t="s">
        <v>17</v>
      </c>
      <c r="E773">
        <v>46</v>
      </c>
      <c r="F773" t="s">
        <v>37</v>
      </c>
      <c r="G773" t="s">
        <v>57</v>
      </c>
      <c r="H773" t="s">
        <v>600</v>
      </c>
      <c r="I773">
        <v>2</v>
      </c>
      <c r="J773">
        <v>8</v>
      </c>
      <c r="K773">
        <v>292018</v>
      </c>
      <c r="L773">
        <v>2.2000000000000002</v>
      </c>
      <c r="M773" t="s">
        <v>21</v>
      </c>
      <c r="N773">
        <v>50</v>
      </c>
      <c r="O773">
        <f t="shared" si="192"/>
        <v>229</v>
      </c>
      <c r="P773">
        <f t="shared" si="193"/>
        <v>113</v>
      </c>
      <c r="Q773">
        <f t="shared" si="194"/>
        <v>116</v>
      </c>
      <c r="R773">
        <f t="shared" si="195"/>
        <v>49.650349650349654</v>
      </c>
      <c r="S773" s="1">
        <f t="shared" si="196"/>
        <v>50.24975024975025</v>
      </c>
      <c r="T773" s="1">
        <f t="shared" si="197"/>
        <v>105</v>
      </c>
      <c r="U773" s="1">
        <f t="shared" si="198"/>
        <v>124</v>
      </c>
      <c r="V773" s="1">
        <f t="shared" si="199"/>
        <v>47.5</v>
      </c>
      <c r="W773" s="1">
        <f t="shared" si="200"/>
        <v>52.5</v>
      </c>
      <c r="X773" s="1">
        <f t="shared" si="201"/>
        <v>14.799126637554584</v>
      </c>
      <c r="Y773" s="1">
        <f t="shared" si="202"/>
        <v>35</v>
      </c>
      <c r="Z773" s="1">
        <f t="shared" si="203"/>
        <v>38</v>
      </c>
      <c r="AA773" s="1">
        <f t="shared" si="204"/>
        <v>3.5142857142857138</v>
      </c>
      <c r="AB773" s="1">
        <f t="shared" si="205"/>
        <v>3.4605263157894739</v>
      </c>
      <c r="AC773" s="1">
        <f t="shared" si="206"/>
        <v>1</v>
      </c>
      <c r="AD773" s="1">
        <f t="shared" si="207"/>
        <v>1.1062044052401189E-2</v>
      </c>
    </row>
    <row r="774" spans="1:30" x14ac:dyDescent="0.35">
      <c r="A774" t="s">
        <v>1545</v>
      </c>
      <c r="B774" t="s">
        <v>60</v>
      </c>
      <c r="C774" t="s">
        <v>36</v>
      </c>
      <c r="D774" t="s">
        <v>17</v>
      </c>
      <c r="E774">
        <v>34</v>
      </c>
      <c r="F774" t="s">
        <v>74</v>
      </c>
      <c r="G774" t="s">
        <v>26</v>
      </c>
      <c r="H774" t="s">
        <v>1546</v>
      </c>
      <c r="I774">
        <v>15</v>
      </c>
      <c r="J774">
        <v>23</v>
      </c>
      <c r="K774">
        <v>463726</v>
      </c>
      <c r="L774">
        <v>3.9</v>
      </c>
      <c r="M774" t="s">
        <v>21</v>
      </c>
      <c r="N774">
        <v>58</v>
      </c>
      <c r="O774">
        <f t="shared" si="192"/>
        <v>228</v>
      </c>
      <c r="P774">
        <f t="shared" si="193"/>
        <v>112</v>
      </c>
      <c r="Q774">
        <f t="shared" si="194"/>
        <v>116</v>
      </c>
      <c r="R774">
        <f t="shared" si="195"/>
        <v>49.650349650349654</v>
      </c>
      <c r="S774" s="1">
        <f t="shared" si="196"/>
        <v>50.24975024975025</v>
      </c>
      <c r="T774" s="1">
        <f t="shared" si="197"/>
        <v>104</v>
      </c>
      <c r="U774" s="1">
        <f t="shared" si="198"/>
        <v>124</v>
      </c>
      <c r="V774" s="1">
        <f t="shared" si="199"/>
        <v>47.5</v>
      </c>
      <c r="W774" s="1">
        <f t="shared" si="200"/>
        <v>52.5</v>
      </c>
      <c r="X774" s="1">
        <f t="shared" si="201"/>
        <v>14.828947368421053</v>
      </c>
      <c r="Y774" s="1">
        <f t="shared" si="202"/>
        <v>35</v>
      </c>
      <c r="Z774" s="1">
        <f t="shared" si="203"/>
        <v>38</v>
      </c>
      <c r="AA774" s="1">
        <f t="shared" si="204"/>
        <v>3.5142857142857138</v>
      </c>
      <c r="AB774" s="1">
        <f t="shared" si="205"/>
        <v>3.4605263157894739</v>
      </c>
      <c r="AC774" s="1">
        <f t="shared" si="206"/>
        <v>1</v>
      </c>
      <c r="AD774" s="1">
        <f t="shared" si="207"/>
        <v>1.5632223853923492E-2</v>
      </c>
    </row>
    <row r="775" spans="1:30" x14ac:dyDescent="0.35">
      <c r="A775" t="s">
        <v>1547</v>
      </c>
      <c r="B775" t="s">
        <v>23</v>
      </c>
      <c r="C775" t="s">
        <v>56</v>
      </c>
      <c r="D775" t="s">
        <v>17</v>
      </c>
      <c r="E775">
        <v>34</v>
      </c>
      <c r="F775" t="s">
        <v>18</v>
      </c>
      <c r="G775" t="s">
        <v>57</v>
      </c>
      <c r="H775" t="s">
        <v>1548</v>
      </c>
      <c r="I775">
        <v>0</v>
      </c>
      <c r="J775">
        <v>5</v>
      </c>
      <c r="K775">
        <v>434499</v>
      </c>
      <c r="L775">
        <v>2.2999999999999998</v>
      </c>
      <c r="M775" t="s">
        <v>21</v>
      </c>
      <c r="N775">
        <v>51</v>
      </c>
      <c r="O775">
        <f t="shared" si="192"/>
        <v>227</v>
      </c>
      <c r="P775">
        <f t="shared" si="193"/>
        <v>111</v>
      </c>
      <c r="Q775">
        <f t="shared" si="194"/>
        <v>116</v>
      </c>
      <c r="R775">
        <f t="shared" si="195"/>
        <v>49.650349650349654</v>
      </c>
      <c r="S775" s="1">
        <f t="shared" si="196"/>
        <v>50.24975024975025</v>
      </c>
      <c r="T775" s="1">
        <f t="shared" si="197"/>
        <v>103</v>
      </c>
      <c r="U775" s="1">
        <f t="shared" si="198"/>
        <v>124</v>
      </c>
      <c r="V775" s="1">
        <f t="shared" si="199"/>
        <v>47.5</v>
      </c>
      <c r="W775" s="1">
        <f t="shared" si="200"/>
        <v>52.5</v>
      </c>
      <c r="X775" s="1">
        <f t="shared" si="201"/>
        <v>14.79295154185022</v>
      </c>
      <c r="Y775" s="1">
        <f t="shared" si="202"/>
        <v>34</v>
      </c>
      <c r="Z775" s="1">
        <f t="shared" si="203"/>
        <v>38</v>
      </c>
      <c r="AA775" s="1">
        <f t="shared" si="204"/>
        <v>3.5029411764705878</v>
      </c>
      <c r="AB775" s="1">
        <f t="shared" si="205"/>
        <v>3.4605263157894739</v>
      </c>
      <c r="AC775" s="1">
        <f t="shared" si="206"/>
        <v>1</v>
      </c>
      <c r="AD775" s="1">
        <f t="shared" si="207"/>
        <v>1.023249603402232E-2</v>
      </c>
    </row>
    <row r="776" spans="1:30" x14ac:dyDescent="0.35">
      <c r="A776" t="s">
        <v>1549</v>
      </c>
      <c r="B776" t="s">
        <v>96</v>
      </c>
      <c r="C776" t="s">
        <v>82</v>
      </c>
      <c r="D776" t="s">
        <v>25</v>
      </c>
      <c r="E776">
        <v>23</v>
      </c>
      <c r="F776" t="s">
        <v>70</v>
      </c>
      <c r="G776" t="s">
        <v>19</v>
      </c>
      <c r="H776" t="s">
        <v>1550</v>
      </c>
      <c r="I776">
        <v>2</v>
      </c>
      <c r="J776">
        <v>2</v>
      </c>
      <c r="K776">
        <v>474068</v>
      </c>
      <c r="L776">
        <v>3.7</v>
      </c>
      <c r="M776" t="s">
        <v>21</v>
      </c>
      <c r="N776">
        <v>63</v>
      </c>
      <c r="O776">
        <f t="shared" si="192"/>
        <v>226</v>
      </c>
      <c r="P776">
        <f t="shared" si="193"/>
        <v>110</v>
      </c>
      <c r="Q776">
        <f t="shared" si="194"/>
        <v>116</v>
      </c>
      <c r="R776">
        <f t="shared" si="195"/>
        <v>49.650349650349654</v>
      </c>
      <c r="S776" s="1">
        <f t="shared" si="196"/>
        <v>50.24975024975025</v>
      </c>
      <c r="T776" s="1">
        <f t="shared" si="197"/>
        <v>102</v>
      </c>
      <c r="U776" s="1">
        <f t="shared" si="198"/>
        <v>124</v>
      </c>
      <c r="V776" s="1">
        <f t="shared" si="199"/>
        <v>47.5</v>
      </c>
      <c r="W776" s="1">
        <f t="shared" si="200"/>
        <v>52.5</v>
      </c>
      <c r="X776" s="1">
        <f t="shared" si="201"/>
        <v>14.836283185840708</v>
      </c>
      <c r="Y776" s="1">
        <f t="shared" si="202"/>
        <v>34</v>
      </c>
      <c r="Z776" s="1">
        <f t="shared" si="203"/>
        <v>38</v>
      </c>
      <c r="AA776" s="1">
        <f t="shared" si="204"/>
        <v>3.5029411764705878</v>
      </c>
      <c r="AB776" s="1">
        <f t="shared" si="205"/>
        <v>3.4605263157894739</v>
      </c>
      <c r="AC776" s="1">
        <f t="shared" si="206"/>
        <v>1</v>
      </c>
      <c r="AD776" s="1">
        <f t="shared" si="207"/>
        <v>1.6950512735135041E-2</v>
      </c>
    </row>
    <row r="777" spans="1:30" x14ac:dyDescent="0.35">
      <c r="A777" t="s">
        <v>1551</v>
      </c>
      <c r="B777" t="s">
        <v>45</v>
      </c>
      <c r="C777" t="s">
        <v>24</v>
      </c>
      <c r="D777" t="s">
        <v>25</v>
      </c>
      <c r="E777">
        <v>44</v>
      </c>
      <c r="F777" t="s">
        <v>18</v>
      </c>
      <c r="G777" t="s">
        <v>85</v>
      </c>
      <c r="H777" t="s">
        <v>1552</v>
      </c>
      <c r="I777">
        <v>1</v>
      </c>
      <c r="J777">
        <v>4</v>
      </c>
      <c r="K777">
        <v>382604</v>
      </c>
      <c r="L777">
        <v>2.9</v>
      </c>
      <c r="M777" t="s">
        <v>43</v>
      </c>
      <c r="N777">
        <v>92</v>
      </c>
      <c r="O777">
        <f t="shared" si="192"/>
        <v>225</v>
      </c>
      <c r="P777">
        <f t="shared" si="193"/>
        <v>110</v>
      </c>
      <c r="Q777">
        <f t="shared" si="194"/>
        <v>115</v>
      </c>
      <c r="R777">
        <f t="shared" si="195"/>
        <v>49.650349650349654</v>
      </c>
      <c r="S777" s="1">
        <f t="shared" si="196"/>
        <v>50.24975024975025</v>
      </c>
      <c r="T777" s="1">
        <f t="shared" si="197"/>
        <v>101</v>
      </c>
      <c r="U777" s="1">
        <f t="shared" si="198"/>
        <v>124</v>
      </c>
      <c r="V777" s="1">
        <f t="shared" si="199"/>
        <v>47.5</v>
      </c>
      <c r="W777" s="1">
        <f t="shared" si="200"/>
        <v>52.5</v>
      </c>
      <c r="X777" s="1">
        <f t="shared" si="201"/>
        <v>14.893333333333333</v>
      </c>
      <c r="Y777" s="1">
        <f t="shared" si="202"/>
        <v>34</v>
      </c>
      <c r="Z777" s="1">
        <f t="shared" si="203"/>
        <v>38</v>
      </c>
      <c r="AA777" s="1">
        <f t="shared" si="204"/>
        <v>3.5029411764705878</v>
      </c>
      <c r="AB777" s="1">
        <f t="shared" si="205"/>
        <v>3.4605263157894739</v>
      </c>
      <c r="AC777" s="1">
        <f t="shared" si="206"/>
        <v>0</v>
      </c>
      <c r="AD777" s="1">
        <f t="shared" si="207"/>
        <v>2.5958183822230783E-2</v>
      </c>
    </row>
    <row r="778" spans="1:30" x14ac:dyDescent="0.35">
      <c r="A778" t="s">
        <v>1553</v>
      </c>
      <c r="B778" t="s">
        <v>15</v>
      </c>
      <c r="C778" t="s">
        <v>82</v>
      </c>
      <c r="D778" t="s">
        <v>17</v>
      </c>
      <c r="E778">
        <v>38</v>
      </c>
      <c r="F778" t="s">
        <v>70</v>
      </c>
      <c r="G778" t="s">
        <v>75</v>
      </c>
      <c r="H778" t="s">
        <v>1554</v>
      </c>
      <c r="I778">
        <v>2</v>
      </c>
      <c r="J778">
        <v>3</v>
      </c>
      <c r="K778">
        <v>294929</v>
      </c>
      <c r="L778">
        <v>4.5</v>
      </c>
      <c r="M778" t="s">
        <v>43</v>
      </c>
      <c r="N778">
        <v>91</v>
      </c>
      <c r="O778">
        <f t="shared" si="192"/>
        <v>224</v>
      </c>
      <c r="P778">
        <f t="shared" si="193"/>
        <v>110</v>
      </c>
      <c r="Q778">
        <f t="shared" si="194"/>
        <v>114</v>
      </c>
      <c r="R778">
        <f t="shared" si="195"/>
        <v>49.650349650349654</v>
      </c>
      <c r="S778" s="1">
        <f t="shared" si="196"/>
        <v>50.24975024975025</v>
      </c>
      <c r="T778" s="1">
        <f t="shared" si="197"/>
        <v>101</v>
      </c>
      <c r="U778" s="1">
        <f t="shared" si="198"/>
        <v>123</v>
      </c>
      <c r="V778" s="1">
        <f t="shared" si="199"/>
        <v>47.5</v>
      </c>
      <c r="W778" s="1">
        <f t="shared" si="200"/>
        <v>52.5</v>
      </c>
      <c r="X778" s="1">
        <f t="shared" si="201"/>
        <v>14.941964285714286</v>
      </c>
      <c r="Y778" s="1">
        <f t="shared" si="202"/>
        <v>34</v>
      </c>
      <c r="Z778" s="1">
        <f t="shared" si="203"/>
        <v>38</v>
      </c>
      <c r="AA778" s="1">
        <f t="shared" si="204"/>
        <v>3.5029411764705878</v>
      </c>
      <c r="AB778" s="1">
        <f t="shared" si="205"/>
        <v>3.4605263157894739</v>
      </c>
      <c r="AC778" s="1">
        <f t="shared" si="206"/>
        <v>0</v>
      </c>
      <c r="AD778" s="1">
        <f t="shared" si="207"/>
        <v>1.9960328446387947E-2</v>
      </c>
    </row>
    <row r="779" spans="1:30" x14ac:dyDescent="0.35">
      <c r="A779" t="s">
        <v>1555</v>
      </c>
      <c r="B779" t="s">
        <v>15</v>
      </c>
      <c r="C779" t="s">
        <v>93</v>
      </c>
      <c r="D779" t="s">
        <v>17</v>
      </c>
      <c r="E779">
        <v>56</v>
      </c>
      <c r="F779" t="s">
        <v>70</v>
      </c>
      <c r="G779" t="s">
        <v>26</v>
      </c>
      <c r="H779" t="s">
        <v>1556</v>
      </c>
      <c r="I779">
        <v>13</v>
      </c>
      <c r="J779">
        <v>18</v>
      </c>
      <c r="K779">
        <v>218970</v>
      </c>
      <c r="L779">
        <v>2.9</v>
      </c>
      <c r="M779" t="s">
        <v>43</v>
      </c>
      <c r="N779">
        <v>74</v>
      </c>
      <c r="O779">
        <f t="shared" si="192"/>
        <v>223</v>
      </c>
      <c r="P779">
        <f t="shared" si="193"/>
        <v>109</v>
      </c>
      <c r="Q779">
        <f t="shared" si="194"/>
        <v>114</v>
      </c>
      <c r="R779">
        <f t="shared" si="195"/>
        <v>49.650349650349654</v>
      </c>
      <c r="S779" s="1">
        <f t="shared" si="196"/>
        <v>50.24975024975025</v>
      </c>
      <c r="T779" s="1">
        <f t="shared" si="197"/>
        <v>101</v>
      </c>
      <c r="U779" s="1">
        <f t="shared" si="198"/>
        <v>122</v>
      </c>
      <c r="V779" s="1">
        <f t="shared" si="199"/>
        <v>47.5</v>
      </c>
      <c r="W779" s="1">
        <f t="shared" si="200"/>
        <v>52.5</v>
      </c>
      <c r="X779" s="1">
        <f t="shared" si="201"/>
        <v>14.995515695067265</v>
      </c>
      <c r="Y779" s="1">
        <f t="shared" si="202"/>
        <v>34</v>
      </c>
      <c r="Z779" s="1">
        <f t="shared" si="203"/>
        <v>38</v>
      </c>
      <c r="AA779" s="1">
        <f t="shared" si="204"/>
        <v>3.5029411764705878</v>
      </c>
      <c r="AB779" s="1">
        <f t="shared" si="205"/>
        <v>3.4605263157894739</v>
      </c>
      <c r="AC779" s="1">
        <f t="shared" si="206"/>
        <v>0</v>
      </c>
      <c r="AD779" s="1">
        <f t="shared" si="207"/>
        <v>1.326197549324697E-2</v>
      </c>
    </row>
    <row r="780" spans="1:30" x14ac:dyDescent="0.35">
      <c r="A780" t="s">
        <v>1557</v>
      </c>
      <c r="B780" t="s">
        <v>45</v>
      </c>
      <c r="C780" t="s">
        <v>93</v>
      </c>
      <c r="D780" t="s">
        <v>17</v>
      </c>
      <c r="E780">
        <v>29</v>
      </c>
      <c r="F780" t="s">
        <v>46</v>
      </c>
      <c r="G780" t="s">
        <v>26</v>
      </c>
      <c r="H780" t="s">
        <v>1558</v>
      </c>
      <c r="I780">
        <v>20</v>
      </c>
      <c r="J780">
        <v>27</v>
      </c>
      <c r="K780">
        <v>90124</v>
      </c>
      <c r="L780">
        <v>2.2999999999999998</v>
      </c>
      <c r="M780" t="s">
        <v>21</v>
      </c>
      <c r="N780">
        <v>40</v>
      </c>
      <c r="O780">
        <f t="shared" si="192"/>
        <v>222</v>
      </c>
      <c r="P780">
        <f t="shared" si="193"/>
        <v>108</v>
      </c>
      <c r="Q780">
        <f t="shared" si="194"/>
        <v>114</v>
      </c>
      <c r="R780">
        <f t="shared" si="195"/>
        <v>49.650349650349654</v>
      </c>
      <c r="S780" s="1">
        <f t="shared" si="196"/>
        <v>50.24975024975025</v>
      </c>
      <c r="T780" s="1">
        <f t="shared" si="197"/>
        <v>101</v>
      </c>
      <c r="U780" s="1">
        <f t="shared" si="198"/>
        <v>121</v>
      </c>
      <c r="V780" s="1">
        <f t="shared" si="199"/>
        <v>47.5</v>
      </c>
      <c r="W780" s="1">
        <f t="shared" si="200"/>
        <v>52.5</v>
      </c>
      <c r="X780" s="1">
        <f t="shared" si="201"/>
        <v>14.981981981981981</v>
      </c>
      <c r="Y780" s="1">
        <f t="shared" si="202"/>
        <v>34</v>
      </c>
      <c r="Z780" s="1">
        <f t="shared" si="203"/>
        <v>38</v>
      </c>
      <c r="AA780" s="1">
        <f t="shared" si="204"/>
        <v>3.5029411764705878</v>
      </c>
      <c r="AB780" s="1">
        <f t="shared" si="205"/>
        <v>3.4605263157894739</v>
      </c>
      <c r="AC780" s="1">
        <f t="shared" si="206"/>
        <v>1</v>
      </c>
      <c r="AD780" s="1">
        <f t="shared" si="207"/>
        <v>1.5030317502417479E-2</v>
      </c>
    </row>
    <row r="781" spans="1:30" x14ac:dyDescent="0.35">
      <c r="A781" t="s">
        <v>1559</v>
      </c>
      <c r="B781" t="s">
        <v>55</v>
      </c>
      <c r="C781" t="s">
        <v>36</v>
      </c>
      <c r="D781" t="s">
        <v>17</v>
      </c>
      <c r="E781">
        <v>21</v>
      </c>
      <c r="F781" t="s">
        <v>31</v>
      </c>
      <c r="G781" t="s">
        <v>61</v>
      </c>
      <c r="H781" t="s">
        <v>1560</v>
      </c>
      <c r="I781">
        <v>14</v>
      </c>
      <c r="J781">
        <v>23</v>
      </c>
      <c r="K781">
        <v>207268</v>
      </c>
      <c r="L781">
        <v>2.1</v>
      </c>
      <c r="M781" t="s">
        <v>43</v>
      </c>
      <c r="N781">
        <v>90</v>
      </c>
      <c r="O781">
        <f t="shared" si="192"/>
        <v>221</v>
      </c>
      <c r="P781">
        <f t="shared" si="193"/>
        <v>107</v>
      </c>
      <c r="Q781">
        <f t="shared" si="194"/>
        <v>114</v>
      </c>
      <c r="R781">
        <f t="shared" si="195"/>
        <v>49.650349650349654</v>
      </c>
      <c r="S781" s="1">
        <f t="shared" si="196"/>
        <v>50.24975024975025</v>
      </c>
      <c r="T781" s="1">
        <f t="shared" si="197"/>
        <v>100</v>
      </c>
      <c r="U781" s="1">
        <f t="shared" si="198"/>
        <v>121</v>
      </c>
      <c r="V781" s="1">
        <f t="shared" si="199"/>
        <v>47.5</v>
      </c>
      <c r="W781" s="1">
        <f t="shared" si="200"/>
        <v>52.5</v>
      </c>
      <c r="X781" s="1">
        <f t="shared" si="201"/>
        <v>14.927601809954751</v>
      </c>
      <c r="Y781" s="1">
        <f t="shared" si="202"/>
        <v>34</v>
      </c>
      <c r="Z781" s="1">
        <f t="shared" si="203"/>
        <v>38</v>
      </c>
      <c r="AA781" s="1">
        <f t="shared" si="204"/>
        <v>3.5029411764705878</v>
      </c>
      <c r="AB781" s="1">
        <f t="shared" si="205"/>
        <v>3.4605263157894739</v>
      </c>
      <c r="AC781" s="1">
        <f t="shared" si="206"/>
        <v>0</v>
      </c>
      <c r="AD781" s="1">
        <f t="shared" si="207"/>
        <v>6.7247577937859463E-3</v>
      </c>
    </row>
    <row r="782" spans="1:30" x14ac:dyDescent="0.35">
      <c r="A782" t="s">
        <v>1561</v>
      </c>
      <c r="B782" t="s">
        <v>69</v>
      </c>
      <c r="C782" t="s">
        <v>16</v>
      </c>
      <c r="D782" t="s">
        <v>17</v>
      </c>
      <c r="E782">
        <v>52</v>
      </c>
      <c r="F782" t="s">
        <v>31</v>
      </c>
      <c r="G782" t="s">
        <v>88</v>
      </c>
      <c r="H782" t="s">
        <v>889</v>
      </c>
      <c r="I782">
        <v>12</v>
      </c>
      <c r="J782">
        <v>18</v>
      </c>
      <c r="K782">
        <v>400986</v>
      </c>
      <c r="L782">
        <v>3.9</v>
      </c>
      <c r="M782" t="s">
        <v>43</v>
      </c>
      <c r="N782">
        <v>79</v>
      </c>
      <c r="O782">
        <f t="shared" si="192"/>
        <v>220</v>
      </c>
      <c r="P782">
        <f t="shared" si="193"/>
        <v>106</v>
      </c>
      <c r="Q782">
        <f t="shared" si="194"/>
        <v>114</v>
      </c>
      <c r="R782">
        <f t="shared" si="195"/>
        <v>49.650349650349654</v>
      </c>
      <c r="S782" s="1">
        <f t="shared" si="196"/>
        <v>50.24975024975025</v>
      </c>
      <c r="T782" s="1">
        <f t="shared" si="197"/>
        <v>100</v>
      </c>
      <c r="U782" s="1">
        <f t="shared" si="198"/>
        <v>120</v>
      </c>
      <c r="V782" s="1">
        <f t="shared" si="199"/>
        <v>47.5</v>
      </c>
      <c r="W782" s="1">
        <f t="shared" si="200"/>
        <v>52.5</v>
      </c>
      <c r="X782" s="1">
        <f t="shared" si="201"/>
        <v>14.890909090909091</v>
      </c>
      <c r="Y782" s="1">
        <f t="shared" si="202"/>
        <v>34</v>
      </c>
      <c r="Z782" s="1">
        <f t="shared" si="203"/>
        <v>37</v>
      </c>
      <c r="AA782" s="1">
        <f t="shared" si="204"/>
        <v>3.5029411764705878</v>
      </c>
      <c r="AB782" s="1">
        <f t="shared" si="205"/>
        <v>3.4972972972972967</v>
      </c>
      <c r="AC782" s="1">
        <f t="shared" si="206"/>
        <v>0</v>
      </c>
      <c r="AD782" s="1">
        <f t="shared" si="207"/>
        <v>1.1489382359517172E-2</v>
      </c>
    </row>
    <row r="783" spans="1:30" x14ac:dyDescent="0.35">
      <c r="A783" t="s">
        <v>1562</v>
      </c>
      <c r="B783" t="s">
        <v>96</v>
      </c>
      <c r="C783" t="s">
        <v>93</v>
      </c>
      <c r="D783" t="s">
        <v>25</v>
      </c>
      <c r="E783">
        <v>38</v>
      </c>
      <c r="F783" t="s">
        <v>46</v>
      </c>
      <c r="G783" t="s">
        <v>57</v>
      </c>
      <c r="H783" t="s">
        <v>1563</v>
      </c>
      <c r="I783">
        <v>7</v>
      </c>
      <c r="J783">
        <v>7</v>
      </c>
      <c r="K783">
        <v>124034</v>
      </c>
      <c r="L783">
        <v>4.5999999999999996</v>
      </c>
      <c r="M783" t="s">
        <v>21</v>
      </c>
      <c r="N783">
        <v>68</v>
      </c>
      <c r="O783">
        <f t="shared" si="192"/>
        <v>219</v>
      </c>
      <c r="P783">
        <f t="shared" si="193"/>
        <v>105</v>
      </c>
      <c r="Q783">
        <f t="shared" si="194"/>
        <v>114</v>
      </c>
      <c r="R783">
        <f t="shared" si="195"/>
        <v>49.650349650349654</v>
      </c>
      <c r="S783" s="1">
        <f t="shared" si="196"/>
        <v>50.24975024975025</v>
      </c>
      <c r="T783" s="1">
        <f t="shared" si="197"/>
        <v>100</v>
      </c>
      <c r="U783" s="1">
        <f t="shared" si="198"/>
        <v>119</v>
      </c>
      <c r="V783" s="1">
        <f t="shared" si="199"/>
        <v>47.5</v>
      </c>
      <c r="W783" s="1">
        <f t="shared" si="200"/>
        <v>52.5</v>
      </c>
      <c r="X783" s="1">
        <f t="shared" si="201"/>
        <v>14.876712328767123</v>
      </c>
      <c r="Y783" s="1">
        <f t="shared" si="202"/>
        <v>34</v>
      </c>
      <c r="Z783" s="1">
        <f t="shared" si="203"/>
        <v>36</v>
      </c>
      <c r="AA783" s="1">
        <f t="shared" si="204"/>
        <v>3.5029411764705878</v>
      </c>
      <c r="AB783" s="1">
        <f t="shared" si="205"/>
        <v>3.4861111111111107</v>
      </c>
      <c r="AC783" s="1">
        <f t="shared" si="206"/>
        <v>1</v>
      </c>
      <c r="AD783" s="1">
        <f t="shared" si="207"/>
        <v>1.3351529151583007E-2</v>
      </c>
    </row>
    <row r="784" spans="1:30" x14ac:dyDescent="0.35">
      <c r="A784" t="s">
        <v>1564</v>
      </c>
      <c r="B784" t="s">
        <v>60</v>
      </c>
      <c r="C784" t="s">
        <v>16</v>
      </c>
      <c r="D784" t="s">
        <v>17</v>
      </c>
      <c r="E784">
        <v>34</v>
      </c>
      <c r="F784" t="s">
        <v>46</v>
      </c>
      <c r="G784" t="s">
        <v>61</v>
      </c>
      <c r="H784" t="s">
        <v>1565</v>
      </c>
      <c r="I784">
        <v>20</v>
      </c>
      <c r="J784">
        <v>27</v>
      </c>
      <c r="K784">
        <v>428556</v>
      </c>
      <c r="L784">
        <v>4.3</v>
      </c>
      <c r="M784" t="s">
        <v>43</v>
      </c>
      <c r="N784">
        <v>95</v>
      </c>
      <c r="O784">
        <f t="shared" si="192"/>
        <v>218</v>
      </c>
      <c r="P784">
        <f t="shared" si="193"/>
        <v>105</v>
      </c>
      <c r="Q784">
        <f t="shared" si="194"/>
        <v>113</v>
      </c>
      <c r="R784">
        <f t="shared" si="195"/>
        <v>49.650349650349654</v>
      </c>
      <c r="S784" s="1">
        <f t="shared" si="196"/>
        <v>50.24975024975025</v>
      </c>
      <c r="T784" s="1">
        <f t="shared" si="197"/>
        <v>99</v>
      </c>
      <c r="U784" s="1">
        <f t="shared" si="198"/>
        <v>119</v>
      </c>
      <c r="V784" s="1">
        <f t="shared" si="199"/>
        <v>47.5</v>
      </c>
      <c r="W784" s="1">
        <f t="shared" si="200"/>
        <v>52.5</v>
      </c>
      <c r="X784" s="1">
        <f t="shared" si="201"/>
        <v>14.912844036697248</v>
      </c>
      <c r="Y784" s="1">
        <f t="shared" si="202"/>
        <v>34</v>
      </c>
      <c r="Z784" s="1">
        <f t="shared" si="203"/>
        <v>36</v>
      </c>
      <c r="AA784" s="1">
        <f t="shared" si="204"/>
        <v>3.5029411764705878</v>
      </c>
      <c r="AB784" s="1">
        <f t="shared" si="205"/>
        <v>3.4861111111111107</v>
      </c>
      <c r="AC784" s="1">
        <f t="shared" si="206"/>
        <v>0</v>
      </c>
      <c r="AD784" s="1">
        <f t="shared" si="207"/>
        <v>1.9015225637122522E-2</v>
      </c>
    </row>
    <row r="785" spans="1:30" x14ac:dyDescent="0.35">
      <c r="A785" t="s">
        <v>1566</v>
      </c>
      <c r="B785" t="s">
        <v>111</v>
      </c>
      <c r="C785" t="s">
        <v>93</v>
      </c>
      <c r="D785" t="s">
        <v>17</v>
      </c>
      <c r="E785">
        <v>21</v>
      </c>
      <c r="F785" t="s">
        <v>46</v>
      </c>
      <c r="G785" t="s">
        <v>88</v>
      </c>
      <c r="H785" t="s">
        <v>1567</v>
      </c>
      <c r="I785">
        <v>18</v>
      </c>
      <c r="J785">
        <v>28</v>
      </c>
      <c r="K785">
        <v>312700</v>
      </c>
      <c r="L785">
        <v>2.4</v>
      </c>
      <c r="M785" t="s">
        <v>21</v>
      </c>
      <c r="N785">
        <v>38</v>
      </c>
      <c r="O785">
        <f t="shared" si="192"/>
        <v>217</v>
      </c>
      <c r="P785">
        <f t="shared" si="193"/>
        <v>104</v>
      </c>
      <c r="Q785">
        <f t="shared" si="194"/>
        <v>113</v>
      </c>
      <c r="R785">
        <f t="shared" si="195"/>
        <v>49.650349650349654</v>
      </c>
      <c r="S785" s="1">
        <f t="shared" si="196"/>
        <v>50.24975024975025</v>
      </c>
      <c r="T785" s="1">
        <f t="shared" si="197"/>
        <v>99</v>
      </c>
      <c r="U785" s="1">
        <f t="shared" si="198"/>
        <v>118</v>
      </c>
      <c r="V785" s="1">
        <f t="shared" si="199"/>
        <v>47.5</v>
      </c>
      <c r="W785" s="1">
        <f t="shared" si="200"/>
        <v>52.5</v>
      </c>
      <c r="X785" s="1">
        <f t="shared" si="201"/>
        <v>14.857142857142858</v>
      </c>
      <c r="Y785" s="1">
        <f t="shared" si="202"/>
        <v>34</v>
      </c>
      <c r="Z785" s="1">
        <f t="shared" si="203"/>
        <v>36</v>
      </c>
      <c r="AA785" s="1">
        <f t="shared" si="204"/>
        <v>3.5029411764705878</v>
      </c>
      <c r="AB785" s="1">
        <f t="shared" si="205"/>
        <v>3.4861111111111107</v>
      </c>
      <c r="AC785" s="1">
        <f t="shared" si="206"/>
        <v>1</v>
      </c>
      <c r="AD785" s="1">
        <f t="shared" si="207"/>
        <v>2.6411226283781841E-2</v>
      </c>
    </row>
    <row r="786" spans="1:30" x14ac:dyDescent="0.35">
      <c r="A786" t="s">
        <v>1568</v>
      </c>
      <c r="B786" t="s">
        <v>69</v>
      </c>
      <c r="C786" t="s">
        <v>52</v>
      </c>
      <c r="D786" t="s">
        <v>17</v>
      </c>
      <c r="E786">
        <v>55</v>
      </c>
      <c r="F786" t="s">
        <v>70</v>
      </c>
      <c r="G786" t="s">
        <v>19</v>
      </c>
      <c r="H786" t="s">
        <v>126</v>
      </c>
      <c r="I786">
        <v>11</v>
      </c>
      <c r="J786">
        <v>19</v>
      </c>
      <c r="K786">
        <v>368366</v>
      </c>
      <c r="L786">
        <v>2.2999999999999998</v>
      </c>
      <c r="M786" t="s">
        <v>43</v>
      </c>
      <c r="N786">
        <v>75</v>
      </c>
      <c r="O786">
        <f t="shared" si="192"/>
        <v>216</v>
      </c>
      <c r="P786">
        <f t="shared" si="193"/>
        <v>103</v>
      </c>
      <c r="Q786">
        <f t="shared" si="194"/>
        <v>113</v>
      </c>
      <c r="R786">
        <f t="shared" si="195"/>
        <v>49.650349650349654</v>
      </c>
      <c r="S786" s="1">
        <f t="shared" si="196"/>
        <v>50.24975024975025</v>
      </c>
      <c r="T786" s="1">
        <f t="shared" si="197"/>
        <v>98</v>
      </c>
      <c r="U786" s="1">
        <f t="shared" si="198"/>
        <v>118</v>
      </c>
      <c r="V786" s="1">
        <f t="shared" si="199"/>
        <v>47.5</v>
      </c>
      <c r="W786" s="1">
        <f t="shared" si="200"/>
        <v>52.5</v>
      </c>
      <c r="X786" s="1">
        <f t="shared" si="201"/>
        <v>14.796296296296296</v>
      </c>
      <c r="Y786" s="1">
        <f t="shared" si="202"/>
        <v>34</v>
      </c>
      <c r="Z786" s="1">
        <f t="shared" si="203"/>
        <v>36</v>
      </c>
      <c r="AA786" s="1">
        <f t="shared" si="204"/>
        <v>3.5029411764705878</v>
      </c>
      <c r="AB786" s="1">
        <f t="shared" si="205"/>
        <v>3.4861111111111107</v>
      </c>
      <c r="AC786" s="1">
        <f t="shared" si="206"/>
        <v>0</v>
      </c>
      <c r="AD786" s="1">
        <f t="shared" si="207"/>
        <v>1.7182616560369224E-2</v>
      </c>
    </row>
    <row r="787" spans="1:30" x14ac:dyDescent="0.35">
      <c r="A787" t="s">
        <v>1569</v>
      </c>
      <c r="B787" t="s">
        <v>45</v>
      </c>
      <c r="C787" t="s">
        <v>52</v>
      </c>
      <c r="D787" t="s">
        <v>25</v>
      </c>
      <c r="E787">
        <v>54</v>
      </c>
      <c r="F787" t="s">
        <v>31</v>
      </c>
      <c r="G787" t="s">
        <v>75</v>
      </c>
      <c r="H787" t="s">
        <v>1570</v>
      </c>
      <c r="I787">
        <v>19</v>
      </c>
      <c r="J787">
        <v>27</v>
      </c>
      <c r="K787">
        <v>182538</v>
      </c>
      <c r="L787">
        <v>4.3</v>
      </c>
      <c r="M787" t="s">
        <v>43</v>
      </c>
      <c r="N787">
        <v>94</v>
      </c>
      <c r="O787">
        <f t="shared" si="192"/>
        <v>215</v>
      </c>
      <c r="P787">
        <f t="shared" si="193"/>
        <v>102</v>
      </c>
      <c r="Q787">
        <f t="shared" si="194"/>
        <v>113</v>
      </c>
      <c r="R787">
        <f t="shared" si="195"/>
        <v>49.650349650349654</v>
      </c>
      <c r="S787" s="1">
        <f t="shared" si="196"/>
        <v>50.24975024975025</v>
      </c>
      <c r="T787" s="1">
        <f t="shared" si="197"/>
        <v>98</v>
      </c>
      <c r="U787" s="1">
        <f t="shared" si="198"/>
        <v>117</v>
      </c>
      <c r="V787" s="1">
        <f t="shared" si="199"/>
        <v>47.5</v>
      </c>
      <c r="W787" s="1">
        <f t="shared" si="200"/>
        <v>52.5</v>
      </c>
      <c r="X787" s="1">
        <f t="shared" si="201"/>
        <v>14.776744186046512</v>
      </c>
      <c r="Y787" s="1">
        <f t="shared" si="202"/>
        <v>34</v>
      </c>
      <c r="Z787" s="1">
        <f t="shared" si="203"/>
        <v>36</v>
      </c>
      <c r="AA787" s="1">
        <f t="shared" si="204"/>
        <v>3.5029411764705878</v>
      </c>
      <c r="AB787" s="1">
        <f t="shared" si="205"/>
        <v>3.4861111111111107</v>
      </c>
      <c r="AC787" s="1">
        <f t="shared" si="206"/>
        <v>0</v>
      </c>
      <c r="AD787" s="1">
        <f t="shared" si="207"/>
        <v>1.9777170348377886E-2</v>
      </c>
    </row>
    <row r="788" spans="1:30" x14ac:dyDescent="0.35">
      <c r="A788" t="s">
        <v>1571</v>
      </c>
      <c r="B788" t="s">
        <v>96</v>
      </c>
      <c r="C788" t="s">
        <v>56</v>
      </c>
      <c r="D788" t="s">
        <v>25</v>
      </c>
      <c r="E788">
        <v>25</v>
      </c>
      <c r="F788" t="s">
        <v>37</v>
      </c>
      <c r="G788" t="s">
        <v>41</v>
      </c>
      <c r="H788" t="s">
        <v>1572</v>
      </c>
      <c r="I788">
        <v>10</v>
      </c>
      <c r="J788">
        <v>18</v>
      </c>
      <c r="K788">
        <v>308429</v>
      </c>
      <c r="L788">
        <v>4</v>
      </c>
      <c r="M788" t="s">
        <v>43</v>
      </c>
      <c r="N788">
        <v>90</v>
      </c>
      <c r="O788">
        <f t="shared" si="192"/>
        <v>214</v>
      </c>
      <c r="P788">
        <f t="shared" si="193"/>
        <v>102</v>
      </c>
      <c r="Q788">
        <f t="shared" si="194"/>
        <v>112</v>
      </c>
      <c r="R788">
        <f t="shared" si="195"/>
        <v>49.650349650349654</v>
      </c>
      <c r="S788" s="1">
        <f t="shared" si="196"/>
        <v>50.24975024975025</v>
      </c>
      <c r="T788" s="1">
        <f t="shared" si="197"/>
        <v>98</v>
      </c>
      <c r="U788" s="1">
        <f t="shared" si="198"/>
        <v>116</v>
      </c>
      <c r="V788" s="1">
        <f t="shared" si="199"/>
        <v>47.5</v>
      </c>
      <c r="W788" s="1">
        <f t="shared" si="200"/>
        <v>52.5</v>
      </c>
      <c r="X788" s="1">
        <f t="shared" si="201"/>
        <v>14.719626168224298</v>
      </c>
      <c r="Y788" s="1">
        <f t="shared" si="202"/>
        <v>34</v>
      </c>
      <c r="Z788" s="1">
        <f t="shared" si="203"/>
        <v>35</v>
      </c>
      <c r="AA788" s="1">
        <f t="shared" si="204"/>
        <v>3.5029411764705878</v>
      </c>
      <c r="AB788" s="1">
        <f t="shared" si="205"/>
        <v>3.4628571428571431</v>
      </c>
      <c r="AC788" s="1">
        <f t="shared" si="206"/>
        <v>0</v>
      </c>
      <c r="AD788" s="1">
        <f t="shared" si="207"/>
        <v>2.7465762238609033E-2</v>
      </c>
    </row>
    <row r="789" spans="1:30" x14ac:dyDescent="0.35">
      <c r="A789" t="s">
        <v>1573</v>
      </c>
      <c r="B789" t="s">
        <v>55</v>
      </c>
      <c r="C789" t="s">
        <v>64</v>
      </c>
      <c r="D789" t="s">
        <v>17</v>
      </c>
      <c r="E789">
        <v>22</v>
      </c>
      <c r="F789" t="s">
        <v>37</v>
      </c>
      <c r="G789" t="s">
        <v>32</v>
      </c>
      <c r="H789" t="s">
        <v>1574</v>
      </c>
      <c r="I789">
        <v>16</v>
      </c>
      <c r="J789">
        <v>16</v>
      </c>
      <c r="K789">
        <v>480759</v>
      </c>
      <c r="L789">
        <v>2.1</v>
      </c>
      <c r="M789" t="s">
        <v>21</v>
      </c>
      <c r="N789">
        <v>70</v>
      </c>
      <c r="O789">
        <f t="shared" si="192"/>
        <v>213</v>
      </c>
      <c r="P789">
        <f t="shared" si="193"/>
        <v>102</v>
      </c>
      <c r="Q789">
        <f t="shared" si="194"/>
        <v>111</v>
      </c>
      <c r="R789">
        <f t="shared" si="195"/>
        <v>49.650349650349654</v>
      </c>
      <c r="S789" s="1">
        <f t="shared" si="196"/>
        <v>50.24975024975025</v>
      </c>
      <c r="T789" s="1">
        <f t="shared" si="197"/>
        <v>98</v>
      </c>
      <c r="U789" s="1">
        <f t="shared" si="198"/>
        <v>115</v>
      </c>
      <c r="V789" s="1">
        <f t="shared" si="199"/>
        <v>47.5</v>
      </c>
      <c r="W789" s="1">
        <f t="shared" si="200"/>
        <v>52.5</v>
      </c>
      <c r="X789" s="1">
        <f t="shared" si="201"/>
        <v>14.704225352112676</v>
      </c>
      <c r="Y789" s="1">
        <f t="shared" si="202"/>
        <v>34</v>
      </c>
      <c r="Z789" s="1">
        <f t="shared" si="203"/>
        <v>35</v>
      </c>
      <c r="AA789" s="1">
        <f t="shared" si="204"/>
        <v>3.5029411764705878</v>
      </c>
      <c r="AB789" s="1">
        <f t="shared" si="205"/>
        <v>3.4628571428571431</v>
      </c>
      <c r="AC789" s="1">
        <f t="shared" si="206"/>
        <v>1</v>
      </c>
      <c r="AD789" s="1">
        <f t="shared" si="207"/>
        <v>2.9564129071220267E-2</v>
      </c>
    </row>
    <row r="790" spans="1:30" x14ac:dyDescent="0.35">
      <c r="A790" t="s">
        <v>1575</v>
      </c>
      <c r="B790" t="s">
        <v>35</v>
      </c>
      <c r="C790" t="s">
        <v>24</v>
      </c>
      <c r="D790" t="s">
        <v>17</v>
      </c>
      <c r="E790">
        <v>60</v>
      </c>
      <c r="F790" t="s">
        <v>70</v>
      </c>
      <c r="G790" t="s">
        <v>85</v>
      </c>
      <c r="H790" t="s">
        <v>1170</v>
      </c>
      <c r="I790">
        <v>9</v>
      </c>
      <c r="J790">
        <v>14</v>
      </c>
      <c r="K790">
        <v>407123</v>
      </c>
      <c r="L790">
        <v>4.8</v>
      </c>
      <c r="M790" t="s">
        <v>43</v>
      </c>
      <c r="N790">
        <v>71</v>
      </c>
      <c r="O790">
        <f t="shared" si="192"/>
        <v>212</v>
      </c>
      <c r="P790">
        <f t="shared" si="193"/>
        <v>101</v>
      </c>
      <c r="Q790">
        <f t="shared" si="194"/>
        <v>111</v>
      </c>
      <c r="R790">
        <f t="shared" si="195"/>
        <v>49.650349650349654</v>
      </c>
      <c r="S790" s="1">
        <f t="shared" si="196"/>
        <v>50.24975024975025</v>
      </c>
      <c r="T790" s="1">
        <f t="shared" si="197"/>
        <v>97</v>
      </c>
      <c r="U790" s="1">
        <f t="shared" si="198"/>
        <v>115</v>
      </c>
      <c r="V790" s="1">
        <f t="shared" si="199"/>
        <v>47.5</v>
      </c>
      <c r="W790" s="1">
        <f t="shared" si="200"/>
        <v>52.5</v>
      </c>
      <c r="X790" s="1">
        <f t="shared" si="201"/>
        <v>14.69811320754717</v>
      </c>
      <c r="Y790" s="1">
        <f t="shared" si="202"/>
        <v>34</v>
      </c>
      <c r="Z790" s="1">
        <f t="shared" si="203"/>
        <v>35</v>
      </c>
      <c r="AA790" s="1">
        <f t="shared" si="204"/>
        <v>3.5029411764705878</v>
      </c>
      <c r="AB790" s="1">
        <f t="shared" si="205"/>
        <v>3.4628571428571431</v>
      </c>
      <c r="AC790" s="1">
        <f t="shared" si="206"/>
        <v>0</v>
      </c>
      <c r="AD790" s="1">
        <f t="shared" si="207"/>
        <v>2.8700807377098625E-2</v>
      </c>
    </row>
    <row r="791" spans="1:30" x14ac:dyDescent="0.35">
      <c r="A791" t="s">
        <v>1576</v>
      </c>
      <c r="B791" t="s">
        <v>96</v>
      </c>
      <c r="C791" t="s">
        <v>52</v>
      </c>
      <c r="D791" t="s">
        <v>25</v>
      </c>
      <c r="E791">
        <v>60</v>
      </c>
      <c r="F791" t="s">
        <v>74</v>
      </c>
      <c r="G791" t="s">
        <v>41</v>
      </c>
      <c r="H791" t="s">
        <v>663</v>
      </c>
      <c r="I791">
        <v>1</v>
      </c>
      <c r="J791">
        <v>8</v>
      </c>
      <c r="K791">
        <v>155556</v>
      </c>
      <c r="L791">
        <v>4.3</v>
      </c>
      <c r="M791" t="s">
        <v>21</v>
      </c>
      <c r="N791">
        <v>61</v>
      </c>
      <c r="O791">
        <f t="shared" si="192"/>
        <v>211</v>
      </c>
      <c r="P791">
        <f t="shared" si="193"/>
        <v>100</v>
      </c>
      <c r="Q791">
        <f t="shared" si="194"/>
        <v>111</v>
      </c>
      <c r="R791">
        <f t="shared" si="195"/>
        <v>49.650349650349654</v>
      </c>
      <c r="S791" s="1">
        <f t="shared" si="196"/>
        <v>50.24975024975025</v>
      </c>
      <c r="T791" s="1">
        <f t="shared" si="197"/>
        <v>97</v>
      </c>
      <c r="U791" s="1">
        <f t="shared" si="198"/>
        <v>114</v>
      </c>
      <c r="V791" s="1">
        <f t="shared" si="199"/>
        <v>47.5</v>
      </c>
      <c r="W791" s="1">
        <f t="shared" si="200"/>
        <v>52.5</v>
      </c>
      <c r="X791" s="1">
        <f t="shared" si="201"/>
        <v>14.701421800947868</v>
      </c>
      <c r="Y791" s="1">
        <f t="shared" si="202"/>
        <v>34</v>
      </c>
      <c r="Z791" s="1">
        <f t="shared" si="203"/>
        <v>35</v>
      </c>
      <c r="AA791" s="1">
        <f t="shared" si="204"/>
        <v>3.5029411764705878</v>
      </c>
      <c r="AB791" s="1">
        <f t="shared" si="205"/>
        <v>3.4628571428571431</v>
      </c>
      <c r="AC791" s="1">
        <f t="shared" si="206"/>
        <v>1</v>
      </c>
      <c r="AD791" s="1">
        <f t="shared" si="207"/>
        <v>2.8325353232931942E-2</v>
      </c>
    </row>
    <row r="792" spans="1:30" x14ac:dyDescent="0.35">
      <c r="A792" t="s">
        <v>1577</v>
      </c>
      <c r="B792" t="s">
        <v>23</v>
      </c>
      <c r="C792" t="s">
        <v>24</v>
      </c>
      <c r="D792" t="s">
        <v>17</v>
      </c>
      <c r="E792">
        <v>43</v>
      </c>
      <c r="F792" t="s">
        <v>74</v>
      </c>
      <c r="G792" t="s">
        <v>32</v>
      </c>
      <c r="H792" t="s">
        <v>1578</v>
      </c>
      <c r="I792">
        <v>0</v>
      </c>
      <c r="J792">
        <v>4</v>
      </c>
      <c r="K792">
        <v>308390</v>
      </c>
      <c r="L792">
        <v>2.9</v>
      </c>
      <c r="M792" t="s">
        <v>21</v>
      </c>
      <c r="N792">
        <v>57</v>
      </c>
      <c r="O792">
        <f t="shared" si="192"/>
        <v>210</v>
      </c>
      <c r="P792">
        <f t="shared" si="193"/>
        <v>100</v>
      </c>
      <c r="Q792">
        <f t="shared" si="194"/>
        <v>110</v>
      </c>
      <c r="R792">
        <f t="shared" si="195"/>
        <v>49.650349650349654</v>
      </c>
      <c r="S792" s="1">
        <f t="shared" si="196"/>
        <v>50.24975024975025</v>
      </c>
      <c r="T792" s="1">
        <f t="shared" si="197"/>
        <v>96</v>
      </c>
      <c r="U792" s="1">
        <f t="shared" si="198"/>
        <v>114</v>
      </c>
      <c r="V792" s="1">
        <f t="shared" si="199"/>
        <v>47.5</v>
      </c>
      <c r="W792" s="1">
        <f t="shared" si="200"/>
        <v>52.5</v>
      </c>
      <c r="X792" s="1">
        <f t="shared" si="201"/>
        <v>14.733333333333333</v>
      </c>
      <c r="Y792" s="1">
        <f t="shared" si="202"/>
        <v>33</v>
      </c>
      <c r="Z792" s="1">
        <f t="shared" si="203"/>
        <v>35</v>
      </c>
      <c r="AA792" s="1">
        <f t="shared" si="204"/>
        <v>3.4787878787878781</v>
      </c>
      <c r="AB792" s="1">
        <f t="shared" si="205"/>
        <v>3.4628571428571431</v>
      </c>
      <c r="AC792" s="1">
        <f t="shared" si="206"/>
        <v>1</v>
      </c>
      <c r="AD792" s="1">
        <f t="shared" si="207"/>
        <v>3.3406753974867961E-2</v>
      </c>
    </row>
    <row r="793" spans="1:30" x14ac:dyDescent="0.35">
      <c r="A793" t="s">
        <v>1579</v>
      </c>
      <c r="B793" t="s">
        <v>45</v>
      </c>
      <c r="C793" t="s">
        <v>49</v>
      </c>
      <c r="D793" t="s">
        <v>25</v>
      </c>
      <c r="E793">
        <v>52</v>
      </c>
      <c r="F793" t="s">
        <v>46</v>
      </c>
      <c r="G793" t="s">
        <v>71</v>
      </c>
      <c r="H793" t="s">
        <v>1580</v>
      </c>
      <c r="I793">
        <v>10</v>
      </c>
      <c r="J793">
        <v>16</v>
      </c>
      <c r="K793">
        <v>270311</v>
      </c>
      <c r="L793">
        <v>4.4000000000000004</v>
      </c>
      <c r="M793" t="s">
        <v>43</v>
      </c>
      <c r="N793">
        <v>86</v>
      </c>
      <c r="O793">
        <f t="shared" si="192"/>
        <v>209</v>
      </c>
      <c r="P793">
        <f t="shared" si="193"/>
        <v>99</v>
      </c>
      <c r="Q793">
        <f t="shared" si="194"/>
        <v>110</v>
      </c>
      <c r="R793">
        <f t="shared" si="195"/>
        <v>49.650349650349654</v>
      </c>
      <c r="S793" s="1">
        <f t="shared" si="196"/>
        <v>50.24975024975025</v>
      </c>
      <c r="T793" s="1">
        <f t="shared" si="197"/>
        <v>95</v>
      </c>
      <c r="U793" s="1">
        <f t="shared" si="198"/>
        <v>114</v>
      </c>
      <c r="V793" s="1">
        <f t="shared" si="199"/>
        <v>47.5</v>
      </c>
      <c r="W793" s="1">
        <f t="shared" si="200"/>
        <v>52.5</v>
      </c>
      <c r="X793" s="1">
        <f t="shared" si="201"/>
        <v>14.78468899521531</v>
      </c>
      <c r="Y793" s="1">
        <f t="shared" si="202"/>
        <v>32</v>
      </c>
      <c r="Z793" s="1">
        <f t="shared" si="203"/>
        <v>35</v>
      </c>
      <c r="AA793" s="1">
        <f t="shared" si="204"/>
        <v>3.4968749999999993</v>
      </c>
      <c r="AB793" s="1">
        <f t="shared" si="205"/>
        <v>3.4628571428571431</v>
      </c>
      <c r="AC793" s="1">
        <f t="shared" si="206"/>
        <v>0</v>
      </c>
      <c r="AD793" s="1">
        <f t="shared" si="207"/>
        <v>4.1707858303427069E-2</v>
      </c>
    </row>
    <row r="794" spans="1:30" x14ac:dyDescent="0.35">
      <c r="A794" t="s">
        <v>1581</v>
      </c>
      <c r="B794" t="s">
        <v>23</v>
      </c>
      <c r="C794" t="s">
        <v>36</v>
      </c>
      <c r="D794" t="s">
        <v>17</v>
      </c>
      <c r="E794">
        <v>24</v>
      </c>
      <c r="F794" t="s">
        <v>79</v>
      </c>
      <c r="G794" t="s">
        <v>71</v>
      </c>
      <c r="H794" t="s">
        <v>1582</v>
      </c>
      <c r="I794">
        <v>12</v>
      </c>
      <c r="J794">
        <v>13</v>
      </c>
      <c r="K794">
        <v>323139</v>
      </c>
      <c r="L794">
        <v>4.7</v>
      </c>
      <c r="M794" t="s">
        <v>21</v>
      </c>
      <c r="N794">
        <v>70</v>
      </c>
      <c r="O794">
        <f t="shared" si="192"/>
        <v>208</v>
      </c>
      <c r="P794">
        <f t="shared" si="193"/>
        <v>99</v>
      </c>
      <c r="Q794">
        <f t="shared" si="194"/>
        <v>109</v>
      </c>
      <c r="R794">
        <f t="shared" si="195"/>
        <v>49.650349650349654</v>
      </c>
      <c r="S794" s="1">
        <f t="shared" si="196"/>
        <v>50.24975024975025</v>
      </c>
      <c r="T794" s="1">
        <f t="shared" si="197"/>
        <v>95</v>
      </c>
      <c r="U794" s="1">
        <f t="shared" si="198"/>
        <v>113</v>
      </c>
      <c r="V794" s="1">
        <f t="shared" si="199"/>
        <v>47.5</v>
      </c>
      <c r="W794" s="1">
        <f t="shared" si="200"/>
        <v>52.5</v>
      </c>
      <c r="X794" s="1">
        <f t="shared" si="201"/>
        <v>14.778846153846153</v>
      </c>
      <c r="Y794" s="1">
        <f t="shared" si="202"/>
        <v>32</v>
      </c>
      <c r="Z794" s="1">
        <f t="shared" si="203"/>
        <v>35</v>
      </c>
      <c r="AA794" s="1">
        <f t="shared" si="204"/>
        <v>3.4968749999999993</v>
      </c>
      <c r="AB794" s="1">
        <f t="shared" si="205"/>
        <v>3.4628571428571431</v>
      </c>
      <c r="AC794" s="1">
        <f t="shared" si="206"/>
        <v>1</v>
      </c>
      <c r="AD794" s="1">
        <f t="shared" si="207"/>
        <v>4.2556430947009151E-2</v>
      </c>
    </row>
    <row r="795" spans="1:30" x14ac:dyDescent="0.35">
      <c r="A795" t="s">
        <v>1583</v>
      </c>
      <c r="B795" t="s">
        <v>45</v>
      </c>
      <c r="C795" t="s">
        <v>52</v>
      </c>
      <c r="D795" t="s">
        <v>25</v>
      </c>
      <c r="E795">
        <v>59</v>
      </c>
      <c r="F795" t="s">
        <v>74</v>
      </c>
      <c r="G795" t="s">
        <v>88</v>
      </c>
      <c r="H795" t="s">
        <v>1584</v>
      </c>
      <c r="I795">
        <v>20</v>
      </c>
      <c r="J795">
        <v>20</v>
      </c>
      <c r="K795">
        <v>364587</v>
      </c>
      <c r="L795">
        <v>3.4</v>
      </c>
      <c r="M795" t="s">
        <v>21</v>
      </c>
      <c r="N795">
        <v>52</v>
      </c>
      <c r="O795">
        <f t="shared" si="192"/>
        <v>207</v>
      </c>
      <c r="P795">
        <f t="shared" si="193"/>
        <v>98</v>
      </c>
      <c r="Q795">
        <f t="shared" si="194"/>
        <v>109</v>
      </c>
      <c r="R795">
        <f t="shared" si="195"/>
        <v>49.650349650349654</v>
      </c>
      <c r="S795" s="1">
        <f t="shared" si="196"/>
        <v>50.24975024975025</v>
      </c>
      <c r="T795" s="1">
        <f t="shared" si="197"/>
        <v>94</v>
      </c>
      <c r="U795" s="1">
        <f t="shared" si="198"/>
        <v>113</v>
      </c>
      <c r="V795" s="1">
        <f t="shared" si="199"/>
        <v>47.5</v>
      </c>
      <c r="W795" s="1">
        <f t="shared" si="200"/>
        <v>52.5</v>
      </c>
      <c r="X795" s="1">
        <f t="shared" si="201"/>
        <v>14.787439613526571</v>
      </c>
      <c r="Y795" s="1">
        <f t="shared" si="202"/>
        <v>32</v>
      </c>
      <c r="Z795" s="1">
        <f t="shared" si="203"/>
        <v>35</v>
      </c>
      <c r="AA795" s="1">
        <f t="shared" si="204"/>
        <v>3.4968749999999993</v>
      </c>
      <c r="AB795" s="1">
        <f t="shared" si="205"/>
        <v>3.4628571428571431</v>
      </c>
      <c r="AC795" s="1">
        <f t="shared" si="206"/>
        <v>1</v>
      </c>
      <c r="AD795" s="1">
        <f t="shared" si="207"/>
        <v>4.4022526740435032E-2</v>
      </c>
    </row>
    <row r="796" spans="1:30" x14ac:dyDescent="0.35">
      <c r="A796" t="s">
        <v>1585</v>
      </c>
      <c r="B796" t="s">
        <v>60</v>
      </c>
      <c r="C796" t="s">
        <v>24</v>
      </c>
      <c r="D796" t="s">
        <v>17</v>
      </c>
      <c r="E796">
        <v>48</v>
      </c>
      <c r="F796" t="s">
        <v>74</v>
      </c>
      <c r="G796" t="s">
        <v>61</v>
      </c>
      <c r="H796" t="s">
        <v>1586</v>
      </c>
      <c r="I796">
        <v>0</v>
      </c>
      <c r="J796">
        <v>0</v>
      </c>
      <c r="K796">
        <v>260097</v>
      </c>
      <c r="L796">
        <v>5</v>
      </c>
      <c r="M796" t="s">
        <v>43</v>
      </c>
      <c r="N796">
        <v>72</v>
      </c>
      <c r="O796">
        <f t="shared" si="192"/>
        <v>206</v>
      </c>
      <c r="P796">
        <f t="shared" si="193"/>
        <v>98</v>
      </c>
      <c r="Q796">
        <f t="shared" si="194"/>
        <v>108</v>
      </c>
      <c r="R796">
        <f t="shared" si="195"/>
        <v>49.650349650349654</v>
      </c>
      <c r="S796" s="1">
        <f t="shared" si="196"/>
        <v>50.24975024975025</v>
      </c>
      <c r="T796" s="1">
        <f t="shared" si="197"/>
        <v>93</v>
      </c>
      <c r="U796" s="1">
        <f t="shared" si="198"/>
        <v>113</v>
      </c>
      <c r="V796" s="1">
        <f t="shared" si="199"/>
        <v>47.5</v>
      </c>
      <c r="W796" s="1">
        <f t="shared" si="200"/>
        <v>52.5</v>
      </c>
      <c r="X796" s="1">
        <f t="shared" si="201"/>
        <v>14.762135922330097</v>
      </c>
      <c r="Y796" s="1">
        <f t="shared" si="202"/>
        <v>31</v>
      </c>
      <c r="Z796" s="1">
        <f t="shared" si="203"/>
        <v>35</v>
      </c>
      <c r="AA796" s="1">
        <f t="shared" si="204"/>
        <v>3.4999999999999991</v>
      </c>
      <c r="AB796" s="1">
        <f t="shared" si="205"/>
        <v>3.4628571428571431</v>
      </c>
      <c r="AC796" s="1">
        <f t="shared" si="206"/>
        <v>0</v>
      </c>
      <c r="AD796" s="1">
        <f t="shared" si="207"/>
        <v>4.0257525938229607E-2</v>
      </c>
    </row>
    <row r="797" spans="1:30" x14ac:dyDescent="0.35">
      <c r="A797" t="s">
        <v>1587</v>
      </c>
      <c r="B797" t="s">
        <v>23</v>
      </c>
      <c r="C797" t="s">
        <v>56</v>
      </c>
      <c r="D797" t="s">
        <v>25</v>
      </c>
      <c r="E797">
        <v>38</v>
      </c>
      <c r="F797" t="s">
        <v>37</v>
      </c>
      <c r="G797" t="s">
        <v>61</v>
      </c>
      <c r="H797" t="s">
        <v>1588</v>
      </c>
      <c r="I797">
        <v>0</v>
      </c>
      <c r="J797">
        <v>8</v>
      </c>
      <c r="K797">
        <v>402640</v>
      </c>
      <c r="L797">
        <v>2.2000000000000002</v>
      </c>
      <c r="M797" t="s">
        <v>43</v>
      </c>
      <c r="N797">
        <v>91</v>
      </c>
      <c r="O797">
        <f t="shared" si="192"/>
        <v>205</v>
      </c>
      <c r="P797">
        <f t="shared" si="193"/>
        <v>97</v>
      </c>
      <c r="Q797">
        <f t="shared" si="194"/>
        <v>108</v>
      </c>
      <c r="R797">
        <f t="shared" si="195"/>
        <v>49.650349650349654</v>
      </c>
      <c r="S797" s="1">
        <f t="shared" si="196"/>
        <v>50.24975024975025</v>
      </c>
      <c r="T797" s="1">
        <f t="shared" si="197"/>
        <v>93</v>
      </c>
      <c r="U797" s="1">
        <f t="shared" si="198"/>
        <v>112</v>
      </c>
      <c r="V797" s="1">
        <f t="shared" si="199"/>
        <v>47.5</v>
      </c>
      <c r="W797" s="1">
        <f t="shared" si="200"/>
        <v>52.5</v>
      </c>
      <c r="X797" s="1">
        <f t="shared" si="201"/>
        <v>14.834146341463414</v>
      </c>
      <c r="Y797" s="1">
        <f t="shared" si="202"/>
        <v>30</v>
      </c>
      <c r="Z797" s="1">
        <f t="shared" si="203"/>
        <v>35</v>
      </c>
      <c r="AA797" s="1">
        <f t="shared" si="204"/>
        <v>3.4499999999999988</v>
      </c>
      <c r="AB797" s="1">
        <f t="shared" si="205"/>
        <v>3.4628571428571431</v>
      </c>
      <c r="AC797" s="1">
        <f t="shared" si="206"/>
        <v>0</v>
      </c>
      <c r="AD797" s="1">
        <f t="shared" si="207"/>
        <v>3.139899034426754E-2</v>
      </c>
    </row>
    <row r="798" spans="1:30" x14ac:dyDescent="0.35">
      <c r="A798" t="s">
        <v>1589</v>
      </c>
      <c r="B798" t="s">
        <v>96</v>
      </c>
      <c r="C798" t="s">
        <v>56</v>
      </c>
      <c r="D798" t="s">
        <v>25</v>
      </c>
      <c r="E798">
        <v>48</v>
      </c>
      <c r="F798" t="s">
        <v>31</v>
      </c>
      <c r="G798" t="s">
        <v>41</v>
      </c>
      <c r="H798" t="s">
        <v>1590</v>
      </c>
      <c r="I798">
        <v>17</v>
      </c>
      <c r="J798">
        <v>20</v>
      </c>
      <c r="K798">
        <v>176558</v>
      </c>
      <c r="L798">
        <v>3.1</v>
      </c>
      <c r="M798" t="s">
        <v>21</v>
      </c>
      <c r="N798">
        <v>46</v>
      </c>
      <c r="O798">
        <f t="shared" si="192"/>
        <v>204</v>
      </c>
      <c r="P798">
        <f t="shared" si="193"/>
        <v>97</v>
      </c>
      <c r="Q798">
        <f t="shared" si="194"/>
        <v>107</v>
      </c>
      <c r="R798">
        <f t="shared" si="195"/>
        <v>49.650349650349654</v>
      </c>
      <c r="S798" s="1">
        <f t="shared" si="196"/>
        <v>50.24975024975025</v>
      </c>
      <c r="T798" s="1">
        <f t="shared" si="197"/>
        <v>93</v>
      </c>
      <c r="U798" s="1">
        <f t="shared" si="198"/>
        <v>111</v>
      </c>
      <c r="V798" s="1">
        <f t="shared" si="199"/>
        <v>47.5</v>
      </c>
      <c r="W798" s="1">
        <f t="shared" si="200"/>
        <v>52.5</v>
      </c>
      <c r="X798" s="1">
        <f t="shared" si="201"/>
        <v>14.867647058823529</v>
      </c>
      <c r="Y798" s="1">
        <f t="shared" si="202"/>
        <v>30</v>
      </c>
      <c r="Z798" s="1">
        <f t="shared" si="203"/>
        <v>35</v>
      </c>
      <c r="AA798" s="1">
        <f t="shared" si="204"/>
        <v>3.4499999999999988</v>
      </c>
      <c r="AB798" s="1">
        <f t="shared" si="205"/>
        <v>3.4628571428571431</v>
      </c>
      <c r="AC798" s="1">
        <f t="shared" si="206"/>
        <v>1</v>
      </c>
      <c r="AD798" s="1">
        <f t="shared" si="207"/>
        <v>2.7155273741768522E-2</v>
      </c>
    </row>
    <row r="799" spans="1:30" x14ac:dyDescent="0.35">
      <c r="A799" t="s">
        <v>1591</v>
      </c>
      <c r="B799" t="s">
        <v>29</v>
      </c>
      <c r="C799" t="s">
        <v>82</v>
      </c>
      <c r="D799" t="s">
        <v>17</v>
      </c>
      <c r="E799">
        <v>55</v>
      </c>
      <c r="F799" t="s">
        <v>18</v>
      </c>
      <c r="G799" t="s">
        <v>71</v>
      </c>
      <c r="H799" t="s">
        <v>1592</v>
      </c>
      <c r="I799">
        <v>13</v>
      </c>
      <c r="J799">
        <v>15</v>
      </c>
      <c r="K799">
        <v>161888</v>
      </c>
      <c r="L799">
        <v>4.9000000000000004</v>
      </c>
      <c r="M799" t="s">
        <v>43</v>
      </c>
      <c r="N799">
        <v>76</v>
      </c>
      <c r="O799">
        <f t="shared" si="192"/>
        <v>203</v>
      </c>
      <c r="P799">
        <f t="shared" si="193"/>
        <v>97</v>
      </c>
      <c r="Q799">
        <f t="shared" si="194"/>
        <v>106</v>
      </c>
      <c r="R799">
        <f t="shared" si="195"/>
        <v>49.650349650349654</v>
      </c>
      <c r="S799" s="1">
        <f t="shared" si="196"/>
        <v>50.24975024975025</v>
      </c>
      <c r="T799" s="1">
        <f t="shared" si="197"/>
        <v>92</v>
      </c>
      <c r="U799" s="1">
        <f t="shared" si="198"/>
        <v>111</v>
      </c>
      <c r="V799" s="1">
        <f t="shared" si="199"/>
        <v>47.5</v>
      </c>
      <c r="W799" s="1">
        <f t="shared" si="200"/>
        <v>52.5</v>
      </c>
      <c r="X799" s="1">
        <f t="shared" si="201"/>
        <v>14.842364532019705</v>
      </c>
      <c r="Y799" s="1">
        <f t="shared" si="202"/>
        <v>30</v>
      </c>
      <c r="Z799" s="1">
        <f t="shared" si="203"/>
        <v>34</v>
      </c>
      <c r="AA799" s="1">
        <f t="shared" si="204"/>
        <v>3.4499999999999988</v>
      </c>
      <c r="AB799" s="1">
        <f t="shared" si="205"/>
        <v>3.4735294117647055</v>
      </c>
      <c r="AC799" s="1">
        <f t="shared" si="206"/>
        <v>0</v>
      </c>
      <c r="AD799" s="1">
        <f t="shared" si="207"/>
        <v>2.3307929703993379E-2</v>
      </c>
    </row>
    <row r="800" spans="1:30" x14ac:dyDescent="0.35">
      <c r="A800" t="s">
        <v>1593</v>
      </c>
      <c r="B800" t="s">
        <v>45</v>
      </c>
      <c r="C800" t="s">
        <v>64</v>
      </c>
      <c r="D800" t="s">
        <v>25</v>
      </c>
      <c r="E800">
        <v>24</v>
      </c>
      <c r="F800" t="s">
        <v>70</v>
      </c>
      <c r="G800" t="s">
        <v>26</v>
      </c>
      <c r="H800" t="s">
        <v>1594</v>
      </c>
      <c r="I800">
        <v>0</v>
      </c>
      <c r="J800">
        <v>4</v>
      </c>
      <c r="K800">
        <v>190929</v>
      </c>
      <c r="L800">
        <v>3.6</v>
      </c>
      <c r="M800" t="s">
        <v>43</v>
      </c>
      <c r="N800">
        <v>97</v>
      </c>
      <c r="O800">
        <f t="shared" si="192"/>
        <v>202</v>
      </c>
      <c r="P800">
        <f t="shared" si="193"/>
        <v>96</v>
      </c>
      <c r="Q800">
        <f t="shared" si="194"/>
        <v>106</v>
      </c>
      <c r="R800">
        <f t="shared" si="195"/>
        <v>49.650349650349654</v>
      </c>
      <c r="S800" s="1">
        <f t="shared" si="196"/>
        <v>50.24975024975025</v>
      </c>
      <c r="T800" s="1">
        <f t="shared" si="197"/>
        <v>92</v>
      </c>
      <c r="U800" s="1">
        <f t="shared" si="198"/>
        <v>110</v>
      </c>
      <c r="V800" s="1">
        <f t="shared" si="199"/>
        <v>47.5</v>
      </c>
      <c r="W800" s="1">
        <f t="shared" si="200"/>
        <v>52.5</v>
      </c>
      <c r="X800" s="1">
        <f t="shared" si="201"/>
        <v>14.841584158415841</v>
      </c>
      <c r="Y800" s="1">
        <f t="shared" si="202"/>
        <v>30</v>
      </c>
      <c r="Z800" s="1">
        <f t="shared" si="203"/>
        <v>34</v>
      </c>
      <c r="AA800" s="1">
        <f t="shared" si="204"/>
        <v>3.4499999999999988</v>
      </c>
      <c r="AB800" s="1">
        <f t="shared" si="205"/>
        <v>3.4735294117647055</v>
      </c>
      <c r="AC800" s="1">
        <f t="shared" si="206"/>
        <v>0</v>
      </c>
      <c r="AD800" s="1">
        <f t="shared" si="207"/>
        <v>2.3457534681812636E-2</v>
      </c>
    </row>
    <row r="801" spans="1:30" x14ac:dyDescent="0.35">
      <c r="A801" t="s">
        <v>1595</v>
      </c>
      <c r="B801" t="s">
        <v>45</v>
      </c>
      <c r="C801" t="s">
        <v>82</v>
      </c>
      <c r="D801" t="s">
        <v>25</v>
      </c>
      <c r="E801">
        <v>34</v>
      </c>
      <c r="F801" t="s">
        <v>70</v>
      </c>
      <c r="G801" t="s">
        <v>75</v>
      </c>
      <c r="H801" t="s">
        <v>903</v>
      </c>
      <c r="I801">
        <v>4</v>
      </c>
      <c r="J801">
        <v>12</v>
      </c>
      <c r="K801">
        <v>245283</v>
      </c>
      <c r="L801">
        <v>3.4</v>
      </c>
      <c r="M801" t="s">
        <v>43</v>
      </c>
      <c r="N801">
        <v>74</v>
      </c>
      <c r="O801">
        <f t="shared" si="192"/>
        <v>201</v>
      </c>
      <c r="P801">
        <f t="shared" si="193"/>
        <v>96</v>
      </c>
      <c r="Q801">
        <f t="shared" si="194"/>
        <v>105</v>
      </c>
      <c r="R801">
        <f t="shared" si="195"/>
        <v>49.650349650349654</v>
      </c>
      <c r="S801" s="1">
        <f t="shared" si="196"/>
        <v>50.24975024975025</v>
      </c>
      <c r="T801" s="1">
        <f t="shared" si="197"/>
        <v>92</v>
      </c>
      <c r="U801" s="1">
        <f t="shared" si="198"/>
        <v>109</v>
      </c>
      <c r="V801" s="1">
        <f t="shared" si="199"/>
        <v>47.5</v>
      </c>
      <c r="W801" s="1">
        <f t="shared" si="200"/>
        <v>52.5</v>
      </c>
      <c r="X801" s="1">
        <f t="shared" si="201"/>
        <v>14.895522388059701</v>
      </c>
      <c r="Y801" s="1">
        <f t="shared" si="202"/>
        <v>30</v>
      </c>
      <c r="Z801" s="1">
        <f t="shared" si="203"/>
        <v>34</v>
      </c>
      <c r="AA801" s="1">
        <f t="shared" si="204"/>
        <v>3.4499999999999988</v>
      </c>
      <c r="AB801" s="1">
        <f t="shared" si="205"/>
        <v>3.4735294117647055</v>
      </c>
      <c r="AC801" s="1">
        <f t="shared" si="206"/>
        <v>0</v>
      </c>
      <c r="AD801" s="1">
        <f t="shared" si="207"/>
        <v>1.656715632543292E-2</v>
      </c>
    </row>
    <row r="802" spans="1:30" x14ac:dyDescent="0.35">
      <c r="A802" t="s">
        <v>1596</v>
      </c>
      <c r="B802" t="s">
        <v>45</v>
      </c>
      <c r="C802" t="s">
        <v>64</v>
      </c>
      <c r="D802" t="s">
        <v>25</v>
      </c>
      <c r="E802">
        <v>36</v>
      </c>
      <c r="F802" t="s">
        <v>70</v>
      </c>
      <c r="G802" t="s">
        <v>19</v>
      </c>
      <c r="H802" t="s">
        <v>1597</v>
      </c>
      <c r="I802">
        <v>6</v>
      </c>
      <c r="J802">
        <v>11</v>
      </c>
      <c r="K802">
        <v>486013</v>
      </c>
      <c r="L802">
        <v>3</v>
      </c>
      <c r="M802" t="s">
        <v>43</v>
      </c>
      <c r="N802">
        <v>98</v>
      </c>
      <c r="O802">
        <f t="shared" si="192"/>
        <v>200</v>
      </c>
      <c r="P802">
        <f t="shared" si="193"/>
        <v>96</v>
      </c>
      <c r="Q802">
        <f t="shared" si="194"/>
        <v>104</v>
      </c>
      <c r="R802">
        <f t="shared" si="195"/>
        <v>49.650349650349654</v>
      </c>
      <c r="S802" s="1">
        <f t="shared" si="196"/>
        <v>50.24975024975025</v>
      </c>
      <c r="T802" s="1">
        <f t="shared" si="197"/>
        <v>92</v>
      </c>
      <c r="U802" s="1">
        <f t="shared" si="198"/>
        <v>108</v>
      </c>
      <c r="V802" s="1">
        <f t="shared" si="199"/>
        <v>47.5</v>
      </c>
      <c r="W802" s="1">
        <f t="shared" si="200"/>
        <v>52.5</v>
      </c>
      <c r="X802" s="1">
        <f t="shared" si="201"/>
        <v>14.91</v>
      </c>
      <c r="Y802" s="1">
        <f t="shared" si="202"/>
        <v>30</v>
      </c>
      <c r="Z802" s="1">
        <f t="shared" si="203"/>
        <v>34</v>
      </c>
      <c r="AA802" s="1">
        <f t="shared" si="204"/>
        <v>3.4499999999999988</v>
      </c>
      <c r="AB802" s="1">
        <f t="shared" si="205"/>
        <v>3.4735294117647055</v>
      </c>
      <c r="AC802" s="1">
        <f t="shared" si="206"/>
        <v>0</v>
      </c>
      <c r="AD802" s="1">
        <f t="shared" si="207"/>
        <v>1.4704170323448283E-2</v>
      </c>
    </row>
    <row r="803" spans="1:30" x14ac:dyDescent="0.35">
      <c r="A803" t="s">
        <v>1598</v>
      </c>
      <c r="B803" t="s">
        <v>55</v>
      </c>
      <c r="C803" t="s">
        <v>93</v>
      </c>
      <c r="D803" t="s">
        <v>25</v>
      </c>
      <c r="E803">
        <v>25</v>
      </c>
      <c r="F803" t="s">
        <v>79</v>
      </c>
      <c r="G803" t="s">
        <v>85</v>
      </c>
      <c r="H803" t="s">
        <v>1599</v>
      </c>
      <c r="I803">
        <v>18</v>
      </c>
      <c r="J803">
        <v>21</v>
      </c>
      <c r="K803">
        <v>489926</v>
      </c>
      <c r="L803">
        <v>4</v>
      </c>
      <c r="M803" t="s">
        <v>21</v>
      </c>
      <c r="N803">
        <v>39</v>
      </c>
      <c r="O803">
        <f t="shared" si="192"/>
        <v>199</v>
      </c>
      <c r="P803">
        <f t="shared" si="193"/>
        <v>96</v>
      </c>
      <c r="Q803">
        <f t="shared" si="194"/>
        <v>103</v>
      </c>
      <c r="R803">
        <f t="shared" si="195"/>
        <v>49.650349650349654</v>
      </c>
      <c r="S803" s="1">
        <f t="shared" si="196"/>
        <v>50.24975024975025</v>
      </c>
      <c r="T803" s="1">
        <f t="shared" si="197"/>
        <v>92</v>
      </c>
      <c r="U803" s="1">
        <f t="shared" si="198"/>
        <v>107</v>
      </c>
      <c r="V803" s="1">
        <f t="shared" si="199"/>
        <v>47.5</v>
      </c>
      <c r="W803" s="1">
        <f t="shared" si="200"/>
        <v>52.5</v>
      </c>
      <c r="X803" s="1">
        <f t="shared" si="201"/>
        <v>14.92964824120603</v>
      </c>
      <c r="Y803" s="1">
        <f t="shared" si="202"/>
        <v>30</v>
      </c>
      <c r="Z803" s="1">
        <f t="shared" si="203"/>
        <v>34</v>
      </c>
      <c r="AA803" s="1">
        <f t="shared" si="204"/>
        <v>3.4499999999999988</v>
      </c>
      <c r="AB803" s="1">
        <f t="shared" si="205"/>
        <v>3.4735294117647055</v>
      </c>
      <c r="AC803" s="1">
        <f t="shared" si="206"/>
        <v>1</v>
      </c>
      <c r="AD803" s="1">
        <f t="shared" si="207"/>
        <v>1.2154100532533673E-2</v>
      </c>
    </row>
    <row r="804" spans="1:30" x14ac:dyDescent="0.35">
      <c r="A804" t="s">
        <v>1600</v>
      </c>
      <c r="B804" t="s">
        <v>96</v>
      </c>
      <c r="C804" t="s">
        <v>93</v>
      </c>
      <c r="D804" t="s">
        <v>17</v>
      </c>
      <c r="E804">
        <v>52</v>
      </c>
      <c r="F804" t="s">
        <v>46</v>
      </c>
      <c r="G804" t="s">
        <v>88</v>
      </c>
      <c r="H804" t="s">
        <v>1601</v>
      </c>
      <c r="I804">
        <v>15</v>
      </c>
      <c r="J804">
        <v>24</v>
      </c>
      <c r="K804">
        <v>407350</v>
      </c>
      <c r="L804">
        <v>3.9</v>
      </c>
      <c r="M804" t="s">
        <v>43</v>
      </c>
      <c r="N804">
        <v>100</v>
      </c>
      <c r="O804">
        <f t="shared" si="192"/>
        <v>198</v>
      </c>
      <c r="P804">
        <f t="shared" si="193"/>
        <v>96</v>
      </c>
      <c r="Q804">
        <f t="shared" si="194"/>
        <v>102</v>
      </c>
      <c r="R804">
        <f t="shared" si="195"/>
        <v>49.650349650349654</v>
      </c>
      <c r="S804" s="1">
        <f t="shared" si="196"/>
        <v>50.24975024975025</v>
      </c>
      <c r="T804" s="1">
        <f t="shared" si="197"/>
        <v>91</v>
      </c>
      <c r="U804" s="1">
        <f t="shared" si="198"/>
        <v>107</v>
      </c>
      <c r="V804" s="1">
        <f t="shared" si="199"/>
        <v>47.5</v>
      </c>
      <c r="W804" s="1">
        <f t="shared" si="200"/>
        <v>52.5</v>
      </c>
      <c r="X804" s="1">
        <f t="shared" si="201"/>
        <v>14.8989898989899</v>
      </c>
      <c r="Y804" s="1">
        <f t="shared" si="202"/>
        <v>30</v>
      </c>
      <c r="Z804" s="1">
        <f t="shared" si="203"/>
        <v>34</v>
      </c>
      <c r="AA804" s="1">
        <f t="shared" si="204"/>
        <v>3.4499999999999988</v>
      </c>
      <c r="AB804" s="1">
        <f t="shared" si="205"/>
        <v>3.4735294117647055</v>
      </c>
      <c r="AC804" s="1">
        <f t="shared" si="206"/>
        <v>0</v>
      </c>
      <c r="AD804" s="1">
        <f t="shared" si="207"/>
        <v>7.4842067634375972E-3</v>
      </c>
    </row>
    <row r="805" spans="1:30" x14ac:dyDescent="0.35">
      <c r="A805" t="s">
        <v>1602</v>
      </c>
      <c r="B805" t="s">
        <v>40</v>
      </c>
      <c r="C805" t="s">
        <v>16</v>
      </c>
      <c r="D805" t="s">
        <v>17</v>
      </c>
      <c r="E805">
        <v>43</v>
      </c>
      <c r="F805" t="s">
        <v>37</v>
      </c>
      <c r="G805" t="s">
        <v>26</v>
      </c>
      <c r="H805" t="s">
        <v>1603</v>
      </c>
      <c r="I805">
        <v>14</v>
      </c>
      <c r="J805">
        <v>14</v>
      </c>
      <c r="K805">
        <v>268682</v>
      </c>
      <c r="L805">
        <v>4.5999999999999996</v>
      </c>
      <c r="M805" t="s">
        <v>21</v>
      </c>
      <c r="N805">
        <v>67</v>
      </c>
      <c r="O805">
        <f t="shared" si="192"/>
        <v>197</v>
      </c>
      <c r="P805">
        <f t="shared" si="193"/>
        <v>95</v>
      </c>
      <c r="Q805">
        <f t="shared" si="194"/>
        <v>102</v>
      </c>
      <c r="R805">
        <f t="shared" si="195"/>
        <v>49.650349650349654</v>
      </c>
      <c r="S805" s="1">
        <f t="shared" si="196"/>
        <v>50.24975024975025</v>
      </c>
      <c r="T805" s="1">
        <f t="shared" si="197"/>
        <v>91</v>
      </c>
      <c r="U805" s="1">
        <f t="shared" si="198"/>
        <v>106</v>
      </c>
      <c r="V805" s="1">
        <f t="shared" si="199"/>
        <v>47.5</v>
      </c>
      <c r="W805" s="1">
        <f t="shared" si="200"/>
        <v>52.5</v>
      </c>
      <c r="X805" s="1">
        <f t="shared" si="201"/>
        <v>14.852791878172589</v>
      </c>
      <c r="Y805" s="1">
        <f t="shared" si="202"/>
        <v>30</v>
      </c>
      <c r="Z805" s="1">
        <f t="shared" si="203"/>
        <v>34</v>
      </c>
      <c r="AA805" s="1">
        <f t="shared" si="204"/>
        <v>3.4499999999999988</v>
      </c>
      <c r="AB805" s="1">
        <f t="shared" si="205"/>
        <v>3.4735294117647055</v>
      </c>
      <c r="AC805" s="1">
        <f t="shared" si="206"/>
        <v>1</v>
      </c>
      <c r="AD805" s="1">
        <f t="shared" si="207"/>
        <v>1.3631783566291448E-2</v>
      </c>
    </row>
    <row r="806" spans="1:30" x14ac:dyDescent="0.35">
      <c r="A806" t="s">
        <v>1604</v>
      </c>
      <c r="B806" t="s">
        <v>96</v>
      </c>
      <c r="C806" t="s">
        <v>64</v>
      </c>
      <c r="D806" t="s">
        <v>17</v>
      </c>
      <c r="E806">
        <v>36</v>
      </c>
      <c r="F806" t="s">
        <v>70</v>
      </c>
      <c r="G806" t="s">
        <v>88</v>
      </c>
      <c r="H806" t="s">
        <v>1374</v>
      </c>
      <c r="I806">
        <v>4</v>
      </c>
      <c r="J806">
        <v>7</v>
      </c>
      <c r="K806">
        <v>447332</v>
      </c>
      <c r="L806">
        <v>4.2</v>
      </c>
      <c r="M806" t="s">
        <v>43</v>
      </c>
      <c r="N806">
        <v>86</v>
      </c>
      <c r="O806">
        <f t="shared" si="192"/>
        <v>196</v>
      </c>
      <c r="P806">
        <f t="shared" si="193"/>
        <v>94</v>
      </c>
      <c r="Q806">
        <f t="shared" si="194"/>
        <v>102</v>
      </c>
      <c r="R806">
        <f t="shared" si="195"/>
        <v>49.650349650349654</v>
      </c>
      <c r="S806" s="1">
        <f t="shared" si="196"/>
        <v>50.24975024975025</v>
      </c>
      <c r="T806" s="1">
        <f t="shared" si="197"/>
        <v>90</v>
      </c>
      <c r="U806" s="1">
        <f t="shared" si="198"/>
        <v>106</v>
      </c>
      <c r="V806" s="1">
        <f t="shared" si="199"/>
        <v>47.5</v>
      </c>
      <c r="W806" s="1">
        <f t="shared" si="200"/>
        <v>52.5</v>
      </c>
      <c r="X806" s="1">
        <f t="shared" si="201"/>
        <v>14.857142857142858</v>
      </c>
      <c r="Y806" s="1">
        <f t="shared" si="202"/>
        <v>30</v>
      </c>
      <c r="Z806" s="1">
        <f t="shared" si="203"/>
        <v>34</v>
      </c>
      <c r="AA806" s="1">
        <f t="shared" si="204"/>
        <v>3.4499999999999988</v>
      </c>
      <c r="AB806" s="1">
        <f t="shared" si="205"/>
        <v>3.4735294117647055</v>
      </c>
      <c r="AC806" s="1">
        <f t="shared" si="206"/>
        <v>0</v>
      </c>
      <c r="AD806" s="1">
        <f t="shared" si="207"/>
        <v>1.4344131695920446E-2</v>
      </c>
    </row>
    <row r="807" spans="1:30" x14ac:dyDescent="0.35">
      <c r="A807" t="s">
        <v>1605</v>
      </c>
      <c r="B807" t="s">
        <v>111</v>
      </c>
      <c r="C807" t="s">
        <v>30</v>
      </c>
      <c r="D807" t="s">
        <v>25</v>
      </c>
      <c r="E807">
        <v>46</v>
      </c>
      <c r="F807" t="s">
        <v>70</v>
      </c>
      <c r="G807" t="s">
        <v>71</v>
      </c>
      <c r="H807" t="s">
        <v>1606</v>
      </c>
      <c r="I807">
        <v>9</v>
      </c>
      <c r="J807">
        <v>11</v>
      </c>
      <c r="K807">
        <v>314498</v>
      </c>
      <c r="L807">
        <v>2.1</v>
      </c>
      <c r="M807" t="s">
        <v>21</v>
      </c>
      <c r="N807">
        <v>45</v>
      </c>
      <c r="O807">
        <f t="shared" si="192"/>
        <v>195</v>
      </c>
      <c r="P807">
        <f t="shared" si="193"/>
        <v>93</v>
      </c>
      <c r="Q807">
        <f t="shared" si="194"/>
        <v>102</v>
      </c>
      <c r="R807">
        <f t="shared" si="195"/>
        <v>49.650349650349654</v>
      </c>
      <c r="S807" s="1">
        <f t="shared" si="196"/>
        <v>50.24975024975025</v>
      </c>
      <c r="T807" s="1">
        <f t="shared" si="197"/>
        <v>90</v>
      </c>
      <c r="U807" s="1">
        <f t="shared" si="198"/>
        <v>105</v>
      </c>
      <c r="V807" s="1">
        <f t="shared" si="199"/>
        <v>47.5</v>
      </c>
      <c r="W807" s="1">
        <f t="shared" si="200"/>
        <v>52.5</v>
      </c>
      <c r="X807" s="1">
        <f t="shared" si="201"/>
        <v>14.897435897435898</v>
      </c>
      <c r="Y807" s="1">
        <f t="shared" si="202"/>
        <v>30</v>
      </c>
      <c r="Z807" s="1">
        <f t="shared" si="203"/>
        <v>34</v>
      </c>
      <c r="AA807" s="1">
        <f t="shared" si="204"/>
        <v>3.4499999999999988</v>
      </c>
      <c r="AB807" s="1">
        <f t="shared" si="205"/>
        <v>3.4735294117647055</v>
      </c>
      <c r="AC807" s="1">
        <f t="shared" si="206"/>
        <v>1</v>
      </c>
      <c r="AD807" s="1">
        <f t="shared" si="207"/>
        <v>9.1160291704242922E-3</v>
      </c>
    </row>
    <row r="808" spans="1:30" x14ac:dyDescent="0.35">
      <c r="A808" t="s">
        <v>1607</v>
      </c>
      <c r="B808" t="s">
        <v>40</v>
      </c>
      <c r="C808" t="s">
        <v>30</v>
      </c>
      <c r="D808" t="s">
        <v>25</v>
      </c>
      <c r="E808">
        <v>43</v>
      </c>
      <c r="F808" t="s">
        <v>46</v>
      </c>
      <c r="G808" t="s">
        <v>19</v>
      </c>
      <c r="H808" t="s">
        <v>1608</v>
      </c>
      <c r="I808">
        <v>0</v>
      </c>
      <c r="J808">
        <v>6</v>
      </c>
      <c r="K808">
        <v>403710</v>
      </c>
      <c r="L808">
        <v>2.9</v>
      </c>
      <c r="M808" t="s">
        <v>43</v>
      </c>
      <c r="N808">
        <v>95</v>
      </c>
      <c r="O808">
        <f t="shared" si="192"/>
        <v>194</v>
      </c>
      <c r="P808">
        <f t="shared" si="193"/>
        <v>93</v>
      </c>
      <c r="Q808">
        <f t="shared" si="194"/>
        <v>101</v>
      </c>
      <c r="R808">
        <f t="shared" si="195"/>
        <v>49.650349650349654</v>
      </c>
      <c r="S808" s="1">
        <f t="shared" si="196"/>
        <v>50.24975024975025</v>
      </c>
      <c r="T808" s="1">
        <f t="shared" si="197"/>
        <v>89</v>
      </c>
      <c r="U808" s="1">
        <f t="shared" si="198"/>
        <v>105</v>
      </c>
      <c r="V808" s="1">
        <f t="shared" si="199"/>
        <v>47.5</v>
      </c>
      <c r="W808" s="1">
        <f t="shared" si="200"/>
        <v>52.5</v>
      </c>
      <c r="X808" s="1">
        <f t="shared" si="201"/>
        <v>14.917525773195877</v>
      </c>
      <c r="Y808" s="1">
        <f t="shared" si="202"/>
        <v>30</v>
      </c>
      <c r="Z808" s="1">
        <f t="shared" si="203"/>
        <v>34</v>
      </c>
      <c r="AA808" s="1">
        <f t="shared" si="204"/>
        <v>3.4499999999999988</v>
      </c>
      <c r="AB808" s="1">
        <f t="shared" si="205"/>
        <v>3.4735294117647055</v>
      </c>
      <c r="AC808" s="1">
        <f t="shared" si="206"/>
        <v>0</v>
      </c>
      <c r="AD808" s="1">
        <f t="shared" si="207"/>
        <v>1.224883658437504E-2</v>
      </c>
    </row>
    <row r="809" spans="1:30" x14ac:dyDescent="0.35">
      <c r="A809" t="s">
        <v>1609</v>
      </c>
      <c r="B809" t="s">
        <v>23</v>
      </c>
      <c r="C809" t="s">
        <v>56</v>
      </c>
      <c r="D809" t="s">
        <v>17</v>
      </c>
      <c r="E809">
        <v>33</v>
      </c>
      <c r="F809" t="s">
        <v>79</v>
      </c>
      <c r="G809" t="s">
        <v>32</v>
      </c>
      <c r="H809" t="s">
        <v>206</v>
      </c>
      <c r="I809">
        <v>0</v>
      </c>
      <c r="J809">
        <v>8</v>
      </c>
      <c r="K809">
        <v>92320</v>
      </c>
      <c r="L809">
        <v>2.1</v>
      </c>
      <c r="M809" t="s">
        <v>43</v>
      </c>
      <c r="N809">
        <v>84</v>
      </c>
      <c r="O809">
        <f t="shared" si="192"/>
        <v>193</v>
      </c>
      <c r="P809">
        <f t="shared" si="193"/>
        <v>93</v>
      </c>
      <c r="Q809">
        <f t="shared" si="194"/>
        <v>100</v>
      </c>
      <c r="R809">
        <f t="shared" si="195"/>
        <v>49.650349650349654</v>
      </c>
      <c r="S809" s="1">
        <f t="shared" si="196"/>
        <v>50.24975024975025</v>
      </c>
      <c r="T809" s="1">
        <f t="shared" si="197"/>
        <v>89</v>
      </c>
      <c r="U809" s="1">
        <f t="shared" si="198"/>
        <v>104</v>
      </c>
      <c r="V809" s="1">
        <f t="shared" si="199"/>
        <v>47.5</v>
      </c>
      <c r="W809" s="1">
        <f t="shared" si="200"/>
        <v>52.5</v>
      </c>
      <c r="X809" s="1">
        <f t="shared" si="201"/>
        <v>14.963730569948186</v>
      </c>
      <c r="Y809" s="1">
        <f t="shared" si="202"/>
        <v>30</v>
      </c>
      <c r="Z809" s="1">
        <f t="shared" si="203"/>
        <v>34</v>
      </c>
      <c r="AA809" s="1">
        <f t="shared" si="204"/>
        <v>3.4499999999999988</v>
      </c>
      <c r="AB809" s="1">
        <f t="shared" si="205"/>
        <v>3.4735294117647055</v>
      </c>
      <c r="AC809" s="1">
        <f t="shared" si="206"/>
        <v>0</v>
      </c>
      <c r="AD809" s="1">
        <f t="shared" si="207"/>
        <v>6.2491023946493786E-3</v>
      </c>
    </row>
    <row r="810" spans="1:30" x14ac:dyDescent="0.35">
      <c r="A810" t="s">
        <v>1610</v>
      </c>
      <c r="B810" t="s">
        <v>78</v>
      </c>
      <c r="C810" t="s">
        <v>64</v>
      </c>
      <c r="D810" t="s">
        <v>17</v>
      </c>
      <c r="E810">
        <v>21</v>
      </c>
      <c r="F810" t="s">
        <v>18</v>
      </c>
      <c r="G810" t="s">
        <v>26</v>
      </c>
      <c r="H810" t="s">
        <v>1611</v>
      </c>
      <c r="I810">
        <v>11</v>
      </c>
      <c r="J810">
        <v>15</v>
      </c>
      <c r="K810">
        <v>270308</v>
      </c>
      <c r="L810">
        <v>3.8</v>
      </c>
      <c r="M810" t="s">
        <v>43</v>
      </c>
      <c r="N810">
        <v>98</v>
      </c>
      <c r="O810">
        <f t="shared" si="192"/>
        <v>192</v>
      </c>
      <c r="P810">
        <f t="shared" si="193"/>
        <v>92</v>
      </c>
      <c r="Q810">
        <f t="shared" si="194"/>
        <v>100</v>
      </c>
      <c r="R810">
        <f t="shared" si="195"/>
        <v>49.650349650349654</v>
      </c>
      <c r="S810" s="1">
        <f t="shared" si="196"/>
        <v>50.24975024975025</v>
      </c>
      <c r="T810" s="1">
        <f t="shared" si="197"/>
        <v>89</v>
      </c>
      <c r="U810" s="1">
        <f t="shared" si="198"/>
        <v>103</v>
      </c>
      <c r="V810" s="1">
        <f t="shared" si="199"/>
        <v>47.5</v>
      </c>
      <c r="W810" s="1">
        <f t="shared" si="200"/>
        <v>52.5</v>
      </c>
      <c r="X810" s="1">
        <f t="shared" si="201"/>
        <v>15</v>
      </c>
      <c r="Y810" s="1">
        <f t="shared" si="202"/>
        <v>30</v>
      </c>
      <c r="Z810" s="1">
        <f t="shared" si="203"/>
        <v>34</v>
      </c>
      <c r="AA810" s="1">
        <f t="shared" si="204"/>
        <v>3.4499999999999988</v>
      </c>
      <c r="AB810" s="1">
        <f t="shared" si="205"/>
        <v>3.4735294117647055</v>
      </c>
      <c r="AC810" s="1">
        <f t="shared" si="206"/>
        <v>0</v>
      </c>
      <c r="AD810" s="1">
        <f t="shared" si="207"/>
        <v>1.4851374365988108E-3</v>
      </c>
    </row>
    <row r="811" spans="1:30" x14ac:dyDescent="0.35">
      <c r="A811" t="s">
        <v>1612</v>
      </c>
      <c r="B811" t="s">
        <v>35</v>
      </c>
      <c r="C811" t="s">
        <v>56</v>
      </c>
      <c r="D811" t="s">
        <v>17</v>
      </c>
      <c r="E811">
        <v>39</v>
      </c>
      <c r="F811" t="s">
        <v>79</v>
      </c>
      <c r="G811" t="s">
        <v>75</v>
      </c>
      <c r="H811" t="s">
        <v>1539</v>
      </c>
      <c r="I811">
        <v>6</v>
      </c>
      <c r="J811">
        <v>6</v>
      </c>
      <c r="K811">
        <v>166967</v>
      </c>
      <c r="L811">
        <v>3.3</v>
      </c>
      <c r="M811" t="s">
        <v>21</v>
      </c>
      <c r="N811">
        <v>65</v>
      </c>
      <c r="O811">
        <f t="shared" si="192"/>
        <v>191</v>
      </c>
      <c r="P811">
        <f t="shared" si="193"/>
        <v>91</v>
      </c>
      <c r="Q811">
        <f t="shared" si="194"/>
        <v>100</v>
      </c>
      <c r="R811">
        <f t="shared" si="195"/>
        <v>49.650349650349654</v>
      </c>
      <c r="S811" s="1">
        <f t="shared" si="196"/>
        <v>50.24975024975025</v>
      </c>
      <c r="T811" s="1">
        <f t="shared" si="197"/>
        <v>89</v>
      </c>
      <c r="U811" s="1">
        <f t="shared" si="198"/>
        <v>102</v>
      </c>
      <c r="V811" s="1">
        <f t="shared" si="199"/>
        <v>47.5</v>
      </c>
      <c r="W811" s="1">
        <f t="shared" si="200"/>
        <v>52.5</v>
      </c>
      <c r="X811" s="1">
        <f t="shared" si="201"/>
        <v>15</v>
      </c>
      <c r="Y811" s="1">
        <f t="shared" si="202"/>
        <v>30</v>
      </c>
      <c r="Z811" s="1">
        <f t="shared" si="203"/>
        <v>34</v>
      </c>
      <c r="AA811" s="1">
        <f t="shared" si="204"/>
        <v>3.4499999999999988</v>
      </c>
      <c r="AB811" s="1">
        <f t="shared" si="205"/>
        <v>3.4735294117647055</v>
      </c>
      <c r="AC811" s="1">
        <f t="shared" si="206"/>
        <v>1</v>
      </c>
      <c r="AD811" s="1">
        <f t="shared" si="207"/>
        <v>1.4885082342243575E-3</v>
      </c>
    </row>
    <row r="812" spans="1:30" x14ac:dyDescent="0.35">
      <c r="A812" t="s">
        <v>1613</v>
      </c>
      <c r="B812" t="s">
        <v>40</v>
      </c>
      <c r="C812" t="s">
        <v>82</v>
      </c>
      <c r="D812" t="s">
        <v>17</v>
      </c>
      <c r="E812">
        <v>38</v>
      </c>
      <c r="F812" t="s">
        <v>31</v>
      </c>
      <c r="G812" t="s">
        <v>88</v>
      </c>
      <c r="H812" t="s">
        <v>89</v>
      </c>
      <c r="I812">
        <v>11</v>
      </c>
      <c r="J812">
        <v>11</v>
      </c>
      <c r="K812">
        <v>257059</v>
      </c>
      <c r="L812">
        <v>2.1</v>
      </c>
      <c r="M812" t="s">
        <v>43</v>
      </c>
      <c r="N812">
        <v>82</v>
      </c>
      <c r="O812">
        <f t="shared" si="192"/>
        <v>190</v>
      </c>
      <c r="P812">
        <f t="shared" si="193"/>
        <v>90</v>
      </c>
      <c r="Q812">
        <f t="shared" si="194"/>
        <v>100</v>
      </c>
      <c r="R812">
        <f t="shared" si="195"/>
        <v>49.650349650349654</v>
      </c>
      <c r="S812" s="1">
        <f t="shared" si="196"/>
        <v>50.24975024975025</v>
      </c>
      <c r="T812" s="1">
        <f t="shared" si="197"/>
        <v>88</v>
      </c>
      <c r="U812" s="1">
        <f t="shared" si="198"/>
        <v>102</v>
      </c>
      <c r="V812" s="1">
        <f t="shared" si="199"/>
        <v>47.5</v>
      </c>
      <c r="W812" s="1">
        <f t="shared" si="200"/>
        <v>52.5</v>
      </c>
      <c r="X812" s="1">
        <f t="shared" si="201"/>
        <v>15.047368421052632</v>
      </c>
      <c r="Y812" s="1">
        <f t="shared" si="202"/>
        <v>30</v>
      </c>
      <c r="Z812" s="1">
        <f t="shared" si="203"/>
        <v>34</v>
      </c>
      <c r="AA812" s="1">
        <f t="shared" si="204"/>
        <v>3.4499999999999988</v>
      </c>
      <c r="AB812" s="1">
        <f t="shared" si="205"/>
        <v>3.4735294117647055</v>
      </c>
      <c r="AC812" s="1">
        <f t="shared" si="206"/>
        <v>0</v>
      </c>
      <c r="AD812" s="1">
        <f t="shared" si="207"/>
        <v>8.7442226746043024E-3</v>
      </c>
    </row>
    <row r="813" spans="1:30" x14ac:dyDescent="0.35">
      <c r="A813" t="s">
        <v>1614</v>
      </c>
      <c r="B813" t="s">
        <v>45</v>
      </c>
      <c r="C813" t="s">
        <v>36</v>
      </c>
      <c r="D813" t="s">
        <v>25</v>
      </c>
      <c r="E813">
        <v>21</v>
      </c>
      <c r="F813" t="s">
        <v>31</v>
      </c>
      <c r="G813" t="s">
        <v>61</v>
      </c>
      <c r="H813" t="s">
        <v>1615</v>
      </c>
      <c r="I813">
        <v>6</v>
      </c>
      <c r="J813">
        <v>12</v>
      </c>
      <c r="K813">
        <v>131303</v>
      </c>
      <c r="L813">
        <v>3.9</v>
      </c>
      <c r="M813" t="s">
        <v>21</v>
      </c>
      <c r="N813">
        <v>46</v>
      </c>
      <c r="O813">
        <f t="shared" si="192"/>
        <v>189</v>
      </c>
      <c r="P813">
        <f t="shared" si="193"/>
        <v>89</v>
      </c>
      <c r="Q813">
        <f t="shared" si="194"/>
        <v>100</v>
      </c>
      <c r="R813">
        <f t="shared" si="195"/>
        <v>49.650349650349654</v>
      </c>
      <c r="S813" s="1">
        <f t="shared" si="196"/>
        <v>50.24975024975025</v>
      </c>
      <c r="T813" s="1">
        <f t="shared" si="197"/>
        <v>88</v>
      </c>
      <c r="U813" s="1">
        <f t="shared" si="198"/>
        <v>101</v>
      </c>
      <c r="V813" s="1">
        <f t="shared" si="199"/>
        <v>47.5</v>
      </c>
      <c r="W813" s="1">
        <f t="shared" si="200"/>
        <v>52.5</v>
      </c>
      <c r="X813" s="1">
        <f t="shared" si="201"/>
        <v>15.068783068783068</v>
      </c>
      <c r="Y813" s="1">
        <f t="shared" si="202"/>
        <v>30</v>
      </c>
      <c r="Z813" s="1">
        <f t="shared" si="203"/>
        <v>33</v>
      </c>
      <c r="AA813" s="1">
        <f t="shared" si="204"/>
        <v>3.4499999999999988</v>
      </c>
      <c r="AB813" s="1">
        <f t="shared" si="205"/>
        <v>3.5151515151515151</v>
      </c>
      <c r="AC813" s="1">
        <f t="shared" si="206"/>
        <v>1</v>
      </c>
      <c r="AD813" s="1">
        <f t="shared" si="207"/>
        <v>5.937255480432291E-3</v>
      </c>
    </row>
    <row r="814" spans="1:30" x14ac:dyDescent="0.35">
      <c r="A814" t="s">
        <v>1616</v>
      </c>
      <c r="B814" t="s">
        <v>23</v>
      </c>
      <c r="C814" t="s">
        <v>49</v>
      </c>
      <c r="D814" t="s">
        <v>25</v>
      </c>
      <c r="E814">
        <v>26</v>
      </c>
      <c r="F814" t="s">
        <v>74</v>
      </c>
      <c r="G814" t="s">
        <v>85</v>
      </c>
      <c r="H814" t="s">
        <v>1617</v>
      </c>
      <c r="I814">
        <v>1</v>
      </c>
      <c r="J814">
        <v>10</v>
      </c>
      <c r="K814">
        <v>235366</v>
      </c>
      <c r="L814">
        <v>3.7</v>
      </c>
      <c r="M814" t="s">
        <v>43</v>
      </c>
      <c r="N814">
        <v>81</v>
      </c>
      <c r="O814">
        <f t="shared" si="192"/>
        <v>188</v>
      </c>
      <c r="P814">
        <f t="shared" si="193"/>
        <v>89</v>
      </c>
      <c r="Q814">
        <f t="shared" si="194"/>
        <v>99</v>
      </c>
      <c r="R814">
        <f t="shared" si="195"/>
        <v>49.650349650349654</v>
      </c>
      <c r="S814" s="1">
        <f t="shared" si="196"/>
        <v>50.24975024975025</v>
      </c>
      <c r="T814" s="1">
        <f t="shared" si="197"/>
        <v>87</v>
      </c>
      <c r="U814" s="1">
        <f t="shared" si="198"/>
        <v>101</v>
      </c>
      <c r="V814" s="1">
        <f t="shared" si="199"/>
        <v>47.5</v>
      </c>
      <c r="W814" s="1">
        <f t="shared" si="200"/>
        <v>52.5</v>
      </c>
      <c r="X814" s="1">
        <f t="shared" si="201"/>
        <v>15.085106382978724</v>
      </c>
      <c r="Y814" s="1">
        <f t="shared" si="202"/>
        <v>30</v>
      </c>
      <c r="Z814" s="1">
        <f t="shared" si="203"/>
        <v>32</v>
      </c>
      <c r="AA814" s="1">
        <f t="shared" si="204"/>
        <v>3.4499999999999988</v>
      </c>
      <c r="AB814" s="1">
        <f t="shared" si="205"/>
        <v>3.5031249999999994</v>
      </c>
      <c r="AC814" s="1">
        <f t="shared" si="206"/>
        <v>0</v>
      </c>
      <c r="AD814" s="1">
        <f t="shared" si="207"/>
        <v>8.4472470921226131E-3</v>
      </c>
    </row>
    <row r="815" spans="1:30" x14ac:dyDescent="0.35">
      <c r="A815" t="s">
        <v>1618</v>
      </c>
      <c r="B815" t="s">
        <v>29</v>
      </c>
      <c r="C815" t="s">
        <v>56</v>
      </c>
      <c r="D815" t="s">
        <v>17</v>
      </c>
      <c r="E815">
        <v>24</v>
      </c>
      <c r="F815" t="s">
        <v>31</v>
      </c>
      <c r="G815" t="s">
        <v>75</v>
      </c>
      <c r="H815" t="s">
        <v>1619</v>
      </c>
      <c r="I815">
        <v>0</v>
      </c>
      <c r="J815">
        <v>3</v>
      </c>
      <c r="K815">
        <v>358459</v>
      </c>
      <c r="L815">
        <v>3</v>
      </c>
      <c r="M815" t="s">
        <v>43</v>
      </c>
      <c r="N815">
        <v>94</v>
      </c>
      <c r="O815">
        <f t="shared" si="192"/>
        <v>187</v>
      </c>
      <c r="P815">
        <f t="shared" si="193"/>
        <v>89</v>
      </c>
      <c r="Q815">
        <f t="shared" si="194"/>
        <v>98</v>
      </c>
      <c r="R815">
        <f t="shared" si="195"/>
        <v>49.650349650349654</v>
      </c>
      <c r="S815" s="1">
        <f t="shared" si="196"/>
        <v>50.24975024975025</v>
      </c>
      <c r="T815" s="1">
        <f t="shared" si="197"/>
        <v>87</v>
      </c>
      <c r="U815" s="1">
        <f t="shared" si="198"/>
        <v>100</v>
      </c>
      <c r="V815" s="1">
        <f t="shared" si="199"/>
        <v>47.5</v>
      </c>
      <c r="W815" s="1">
        <f t="shared" si="200"/>
        <v>52.5</v>
      </c>
      <c r="X815" s="1">
        <f t="shared" si="201"/>
        <v>15.112299465240641</v>
      </c>
      <c r="Y815" s="1">
        <f t="shared" si="202"/>
        <v>29</v>
      </c>
      <c r="Z815" s="1">
        <f t="shared" si="203"/>
        <v>32</v>
      </c>
      <c r="AA815" s="1">
        <f t="shared" si="204"/>
        <v>3.4413793103448267</v>
      </c>
      <c r="AB815" s="1">
        <f t="shared" si="205"/>
        <v>3.5031249999999994</v>
      </c>
      <c r="AC815" s="1">
        <f t="shared" si="206"/>
        <v>0</v>
      </c>
      <c r="AD815" s="1">
        <f t="shared" si="207"/>
        <v>4.8939249719796791E-3</v>
      </c>
    </row>
    <row r="816" spans="1:30" x14ac:dyDescent="0.35">
      <c r="A816" t="s">
        <v>1620</v>
      </c>
      <c r="B816" t="s">
        <v>96</v>
      </c>
      <c r="C816" t="s">
        <v>30</v>
      </c>
      <c r="D816" t="s">
        <v>25</v>
      </c>
      <c r="E816">
        <v>48</v>
      </c>
      <c r="F816" t="s">
        <v>79</v>
      </c>
      <c r="G816" t="s">
        <v>26</v>
      </c>
      <c r="H816" t="s">
        <v>1621</v>
      </c>
      <c r="I816">
        <v>17</v>
      </c>
      <c r="J816">
        <v>27</v>
      </c>
      <c r="K816">
        <v>439773</v>
      </c>
      <c r="L816">
        <v>3.9</v>
      </c>
      <c r="M816" t="s">
        <v>21</v>
      </c>
      <c r="N816">
        <v>37</v>
      </c>
      <c r="O816">
        <f t="shared" si="192"/>
        <v>186</v>
      </c>
      <c r="P816">
        <f t="shared" si="193"/>
        <v>88</v>
      </c>
      <c r="Q816">
        <f t="shared" si="194"/>
        <v>98</v>
      </c>
      <c r="R816">
        <f t="shared" si="195"/>
        <v>49.650349650349654</v>
      </c>
      <c r="S816" s="1">
        <f t="shared" si="196"/>
        <v>50.24975024975025</v>
      </c>
      <c r="T816" s="1">
        <f t="shared" si="197"/>
        <v>87</v>
      </c>
      <c r="U816" s="1">
        <f t="shared" si="198"/>
        <v>99</v>
      </c>
      <c r="V816" s="1">
        <f t="shared" si="199"/>
        <v>47.5</v>
      </c>
      <c r="W816" s="1">
        <f t="shared" si="200"/>
        <v>52.5</v>
      </c>
      <c r="X816" s="1">
        <f t="shared" si="201"/>
        <v>15.17741935483871</v>
      </c>
      <c r="Y816" s="1">
        <f t="shared" si="202"/>
        <v>29</v>
      </c>
      <c r="Z816" s="1">
        <f t="shared" si="203"/>
        <v>31</v>
      </c>
      <c r="AA816" s="1">
        <f t="shared" si="204"/>
        <v>3.4413793103448267</v>
      </c>
      <c r="AB816" s="1">
        <f t="shared" si="205"/>
        <v>3.5193548387096767</v>
      </c>
      <c r="AC816" s="1">
        <f t="shared" si="206"/>
        <v>1</v>
      </c>
      <c r="AD816" s="1">
        <f t="shared" si="207"/>
        <v>-3.7283220200638035E-3</v>
      </c>
    </row>
    <row r="817" spans="1:30" x14ac:dyDescent="0.35">
      <c r="A817" t="s">
        <v>1622</v>
      </c>
      <c r="B817" t="s">
        <v>35</v>
      </c>
      <c r="C817" t="s">
        <v>93</v>
      </c>
      <c r="D817" t="s">
        <v>25</v>
      </c>
      <c r="E817">
        <v>49</v>
      </c>
      <c r="F817" t="s">
        <v>79</v>
      </c>
      <c r="G817" t="s">
        <v>32</v>
      </c>
      <c r="H817" t="s">
        <v>1623</v>
      </c>
      <c r="I817">
        <v>16</v>
      </c>
      <c r="J817">
        <v>26</v>
      </c>
      <c r="K817">
        <v>166877</v>
      </c>
      <c r="L817">
        <v>4.7</v>
      </c>
      <c r="M817" t="s">
        <v>43</v>
      </c>
      <c r="N817">
        <v>91</v>
      </c>
      <c r="O817">
        <f t="shared" si="192"/>
        <v>185</v>
      </c>
      <c r="P817">
        <f t="shared" si="193"/>
        <v>88</v>
      </c>
      <c r="Q817">
        <f t="shared" si="194"/>
        <v>97</v>
      </c>
      <c r="R817">
        <f t="shared" si="195"/>
        <v>49.650349650349654</v>
      </c>
      <c r="S817" s="1">
        <f t="shared" si="196"/>
        <v>50.24975024975025</v>
      </c>
      <c r="T817" s="1">
        <f t="shared" si="197"/>
        <v>86</v>
      </c>
      <c r="U817" s="1">
        <f t="shared" si="198"/>
        <v>99</v>
      </c>
      <c r="V817" s="1">
        <f t="shared" si="199"/>
        <v>47.5</v>
      </c>
      <c r="W817" s="1">
        <f t="shared" si="200"/>
        <v>52.5</v>
      </c>
      <c r="X817" s="1">
        <f t="shared" si="201"/>
        <v>15.113513513513514</v>
      </c>
      <c r="Y817" s="1">
        <f t="shared" si="202"/>
        <v>29</v>
      </c>
      <c r="Z817" s="1">
        <f t="shared" si="203"/>
        <v>31</v>
      </c>
      <c r="AA817" s="1">
        <f t="shared" si="204"/>
        <v>3.4413793103448267</v>
      </c>
      <c r="AB817" s="1">
        <f t="shared" si="205"/>
        <v>3.5193548387096767</v>
      </c>
      <c r="AC817" s="1">
        <f t="shared" si="206"/>
        <v>0</v>
      </c>
      <c r="AD817" s="1">
        <f t="shared" si="207"/>
        <v>-1.3558642013188918E-2</v>
      </c>
    </row>
    <row r="818" spans="1:30" x14ac:dyDescent="0.35">
      <c r="A818" t="s">
        <v>1624</v>
      </c>
      <c r="B818" t="s">
        <v>23</v>
      </c>
      <c r="C818" t="s">
        <v>52</v>
      </c>
      <c r="D818" t="s">
        <v>25</v>
      </c>
      <c r="E818">
        <v>36</v>
      </c>
      <c r="F818" t="s">
        <v>37</v>
      </c>
      <c r="G818" t="s">
        <v>19</v>
      </c>
      <c r="H818" t="s">
        <v>1625</v>
      </c>
      <c r="I818">
        <v>0</v>
      </c>
      <c r="J818">
        <v>2</v>
      </c>
      <c r="K818">
        <v>407270</v>
      </c>
      <c r="L818">
        <v>2.4</v>
      </c>
      <c r="M818" t="s">
        <v>21</v>
      </c>
      <c r="N818">
        <v>31</v>
      </c>
      <c r="O818">
        <f t="shared" si="192"/>
        <v>184</v>
      </c>
      <c r="P818">
        <f t="shared" si="193"/>
        <v>88</v>
      </c>
      <c r="Q818">
        <f t="shared" si="194"/>
        <v>96</v>
      </c>
      <c r="R818">
        <f t="shared" si="195"/>
        <v>49.650349650349654</v>
      </c>
      <c r="S818" s="1">
        <f t="shared" si="196"/>
        <v>50.24975024975025</v>
      </c>
      <c r="T818" s="1">
        <f t="shared" si="197"/>
        <v>86</v>
      </c>
      <c r="U818" s="1">
        <f t="shared" si="198"/>
        <v>98</v>
      </c>
      <c r="V818" s="1">
        <f t="shared" si="199"/>
        <v>47.5</v>
      </c>
      <c r="W818" s="1">
        <f t="shared" si="200"/>
        <v>52.5</v>
      </c>
      <c r="X818" s="1">
        <f t="shared" si="201"/>
        <v>15.054347826086957</v>
      </c>
      <c r="Y818" s="1">
        <f t="shared" si="202"/>
        <v>29</v>
      </c>
      <c r="Z818" s="1">
        <f t="shared" si="203"/>
        <v>31</v>
      </c>
      <c r="AA818" s="1">
        <f t="shared" si="204"/>
        <v>3.4413793103448267</v>
      </c>
      <c r="AB818" s="1">
        <f t="shared" si="205"/>
        <v>3.5193548387096767</v>
      </c>
      <c r="AC818" s="1">
        <f t="shared" si="206"/>
        <v>1</v>
      </c>
      <c r="AD818" s="1">
        <f t="shared" si="207"/>
        <v>-5.7362973567612191E-3</v>
      </c>
    </row>
    <row r="819" spans="1:30" x14ac:dyDescent="0.35">
      <c r="A819" t="s">
        <v>1626</v>
      </c>
      <c r="B819" t="s">
        <v>69</v>
      </c>
      <c r="C819" t="s">
        <v>93</v>
      </c>
      <c r="D819" t="s">
        <v>25</v>
      </c>
      <c r="E819">
        <v>40</v>
      </c>
      <c r="F819" t="s">
        <v>70</v>
      </c>
      <c r="G819" t="s">
        <v>41</v>
      </c>
      <c r="H819" t="s">
        <v>254</v>
      </c>
      <c r="I819">
        <v>10</v>
      </c>
      <c r="J819">
        <v>16</v>
      </c>
      <c r="K819">
        <v>112290</v>
      </c>
      <c r="L819">
        <v>2.6</v>
      </c>
      <c r="M819" t="s">
        <v>21</v>
      </c>
      <c r="N819">
        <v>42</v>
      </c>
      <c r="O819">
        <f t="shared" si="192"/>
        <v>183</v>
      </c>
      <c r="P819">
        <f t="shared" si="193"/>
        <v>88</v>
      </c>
      <c r="Q819">
        <f t="shared" si="194"/>
        <v>95</v>
      </c>
      <c r="R819">
        <f t="shared" si="195"/>
        <v>49.650349650349654</v>
      </c>
      <c r="S819" s="1">
        <f t="shared" si="196"/>
        <v>50.24975024975025</v>
      </c>
      <c r="T819" s="1">
        <f t="shared" si="197"/>
        <v>85</v>
      </c>
      <c r="U819" s="1">
        <f t="shared" si="198"/>
        <v>98</v>
      </c>
      <c r="V819" s="1">
        <f t="shared" si="199"/>
        <v>47.5</v>
      </c>
      <c r="W819" s="1">
        <f t="shared" si="200"/>
        <v>52.5</v>
      </c>
      <c r="X819" s="1">
        <f t="shared" si="201"/>
        <v>15.12568306010929</v>
      </c>
      <c r="Y819" s="1">
        <f t="shared" si="202"/>
        <v>29</v>
      </c>
      <c r="Z819" s="1">
        <f t="shared" si="203"/>
        <v>31</v>
      </c>
      <c r="AA819" s="1">
        <f t="shared" si="204"/>
        <v>3.4413793103448267</v>
      </c>
      <c r="AB819" s="1">
        <f t="shared" si="205"/>
        <v>3.5193548387096767</v>
      </c>
      <c r="AC819" s="1">
        <f t="shared" si="206"/>
        <v>1</v>
      </c>
      <c r="AD819" s="1">
        <f t="shared" si="207"/>
        <v>5.2455590492770116E-3</v>
      </c>
    </row>
    <row r="820" spans="1:30" x14ac:dyDescent="0.35">
      <c r="A820" t="s">
        <v>1627</v>
      </c>
      <c r="B820" t="s">
        <v>35</v>
      </c>
      <c r="C820" t="s">
        <v>64</v>
      </c>
      <c r="D820" t="s">
        <v>25</v>
      </c>
      <c r="E820">
        <v>48</v>
      </c>
      <c r="F820" t="s">
        <v>18</v>
      </c>
      <c r="G820" t="s">
        <v>19</v>
      </c>
      <c r="H820" t="s">
        <v>1628</v>
      </c>
      <c r="I820">
        <v>11</v>
      </c>
      <c r="J820">
        <v>15</v>
      </c>
      <c r="K820">
        <v>305243</v>
      </c>
      <c r="L820">
        <v>4.4000000000000004</v>
      </c>
      <c r="M820" t="s">
        <v>21</v>
      </c>
      <c r="N820">
        <v>66</v>
      </c>
      <c r="O820">
        <f t="shared" si="192"/>
        <v>182</v>
      </c>
      <c r="P820">
        <f t="shared" si="193"/>
        <v>88</v>
      </c>
      <c r="Q820">
        <f t="shared" si="194"/>
        <v>94</v>
      </c>
      <c r="R820">
        <f t="shared" si="195"/>
        <v>49.650349650349654</v>
      </c>
      <c r="S820" s="1">
        <f t="shared" si="196"/>
        <v>50.24975024975025</v>
      </c>
      <c r="T820" s="1">
        <f t="shared" si="197"/>
        <v>84</v>
      </c>
      <c r="U820" s="1">
        <f t="shared" si="198"/>
        <v>98</v>
      </c>
      <c r="V820" s="1">
        <f t="shared" si="199"/>
        <v>47.5</v>
      </c>
      <c r="W820" s="1">
        <f t="shared" si="200"/>
        <v>52.5</v>
      </c>
      <c r="X820" s="1">
        <f t="shared" si="201"/>
        <v>15.12087912087912</v>
      </c>
      <c r="Y820" s="1">
        <f t="shared" si="202"/>
        <v>29</v>
      </c>
      <c r="Z820" s="1">
        <f t="shared" si="203"/>
        <v>31</v>
      </c>
      <c r="AA820" s="1">
        <f t="shared" si="204"/>
        <v>3.4413793103448267</v>
      </c>
      <c r="AB820" s="1">
        <f t="shared" si="205"/>
        <v>3.5193548387096767</v>
      </c>
      <c r="AC820" s="1">
        <f t="shared" si="206"/>
        <v>1</v>
      </c>
      <c r="AD820" s="1">
        <f t="shared" si="207"/>
        <v>4.515559002377407E-3</v>
      </c>
    </row>
    <row r="821" spans="1:30" x14ac:dyDescent="0.35">
      <c r="A821" t="s">
        <v>1629</v>
      </c>
      <c r="B821" t="s">
        <v>29</v>
      </c>
      <c r="C821" t="s">
        <v>93</v>
      </c>
      <c r="D821" t="s">
        <v>17</v>
      </c>
      <c r="E821">
        <v>52</v>
      </c>
      <c r="F821" t="s">
        <v>18</v>
      </c>
      <c r="G821" t="s">
        <v>57</v>
      </c>
      <c r="H821" t="s">
        <v>1630</v>
      </c>
      <c r="I821">
        <v>8</v>
      </c>
      <c r="J821">
        <v>10</v>
      </c>
      <c r="K821">
        <v>354218</v>
      </c>
      <c r="L821">
        <v>5</v>
      </c>
      <c r="M821" t="s">
        <v>43</v>
      </c>
      <c r="N821">
        <v>86</v>
      </c>
      <c r="O821">
        <f t="shared" si="192"/>
        <v>181</v>
      </c>
      <c r="P821">
        <f t="shared" si="193"/>
        <v>88</v>
      </c>
      <c r="Q821">
        <f t="shared" si="194"/>
        <v>93</v>
      </c>
      <c r="R821">
        <f t="shared" si="195"/>
        <v>49.650349650349654</v>
      </c>
      <c r="S821" s="1">
        <f t="shared" si="196"/>
        <v>50.24975024975025</v>
      </c>
      <c r="T821" s="1">
        <f t="shared" si="197"/>
        <v>83</v>
      </c>
      <c r="U821" s="1">
        <f t="shared" si="198"/>
        <v>98</v>
      </c>
      <c r="V821" s="1">
        <f t="shared" si="199"/>
        <v>47.5</v>
      </c>
      <c r="W821" s="1">
        <f t="shared" si="200"/>
        <v>52.5</v>
      </c>
      <c r="X821" s="1">
        <f t="shared" si="201"/>
        <v>15.121546961325967</v>
      </c>
      <c r="Y821" s="1">
        <f t="shared" si="202"/>
        <v>29</v>
      </c>
      <c r="Z821" s="1">
        <f t="shared" si="203"/>
        <v>31</v>
      </c>
      <c r="AA821" s="1">
        <f t="shared" si="204"/>
        <v>3.4413793103448267</v>
      </c>
      <c r="AB821" s="1">
        <f t="shared" si="205"/>
        <v>3.5193548387096767</v>
      </c>
      <c r="AC821" s="1">
        <f t="shared" si="206"/>
        <v>0</v>
      </c>
      <c r="AD821" s="1">
        <f t="shared" si="207"/>
        <v>4.6343597483278686E-3</v>
      </c>
    </row>
    <row r="822" spans="1:30" x14ac:dyDescent="0.35">
      <c r="A822" t="s">
        <v>1631</v>
      </c>
      <c r="B822" t="s">
        <v>78</v>
      </c>
      <c r="C822" t="s">
        <v>30</v>
      </c>
      <c r="D822" t="s">
        <v>17</v>
      </c>
      <c r="E822">
        <v>27</v>
      </c>
      <c r="F822" t="s">
        <v>74</v>
      </c>
      <c r="G822" t="s">
        <v>71</v>
      </c>
      <c r="H822" t="s">
        <v>1632</v>
      </c>
      <c r="I822">
        <v>10</v>
      </c>
      <c r="J822">
        <v>12</v>
      </c>
      <c r="K822">
        <v>126536</v>
      </c>
      <c r="L822">
        <v>4.5</v>
      </c>
      <c r="M822" t="s">
        <v>43</v>
      </c>
      <c r="N822">
        <v>81</v>
      </c>
      <c r="O822">
        <f t="shared" si="192"/>
        <v>180</v>
      </c>
      <c r="P822">
        <f t="shared" si="193"/>
        <v>87</v>
      </c>
      <c r="Q822">
        <f t="shared" si="194"/>
        <v>93</v>
      </c>
      <c r="R822">
        <f t="shared" si="195"/>
        <v>49.650349650349654</v>
      </c>
      <c r="S822" s="1">
        <f t="shared" si="196"/>
        <v>50.24975024975025</v>
      </c>
      <c r="T822" s="1">
        <f t="shared" si="197"/>
        <v>83</v>
      </c>
      <c r="U822" s="1">
        <f t="shared" si="198"/>
        <v>97</v>
      </c>
      <c r="V822" s="1">
        <f t="shared" si="199"/>
        <v>47.5</v>
      </c>
      <c r="W822" s="1">
        <f t="shared" si="200"/>
        <v>52.5</v>
      </c>
      <c r="X822" s="1">
        <f t="shared" si="201"/>
        <v>15.15</v>
      </c>
      <c r="Y822" s="1">
        <f t="shared" si="202"/>
        <v>29</v>
      </c>
      <c r="Z822" s="1">
        <f t="shared" si="203"/>
        <v>31</v>
      </c>
      <c r="AA822" s="1">
        <f t="shared" si="204"/>
        <v>3.4413793103448267</v>
      </c>
      <c r="AB822" s="1">
        <f t="shared" si="205"/>
        <v>3.5193548387096767</v>
      </c>
      <c r="AC822" s="1">
        <f t="shared" si="206"/>
        <v>0</v>
      </c>
      <c r="AD822" s="1">
        <f t="shared" si="207"/>
        <v>8.7881526849112627E-4</v>
      </c>
    </row>
    <row r="823" spans="1:30" x14ac:dyDescent="0.35">
      <c r="A823" t="s">
        <v>1633</v>
      </c>
      <c r="B823" t="s">
        <v>78</v>
      </c>
      <c r="C823" t="s">
        <v>82</v>
      </c>
      <c r="D823" t="s">
        <v>17</v>
      </c>
      <c r="E823">
        <v>55</v>
      </c>
      <c r="F823" t="s">
        <v>74</v>
      </c>
      <c r="G823" t="s">
        <v>26</v>
      </c>
      <c r="H823" t="s">
        <v>1634</v>
      </c>
      <c r="I823">
        <v>13</v>
      </c>
      <c r="J823">
        <v>16</v>
      </c>
      <c r="K823">
        <v>444601</v>
      </c>
      <c r="L823">
        <v>3.3</v>
      </c>
      <c r="M823" t="s">
        <v>43</v>
      </c>
      <c r="N823">
        <v>74</v>
      </c>
      <c r="O823">
        <f t="shared" si="192"/>
        <v>179</v>
      </c>
      <c r="P823">
        <f t="shared" si="193"/>
        <v>86</v>
      </c>
      <c r="Q823">
        <f t="shared" si="194"/>
        <v>93</v>
      </c>
      <c r="R823">
        <f t="shared" si="195"/>
        <v>49.650349650349654</v>
      </c>
      <c r="S823" s="1">
        <f t="shared" si="196"/>
        <v>50.24975024975025</v>
      </c>
      <c r="T823" s="1">
        <f t="shared" si="197"/>
        <v>83</v>
      </c>
      <c r="U823" s="1">
        <f t="shared" si="198"/>
        <v>96</v>
      </c>
      <c r="V823" s="1">
        <f t="shared" si="199"/>
        <v>47.5</v>
      </c>
      <c r="W823" s="1">
        <f t="shared" si="200"/>
        <v>52.5</v>
      </c>
      <c r="X823" s="1">
        <f t="shared" si="201"/>
        <v>15.167597765363128</v>
      </c>
      <c r="Y823" s="1">
        <f t="shared" si="202"/>
        <v>28</v>
      </c>
      <c r="Z823" s="1">
        <f t="shared" si="203"/>
        <v>31</v>
      </c>
      <c r="AA823" s="1">
        <f t="shared" si="204"/>
        <v>3.403571428571428</v>
      </c>
      <c r="AB823" s="1">
        <f t="shared" si="205"/>
        <v>3.5193548387096767</v>
      </c>
      <c r="AC823" s="1">
        <f t="shared" si="206"/>
        <v>0</v>
      </c>
      <c r="AD823" s="1">
        <f t="shared" si="207"/>
        <v>-1.4593435951286045E-3</v>
      </c>
    </row>
    <row r="824" spans="1:30" x14ac:dyDescent="0.35">
      <c r="A824" t="s">
        <v>1635</v>
      </c>
      <c r="B824" t="s">
        <v>78</v>
      </c>
      <c r="C824" t="s">
        <v>49</v>
      </c>
      <c r="D824" t="s">
        <v>25</v>
      </c>
      <c r="E824">
        <v>21</v>
      </c>
      <c r="F824" t="s">
        <v>31</v>
      </c>
      <c r="G824" t="s">
        <v>26</v>
      </c>
      <c r="H824" t="s">
        <v>1636</v>
      </c>
      <c r="I824">
        <v>20</v>
      </c>
      <c r="J824">
        <v>21</v>
      </c>
      <c r="K824">
        <v>379998</v>
      </c>
      <c r="L824">
        <v>2</v>
      </c>
      <c r="M824" t="s">
        <v>43</v>
      </c>
      <c r="N824">
        <v>93</v>
      </c>
      <c r="O824">
        <f t="shared" si="192"/>
        <v>178</v>
      </c>
      <c r="P824">
        <f t="shared" si="193"/>
        <v>85</v>
      </c>
      <c r="Q824">
        <f t="shared" si="194"/>
        <v>93</v>
      </c>
      <c r="R824">
        <f t="shared" si="195"/>
        <v>49.650349650349654</v>
      </c>
      <c r="S824" s="1">
        <f t="shared" si="196"/>
        <v>50.24975024975025</v>
      </c>
      <c r="T824" s="1">
        <f t="shared" si="197"/>
        <v>83</v>
      </c>
      <c r="U824" s="1">
        <f t="shared" si="198"/>
        <v>95</v>
      </c>
      <c r="V824" s="1">
        <f t="shared" si="199"/>
        <v>47.5</v>
      </c>
      <c r="W824" s="1">
        <f t="shared" si="200"/>
        <v>52.5</v>
      </c>
      <c r="X824" s="1">
        <f t="shared" si="201"/>
        <v>15.162921348314606</v>
      </c>
      <c r="Y824" s="1">
        <f t="shared" si="202"/>
        <v>27</v>
      </c>
      <c r="Z824" s="1">
        <f t="shared" si="203"/>
        <v>31</v>
      </c>
      <c r="AA824" s="1">
        <f t="shared" si="204"/>
        <v>3.4074074074074066</v>
      </c>
      <c r="AB824" s="1">
        <f t="shared" si="205"/>
        <v>3.5193548387096767</v>
      </c>
      <c r="AC824" s="1">
        <f t="shared" si="206"/>
        <v>0</v>
      </c>
      <c r="AD824" s="1">
        <f t="shared" si="207"/>
        <v>-8.3938369238189506E-4</v>
      </c>
    </row>
    <row r="825" spans="1:30" x14ac:dyDescent="0.35">
      <c r="A825" t="s">
        <v>1637</v>
      </c>
      <c r="B825" t="s">
        <v>35</v>
      </c>
      <c r="C825" t="s">
        <v>16</v>
      </c>
      <c r="D825" t="s">
        <v>17</v>
      </c>
      <c r="E825">
        <v>26</v>
      </c>
      <c r="F825" t="s">
        <v>70</v>
      </c>
      <c r="G825" t="s">
        <v>41</v>
      </c>
      <c r="H825" t="s">
        <v>1638</v>
      </c>
      <c r="I825">
        <v>3</v>
      </c>
      <c r="J825">
        <v>9</v>
      </c>
      <c r="K825">
        <v>97650</v>
      </c>
      <c r="L825">
        <v>3.5</v>
      </c>
      <c r="M825" t="s">
        <v>43</v>
      </c>
      <c r="N825">
        <v>97</v>
      </c>
      <c r="O825">
        <f t="shared" si="192"/>
        <v>177</v>
      </c>
      <c r="P825">
        <f t="shared" si="193"/>
        <v>85</v>
      </c>
      <c r="Q825">
        <f t="shared" si="194"/>
        <v>92</v>
      </c>
      <c r="R825">
        <f t="shared" si="195"/>
        <v>49.650349650349654</v>
      </c>
      <c r="S825" s="1">
        <f t="shared" si="196"/>
        <v>50.24975024975025</v>
      </c>
      <c r="T825" s="1">
        <f t="shared" si="197"/>
        <v>83</v>
      </c>
      <c r="U825" s="1">
        <f t="shared" si="198"/>
        <v>94</v>
      </c>
      <c r="V825" s="1">
        <f t="shared" si="199"/>
        <v>47.5</v>
      </c>
      <c r="W825" s="1">
        <f t="shared" si="200"/>
        <v>52.5</v>
      </c>
      <c r="X825" s="1">
        <f t="shared" si="201"/>
        <v>15.129943502824858</v>
      </c>
      <c r="Y825" s="1">
        <f t="shared" si="202"/>
        <v>27</v>
      </c>
      <c r="Z825" s="1">
        <f t="shared" si="203"/>
        <v>30</v>
      </c>
      <c r="AA825" s="1">
        <f t="shared" si="204"/>
        <v>3.4074074074074066</v>
      </c>
      <c r="AB825" s="1">
        <f t="shared" si="205"/>
        <v>3.57</v>
      </c>
      <c r="AC825" s="1">
        <f t="shared" si="206"/>
        <v>0</v>
      </c>
      <c r="AD825" s="1">
        <f t="shared" si="207"/>
        <v>3.5738576143576404E-3</v>
      </c>
    </row>
    <row r="826" spans="1:30" x14ac:dyDescent="0.35">
      <c r="A826" t="s">
        <v>1639</v>
      </c>
      <c r="B826" t="s">
        <v>55</v>
      </c>
      <c r="C826" t="s">
        <v>24</v>
      </c>
      <c r="D826" t="s">
        <v>17</v>
      </c>
      <c r="E826">
        <v>50</v>
      </c>
      <c r="F826" t="s">
        <v>18</v>
      </c>
      <c r="G826" t="s">
        <v>41</v>
      </c>
      <c r="H826" t="s">
        <v>1502</v>
      </c>
      <c r="I826">
        <v>2</v>
      </c>
      <c r="J826">
        <v>6</v>
      </c>
      <c r="K826">
        <v>381475</v>
      </c>
      <c r="L826">
        <v>4.2</v>
      </c>
      <c r="M826" t="s">
        <v>43</v>
      </c>
      <c r="N826">
        <v>79</v>
      </c>
      <c r="O826">
        <f t="shared" si="192"/>
        <v>176</v>
      </c>
      <c r="P826">
        <f t="shared" si="193"/>
        <v>84</v>
      </c>
      <c r="Q826">
        <f t="shared" si="194"/>
        <v>92</v>
      </c>
      <c r="R826">
        <f t="shared" si="195"/>
        <v>49.650349650349654</v>
      </c>
      <c r="S826" s="1">
        <f t="shared" si="196"/>
        <v>50.24975024975025</v>
      </c>
      <c r="T826" s="1">
        <f t="shared" si="197"/>
        <v>83</v>
      </c>
      <c r="U826" s="1">
        <f t="shared" si="198"/>
        <v>93</v>
      </c>
      <c r="V826" s="1">
        <f t="shared" si="199"/>
        <v>47.5</v>
      </c>
      <c r="W826" s="1">
        <f t="shared" si="200"/>
        <v>52.5</v>
      </c>
      <c r="X826" s="1">
        <f t="shared" si="201"/>
        <v>15.164772727272727</v>
      </c>
      <c r="Y826" s="1">
        <f t="shared" si="202"/>
        <v>27</v>
      </c>
      <c r="Z826" s="1">
        <f t="shared" si="203"/>
        <v>30</v>
      </c>
      <c r="AA826" s="1">
        <f t="shared" si="204"/>
        <v>3.4074074074074066</v>
      </c>
      <c r="AB826" s="1">
        <f t="shared" si="205"/>
        <v>3.57</v>
      </c>
      <c r="AC826" s="1">
        <f t="shared" si="206"/>
        <v>0</v>
      </c>
      <c r="AD826" s="1">
        <f t="shared" si="207"/>
        <v>-1.0962127545284328E-3</v>
      </c>
    </row>
    <row r="827" spans="1:30" x14ac:dyDescent="0.35">
      <c r="A827" t="s">
        <v>1640</v>
      </c>
      <c r="B827" t="s">
        <v>23</v>
      </c>
      <c r="C827" t="s">
        <v>30</v>
      </c>
      <c r="D827" t="s">
        <v>25</v>
      </c>
      <c r="E827">
        <v>55</v>
      </c>
      <c r="F827" t="s">
        <v>46</v>
      </c>
      <c r="G827" t="s">
        <v>26</v>
      </c>
      <c r="H827" t="s">
        <v>1641</v>
      </c>
      <c r="I827">
        <v>1</v>
      </c>
      <c r="J827">
        <v>2</v>
      </c>
      <c r="K827">
        <v>306058</v>
      </c>
      <c r="L827">
        <v>2.2999999999999998</v>
      </c>
      <c r="M827" t="s">
        <v>43</v>
      </c>
      <c r="N827">
        <v>87</v>
      </c>
      <c r="O827">
        <f t="shared" si="192"/>
        <v>175</v>
      </c>
      <c r="P827">
        <f t="shared" si="193"/>
        <v>83</v>
      </c>
      <c r="Q827">
        <f t="shared" si="194"/>
        <v>92</v>
      </c>
      <c r="R827">
        <f t="shared" si="195"/>
        <v>49.650349650349654</v>
      </c>
      <c r="S827" s="1">
        <f t="shared" si="196"/>
        <v>50.24975024975025</v>
      </c>
      <c r="T827" s="1">
        <f t="shared" si="197"/>
        <v>83</v>
      </c>
      <c r="U827" s="1">
        <f t="shared" si="198"/>
        <v>92</v>
      </c>
      <c r="V827" s="1">
        <f t="shared" si="199"/>
        <v>47.5</v>
      </c>
      <c r="W827" s="1">
        <f t="shared" si="200"/>
        <v>52.5</v>
      </c>
      <c r="X827" s="1">
        <f t="shared" si="201"/>
        <v>15.217142857142857</v>
      </c>
      <c r="Y827" s="1">
        <f t="shared" si="202"/>
        <v>27</v>
      </c>
      <c r="Z827" s="1">
        <f t="shared" si="203"/>
        <v>30</v>
      </c>
      <c r="AA827" s="1">
        <f t="shared" si="204"/>
        <v>3.4074074074074066</v>
      </c>
      <c r="AB827" s="1">
        <f t="shared" si="205"/>
        <v>3.57</v>
      </c>
      <c r="AC827" s="1">
        <f t="shared" si="206"/>
        <v>0</v>
      </c>
      <c r="AD827" s="1">
        <f t="shared" si="207"/>
        <v>-8.204396958135185E-3</v>
      </c>
    </row>
    <row r="828" spans="1:30" x14ac:dyDescent="0.35">
      <c r="A828" t="s">
        <v>1642</v>
      </c>
      <c r="B828" t="s">
        <v>35</v>
      </c>
      <c r="C828" t="s">
        <v>52</v>
      </c>
      <c r="D828" t="s">
        <v>17</v>
      </c>
      <c r="E828">
        <v>43</v>
      </c>
      <c r="F828" t="s">
        <v>31</v>
      </c>
      <c r="G828" t="s">
        <v>19</v>
      </c>
      <c r="H828" t="s">
        <v>1643</v>
      </c>
      <c r="I828">
        <v>12</v>
      </c>
      <c r="J828">
        <v>22</v>
      </c>
      <c r="K828">
        <v>400083</v>
      </c>
      <c r="L828">
        <v>4.7</v>
      </c>
      <c r="M828" t="s">
        <v>21</v>
      </c>
      <c r="N828">
        <v>41</v>
      </c>
      <c r="O828">
        <f t="shared" si="192"/>
        <v>174</v>
      </c>
      <c r="P828">
        <f t="shared" si="193"/>
        <v>83</v>
      </c>
      <c r="Q828">
        <f t="shared" si="194"/>
        <v>91</v>
      </c>
      <c r="R828">
        <f t="shared" si="195"/>
        <v>49.650349650349654</v>
      </c>
      <c r="S828" s="1">
        <f t="shared" si="196"/>
        <v>50.24975024975025</v>
      </c>
      <c r="T828" s="1">
        <f t="shared" si="197"/>
        <v>83</v>
      </c>
      <c r="U828" s="1">
        <f t="shared" si="198"/>
        <v>91</v>
      </c>
      <c r="V828" s="1">
        <f t="shared" si="199"/>
        <v>47.5</v>
      </c>
      <c r="W828" s="1">
        <f t="shared" si="200"/>
        <v>52.5</v>
      </c>
      <c r="X828" s="1">
        <f t="shared" si="201"/>
        <v>15.293103448275861</v>
      </c>
      <c r="Y828" s="1">
        <f t="shared" si="202"/>
        <v>27</v>
      </c>
      <c r="Z828" s="1">
        <f t="shared" si="203"/>
        <v>30</v>
      </c>
      <c r="AA828" s="1">
        <f t="shared" si="204"/>
        <v>3.4074074074074066</v>
      </c>
      <c r="AB828" s="1">
        <f t="shared" si="205"/>
        <v>3.57</v>
      </c>
      <c r="AC828" s="1">
        <f t="shared" si="206"/>
        <v>1</v>
      </c>
      <c r="AD828" s="1">
        <f t="shared" si="207"/>
        <v>-1.8743455914650115E-2</v>
      </c>
    </row>
    <row r="829" spans="1:30" x14ac:dyDescent="0.35">
      <c r="A829" t="s">
        <v>1644</v>
      </c>
      <c r="B829" t="s">
        <v>40</v>
      </c>
      <c r="C829" t="s">
        <v>49</v>
      </c>
      <c r="D829" t="s">
        <v>17</v>
      </c>
      <c r="E829">
        <v>33</v>
      </c>
      <c r="F829" t="s">
        <v>18</v>
      </c>
      <c r="G829" t="s">
        <v>32</v>
      </c>
      <c r="H829" t="s">
        <v>1645</v>
      </c>
      <c r="I829">
        <v>18</v>
      </c>
      <c r="J829">
        <v>20</v>
      </c>
      <c r="K829">
        <v>324179</v>
      </c>
      <c r="L829">
        <v>2.1</v>
      </c>
      <c r="M829" t="s">
        <v>43</v>
      </c>
      <c r="N829">
        <v>82</v>
      </c>
      <c r="O829">
        <f t="shared" si="192"/>
        <v>173</v>
      </c>
      <c r="P829">
        <f t="shared" si="193"/>
        <v>82</v>
      </c>
      <c r="Q829">
        <f t="shared" si="194"/>
        <v>91</v>
      </c>
      <c r="R829">
        <f t="shared" si="195"/>
        <v>49.650349650349654</v>
      </c>
      <c r="S829" s="1">
        <f t="shared" si="196"/>
        <v>50.24975024975025</v>
      </c>
      <c r="T829" s="1">
        <f t="shared" si="197"/>
        <v>82</v>
      </c>
      <c r="U829" s="1">
        <f t="shared" si="198"/>
        <v>91</v>
      </c>
      <c r="V829" s="1">
        <f t="shared" si="199"/>
        <v>47.5</v>
      </c>
      <c r="W829" s="1">
        <f t="shared" si="200"/>
        <v>52.5</v>
      </c>
      <c r="X829" s="1">
        <f t="shared" si="201"/>
        <v>15.254335260115607</v>
      </c>
      <c r="Y829" s="1">
        <f t="shared" si="202"/>
        <v>27</v>
      </c>
      <c r="Z829" s="1">
        <f t="shared" si="203"/>
        <v>29</v>
      </c>
      <c r="AA829" s="1">
        <f t="shared" si="204"/>
        <v>3.4074074074074066</v>
      </c>
      <c r="AB829" s="1">
        <f t="shared" si="205"/>
        <v>3.5310344827586202</v>
      </c>
      <c r="AC829" s="1">
        <f t="shared" si="206"/>
        <v>0</v>
      </c>
      <c r="AD829" s="1">
        <f t="shared" si="207"/>
        <v>-2.4725814965430901E-2</v>
      </c>
    </row>
    <row r="830" spans="1:30" x14ac:dyDescent="0.35">
      <c r="A830" t="s">
        <v>1646</v>
      </c>
      <c r="B830" t="s">
        <v>23</v>
      </c>
      <c r="C830" t="s">
        <v>64</v>
      </c>
      <c r="D830" t="s">
        <v>25</v>
      </c>
      <c r="E830">
        <v>29</v>
      </c>
      <c r="F830" t="s">
        <v>37</v>
      </c>
      <c r="G830" t="s">
        <v>26</v>
      </c>
      <c r="H830" t="s">
        <v>1647</v>
      </c>
      <c r="I830">
        <v>20</v>
      </c>
      <c r="J830">
        <v>20</v>
      </c>
      <c r="K830">
        <v>59477</v>
      </c>
      <c r="L830">
        <v>2.7</v>
      </c>
      <c r="M830" t="s">
        <v>21</v>
      </c>
      <c r="N830">
        <v>34</v>
      </c>
      <c r="O830">
        <f t="shared" si="192"/>
        <v>172</v>
      </c>
      <c r="P830">
        <f t="shared" si="193"/>
        <v>81</v>
      </c>
      <c r="Q830">
        <f t="shared" si="194"/>
        <v>91</v>
      </c>
      <c r="R830">
        <f t="shared" si="195"/>
        <v>49.650349650349654</v>
      </c>
      <c r="S830" s="1">
        <f t="shared" si="196"/>
        <v>50.24975024975025</v>
      </c>
      <c r="T830" s="1">
        <f t="shared" si="197"/>
        <v>82</v>
      </c>
      <c r="U830" s="1">
        <f t="shared" si="198"/>
        <v>90</v>
      </c>
      <c r="V830" s="1">
        <f t="shared" si="199"/>
        <v>47.5</v>
      </c>
      <c r="W830" s="1">
        <f t="shared" si="200"/>
        <v>52.5</v>
      </c>
      <c r="X830" s="1">
        <f t="shared" si="201"/>
        <v>15.226744186046512</v>
      </c>
      <c r="Y830" s="1">
        <f t="shared" si="202"/>
        <v>27</v>
      </c>
      <c r="Z830" s="1">
        <f t="shared" si="203"/>
        <v>29</v>
      </c>
      <c r="AA830" s="1">
        <f t="shared" si="204"/>
        <v>3.4074074074074066</v>
      </c>
      <c r="AB830" s="1">
        <f t="shared" si="205"/>
        <v>3.5310344827586202</v>
      </c>
      <c r="AC830" s="1">
        <f t="shared" si="206"/>
        <v>1</v>
      </c>
      <c r="AD830" s="1">
        <f t="shared" si="207"/>
        <v>-2.1043732546624647E-2</v>
      </c>
    </row>
    <row r="831" spans="1:30" x14ac:dyDescent="0.35">
      <c r="A831" t="s">
        <v>1648</v>
      </c>
      <c r="B831" t="s">
        <v>69</v>
      </c>
      <c r="C831" t="s">
        <v>24</v>
      </c>
      <c r="D831" t="s">
        <v>25</v>
      </c>
      <c r="E831">
        <v>57</v>
      </c>
      <c r="F831" t="s">
        <v>31</v>
      </c>
      <c r="G831" t="s">
        <v>57</v>
      </c>
      <c r="H831" t="s">
        <v>1649</v>
      </c>
      <c r="I831">
        <v>9</v>
      </c>
      <c r="J831">
        <v>15</v>
      </c>
      <c r="K831">
        <v>359673</v>
      </c>
      <c r="L831">
        <v>3.4</v>
      </c>
      <c r="M831" t="s">
        <v>43</v>
      </c>
      <c r="N831">
        <v>76</v>
      </c>
      <c r="O831">
        <f t="shared" si="192"/>
        <v>171</v>
      </c>
      <c r="P831">
        <f t="shared" si="193"/>
        <v>81</v>
      </c>
      <c r="Q831">
        <f t="shared" si="194"/>
        <v>90</v>
      </c>
      <c r="R831">
        <f t="shared" si="195"/>
        <v>49.650349650349654</v>
      </c>
      <c r="S831" s="1">
        <f t="shared" si="196"/>
        <v>50.24975024975025</v>
      </c>
      <c r="T831" s="1">
        <f t="shared" si="197"/>
        <v>81</v>
      </c>
      <c r="U831" s="1">
        <f t="shared" si="198"/>
        <v>90</v>
      </c>
      <c r="V831" s="1">
        <f t="shared" si="199"/>
        <v>47.5</v>
      </c>
      <c r="W831" s="1">
        <f t="shared" si="200"/>
        <v>52.5</v>
      </c>
      <c r="X831" s="1">
        <f t="shared" si="201"/>
        <v>15.198830409356725</v>
      </c>
      <c r="Y831" s="1">
        <f t="shared" si="202"/>
        <v>27</v>
      </c>
      <c r="Z831" s="1">
        <f t="shared" si="203"/>
        <v>29</v>
      </c>
      <c r="AA831" s="1">
        <f t="shared" si="204"/>
        <v>3.4074074074074066</v>
      </c>
      <c r="AB831" s="1">
        <f t="shared" si="205"/>
        <v>3.5310344827586202</v>
      </c>
      <c r="AC831" s="1">
        <f t="shared" si="206"/>
        <v>0</v>
      </c>
      <c r="AD831" s="1">
        <f t="shared" si="207"/>
        <v>-2.535808096133357E-2</v>
      </c>
    </row>
    <row r="832" spans="1:30" x14ac:dyDescent="0.35">
      <c r="A832" t="s">
        <v>1650</v>
      </c>
      <c r="B832" t="s">
        <v>29</v>
      </c>
      <c r="C832" t="s">
        <v>16</v>
      </c>
      <c r="D832" t="s">
        <v>25</v>
      </c>
      <c r="E832">
        <v>27</v>
      </c>
      <c r="F832" t="s">
        <v>74</v>
      </c>
      <c r="G832" t="s">
        <v>19</v>
      </c>
      <c r="H832" t="s">
        <v>347</v>
      </c>
      <c r="I832">
        <v>5</v>
      </c>
      <c r="J832">
        <v>7</v>
      </c>
      <c r="K832">
        <v>245800</v>
      </c>
      <c r="L832">
        <v>2.9</v>
      </c>
      <c r="M832" t="s">
        <v>21</v>
      </c>
      <c r="N832">
        <v>54</v>
      </c>
      <c r="O832">
        <f t="shared" si="192"/>
        <v>170</v>
      </c>
      <c r="P832">
        <f t="shared" si="193"/>
        <v>81</v>
      </c>
      <c r="Q832">
        <f t="shared" si="194"/>
        <v>89</v>
      </c>
      <c r="R832">
        <f t="shared" si="195"/>
        <v>49.650349650349654</v>
      </c>
      <c r="S832" s="1">
        <f t="shared" si="196"/>
        <v>50.24975024975025</v>
      </c>
      <c r="T832" s="1">
        <f t="shared" si="197"/>
        <v>81</v>
      </c>
      <c r="U832" s="1">
        <f t="shared" si="198"/>
        <v>89</v>
      </c>
      <c r="V832" s="1">
        <f t="shared" si="199"/>
        <v>47.5</v>
      </c>
      <c r="W832" s="1">
        <f t="shared" si="200"/>
        <v>52.5</v>
      </c>
      <c r="X832" s="1">
        <f t="shared" si="201"/>
        <v>15.2</v>
      </c>
      <c r="Y832" s="1">
        <f t="shared" si="202"/>
        <v>27</v>
      </c>
      <c r="Z832" s="1">
        <f t="shared" si="203"/>
        <v>28</v>
      </c>
      <c r="AA832" s="1">
        <f t="shared" si="204"/>
        <v>3.4074074074074066</v>
      </c>
      <c r="AB832" s="1">
        <f t="shared" si="205"/>
        <v>3.5357142857142847</v>
      </c>
      <c r="AC832" s="1">
        <f t="shared" si="206"/>
        <v>1</v>
      </c>
      <c r="AD832" s="1">
        <f t="shared" si="207"/>
        <v>-2.5584997013539633E-2</v>
      </c>
    </row>
    <row r="833" spans="1:30" x14ac:dyDescent="0.35">
      <c r="A833" t="s">
        <v>1651</v>
      </c>
      <c r="B833" t="s">
        <v>69</v>
      </c>
      <c r="C833" t="s">
        <v>49</v>
      </c>
      <c r="D833" t="s">
        <v>25</v>
      </c>
      <c r="E833">
        <v>44</v>
      </c>
      <c r="F833" t="s">
        <v>74</v>
      </c>
      <c r="G833" t="s">
        <v>71</v>
      </c>
      <c r="H833" t="s">
        <v>1241</v>
      </c>
      <c r="I833">
        <v>6</v>
      </c>
      <c r="J833">
        <v>7</v>
      </c>
      <c r="K833">
        <v>125582</v>
      </c>
      <c r="L833">
        <v>4.4000000000000004</v>
      </c>
      <c r="M833" t="s">
        <v>43</v>
      </c>
      <c r="N833">
        <v>89</v>
      </c>
      <c r="O833">
        <f t="shared" si="192"/>
        <v>169</v>
      </c>
      <c r="P833">
        <f t="shared" si="193"/>
        <v>81</v>
      </c>
      <c r="Q833">
        <f t="shared" si="194"/>
        <v>88</v>
      </c>
      <c r="R833">
        <f t="shared" si="195"/>
        <v>49.650349650349654</v>
      </c>
      <c r="S833" s="1">
        <f t="shared" si="196"/>
        <v>50.24975024975025</v>
      </c>
      <c r="T833" s="1">
        <f t="shared" si="197"/>
        <v>80</v>
      </c>
      <c r="U833" s="1">
        <f t="shared" si="198"/>
        <v>89</v>
      </c>
      <c r="V833" s="1">
        <f t="shared" si="199"/>
        <v>47.5</v>
      </c>
      <c r="W833" s="1">
        <f t="shared" si="200"/>
        <v>52.5</v>
      </c>
      <c r="X833" s="1">
        <f t="shared" si="201"/>
        <v>15.248520710059172</v>
      </c>
      <c r="Y833" s="1">
        <f t="shared" si="202"/>
        <v>26</v>
      </c>
      <c r="Z833" s="1">
        <f t="shared" si="203"/>
        <v>28</v>
      </c>
      <c r="AA833" s="1">
        <f t="shared" si="204"/>
        <v>3.4269230769230763</v>
      </c>
      <c r="AB833" s="1">
        <f t="shared" si="205"/>
        <v>3.5357142857142847</v>
      </c>
      <c r="AC833" s="1">
        <f t="shared" si="206"/>
        <v>0</v>
      </c>
      <c r="AD833" s="1">
        <f t="shared" si="207"/>
        <v>-1.8451218636119399E-2</v>
      </c>
    </row>
    <row r="834" spans="1:30" x14ac:dyDescent="0.35">
      <c r="A834" t="s">
        <v>1652</v>
      </c>
      <c r="B834" t="s">
        <v>23</v>
      </c>
      <c r="C834" t="s">
        <v>56</v>
      </c>
      <c r="D834" t="s">
        <v>17</v>
      </c>
      <c r="E834">
        <v>22</v>
      </c>
      <c r="F834" t="s">
        <v>79</v>
      </c>
      <c r="G834" t="s">
        <v>19</v>
      </c>
      <c r="H834" t="s">
        <v>1653</v>
      </c>
      <c r="I834">
        <v>14</v>
      </c>
      <c r="J834">
        <v>22</v>
      </c>
      <c r="K834">
        <v>471514</v>
      </c>
      <c r="L834">
        <v>2.5</v>
      </c>
      <c r="M834" t="s">
        <v>21</v>
      </c>
      <c r="N834">
        <v>60</v>
      </c>
      <c r="O834">
        <f t="shared" ref="O834:O897" si="208">COUNTA(A834:A1833)</f>
        <v>168</v>
      </c>
      <c r="P834">
        <f t="shared" ref="P834:P897" si="209">COUNTIF(D834:D1833,"Male")</f>
        <v>81</v>
      </c>
      <c r="Q834">
        <f t="shared" ref="Q834:Q897" si="210">COUNTIF(D834:D1833,"Female")</f>
        <v>87</v>
      </c>
      <c r="R834">
        <f t="shared" ref="R834:R897" si="211">497/1001*100</f>
        <v>49.650349650349654</v>
      </c>
      <c r="S834" s="1">
        <f t="shared" ref="S834:S897" si="212">503/1001*100</f>
        <v>50.24975024975025</v>
      </c>
      <c r="T834" s="1">
        <f t="shared" ref="T834:T897" si="213">COUNTIF(M834:M1833,"Yes")</f>
        <v>80</v>
      </c>
      <c r="U834" s="1">
        <f t="shared" ref="U834:U897" si="214">COUNTIF(M834:M1833,"No")</f>
        <v>88</v>
      </c>
      <c r="V834" s="1">
        <f t="shared" ref="V834:V897" si="215">475/1000*100</f>
        <v>47.5</v>
      </c>
      <c r="W834" s="1">
        <f t="shared" ref="W834:W897" si="216">525/1000*100</f>
        <v>52.5</v>
      </c>
      <c r="X834" s="1">
        <f t="shared" ref="X834:X897" si="217">AVERAGE(J834:J1833)</f>
        <v>15.297619047619047</v>
      </c>
      <c r="Y834" s="1">
        <f t="shared" ref="Y834:Y897" si="218">COUNTIF(F834:F1833,"Marketing")</f>
        <v>25</v>
      </c>
      <c r="Z834" s="1">
        <f t="shared" ref="Z834:Z897" si="219">COUNTIF(F834:F1833,"IT")</f>
        <v>28</v>
      </c>
      <c r="AA834" s="1">
        <f t="shared" ref="AA834:AA897" si="220">AVERAGEIF(F834:F1833,"Marketing",L834:L1833)</f>
        <v>3.3879999999999995</v>
      </c>
      <c r="AB834" s="1">
        <f t="shared" ref="AB834:AB897" si="221">AVERAGEIF(F834:F1833,"IT",L834:L1833)</f>
        <v>3.5357142857142847</v>
      </c>
      <c r="AC834" s="1">
        <f t="shared" ref="AC834:AC897" si="222">IF(M834="yes",1,0)</f>
        <v>1</v>
      </c>
      <c r="AD834" s="1">
        <f t="shared" ref="AD834:AD897" si="223">CORREL(J834:J1833,AC834:AC1833)</f>
        <v>-2.5283887708708614E-2</v>
      </c>
    </row>
    <row r="835" spans="1:30" x14ac:dyDescent="0.35">
      <c r="A835" t="s">
        <v>1654</v>
      </c>
      <c r="B835" t="s">
        <v>111</v>
      </c>
      <c r="C835" t="s">
        <v>49</v>
      </c>
      <c r="D835" t="s">
        <v>25</v>
      </c>
      <c r="E835">
        <v>33</v>
      </c>
      <c r="F835" t="s">
        <v>74</v>
      </c>
      <c r="G835" t="s">
        <v>85</v>
      </c>
      <c r="H835" t="s">
        <v>1655</v>
      </c>
      <c r="I835">
        <v>9</v>
      </c>
      <c r="J835">
        <v>9</v>
      </c>
      <c r="K835">
        <v>186916</v>
      </c>
      <c r="L835">
        <v>4.0999999999999996</v>
      </c>
      <c r="M835" t="s">
        <v>21</v>
      </c>
      <c r="N835">
        <v>42</v>
      </c>
      <c r="O835">
        <f t="shared" si="208"/>
        <v>167</v>
      </c>
      <c r="P835">
        <f t="shared" si="209"/>
        <v>80</v>
      </c>
      <c r="Q835">
        <f t="shared" si="210"/>
        <v>87</v>
      </c>
      <c r="R835">
        <f t="shared" si="211"/>
        <v>49.650349650349654</v>
      </c>
      <c r="S835" s="1">
        <f t="shared" si="212"/>
        <v>50.24975024975025</v>
      </c>
      <c r="T835" s="1">
        <f t="shared" si="213"/>
        <v>79</v>
      </c>
      <c r="U835" s="1">
        <f t="shared" si="214"/>
        <v>88</v>
      </c>
      <c r="V835" s="1">
        <f t="shared" si="215"/>
        <v>47.5</v>
      </c>
      <c r="W835" s="1">
        <f t="shared" si="216"/>
        <v>52.5</v>
      </c>
      <c r="X835" s="1">
        <f t="shared" si="217"/>
        <v>15.257485029940121</v>
      </c>
      <c r="Y835" s="1">
        <f t="shared" si="218"/>
        <v>25</v>
      </c>
      <c r="Z835" s="1">
        <f t="shared" si="219"/>
        <v>28</v>
      </c>
      <c r="AA835" s="1">
        <f t="shared" si="220"/>
        <v>3.3879999999999995</v>
      </c>
      <c r="AB835" s="1">
        <f t="shared" si="221"/>
        <v>3.5357142857142847</v>
      </c>
      <c r="AC835" s="1">
        <f t="shared" si="222"/>
        <v>1</v>
      </c>
      <c r="AD835" s="1">
        <f t="shared" si="223"/>
        <v>-3.1504329924778841E-2</v>
      </c>
    </row>
    <row r="836" spans="1:30" x14ac:dyDescent="0.35">
      <c r="A836" t="s">
        <v>1656</v>
      </c>
      <c r="B836" t="s">
        <v>35</v>
      </c>
      <c r="C836" t="s">
        <v>93</v>
      </c>
      <c r="D836" t="s">
        <v>25</v>
      </c>
      <c r="E836">
        <v>31</v>
      </c>
      <c r="F836" t="s">
        <v>79</v>
      </c>
      <c r="G836" t="s">
        <v>61</v>
      </c>
      <c r="H836" t="s">
        <v>1657</v>
      </c>
      <c r="I836">
        <v>8</v>
      </c>
      <c r="J836">
        <v>8</v>
      </c>
      <c r="K836">
        <v>153172</v>
      </c>
      <c r="L836">
        <v>3.1</v>
      </c>
      <c r="M836" t="s">
        <v>43</v>
      </c>
      <c r="N836">
        <v>94</v>
      </c>
      <c r="O836">
        <f t="shared" si="208"/>
        <v>166</v>
      </c>
      <c r="P836">
        <f t="shared" si="209"/>
        <v>80</v>
      </c>
      <c r="Q836">
        <f t="shared" si="210"/>
        <v>86</v>
      </c>
      <c r="R836">
        <f t="shared" si="211"/>
        <v>49.650349650349654</v>
      </c>
      <c r="S836" s="1">
        <f t="shared" si="212"/>
        <v>50.24975024975025</v>
      </c>
      <c r="T836" s="1">
        <f t="shared" si="213"/>
        <v>78</v>
      </c>
      <c r="U836" s="1">
        <f t="shared" si="214"/>
        <v>88</v>
      </c>
      <c r="V836" s="1">
        <f t="shared" si="215"/>
        <v>47.5</v>
      </c>
      <c r="W836" s="1">
        <f t="shared" si="216"/>
        <v>52.5</v>
      </c>
      <c r="X836" s="1">
        <f t="shared" si="217"/>
        <v>15.295180722891565</v>
      </c>
      <c r="Y836" s="1">
        <f t="shared" si="218"/>
        <v>24</v>
      </c>
      <c r="Z836" s="1">
        <f t="shared" si="219"/>
        <v>28</v>
      </c>
      <c r="AA836" s="1">
        <f t="shared" si="220"/>
        <v>3.3583333333333329</v>
      </c>
      <c r="AB836" s="1">
        <f t="shared" si="221"/>
        <v>3.5357142857142847</v>
      </c>
      <c r="AC836" s="1">
        <f t="shared" si="222"/>
        <v>0</v>
      </c>
      <c r="AD836" s="1">
        <f t="shared" si="223"/>
        <v>-2.5956329532712909E-2</v>
      </c>
    </row>
    <row r="837" spans="1:30" x14ac:dyDescent="0.35">
      <c r="A837" t="s">
        <v>1658</v>
      </c>
      <c r="B837" t="s">
        <v>40</v>
      </c>
      <c r="C837" t="s">
        <v>64</v>
      </c>
      <c r="D837" t="s">
        <v>25</v>
      </c>
      <c r="E837">
        <v>32</v>
      </c>
      <c r="F837" t="s">
        <v>37</v>
      </c>
      <c r="G837" t="s">
        <v>88</v>
      </c>
      <c r="H837" t="s">
        <v>1659</v>
      </c>
      <c r="I837">
        <v>11</v>
      </c>
      <c r="J837">
        <v>15</v>
      </c>
      <c r="K837">
        <v>98727</v>
      </c>
      <c r="L837">
        <v>2.2999999999999998</v>
      </c>
      <c r="M837" t="s">
        <v>21</v>
      </c>
      <c r="N837">
        <v>35</v>
      </c>
      <c r="O837">
        <f t="shared" si="208"/>
        <v>165</v>
      </c>
      <c r="P837">
        <f t="shared" si="209"/>
        <v>80</v>
      </c>
      <c r="Q837">
        <f t="shared" si="210"/>
        <v>85</v>
      </c>
      <c r="R837">
        <f t="shared" si="211"/>
        <v>49.650349650349654</v>
      </c>
      <c r="S837" s="1">
        <f t="shared" si="212"/>
        <v>50.24975024975025</v>
      </c>
      <c r="T837" s="1">
        <f t="shared" si="213"/>
        <v>78</v>
      </c>
      <c r="U837" s="1">
        <f t="shared" si="214"/>
        <v>87</v>
      </c>
      <c r="V837" s="1">
        <f t="shared" si="215"/>
        <v>47.5</v>
      </c>
      <c r="W837" s="1">
        <f t="shared" si="216"/>
        <v>52.5</v>
      </c>
      <c r="X837" s="1">
        <f t="shared" si="217"/>
        <v>15.33939393939394</v>
      </c>
      <c r="Y837" s="1">
        <f t="shared" si="218"/>
        <v>24</v>
      </c>
      <c r="Z837" s="1">
        <f t="shared" si="219"/>
        <v>28</v>
      </c>
      <c r="AA837" s="1">
        <f t="shared" si="220"/>
        <v>3.3583333333333329</v>
      </c>
      <c r="AB837" s="1">
        <f t="shared" si="221"/>
        <v>3.5357142857142847</v>
      </c>
      <c r="AC837" s="1">
        <f t="shared" si="222"/>
        <v>1</v>
      </c>
      <c r="AD837" s="1">
        <f t="shared" si="223"/>
        <v>-3.2106669884046951E-2</v>
      </c>
    </row>
    <row r="838" spans="1:30" x14ac:dyDescent="0.35">
      <c r="A838" t="s">
        <v>1660</v>
      </c>
      <c r="B838" t="s">
        <v>69</v>
      </c>
      <c r="C838" t="s">
        <v>30</v>
      </c>
      <c r="D838" t="s">
        <v>25</v>
      </c>
      <c r="E838">
        <v>60</v>
      </c>
      <c r="F838" t="s">
        <v>31</v>
      </c>
      <c r="G838" t="s">
        <v>41</v>
      </c>
      <c r="H838" t="s">
        <v>1661</v>
      </c>
      <c r="I838">
        <v>4</v>
      </c>
      <c r="J838">
        <v>8</v>
      </c>
      <c r="K838">
        <v>498173</v>
      </c>
      <c r="L838">
        <v>3.5</v>
      </c>
      <c r="M838" t="s">
        <v>21</v>
      </c>
      <c r="N838">
        <v>59</v>
      </c>
      <c r="O838">
        <f t="shared" si="208"/>
        <v>164</v>
      </c>
      <c r="P838">
        <f t="shared" si="209"/>
        <v>80</v>
      </c>
      <c r="Q838">
        <f t="shared" si="210"/>
        <v>84</v>
      </c>
      <c r="R838">
        <f t="shared" si="211"/>
        <v>49.650349650349654</v>
      </c>
      <c r="S838" s="1">
        <f t="shared" si="212"/>
        <v>50.24975024975025</v>
      </c>
      <c r="T838" s="1">
        <f t="shared" si="213"/>
        <v>77</v>
      </c>
      <c r="U838" s="1">
        <f t="shared" si="214"/>
        <v>87</v>
      </c>
      <c r="V838" s="1">
        <f t="shared" si="215"/>
        <v>47.5</v>
      </c>
      <c r="W838" s="1">
        <f t="shared" si="216"/>
        <v>52.5</v>
      </c>
      <c r="X838" s="1">
        <f t="shared" si="217"/>
        <v>15.341463414634147</v>
      </c>
      <c r="Y838" s="1">
        <f t="shared" si="218"/>
        <v>24</v>
      </c>
      <c r="Z838" s="1">
        <f t="shared" si="219"/>
        <v>28</v>
      </c>
      <c r="AA838" s="1">
        <f t="shared" si="220"/>
        <v>3.3583333333333329</v>
      </c>
      <c r="AB838" s="1">
        <f t="shared" si="221"/>
        <v>3.5357142857142847</v>
      </c>
      <c r="AC838" s="1">
        <f t="shared" si="222"/>
        <v>1</v>
      </c>
      <c r="AD838" s="1">
        <f t="shared" si="223"/>
        <v>-3.190264330321424E-2</v>
      </c>
    </row>
    <row r="839" spans="1:30" x14ac:dyDescent="0.35">
      <c r="A839" t="s">
        <v>1662</v>
      </c>
      <c r="B839" t="s">
        <v>40</v>
      </c>
      <c r="C839" t="s">
        <v>93</v>
      </c>
      <c r="D839" t="s">
        <v>17</v>
      </c>
      <c r="E839">
        <v>45</v>
      </c>
      <c r="F839" t="s">
        <v>70</v>
      </c>
      <c r="G839" t="s">
        <v>57</v>
      </c>
      <c r="H839" t="s">
        <v>1663</v>
      </c>
      <c r="I839">
        <v>20</v>
      </c>
      <c r="J839">
        <v>22</v>
      </c>
      <c r="K839">
        <v>486222</v>
      </c>
      <c r="L839">
        <v>3.5</v>
      </c>
      <c r="M839" t="s">
        <v>21</v>
      </c>
      <c r="N839">
        <v>64</v>
      </c>
      <c r="O839">
        <f t="shared" si="208"/>
        <v>163</v>
      </c>
      <c r="P839">
        <f t="shared" si="209"/>
        <v>80</v>
      </c>
      <c r="Q839">
        <f t="shared" si="210"/>
        <v>83</v>
      </c>
      <c r="R839">
        <f t="shared" si="211"/>
        <v>49.650349650349654</v>
      </c>
      <c r="S839" s="1">
        <f t="shared" si="212"/>
        <v>50.24975024975025</v>
      </c>
      <c r="T839" s="1">
        <f t="shared" si="213"/>
        <v>76</v>
      </c>
      <c r="U839" s="1">
        <f t="shared" si="214"/>
        <v>87</v>
      </c>
      <c r="V839" s="1">
        <f t="shared" si="215"/>
        <v>47.5</v>
      </c>
      <c r="W839" s="1">
        <f t="shared" si="216"/>
        <v>52.5</v>
      </c>
      <c r="X839" s="1">
        <f t="shared" si="217"/>
        <v>15.386503067484663</v>
      </c>
      <c r="Y839" s="1">
        <f t="shared" si="218"/>
        <v>24</v>
      </c>
      <c r="Z839" s="1">
        <f t="shared" si="219"/>
        <v>27</v>
      </c>
      <c r="AA839" s="1">
        <f t="shared" si="220"/>
        <v>3.3583333333333329</v>
      </c>
      <c r="AB839" s="1">
        <f t="shared" si="221"/>
        <v>3.5370370370370363</v>
      </c>
      <c r="AC839" s="1">
        <f t="shared" si="222"/>
        <v>1</v>
      </c>
      <c r="AD839" s="1">
        <f t="shared" si="223"/>
        <v>-2.5241335415174419E-2</v>
      </c>
    </row>
    <row r="840" spans="1:30" x14ac:dyDescent="0.35">
      <c r="A840" t="s">
        <v>1664</v>
      </c>
      <c r="B840" t="s">
        <v>15</v>
      </c>
      <c r="C840" t="s">
        <v>36</v>
      </c>
      <c r="D840" t="s">
        <v>25</v>
      </c>
      <c r="E840">
        <v>26</v>
      </c>
      <c r="F840" t="s">
        <v>74</v>
      </c>
      <c r="G840" t="s">
        <v>26</v>
      </c>
      <c r="H840" t="s">
        <v>1665</v>
      </c>
      <c r="I840">
        <v>3</v>
      </c>
      <c r="J840">
        <v>3</v>
      </c>
      <c r="K840">
        <v>66952</v>
      </c>
      <c r="L840">
        <v>3.5</v>
      </c>
      <c r="M840" t="s">
        <v>43</v>
      </c>
      <c r="N840">
        <v>73</v>
      </c>
      <c r="O840">
        <f t="shared" si="208"/>
        <v>162</v>
      </c>
      <c r="P840">
        <f t="shared" si="209"/>
        <v>79</v>
      </c>
      <c r="Q840">
        <f t="shared" si="210"/>
        <v>83</v>
      </c>
      <c r="R840">
        <f t="shared" si="211"/>
        <v>49.650349650349654</v>
      </c>
      <c r="S840" s="1">
        <f t="shared" si="212"/>
        <v>50.24975024975025</v>
      </c>
      <c r="T840" s="1">
        <f t="shared" si="213"/>
        <v>75</v>
      </c>
      <c r="U840" s="1">
        <f t="shared" si="214"/>
        <v>87</v>
      </c>
      <c r="V840" s="1">
        <f t="shared" si="215"/>
        <v>47.5</v>
      </c>
      <c r="W840" s="1">
        <f t="shared" si="216"/>
        <v>52.5</v>
      </c>
      <c r="X840" s="1">
        <f t="shared" si="217"/>
        <v>15.345679012345679</v>
      </c>
      <c r="Y840" s="1">
        <f t="shared" si="218"/>
        <v>24</v>
      </c>
      <c r="Z840" s="1">
        <f t="shared" si="219"/>
        <v>27</v>
      </c>
      <c r="AA840" s="1">
        <f t="shared" si="220"/>
        <v>3.3583333333333329</v>
      </c>
      <c r="AB840" s="1">
        <f t="shared" si="221"/>
        <v>3.5370370370370363</v>
      </c>
      <c r="AC840" s="1">
        <f t="shared" si="222"/>
        <v>0</v>
      </c>
      <c r="AD840" s="1">
        <f t="shared" si="223"/>
        <v>-3.1677270133834944E-2</v>
      </c>
    </row>
    <row r="841" spans="1:30" x14ac:dyDescent="0.35">
      <c r="A841" t="s">
        <v>1666</v>
      </c>
      <c r="B841" t="s">
        <v>96</v>
      </c>
      <c r="C841" t="s">
        <v>36</v>
      </c>
      <c r="D841" t="s">
        <v>25</v>
      </c>
      <c r="E841">
        <v>44</v>
      </c>
      <c r="F841" t="s">
        <v>31</v>
      </c>
      <c r="G841" t="s">
        <v>57</v>
      </c>
      <c r="H841" t="s">
        <v>1667</v>
      </c>
      <c r="I841">
        <v>8</v>
      </c>
      <c r="J841">
        <v>11</v>
      </c>
      <c r="K841">
        <v>297441</v>
      </c>
      <c r="L841">
        <v>3.2</v>
      </c>
      <c r="M841" t="s">
        <v>21</v>
      </c>
      <c r="N841">
        <v>65</v>
      </c>
      <c r="O841">
        <f t="shared" si="208"/>
        <v>161</v>
      </c>
      <c r="P841">
        <f t="shared" si="209"/>
        <v>79</v>
      </c>
      <c r="Q841">
        <f t="shared" si="210"/>
        <v>82</v>
      </c>
      <c r="R841">
        <f t="shared" si="211"/>
        <v>49.650349650349654</v>
      </c>
      <c r="S841" s="1">
        <f t="shared" si="212"/>
        <v>50.24975024975025</v>
      </c>
      <c r="T841" s="1">
        <f t="shared" si="213"/>
        <v>75</v>
      </c>
      <c r="U841" s="1">
        <f t="shared" si="214"/>
        <v>86</v>
      </c>
      <c r="V841" s="1">
        <f t="shared" si="215"/>
        <v>47.5</v>
      </c>
      <c r="W841" s="1">
        <f t="shared" si="216"/>
        <v>52.5</v>
      </c>
      <c r="X841" s="1">
        <f t="shared" si="217"/>
        <v>15.422360248447205</v>
      </c>
      <c r="Y841" s="1">
        <f t="shared" si="218"/>
        <v>23</v>
      </c>
      <c r="Z841" s="1">
        <f t="shared" si="219"/>
        <v>27</v>
      </c>
      <c r="AA841" s="1">
        <f t="shared" si="220"/>
        <v>3.3521739130434782</v>
      </c>
      <c r="AB841" s="1">
        <f t="shared" si="221"/>
        <v>3.5370370370370363</v>
      </c>
      <c r="AC841" s="1">
        <f t="shared" si="222"/>
        <v>1</v>
      </c>
      <c r="AD841" s="1">
        <f t="shared" si="223"/>
        <v>-4.236317926029589E-2</v>
      </c>
    </row>
    <row r="842" spans="1:30" x14ac:dyDescent="0.35">
      <c r="A842" t="s">
        <v>1668</v>
      </c>
      <c r="B842" t="s">
        <v>35</v>
      </c>
      <c r="C842" t="s">
        <v>64</v>
      </c>
      <c r="D842" t="s">
        <v>17</v>
      </c>
      <c r="E842">
        <v>45</v>
      </c>
      <c r="F842" t="s">
        <v>37</v>
      </c>
      <c r="G842" t="s">
        <v>57</v>
      </c>
      <c r="H842" t="s">
        <v>1669</v>
      </c>
      <c r="I842">
        <v>6</v>
      </c>
      <c r="J842">
        <v>13</v>
      </c>
      <c r="K842">
        <v>326902</v>
      </c>
      <c r="L842">
        <v>3.9</v>
      </c>
      <c r="M842" t="s">
        <v>21</v>
      </c>
      <c r="N842">
        <v>56</v>
      </c>
      <c r="O842">
        <f t="shared" si="208"/>
        <v>160</v>
      </c>
      <c r="P842">
        <f t="shared" si="209"/>
        <v>79</v>
      </c>
      <c r="Q842">
        <f t="shared" si="210"/>
        <v>81</v>
      </c>
      <c r="R842">
        <f t="shared" si="211"/>
        <v>49.650349650349654</v>
      </c>
      <c r="S842" s="1">
        <f t="shared" si="212"/>
        <v>50.24975024975025</v>
      </c>
      <c r="T842" s="1">
        <f t="shared" si="213"/>
        <v>74</v>
      </c>
      <c r="U842" s="1">
        <f t="shared" si="214"/>
        <v>86</v>
      </c>
      <c r="V842" s="1">
        <f t="shared" si="215"/>
        <v>47.5</v>
      </c>
      <c r="W842" s="1">
        <f t="shared" si="216"/>
        <v>52.5</v>
      </c>
      <c r="X842" s="1">
        <f t="shared" si="217"/>
        <v>15.45</v>
      </c>
      <c r="Y842" s="1">
        <f t="shared" si="218"/>
        <v>23</v>
      </c>
      <c r="Z842" s="1">
        <f t="shared" si="219"/>
        <v>26</v>
      </c>
      <c r="AA842" s="1">
        <f t="shared" si="220"/>
        <v>3.3521739130434782</v>
      </c>
      <c r="AB842" s="1">
        <f t="shared" si="221"/>
        <v>3.5499999999999994</v>
      </c>
      <c r="AC842" s="1">
        <f t="shared" si="222"/>
        <v>1</v>
      </c>
      <c r="AD842" s="1">
        <f t="shared" si="223"/>
        <v>-3.8295849472115333E-2</v>
      </c>
    </row>
    <row r="843" spans="1:30" x14ac:dyDescent="0.35">
      <c r="A843" t="s">
        <v>1670</v>
      </c>
      <c r="B843" t="s">
        <v>55</v>
      </c>
      <c r="C843" t="s">
        <v>93</v>
      </c>
      <c r="D843" t="s">
        <v>17</v>
      </c>
      <c r="E843">
        <v>47</v>
      </c>
      <c r="F843" t="s">
        <v>37</v>
      </c>
      <c r="G843" t="s">
        <v>88</v>
      </c>
      <c r="H843" t="s">
        <v>1671</v>
      </c>
      <c r="I843">
        <v>12</v>
      </c>
      <c r="J843">
        <v>19</v>
      </c>
      <c r="K843">
        <v>315511</v>
      </c>
      <c r="L843">
        <v>4</v>
      </c>
      <c r="M843" t="s">
        <v>21</v>
      </c>
      <c r="N843">
        <v>68</v>
      </c>
      <c r="O843">
        <f t="shared" si="208"/>
        <v>159</v>
      </c>
      <c r="P843">
        <f t="shared" si="209"/>
        <v>78</v>
      </c>
      <c r="Q843">
        <f t="shared" si="210"/>
        <v>81</v>
      </c>
      <c r="R843">
        <f t="shared" si="211"/>
        <v>49.650349650349654</v>
      </c>
      <c r="S843" s="1">
        <f t="shared" si="212"/>
        <v>50.24975024975025</v>
      </c>
      <c r="T843" s="1">
        <f t="shared" si="213"/>
        <v>73</v>
      </c>
      <c r="U843" s="1">
        <f t="shared" si="214"/>
        <v>86</v>
      </c>
      <c r="V843" s="1">
        <f t="shared" si="215"/>
        <v>47.5</v>
      </c>
      <c r="W843" s="1">
        <f t="shared" si="216"/>
        <v>52.5</v>
      </c>
      <c r="X843" s="1">
        <f t="shared" si="217"/>
        <v>15.465408805031446</v>
      </c>
      <c r="Y843" s="1">
        <f t="shared" si="218"/>
        <v>23</v>
      </c>
      <c r="Z843" s="1">
        <f t="shared" si="219"/>
        <v>26</v>
      </c>
      <c r="AA843" s="1">
        <f t="shared" si="220"/>
        <v>3.3521739130434782</v>
      </c>
      <c r="AB843" s="1">
        <f t="shared" si="221"/>
        <v>3.5499999999999994</v>
      </c>
      <c r="AC843" s="1">
        <f t="shared" si="222"/>
        <v>1</v>
      </c>
      <c r="AD843" s="1">
        <f t="shared" si="223"/>
        <v>-3.6059290787662679E-2</v>
      </c>
    </row>
    <row r="844" spans="1:30" x14ac:dyDescent="0.35">
      <c r="A844" t="s">
        <v>1672</v>
      </c>
      <c r="B844" t="s">
        <v>29</v>
      </c>
      <c r="C844" t="s">
        <v>82</v>
      </c>
      <c r="D844" t="s">
        <v>25</v>
      </c>
      <c r="E844">
        <v>32</v>
      </c>
      <c r="F844" t="s">
        <v>74</v>
      </c>
      <c r="G844" t="s">
        <v>75</v>
      </c>
      <c r="H844" t="s">
        <v>1673</v>
      </c>
      <c r="I844">
        <v>13</v>
      </c>
      <c r="J844">
        <v>13</v>
      </c>
      <c r="K844">
        <v>79475</v>
      </c>
      <c r="L844">
        <v>4.5</v>
      </c>
      <c r="M844" t="s">
        <v>43</v>
      </c>
      <c r="N844">
        <v>80</v>
      </c>
      <c r="O844">
        <f t="shared" si="208"/>
        <v>158</v>
      </c>
      <c r="P844">
        <f t="shared" si="209"/>
        <v>77</v>
      </c>
      <c r="Q844">
        <f t="shared" si="210"/>
        <v>81</v>
      </c>
      <c r="R844">
        <f t="shared" si="211"/>
        <v>49.650349650349654</v>
      </c>
      <c r="S844" s="1">
        <f t="shared" si="212"/>
        <v>50.24975024975025</v>
      </c>
      <c r="T844" s="1">
        <f t="shared" si="213"/>
        <v>72</v>
      </c>
      <c r="U844" s="1">
        <f t="shared" si="214"/>
        <v>86</v>
      </c>
      <c r="V844" s="1">
        <f t="shared" si="215"/>
        <v>47.5</v>
      </c>
      <c r="W844" s="1">
        <f t="shared" si="216"/>
        <v>52.5</v>
      </c>
      <c r="X844" s="1">
        <f t="shared" si="217"/>
        <v>15.443037974683545</v>
      </c>
      <c r="Y844" s="1">
        <f t="shared" si="218"/>
        <v>23</v>
      </c>
      <c r="Z844" s="1">
        <f t="shared" si="219"/>
        <v>26</v>
      </c>
      <c r="AA844" s="1">
        <f t="shared" si="220"/>
        <v>3.3521739130434782</v>
      </c>
      <c r="AB844" s="1">
        <f t="shared" si="221"/>
        <v>3.5499999999999994</v>
      </c>
      <c r="AC844" s="1">
        <f t="shared" si="222"/>
        <v>0</v>
      </c>
      <c r="AD844" s="1">
        <f t="shared" si="223"/>
        <v>-3.9712713239076262E-2</v>
      </c>
    </row>
    <row r="845" spans="1:30" x14ac:dyDescent="0.35">
      <c r="A845" t="s">
        <v>1674</v>
      </c>
      <c r="B845" t="s">
        <v>45</v>
      </c>
      <c r="C845" t="s">
        <v>56</v>
      </c>
      <c r="D845" t="s">
        <v>25</v>
      </c>
      <c r="E845">
        <v>25</v>
      </c>
      <c r="F845" t="s">
        <v>37</v>
      </c>
      <c r="G845" t="s">
        <v>61</v>
      </c>
      <c r="H845" t="s">
        <v>1675</v>
      </c>
      <c r="I845">
        <v>6</v>
      </c>
      <c r="J845">
        <v>10</v>
      </c>
      <c r="K845">
        <v>53878</v>
      </c>
      <c r="L845">
        <v>3.7</v>
      </c>
      <c r="M845" t="s">
        <v>21</v>
      </c>
      <c r="N845">
        <v>70</v>
      </c>
      <c r="O845">
        <f t="shared" si="208"/>
        <v>157</v>
      </c>
      <c r="P845">
        <f t="shared" si="209"/>
        <v>77</v>
      </c>
      <c r="Q845">
        <f t="shared" si="210"/>
        <v>80</v>
      </c>
      <c r="R845">
        <f t="shared" si="211"/>
        <v>49.650349650349654</v>
      </c>
      <c r="S845" s="1">
        <f t="shared" si="212"/>
        <v>50.24975024975025</v>
      </c>
      <c r="T845" s="1">
        <f t="shared" si="213"/>
        <v>72</v>
      </c>
      <c r="U845" s="1">
        <f t="shared" si="214"/>
        <v>85</v>
      </c>
      <c r="V845" s="1">
        <f t="shared" si="215"/>
        <v>47.5</v>
      </c>
      <c r="W845" s="1">
        <f t="shared" si="216"/>
        <v>52.5</v>
      </c>
      <c r="X845" s="1">
        <f t="shared" si="217"/>
        <v>15.45859872611465</v>
      </c>
      <c r="Y845" s="1">
        <f t="shared" si="218"/>
        <v>22</v>
      </c>
      <c r="Z845" s="1">
        <f t="shared" si="219"/>
        <v>26</v>
      </c>
      <c r="AA845" s="1">
        <f t="shared" si="220"/>
        <v>3.3</v>
      </c>
      <c r="AB845" s="1">
        <f t="shared" si="221"/>
        <v>3.5499999999999994</v>
      </c>
      <c r="AC845" s="1">
        <f t="shared" si="222"/>
        <v>1</v>
      </c>
      <c r="AD845" s="1">
        <f t="shared" si="223"/>
        <v>-4.1872438574920408E-2</v>
      </c>
    </row>
    <row r="846" spans="1:30" x14ac:dyDescent="0.35">
      <c r="A846" t="s">
        <v>1676</v>
      </c>
      <c r="B846" t="s">
        <v>60</v>
      </c>
      <c r="C846" t="s">
        <v>52</v>
      </c>
      <c r="D846" t="s">
        <v>17</v>
      </c>
      <c r="E846">
        <v>41</v>
      </c>
      <c r="F846" t="s">
        <v>70</v>
      </c>
      <c r="G846" t="s">
        <v>26</v>
      </c>
      <c r="H846" t="s">
        <v>1677</v>
      </c>
      <c r="I846">
        <v>10</v>
      </c>
      <c r="J846">
        <v>14</v>
      </c>
      <c r="K846">
        <v>362850</v>
      </c>
      <c r="L846">
        <v>4.0999999999999996</v>
      </c>
      <c r="M846" t="s">
        <v>21</v>
      </c>
      <c r="N846">
        <v>43</v>
      </c>
      <c r="O846">
        <f t="shared" si="208"/>
        <v>156</v>
      </c>
      <c r="P846">
        <f t="shared" si="209"/>
        <v>77</v>
      </c>
      <c r="Q846">
        <f t="shared" si="210"/>
        <v>79</v>
      </c>
      <c r="R846">
        <f t="shared" si="211"/>
        <v>49.650349650349654</v>
      </c>
      <c r="S846" s="1">
        <f t="shared" si="212"/>
        <v>50.24975024975025</v>
      </c>
      <c r="T846" s="1">
        <f t="shared" si="213"/>
        <v>71</v>
      </c>
      <c r="U846" s="1">
        <f t="shared" si="214"/>
        <v>85</v>
      </c>
      <c r="V846" s="1">
        <f t="shared" si="215"/>
        <v>47.5</v>
      </c>
      <c r="W846" s="1">
        <f t="shared" si="216"/>
        <v>52.5</v>
      </c>
      <c r="X846" s="1">
        <f t="shared" si="217"/>
        <v>15.493589743589743</v>
      </c>
      <c r="Y846" s="1">
        <f t="shared" si="218"/>
        <v>22</v>
      </c>
      <c r="Z846" s="1">
        <f t="shared" si="219"/>
        <v>26</v>
      </c>
      <c r="AA846" s="1">
        <f t="shared" si="220"/>
        <v>3.3</v>
      </c>
      <c r="AB846" s="1">
        <f t="shared" si="221"/>
        <v>3.5499999999999994</v>
      </c>
      <c r="AC846" s="1">
        <f t="shared" si="222"/>
        <v>1</v>
      </c>
      <c r="AD846" s="1">
        <f t="shared" si="223"/>
        <v>-3.6671958769086042E-2</v>
      </c>
    </row>
    <row r="847" spans="1:30" x14ac:dyDescent="0.35">
      <c r="A847" t="s">
        <v>1678</v>
      </c>
      <c r="B847" t="s">
        <v>55</v>
      </c>
      <c r="C847" t="s">
        <v>56</v>
      </c>
      <c r="D847" t="s">
        <v>17</v>
      </c>
      <c r="E847">
        <v>24</v>
      </c>
      <c r="F847" t="s">
        <v>79</v>
      </c>
      <c r="G847" t="s">
        <v>57</v>
      </c>
      <c r="H847" t="s">
        <v>409</v>
      </c>
      <c r="I847">
        <v>2</v>
      </c>
      <c r="J847">
        <v>4</v>
      </c>
      <c r="K847">
        <v>145434</v>
      </c>
      <c r="L847">
        <v>3.8</v>
      </c>
      <c r="M847" t="s">
        <v>21</v>
      </c>
      <c r="N847">
        <v>38</v>
      </c>
      <c r="O847">
        <f t="shared" si="208"/>
        <v>155</v>
      </c>
      <c r="P847">
        <f t="shared" si="209"/>
        <v>76</v>
      </c>
      <c r="Q847">
        <f t="shared" si="210"/>
        <v>79</v>
      </c>
      <c r="R847">
        <f t="shared" si="211"/>
        <v>49.650349650349654</v>
      </c>
      <c r="S847" s="1">
        <f t="shared" si="212"/>
        <v>50.24975024975025</v>
      </c>
      <c r="T847" s="1">
        <f t="shared" si="213"/>
        <v>70</v>
      </c>
      <c r="U847" s="1">
        <f t="shared" si="214"/>
        <v>85</v>
      </c>
      <c r="V847" s="1">
        <f t="shared" si="215"/>
        <v>47.5</v>
      </c>
      <c r="W847" s="1">
        <f t="shared" si="216"/>
        <v>52.5</v>
      </c>
      <c r="X847" s="1">
        <f t="shared" si="217"/>
        <v>15.503225806451614</v>
      </c>
      <c r="Y847" s="1">
        <f t="shared" si="218"/>
        <v>22</v>
      </c>
      <c r="Z847" s="1">
        <f t="shared" si="219"/>
        <v>26</v>
      </c>
      <c r="AA847" s="1">
        <f t="shared" si="220"/>
        <v>3.3</v>
      </c>
      <c r="AB847" s="1">
        <f t="shared" si="221"/>
        <v>3.5499999999999994</v>
      </c>
      <c r="AC847" s="1">
        <f t="shared" si="222"/>
        <v>1</v>
      </c>
      <c r="AD847" s="1">
        <f t="shared" si="223"/>
        <v>-3.5315245724891808E-2</v>
      </c>
    </row>
    <row r="848" spans="1:30" x14ac:dyDescent="0.35">
      <c r="A848" t="s">
        <v>1679</v>
      </c>
      <c r="B848" t="s">
        <v>23</v>
      </c>
      <c r="C848" t="s">
        <v>82</v>
      </c>
      <c r="D848" t="s">
        <v>25</v>
      </c>
      <c r="E848">
        <v>41</v>
      </c>
      <c r="F848" t="s">
        <v>31</v>
      </c>
      <c r="G848" t="s">
        <v>26</v>
      </c>
      <c r="H848" t="s">
        <v>1680</v>
      </c>
      <c r="I848">
        <v>5</v>
      </c>
      <c r="J848">
        <v>6</v>
      </c>
      <c r="K848">
        <v>449411</v>
      </c>
      <c r="L848">
        <v>2.7</v>
      </c>
      <c r="M848" t="s">
        <v>21</v>
      </c>
      <c r="N848">
        <v>55</v>
      </c>
      <c r="O848">
        <f t="shared" si="208"/>
        <v>154</v>
      </c>
      <c r="P848">
        <f t="shared" si="209"/>
        <v>75</v>
      </c>
      <c r="Q848">
        <f t="shared" si="210"/>
        <v>79</v>
      </c>
      <c r="R848">
        <f t="shared" si="211"/>
        <v>49.650349650349654</v>
      </c>
      <c r="S848" s="1">
        <f t="shared" si="212"/>
        <v>50.24975024975025</v>
      </c>
      <c r="T848" s="1">
        <f t="shared" si="213"/>
        <v>69</v>
      </c>
      <c r="U848" s="1">
        <f t="shared" si="214"/>
        <v>85</v>
      </c>
      <c r="V848" s="1">
        <f t="shared" si="215"/>
        <v>47.5</v>
      </c>
      <c r="W848" s="1">
        <f t="shared" si="216"/>
        <v>52.5</v>
      </c>
      <c r="X848" s="1">
        <f t="shared" si="217"/>
        <v>15.577922077922079</v>
      </c>
      <c r="Y848" s="1">
        <f t="shared" si="218"/>
        <v>22</v>
      </c>
      <c r="Z848" s="1">
        <f t="shared" si="219"/>
        <v>26</v>
      </c>
      <c r="AA848" s="1">
        <f t="shared" si="220"/>
        <v>3.3</v>
      </c>
      <c r="AB848" s="1">
        <f t="shared" si="221"/>
        <v>3.5499999999999994</v>
      </c>
      <c r="AC848" s="1">
        <f t="shared" si="222"/>
        <v>1</v>
      </c>
      <c r="AD848" s="1">
        <f t="shared" si="223"/>
        <v>-2.3953949803936288E-2</v>
      </c>
    </row>
    <row r="849" spans="1:30" x14ac:dyDescent="0.35">
      <c r="A849" t="s">
        <v>1681</v>
      </c>
      <c r="B849" t="s">
        <v>15</v>
      </c>
      <c r="C849" t="s">
        <v>24</v>
      </c>
      <c r="D849" t="s">
        <v>17</v>
      </c>
      <c r="E849">
        <v>50</v>
      </c>
      <c r="F849" t="s">
        <v>46</v>
      </c>
      <c r="G849" t="s">
        <v>32</v>
      </c>
      <c r="H849" t="s">
        <v>1682</v>
      </c>
      <c r="I849">
        <v>17</v>
      </c>
      <c r="J849">
        <v>24</v>
      </c>
      <c r="K849">
        <v>391473</v>
      </c>
      <c r="L849">
        <v>4.5</v>
      </c>
      <c r="M849" t="s">
        <v>21</v>
      </c>
      <c r="N849">
        <v>36</v>
      </c>
      <c r="O849">
        <f t="shared" si="208"/>
        <v>153</v>
      </c>
      <c r="P849">
        <f t="shared" si="209"/>
        <v>75</v>
      </c>
      <c r="Q849">
        <f t="shared" si="210"/>
        <v>78</v>
      </c>
      <c r="R849">
        <f t="shared" si="211"/>
        <v>49.650349650349654</v>
      </c>
      <c r="S849" s="1">
        <f t="shared" si="212"/>
        <v>50.24975024975025</v>
      </c>
      <c r="T849" s="1">
        <f t="shared" si="213"/>
        <v>68</v>
      </c>
      <c r="U849" s="1">
        <f t="shared" si="214"/>
        <v>85</v>
      </c>
      <c r="V849" s="1">
        <f t="shared" si="215"/>
        <v>47.5</v>
      </c>
      <c r="W849" s="1">
        <f t="shared" si="216"/>
        <v>52.5</v>
      </c>
      <c r="X849" s="1">
        <f t="shared" si="217"/>
        <v>15.640522875816993</v>
      </c>
      <c r="Y849" s="1">
        <f t="shared" si="218"/>
        <v>22</v>
      </c>
      <c r="Z849" s="1">
        <f t="shared" si="219"/>
        <v>25</v>
      </c>
      <c r="AA849" s="1">
        <f t="shared" si="220"/>
        <v>3.3</v>
      </c>
      <c r="AB849" s="1">
        <f t="shared" si="221"/>
        <v>3.5839999999999992</v>
      </c>
      <c r="AC849" s="1">
        <f t="shared" si="222"/>
        <v>1</v>
      </c>
      <c r="AD849" s="1">
        <f t="shared" si="223"/>
        <v>-1.4198934419782051E-2</v>
      </c>
    </row>
    <row r="850" spans="1:30" x14ac:dyDescent="0.35">
      <c r="A850" t="s">
        <v>1683</v>
      </c>
      <c r="B850" t="s">
        <v>35</v>
      </c>
      <c r="C850" t="s">
        <v>49</v>
      </c>
      <c r="D850" t="s">
        <v>17</v>
      </c>
      <c r="E850">
        <v>44</v>
      </c>
      <c r="F850" t="s">
        <v>74</v>
      </c>
      <c r="G850" t="s">
        <v>41</v>
      </c>
      <c r="H850" t="s">
        <v>258</v>
      </c>
      <c r="I850">
        <v>20</v>
      </c>
      <c r="J850">
        <v>29</v>
      </c>
      <c r="K850">
        <v>175353</v>
      </c>
      <c r="L850">
        <v>2.8</v>
      </c>
      <c r="M850" t="s">
        <v>21</v>
      </c>
      <c r="N850">
        <v>57</v>
      </c>
      <c r="O850">
        <f t="shared" si="208"/>
        <v>152</v>
      </c>
      <c r="P850">
        <f t="shared" si="209"/>
        <v>74</v>
      </c>
      <c r="Q850">
        <f t="shared" si="210"/>
        <v>78</v>
      </c>
      <c r="R850">
        <f t="shared" si="211"/>
        <v>49.650349650349654</v>
      </c>
      <c r="S850" s="1">
        <f t="shared" si="212"/>
        <v>50.24975024975025</v>
      </c>
      <c r="T850" s="1">
        <f t="shared" si="213"/>
        <v>67</v>
      </c>
      <c r="U850" s="1">
        <f t="shared" si="214"/>
        <v>85</v>
      </c>
      <c r="V850" s="1">
        <f t="shared" si="215"/>
        <v>47.5</v>
      </c>
      <c r="W850" s="1">
        <f t="shared" si="216"/>
        <v>52.5</v>
      </c>
      <c r="X850" s="1">
        <f t="shared" si="217"/>
        <v>15.585526315789474</v>
      </c>
      <c r="Y850" s="1">
        <f t="shared" si="218"/>
        <v>22</v>
      </c>
      <c r="Z850" s="1">
        <f t="shared" si="219"/>
        <v>25</v>
      </c>
      <c r="AA850" s="1">
        <f t="shared" si="220"/>
        <v>3.3</v>
      </c>
      <c r="AB850" s="1">
        <f t="shared" si="221"/>
        <v>3.5839999999999992</v>
      </c>
      <c r="AC850" s="1">
        <f t="shared" si="222"/>
        <v>1</v>
      </c>
      <c r="AD850" s="1">
        <f t="shared" si="223"/>
        <v>-2.3188132509097063E-2</v>
      </c>
    </row>
    <row r="851" spans="1:30" x14ac:dyDescent="0.35">
      <c r="A851" t="s">
        <v>1684</v>
      </c>
      <c r="B851" t="s">
        <v>60</v>
      </c>
      <c r="C851" t="s">
        <v>49</v>
      </c>
      <c r="D851" t="s">
        <v>17</v>
      </c>
      <c r="E851">
        <v>47</v>
      </c>
      <c r="F851" t="s">
        <v>46</v>
      </c>
      <c r="G851" t="s">
        <v>61</v>
      </c>
      <c r="H851" t="s">
        <v>1685</v>
      </c>
      <c r="I851">
        <v>7</v>
      </c>
      <c r="J851">
        <v>10</v>
      </c>
      <c r="K851">
        <v>226380</v>
      </c>
      <c r="L851">
        <v>2.6</v>
      </c>
      <c r="M851" t="s">
        <v>43</v>
      </c>
      <c r="N851">
        <v>93</v>
      </c>
      <c r="O851">
        <f t="shared" si="208"/>
        <v>151</v>
      </c>
      <c r="P851">
        <f t="shared" si="209"/>
        <v>73</v>
      </c>
      <c r="Q851">
        <f t="shared" si="210"/>
        <v>78</v>
      </c>
      <c r="R851">
        <f t="shared" si="211"/>
        <v>49.650349650349654</v>
      </c>
      <c r="S851" s="1">
        <f t="shared" si="212"/>
        <v>50.24975024975025</v>
      </c>
      <c r="T851" s="1">
        <f t="shared" si="213"/>
        <v>66</v>
      </c>
      <c r="U851" s="1">
        <f t="shared" si="214"/>
        <v>85</v>
      </c>
      <c r="V851" s="1">
        <f t="shared" si="215"/>
        <v>47.5</v>
      </c>
      <c r="W851" s="1">
        <f t="shared" si="216"/>
        <v>52.5</v>
      </c>
      <c r="X851" s="1">
        <f t="shared" si="217"/>
        <v>15.496688741721854</v>
      </c>
      <c r="Y851" s="1">
        <f t="shared" si="218"/>
        <v>21</v>
      </c>
      <c r="Z851" s="1">
        <f t="shared" si="219"/>
        <v>25</v>
      </c>
      <c r="AA851" s="1">
        <f t="shared" si="220"/>
        <v>3.3238095238095235</v>
      </c>
      <c r="AB851" s="1">
        <f t="shared" si="221"/>
        <v>3.5839999999999992</v>
      </c>
      <c r="AC851" s="1">
        <f t="shared" si="222"/>
        <v>0</v>
      </c>
      <c r="AD851" s="1">
        <f t="shared" si="223"/>
        <v>-3.8131478191436571E-2</v>
      </c>
    </row>
    <row r="852" spans="1:30" x14ac:dyDescent="0.35">
      <c r="A852" t="s">
        <v>1686</v>
      </c>
      <c r="B852" t="s">
        <v>69</v>
      </c>
      <c r="C852" t="s">
        <v>82</v>
      </c>
      <c r="D852" t="s">
        <v>17</v>
      </c>
      <c r="E852">
        <v>38</v>
      </c>
      <c r="F852" t="s">
        <v>70</v>
      </c>
      <c r="G852" t="s">
        <v>75</v>
      </c>
      <c r="H852" t="s">
        <v>1687</v>
      </c>
      <c r="I852">
        <v>13</v>
      </c>
      <c r="J852">
        <v>14</v>
      </c>
      <c r="K852">
        <v>372762</v>
      </c>
      <c r="L852">
        <v>2.9</v>
      </c>
      <c r="M852" t="s">
        <v>43</v>
      </c>
      <c r="N852">
        <v>91</v>
      </c>
      <c r="O852">
        <f t="shared" si="208"/>
        <v>150</v>
      </c>
      <c r="P852">
        <f t="shared" si="209"/>
        <v>72</v>
      </c>
      <c r="Q852">
        <f t="shared" si="210"/>
        <v>78</v>
      </c>
      <c r="R852">
        <f t="shared" si="211"/>
        <v>49.650349650349654</v>
      </c>
      <c r="S852" s="1">
        <f t="shared" si="212"/>
        <v>50.24975024975025</v>
      </c>
      <c r="T852" s="1">
        <f t="shared" si="213"/>
        <v>66</v>
      </c>
      <c r="U852" s="1">
        <f t="shared" si="214"/>
        <v>84</v>
      </c>
      <c r="V852" s="1">
        <f t="shared" si="215"/>
        <v>47.5</v>
      </c>
      <c r="W852" s="1">
        <f t="shared" si="216"/>
        <v>52.5</v>
      </c>
      <c r="X852" s="1">
        <f t="shared" si="217"/>
        <v>15.533333333333333</v>
      </c>
      <c r="Y852" s="1">
        <f t="shared" si="218"/>
        <v>21</v>
      </c>
      <c r="Z852" s="1">
        <f t="shared" si="219"/>
        <v>25</v>
      </c>
      <c r="AA852" s="1">
        <f t="shared" si="220"/>
        <v>3.3238095238095235</v>
      </c>
      <c r="AB852" s="1">
        <f t="shared" si="221"/>
        <v>3.5839999999999992</v>
      </c>
      <c r="AC852" s="1">
        <f t="shared" si="222"/>
        <v>0</v>
      </c>
      <c r="AD852" s="1">
        <f t="shared" si="223"/>
        <v>-4.2995102864139094E-2</v>
      </c>
    </row>
    <row r="853" spans="1:30" x14ac:dyDescent="0.35">
      <c r="A853" t="s">
        <v>1688</v>
      </c>
      <c r="B853" t="s">
        <v>23</v>
      </c>
      <c r="C853" t="s">
        <v>52</v>
      </c>
      <c r="D853" t="s">
        <v>17</v>
      </c>
      <c r="E853">
        <v>57</v>
      </c>
      <c r="F853" t="s">
        <v>79</v>
      </c>
      <c r="G853" t="s">
        <v>85</v>
      </c>
      <c r="H853" t="s">
        <v>1689</v>
      </c>
      <c r="I853">
        <v>14</v>
      </c>
      <c r="J853">
        <v>21</v>
      </c>
      <c r="K853">
        <v>74500</v>
      </c>
      <c r="L853">
        <v>5</v>
      </c>
      <c r="M853" t="s">
        <v>43</v>
      </c>
      <c r="N853">
        <v>100</v>
      </c>
      <c r="O853">
        <f t="shared" si="208"/>
        <v>149</v>
      </c>
      <c r="P853">
        <f t="shared" si="209"/>
        <v>71</v>
      </c>
      <c r="Q853">
        <f t="shared" si="210"/>
        <v>78</v>
      </c>
      <c r="R853">
        <f t="shared" si="211"/>
        <v>49.650349650349654</v>
      </c>
      <c r="S853" s="1">
        <f t="shared" si="212"/>
        <v>50.24975024975025</v>
      </c>
      <c r="T853" s="1">
        <f t="shared" si="213"/>
        <v>66</v>
      </c>
      <c r="U853" s="1">
        <f t="shared" si="214"/>
        <v>83</v>
      </c>
      <c r="V853" s="1">
        <f t="shared" si="215"/>
        <v>47.5</v>
      </c>
      <c r="W853" s="1">
        <f t="shared" si="216"/>
        <v>52.5</v>
      </c>
      <c r="X853" s="1">
        <f t="shared" si="217"/>
        <v>15.543624161073826</v>
      </c>
      <c r="Y853" s="1">
        <f t="shared" si="218"/>
        <v>21</v>
      </c>
      <c r="Z853" s="1">
        <f t="shared" si="219"/>
        <v>25</v>
      </c>
      <c r="AA853" s="1">
        <f t="shared" si="220"/>
        <v>3.3238095238095235</v>
      </c>
      <c r="AB853" s="1">
        <f t="shared" si="221"/>
        <v>3.5839999999999992</v>
      </c>
      <c r="AC853" s="1">
        <f t="shared" si="222"/>
        <v>0</v>
      </c>
      <c r="AD853" s="1">
        <f t="shared" si="223"/>
        <v>-4.4435095285985327E-2</v>
      </c>
    </row>
    <row r="854" spans="1:30" x14ac:dyDescent="0.35">
      <c r="A854" t="s">
        <v>1690</v>
      </c>
      <c r="B854" t="s">
        <v>15</v>
      </c>
      <c r="C854" t="s">
        <v>30</v>
      </c>
      <c r="D854" t="s">
        <v>25</v>
      </c>
      <c r="E854">
        <v>23</v>
      </c>
      <c r="F854" t="s">
        <v>79</v>
      </c>
      <c r="G854" t="s">
        <v>75</v>
      </c>
      <c r="H854" t="s">
        <v>1691</v>
      </c>
      <c r="I854">
        <v>20</v>
      </c>
      <c r="J854">
        <v>27</v>
      </c>
      <c r="K854">
        <v>134226</v>
      </c>
      <c r="L854">
        <v>3.7</v>
      </c>
      <c r="M854" t="s">
        <v>43</v>
      </c>
      <c r="N854">
        <v>95</v>
      </c>
      <c r="O854">
        <f t="shared" si="208"/>
        <v>148</v>
      </c>
      <c r="P854">
        <f t="shared" si="209"/>
        <v>70</v>
      </c>
      <c r="Q854">
        <f t="shared" si="210"/>
        <v>78</v>
      </c>
      <c r="R854">
        <f t="shared" si="211"/>
        <v>49.650349650349654</v>
      </c>
      <c r="S854" s="1">
        <f t="shared" si="212"/>
        <v>50.24975024975025</v>
      </c>
      <c r="T854" s="1">
        <f t="shared" si="213"/>
        <v>66</v>
      </c>
      <c r="U854" s="1">
        <f t="shared" si="214"/>
        <v>82</v>
      </c>
      <c r="V854" s="1">
        <f t="shared" si="215"/>
        <v>47.5</v>
      </c>
      <c r="W854" s="1">
        <f t="shared" si="216"/>
        <v>52.5</v>
      </c>
      <c r="X854" s="1">
        <f t="shared" si="217"/>
        <v>15.506756756756756</v>
      </c>
      <c r="Y854" s="1">
        <f t="shared" si="218"/>
        <v>21</v>
      </c>
      <c r="Z854" s="1">
        <f t="shared" si="219"/>
        <v>25</v>
      </c>
      <c r="AA854" s="1">
        <f t="shared" si="220"/>
        <v>3.3238095238095235</v>
      </c>
      <c r="AB854" s="1">
        <f t="shared" si="221"/>
        <v>3.5839999999999992</v>
      </c>
      <c r="AC854" s="1">
        <f t="shared" si="222"/>
        <v>0</v>
      </c>
      <c r="AD854" s="1">
        <f t="shared" si="223"/>
        <v>-3.9899450353874578E-2</v>
      </c>
    </row>
    <row r="855" spans="1:30" x14ac:dyDescent="0.35">
      <c r="A855" t="s">
        <v>1692</v>
      </c>
      <c r="B855" t="s">
        <v>45</v>
      </c>
      <c r="C855" t="s">
        <v>52</v>
      </c>
      <c r="D855" t="s">
        <v>25</v>
      </c>
      <c r="E855">
        <v>28</v>
      </c>
      <c r="F855" t="s">
        <v>70</v>
      </c>
      <c r="G855" t="s">
        <v>71</v>
      </c>
      <c r="H855" t="s">
        <v>552</v>
      </c>
      <c r="I855">
        <v>10</v>
      </c>
      <c r="J855">
        <v>20</v>
      </c>
      <c r="K855">
        <v>107958</v>
      </c>
      <c r="L855">
        <v>2.6</v>
      </c>
      <c r="M855" t="s">
        <v>21</v>
      </c>
      <c r="N855">
        <v>45</v>
      </c>
      <c r="O855">
        <f t="shared" si="208"/>
        <v>147</v>
      </c>
      <c r="P855">
        <f t="shared" si="209"/>
        <v>70</v>
      </c>
      <c r="Q855">
        <f t="shared" si="210"/>
        <v>77</v>
      </c>
      <c r="R855">
        <f t="shared" si="211"/>
        <v>49.650349650349654</v>
      </c>
      <c r="S855" s="1">
        <f t="shared" si="212"/>
        <v>50.24975024975025</v>
      </c>
      <c r="T855" s="1">
        <f t="shared" si="213"/>
        <v>66</v>
      </c>
      <c r="U855" s="1">
        <f t="shared" si="214"/>
        <v>81</v>
      </c>
      <c r="V855" s="1">
        <f t="shared" si="215"/>
        <v>47.5</v>
      </c>
      <c r="W855" s="1">
        <f t="shared" si="216"/>
        <v>52.5</v>
      </c>
      <c r="X855" s="1">
        <f t="shared" si="217"/>
        <v>15.428571428571429</v>
      </c>
      <c r="Y855" s="1">
        <f t="shared" si="218"/>
        <v>21</v>
      </c>
      <c r="Z855" s="1">
        <f t="shared" si="219"/>
        <v>25</v>
      </c>
      <c r="AA855" s="1">
        <f t="shared" si="220"/>
        <v>3.3238095238095235</v>
      </c>
      <c r="AB855" s="1">
        <f t="shared" si="221"/>
        <v>3.5839999999999992</v>
      </c>
      <c r="AC855" s="1">
        <f t="shared" si="222"/>
        <v>1</v>
      </c>
      <c r="AD855" s="1">
        <f t="shared" si="223"/>
        <v>-3.019235436541641E-2</v>
      </c>
    </row>
    <row r="856" spans="1:30" x14ac:dyDescent="0.35">
      <c r="A856" t="s">
        <v>1693</v>
      </c>
      <c r="B856" t="s">
        <v>69</v>
      </c>
      <c r="C856" t="s">
        <v>64</v>
      </c>
      <c r="D856" t="s">
        <v>25</v>
      </c>
      <c r="E856">
        <v>45</v>
      </c>
      <c r="F856" t="s">
        <v>46</v>
      </c>
      <c r="G856" t="s">
        <v>61</v>
      </c>
      <c r="H856" t="s">
        <v>1037</v>
      </c>
      <c r="I856">
        <v>3</v>
      </c>
      <c r="J856">
        <v>10</v>
      </c>
      <c r="K856">
        <v>95761</v>
      </c>
      <c r="L856">
        <v>4.4000000000000004</v>
      </c>
      <c r="M856" t="s">
        <v>21</v>
      </c>
      <c r="N856">
        <v>58</v>
      </c>
      <c r="O856">
        <f t="shared" si="208"/>
        <v>146</v>
      </c>
      <c r="P856">
        <f t="shared" si="209"/>
        <v>70</v>
      </c>
      <c r="Q856">
        <f t="shared" si="210"/>
        <v>76</v>
      </c>
      <c r="R856">
        <f t="shared" si="211"/>
        <v>49.650349650349654</v>
      </c>
      <c r="S856" s="1">
        <f t="shared" si="212"/>
        <v>50.24975024975025</v>
      </c>
      <c r="T856" s="1">
        <f t="shared" si="213"/>
        <v>65</v>
      </c>
      <c r="U856" s="1">
        <f t="shared" si="214"/>
        <v>81</v>
      </c>
      <c r="V856" s="1">
        <f t="shared" si="215"/>
        <v>47.5</v>
      </c>
      <c r="W856" s="1">
        <f t="shared" si="216"/>
        <v>52.5</v>
      </c>
      <c r="X856" s="1">
        <f t="shared" si="217"/>
        <v>15.397260273972602</v>
      </c>
      <c r="Y856" s="1">
        <f t="shared" si="218"/>
        <v>21</v>
      </c>
      <c r="Z856" s="1">
        <f t="shared" si="219"/>
        <v>25</v>
      </c>
      <c r="AA856" s="1">
        <f t="shared" si="220"/>
        <v>3.3238095238095235</v>
      </c>
      <c r="AB856" s="1">
        <f t="shared" si="221"/>
        <v>3.5839999999999992</v>
      </c>
      <c r="AC856" s="1">
        <f t="shared" si="222"/>
        <v>1</v>
      </c>
      <c r="AD856" s="1">
        <f t="shared" si="223"/>
        <v>-3.5403644381497124E-2</v>
      </c>
    </row>
    <row r="857" spans="1:30" x14ac:dyDescent="0.35">
      <c r="A857" t="s">
        <v>1694</v>
      </c>
      <c r="B857" t="s">
        <v>29</v>
      </c>
      <c r="C857" t="s">
        <v>82</v>
      </c>
      <c r="D857" t="s">
        <v>25</v>
      </c>
      <c r="E857">
        <v>22</v>
      </c>
      <c r="F857" t="s">
        <v>31</v>
      </c>
      <c r="G857" t="s">
        <v>19</v>
      </c>
      <c r="H857" t="s">
        <v>1695</v>
      </c>
      <c r="I857">
        <v>6</v>
      </c>
      <c r="J857">
        <v>15</v>
      </c>
      <c r="K857">
        <v>147756</v>
      </c>
      <c r="L857">
        <v>3.8</v>
      </c>
      <c r="M857" t="s">
        <v>43</v>
      </c>
      <c r="N857">
        <v>82</v>
      </c>
      <c r="O857">
        <f t="shared" si="208"/>
        <v>145</v>
      </c>
      <c r="P857">
        <f t="shared" si="209"/>
        <v>70</v>
      </c>
      <c r="Q857">
        <f t="shared" si="210"/>
        <v>75</v>
      </c>
      <c r="R857">
        <f t="shared" si="211"/>
        <v>49.650349650349654</v>
      </c>
      <c r="S857" s="1">
        <f t="shared" si="212"/>
        <v>50.24975024975025</v>
      </c>
      <c r="T857" s="1">
        <f t="shared" si="213"/>
        <v>64</v>
      </c>
      <c r="U857" s="1">
        <f t="shared" si="214"/>
        <v>81</v>
      </c>
      <c r="V857" s="1">
        <f t="shared" si="215"/>
        <v>47.5</v>
      </c>
      <c r="W857" s="1">
        <f t="shared" si="216"/>
        <v>52.5</v>
      </c>
      <c r="X857" s="1">
        <f t="shared" si="217"/>
        <v>15.434482758620689</v>
      </c>
      <c r="Y857" s="1">
        <f t="shared" si="218"/>
        <v>21</v>
      </c>
      <c r="Z857" s="1">
        <f t="shared" si="219"/>
        <v>25</v>
      </c>
      <c r="AA857" s="1">
        <f t="shared" si="220"/>
        <v>3.3238095238095235</v>
      </c>
      <c r="AB857" s="1">
        <f t="shared" si="221"/>
        <v>3.5839999999999992</v>
      </c>
      <c r="AC857" s="1">
        <f t="shared" si="222"/>
        <v>0</v>
      </c>
      <c r="AD857" s="1">
        <f t="shared" si="223"/>
        <v>-2.9603300528837195E-2</v>
      </c>
    </row>
    <row r="858" spans="1:30" x14ac:dyDescent="0.35">
      <c r="A858" t="s">
        <v>1696</v>
      </c>
      <c r="B858" t="s">
        <v>35</v>
      </c>
      <c r="C858" t="s">
        <v>24</v>
      </c>
      <c r="D858" t="s">
        <v>17</v>
      </c>
      <c r="E858">
        <v>59</v>
      </c>
      <c r="F858" t="s">
        <v>70</v>
      </c>
      <c r="G858" t="s">
        <v>26</v>
      </c>
      <c r="H858" t="s">
        <v>65</v>
      </c>
      <c r="I858">
        <v>20</v>
      </c>
      <c r="J858">
        <v>26</v>
      </c>
      <c r="K858">
        <v>407532</v>
      </c>
      <c r="L858">
        <v>3.4</v>
      </c>
      <c r="M858" t="s">
        <v>21</v>
      </c>
      <c r="N858">
        <v>41</v>
      </c>
      <c r="O858">
        <f t="shared" si="208"/>
        <v>144</v>
      </c>
      <c r="P858">
        <f t="shared" si="209"/>
        <v>70</v>
      </c>
      <c r="Q858">
        <f t="shared" si="210"/>
        <v>74</v>
      </c>
      <c r="R858">
        <f t="shared" si="211"/>
        <v>49.650349650349654</v>
      </c>
      <c r="S858" s="1">
        <f t="shared" si="212"/>
        <v>50.24975024975025</v>
      </c>
      <c r="T858" s="1">
        <f t="shared" si="213"/>
        <v>64</v>
      </c>
      <c r="U858" s="1">
        <f t="shared" si="214"/>
        <v>80</v>
      </c>
      <c r="V858" s="1">
        <f t="shared" si="215"/>
        <v>47.5</v>
      </c>
      <c r="W858" s="1">
        <f t="shared" si="216"/>
        <v>52.5</v>
      </c>
      <c r="X858" s="1">
        <f t="shared" si="217"/>
        <v>15.4375</v>
      </c>
      <c r="Y858" s="1">
        <f t="shared" si="218"/>
        <v>21</v>
      </c>
      <c r="Z858" s="1">
        <f t="shared" si="219"/>
        <v>24</v>
      </c>
      <c r="AA858" s="1">
        <f t="shared" si="220"/>
        <v>3.3238095238095235</v>
      </c>
      <c r="AB858" s="1">
        <f t="shared" si="221"/>
        <v>3.5749999999999993</v>
      </c>
      <c r="AC858" s="1">
        <f t="shared" si="222"/>
        <v>1</v>
      </c>
      <c r="AD858" s="1">
        <f t="shared" si="223"/>
        <v>-3.0072394541198848E-2</v>
      </c>
    </row>
    <row r="859" spans="1:30" x14ac:dyDescent="0.35">
      <c r="A859" t="s">
        <v>1697</v>
      </c>
      <c r="B859" t="s">
        <v>111</v>
      </c>
      <c r="C859" t="s">
        <v>52</v>
      </c>
      <c r="D859" t="s">
        <v>25</v>
      </c>
      <c r="E859">
        <v>40</v>
      </c>
      <c r="F859" t="s">
        <v>31</v>
      </c>
      <c r="G859" t="s">
        <v>88</v>
      </c>
      <c r="H859" t="s">
        <v>1698</v>
      </c>
      <c r="I859">
        <v>10</v>
      </c>
      <c r="J859">
        <v>16</v>
      </c>
      <c r="K859">
        <v>346733</v>
      </c>
      <c r="L859">
        <v>3.4</v>
      </c>
      <c r="M859" t="s">
        <v>21</v>
      </c>
      <c r="N859">
        <v>64</v>
      </c>
      <c r="O859">
        <f t="shared" si="208"/>
        <v>143</v>
      </c>
      <c r="P859">
        <f t="shared" si="209"/>
        <v>69</v>
      </c>
      <c r="Q859">
        <f t="shared" si="210"/>
        <v>74</v>
      </c>
      <c r="R859">
        <f t="shared" si="211"/>
        <v>49.650349650349654</v>
      </c>
      <c r="S859" s="1">
        <f t="shared" si="212"/>
        <v>50.24975024975025</v>
      </c>
      <c r="T859" s="1">
        <f t="shared" si="213"/>
        <v>63</v>
      </c>
      <c r="U859" s="1">
        <f t="shared" si="214"/>
        <v>80</v>
      </c>
      <c r="V859" s="1">
        <f t="shared" si="215"/>
        <v>47.5</v>
      </c>
      <c r="W859" s="1">
        <f t="shared" si="216"/>
        <v>52.5</v>
      </c>
      <c r="X859" s="1">
        <f t="shared" si="217"/>
        <v>15.363636363636363</v>
      </c>
      <c r="Y859" s="1">
        <f t="shared" si="218"/>
        <v>21</v>
      </c>
      <c r="Z859" s="1">
        <f t="shared" si="219"/>
        <v>24</v>
      </c>
      <c r="AA859" s="1">
        <f t="shared" si="220"/>
        <v>3.3238095238095235</v>
      </c>
      <c r="AB859" s="1">
        <f t="shared" si="221"/>
        <v>3.5749999999999993</v>
      </c>
      <c r="AC859" s="1">
        <f t="shared" si="222"/>
        <v>1</v>
      </c>
      <c r="AD859" s="1">
        <f t="shared" si="223"/>
        <v>-4.2445637613965338E-2</v>
      </c>
    </row>
    <row r="860" spans="1:30" x14ac:dyDescent="0.35">
      <c r="A860" t="s">
        <v>1699</v>
      </c>
      <c r="B860" t="s">
        <v>96</v>
      </c>
      <c r="C860" t="s">
        <v>82</v>
      </c>
      <c r="D860" t="s">
        <v>17</v>
      </c>
      <c r="E860">
        <v>45</v>
      </c>
      <c r="F860" t="s">
        <v>18</v>
      </c>
      <c r="G860" t="s">
        <v>88</v>
      </c>
      <c r="H860" t="s">
        <v>762</v>
      </c>
      <c r="I860">
        <v>19</v>
      </c>
      <c r="J860">
        <v>26</v>
      </c>
      <c r="K860">
        <v>333661</v>
      </c>
      <c r="L860">
        <v>5</v>
      </c>
      <c r="M860" t="s">
        <v>43</v>
      </c>
      <c r="N860">
        <v>85</v>
      </c>
      <c r="O860">
        <f t="shared" si="208"/>
        <v>142</v>
      </c>
      <c r="P860">
        <f t="shared" si="209"/>
        <v>69</v>
      </c>
      <c r="Q860">
        <f t="shared" si="210"/>
        <v>73</v>
      </c>
      <c r="R860">
        <f t="shared" si="211"/>
        <v>49.650349650349654</v>
      </c>
      <c r="S860" s="1">
        <f t="shared" si="212"/>
        <v>50.24975024975025</v>
      </c>
      <c r="T860" s="1">
        <f t="shared" si="213"/>
        <v>62</v>
      </c>
      <c r="U860" s="1">
        <f t="shared" si="214"/>
        <v>80</v>
      </c>
      <c r="V860" s="1">
        <f t="shared" si="215"/>
        <v>47.5</v>
      </c>
      <c r="W860" s="1">
        <f t="shared" si="216"/>
        <v>52.5</v>
      </c>
      <c r="X860" s="1">
        <f t="shared" si="217"/>
        <v>15.359154929577464</v>
      </c>
      <c r="Y860" s="1">
        <f t="shared" si="218"/>
        <v>21</v>
      </c>
      <c r="Z860" s="1">
        <f t="shared" si="219"/>
        <v>23</v>
      </c>
      <c r="AA860" s="1">
        <f t="shared" si="220"/>
        <v>3.3238095238095235</v>
      </c>
      <c r="AB860" s="1">
        <f t="shared" si="221"/>
        <v>3.5826086956521737</v>
      </c>
      <c r="AC860" s="1">
        <f t="shared" si="222"/>
        <v>0</v>
      </c>
      <c r="AD860" s="1">
        <f t="shared" si="223"/>
        <v>-4.3369054617700499E-2</v>
      </c>
    </row>
    <row r="861" spans="1:30" x14ac:dyDescent="0.35">
      <c r="A861" t="s">
        <v>1700</v>
      </c>
      <c r="B861" t="s">
        <v>69</v>
      </c>
      <c r="C861" t="s">
        <v>16</v>
      </c>
      <c r="D861" t="s">
        <v>25</v>
      </c>
      <c r="E861">
        <v>26</v>
      </c>
      <c r="F861" t="s">
        <v>18</v>
      </c>
      <c r="G861" t="s">
        <v>32</v>
      </c>
      <c r="H861" t="s">
        <v>1701</v>
      </c>
      <c r="I861">
        <v>6</v>
      </c>
      <c r="J861">
        <v>10</v>
      </c>
      <c r="K861">
        <v>276974</v>
      </c>
      <c r="L861">
        <v>3.7</v>
      </c>
      <c r="M861" t="s">
        <v>21</v>
      </c>
      <c r="N861">
        <v>40</v>
      </c>
      <c r="O861">
        <f t="shared" si="208"/>
        <v>141</v>
      </c>
      <c r="P861">
        <f t="shared" si="209"/>
        <v>68</v>
      </c>
      <c r="Q861">
        <f t="shared" si="210"/>
        <v>73</v>
      </c>
      <c r="R861">
        <f t="shared" si="211"/>
        <v>49.650349650349654</v>
      </c>
      <c r="S861" s="1">
        <f t="shared" si="212"/>
        <v>50.24975024975025</v>
      </c>
      <c r="T861" s="1">
        <f t="shared" si="213"/>
        <v>62</v>
      </c>
      <c r="U861" s="1">
        <f t="shared" si="214"/>
        <v>79</v>
      </c>
      <c r="V861" s="1">
        <f t="shared" si="215"/>
        <v>47.5</v>
      </c>
      <c r="W861" s="1">
        <f t="shared" si="216"/>
        <v>52.5</v>
      </c>
      <c r="X861" s="1">
        <f t="shared" si="217"/>
        <v>15.283687943262411</v>
      </c>
      <c r="Y861" s="1">
        <f t="shared" si="218"/>
        <v>21</v>
      </c>
      <c r="Z861" s="1">
        <f t="shared" si="219"/>
        <v>23</v>
      </c>
      <c r="AA861" s="1">
        <f t="shared" si="220"/>
        <v>3.3238095238095235</v>
      </c>
      <c r="AB861" s="1">
        <f t="shared" si="221"/>
        <v>3.5826086956521737</v>
      </c>
      <c r="AC861" s="1">
        <f t="shared" si="222"/>
        <v>1</v>
      </c>
      <c r="AD861" s="1">
        <f t="shared" si="223"/>
        <v>-3.4205505537903795E-2</v>
      </c>
    </row>
    <row r="862" spans="1:30" x14ac:dyDescent="0.35">
      <c r="A862" t="s">
        <v>1702</v>
      </c>
      <c r="B862" t="s">
        <v>55</v>
      </c>
      <c r="C862" t="s">
        <v>49</v>
      </c>
      <c r="D862" t="s">
        <v>17</v>
      </c>
      <c r="E862">
        <v>50</v>
      </c>
      <c r="F862" t="s">
        <v>37</v>
      </c>
      <c r="G862" t="s">
        <v>26</v>
      </c>
      <c r="H862" t="s">
        <v>1703</v>
      </c>
      <c r="I862">
        <v>20</v>
      </c>
      <c r="J862">
        <v>23</v>
      </c>
      <c r="K862">
        <v>252963</v>
      </c>
      <c r="L862">
        <v>4.9000000000000004</v>
      </c>
      <c r="M862" t="s">
        <v>21</v>
      </c>
      <c r="N862">
        <v>35</v>
      </c>
      <c r="O862">
        <f t="shared" si="208"/>
        <v>140</v>
      </c>
      <c r="P862">
        <f t="shared" si="209"/>
        <v>68</v>
      </c>
      <c r="Q862">
        <f t="shared" si="210"/>
        <v>72</v>
      </c>
      <c r="R862">
        <f t="shared" si="211"/>
        <v>49.650349650349654</v>
      </c>
      <c r="S862" s="1">
        <f t="shared" si="212"/>
        <v>50.24975024975025</v>
      </c>
      <c r="T862" s="1">
        <f t="shared" si="213"/>
        <v>61</v>
      </c>
      <c r="U862" s="1">
        <f t="shared" si="214"/>
        <v>79</v>
      </c>
      <c r="V862" s="1">
        <f t="shared" si="215"/>
        <v>47.5</v>
      </c>
      <c r="W862" s="1">
        <f t="shared" si="216"/>
        <v>52.5</v>
      </c>
      <c r="X862" s="1">
        <f t="shared" si="217"/>
        <v>15.321428571428571</v>
      </c>
      <c r="Y862" s="1">
        <f t="shared" si="218"/>
        <v>21</v>
      </c>
      <c r="Z862" s="1">
        <f t="shared" si="219"/>
        <v>23</v>
      </c>
      <c r="AA862" s="1">
        <f t="shared" si="220"/>
        <v>3.3238095238095235</v>
      </c>
      <c r="AB862" s="1">
        <f t="shared" si="221"/>
        <v>3.5826086956521737</v>
      </c>
      <c r="AC862" s="1">
        <f t="shared" si="222"/>
        <v>1</v>
      </c>
      <c r="AD862" s="1">
        <f t="shared" si="223"/>
        <v>-2.8244953966212332E-2</v>
      </c>
    </row>
    <row r="863" spans="1:30" x14ac:dyDescent="0.35">
      <c r="A863" t="s">
        <v>1704</v>
      </c>
      <c r="B863" t="s">
        <v>111</v>
      </c>
      <c r="C863" t="s">
        <v>30</v>
      </c>
      <c r="D863" t="s">
        <v>17</v>
      </c>
      <c r="E863">
        <v>42</v>
      </c>
      <c r="F863" t="s">
        <v>46</v>
      </c>
      <c r="G863" t="s">
        <v>41</v>
      </c>
      <c r="H863" t="s">
        <v>1705</v>
      </c>
      <c r="I863">
        <v>16</v>
      </c>
      <c r="J863">
        <v>25</v>
      </c>
      <c r="K863">
        <v>362501</v>
      </c>
      <c r="L863">
        <v>2.7</v>
      </c>
      <c r="M863" t="s">
        <v>21</v>
      </c>
      <c r="N863">
        <v>58</v>
      </c>
      <c r="O863">
        <f t="shared" si="208"/>
        <v>139</v>
      </c>
      <c r="P863">
        <f t="shared" si="209"/>
        <v>67</v>
      </c>
      <c r="Q863">
        <f t="shared" si="210"/>
        <v>72</v>
      </c>
      <c r="R863">
        <f t="shared" si="211"/>
        <v>49.650349650349654</v>
      </c>
      <c r="S863" s="1">
        <f t="shared" si="212"/>
        <v>50.24975024975025</v>
      </c>
      <c r="T863" s="1">
        <f t="shared" si="213"/>
        <v>60</v>
      </c>
      <c r="U863" s="1">
        <f t="shared" si="214"/>
        <v>79</v>
      </c>
      <c r="V863" s="1">
        <f t="shared" si="215"/>
        <v>47.5</v>
      </c>
      <c r="W863" s="1">
        <f t="shared" si="216"/>
        <v>52.5</v>
      </c>
      <c r="X863" s="1">
        <f t="shared" si="217"/>
        <v>15.266187050359711</v>
      </c>
      <c r="Y863" s="1">
        <f t="shared" si="218"/>
        <v>21</v>
      </c>
      <c r="Z863" s="1">
        <f t="shared" si="219"/>
        <v>23</v>
      </c>
      <c r="AA863" s="1">
        <f t="shared" si="220"/>
        <v>3.3238095238095235</v>
      </c>
      <c r="AB863" s="1">
        <f t="shared" si="221"/>
        <v>3.5826086956521737</v>
      </c>
      <c r="AC863" s="1">
        <f t="shared" si="222"/>
        <v>1</v>
      </c>
      <c r="AD863" s="1">
        <f t="shared" si="223"/>
        <v>-3.764481989115024E-2</v>
      </c>
    </row>
    <row r="864" spans="1:30" x14ac:dyDescent="0.35">
      <c r="A864" t="s">
        <v>1706</v>
      </c>
      <c r="B864" t="s">
        <v>35</v>
      </c>
      <c r="C864" t="s">
        <v>56</v>
      </c>
      <c r="D864" t="s">
        <v>25</v>
      </c>
      <c r="E864">
        <v>60</v>
      </c>
      <c r="F864" t="s">
        <v>79</v>
      </c>
      <c r="G864" t="s">
        <v>85</v>
      </c>
      <c r="H864" t="s">
        <v>1707</v>
      </c>
      <c r="I864">
        <v>18</v>
      </c>
      <c r="J864">
        <v>22</v>
      </c>
      <c r="K864">
        <v>488045</v>
      </c>
      <c r="L864">
        <v>3.8</v>
      </c>
      <c r="M864" t="s">
        <v>21</v>
      </c>
      <c r="N864">
        <v>46</v>
      </c>
      <c r="O864">
        <f t="shared" si="208"/>
        <v>138</v>
      </c>
      <c r="P864">
        <f t="shared" si="209"/>
        <v>66</v>
      </c>
      <c r="Q864">
        <f t="shared" si="210"/>
        <v>72</v>
      </c>
      <c r="R864">
        <f t="shared" si="211"/>
        <v>49.650349650349654</v>
      </c>
      <c r="S864" s="1">
        <f t="shared" si="212"/>
        <v>50.24975024975025</v>
      </c>
      <c r="T864" s="1">
        <f t="shared" si="213"/>
        <v>59</v>
      </c>
      <c r="U864" s="1">
        <f t="shared" si="214"/>
        <v>79</v>
      </c>
      <c r="V864" s="1">
        <f t="shared" si="215"/>
        <v>47.5</v>
      </c>
      <c r="W864" s="1">
        <f t="shared" si="216"/>
        <v>52.5</v>
      </c>
      <c r="X864" s="1">
        <f t="shared" si="217"/>
        <v>15.195652173913043</v>
      </c>
      <c r="Y864" s="1">
        <f t="shared" si="218"/>
        <v>21</v>
      </c>
      <c r="Z864" s="1">
        <f t="shared" si="219"/>
        <v>23</v>
      </c>
      <c r="AA864" s="1">
        <f t="shared" si="220"/>
        <v>3.3238095238095235</v>
      </c>
      <c r="AB864" s="1">
        <f t="shared" si="221"/>
        <v>3.5826086956521737</v>
      </c>
      <c r="AC864" s="1">
        <f t="shared" si="222"/>
        <v>1</v>
      </c>
      <c r="AD864" s="1">
        <f t="shared" si="223"/>
        <v>-4.9911789004277396E-2</v>
      </c>
    </row>
    <row r="865" spans="1:30" x14ac:dyDescent="0.35">
      <c r="A865" t="s">
        <v>1708</v>
      </c>
      <c r="B865" t="s">
        <v>23</v>
      </c>
      <c r="C865" t="s">
        <v>16</v>
      </c>
      <c r="D865" t="s">
        <v>17</v>
      </c>
      <c r="E865">
        <v>49</v>
      </c>
      <c r="F865" t="s">
        <v>79</v>
      </c>
      <c r="G865" t="s">
        <v>61</v>
      </c>
      <c r="H865" t="s">
        <v>1709</v>
      </c>
      <c r="I865">
        <v>5</v>
      </c>
      <c r="J865">
        <v>7</v>
      </c>
      <c r="K865">
        <v>51147</v>
      </c>
      <c r="L865">
        <v>5</v>
      </c>
      <c r="M865" t="s">
        <v>21</v>
      </c>
      <c r="N865">
        <v>43</v>
      </c>
      <c r="O865">
        <f t="shared" si="208"/>
        <v>137</v>
      </c>
      <c r="P865">
        <f t="shared" si="209"/>
        <v>66</v>
      </c>
      <c r="Q865">
        <f t="shared" si="210"/>
        <v>71</v>
      </c>
      <c r="R865">
        <f t="shared" si="211"/>
        <v>49.650349650349654</v>
      </c>
      <c r="S865" s="1">
        <f t="shared" si="212"/>
        <v>50.24975024975025</v>
      </c>
      <c r="T865" s="1">
        <f t="shared" si="213"/>
        <v>58</v>
      </c>
      <c r="U865" s="1">
        <f t="shared" si="214"/>
        <v>79</v>
      </c>
      <c r="V865" s="1">
        <f t="shared" si="215"/>
        <v>47.5</v>
      </c>
      <c r="W865" s="1">
        <f t="shared" si="216"/>
        <v>52.5</v>
      </c>
      <c r="X865" s="1">
        <f t="shared" si="217"/>
        <v>15.145985401459853</v>
      </c>
      <c r="Y865" s="1">
        <f t="shared" si="218"/>
        <v>21</v>
      </c>
      <c r="Z865" s="1">
        <f t="shared" si="219"/>
        <v>23</v>
      </c>
      <c r="AA865" s="1">
        <f t="shared" si="220"/>
        <v>3.3238095238095235</v>
      </c>
      <c r="AB865" s="1">
        <f t="shared" si="221"/>
        <v>3.5826086956521737</v>
      </c>
      <c r="AC865" s="1">
        <f t="shared" si="222"/>
        <v>1</v>
      </c>
      <c r="AD865" s="1">
        <f t="shared" si="223"/>
        <v>-5.8724814316275471E-2</v>
      </c>
    </row>
    <row r="866" spans="1:30" x14ac:dyDescent="0.35">
      <c r="A866" t="s">
        <v>1710</v>
      </c>
      <c r="B866" t="s">
        <v>78</v>
      </c>
      <c r="C866" t="s">
        <v>64</v>
      </c>
      <c r="D866" t="s">
        <v>17</v>
      </c>
      <c r="E866">
        <v>55</v>
      </c>
      <c r="F866" t="s">
        <v>31</v>
      </c>
      <c r="G866" t="s">
        <v>88</v>
      </c>
      <c r="H866" t="s">
        <v>1711</v>
      </c>
      <c r="I866">
        <v>12</v>
      </c>
      <c r="J866">
        <v>20</v>
      </c>
      <c r="K866">
        <v>261308</v>
      </c>
      <c r="L866">
        <v>3.1</v>
      </c>
      <c r="M866" t="s">
        <v>21</v>
      </c>
      <c r="N866">
        <v>38</v>
      </c>
      <c r="O866">
        <f t="shared" si="208"/>
        <v>136</v>
      </c>
      <c r="P866">
        <f t="shared" si="209"/>
        <v>65</v>
      </c>
      <c r="Q866">
        <f t="shared" si="210"/>
        <v>71</v>
      </c>
      <c r="R866">
        <f t="shared" si="211"/>
        <v>49.650349650349654</v>
      </c>
      <c r="S866" s="1">
        <f t="shared" si="212"/>
        <v>50.24975024975025</v>
      </c>
      <c r="T866" s="1">
        <f t="shared" si="213"/>
        <v>57</v>
      </c>
      <c r="U866" s="1">
        <f t="shared" si="214"/>
        <v>79</v>
      </c>
      <c r="V866" s="1">
        <f t="shared" si="215"/>
        <v>47.5</v>
      </c>
      <c r="W866" s="1">
        <f t="shared" si="216"/>
        <v>52.5</v>
      </c>
      <c r="X866" s="1">
        <f t="shared" si="217"/>
        <v>15.205882352941176</v>
      </c>
      <c r="Y866" s="1">
        <f t="shared" si="218"/>
        <v>21</v>
      </c>
      <c r="Z866" s="1">
        <f t="shared" si="219"/>
        <v>23</v>
      </c>
      <c r="AA866" s="1">
        <f t="shared" si="220"/>
        <v>3.3238095238095235</v>
      </c>
      <c r="AB866" s="1">
        <f t="shared" si="221"/>
        <v>3.5826086956521737</v>
      </c>
      <c r="AC866" s="1">
        <f t="shared" si="222"/>
        <v>1</v>
      </c>
      <c r="AD866" s="1">
        <f t="shared" si="223"/>
        <v>-4.910489854483252E-2</v>
      </c>
    </row>
    <row r="867" spans="1:30" x14ac:dyDescent="0.35">
      <c r="A867" t="s">
        <v>1712</v>
      </c>
      <c r="B867" t="s">
        <v>23</v>
      </c>
      <c r="C867" t="s">
        <v>16</v>
      </c>
      <c r="D867" t="s">
        <v>17</v>
      </c>
      <c r="E867">
        <v>34</v>
      </c>
      <c r="F867" t="s">
        <v>37</v>
      </c>
      <c r="G867" t="s">
        <v>32</v>
      </c>
      <c r="H867" t="s">
        <v>1713</v>
      </c>
      <c r="I867">
        <v>1</v>
      </c>
      <c r="J867">
        <v>2</v>
      </c>
      <c r="K867">
        <v>215520</v>
      </c>
      <c r="L867">
        <v>2.6</v>
      </c>
      <c r="M867" t="s">
        <v>43</v>
      </c>
      <c r="N867">
        <v>81</v>
      </c>
      <c r="O867">
        <f t="shared" si="208"/>
        <v>135</v>
      </c>
      <c r="P867">
        <f t="shared" si="209"/>
        <v>64</v>
      </c>
      <c r="Q867">
        <f t="shared" si="210"/>
        <v>71</v>
      </c>
      <c r="R867">
        <f t="shared" si="211"/>
        <v>49.650349650349654</v>
      </c>
      <c r="S867" s="1">
        <f t="shared" si="212"/>
        <v>50.24975024975025</v>
      </c>
      <c r="T867" s="1">
        <f t="shared" si="213"/>
        <v>56</v>
      </c>
      <c r="U867" s="1">
        <f t="shared" si="214"/>
        <v>79</v>
      </c>
      <c r="V867" s="1">
        <f t="shared" si="215"/>
        <v>47.5</v>
      </c>
      <c r="W867" s="1">
        <f t="shared" si="216"/>
        <v>52.5</v>
      </c>
      <c r="X867" s="1">
        <f t="shared" si="217"/>
        <v>15.170370370370371</v>
      </c>
      <c r="Y867" s="1">
        <f t="shared" si="218"/>
        <v>21</v>
      </c>
      <c r="Z867" s="1">
        <f t="shared" si="219"/>
        <v>22</v>
      </c>
      <c r="AA867" s="1">
        <f t="shared" si="220"/>
        <v>3.3238095238095235</v>
      </c>
      <c r="AB867" s="1">
        <f t="shared" si="221"/>
        <v>3.6045454545454545</v>
      </c>
      <c r="AC867" s="1">
        <f t="shared" si="222"/>
        <v>0</v>
      </c>
      <c r="AD867" s="1">
        <f t="shared" si="223"/>
        <v>-5.554903900546504E-2</v>
      </c>
    </row>
    <row r="868" spans="1:30" x14ac:dyDescent="0.35">
      <c r="A868" t="s">
        <v>1714</v>
      </c>
      <c r="B868" t="s">
        <v>35</v>
      </c>
      <c r="C868" t="s">
        <v>49</v>
      </c>
      <c r="D868" t="s">
        <v>25</v>
      </c>
      <c r="E868">
        <v>45</v>
      </c>
      <c r="F868" t="s">
        <v>70</v>
      </c>
      <c r="G868" t="s">
        <v>75</v>
      </c>
      <c r="H868" t="s">
        <v>1715</v>
      </c>
      <c r="I868">
        <v>5</v>
      </c>
      <c r="J868">
        <v>11</v>
      </c>
      <c r="K868">
        <v>452725</v>
      </c>
      <c r="L868">
        <v>3.3</v>
      </c>
      <c r="M868" t="s">
        <v>21</v>
      </c>
      <c r="N868">
        <v>57</v>
      </c>
      <c r="O868">
        <f t="shared" si="208"/>
        <v>134</v>
      </c>
      <c r="P868">
        <f t="shared" si="209"/>
        <v>63</v>
      </c>
      <c r="Q868">
        <f t="shared" si="210"/>
        <v>71</v>
      </c>
      <c r="R868">
        <f t="shared" si="211"/>
        <v>49.650349650349654</v>
      </c>
      <c r="S868" s="1">
        <f t="shared" si="212"/>
        <v>50.24975024975025</v>
      </c>
      <c r="T868" s="1">
        <f t="shared" si="213"/>
        <v>56</v>
      </c>
      <c r="U868" s="1">
        <f t="shared" si="214"/>
        <v>78</v>
      </c>
      <c r="V868" s="1">
        <f t="shared" si="215"/>
        <v>47.5</v>
      </c>
      <c r="W868" s="1">
        <f t="shared" si="216"/>
        <v>52.5</v>
      </c>
      <c r="X868" s="1">
        <f t="shared" si="217"/>
        <v>15.26865671641791</v>
      </c>
      <c r="Y868" s="1">
        <f t="shared" si="218"/>
        <v>21</v>
      </c>
      <c r="Z868" s="1">
        <f t="shared" si="219"/>
        <v>22</v>
      </c>
      <c r="AA868" s="1">
        <f t="shared" si="220"/>
        <v>3.3238095238095235</v>
      </c>
      <c r="AB868" s="1">
        <f t="shared" si="221"/>
        <v>3.6045454545454545</v>
      </c>
      <c r="AC868" s="1">
        <f t="shared" si="222"/>
        <v>1</v>
      </c>
      <c r="AD868" s="1">
        <f t="shared" si="223"/>
        <v>-6.863518179870913E-2</v>
      </c>
    </row>
    <row r="869" spans="1:30" x14ac:dyDescent="0.35">
      <c r="A869" t="s">
        <v>1716</v>
      </c>
      <c r="B869" t="s">
        <v>69</v>
      </c>
      <c r="C869" t="s">
        <v>93</v>
      </c>
      <c r="D869" t="s">
        <v>25</v>
      </c>
      <c r="E869">
        <v>36</v>
      </c>
      <c r="F869" t="s">
        <v>74</v>
      </c>
      <c r="G869" t="s">
        <v>71</v>
      </c>
      <c r="H869" t="s">
        <v>1717</v>
      </c>
      <c r="I869">
        <v>17</v>
      </c>
      <c r="J869">
        <v>21</v>
      </c>
      <c r="K869">
        <v>241361</v>
      </c>
      <c r="L869">
        <v>3.8</v>
      </c>
      <c r="M869" t="s">
        <v>43</v>
      </c>
      <c r="N869">
        <v>85</v>
      </c>
      <c r="O869">
        <f t="shared" si="208"/>
        <v>133</v>
      </c>
      <c r="P869">
        <f t="shared" si="209"/>
        <v>63</v>
      </c>
      <c r="Q869">
        <f t="shared" si="210"/>
        <v>70</v>
      </c>
      <c r="R869">
        <f t="shared" si="211"/>
        <v>49.650349650349654</v>
      </c>
      <c r="S869" s="1">
        <f t="shared" si="212"/>
        <v>50.24975024975025</v>
      </c>
      <c r="T869" s="1">
        <f t="shared" si="213"/>
        <v>55</v>
      </c>
      <c r="U869" s="1">
        <f t="shared" si="214"/>
        <v>78</v>
      </c>
      <c r="V869" s="1">
        <f t="shared" si="215"/>
        <v>47.5</v>
      </c>
      <c r="W869" s="1">
        <f t="shared" si="216"/>
        <v>52.5</v>
      </c>
      <c r="X869" s="1">
        <f t="shared" si="217"/>
        <v>15.300751879699249</v>
      </c>
      <c r="Y869" s="1">
        <f t="shared" si="218"/>
        <v>21</v>
      </c>
      <c r="Z869" s="1">
        <f t="shared" si="219"/>
        <v>22</v>
      </c>
      <c r="AA869" s="1">
        <f t="shared" si="220"/>
        <v>3.3238095238095235</v>
      </c>
      <c r="AB869" s="1">
        <f t="shared" si="221"/>
        <v>3.6045454545454545</v>
      </c>
      <c r="AC869" s="1">
        <f t="shared" si="222"/>
        <v>0</v>
      </c>
      <c r="AD869" s="1">
        <f t="shared" si="223"/>
        <v>-6.3526510659261445E-2</v>
      </c>
    </row>
    <row r="870" spans="1:30" x14ac:dyDescent="0.35">
      <c r="A870" t="s">
        <v>1718</v>
      </c>
      <c r="B870" t="s">
        <v>29</v>
      </c>
      <c r="C870" t="s">
        <v>30</v>
      </c>
      <c r="D870" t="s">
        <v>17</v>
      </c>
      <c r="E870">
        <v>31</v>
      </c>
      <c r="F870" t="s">
        <v>46</v>
      </c>
      <c r="G870" t="s">
        <v>71</v>
      </c>
      <c r="H870" t="s">
        <v>1719</v>
      </c>
      <c r="I870">
        <v>1</v>
      </c>
      <c r="J870">
        <v>1</v>
      </c>
      <c r="K870">
        <v>95526</v>
      </c>
      <c r="L870">
        <v>4.0999999999999996</v>
      </c>
      <c r="M870" t="s">
        <v>21</v>
      </c>
      <c r="N870">
        <v>43</v>
      </c>
      <c r="O870">
        <f t="shared" si="208"/>
        <v>132</v>
      </c>
      <c r="P870">
        <f t="shared" si="209"/>
        <v>63</v>
      </c>
      <c r="Q870">
        <f t="shared" si="210"/>
        <v>69</v>
      </c>
      <c r="R870">
        <f t="shared" si="211"/>
        <v>49.650349650349654</v>
      </c>
      <c r="S870" s="1">
        <f t="shared" si="212"/>
        <v>50.24975024975025</v>
      </c>
      <c r="T870" s="1">
        <f t="shared" si="213"/>
        <v>55</v>
      </c>
      <c r="U870" s="1">
        <f t="shared" si="214"/>
        <v>77</v>
      </c>
      <c r="V870" s="1">
        <f t="shared" si="215"/>
        <v>47.5</v>
      </c>
      <c r="W870" s="1">
        <f t="shared" si="216"/>
        <v>52.5</v>
      </c>
      <c r="X870" s="1">
        <f t="shared" si="217"/>
        <v>15.257575757575758</v>
      </c>
      <c r="Y870" s="1">
        <f t="shared" si="218"/>
        <v>20</v>
      </c>
      <c r="Z870" s="1">
        <f t="shared" si="219"/>
        <v>22</v>
      </c>
      <c r="AA870" s="1">
        <f t="shared" si="220"/>
        <v>3.3</v>
      </c>
      <c r="AB870" s="1">
        <f t="shared" si="221"/>
        <v>3.6045454545454545</v>
      </c>
      <c r="AC870" s="1">
        <f t="shared" si="222"/>
        <v>1</v>
      </c>
      <c r="AD870" s="1">
        <f t="shared" si="223"/>
        <v>-5.8550488935219761E-2</v>
      </c>
    </row>
    <row r="871" spans="1:30" x14ac:dyDescent="0.35">
      <c r="A871" t="s">
        <v>1720</v>
      </c>
      <c r="B871" t="s">
        <v>96</v>
      </c>
      <c r="C871" t="s">
        <v>16</v>
      </c>
      <c r="D871" t="s">
        <v>25</v>
      </c>
      <c r="E871">
        <v>25</v>
      </c>
      <c r="F871" t="s">
        <v>74</v>
      </c>
      <c r="G871" t="s">
        <v>88</v>
      </c>
      <c r="H871" t="s">
        <v>1721</v>
      </c>
      <c r="I871">
        <v>8</v>
      </c>
      <c r="J871">
        <v>14</v>
      </c>
      <c r="K871">
        <v>484837</v>
      </c>
      <c r="L871">
        <v>4.3</v>
      </c>
      <c r="M871" t="s">
        <v>43</v>
      </c>
      <c r="N871">
        <v>96</v>
      </c>
      <c r="O871">
        <f t="shared" si="208"/>
        <v>131</v>
      </c>
      <c r="P871">
        <f t="shared" si="209"/>
        <v>62</v>
      </c>
      <c r="Q871">
        <f t="shared" si="210"/>
        <v>69</v>
      </c>
      <c r="R871">
        <f t="shared" si="211"/>
        <v>49.650349650349654</v>
      </c>
      <c r="S871" s="1">
        <f t="shared" si="212"/>
        <v>50.24975024975025</v>
      </c>
      <c r="T871" s="1">
        <f t="shared" si="213"/>
        <v>54</v>
      </c>
      <c r="U871" s="1">
        <f t="shared" si="214"/>
        <v>77</v>
      </c>
      <c r="V871" s="1">
        <f t="shared" si="215"/>
        <v>47.5</v>
      </c>
      <c r="W871" s="1">
        <f t="shared" si="216"/>
        <v>52.5</v>
      </c>
      <c r="X871" s="1">
        <f t="shared" si="217"/>
        <v>15.366412213740459</v>
      </c>
      <c r="Y871" s="1">
        <f t="shared" si="218"/>
        <v>20</v>
      </c>
      <c r="Z871" s="1">
        <f t="shared" si="219"/>
        <v>22</v>
      </c>
      <c r="AA871" s="1">
        <f t="shared" si="220"/>
        <v>3.3</v>
      </c>
      <c r="AB871" s="1">
        <f t="shared" si="221"/>
        <v>3.6045454545454545</v>
      </c>
      <c r="AC871" s="1">
        <f t="shared" si="222"/>
        <v>0</v>
      </c>
      <c r="AD871" s="1">
        <f t="shared" si="223"/>
        <v>-4.0687866382927679E-2</v>
      </c>
    </row>
    <row r="872" spans="1:30" x14ac:dyDescent="0.35">
      <c r="A872" t="s">
        <v>1722</v>
      </c>
      <c r="B872" t="s">
        <v>40</v>
      </c>
      <c r="C872" t="s">
        <v>93</v>
      </c>
      <c r="D872" t="s">
        <v>25</v>
      </c>
      <c r="E872">
        <v>55</v>
      </c>
      <c r="F872" t="s">
        <v>31</v>
      </c>
      <c r="G872" t="s">
        <v>26</v>
      </c>
      <c r="H872" t="s">
        <v>1723</v>
      </c>
      <c r="I872">
        <v>10</v>
      </c>
      <c r="J872">
        <v>16</v>
      </c>
      <c r="K872">
        <v>55486</v>
      </c>
      <c r="L872">
        <v>3.2</v>
      </c>
      <c r="M872" t="s">
        <v>43</v>
      </c>
      <c r="N872">
        <v>85</v>
      </c>
      <c r="O872">
        <f t="shared" si="208"/>
        <v>130</v>
      </c>
      <c r="P872">
        <f t="shared" si="209"/>
        <v>62</v>
      </c>
      <c r="Q872">
        <f t="shared" si="210"/>
        <v>68</v>
      </c>
      <c r="R872">
        <f t="shared" si="211"/>
        <v>49.650349650349654</v>
      </c>
      <c r="S872" s="1">
        <f t="shared" si="212"/>
        <v>50.24975024975025</v>
      </c>
      <c r="T872" s="1">
        <f t="shared" si="213"/>
        <v>54</v>
      </c>
      <c r="U872" s="1">
        <f t="shared" si="214"/>
        <v>76</v>
      </c>
      <c r="V872" s="1">
        <f t="shared" si="215"/>
        <v>47.5</v>
      </c>
      <c r="W872" s="1">
        <f t="shared" si="216"/>
        <v>52.5</v>
      </c>
      <c r="X872" s="1">
        <f t="shared" si="217"/>
        <v>15.376923076923077</v>
      </c>
      <c r="Y872" s="1">
        <f t="shared" si="218"/>
        <v>19</v>
      </c>
      <c r="Z872" s="1">
        <f t="shared" si="219"/>
        <v>22</v>
      </c>
      <c r="AA872" s="1">
        <f t="shared" si="220"/>
        <v>3.2473684210526312</v>
      </c>
      <c r="AB872" s="1">
        <f t="shared" si="221"/>
        <v>3.6045454545454545</v>
      </c>
      <c r="AC872" s="1">
        <f t="shared" si="222"/>
        <v>0</v>
      </c>
      <c r="AD872" s="1">
        <f t="shared" si="223"/>
        <v>-4.210656799332E-2</v>
      </c>
    </row>
    <row r="873" spans="1:30" x14ac:dyDescent="0.35">
      <c r="A873" t="s">
        <v>1724</v>
      </c>
      <c r="B873" t="s">
        <v>60</v>
      </c>
      <c r="C873" t="s">
        <v>49</v>
      </c>
      <c r="D873" t="s">
        <v>17</v>
      </c>
      <c r="E873">
        <v>33</v>
      </c>
      <c r="F873" t="s">
        <v>31</v>
      </c>
      <c r="G873" t="s">
        <v>61</v>
      </c>
      <c r="H873" t="s">
        <v>1725</v>
      </c>
      <c r="I873">
        <v>18</v>
      </c>
      <c r="J873">
        <v>27</v>
      </c>
      <c r="K873">
        <v>111282</v>
      </c>
      <c r="L873">
        <v>3.7</v>
      </c>
      <c r="M873" t="s">
        <v>21</v>
      </c>
      <c r="N873">
        <v>51</v>
      </c>
      <c r="O873">
        <f t="shared" si="208"/>
        <v>129</v>
      </c>
      <c r="P873">
        <f t="shared" si="209"/>
        <v>62</v>
      </c>
      <c r="Q873">
        <f t="shared" si="210"/>
        <v>67</v>
      </c>
      <c r="R873">
        <f t="shared" si="211"/>
        <v>49.650349650349654</v>
      </c>
      <c r="S873" s="1">
        <f t="shared" si="212"/>
        <v>50.24975024975025</v>
      </c>
      <c r="T873" s="1">
        <f t="shared" si="213"/>
        <v>54</v>
      </c>
      <c r="U873" s="1">
        <f t="shared" si="214"/>
        <v>75</v>
      </c>
      <c r="V873" s="1">
        <f t="shared" si="215"/>
        <v>47.5</v>
      </c>
      <c r="W873" s="1">
        <f t="shared" si="216"/>
        <v>52.5</v>
      </c>
      <c r="X873" s="1">
        <f t="shared" si="217"/>
        <v>15.372093023255815</v>
      </c>
      <c r="Y873" s="1">
        <f t="shared" si="218"/>
        <v>19</v>
      </c>
      <c r="Z873" s="1">
        <f t="shared" si="219"/>
        <v>21</v>
      </c>
      <c r="AA873" s="1">
        <f t="shared" si="220"/>
        <v>3.2473684210526312</v>
      </c>
      <c r="AB873" s="1">
        <f t="shared" si="221"/>
        <v>3.6238095238095243</v>
      </c>
      <c r="AC873" s="1">
        <f t="shared" si="222"/>
        <v>1</v>
      </c>
      <c r="AD873" s="1">
        <f t="shared" si="223"/>
        <v>-4.1624339820610444E-2</v>
      </c>
    </row>
    <row r="874" spans="1:30" x14ac:dyDescent="0.35">
      <c r="A874" t="s">
        <v>1726</v>
      </c>
      <c r="B874" t="s">
        <v>55</v>
      </c>
      <c r="C874" t="s">
        <v>30</v>
      </c>
      <c r="D874" t="s">
        <v>17</v>
      </c>
      <c r="E874">
        <v>39</v>
      </c>
      <c r="F874" t="s">
        <v>74</v>
      </c>
      <c r="G874" t="s">
        <v>19</v>
      </c>
      <c r="H874" t="s">
        <v>1727</v>
      </c>
      <c r="I874">
        <v>15</v>
      </c>
      <c r="J874">
        <v>23</v>
      </c>
      <c r="K874">
        <v>441492</v>
      </c>
      <c r="L874">
        <v>2.5</v>
      </c>
      <c r="M874" t="s">
        <v>43</v>
      </c>
      <c r="N874">
        <v>71</v>
      </c>
      <c r="O874">
        <f t="shared" si="208"/>
        <v>128</v>
      </c>
      <c r="P874">
        <f t="shared" si="209"/>
        <v>61</v>
      </c>
      <c r="Q874">
        <f t="shared" si="210"/>
        <v>67</v>
      </c>
      <c r="R874">
        <f t="shared" si="211"/>
        <v>49.650349650349654</v>
      </c>
      <c r="S874" s="1">
        <f t="shared" si="212"/>
        <v>50.24975024975025</v>
      </c>
      <c r="T874" s="1">
        <f t="shared" si="213"/>
        <v>53</v>
      </c>
      <c r="U874" s="1">
        <f t="shared" si="214"/>
        <v>75</v>
      </c>
      <c r="V874" s="1">
        <f t="shared" si="215"/>
        <v>47.5</v>
      </c>
      <c r="W874" s="1">
        <f t="shared" si="216"/>
        <v>52.5</v>
      </c>
      <c r="X874" s="1">
        <f t="shared" si="217"/>
        <v>15.28125</v>
      </c>
      <c r="Y874" s="1">
        <f t="shared" si="218"/>
        <v>19</v>
      </c>
      <c r="Z874" s="1">
        <f t="shared" si="219"/>
        <v>20</v>
      </c>
      <c r="AA874" s="1">
        <f t="shared" si="220"/>
        <v>3.2473684210526312</v>
      </c>
      <c r="AB874" s="1">
        <f t="shared" si="221"/>
        <v>3.6199999999999997</v>
      </c>
      <c r="AC874" s="1">
        <f t="shared" si="222"/>
        <v>0</v>
      </c>
      <c r="AD874" s="1">
        <f t="shared" si="223"/>
        <v>-5.8275615076049933E-2</v>
      </c>
    </row>
    <row r="875" spans="1:30" x14ac:dyDescent="0.35">
      <c r="A875" t="s">
        <v>1728</v>
      </c>
      <c r="B875" t="s">
        <v>29</v>
      </c>
      <c r="C875" t="s">
        <v>64</v>
      </c>
      <c r="D875" t="s">
        <v>25</v>
      </c>
      <c r="E875">
        <v>30</v>
      </c>
      <c r="F875" t="s">
        <v>31</v>
      </c>
      <c r="G875" t="s">
        <v>61</v>
      </c>
      <c r="H875" t="s">
        <v>1729</v>
      </c>
      <c r="I875">
        <v>1</v>
      </c>
      <c r="J875">
        <v>4</v>
      </c>
      <c r="K875">
        <v>364133</v>
      </c>
      <c r="L875">
        <v>3.5</v>
      </c>
      <c r="M875" t="s">
        <v>43</v>
      </c>
      <c r="N875">
        <v>77</v>
      </c>
      <c r="O875">
        <f t="shared" si="208"/>
        <v>127</v>
      </c>
      <c r="P875">
        <f t="shared" si="209"/>
        <v>60</v>
      </c>
      <c r="Q875">
        <f t="shared" si="210"/>
        <v>67</v>
      </c>
      <c r="R875">
        <f t="shared" si="211"/>
        <v>49.650349650349654</v>
      </c>
      <c r="S875" s="1">
        <f t="shared" si="212"/>
        <v>50.24975024975025</v>
      </c>
      <c r="T875" s="1">
        <f t="shared" si="213"/>
        <v>53</v>
      </c>
      <c r="U875" s="1">
        <f t="shared" si="214"/>
        <v>74</v>
      </c>
      <c r="V875" s="1">
        <f t="shared" si="215"/>
        <v>47.5</v>
      </c>
      <c r="W875" s="1">
        <f t="shared" si="216"/>
        <v>52.5</v>
      </c>
      <c r="X875" s="1">
        <f t="shared" si="217"/>
        <v>15.220472440944881</v>
      </c>
      <c r="Y875" s="1">
        <f t="shared" si="218"/>
        <v>18</v>
      </c>
      <c r="Z875" s="1">
        <f t="shared" si="219"/>
        <v>20</v>
      </c>
      <c r="AA875" s="1">
        <f t="shared" si="220"/>
        <v>3.2888888888888888</v>
      </c>
      <c r="AB875" s="1">
        <f t="shared" si="221"/>
        <v>3.6199999999999997</v>
      </c>
      <c r="AC875" s="1">
        <f t="shared" si="222"/>
        <v>0</v>
      </c>
      <c r="AD875" s="1">
        <f t="shared" si="223"/>
        <v>-5.1142109922247464E-2</v>
      </c>
    </row>
    <row r="876" spans="1:30" x14ac:dyDescent="0.35">
      <c r="A876" t="s">
        <v>1730</v>
      </c>
      <c r="B876" t="s">
        <v>111</v>
      </c>
      <c r="C876" t="s">
        <v>64</v>
      </c>
      <c r="D876" t="s">
        <v>25</v>
      </c>
      <c r="E876">
        <v>49</v>
      </c>
      <c r="F876" t="s">
        <v>79</v>
      </c>
      <c r="G876" t="s">
        <v>71</v>
      </c>
      <c r="H876" t="s">
        <v>1731</v>
      </c>
      <c r="I876">
        <v>10</v>
      </c>
      <c r="J876">
        <v>14</v>
      </c>
      <c r="K876">
        <v>419442</v>
      </c>
      <c r="L876">
        <v>4.3</v>
      </c>
      <c r="M876" t="s">
        <v>21</v>
      </c>
      <c r="N876">
        <v>40</v>
      </c>
      <c r="O876">
        <f t="shared" si="208"/>
        <v>126</v>
      </c>
      <c r="P876">
        <f t="shared" si="209"/>
        <v>60</v>
      </c>
      <c r="Q876">
        <f t="shared" si="210"/>
        <v>66</v>
      </c>
      <c r="R876">
        <f t="shared" si="211"/>
        <v>49.650349650349654</v>
      </c>
      <c r="S876" s="1">
        <f t="shared" si="212"/>
        <v>50.24975024975025</v>
      </c>
      <c r="T876" s="1">
        <f t="shared" si="213"/>
        <v>53</v>
      </c>
      <c r="U876" s="1">
        <f t="shared" si="214"/>
        <v>73</v>
      </c>
      <c r="V876" s="1">
        <f t="shared" si="215"/>
        <v>47.5</v>
      </c>
      <c r="W876" s="1">
        <f t="shared" si="216"/>
        <v>52.5</v>
      </c>
      <c r="X876" s="1">
        <f t="shared" si="217"/>
        <v>15.30952380952381</v>
      </c>
      <c r="Y876" s="1">
        <f t="shared" si="218"/>
        <v>18</v>
      </c>
      <c r="Z876" s="1">
        <f t="shared" si="219"/>
        <v>19</v>
      </c>
      <c r="AA876" s="1">
        <f t="shared" si="220"/>
        <v>3.2888888888888888</v>
      </c>
      <c r="AB876" s="1">
        <f t="shared" si="221"/>
        <v>3.6263157894736837</v>
      </c>
      <c r="AC876" s="1">
        <f t="shared" si="222"/>
        <v>1</v>
      </c>
      <c r="AD876" s="1">
        <f t="shared" si="223"/>
        <v>-6.3142827113138233E-2</v>
      </c>
    </row>
    <row r="877" spans="1:30" x14ac:dyDescent="0.35">
      <c r="A877" t="s">
        <v>1732</v>
      </c>
      <c r="B877" t="s">
        <v>45</v>
      </c>
      <c r="C877" t="s">
        <v>93</v>
      </c>
      <c r="D877" t="s">
        <v>25</v>
      </c>
      <c r="E877">
        <v>44</v>
      </c>
      <c r="F877" t="s">
        <v>18</v>
      </c>
      <c r="G877" t="s">
        <v>26</v>
      </c>
      <c r="H877" t="s">
        <v>1733</v>
      </c>
      <c r="I877">
        <v>19</v>
      </c>
      <c r="J877">
        <v>25</v>
      </c>
      <c r="K877">
        <v>51694</v>
      </c>
      <c r="L877">
        <v>3</v>
      </c>
      <c r="M877" t="s">
        <v>43</v>
      </c>
      <c r="N877">
        <v>92</v>
      </c>
      <c r="O877">
        <f t="shared" si="208"/>
        <v>125</v>
      </c>
      <c r="P877">
        <f t="shared" si="209"/>
        <v>60</v>
      </c>
      <c r="Q877">
        <f t="shared" si="210"/>
        <v>65</v>
      </c>
      <c r="R877">
        <f t="shared" si="211"/>
        <v>49.650349650349654</v>
      </c>
      <c r="S877" s="1">
        <f t="shared" si="212"/>
        <v>50.24975024975025</v>
      </c>
      <c r="T877" s="1">
        <f t="shared" si="213"/>
        <v>52</v>
      </c>
      <c r="U877" s="1">
        <f t="shared" si="214"/>
        <v>73</v>
      </c>
      <c r="V877" s="1">
        <f t="shared" si="215"/>
        <v>47.5</v>
      </c>
      <c r="W877" s="1">
        <f t="shared" si="216"/>
        <v>52.5</v>
      </c>
      <c r="X877" s="1">
        <f t="shared" si="217"/>
        <v>15.32</v>
      </c>
      <c r="Y877" s="1">
        <f t="shared" si="218"/>
        <v>18</v>
      </c>
      <c r="Z877" s="1">
        <f t="shared" si="219"/>
        <v>19</v>
      </c>
      <c r="AA877" s="1">
        <f t="shared" si="220"/>
        <v>3.2888888888888888</v>
      </c>
      <c r="AB877" s="1">
        <f t="shared" si="221"/>
        <v>3.6263157894736837</v>
      </c>
      <c r="AC877" s="1">
        <f t="shared" si="222"/>
        <v>0</v>
      </c>
      <c r="AD877" s="1">
        <f t="shared" si="223"/>
        <v>-6.1664001726015848E-2</v>
      </c>
    </row>
    <row r="878" spans="1:30" x14ac:dyDescent="0.35">
      <c r="A878" t="s">
        <v>1734</v>
      </c>
      <c r="B878" t="s">
        <v>60</v>
      </c>
      <c r="C878" t="s">
        <v>49</v>
      </c>
      <c r="D878" t="s">
        <v>17</v>
      </c>
      <c r="E878">
        <v>41</v>
      </c>
      <c r="F878" t="s">
        <v>37</v>
      </c>
      <c r="G878" t="s">
        <v>61</v>
      </c>
      <c r="H878" t="s">
        <v>1735</v>
      </c>
      <c r="I878">
        <v>20</v>
      </c>
      <c r="J878">
        <v>25</v>
      </c>
      <c r="K878">
        <v>233631</v>
      </c>
      <c r="L878">
        <v>3.2</v>
      </c>
      <c r="M878" t="s">
        <v>43</v>
      </c>
      <c r="N878">
        <v>91</v>
      </c>
      <c r="O878">
        <f t="shared" si="208"/>
        <v>124</v>
      </c>
      <c r="P878">
        <f t="shared" si="209"/>
        <v>60</v>
      </c>
      <c r="Q878">
        <f t="shared" si="210"/>
        <v>64</v>
      </c>
      <c r="R878">
        <f t="shared" si="211"/>
        <v>49.650349650349654</v>
      </c>
      <c r="S878" s="1">
        <f t="shared" si="212"/>
        <v>50.24975024975025</v>
      </c>
      <c r="T878" s="1">
        <f t="shared" si="213"/>
        <v>52</v>
      </c>
      <c r="U878" s="1">
        <f t="shared" si="214"/>
        <v>72</v>
      </c>
      <c r="V878" s="1">
        <f t="shared" si="215"/>
        <v>47.5</v>
      </c>
      <c r="W878" s="1">
        <f t="shared" si="216"/>
        <v>52.5</v>
      </c>
      <c r="X878" s="1">
        <f t="shared" si="217"/>
        <v>15.241935483870968</v>
      </c>
      <c r="Y878" s="1">
        <f t="shared" si="218"/>
        <v>18</v>
      </c>
      <c r="Z878" s="1">
        <f t="shared" si="219"/>
        <v>19</v>
      </c>
      <c r="AA878" s="1">
        <f t="shared" si="220"/>
        <v>3.2888888888888888</v>
      </c>
      <c r="AB878" s="1">
        <f t="shared" si="221"/>
        <v>3.6263157894736837</v>
      </c>
      <c r="AC878" s="1">
        <f t="shared" si="222"/>
        <v>0</v>
      </c>
      <c r="AD878" s="1">
        <f t="shared" si="223"/>
        <v>-5.2488253414409256E-2</v>
      </c>
    </row>
    <row r="879" spans="1:30" x14ac:dyDescent="0.35">
      <c r="A879" t="s">
        <v>1736</v>
      </c>
      <c r="B879" t="s">
        <v>111</v>
      </c>
      <c r="C879" t="s">
        <v>56</v>
      </c>
      <c r="D879" t="s">
        <v>17</v>
      </c>
      <c r="E879">
        <v>47</v>
      </c>
      <c r="F879" t="s">
        <v>79</v>
      </c>
      <c r="G879" t="s">
        <v>71</v>
      </c>
      <c r="H879" t="s">
        <v>1737</v>
      </c>
      <c r="I879">
        <v>10</v>
      </c>
      <c r="J879">
        <v>19</v>
      </c>
      <c r="K879">
        <v>225196</v>
      </c>
      <c r="L879">
        <v>3.1</v>
      </c>
      <c r="M879" t="s">
        <v>21</v>
      </c>
      <c r="N879">
        <v>36</v>
      </c>
      <c r="O879">
        <f t="shared" si="208"/>
        <v>123</v>
      </c>
      <c r="P879">
        <f t="shared" si="209"/>
        <v>59</v>
      </c>
      <c r="Q879">
        <f t="shared" si="210"/>
        <v>64</v>
      </c>
      <c r="R879">
        <f t="shared" si="211"/>
        <v>49.650349650349654</v>
      </c>
      <c r="S879" s="1">
        <f t="shared" si="212"/>
        <v>50.24975024975025</v>
      </c>
      <c r="T879" s="1">
        <f t="shared" si="213"/>
        <v>52</v>
      </c>
      <c r="U879" s="1">
        <f t="shared" si="214"/>
        <v>71</v>
      </c>
      <c r="V879" s="1">
        <f t="shared" si="215"/>
        <v>47.5</v>
      </c>
      <c r="W879" s="1">
        <f t="shared" si="216"/>
        <v>52.5</v>
      </c>
      <c r="X879" s="1">
        <f t="shared" si="217"/>
        <v>15.16260162601626</v>
      </c>
      <c r="Y879" s="1">
        <f t="shared" si="218"/>
        <v>18</v>
      </c>
      <c r="Z879" s="1">
        <f t="shared" si="219"/>
        <v>19</v>
      </c>
      <c r="AA879" s="1">
        <f t="shared" si="220"/>
        <v>3.2888888888888888</v>
      </c>
      <c r="AB879" s="1">
        <f t="shared" si="221"/>
        <v>3.6263157894736837</v>
      </c>
      <c r="AC879" s="1">
        <f t="shared" si="222"/>
        <v>1</v>
      </c>
      <c r="AD879" s="1">
        <f t="shared" si="223"/>
        <v>-4.2949571124239208E-2</v>
      </c>
    </row>
    <row r="880" spans="1:30" x14ac:dyDescent="0.35">
      <c r="A880" t="s">
        <v>1738</v>
      </c>
      <c r="B880" t="s">
        <v>60</v>
      </c>
      <c r="C880" t="s">
        <v>56</v>
      </c>
      <c r="D880" t="s">
        <v>25</v>
      </c>
      <c r="E880">
        <v>58</v>
      </c>
      <c r="F880" t="s">
        <v>70</v>
      </c>
      <c r="G880" t="s">
        <v>41</v>
      </c>
      <c r="H880" t="s">
        <v>1739</v>
      </c>
      <c r="I880">
        <v>9</v>
      </c>
      <c r="J880">
        <v>16</v>
      </c>
      <c r="K880">
        <v>476729</v>
      </c>
      <c r="L880">
        <v>4.3</v>
      </c>
      <c r="M880" t="s">
        <v>43</v>
      </c>
      <c r="N880">
        <v>89</v>
      </c>
      <c r="O880">
        <f t="shared" si="208"/>
        <v>122</v>
      </c>
      <c r="P880">
        <f t="shared" si="209"/>
        <v>58</v>
      </c>
      <c r="Q880">
        <f t="shared" si="210"/>
        <v>64</v>
      </c>
      <c r="R880">
        <f t="shared" si="211"/>
        <v>49.650349650349654</v>
      </c>
      <c r="S880" s="1">
        <f t="shared" si="212"/>
        <v>50.24975024975025</v>
      </c>
      <c r="T880" s="1">
        <f t="shared" si="213"/>
        <v>51</v>
      </c>
      <c r="U880" s="1">
        <f t="shared" si="214"/>
        <v>71</v>
      </c>
      <c r="V880" s="1">
        <f t="shared" si="215"/>
        <v>47.5</v>
      </c>
      <c r="W880" s="1">
        <f t="shared" si="216"/>
        <v>52.5</v>
      </c>
      <c r="X880" s="1">
        <f t="shared" si="217"/>
        <v>15.131147540983607</v>
      </c>
      <c r="Y880" s="1">
        <f t="shared" si="218"/>
        <v>18</v>
      </c>
      <c r="Z880" s="1">
        <f t="shared" si="219"/>
        <v>19</v>
      </c>
      <c r="AA880" s="1">
        <f t="shared" si="220"/>
        <v>3.2888888888888888</v>
      </c>
      <c r="AB880" s="1">
        <f t="shared" si="221"/>
        <v>3.6263157894736837</v>
      </c>
      <c r="AC880" s="1">
        <f t="shared" si="222"/>
        <v>0</v>
      </c>
      <c r="AD880" s="1">
        <f t="shared" si="223"/>
        <v>-4.8783804422124641E-2</v>
      </c>
    </row>
    <row r="881" spans="1:30" x14ac:dyDescent="0.35">
      <c r="A881" t="s">
        <v>1740</v>
      </c>
      <c r="B881" t="s">
        <v>23</v>
      </c>
      <c r="C881" t="s">
        <v>93</v>
      </c>
      <c r="D881" t="s">
        <v>25</v>
      </c>
      <c r="E881">
        <v>57</v>
      </c>
      <c r="F881" t="s">
        <v>70</v>
      </c>
      <c r="G881" t="s">
        <v>85</v>
      </c>
      <c r="H881" t="s">
        <v>1741</v>
      </c>
      <c r="I881">
        <v>1</v>
      </c>
      <c r="J881">
        <v>2</v>
      </c>
      <c r="K881">
        <v>319201</v>
      </c>
      <c r="L881">
        <v>3.6</v>
      </c>
      <c r="M881" t="s">
        <v>21</v>
      </c>
      <c r="N881">
        <v>34</v>
      </c>
      <c r="O881">
        <f t="shared" si="208"/>
        <v>121</v>
      </c>
      <c r="P881">
        <f t="shared" si="209"/>
        <v>58</v>
      </c>
      <c r="Q881">
        <f t="shared" si="210"/>
        <v>63</v>
      </c>
      <c r="R881">
        <f t="shared" si="211"/>
        <v>49.650349650349654</v>
      </c>
      <c r="S881" s="1">
        <f t="shared" si="212"/>
        <v>50.24975024975025</v>
      </c>
      <c r="T881" s="1">
        <f t="shared" si="213"/>
        <v>51</v>
      </c>
      <c r="U881" s="1">
        <f t="shared" si="214"/>
        <v>70</v>
      </c>
      <c r="V881" s="1">
        <f t="shared" si="215"/>
        <v>47.5</v>
      </c>
      <c r="W881" s="1">
        <f t="shared" si="216"/>
        <v>52.5</v>
      </c>
      <c r="X881" s="1">
        <f t="shared" si="217"/>
        <v>15.12396694214876</v>
      </c>
      <c r="Y881" s="1">
        <f t="shared" si="218"/>
        <v>18</v>
      </c>
      <c r="Z881" s="1">
        <f t="shared" si="219"/>
        <v>19</v>
      </c>
      <c r="AA881" s="1">
        <f t="shared" si="220"/>
        <v>3.2888888888888888</v>
      </c>
      <c r="AB881" s="1">
        <f t="shared" si="221"/>
        <v>3.6263157894736837</v>
      </c>
      <c r="AC881" s="1">
        <f t="shared" si="222"/>
        <v>1</v>
      </c>
      <c r="AD881" s="1">
        <f t="shared" si="223"/>
        <v>-4.8022489856308644E-2</v>
      </c>
    </row>
    <row r="882" spans="1:30" x14ac:dyDescent="0.35">
      <c r="A882" t="s">
        <v>1742</v>
      </c>
      <c r="B882" t="s">
        <v>40</v>
      </c>
      <c r="C882" t="s">
        <v>93</v>
      </c>
      <c r="D882" t="s">
        <v>17</v>
      </c>
      <c r="E882">
        <v>27</v>
      </c>
      <c r="F882" t="s">
        <v>18</v>
      </c>
      <c r="G882" t="s">
        <v>19</v>
      </c>
      <c r="H882" t="s">
        <v>1743</v>
      </c>
      <c r="I882">
        <v>12</v>
      </c>
      <c r="J882">
        <v>13</v>
      </c>
      <c r="K882">
        <v>322316</v>
      </c>
      <c r="L882">
        <v>3</v>
      </c>
      <c r="M882" t="s">
        <v>43</v>
      </c>
      <c r="N882">
        <v>76</v>
      </c>
      <c r="O882">
        <f t="shared" si="208"/>
        <v>120</v>
      </c>
      <c r="P882">
        <f t="shared" si="209"/>
        <v>58</v>
      </c>
      <c r="Q882">
        <f t="shared" si="210"/>
        <v>62</v>
      </c>
      <c r="R882">
        <f t="shared" si="211"/>
        <v>49.650349650349654</v>
      </c>
      <c r="S882" s="1">
        <f t="shared" si="212"/>
        <v>50.24975024975025</v>
      </c>
      <c r="T882" s="1">
        <f t="shared" si="213"/>
        <v>50</v>
      </c>
      <c r="U882" s="1">
        <f t="shared" si="214"/>
        <v>70</v>
      </c>
      <c r="V882" s="1">
        <f t="shared" si="215"/>
        <v>47.5</v>
      </c>
      <c r="W882" s="1">
        <f t="shared" si="216"/>
        <v>52.5</v>
      </c>
      <c r="X882" s="1">
        <f t="shared" si="217"/>
        <v>15.233333333333333</v>
      </c>
      <c r="Y882" s="1">
        <f t="shared" si="218"/>
        <v>18</v>
      </c>
      <c r="Z882" s="1">
        <f t="shared" si="219"/>
        <v>19</v>
      </c>
      <c r="AA882" s="1">
        <f t="shared" si="220"/>
        <v>3.2888888888888888</v>
      </c>
      <c r="AB882" s="1">
        <f t="shared" si="221"/>
        <v>3.6263157894736837</v>
      </c>
      <c r="AC882" s="1">
        <f t="shared" si="222"/>
        <v>0</v>
      </c>
      <c r="AD882" s="1">
        <f t="shared" si="223"/>
        <v>-2.9635646805272139E-2</v>
      </c>
    </row>
    <row r="883" spans="1:30" x14ac:dyDescent="0.35">
      <c r="A883" t="s">
        <v>1744</v>
      </c>
      <c r="B883" t="s">
        <v>15</v>
      </c>
      <c r="C883" t="s">
        <v>52</v>
      </c>
      <c r="D883" t="s">
        <v>25</v>
      </c>
      <c r="E883">
        <v>42</v>
      </c>
      <c r="F883" t="s">
        <v>37</v>
      </c>
      <c r="G883" t="s">
        <v>57</v>
      </c>
      <c r="H883" t="s">
        <v>1745</v>
      </c>
      <c r="I883">
        <v>15</v>
      </c>
      <c r="J883">
        <v>20</v>
      </c>
      <c r="K883">
        <v>106981</v>
      </c>
      <c r="L883">
        <v>3.6</v>
      </c>
      <c r="M883" t="s">
        <v>43</v>
      </c>
      <c r="N883">
        <v>98</v>
      </c>
      <c r="O883">
        <f t="shared" si="208"/>
        <v>119</v>
      </c>
      <c r="P883">
        <f t="shared" si="209"/>
        <v>57</v>
      </c>
      <c r="Q883">
        <f t="shared" si="210"/>
        <v>62</v>
      </c>
      <c r="R883">
        <f t="shared" si="211"/>
        <v>49.650349650349654</v>
      </c>
      <c r="S883" s="1">
        <f t="shared" si="212"/>
        <v>50.24975024975025</v>
      </c>
      <c r="T883" s="1">
        <f t="shared" si="213"/>
        <v>50</v>
      </c>
      <c r="U883" s="1">
        <f t="shared" si="214"/>
        <v>69</v>
      </c>
      <c r="V883" s="1">
        <f t="shared" si="215"/>
        <v>47.5</v>
      </c>
      <c r="W883" s="1">
        <f t="shared" si="216"/>
        <v>52.5</v>
      </c>
      <c r="X883" s="1">
        <f t="shared" si="217"/>
        <v>15.252100840336135</v>
      </c>
      <c r="Y883" s="1">
        <f t="shared" si="218"/>
        <v>18</v>
      </c>
      <c r="Z883" s="1">
        <f t="shared" si="219"/>
        <v>19</v>
      </c>
      <c r="AA883" s="1">
        <f t="shared" si="220"/>
        <v>3.2888888888888888</v>
      </c>
      <c r="AB883" s="1">
        <f t="shared" si="221"/>
        <v>3.6263157894736837</v>
      </c>
      <c r="AC883" s="1">
        <f t="shared" si="222"/>
        <v>0</v>
      </c>
      <c r="AD883" s="1">
        <f t="shared" si="223"/>
        <v>-3.213104852949572E-2</v>
      </c>
    </row>
    <row r="884" spans="1:30" x14ac:dyDescent="0.35">
      <c r="A884" t="s">
        <v>1746</v>
      </c>
      <c r="B884" t="s">
        <v>40</v>
      </c>
      <c r="C884" t="s">
        <v>30</v>
      </c>
      <c r="D884" t="s">
        <v>17</v>
      </c>
      <c r="E884">
        <v>34</v>
      </c>
      <c r="F884" t="s">
        <v>37</v>
      </c>
      <c r="G884" t="s">
        <v>19</v>
      </c>
      <c r="H884" t="s">
        <v>1747</v>
      </c>
      <c r="I884">
        <v>4</v>
      </c>
      <c r="J884">
        <v>10</v>
      </c>
      <c r="K884">
        <v>415352</v>
      </c>
      <c r="L884">
        <v>3.7</v>
      </c>
      <c r="M884" t="s">
        <v>43</v>
      </c>
      <c r="N884">
        <v>80</v>
      </c>
      <c r="O884">
        <f t="shared" si="208"/>
        <v>118</v>
      </c>
      <c r="P884">
        <f t="shared" si="209"/>
        <v>57</v>
      </c>
      <c r="Q884">
        <f t="shared" si="210"/>
        <v>61</v>
      </c>
      <c r="R884">
        <f t="shared" si="211"/>
        <v>49.650349650349654</v>
      </c>
      <c r="S884" s="1">
        <f t="shared" si="212"/>
        <v>50.24975024975025</v>
      </c>
      <c r="T884" s="1">
        <f t="shared" si="213"/>
        <v>50</v>
      </c>
      <c r="U884" s="1">
        <f t="shared" si="214"/>
        <v>68</v>
      </c>
      <c r="V884" s="1">
        <f t="shared" si="215"/>
        <v>47.5</v>
      </c>
      <c r="W884" s="1">
        <f t="shared" si="216"/>
        <v>52.5</v>
      </c>
      <c r="X884" s="1">
        <f t="shared" si="217"/>
        <v>15.211864406779661</v>
      </c>
      <c r="Y884" s="1">
        <f t="shared" si="218"/>
        <v>18</v>
      </c>
      <c r="Z884" s="1">
        <f t="shared" si="219"/>
        <v>19</v>
      </c>
      <c r="AA884" s="1">
        <f t="shared" si="220"/>
        <v>3.2888888888888888</v>
      </c>
      <c r="AB884" s="1">
        <f t="shared" si="221"/>
        <v>3.6263157894736837</v>
      </c>
      <c r="AC884" s="1">
        <f t="shared" si="222"/>
        <v>0</v>
      </c>
      <c r="AD884" s="1">
        <f t="shared" si="223"/>
        <v>-2.7144269369403638E-2</v>
      </c>
    </row>
    <row r="885" spans="1:30" x14ac:dyDescent="0.35">
      <c r="A885" t="s">
        <v>1748</v>
      </c>
      <c r="B885" t="s">
        <v>96</v>
      </c>
      <c r="C885" t="s">
        <v>64</v>
      </c>
      <c r="D885" t="s">
        <v>25</v>
      </c>
      <c r="E885">
        <v>33</v>
      </c>
      <c r="F885" t="s">
        <v>37</v>
      </c>
      <c r="G885" t="s">
        <v>75</v>
      </c>
      <c r="H885" t="s">
        <v>1749</v>
      </c>
      <c r="I885">
        <v>18</v>
      </c>
      <c r="J885">
        <v>28</v>
      </c>
      <c r="K885">
        <v>367385</v>
      </c>
      <c r="L885">
        <v>3.3</v>
      </c>
      <c r="M885" t="s">
        <v>21</v>
      </c>
      <c r="N885">
        <v>51</v>
      </c>
      <c r="O885">
        <f t="shared" si="208"/>
        <v>117</v>
      </c>
      <c r="P885">
        <f t="shared" si="209"/>
        <v>56</v>
      </c>
      <c r="Q885">
        <f t="shared" si="210"/>
        <v>61</v>
      </c>
      <c r="R885">
        <f t="shared" si="211"/>
        <v>49.650349650349654</v>
      </c>
      <c r="S885" s="1">
        <f t="shared" si="212"/>
        <v>50.24975024975025</v>
      </c>
      <c r="T885" s="1">
        <f t="shared" si="213"/>
        <v>50</v>
      </c>
      <c r="U885" s="1">
        <f t="shared" si="214"/>
        <v>67</v>
      </c>
      <c r="V885" s="1">
        <f t="shared" si="215"/>
        <v>47.5</v>
      </c>
      <c r="W885" s="1">
        <f t="shared" si="216"/>
        <v>52.5</v>
      </c>
      <c r="X885" s="1">
        <f t="shared" si="217"/>
        <v>15.256410256410257</v>
      </c>
      <c r="Y885" s="1">
        <f t="shared" si="218"/>
        <v>18</v>
      </c>
      <c r="Z885" s="1">
        <f t="shared" si="219"/>
        <v>19</v>
      </c>
      <c r="AA885" s="1">
        <f t="shared" si="220"/>
        <v>3.2888888888888888</v>
      </c>
      <c r="AB885" s="1">
        <f t="shared" si="221"/>
        <v>3.6263157894736837</v>
      </c>
      <c r="AC885" s="1">
        <f t="shared" si="222"/>
        <v>1</v>
      </c>
      <c r="AD885" s="1">
        <f t="shared" si="223"/>
        <v>-3.3040980522108222E-2</v>
      </c>
    </row>
    <row r="886" spans="1:30" x14ac:dyDescent="0.35">
      <c r="A886" t="s">
        <v>1750</v>
      </c>
      <c r="B886" t="s">
        <v>55</v>
      </c>
      <c r="C886" t="s">
        <v>36</v>
      </c>
      <c r="D886" t="s">
        <v>25</v>
      </c>
      <c r="E886">
        <v>55</v>
      </c>
      <c r="F886" t="s">
        <v>74</v>
      </c>
      <c r="G886" t="s">
        <v>41</v>
      </c>
      <c r="H886" t="s">
        <v>1751</v>
      </c>
      <c r="I886">
        <v>14</v>
      </c>
      <c r="J886">
        <v>19</v>
      </c>
      <c r="K886">
        <v>434548</v>
      </c>
      <c r="L886">
        <v>3.8</v>
      </c>
      <c r="M886" t="s">
        <v>21</v>
      </c>
      <c r="N886">
        <v>68</v>
      </c>
      <c r="O886">
        <f t="shared" si="208"/>
        <v>116</v>
      </c>
      <c r="P886">
        <f t="shared" si="209"/>
        <v>56</v>
      </c>
      <c r="Q886">
        <f t="shared" si="210"/>
        <v>60</v>
      </c>
      <c r="R886">
        <f t="shared" si="211"/>
        <v>49.650349650349654</v>
      </c>
      <c r="S886" s="1">
        <f t="shared" si="212"/>
        <v>50.24975024975025</v>
      </c>
      <c r="T886" s="1">
        <f t="shared" si="213"/>
        <v>49</v>
      </c>
      <c r="U886" s="1">
        <f t="shared" si="214"/>
        <v>67</v>
      </c>
      <c r="V886" s="1">
        <f t="shared" si="215"/>
        <v>47.5</v>
      </c>
      <c r="W886" s="1">
        <f t="shared" si="216"/>
        <v>52.5</v>
      </c>
      <c r="X886" s="1">
        <f t="shared" si="217"/>
        <v>15.146551724137931</v>
      </c>
      <c r="Y886" s="1">
        <f t="shared" si="218"/>
        <v>18</v>
      </c>
      <c r="Z886" s="1">
        <f t="shared" si="219"/>
        <v>19</v>
      </c>
      <c r="AA886" s="1">
        <f t="shared" si="220"/>
        <v>3.2888888888888888</v>
      </c>
      <c r="AB886" s="1">
        <f t="shared" si="221"/>
        <v>3.6263157894736837</v>
      </c>
      <c r="AC886" s="1">
        <f t="shared" si="222"/>
        <v>1</v>
      </c>
      <c r="AD886" s="1">
        <f t="shared" si="223"/>
        <v>-5.3147865464270853E-2</v>
      </c>
    </row>
    <row r="887" spans="1:30" x14ac:dyDescent="0.35">
      <c r="A887" t="s">
        <v>1752</v>
      </c>
      <c r="B887" t="s">
        <v>23</v>
      </c>
      <c r="C887" t="s">
        <v>16</v>
      </c>
      <c r="D887" t="s">
        <v>17</v>
      </c>
      <c r="E887">
        <v>36</v>
      </c>
      <c r="F887" t="s">
        <v>79</v>
      </c>
      <c r="G887" t="s">
        <v>41</v>
      </c>
      <c r="H887" t="s">
        <v>1753</v>
      </c>
      <c r="I887">
        <v>3</v>
      </c>
      <c r="J887">
        <v>3</v>
      </c>
      <c r="K887">
        <v>341557</v>
      </c>
      <c r="L887">
        <v>2.1</v>
      </c>
      <c r="M887" t="s">
        <v>21</v>
      </c>
      <c r="N887">
        <v>45</v>
      </c>
      <c r="O887">
        <f t="shared" si="208"/>
        <v>115</v>
      </c>
      <c r="P887">
        <f t="shared" si="209"/>
        <v>56</v>
      </c>
      <c r="Q887">
        <f t="shared" si="210"/>
        <v>59</v>
      </c>
      <c r="R887">
        <f t="shared" si="211"/>
        <v>49.650349650349654</v>
      </c>
      <c r="S887" s="1">
        <f t="shared" si="212"/>
        <v>50.24975024975025</v>
      </c>
      <c r="T887" s="1">
        <f t="shared" si="213"/>
        <v>48</v>
      </c>
      <c r="U887" s="1">
        <f t="shared" si="214"/>
        <v>67</v>
      </c>
      <c r="V887" s="1">
        <f t="shared" si="215"/>
        <v>47.5</v>
      </c>
      <c r="W887" s="1">
        <f t="shared" si="216"/>
        <v>52.5</v>
      </c>
      <c r="X887" s="1">
        <f t="shared" si="217"/>
        <v>15.11304347826087</v>
      </c>
      <c r="Y887" s="1">
        <f t="shared" si="218"/>
        <v>17</v>
      </c>
      <c r="Z887" s="1">
        <f t="shared" si="219"/>
        <v>19</v>
      </c>
      <c r="AA887" s="1">
        <f t="shared" si="220"/>
        <v>3.2588235294117642</v>
      </c>
      <c r="AB887" s="1">
        <f t="shared" si="221"/>
        <v>3.6263157894736837</v>
      </c>
      <c r="AC887" s="1">
        <f t="shared" si="222"/>
        <v>1</v>
      </c>
      <c r="AD887" s="1">
        <f t="shared" si="223"/>
        <v>-5.9502144530487383E-2</v>
      </c>
    </row>
    <row r="888" spans="1:30" x14ac:dyDescent="0.35">
      <c r="A888" t="s">
        <v>1754</v>
      </c>
      <c r="B888" t="s">
        <v>35</v>
      </c>
      <c r="C888" t="s">
        <v>56</v>
      </c>
      <c r="D888" t="s">
        <v>25</v>
      </c>
      <c r="E888">
        <v>34</v>
      </c>
      <c r="F888" t="s">
        <v>79</v>
      </c>
      <c r="G888" t="s">
        <v>26</v>
      </c>
      <c r="H888" t="s">
        <v>1755</v>
      </c>
      <c r="I888">
        <v>9</v>
      </c>
      <c r="J888">
        <v>10</v>
      </c>
      <c r="K888">
        <v>419546</v>
      </c>
      <c r="L888">
        <v>2.5</v>
      </c>
      <c r="M888" t="s">
        <v>43</v>
      </c>
      <c r="N888">
        <v>76</v>
      </c>
      <c r="O888">
        <f t="shared" si="208"/>
        <v>114</v>
      </c>
      <c r="P888">
        <f t="shared" si="209"/>
        <v>55</v>
      </c>
      <c r="Q888">
        <f t="shared" si="210"/>
        <v>59</v>
      </c>
      <c r="R888">
        <f t="shared" si="211"/>
        <v>49.650349650349654</v>
      </c>
      <c r="S888" s="1">
        <f t="shared" si="212"/>
        <v>50.24975024975025</v>
      </c>
      <c r="T888" s="1">
        <f t="shared" si="213"/>
        <v>47</v>
      </c>
      <c r="U888" s="1">
        <f t="shared" si="214"/>
        <v>67</v>
      </c>
      <c r="V888" s="1">
        <f t="shared" si="215"/>
        <v>47.5</v>
      </c>
      <c r="W888" s="1">
        <f t="shared" si="216"/>
        <v>52.5</v>
      </c>
      <c r="X888" s="1">
        <f t="shared" si="217"/>
        <v>15.219298245614034</v>
      </c>
      <c r="Y888" s="1">
        <f t="shared" si="218"/>
        <v>17</v>
      </c>
      <c r="Z888" s="1">
        <f t="shared" si="219"/>
        <v>19</v>
      </c>
      <c r="AA888" s="1">
        <f t="shared" si="220"/>
        <v>3.2588235294117642</v>
      </c>
      <c r="AB888" s="1">
        <f t="shared" si="221"/>
        <v>3.6263157894736837</v>
      </c>
      <c r="AC888" s="1">
        <f t="shared" si="222"/>
        <v>0</v>
      </c>
      <c r="AD888" s="1">
        <f t="shared" si="223"/>
        <v>-4.1473089035522596E-2</v>
      </c>
    </row>
    <row r="889" spans="1:30" x14ac:dyDescent="0.35">
      <c r="A889" t="s">
        <v>1756</v>
      </c>
      <c r="B889" t="s">
        <v>69</v>
      </c>
      <c r="C889" t="s">
        <v>36</v>
      </c>
      <c r="D889" t="s">
        <v>17</v>
      </c>
      <c r="E889">
        <v>31</v>
      </c>
      <c r="F889" t="s">
        <v>46</v>
      </c>
      <c r="G889" t="s">
        <v>41</v>
      </c>
      <c r="H889" t="s">
        <v>919</v>
      </c>
      <c r="I889">
        <v>19</v>
      </c>
      <c r="J889">
        <v>23</v>
      </c>
      <c r="K889">
        <v>148803</v>
      </c>
      <c r="L889">
        <v>3.7</v>
      </c>
      <c r="M889" t="s">
        <v>21</v>
      </c>
      <c r="N889">
        <v>47</v>
      </c>
      <c r="O889">
        <f t="shared" si="208"/>
        <v>113</v>
      </c>
      <c r="P889">
        <f t="shared" si="209"/>
        <v>55</v>
      </c>
      <c r="Q889">
        <f t="shared" si="210"/>
        <v>58</v>
      </c>
      <c r="R889">
        <f t="shared" si="211"/>
        <v>49.650349650349654</v>
      </c>
      <c r="S889" s="1">
        <f t="shared" si="212"/>
        <v>50.24975024975025</v>
      </c>
      <c r="T889" s="1">
        <f t="shared" si="213"/>
        <v>47</v>
      </c>
      <c r="U889" s="1">
        <f t="shared" si="214"/>
        <v>66</v>
      </c>
      <c r="V889" s="1">
        <f t="shared" si="215"/>
        <v>47.5</v>
      </c>
      <c r="W889" s="1">
        <f t="shared" si="216"/>
        <v>52.5</v>
      </c>
      <c r="X889" s="1">
        <f t="shared" si="217"/>
        <v>15.265486725663717</v>
      </c>
      <c r="Y889" s="1">
        <f t="shared" si="218"/>
        <v>17</v>
      </c>
      <c r="Z889" s="1">
        <f t="shared" si="219"/>
        <v>19</v>
      </c>
      <c r="AA889" s="1">
        <f t="shared" si="220"/>
        <v>3.2588235294117642</v>
      </c>
      <c r="AB889" s="1">
        <f t="shared" si="221"/>
        <v>3.6263157894736837</v>
      </c>
      <c r="AC889" s="1">
        <f t="shared" si="222"/>
        <v>1</v>
      </c>
      <c r="AD889" s="1">
        <f t="shared" si="223"/>
        <v>-4.7635440245711015E-2</v>
      </c>
    </row>
    <row r="890" spans="1:30" x14ac:dyDescent="0.35">
      <c r="A890" t="s">
        <v>1757</v>
      </c>
      <c r="B890" t="s">
        <v>15</v>
      </c>
      <c r="C890" t="s">
        <v>56</v>
      </c>
      <c r="D890" t="s">
        <v>17</v>
      </c>
      <c r="E890">
        <v>54</v>
      </c>
      <c r="F890" t="s">
        <v>37</v>
      </c>
      <c r="G890" t="s">
        <v>32</v>
      </c>
      <c r="H890" t="s">
        <v>1758</v>
      </c>
      <c r="I890">
        <v>0</v>
      </c>
      <c r="J890">
        <v>10</v>
      </c>
      <c r="K890">
        <v>164917</v>
      </c>
      <c r="L890">
        <v>3.8</v>
      </c>
      <c r="M890" t="s">
        <v>21</v>
      </c>
      <c r="N890">
        <v>50</v>
      </c>
      <c r="O890">
        <f t="shared" si="208"/>
        <v>112</v>
      </c>
      <c r="P890">
        <f t="shared" si="209"/>
        <v>54</v>
      </c>
      <c r="Q890">
        <f t="shared" si="210"/>
        <v>58</v>
      </c>
      <c r="R890">
        <f t="shared" si="211"/>
        <v>49.650349650349654</v>
      </c>
      <c r="S890" s="1">
        <f t="shared" si="212"/>
        <v>50.24975024975025</v>
      </c>
      <c r="T890" s="1">
        <f t="shared" si="213"/>
        <v>46</v>
      </c>
      <c r="U890" s="1">
        <f t="shared" si="214"/>
        <v>66</v>
      </c>
      <c r="V890" s="1">
        <f t="shared" si="215"/>
        <v>47.5</v>
      </c>
      <c r="W890" s="1">
        <f t="shared" si="216"/>
        <v>52.5</v>
      </c>
      <c r="X890" s="1">
        <f t="shared" si="217"/>
        <v>15.196428571428571</v>
      </c>
      <c r="Y890" s="1">
        <f t="shared" si="218"/>
        <v>17</v>
      </c>
      <c r="Z890" s="1">
        <f t="shared" si="219"/>
        <v>19</v>
      </c>
      <c r="AA890" s="1">
        <f t="shared" si="220"/>
        <v>3.2588235294117642</v>
      </c>
      <c r="AB890" s="1">
        <f t="shared" si="221"/>
        <v>3.6263157894736837</v>
      </c>
      <c r="AC890" s="1">
        <f t="shared" si="222"/>
        <v>1</v>
      </c>
      <c r="AD890" s="1">
        <f t="shared" si="223"/>
        <v>-6.0813164436827577E-2</v>
      </c>
    </row>
    <row r="891" spans="1:30" x14ac:dyDescent="0.35">
      <c r="A891" t="s">
        <v>1759</v>
      </c>
      <c r="B891" t="s">
        <v>69</v>
      </c>
      <c r="C891" t="s">
        <v>36</v>
      </c>
      <c r="D891" t="s">
        <v>25</v>
      </c>
      <c r="E891">
        <v>29</v>
      </c>
      <c r="F891" t="s">
        <v>46</v>
      </c>
      <c r="G891" t="s">
        <v>71</v>
      </c>
      <c r="H891" t="s">
        <v>1760</v>
      </c>
      <c r="I891">
        <v>14</v>
      </c>
      <c r="J891">
        <v>16</v>
      </c>
      <c r="K891">
        <v>205135</v>
      </c>
      <c r="L891">
        <v>2.1</v>
      </c>
      <c r="M891" t="s">
        <v>43</v>
      </c>
      <c r="N891">
        <v>78</v>
      </c>
      <c r="O891">
        <f t="shared" si="208"/>
        <v>111</v>
      </c>
      <c r="P891">
        <f t="shared" si="209"/>
        <v>53</v>
      </c>
      <c r="Q891">
        <f t="shared" si="210"/>
        <v>58</v>
      </c>
      <c r="R891">
        <f t="shared" si="211"/>
        <v>49.650349650349654</v>
      </c>
      <c r="S891" s="1">
        <f t="shared" si="212"/>
        <v>50.24975024975025</v>
      </c>
      <c r="T891" s="1">
        <f t="shared" si="213"/>
        <v>45</v>
      </c>
      <c r="U891" s="1">
        <f t="shared" si="214"/>
        <v>66</v>
      </c>
      <c r="V891" s="1">
        <f t="shared" si="215"/>
        <v>47.5</v>
      </c>
      <c r="W891" s="1">
        <f t="shared" si="216"/>
        <v>52.5</v>
      </c>
      <c r="X891" s="1">
        <f t="shared" si="217"/>
        <v>15.243243243243244</v>
      </c>
      <c r="Y891" s="1">
        <f t="shared" si="218"/>
        <v>17</v>
      </c>
      <c r="Z891" s="1">
        <f t="shared" si="219"/>
        <v>19</v>
      </c>
      <c r="AA891" s="1">
        <f t="shared" si="220"/>
        <v>3.2588235294117642</v>
      </c>
      <c r="AB891" s="1">
        <f t="shared" si="221"/>
        <v>3.6263157894736837</v>
      </c>
      <c r="AC891" s="1">
        <f t="shared" si="222"/>
        <v>0</v>
      </c>
      <c r="AD891" s="1">
        <f t="shared" si="223"/>
        <v>-5.2776042713594318E-2</v>
      </c>
    </row>
    <row r="892" spans="1:30" x14ac:dyDescent="0.35">
      <c r="A892" t="s">
        <v>1761</v>
      </c>
      <c r="B892" t="s">
        <v>45</v>
      </c>
      <c r="C892" t="s">
        <v>52</v>
      </c>
      <c r="D892" t="s">
        <v>25</v>
      </c>
      <c r="E892">
        <v>24</v>
      </c>
      <c r="F892" t="s">
        <v>79</v>
      </c>
      <c r="G892" t="s">
        <v>85</v>
      </c>
      <c r="H892" t="s">
        <v>1762</v>
      </c>
      <c r="I892">
        <v>20</v>
      </c>
      <c r="J892">
        <v>24</v>
      </c>
      <c r="K892">
        <v>386594</v>
      </c>
      <c r="L892">
        <v>4</v>
      </c>
      <c r="M892" t="s">
        <v>21</v>
      </c>
      <c r="N892">
        <v>62</v>
      </c>
      <c r="O892">
        <f t="shared" si="208"/>
        <v>110</v>
      </c>
      <c r="P892">
        <f t="shared" si="209"/>
        <v>53</v>
      </c>
      <c r="Q892">
        <f t="shared" si="210"/>
        <v>57</v>
      </c>
      <c r="R892">
        <f t="shared" si="211"/>
        <v>49.650349650349654</v>
      </c>
      <c r="S892" s="1">
        <f t="shared" si="212"/>
        <v>50.24975024975025</v>
      </c>
      <c r="T892" s="1">
        <f t="shared" si="213"/>
        <v>45</v>
      </c>
      <c r="U892" s="1">
        <f t="shared" si="214"/>
        <v>65</v>
      </c>
      <c r="V892" s="1">
        <f t="shared" si="215"/>
        <v>47.5</v>
      </c>
      <c r="W892" s="1">
        <f t="shared" si="216"/>
        <v>52.5</v>
      </c>
      <c r="X892" s="1">
        <f t="shared" si="217"/>
        <v>15.236363636363636</v>
      </c>
      <c r="Y892" s="1">
        <f t="shared" si="218"/>
        <v>17</v>
      </c>
      <c r="Z892" s="1">
        <f t="shared" si="219"/>
        <v>19</v>
      </c>
      <c r="AA892" s="1">
        <f t="shared" si="220"/>
        <v>3.2588235294117642</v>
      </c>
      <c r="AB892" s="1">
        <f t="shared" si="221"/>
        <v>3.6263157894736837</v>
      </c>
      <c r="AC892" s="1">
        <f t="shared" si="222"/>
        <v>1</v>
      </c>
      <c r="AD892" s="1">
        <f t="shared" si="223"/>
        <v>-5.2078432332095068E-2</v>
      </c>
    </row>
    <row r="893" spans="1:30" x14ac:dyDescent="0.35">
      <c r="A893" t="s">
        <v>1763</v>
      </c>
      <c r="B893" t="s">
        <v>29</v>
      </c>
      <c r="C893" t="s">
        <v>30</v>
      </c>
      <c r="D893" t="s">
        <v>17</v>
      </c>
      <c r="E893">
        <v>54</v>
      </c>
      <c r="F893" t="s">
        <v>79</v>
      </c>
      <c r="G893" t="s">
        <v>71</v>
      </c>
      <c r="H893" t="s">
        <v>1764</v>
      </c>
      <c r="I893">
        <v>2</v>
      </c>
      <c r="J893">
        <v>5</v>
      </c>
      <c r="K893">
        <v>69119</v>
      </c>
      <c r="L893">
        <v>4.7</v>
      </c>
      <c r="M893" t="s">
        <v>21</v>
      </c>
      <c r="N893">
        <v>36</v>
      </c>
      <c r="O893">
        <f t="shared" si="208"/>
        <v>109</v>
      </c>
      <c r="P893">
        <f t="shared" si="209"/>
        <v>53</v>
      </c>
      <c r="Q893">
        <f t="shared" si="210"/>
        <v>56</v>
      </c>
      <c r="R893">
        <f t="shared" si="211"/>
        <v>49.650349650349654</v>
      </c>
      <c r="S893" s="1">
        <f t="shared" si="212"/>
        <v>50.24975024975025</v>
      </c>
      <c r="T893" s="1">
        <f t="shared" si="213"/>
        <v>44</v>
      </c>
      <c r="U893" s="1">
        <f t="shared" si="214"/>
        <v>65</v>
      </c>
      <c r="V893" s="1">
        <f t="shared" si="215"/>
        <v>47.5</v>
      </c>
      <c r="W893" s="1">
        <f t="shared" si="216"/>
        <v>52.5</v>
      </c>
      <c r="X893" s="1">
        <f t="shared" si="217"/>
        <v>15.155963302752294</v>
      </c>
      <c r="Y893" s="1">
        <f t="shared" si="218"/>
        <v>17</v>
      </c>
      <c r="Z893" s="1">
        <f t="shared" si="219"/>
        <v>19</v>
      </c>
      <c r="AA893" s="1">
        <f t="shared" si="220"/>
        <v>3.2588235294117642</v>
      </c>
      <c r="AB893" s="1">
        <f t="shared" si="221"/>
        <v>3.6263157894736837</v>
      </c>
      <c r="AC893" s="1">
        <f t="shared" si="222"/>
        <v>1</v>
      </c>
      <c r="AD893" s="1">
        <f t="shared" si="223"/>
        <v>-6.7675361027573155E-2</v>
      </c>
    </row>
    <row r="894" spans="1:30" x14ac:dyDescent="0.35">
      <c r="A894" t="s">
        <v>1765</v>
      </c>
      <c r="B894" t="s">
        <v>45</v>
      </c>
      <c r="C894" t="s">
        <v>30</v>
      </c>
      <c r="D894" t="s">
        <v>17</v>
      </c>
      <c r="E894">
        <v>27</v>
      </c>
      <c r="F894" t="s">
        <v>79</v>
      </c>
      <c r="G894" t="s">
        <v>85</v>
      </c>
      <c r="H894" t="s">
        <v>693</v>
      </c>
      <c r="I894">
        <v>3</v>
      </c>
      <c r="J894">
        <v>5</v>
      </c>
      <c r="K894">
        <v>173985</v>
      </c>
      <c r="L894">
        <v>3.6</v>
      </c>
      <c r="M894" t="s">
        <v>43</v>
      </c>
      <c r="N894">
        <v>95</v>
      </c>
      <c r="O894">
        <f t="shared" si="208"/>
        <v>108</v>
      </c>
      <c r="P894">
        <f t="shared" si="209"/>
        <v>52</v>
      </c>
      <c r="Q894">
        <f t="shared" si="210"/>
        <v>56</v>
      </c>
      <c r="R894">
        <f t="shared" si="211"/>
        <v>49.650349650349654</v>
      </c>
      <c r="S894" s="1">
        <f t="shared" si="212"/>
        <v>50.24975024975025</v>
      </c>
      <c r="T894" s="1">
        <f t="shared" si="213"/>
        <v>43</v>
      </c>
      <c r="U894" s="1">
        <f t="shared" si="214"/>
        <v>65</v>
      </c>
      <c r="V894" s="1">
        <f t="shared" si="215"/>
        <v>47.5</v>
      </c>
      <c r="W894" s="1">
        <f t="shared" si="216"/>
        <v>52.5</v>
      </c>
      <c r="X894" s="1">
        <f t="shared" si="217"/>
        <v>15.25</v>
      </c>
      <c r="Y894" s="1">
        <f t="shared" si="218"/>
        <v>17</v>
      </c>
      <c r="Z894" s="1">
        <f t="shared" si="219"/>
        <v>19</v>
      </c>
      <c r="AA894" s="1">
        <f t="shared" si="220"/>
        <v>3.2588235294117642</v>
      </c>
      <c r="AB894" s="1">
        <f t="shared" si="221"/>
        <v>3.6263157894736837</v>
      </c>
      <c r="AC894" s="1">
        <f t="shared" si="222"/>
        <v>0</v>
      </c>
      <c r="AD894" s="1">
        <f t="shared" si="223"/>
        <v>-5.1254216580032153E-2</v>
      </c>
    </row>
    <row r="895" spans="1:30" x14ac:dyDescent="0.35">
      <c r="A895" t="s">
        <v>1766</v>
      </c>
      <c r="B895" t="s">
        <v>78</v>
      </c>
      <c r="C895" t="s">
        <v>16</v>
      </c>
      <c r="D895" t="s">
        <v>17</v>
      </c>
      <c r="E895">
        <v>58</v>
      </c>
      <c r="F895" t="s">
        <v>74</v>
      </c>
      <c r="G895" t="s">
        <v>71</v>
      </c>
      <c r="H895" t="s">
        <v>1767</v>
      </c>
      <c r="I895">
        <v>12</v>
      </c>
      <c r="J895">
        <v>14</v>
      </c>
      <c r="K895">
        <v>235678</v>
      </c>
      <c r="L895">
        <v>4.9000000000000004</v>
      </c>
      <c r="M895" t="s">
        <v>43</v>
      </c>
      <c r="N895">
        <v>99</v>
      </c>
      <c r="O895">
        <f t="shared" si="208"/>
        <v>107</v>
      </c>
      <c r="P895">
        <f t="shared" si="209"/>
        <v>51</v>
      </c>
      <c r="Q895">
        <f t="shared" si="210"/>
        <v>56</v>
      </c>
      <c r="R895">
        <f t="shared" si="211"/>
        <v>49.650349650349654</v>
      </c>
      <c r="S895" s="1">
        <f t="shared" si="212"/>
        <v>50.24975024975025</v>
      </c>
      <c r="T895" s="1">
        <f t="shared" si="213"/>
        <v>43</v>
      </c>
      <c r="U895" s="1">
        <f t="shared" si="214"/>
        <v>64</v>
      </c>
      <c r="V895" s="1">
        <f t="shared" si="215"/>
        <v>47.5</v>
      </c>
      <c r="W895" s="1">
        <f t="shared" si="216"/>
        <v>52.5</v>
      </c>
      <c r="X895" s="1">
        <f t="shared" si="217"/>
        <v>15.345794392523365</v>
      </c>
      <c r="Y895" s="1">
        <f t="shared" si="218"/>
        <v>17</v>
      </c>
      <c r="Z895" s="1">
        <f t="shared" si="219"/>
        <v>19</v>
      </c>
      <c r="AA895" s="1">
        <f t="shared" si="220"/>
        <v>3.2588235294117642</v>
      </c>
      <c r="AB895" s="1">
        <f t="shared" si="221"/>
        <v>3.6263157894736837</v>
      </c>
      <c r="AC895" s="1">
        <f t="shared" si="222"/>
        <v>0</v>
      </c>
      <c r="AD895" s="1">
        <f t="shared" si="223"/>
        <v>-6.4082092527113832E-2</v>
      </c>
    </row>
    <row r="896" spans="1:30" x14ac:dyDescent="0.35">
      <c r="A896" t="s">
        <v>1768</v>
      </c>
      <c r="B896" t="s">
        <v>35</v>
      </c>
      <c r="C896" t="s">
        <v>82</v>
      </c>
      <c r="D896" t="s">
        <v>17</v>
      </c>
      <c r="E896">
        <v>59</v>
      </c>
      <c r="F896" t="s">
        <v>46</v>
      </c>
      <c r="G896" t="s">
        <v>57</v>
      </c>
      <c r="H896" t="s">
        <v>1769</v>
      </c>
      <c r="I896">
        <v>9</v>
      </c>
      <c r="J896">
        <v>12</v>
      </c>
      <c r="K896">
        <v>371253</v>
      </c>
      <c r="L896">
        <v>3.8</v>
      </c>
      <c r="M896" t="s">
        <v>21</v>
      </c>
      <c r="N896">
        <v>67</v>
      </c>
      <c r="O896">
        <f t="shared" si="208"/>
        <v>106</v>
      </c>
      <c r="P896">
        <f t="shared" si="209"/>
        <v>50</v>
      </c>
      <c r="Q896">
        <f t="shared" si="210"/>
        <v>56</v>
      </c>
      <c r="R896">
        <f t="shared" si="211"/>
        <v>49.650349650349654</v>
      </c>
      <c r="S896" s="1">
        <f t="shared" si="212"/>
        <v>50.24975024975025</v>
      </c>
      <c r="T896" s="1">
        <f t="shared" si="213"/>
        <v>43</v>
      </c>
      <c r="U896" s="1">
        <f t="shared" si="214"/>
        <v>63</v>
      </c>
      <c r="V896" s="1">
        <f t="shared" si="215"/>
        <v>47.5</v>
      </c>
      <c r="W896" s="1">
        <f t="shared" si="216"/>
        <v>52.5</v>
      </c>
      <c r="X896" s="1">
        <f t="shared" si="217"/>
        <v>15.358490566037736</v>
      </c>
      <c r="Y896" s="1">
        <f t="shared" si="218"/>
        <v>16</v>
      </c>
      <c r="Z896" s="1">
        <f t="shared" si="219"/>
        <v>19</v>
      </c>
      <c r="AA896" s="1">
        <f t="shared" si="220"/>
        <v>3.15625</v>
      </c>
      <c r="AB896" s="1">
        <f t="shared" si="221"/>
        <v>3.6263157894736837</v>
      </c>
      <c r="AC896" s="1">
        <f t="shared" si="222"/>
        <v>1</v>
      </c>
      <c r="AD896" s="1">
        <f t="shared" si="223"/>
        <v>-6.590428038622588E-2</v>
      </c>
    </row>
    <row r="897" spans="1:30" x14ac:dyDescent="0.35">
      <c r="A897" t="s">
        <v>1770</v>
      </c>
      <c r="B897" t="s">
        <v>45</v>
      </c>
      <c r="C897" t="s">
        <v>93</v>
      </c>
      <c r="D897" t="s">
        <v>17</v>
      </c>
      <c r="E897">
        <v>38</v>
      </c>
      <c r="F897" t="s">
        <v>31</v>
      </c>
      <c r="G897" t="s">
        <v>85</v>
      </c>
      <c r="H897" t="s">
        <v>1771</v>
      </c>
      <c r="I897">
        <v>17</v>
      </c>
      <c r="J897">
        <v>25</v>
      </c>
      <c r="K897">
        <v>380884</v>
      </c>
      <c r="L897">
        <v>2.7</v>
      </c>
      <c r="M897" t="s">
        <v>43</v>
      </c>
      <c r="N897">
        <v>76</v>
      </c>
      <c r="O897">
        <f t="shared" si="208"/>
        <v>105</v>
      </c>
      <c r="P897">
        <f t="shared" si="209"/>
        <v>49</v>
      </c>
      <c r="Q897">
        <f t="shared" si="210"/>
        <v>56</v>
      </c>
      <c r="R897">
        <f t="shared" si="211"/>
        <v>49.650349650349654</v>
      </c>
      <c r="S897" s="1">
        <f t="shared" si="212"/>
        <v>50.24975024975025</v>
      </c>
      <c r="T897" s="1">
        <f t="shared" si="213"/>
        <v>42</v>
      </c>
      <c r="U897" s="1">
        <f t="shared" si="214"/>
        <v>63</v>
      </c>
      <c r="V897" s="1">
        <f t="shared" si="215"/>
        <v>47.5</v>
      </c>
      <c r="W897" s="1">
        <f t="shared" si="216"/>
        <v>52.5</v>
      </c>
      <c r="X897" s="1">
        <f t="shared" si="217"/>
        <v>15.390476190476191</v>
      </c>
      <c r="Y897" s="1">
        <f t="shared" si="218"/>
        <v>16</v>
      </c>
      <c r="Z897" s="1">
        <f t="shared" si="219"/>
        <v>19</v>
      </c>
      <c r="AA897" s="1">
        <f t="shared" si="220"/>
        <v>3.15625</v>
      </c>
      <c r="AB897" s="1">
        <f t="shared" si="221"/>
        <v>3.6263157894736837</v>
      </c>
      <c r="AC897" s="1">
        <f t="shared" si="222"/>
        <v>0</v>
      </c>
      <c r="AD897" s="1">
        <f t="shared" si="223"/>
        <v>-6.0478564975608273E-2</v>
      </c>
    </row>
    <row r="898" spans="1:30" x14ac:dyDescent="0.35">
      <c r="A898" t="s">
        <v>1772</v>
      </c>
      <c r="B898" t="s">
        <v>69</v>
      </c>
      <c r="C898" t="s">
        <v>56</v>
      </c>
      <c r="D898" t="s">
        <v>25</v>
      </c>
      <c r="E898">
        <v>22</v>
      </c>
      <c r="F898" t="s">
        <v>79</v>
      </c>
      <c r="G898" t="s">
        <v>19</v>
      </c>
      <c r="H898" t="s">
        <v>1309</v>
      </c>
      <c r="I898">
        <v>4</v>
      </c>
      <c r="J898">
        <v>9</v>
      </c>
      <c r="K898">
        <v>377337</v>
      </c>
      <c r="L898">
        <v>2.4</v>
      </c>
      <c r="M898" t="s">
        <v>21</v>
      </c>
      <c r="N898">
        <v>67</v>
      </c>
      <c r="O898">
        <f t="shared" ref="O898:O961" si="224">COUNTA(A898:A1897)</f>
        <v>104</v>
      </c>
      <c r="P898">
        <f t="shared" ref="P898:P961" si="225">COUNTIF(D898:D1897,"Male")</f>
        <v>48</v>
      </c>
      <c r="Q898">
        <f t="shared" ref="Q898:Q961" si="226">COUNTIF(D898:D1897,"Female")</f>
        <v>56</v>
      </c>
      <c r="R898">
        <f t="shared" ref="R898:R961" si="227">497/1001*100</f>
        <v>49.650349650349654</v>
      </c>
      <c r="S898" s="1">
        <f t="shared" ref="S898:S961" si="228">503/1001*100</f>
        <v>50.24975024975025</v>
      </c>
      <c r="T898" s="1">
        <f t="shared" ref="T898:T961" si="229">COUNTIF(M898:M1897,"Yes")</f>
        <v>42</v>
      </c>
      <c r="U898" s="1">
        <f t="shared" ref="U898:U961" si="230">COUNTIF(M898:M1897,"No")</f>
        <v>62</v>
      </c>
      <c r="V898" s="1">
        <f t="shared" ref="V898:V961" si="231">475/1000*100</f>
        <v>47.5</v>
      </c>
      <c r="W898" s="1">
        <f t="shared" ref="W898:W961" si="232">525/1000*100</f>
        <v>52.5</v>
      </c>
      <c r="X898" s="1">
        <f t="shared" ref="X898:X961" si="233">AVERAGE(J898:J1897)</f>
        <v>15.298076923076923</v>
      </c>
      <c r="Y898" s="1">
        <f t="shared" ref="Y898:Y961" si="234">COUNTIF(F898:F1897,"Marketing")</f>
        <v>16</v>
      </c>
      <c r="Z898" s="1">
        <f t="shared" ref="Z898:Z961" si="235">COUNTIF(F898:F1897,"IT")</f>
        <v>18</v>
      </c>
      <c r="AA898" s="1">
        <f t="shared" ref="AA898:AA961" si="236">AVERAGEIF(F898:F1897,"Marketing",L898:L1897)</f>
        <v>3.15625</v>
      </c>
      <c r="AB898" s="1">
        <f t="shared" ref="AB898:AB961" si="237">AVERAGEIF(F898:F1897,"IT",L898:L1897)</f>
        <v>3.6777777777777771</v>
      </c>
      <c r="AC898" s="1">
        <f t="shared" ref="AC898:AC961" si="238">IF(M898="yes",1,0)</f>
        <v>1</v>
      </c>
      <c r="AD898" s="1">
        <f t="shared" ref="AD898:AD961" si="239">CORREL(J898:J1897,AC898:AC1897)</f>
        <v>-4.964647697893438E-2</v>
      </c>
    </row>
    <row r="899" spans="1:30" x14ac:dyDescent="0.35">
      <c r="A899" t="s">
        <v>1773</v>
      </c>
      <c r="B899" t="s">
        <v>55</v>
      </c>
      <c r="C899" t="s">
        <v>52</v>
      </c>
      <c r="D899" t="s">
        <v>17</v>
      </c>
      <c r="E899">
        <v>37</v>
      </c>
      <c r="F899" t="s">
        <v>31</v>
      </c>
      <c r="G899" t="s">
        <v>75</v>
      </c>
      <c r="H899" t="s">
        <v>1021</v>
      </c>
      <c r="I899">
        <v>4</v>
      </c>
      <c r="J899">
        <v>4</v>
      </c>
      <c r="K899">
        <v>382921</v>
      </c>
      <c r="L899">
        <v>3.7</v>
      </c>
      <c r="M899" t="s">
        <v>21</v>
      </c>
      <c r="N899">
        <v>61</v>
      </c>
      <c r="O899">
        <f t="shared" si="224"/>
        <v>103</v>
      </c>
      <c r="P899">
        <f t="shared" si="225"/>
        <v>48</v>
      </c>
      <c r="Q899">
        <f t="shared" si="226"/>
        <v>55</v>
      </c>
      <c r="R899">
        <f t="shared" si="227"/>
        <v>49.650349650349654</v>
      </c>
      <c r="S899" s="1">
        <f t="shared" si="228"/>
        <v>50.24975024975025</v>
      </c>
      <c r="T899" s="1">
        <f t="shared" si="229"/>
        <v>41</v>
      </c>
      <c r="U899" s="1">
        <f t="shared" si="230"/>
        <v>62</v>
      </c>
      <c r="V899" s="1">
        <f t="shared" si="231"/>
        <v>47.5</v>
      </c>
      <c r="W899" s="1">
        <f t="shared" si="232"/>
        <v>52.5</v>
      </c>
      <c r="X899" s="1">
        <f t="shared" si="233"/>
        <v>15.359223300970873</v>
      </c>
      <c r="Y899" s="1">
        <f t="shared" si="234"/>
        <v>16</v>
      </c>
      <c r="Z899" s="1">
        <f t="shared" si="235"/>
        <v>18</v>
      </c>
      <c r="AA899" s="1">
        <f t="shared" si="236"/>
        <v>3.15625</v>
      </c>
      <c r="AB899" s="1">
        <f t="shared" si="237"/>
        <v>3.6777777777777771</v>
      </c>
      <c r="AC899" s="1">
        <f t="shared" si="238"/>
        <v>1</v>
      </c>
      <c r="AD899" s="1">
        <f t="shared" si="239"/>
        <v>-3.8705666778846869E-2</v>
      </c>
    </row>
    <row r="900" spans="1:30" x14ac:dyDescent="0.35">
      <c r="A900" t="s">
        <v>1774</v>
      </c>
      <c r="B900" t="s">
        <v>96</v>
      </c>
      <c r="C900" t="s">
        <v>52</v>
      </c>
      <c r="D900" t="s">
        <v>17</v>
      </c>
      <c r="E900">
        <v>35</v>
      </c>
      <c r="F900" t="s">
        <v>74</v>
      </c>
      <c r="G900" t="s">
        <v>26</v>
      </c>
      <c r="H900" t="s">
        <v>1775</v>
      </c>
      <c r="I900">
        <v>12</v>
      </c>
      <c r="J900">
        <v>21</v>
      </c>
      <c r="K900">
        <v>407436</v>
      </c>
      <c r="L900">
        <v>4.5</v>
      </c>
      <c r="M900" t="s">
        <v>43</v>
      </c>
      <c r="N900">
        <v>88</v>
      </c>
      <c r="O900">
        <f t="shared" si="224"/>
        <v>102</v>
      </c>
      <c r="P900">
        <f t="shared" si="225"/>
        <v>47</v>
      </c>
      <c r="Q900">
        <f t="shared" si="226"/>
        <v>55</v>
      </c>
      <c r="R900">
        <f t="shared" si="227"/>
        <v>49.650349650349654</v>
      </c>
      <c r="S900" s="1">
        <f t="shared" si="228"/>
        <v>50.24975024975025</v>
      </c>
      <c r="T900" s="1">
        <f t="shared" si="229"/>
        <v>40</v>
      </c>
      <c r="U900" s="1">
        <f t="shared" si="230"/>
        <v>62</v>
      </c>
      <c r="V900" s="1">
        <f t="shared" si="231"/>
        <v>47.5</v>
      </c>
      <c r="W900" s="1">
        <f t="shared" si="232"/>
        <v>52.5</v>
      </c>
      <c r="X900" s="1">
        <f t="shared" si="233"/>
        <v>15.470588235294118</v>
      </c>
      <c r="Y900" s="1">
        <f t="shared" si="234"/>
        <v>16</v>
      </c>
      <c r="Z900" s="1">
        <f t="shared" si="235"/>
        <v>17</v>
      </c>
      <c r="AA900" s="1">
        <f t="shared" si="236"/>
        <v>3.15625</v>
      </c>
      <c r="AB900" s="1">
        <f t="shared" si="237"/>
        <v>3.6764705882352939</v>
      </c>
      <c r="AC900" s="1">
        <f t="shared" si="238"/>
        <v>0</v>
      </c>
      <c r="AD900" s="1">
        <f t="shared" si="239"/>
        <v>-1.8113147916207054E-2</v>
      </c>
    </row>
    <row r="901" spans="1:30" x14ac:dyDescent="0.35">
      <c r="A901" t="s">
        <v>1776</v>
      </c>
      <c r="B901" t="s">
        <v>23</v>
      </c>
      <c r="C901" t="s">
        <v>36</v>
      </c>
      <c r="D901" t="s">
        <v>17</v>
      </c>
      <c r="E901">
        <v>23</v>
      </c>
      <c r="F901" t="s">
        <v>31</v>
      </c>
      <c r="G901" t="s">
        <v>32</v>
      </c>
      <c r="H901" t="s">
        <v>1777</v>
      </c>
      <c r="I901">
        <v>10</v>
      </c>
      <c r="J901">
        <v>14</v>
      </c>
      <c r="K901">
        <v>93536</v>
      </c>
      <c r="L901">
        <v>3.5</v>
      </c>
      <c r="M901" t="s">
        <v>43</v>
      </c>
      <c r="N901">
        <v>77</v>
      </c>
      <c r="O901">
        <f t="shared" si="224"/>
        <v>101</v>
      </c>
      <c r="P901">
        <f t="shared" si="225"/>
        <v>46</v>
      </c>
      <c r="Q901">
        <f t="shared" si="226"/>
        <v>55</v>
      </c>
      <c r="R901">
        <f t="shared" si="227"/>
        <v>49.650349650349654</v>
      </c>
      <c r="S901" s="1">
        <f t="shared" si="228"/>
        <v>50.24975024975025</v>
      </c>
      <c r="T901" s="1">
        <f t="shared" si="229"/>
        <v>40</v>
      </c>
      <c r="U901" s="1">
        <f t="shared" si="230"/>
        <v>61</v>
      </c>
      <c r="V901" s="1">
        <f t="shared" si="231"/>
        <v>47.5</v>
      </c>
      <c r="W901" s="1">
        <f t="shared" si="232"/>
        <v>52.5</v>
      </c>
      <c r="X901" s="1">
        <f t="shared" si="233"/>
        <v>15.415841584158416</v>
      </c>
      <c r="Y901" s="1">
        <f t="shared" si="234"/>
        <v>15</v>
      </c>
      <c r="Z901" s="1">
        <f t="shared" si="235"/>
        <v>17</v>
      </c>
      <c r="AA901" s="1">
        <f t="shared" si="236"/>
        <v>3.0666666666666669</v>
      </c>
      <c r="AB901" s="1">
        <f t="shared" si="237"/>
        <v>3.6764705882352939</v>
      </c>
      <c r="AC901" s="1">
        <f t="shared" si="238"/>
        <v>0</v>
      </c>
      <c r="AD901" s="1">
        <f t="shared" si="239"/>
        <v>-1.1379592986839684E-2</v>
      </c>
    </row>
    <row r="902" spans="1:30" x14ac:dyDescent="0.35">
      <c r="A902" t="s">
        <v>1778</v>
      </c>
      <c r="B902" t="s">
        <v>96</v>
      </c>
      <c r="C902" t="s">
        <v>24</v>
      </c>
      <c r="D902" t="s">
        <v>25</v>
      </c>
      <c r="E902">
        <v>40</v>
      </c>
      <c r="F902" t="s">
        <v>31</v>
      </c>
      <c r="G902" t="s">
        <v>88</v>
      </c>
      <c r="H902" t="s">
        <v>1779</v>
      </c>
      <c r="I902">
        <v>19</v>
      </c>
      <c r="J902">
        <v>28</v>
      </c>
      <c r="K902">
        <v>160209</v>
      </c>
      <c r="L902">
        <v>3.3</v>
      </c>
      <c r="M902" t="s">
        <v>21</v>
      </c>
      <c r="N902">
        <v>55</v>
      </c>
      <c r="O902">
        <f t="shared" si="224"/>
        <v>100</v>
      </c>
      <c r="P902">
        <f t="shared" si="225"/>
        <v>45</v>
      </c>
      <c r="Q902">
        <f t="shared" si="226"/>
        <v>55</v>
      </c>
      <c r="R902">
        <f t="shared" si="227"/>
        <v>49.650349650349654</v>
      </c>
      <c r="S902" s="1">
        <f t="shared" si="228"/>
        <v>50.24975024975025</v>
      </c>
      <c r="T902" s="1">
        <f t="shared" si="229"/>
        <v>40</v>
      </c>
      <c r="U902" s="1">
        <f t="shared" si="230"/>
        <v>60</v>
      </c>
      <c r="V902" s="1">
        <f t="shared" si="231"/>
        <v>47.5</v>
      </c>
      <c r="W902" s="1">
        <f t="shared" si="232"/>
        <v>52.5</v>
      </c>
      <c r="X902" s="1">
        <f t="shared" si="233"/>
        <v>15.43</v>
      </c>
      <c r="Y902" s="1">
        <f t="shared" si="234"/>
        <v>15</v>
      </c>
      <c r="Z902" s="1">
        <f t="shared" si="235"/>
        <v>16</v>
      </c>
      <c r="AA902" s="1">
        <f t="shared" si="236"/>
        <v>3.0666666666666669</v>
      </c>
      <c r="AB902" s="1">
        <f t="shared" si="237"/>
        <v>3.6875</v>
      </c>
      <c r="AC902" s="1">
        <f t="shared" si="238"/>
        <v>1</v>
      </c>
      <c r="AD902" s="1">
        <f t="shared" si="239"/>
        <v>-1.3199702045680432E-2</v>
      </c>
    </row>
    <row r="903" spans="1:30" x14ac:dyDescent="0.35">
      <c r="A903" t="s">
        <v>1780</v>
      </c>
      <c r="B903" t="s">
        <v>45</v>
      </c>
      <c r="C903" t="s">
        <v>64</v>
      </c>
      <c r="D903" t="s">
        <v>17</v>
      </c>
      <c r="E903">
        <v>33</v>
      </c>
      <c r="F903" t="s">
        <v>74</v>
      </c>
      <c r="G903" t="s">
        <v>75</v>
      </c>
      <c r="H903" t="s">
        <v>1781</v>
      </c>
      <c r="I903">
        <v>18</v>
      </c>
      <c r="J903">
        <v>27</v>
      </c>
      <c r="K903">
        <v>381895</v>
      </c>
      <c r="L903">
        <v>4.7</v>
      </c>
      <c r="M903" t="s">
        <v>43</v>
      </c>
      <c r="N903">
        <v>82</v>
      </c>
      <c r="O903">
        <f t="shared" si="224"/>
        <v>99</v>
      </c>
      <c r="P903">
        <f t="shared" si="225"/>
        <v>45</v>
      </c>
      <c r="Q903">
        <f t="shared" si="226"/>
        <v>54</v>
      </c>
      <c r="R903">
        <f t="shared" si="227"/>
        <v>49.650349650349654</v>
      </c>
      <c r="S903" s="1">
        <f t="shared" si="228"/>
        <v>50.24975024975025</v>
      </c>
      <c r="T903" s="1">
        <f t="shared" si="229"/>
        <v>39</v>
      </c>
      <c r="U903" s="1">
        <f t="shared" si="230"/>
        <v>60</v>
      </c>
      <c r="V903" s="1">
        <f t="shared" si="231"/>
        <v>47.5</v>
      </c>
      <c r="W903" s="1">
        <f t="shared" si="232"/>
        <v>52.5</v>
      </c>
      <c r="X903" s="1">
        <f t="shared" si="233"/>
        <v>15.303030303030303</v>
      </c>
      <c r="Y903" s="1">
        <f t="shared" si="234"/>
        <v>15</v>
      </c>
      <c r="Z903" s="1">
        <f t="shared" si="235"/>
        <v>15</v>
      </c>
      <c r="AA903" s="1">
        <f t="shared" si="236"/>
        <v>3.0666666666666669</v>
      </c>
      <c r="AB903" s="1">
        <f t="shared" si="237"/>
        <v>3.7133333333333334</v>
      </c>
      <c r="AC903" s="1">
        <f t="shared" si="238"/>
        <v>0</v>
      </c>
      <c r="AD903" s="1">
        <f t="shared" si="239"/>
        <v>-3.8155370370636002E-2</v>
      </c>
    </row>
    <row r="904" spans="1:30" x14ac:dyDescent="0.35">
      <c r="A904" t="s">
        <v>1782</v>
      </c>
      <c r="B904" t="s">
        <v>78</v>
      </c>
      <c r="C904" t="s">
        <v>49</v>
      </c>
      <c r="D904" t="s">
        <v>25</v>
      </c>
      <c r="E904">
        <v>43</v>
      </c>
      <c r="F904" t="s">
        <v>70</v>
      </c>
      <c r="G904" t="s">
        <v>71</v>
      </c>
      <c r="H904" t="s">
        <v>1783</v>
      </c>
      <c r="I904">
        <v>14</v>
      </c>
      <c r="J904">
        <v>22</v>
      </c>
      <c r="K904">
        <v>207667</v>
      </c>
      <c r="L904">
        <v>2.7</v>
      </c>
      <c r="M904" t="s">
        <v>21</v>
      </c>
      <c r="N904">
        <v>59</v>
      </c>
      <c r="O904">
        <f t="shared" si="224"/>
        <v>98</v>
      </c>
      <c r="P904">
        <f t="shared" si="225"/>
        <v>44</v>
      </c>
      <c r="Q904">
        <f t="shared" si="226"/>
        <v>54</v>
      </c>
      <c r="R904">
        <f t="shared" si="227"/>
        <v>49.650349650349654</v>
      </c>
      <c r="S904" s="1">
        <f t="shared" si="228"/>
        <v>50.24975024975025</v>
      </c>
      <c r="T904" s="1">
        <f t="shared" si="229"/>
        <v>39</v>
      </c>
      <c r="U904" s="1">
        <f t="shared" si="230"/>
        <v>59</v>
      </c>
      <c r="V904" s="1">
        <f t="shared" si="231"/>
        <v>47.5</v>
      </c>
      <c r="W904" s="1">
        <f t="shared" si="232"/>
        <v>52.5</v>
      </c>
      <c r="X904" s="1">
        <f t="shared" si="233"/>
        <v>15.183673469387756</v>
      </c>
      <c r="Y904" s="1">
        <f t="shared" si="234"/>
        <v>14</v>
      </c>
      <c r="Z904" s="1">
        <f t="shared" si="235"/>
        <v>15</v>
      </c>
      <c r="AA904" s="1">
        <f t="shared" si="236"/>
        <v>2.95</v>
      </c>
      <c r="AB904" s="1">
        <f t="shared" si="237"/>
        <v>3.7133333333333334</v>
      </c>
      <c r="AC904" s="1">
        <f t="shared" si="238"/>
        <v>1</v>
      </c>
      <c r="AD904" s="1">
        <f t="shared" si="239"/>
        <v>-2.3609364526698446E-2</v>
      </c>
    </row>
    <row r="905" spans="1:30" x14ac:dyDescent="0.35">
      <c r="A905" t="s">
        <v>1784</v>
      </c>
      <c r="B905" t="s">
        <v>78</v>
      </c>
      <c r="C905" t="s">
        <v>36</v>
      </c>
      <c r="D905" t="s">
        <v>25</v>
      </c>
      <c r="E905">
        <v>26</v>
      </c>
      <c r="F905" t="s">
        <v>31</v>
      </c>
      <c r="G905" t="s">
        <v>41</v>
      </c>
      <c r="H905" t="s">
        <v>1785</v>
      </c>
      <c r="I905">
        <v>3</v>
      </c>
      <c r="J905">
        <v>11</v>
      </c>
      <c r="K905">
        <v>66598</v>
      </c>
      <c r="L905">
        <v>3.8</v>
      </c>
      <c r="M905" t="s">
        <v>21</v>
      </c>
      <c r="N905">
        <v>48</v>
      </c>
      <c r="O905">
        <f t="shared" si="224"/>
        <v>97</v>
      </c>
      <c r="P905">
        <f t="shared" si="225"/>
        <v>44</v>
      </c>
      <c r="Q905">
        <f t="shared" si="226"/>
        <v>53</v>
      </c>
      <c r="R905">
        <f t="shared" si="227"/>
        <v>49.650349650349654</v>
      </c>
      <c r="S905" s="1">
        <f t="shared" si="228"/>
        <v>50.24975024975025</v>
      </c>
      <c r="T905" s="1">
        <f t="shared" si="229"/>
        <v>38</v>
      </c>
      <c r="U905" s="1">
        <f t="shared" si="230"/>
        <v>59</v>
      </c>
      <c r="V905" s="1">
        <f t="shared" si="231"/>
        <v>47.5</v>
      </c>
      <c r="W905" s="1">
        <f t="shared" si="232"/>
        <v>52.5</v>
      </c>
      <c r="X905" s="1">
        <f t="shared" si="233"/>
        <v>15.11340206185567</v>
      </c>
      <c r="Y905" s="1">
        <f t="shared" si="234"/>
        <v>14</v>
      </c>
      <c r="Z905" s="1">
        <f t="shared" si="235"/>
        <v>15</v>
      </c>
      <c r="AA905" s="1">
        <f t="shared" si="236"/>
        <v>2.95</v>
      </c>
      <c r="AB905" s="1">
        <f t="shared" si="237"/>
        <v>3.7133333333333334</v>
      </c>
      <c r="AC905" s="1">
        <f t="shared" si="238"/>
        <v>1</v>
      </c>
      <c r="AD905" s="1">
        <f t="shared" si="239"/>
        <v>-3.779523214629342E-2</v>
      </c>
    </row>
    <row r="906" spans="1:30" x14ac:dyDescent="0.35">
      <c r="A906" t="s">
        <v>1786</v>
      </c>
      <c r="B906" t="s">
        <v>40</v>
      </c>
      <c r="C906" t="s">
        <v>49</v>
      </c>
      <c r="D906" t="s">
        <v>17</v>
      </c>
      <c r="E906">
        <v>38</v>
      </c>
      <c r="F906" t="s">
        <v>79</v>
      </c>
      <c r="G906" t="s">
        <v>41</v>
      </c>
      <c r="H906" t="s">
        <v>1787</v>
      </c>
      <c r="I906">
        <v>0</v>
      </c>
      <c r="J906">
        <v>3</v>
      </c>
      <c r="K906">
        <v>315378</v>
      </c>
      <c r="L906">
        <v>2</v>
      </c>
      <c r="M906" t="s">
        <v>21</v>
      </c>
      <c r="N906">
        <v>48</v>
      </c>
      <c r="O906">
        <f t="shared" si="224"/>
        <v>96</v>
      </c>
      <c r="P906">
        <f t="shared" si="225"/>
        <v>44</v>
      </c>
      <c r="Q906">
        <f t="shared" si="226"/>
        <v>52</v>
      </c>
      <c r="R906">
        <f t="shared" si="227"/>
        <v>49.650349650349654</v>
      </c>
      <c r="S906" s="1">
        <f t="shared" si="228"/>
        <v>50.24975024975025</v>
      </c>
      <c r="T906" s="1">
        <f t="shared" si="229"/>
        <v>37</v>
      </c>
      <c r="U906" s="1">
        <f t="shared" si="230"/>
        <v>59</v>
      </c>
      <c r="V906" s="1">
        <f t="shared" si="231"/>
        <v>47.5</v>
      </c>
      <c r="W906" s="1">
        <f t="shared" si="232"/>
        <v>52.5</v>
      </c>
      <c r="X906" s="1">
        <f t="shared" si="233"/>
        <v>15.15625</v>
      </c>
      <c r="Y906" s="1">
        <f t="shared" si="234"/>
        <v>14</v>
      </c>
      <c r="Z906" s="1">
        <f t="shared" si="235"/>
        <v>14</v>
      </c>
      <c r="AA906" s="1">
        <f t="shared" si="236"/>
        <v>2.95</v>
      </c>
      <c r="AB906" s="1">
        <f t="shared" si="237"/>
        <v>3.7071428571428569</v>
      </c>
      <c r="AC906" s="1">
        <f t="shared" si="238"/>
        <v>1</v>
      </c>
      <c r="AD906" s="1">
        <f t="shared" si="239"/>
        <v>-2.9652384615562341E-2</v>
      </c>
    </row>
    <row r="907" spans="1:30" x14ac:dyDescent="0.35">
      <c r="A907" t="s">
        <v>1788</v>
      </c>
      <c r="B907" t="s">
        <v>40</v>
      </c>
      <c r="C907" t="s">
        <v>82</v>
      </c>
      <c r="D907" t="s">
        <v>25</v>
      </c>
      <c r="E907">
        <v>27</v>
      </c>
      <c r="F907" t="s">
        <v>74</v>
      </c>
      <c r="G907" t="s">
        <v>61</v>
      </c>
      <c r="H907" t="s">
        <v>1789</v>
      </c>
      <c r="I907">
        <v>15</v>
      </c>
      <c r="J907">
        <v>25</v>
      </c>
      <c r="K907">
        <v>317711</v>
      </c>
      <c r="L907">
        <v>2.2999999999999998</v>
      </c>
      <c r="M907" t="s">
        <v>43</v>
      </c>
      <c r="N907">
        <v>75</v>
      </c>
      <c r="O907">
        <f t="shared" si="224"/>
        <v>95</v>
      </c>
      <c r="P907">
        <f t="shared" si="225"/>
        <v>43</v>
      </c>
      <c r="Q907">
        <f t="shared" si="226"/>
        <v>52</v>
      </c>
      <c r="R907">
        <f t="shared" si="227"/>
        <v>49.650349650349654</v>
      </c>
      <c r="S907" s="1">
        <f t="shared" si="228"/>
        <v>50.24975024975025</v>
      </c>
      <c r="T907" s="1">
        <f t="shared" si="229"/>
        <v>36</v>
      </c>
      <c r="U907" s="1">
        <f t="shared" si="230"/>
        <v>59</v>
      </c>
      <c r="V907" s="1">
        <f t="shared" si="231"/>
        <v>47.5</v>
      </c>
      <c r="W907" s="1">
        <f t="shared" si="232"/>
        <v>52.5</v>
      </c>
      <c r="X907" s="1">
        <f t="shared" si="233"/>
        <v>15.284210526315789</v>
      </c>
      <c r="Y907" s="1">
        <f t="shared" si="234"/>
        <v>14</v>
      </c>
      <c r="Z907" s="1">
        <f t="shared" si="235"/>
        <v>14</v>
      </c>
      <c r="AA907" s="1">
        <f t="shared" si="236"/>
        <v>2.95</v>
      </c>
      <c r="AB907" s="1">
        <f t="shared" si="237"/>
        <v>3.7071428571428569</v>
      </c>
      <c r="AC907" s="1">
        <f t="shared" si="238"/>
        <v>0</v>
      </c>
      <c r="AD907" s="1">
        <f t="shared" si="239"/>
        <v>-4.2777598100507339E-3</v>
      </c>
    </row>
    <row r="908" spans="1:30" x14ac:dyDescent="0.35">
      <c r="A908" t="s">
        <v>1790</v>
      </c>
      <c r="B908" t="s">
        <v>45</v>
      </c>
      <c r="C908" t="s">
        <v>82</v>
      </c>
      <c r="D908" t="s">
        <v>25</v>
      </c>
      <c r="E908">
        <v>56</v>
      </c>
      <c r="F908" t="s">
        <v>37</v>
      </c>
      <c r="G908" t="s">
        <v>41</v>
      </c>
      <c r="H908" t="s">
        <v>1791</v>
      </c>
      <c r="I908">
        <v>11</v>
      </c>
      <c r="J908">
        <v>11</v>
      </c>
      <c r="K908">
        <v>223766</v>
      </c>
      <c r="L908">
        <v>2.5</v>
      </c>
      <c r="M908" t="s">
        <v>43</v>
      </c>
      <c r="N908">
        <v>72</v>
      </c>
      <c r="O908">
        <f t="shared" si="224"/>
        <v>94</v>
      </c>
      <c r="P908">
        <f t="shared" si="225"/>
        <v>43</v>
      </c>
      <c r="Q908">
        <f t="shared" si="226"/>
        <v>51</v>
      </c>
      <c r="R908">
        <f t="shared" si="227"/>
        <v>49.650349650349654</v>
      </c>
      <c r="S908" s="1">
        <f t="shared" si="228"/>
        <v>50.24975024975025</v>
      </c>
      <c r="T908" s="1">
        <f t="shared" si="229"/>
        <v>36</v>
      </c>
      <c r="U908" s="1">
        <f t="shared" si="230"/>
        <v>58</v>
      </c>
      <c r="V908" s="1">
        <f t="shared" si="231"/>
        <v>47.5</v>
      </c>
      <c r="W908" s="1">
        <f t="shared" si="232"/>
        <v>52.5</v>
      </c>
      <c r="X908" s="1">
        <f t="shared" si="233"/>
        <v>15.180851063829786</v>
      </c>
      <c r="Y908" s="1">
        <f t="shared" si="234"/>
        <v>13</v>
      </c>
      <c r="Z908" s="1">
        <f t="shared" si="235"/>
        <v>14</v>
      </c>
      <c r="AA908" s="1">
        <f t="shared" si="236"/>
        <v>3.0000000000000004</v>
      </c>
      <c r="AB908" s="1">
        <f t="shared" si="237"/>
        <v>3.7071428571428569</v>
      </c>
      <c r="AC908" s="1">
        <f t="shared" si="238"/>
        <v>0</v>
      </c>
      <c r="AD908" s="1">
        <f t="shared" si="239"/>
        <v>8.7885512485185238E-3</v>
      </c>
    </row>
    <row r="909" spans="1:30" x14ac:dyDescent="0.35">
      <c r="A909" t="s">
        <v>1792</v>
      </c>
      <c r="B909" t="s">
        <v>55</v>
      </c>
      <c r="C909" t="s">
        <v>56</v>
      </c>
      <c r="D909" t="s">
        <v>25</v>
      </c>
      <c r="E909">
        <v>31</v>
      </c>
      <c r="F909" t="s">
        <v>79</v>
      </c>
      <c r="G909" t="s">
        <v>19</v>
      </c>
      <c r="H909" t="s">
        <v>1793</v>
      </c>
      <c r="I909">
        <v>14</v>
      </c>
      <c r="J909">
        <v>23</v>
      </c>
      <c r="K909">
        <v>462263</v>
      </c>
      <c r="L909">
        <v>4.0999999999999996</v>
      </c>
      <c r="M909" t="s">
        <v>43</v>
      </c>
      <c r="N909">
        <v>84</v>
      </c>
      <c r="O909">
        <f t="shared" si="224"/>
        <v>93</v>
      </c>
      <c r="P909">
        <f t="shared" si="225"/>
        <v>43</v>
      </c>
      <c r="Q909">
        <f t="shared" si="226"/>
        <v>50</v>
      </c>
      <c r="R909">
        <f t="shared" si="227"/>
        <v>49.650349650349654</v>
      </c>
      <c r="S909" s="1">
        <f t="shared" si="228"/>
        <v>50.24975024975025</v>
      </c>
      <c r="T909" s="1">
        <f t="shared" si="229"/>
        <v>36</v>
      </c>
      <c r="U909" s="1">
        <f t="shared" si="230"/>
        <v>57</v>
      </c>
      <c r="V909" s="1">
        <f t="shared" si="231"/>
        <v>47.5</v>
      </c>
      <c r="W909" s="1">
        <f t="shared" si="232"/>
        <v>52.5</v>
      </c>
      <c r="X909" s="1">
        <f t="shared" si="233"/>
        <v>15.225806451612904</v>
      </c>
      <c r="Y909" s="1">
        <f t="shared" si="234"/>
        <v>13</v>
      </c>
      <c r="Z909" s="1">
        <f t="shared" si="235"/>
        <v>14</v>
      </c>
      <c r="AA909" s="1">
        <f t="shared" si="236"/>
        <v>3.0000000000000004</v>
      </c>
      <c r="AB909" s="1">
        <f t="shared" si="237"/>
        <v>3.7071428571428569</v>
      </c>
      <c r="AC909" s="1">
        <f t="shared" si="238"/>
        <v>0</v>
      </c>
      <c r="AD909" s="1">
        <f t="shared" si="239"/>
        <v>3.0927886183531325E-3</v>
      </c>
    </row>
    <row r="910" spans="1:30" x14ac:dyDescent="0.35">
      <c r="A910" t="s">
        <v>1794</v>
      </c>
      <c r="B910" t="s">
        <v>111</v>
      </c>
      <c r="C910" t="s">
        <v>93</v>
      </c>
      <c r="D910" t="s">
        <v>17</v>
      </c>
      <c r="E910">
        <v>52</v>
      </c>
      <c r="F910" t="s">
        <v>18</v>
      </c>
      <c r="G910" t="s">
        <v>19</v>
      </c>
      <c r="H910" t="s">
        <v>1795</v>
      </c>
      <c r="I910">
        <v>5</v>
      </c>
      <c r="J910">
        <v>10</v>
      </c>
      <c r="K910">
        <v>51208</v>
      </c>
      <c r="L910">
        <v>3.7</v>
      </c>
      <c r="M910" t="s">
        <v>21</v>
      </c>
      <c r="N910">
        <v>63</v>
      </c>
      <c r="O910">
        <f t="shared" si="224"/>
        <v>92</v>
      </c>
      <c r="P910">
        <f t="shared" si="225"/>
        <v>43</v>
      </c>
      <c r="Q910">
        <f t="shared" si="226"/>
        <v>49</v>
      </c>
      <c r="R910">
        <f t="shared" si="227"/>
        <v>49.650349650349654</v>
      </c>
      <c r="S910" s="1">
        <f t="shared" si="228"/>
        <v>50.24975024975025</v>
      </c>
      <c r="T910" s="1">
        <f t="shared" si="229"/>
        <v>36</v>
      </c>
      <c r="U910" s="1">
        <f t="shared" si="230"/>
        <v>56</v>
      </c>
      <c r="V910" s="1">
        <f t="shared" si="231"/>
        <v>47.5</v>
      </c>
      <c r="W910" s="1">
        <f t="shared" si="232"/>
        <v>52.5</v>
      </c>
      <c r="X910" s="1">
        <f t="shared" si="233"/>
        <v>15.141304347826088</v>
      </c>
      <c r="Y910" s="1">
        <f t="shared" si="234"/>
        <v>13</v>
      </c>
      <c r="Z910" s="1">
        <f t="shared" si="235"/>
        <v>14</v>
      </c>
      <c r="AA910" s="1">
        <f t="shared" si="236"/>
        <v>3.0000000000000004</v>
      </c>
      <c r="AB910" s="1">
        <f t="shared" si="237"/>
        <v>3.7071428571428569</v>
      </c>
      <c r="AC910" s="1">
        <f t="shared" si="238"/>
        <v>1</v>
      </c>
      <c r="AD910" s="1">
        <f t="shared" si="239"/>
        <v>1.4063113557913901E-2</v>
      </c>
    </row>
    <row r="911" spans="1:30" x14ac:dyDescent="0.35">
      <c r="A911" t="s">
        <v>1796</v>
      </c>
      <c r="B911" t="s">
        <v>45</v>
      </c>
      <c r="C911" t="s">
        <v>52</v>
      </c>
      <c r="D911" t="s">
        <v>25</v>
      </c>
      <c r="E911">
        <v>54</v>
      </c>
      <c r="F911" t="s">
        <v>18</v>
      </c>
      <c r="G911" t="s">
        <v>61</v>
      </c>
      <c r="H911" t="s">
        <v>1797</v>
      </c>
      <c r="I911">
        <v>14</v>
      </c>
      <c r="J911">
        <v>16</v>
      </c>
      <c r="K911">
        <v>87165</v>
      </c>
      <c r="L911">
        <v>4.2</v>
      </c>
      <c r="M911" t="s">
        <v>43</v>
      </c>
      <c r="N911">
        <v>96</v>
      </c>
      <c r="O911">
        <f t="shared" si="224"/>
        <v>91</v>
      </c>
      <c r="P911">
        <f t="shared" si="225"/>
        <v>42</v>
      </c>
      <c r="Q911">
        <f t="shared" si="226"/>
        <v>49</v>
      </c>
      <c r="R911">
        <f t="shared" si="227"/>
        <v>49.650349650349654</v>
      </c>
      <c r="S911" s="1">
        <f t="shared" si="228"/>
        <v>50.24975024975025</v>
      </c>
      <c r="T911" s="1">
        <f t="shared" si="229"/>
        <v>35</v>
      </c>
      <c r="U911" s="1">
        <f t="shared" si="230"/>
        <v>56</v>
      </c>
      <c r="V911" s="1">
        <f t="shared" si="231"/>
        <v>47.5</v>
      </c>
      <c r="W911" s="1">
        <f t="shared" si="232"/>
        <v>52.5</v>
      </c>
      <c r="X911" s="1">
        <f t="shared" si="233"/>
        <v>15.197802197802197</v>
      </c>
      <c r="Y911" s="1">
        <f t="shared" si="234"/>
        <v>13</v>
      </c>
      <c r="Z911" s="1">
        <f t="shared" si="235"/>
        <v>14</v>
      </c>
      <c r="AA911" s="1">
        <f t="shared" si="236"/>
        <v>3.0000000000000004</v>
      </c>
      <c r="AB911" s="1">
        <f t="shared" si="237"/>
        <v>3.7071428571428569</v>
      </c>
      <c r="AC911" s="1">
        <f t="shared" si="238"/>
        <v>0</v>
      </c>
      <c r="AD911" s="1">
        <f t="shared" si="239"/>
        <v>2.5751584521168956E-2</v>
      </c>
    </row>
    <row r="912" spans="1:30" x14ac:dyDescent="0.35">
      <c r="A912" t="s">
        <v>1798</v>
      </c>
      <c r="B912" t="s">
        <v>15</v>
      </c>
      <c r="C912" t="s">
        <v>64</v>
      </c>
      <c r="D912" t="s">
        <v>17</v>
      </c>
      <c r="E912">
        <v>43</v>
      </c>
      <c r="F912" t="s">
        <v>31</v>
      </c>
      <c r="G912" t="s">
        <v>75</v>
      </c>
      <c r="H912" t="s">
        <v>1799</v>
      </c>
      <c r="I912">
        <v>15</v>
      </c>
      <c r="J912">
        <v>15</v>
      </c>
      <c r="K912">
        <v>203739</v>
      </c>
      <c r="L912">
        <v>3.4</v>
      </c>
      <c r="M912" t="s">
        <v>21</v>
      </c>
      <c r="N912">
        <v>59</v>
      </c>
      <c r="O912">
        <f t="shared" si="224"/>
        <v>90</v>
      </c>
      <c r="P912">
        <f t="shared" si="225"/>
        <v>42</v>
      </c>
      <c r="Q912">
        <f t="shared" si="226"/>
        <v>48</v>
      </c>
      <c r="R912">
        <f t="shared" si="227"/>
        <v>49.650349650349654</v>
      </c>
      <c r="S912" s="1">
        <f t="shared" si="228"/>
        <v>50.24975024975025</v>
      </c>
      <c r="T912" s="1">
        <f t="shared" si="229"/>
        <v>35</v>
      </c>
      <c r="U912" s="1">
        <f t="shared" si="230"/>
        <v>55</v>
      </c>
      <c r="V912" s="1">
        <f t="shared" si="231"/>
        <v>47.5</v>
      </c>
      <c r="W912" s="1">
        <f t="shared" si="232"/>
        <v>52.5</v>
      </c>
      <c r="X912" s="1">
        <f t="shared" si="233"/>
        <v>15.188888888888888</v>
      </c>
      <c r="Y912" s="1">
        <f t="shared" si="234"/>
        <v>13</v>
      </c>
      <c r="Z912" s="1">
        <f t="shared" si="235"/>
        <v>14</v>
      </c>
      <c r="AA912" s="1">
        <f t="shared" si="236"/>
        <v>3.0000000000000004</v>
      </c>
      <c r="AB912" s="1">
        <f t="shared" si="237"/>
        <v>3.7071428571428569</v>
      </c>
      <c r="AC912" s="1">
        <f t="shared" si="238"/>
        <v>1</v>
      </c>
      <c r="AD912" s="1">
        <f t="shared" si="239"/>
        <v>2.6983118680157507E-2</v>
      </c>
    </row>
    <row r="913" spans="1:30" x14ac:dyDescent="0.35">
      <c r="A913" t="s">
        <v>1800</v>
      </c>
      <c r="B913" t="s">
        <v>23</v>
      </c>
      <c r="C913" t="s">
        <v>52</v>
      </c>
      <c r="D913" t="s">
        <v>17</v>
      </c>
      <c r="E913">
        <v>45</v>
      </c>
      <c r="F913" t="s">
        <v>70</v>
      </c>
      <c r="G913" t="s">
        <v>61</v>
      </c>
      <c r="H913" t="s">
        <v>1801</v>
      </c>
      <c r="I913">
        <v>6</v>
      </c>
      <c r="J913">
        <v>14</v>
      </c>
      <c r="K913">
        <v>286803</v>
      </c>
      <c r="L913">
        <v>4.3</v>
      </c>
      <c r="M913" t="s">
        <v>43</v>
      </c>
      <c r="N913">
        <v>72</v>
      </c>
      <c r="O913">
        <f t="shared" si="224"/>
        <v>89</v>
      </c>
      <c r="P913">
        <f t="shared" si="225"/>
        <v>41</v>
      </c>
      <c r="Q913">
        <f t="shared" si="226"/>
        <v>48</v>
      </c>
      <c r="R913">
        <f t="shared" si="227"/>
        <v>49.650349650349654</v>
      </c>
      <c r="S913" s="1">
        <f t="shared" si="228"/>
        <v>50.24975024975025</v>
      </c>
      <c r="T913" s="1">
        <f t="shared" si="229"/>
        <v>34</v>
      </c>
      <c r="U913" s="1">
        <f t="shared" si="230"/>
        <v>55</v>
      </c>
      <c r="V913" s="1">
        <f t="shared" si="231"/>
        <v>47.5</v>
      </c>
      <c r="W913" s="1">
        <f t="shared" si="232"/>
        <v>52.5</v>
      </c>
      <c r="X913" s="1">
        <f t="shared" si="233"/>
        <v>15.191011235955056</v>
      </c>
      <c r="Y913" s="1">
        <f t="shared" si="234"/>
        <v>13</v>
      </c>
      <c r="Z913" s="1">
        <f t="shared" si="235"/>
        <v>13</v>
      </c>
      <c r="AA913" s="1">
        <f t="shared" si="236"/>
        <v>3.0000000000000004</v>
      </c>
      <c r="AB913" s="1">
        <f t="shared" si="237"/>
        <v>3.7307692307692308</v>
      </c>
      <c r="AC913" s="1">
        <f t="shared" si="238"/>
        <v>0</v>
      </c>
      <c r="AD913" s="1">
        <f t="shared" si="239"/>
        <v>2.7654767432179001E-2</v>
      </c>
    </row>
    <row r="914" spans="1:30" x14ac:dyDescent="0.35">
      <c r="A914" t="s">
        <v>1802</v>
      </c>
      <c r="B914" t="s">
        <v>60</v>
      </c>
      <c r="C914" t="s">
        <v>16</v>
      </c>
      <c r="D914" t="s">
        <v>17</v>
      </c>
      <c r="E914">
        <v>27</v>
      </c>
      <c r="F914" t="s">
        <v>18</v>
      </c>
      <c r="G914" t="s">
        <v>75</v>
      </c>
      <c r="H914" t="s">
        <v>1803</v>
      </c>
      <c r="I914">
        <v>17</v>
      </c>
      <c r="J914">
        <v>27</v>
      </c>
      <c r="K914">
        <v>381504</v>
      </c>
      <c r="L914">
        <v>3.2</v>
      </c>
      <c r="M914" t="s">
        <v>21</v>
      </c>
      <c r="N914">
        <v>70</v>
      </c>
      <c r="O914">
        <f t="shared" si="224"/>
        <v>88</v>
      </c>
      <c r="P914">
        <f t="shared" si="225"/>
        <v>40</v>
      </c>
      <c r="Q914">
        <f t="shared" si="226"/>
        <v>48</v>
      </c>
      <c r="R914">
        <f t="shared" si="227"/>
        <v>49.650349650349654</v>
      </c>
      <c r="S914" s="1">
        <f t="shared" si="228"/>
        <v>50.24975024975025</v>
      </c>
      <c r="T914" s="1">
        <f t="shared" si="229"/>
        <v>34</v>
      </c>
      <c r="U914" s="1">
        <f t="shared" si="230"/>
        <v>54</v>
      </c>
      <c r="V914" s="1">
        <f t="shared" si="231"/>
        <v>47.5</v>
      </c>
      <c r="W914" s="1">
        <f t="shared" si="232"/>
        <v>52.5</v>
      </c>
      <c r="X914" s="1">
        <f t="shared" si="233"/>
        <v>15.204545454545455</v>
      </c>
      <c r="Y914" s="1">
        <f t="shared" si="234"/>
        <v>13</v>
      </c>
      <c r="Z914" s="1">
        <f t="shared" si="235"/>
        <v>13</v>
      </c>
      <c r="AA914" s="1">
        <f t="shared" si="236"/>
        <v>3.0000000000000004</v>
      </c>
      <c r="AB914" s="1">
        <f t="shared" si="237"/>
        <v>3.7307692307692308</v>
      </c>
      <c r="AC914" s="1">
        <f t="shared" si="238"/>
        <v>1</v>
      </c>
      <c r="AD914" s="1">
        <f t="shared" si="239"/>
        <v>2.6056270191553949E-2</v>
      </c>
    </row>
    <row r="915" spans="1:30" x14ac:dyDescent="0.35">
      <c r="A915" t="s">
        <v>1804</v>
      </c>
      <c r="B915" t="s">
        <v>23</v>
      </c>
      <c r="C915" t="s">
        <v>93</v>
      </c>
      <c r="D915" t="s">
        <v>25</v>
      </c>
      <c r="E915">
        <v>28</v>
      </c>
      <c r="F915" t="s">
        <v>74</v>
      </c>
      <c r="G915" t="s">
        <v>26</v>
      </c>
      <c r="H915" t="s">
        <v>1805</v>
      </c>
      <c r="I915">
        <v>13</v>
      </c>
      <c r="J915">
        <v>20</v>
      </c>
      <c r="K915">
        <v>299661</v>
      </c>
      <c r="L915">
        <v>3.9</v>
      </c>
      <c r="M915" t="s">
        <v>43</v>
      </c>
      <c r="N915">
        <v>80</v>
      </c>
      <c r="O915">
        <f t="shared" si="224"/>
        <v>87</v>
      </c>
      <c r="P915">
        <f t="shared" si="225"/>
        <v>39</v>
      </c>
      <c r="Q915">
        <f t="shared" si="226"/>
        <v>48</v>
      </c>
      <c r="R915">
        <f t="shared" si="227"/>
        <v>49.650349650349654</v>
      </c>
      <c r="S915" s="1">
        <f t="shared" si="228"/>
        <v>50.24975024975025</v>
      </c>
      <c r="T915" s="1">
        <f t="shared" si="229"/>
        <v>33</v>
      </c>
      <c r="U915" s="1">
        <f t="shared" si="230"/>
        <v>54</v>
      </c>
      <c r="V915" s="1">
        <f t="shared" si="231"/>
        <v>47.5</v>
      </c>
      <c r="W915" s="1">
        <f t="shared" si="232"/>
        <v>52.5</v>
      </c>
      <c r="X915" s="1">
        <f t="shared" si="233"/>
        <v>15.068965517241379</v>
      </c>
      <c r="Y915" s="1">
        <f t="shared" si="234"/>
        <v>13</v>
      </c>
      <c r="Z915" s="1">
        <f t="shared" si="235"/>
        <v>13</v>
      </c>
      <c r="AA915" s="1">
        <f t="shared" si="236"/>
        <v>3.0000000000000004</v>
      </c>
      <c r="AB915" s="1">
        <f t="shared" si="237"/>
        <v>3.7307692307692308</v>
      </c>
      <c r="AC915" s="1">
        <f t="shared" si="238"/>
        <v>0</v>
      </c>
      <c r="AD915" s="1">
        <f t="shared" si="239"/>
        <v>-1.0509849187477752E-3</v>
      </c>
    </row>
    <row r="916" spans="1:30" x14ac:dyDescent="0.35">
      <c r="A916" t="s">
        <v>1806</v>
      </c>
      <c r="B916" t="s">
        <v>29</v>
      </c>
      <c r="C916" t="s">
        <v>52</v>
      </c>
      <c r="D916" t="s">
        <v>25</v>
      </c>
      <c r="E916">
        <v>35</v>
      </c>
      <c r="F916" t="s">
        <v>70</v>
      </c>
      <c r="G916" t="s">
        <v>88</v>
      </c>
      <c r="H916" t="s">
        <v>1807</v>
      </c>
      <c r="I916">
        <v>19</v>
      </c>
      <c r="J916">
        <v>19</v>
      </c>
      <c r="K916">
        <v>71547</v>
      </c>
      <c r="L916">
        <v>3.9</v>
      </c>
      <c r="M916" t="s">
        <v>21</v>
      </c>
      <c r="N916">
        <v>31</v>
      </c>
      <c r="O916">
        <f t="shared" si="224"/>
        <v>86</v>
      </c>
      <c r="P916">
        <f t="shared" si="225"/>
        <v>39</v>
      </c>
      <c r="Q916">
        <f t="shared" si="226"/>
        <v>47</v>
      </c>
      <c r="R916">
        <f t="shared" si="227"/>
        <v>49.650349650349654</v>
      </c>
      <c r="S916" s="1">
        <f t="shared" si="228"/>
        <v>50.24975024975025</v>
      </c>
      <c r="T916" s="1">
        <f t="shared" si="229"/>
        <v>33</v>
      </c>
      <c r="U916" s="1">
        <f t="shared" si="230"/>
        <v>53</v>
      </c>
      <c r="V916" s="1">
        <f t="shared" si="231"/>
        <v>47.5</v>
      </c>
      <c r="W916" s="1">
        <f t="shared" si="232"/>
        <v>52.5</v>
      </c>
      <c r="X916" s="1">
        <f t="shared" si="233"/>
        <v>15.011627906976743</v>
      </c>
      <c r="Y916" s="1">
        <f t="shared" si="234"/>
        <v>12</v>
      </c>
      <c r="Z916" s="1">
        <f t="shared" si="235"/>
        <v>13</v>
      </c>
      <c r="AA916" s="1">
        <f t="shared" si="236"/>
        <v>2.9250000000000003</v>
      </c>
      <c r="AB916" s="1">
        <f t="shared" si="237"/>
        <v>3.7307692307692308</v>
      </c>
      <c r="AC916" s="1">
        <f t="shared" si="238"/>
        <v>1</v>
      </c>
      <c r="AD916" s="1">
        <f t="shared" si="239"/>
        <v>6.2024492088665686E-3</v>
      </c>
    </row>
    <row r="917" spans="1:30" x14ac:dyDescent="0.35">
      <c r="A917" t="s">
        <v>1808</v>
      </c>
      <c r="B917" t="s">
        <v>111</v>
      </c>
      <c r="C917" t="s">
        <v>49</v>
      </c>
      <c r="D917" t="s">
        <v>25</v>
      </c>
      <c r="E917">
        <v>32</v>
      </c>
      <c r="F917" t="s">
        <v>79</v>
      </c>
      <c r="G917" t="s">
        <v>41</v>
      </c>
      <c r="H917" t="s">
        <v>1809</v>
      </c>
      <c r="I917">
        <v>0</v>
      </c>
      <c r="J917">
        <v>5</v>
      </c>
      <c r="K917">
        <v>68963</v>
      </c>
      <c r="L917">
        <v>5</v>
      </c>
      <c r="M917" t="s">
        <v>21</v>
      </c>
      <c r="N917">
        <v>44</v>
      </c>
      <c r="O917">
        <f t="shared" si="224"/>
        <v>85</v>
      </c>
      <c r="P917">
        <f t="shared" si="225"/>
        <v>39</v>
      </c>
      <c r="Q917">
        <f t="shared" si="226"/>
        <v>46</v>
      </c>
      <c r="R917">
        <f t="shared" si="227"/>
        <v>49.650349650349654</v>
      </c>
      <c r="S917" s="1">
        <f t="shared" si="228"/>
        <v>50.24975024975025</v>
      </c>
      <c r="T917" s="1">
        <f t="shared" si="229"/>
        <v>32</v>
      </c>
      <c r="U917" s="1">
        <f t="shared" si="230"/>
        <v>53</v>
      </c>
      <c r="V917" s="1">
        <f t="shared" si="231"/>
        <v>47.5</v>
      </c>
      <c r="W917" s="1">
        <f t="shared" si="232"/>
        <v>52.5</v>
      </c>
      <c r="X917" s="1">
        <f t="shared" si="233"/>
        <v>14.964705882352941</v>
      </c>
      <c r="Y917" s="1">
        <f t="shared" si="234"/>
        <v>12</v>
      </c>
      <c r="Z917" s="1">
        <f t="shared" si="235"/>
        <v>13</v>
      </c>
      <c r="AA917" s="1">
        <f t="shared" si="236"/>
        <v>2.9250000000000003</v>
      </c>
      <c r="AB917" s="1">
        <f t="shared" si="237"/>
        <v>3.7307692307692308</v>
      </c>
      <c r="AC917" s="1">
        <f t="shared" si="238"/>
        <v>1</v>
      </c>
      <c r="AD917" s="1">
        <f t="shared" si="239"/>
        <v>-3.3810460152408329E-3</v>
      </c>
    </row>
    <row r="918" spans="1:30" x14ac:dyDescent="0.35">
      <c r="A918" t="s">
        <v>1810</v>
      </c>
      <c r="B918" t="s">
        <v>60</v>
      </c>
      <c r="C918" t="s">
        <v>64</v>
      </c>
      <c r="D918" t="s">
        <v>25</v>
      </c>
      <c r="E918">
        <v>28</v>
      </c>
      <c r="F918" t="s">
        <v>18</v>
      </c>
      <c r="G918" t="s">
        <v>88</v>
      </c>
      <c r="H918" t="s">
        <v>1811</v>
      </c>
      <c r="I918">
        <v>2</v>
      </c>
      <c r="J918">
        <v>3</v>
      </c>
      <c r="K918">
        <v>235096</v>
      </c>
      <c r="L918">
        <v>2</v>
      </c>
      <c r="M918" t="s">
        <v>21</v>
      </c>
      <c r="N918">
        <v>38</v>
      </c>
      <c r="O918">
        <f t="shared" si="224"/>
        <v>84</v>
      </c>
      <c r="P918">
        <f t="shared" si="225"/>
        <v>39</v>
      </c>
      <c r="Q918">
        <f t="shared" si="226"/>
        <v>45</v>
      </c>
      <c r="R918">
        <f t="shared" si="227"/>
        <v>49.650349650349654</v>
      </c>
      <c r="S918" s="1">
        <f t="shared" si="228"/>
        <v>50.24975024975025</v>
      </c>
      <c r="T918" s="1">
        <f t="shared" si="229"/>
        <v>31</v>
      </c>
      <c r="U918" s="1">
        <f t="shared" si="230"/>
        <v>53</v>
      </c>
      <c r="V918" s="1">
        <f t="shared" si="231"/>
        <v>47.5</v>
      </c>
      <c r="W918" s="1">
        <f t="shared" si="232"/>
        <v>52.5</v>
      </c>
      <c r="X918" s="1">
        <f t="shared" si="233"/>
        <v>15.083333333333334</v>
      </c>
      <c r="Y918" s="1">
        <f t="shared" si="234"/>
        <v>12</v>
      </c>
      <c r="Z918" s="1">
        <f t="shared" si="235"/>
        <v>13</v>
      </c>
      <c r="AA918" s="1">
        <f t="shared" si="236"/>
        <v>2.9250000000000003</v>
      </c>
      <c r="AB918" s="1">
        <f t="shared" si="237"/>
        <v>3.7307692307692308</v>
      </c>
      <c r="AC918" s="1">
        <f t="shared" si="238"/>
        <v>1</v>
      </c>
      <c r="AD918" s="1">
        <f t="shared" si="239"/>
        <v>2.1575562364097852E-2</v>
      </c>
    </row>
    <row r="919" spans="1:30" x14ac:dyDescent="0.35">
      <c r="A919" t="s">
        <v>1812</v>
      </c>
      <c r="B919" t="s">
        <v>15</v>
      </c>
      <c r="C919" t="s">
        <v>24</v>
      </c>
      <c r="D919" t="s">
        <v>25</v>
      </c>
      <c r="E919">
        <v>25</v>
      </c>
      <c r="F919" t="s">
        <v>18</v>
      </c>
      <c r="G919" t="s">
        <v>85</v>
      </c>
      <c r="H919" t="s">
        <v>1813</v>
      </c>
      <c r="I919">
        <v>6</v>
      </c>
      <c r="J919">
        <v>6</v>
      </c>
      <c r="K919">
        <v>232891</v>
      </c>
      <c r="L919">
        <v>3.3</v>
      </c>
      <c r="M919" t="s">
        <v>43</v>
      </c>
      <c r="N919">
        <v>94</v>
      </c>
      <c r="O919">
        <f t="shared" si="224"/>
        <v>83</v>
      </c>
      <c r="P919">
        <f t="shared" si="225"/>
        <v>39</v>
      </c>
      <c r="Q919">
        <f t="shared" si="226"/>
        <v>44</v>
      </c>
      <c r="R919">
        <f t="shared" si="227"/>
        <v>49.650349650349654</v>
      </c>
      <c r="S919" s="1">
        <f t="shared" si="228"/>
        <v>50.24975024975025</v>
      </c>
      <c r="T919" s="1">
        <f t="shared" si="229"/>
        <v>30</v>
      </c>
      <c r="U919" s="1">
        <f t="shared" si="230"/>
        <v>53</v>
      </c>
      <c r="V919" s="1">
        <f t="shared" si="231"/>
        <v>47.5</v>
      </c>
      <c r="W919" s="1">
        <f t="shared" si="232"/>
        <v>52.5</v>
      </c>
      <c r="X919" s="1">
        <f t="shared" si="233"/>
        <v>15.228915662650602</v>
      </c>
      <c r="Y919" s="1">
        <f t="shared" si="234"/>
        <v>12</v>
      </c>
      <c r="Z919" s="1">
        <f t="shared" si="235"/>
        <v>13</v>
      </c>
      <c r="AA919" s="1">
        <f t="shared" si="236"/>
        <v>2.9250000000000003</v>
      </c>
      <c r="AB919" s="1">
        <f t="shared" si="237"/>
        <v>3.7307692307692308</v>
      </c>
      <c r="AC919" s="1">
        <f t="shared" si="238"/>
        <v>0</v>
      </c>
      <c r="AD919" s="1">
        <f t="shared" si="239"/>
        <v>5.4111678343408194E-2</v>
      </c>
    </row>
    <row r="920" spans="1:30" x14ac:dyDescent="0.35">
      <c r="A920" t="s">
        <v>1814</v>
      </c>
      <c r="B920" t="s">
        <v>23</v>
      </c>
      <c r="C920" t="s">
        <v>30</v>
      </c>
      <c r="D920" t="s">
        <v>25</v>
      </c>
      <c r="E920">
        <v>43</v>
      </c>
      <c r="F920" t="s">
        <v>74</v>
      </c>
      <c r="G920" t="s">
        <v>85</v>
      </c>
      <c r="H920" t="s">
        <v>1815</v>
      </c>
      <c r="I920">
        <v>11</v>
      </c>
      <c r="J920">
        <v>21</v>
      </c>
      <c r="K920">
        <v>157560</v>
      </c>
      <c r="L920">
        <v>2.5</v>
      </c>
      <c r="M920" t="s">
        <v>21</v>
      </c>
      <c r="N920">
        <v>38</v>
      </c>
      <c r="O920">
        <f t="shared" si="224"/>
        <v>82</v>
      </c>
      <c r="P920">
        <f t="shared" si="225"/>
        <v>39</v>
      </c>
      <c r="Q920">
        <f t="shared" si="226"/>
        <v>43</v>
      </c>
      <c r="R920">
        <f t="shared" si="227"/>
        <v>49.650349650349654</v>
      </c>
      <c r="S920" s="1">
        <f t="shared" si="228"/>
        <v>50.24975024975025</v>
      </c>
      <c r="T920" s="1">
        <f t="shared" si="229"/>
        <v>30</v>
      </c>
      <c r="U920" s="1">
        <f t="shared" si="230"/>
        <v>52</v>
      </c>
      <c r="V920" s="1">
        <f t="shared" si="231"/>
        <v>47.5</v>
      </c>
      <c r="W920" s="1">
        <f t="shared" si="232"/>
        <v>52.5</v>
      </c>
      <c r="X920" s="1">
        <f t="shared" si="233"/>
        <v>15.341463414634147</v>
      </c>
      <c r="Y920" s="1">
        <f t="shared" si="234"/>
        <v>12</v>
      </c>
      <c r="Z920" s="1">
        <f t="shared" si="235"/>
        <v>13</v>
      </c>
      <c r="AA920" s="1">
        <f t="shared" si="236"/>
        <v>2.9250000000000003</v>
      </c>
      <c r="AB920" s="1">
        <f t="shared" si="237"/>
        <v>3.7307692307692308</v>
      </c>
      <c r="AC920" s="1">
        <f t="shared" si="238"/>
        <v>1</v>
      </c>
      <c r="AD920" s="1">
        <f t="shared" si="239"/>
        <v>4.0916508015452026E-2</v>
      </c>
    </row>
    <row r="921" spans="1:30" x14ac:dyDescent="0.35">
      <c r="A921" t="s">
        <v>1816</v>
      </c>
      <c r="B921" t="s">
        <v>29</v>
      </c>
      <c r="C921" t="s">
        <v>93</v>
      </c>
      <c r="D921" t="s">
        <v>25</v>
      </c>
      <c r="E921">
        <v>50</v>
      </c>
      <c r="F921" t="s">
        <v>46</v>
      </c>
      <c r="G921" t="s">
        <v>26</v>
      </c>
      <c r="H921" t="s">
        <v>1817</v>
      </c>
      <c r="I921">
        <v>11</v>
      </c>
      <c r="J921">
        <v>19</v>
      </c>
      <c r="K921">
        <v>259498</v>
      </c>
      <c r="L921">
        <v>3.3</v>
      </c>
      <c r="M921" t="s">
        <v>43</v>
      </c>
      <c r="N921">
        <v>72</v>
      </c>
      <c r="O921">
        <f t="shared" si="224"/>
        <v>81</v>
      </c>
      <c r="P921">
        <f t="shared" si="225"/>
        <v>39</v>
      </c>
      <c r="Q921">
        <f t="shared" si="226"/>
        <v>42</v>
      </c>
      <c r="R921">
        <f t="shared" si="227"/>
        <v>49.650349650349654</v>
      </c>
      <c r="S921" s="1">
        <f t="shared" si="228"/>
        <v>50.24975024975025</v>
      </c>
      <c r="T921" s="1">
        <f t="shared" si="229"/>
        <v>29</v>
      </c>
      <c r="U921" s="1">
        <f t="shared" si="230"/>
        <v>52</v>
      </c>
      <c r="V921" s="1">
        <f t="shared" si="231"/>
        <v>47.5</v>
      </c>
      <c r="W921" s="1">
        <f t="shared" si="232"/>
        <v>52.5</v>
      </c>
      <c r="X921" s="1">
        <f t="shared" si="233"/>
        <v>15.271604938271604</v>
      </c>
      <c r="Y921" s="1">
        <f t="shared" si="234"/>
        <v>11</v>
      </c>
      <c r="Z921" s="1">
        <f t="shared" si="235"/>
        <v>13</v>
      </c>
      <c r="AA921" s="1">
        <f t="shared" si="236"/>
        <v>2.9636363636363638</v>
      </c>
      <c r="AB921" s="1">
        <f t="shared" si="237"/>
        <v>3.7307692307692308</v>
      </c>
      <c r="AC921" s="1">
        <f t="shared" si="238"/>
        <v>0</v>
      </c>
      <c r="AD921" s="1">
        <f t="shared" si="239"/>
        <v>2.61026420347065E-2</v>
      </c>
    </row>
    <row r="922" spans="1:30" x14ac:dyDescent="0.35">
      <c r="A922" t="s">
        <v>1818</v>
      </c>
      <c r="B922" t="s">
        <v>96</v>
      </c>
      <c r="C922" t="s">
        <v>36</v>
      </c>
      <c r="D922" t="s">
        <v>25</v>
      </c>
      <c r="E922">
        <v>42</v>
      </c>
      <c r="F922" t="s">
        <v>37</v>
      </c>
      <c r="G922" t="s">
        <v>88</v>
      </c>
      <c r="H922" t="s">
        <v>1819</v>
      </c>
      <c r="I922">
        <v>6</v>
      </c>
      <c r="J922">
        <v>6</v>
      </c>
      <c r="K922">
        <v>72104</v>
      </c>
      <c r="L922">
        <v>4.7</v>
      </c>
      <c r="M922" t="s">
        <v>21</v>
      </c>
      <c r="N922">
        <v>51</v>
      </c>
      <c r="O922">
        <f t="shared" si="224"/>
        <v>80</v>
      </c>
      <c r="P922">
        <f t="shared" si="225"/>
        <v>39</v>
      </c>
      <c r="Q922">
        <f t="shared" si="226"/>
        <v>41</v>
      </c>
      <c r="R922">
        <f t="shared" si="227"/>
        <v>49.650349650349654</v>
      </c>
      <c r="S922" s="1">
        <f t="shared" si="228"/>
        <v>50.24975024975025</v>
      </c>
      <c r="T922" s="1">
        <f t="shared" si="229"/>
        <v>29</v>
      </c>
      <c r="U922" s="1">
        <f t="shared" si="230"/>
        <v>51</v>
      </c>
      <c r="V922" s="1">
        <f t="shared" si="231"/>
        <v>47.5</v>
      </c>
      <c r="W922" s="1">
        <f t="shared" si="232"/>
        <v>52.5</v>
      </c>
      <c r="X922" s="1">
        <f t="shared" si="233"/>
        <v>15.225</v>
      </c>
      <c r="Y922" s="1">
        <f t="shared" si="234"/>
        <v>11</v>
      </c>
      <c r="Z922" s="1">
        <f t="shared" si="235"/>
        <v>13</v>
      </c>
      <c r="AA922" s="1">
        <f t="shared" si="236"/>
        <v>2.9636363636363638</v>
      </c>
      <c r="AB922" s="1">
        <f t="shared" si="237"/>
        <v>3.7307692307692308</v>
      </c>
      <c r="AC922" s="1">
        <f t="shared" si="238"/>
        <v>1</v>
      </c>
      <c r="AD922" s="1">
        <f t="shared" si="239"/>
        <v>3.2051950237282564E-2</v>
      </c>
    </row>
    <row r="923" spans="1:30" x14ac:dyDescent="0.35">
      <c r="A923" t="s">
        <v>1820</v>
      </c>
      <c r="B923" t="s">
        <v>111</v>
      </c>
      <c r="C923" t="s">
        <v>56</v>
      </c>
      <c r="D923" t="s">
        <v>17</v>
      </c>
      <c r="E923">
        <v>41</v>
      </c>
      <c r="F923" t="s">
        <v>37</v>
      </c>
      <c r="G923" t="s">
        <v>19</v>
      </c>
      <c r="H923" t="s">
        <v>1821</v>
      </c>
      <c r="I923">
        <v>12</v>
      </c>
      <c r="J923">
        <v>18</v>
      </c>
      <c r="K923">
        <v>363185</v>
      </c>
      <c r="L923">
        <v>4.8</v>
      </c>
      <c r="M923" t="s">
        <v>43</v>
      </c>
      <c r="N923">
        <v>75</v>
      </c>
      <c r="O923">
        <f t="shared" si="224"/>
        <v>79</v>
      </c>
      <c r="P923">
        <f t="shared" si="225"/>
        <v>39</v>
      </c>
      <c r="Q923">
        <f t="shared" si="226"/>
        <v>40</v>
      </c>
      <c r="R923">
        <f t="shared" si="227"/>
        <v>49.650349650349654</v>
      </c>
      <c r="S923" s="1">
        <f t="shared" si="228"/>
        <v>50.24975024975025</v>
      </c>
      <c r="T923" s="1">
        <f t="shared" si="229"/>
        <v>28</v>
      </c>
      <c r="U923" s="1">
        <f t="shared" si="230"/>
        <v>51</v>
      </c>
      <c r="V923" s="1">
        <f t="shared" si="231"/>
        <v>47.5</v>
      </c>
      <c r="W923" s="1">
        <f t="shared" si="232"/>
        <v>52.5</v>
      </c>
      <c r="X923" s="1">
        <f t="shared" si="233"/>
        <v>15.341772151898734</v>
      </c>
      <c r="Y923" s="1">
        <f t="shared" si="234"/>
        <v>11</v>
      </c>
      <c r="Z923" s="1">
        <f t="shared" si="235"/>
        <v>13</v>
      </c>
      <c r="AA923" s="1">
        <f t="shared" si="236"/>
        <v>2.9636363636363638</v>
      </c>
      <c r="AB923" s="1">
        <f t="shared" si="237"/>
        <v>3.7307692307692308</v>
      </c>
      <c r="AC923" s="1">
        <f t="shared" si="238"/>
        <v>0</v>
      </c>
      <c r="AD923" s="1">
        <f t="shared" si="239"/>
        <v>5.9112041358403748E-2</v>
      </c>
    </row>
    <row r="924" spans="1:30" x14ac:dyDescent="0.35">
      <c r="A924" t="s">
        <v>1822</v>
      </c>
      <c r="B924" t="s">
        <v>45</v>
      </c>
      <c r="C924" t="s">
        <v>82</v>
      </c>
      <c r="D924" t="s">
        <v>17</v>
      </c>
      <c r="E924">
        <v>42</v>
      </c>
      <c r="F924" t="s">
        <v>79</v>
      </c>
      <c r="G924" t="s">
        <v>71</v>
      </c>
      <c r="H924" t="s">
        <v>1823</v>
      </c>
      <c r="I924">
        <v>9</v>
      </c>
      <c r="J924">
        <v>12</v>
      </c>
      <c r="K924">
        <v>331640</v>
      </c>
      <c r="L924">
        <v>2.8</v>
      </c>
      <c r="M924" t="s">
        <v>43</v>
      </c>
      <c r="N924">
        <v>87</v>
      </c>
      <c r="O924">
        <f t="shared" si="224"/>
        <v>78</v>
      </c>
      <c r="P924">
        <f t="shared" si="225"/>
        <v>38</v>
      </c>
      <c r="Q924">
        <f t="shared" si="226"/>
        <v>40</v>
      </c>
      <c r="R924">
        <f t="shared" si="227"/>
        <v>49.650349650349654</v>
      </c>
      <c r="S924" s="1">
        <f t="shared" si="228"/>
        <v>50.24975024975025</v>
      </c>
      <c r="T924" s="1">
        <f t="shared" si="229"/>
        <v>28</v>
      </c>
      <c r="U924" s="1">
        <f t="shared" si="230"/>
        <v>50</v>
      </c>
      <c r="V924" s="1">
        <f t="shared" si="231"/>
        <v>47.5</v>
      </c>
      <c r="W924" s="1">
        <f t="shared" si="232"/>
        <v>52.5</v>
      </c>
      <c r="X924" s="1">
        <f t="shared" si="233"/>
        <v>15.307692307692308</v>
      </c>
      <c r="Y924" s="1">
        <f t="shared" si="234"/>
        <v>11</v>
      </c>
      <c r="Z924" s="1">
        <f t="shared" si="235"/>
        <v>13</v>
      </c>
      <c r="AA924" s="1">
        <f t="shared" si="236"/>
        <v>2.9636363636363638</v>
      </c>
      <c r="AB924" s="1">
        <f t="shared" si="237"/>
        <v>3.7307692307692308</v>
      </c>
      <c r="AC924" s="1">
        <f t="shared" si="238"/>
        <v>0</v>
      </c>
      <c r="AD924" s="1">
        <f t="shared" si="239"/>
        <v>6.3615746825326655E-2</v>
      </c>
    </row>
    <row r="925" spans="1:30" x14ac:dyDescent="0.35">
      <c r="A925" t="s">
        <v>1824</v>
      </c>
      <c r="B925" t="s">
        <v>15</v>
      </c>
      <c r="C925" t="s">
        <v>82</v>
      </c>
      <c r="D925" t="s">
        <v>25</v>
      </c>
      <c r="E925">
        <v>21</v>
      </c>
      <c r="F925" t="s">
        <v>31</v>
      </c>
      <c r="G925" t="s">
        <v>71</v>
      </c>
      <c r="H925" t="s">
        <v>1825</v>
      </c>
      <c r="I925">
        <v>20</v>
      </c>
      <c r="J925">
        <v>21</v>
      </c>
      <c r="K925">
        <v>203957</v>
      </c>
      <c r="L925">
        <v>3.7</v>
      </c>
      <c r="M925" t="s">
        <v>43</v>
      </c>
      <c r="N925">
        <v>92</v>
      </c>
      <c r="O925">
        <f t="shared" si="224"/>
        <v>77</v>
      </c>
      <c r="P925">
        <f t="shared" si="225"/>
        <v>37</v>
      </c>
      <c r="Q925">
        <f t="shared" si="226"/>
        <v>40</v>
      </c>
      <c r="R925">
        <f t="shared" si="227"/>
        <v>49.650349650349654</v>
      </c>
      <c r="S925" s="1">
        <f t="shared" si="228"/>
        <v>50.24975024975025</v>
      </c>
      <c r="T925" s="1">
        <f t="shared" si="229"/>
        <v>28</v>
      </c>
      <c r="U925" s="1">
        <f t="shared" si="230"/>
        <v>49</v>
      </c>
      <c r="V925" s="1">
        <f t="shared" si="231"/>
        <v>47.5</v>
      </c>
      <c r="W925" s="1">
        <f t="shared" si="232"/>
        <v>52.5</v>
      </c>
      <c r="X925" s="1">
        <f t="shared" si="233"/>
        <v>15.35064935064935</v>
      </c>
      <c r="Y925" s="1">
        <f t="shared" si="234"/>
        <v>11</v>
      </c>
      <c r="Z925" s="1">
        <f t="shared" si="235"/>
        <v>13</v>
      </c>
      <c r="AA925" s="1">
        <f t="shared" si="236"/>
        <v>2.9636363636363638</v>
      </c>
      <c r="AB925" s="1">
        <f t="shared" si="237"/>
        <v>3.7307692307692308</v>
      </c>
      <c r="AC925" s="1">
        <f t="shared" si="238"/>
        <v>0</v>
      </c>
      <c r="AD925" s="1">
        <f t="shared" si="239"/>
        <v>5.8623697168157719E-2</v>
      </c>
    </row>
    <row r="926" spans="1:30" x14ac:dyDescent="0.35">
      <c r="A926" t="s">
        <v>1826</v>
      </c>
      <c r="B926" t="s">
        <v>96</v>
      </c>
      <c r="C926" t="s">
        <v>49</v>
      </c>
      <c r="D926" t="s">
        <v>17</v>
      </c>
      <c r="E926">
        <v>57</v>
      </c>
      <c r="F926" t="s">
        <v>18</v>
      </c>
      <c r="G926" t="s">
        <v>75</v>
      </c>
      <c r="H926" t="s">
        <v>1827</v>
      </c>
      <c r="I926">
        <v>9</v>
      </c>
      <c r="J926">
        <v>14</v>
      </c>
      <c r="K926">
        <v>494304</v>
      </c>
      <c r="L926">
        <v>2.2000000000000002</v>
      </c>
      <c r="M926" t="s">
        <v>21</v>
      </c>
      <c r="N926">
        <v>38</v>
      </c>
      <c r="O926">
        <f t="shared" si="224"/>
        <v>76</v>
      </c>
      <c r="P926">
        <f t="shared" si="225"/>
        <v>37</v>
      </c>
      <c r="Q926">
        <f t="shared" si="226"/>
        <v>39</v>
      </c>
      <c r="R926">
        <f t="shared" si="227"/>
        <v>49.650349650349654</v>
      </c>
      <c r="S926" s="1">
        <f t="shared" si="228"/>
        <v>50.24975024975025</v>
      </c>
      <c r="T926" s="1">
        <f t="shared" si="229"/>
        <v>28</v>
      </c>
      <c r="U926" s="1">
        <f t="shared" si="230"/>
        <v>48</v>
      </c>
      <c r="V926" s="1">
        <f t="shared" si="231"/>
        <v>47.5</v>
      </c>
      <c r="W926" s="1">
        <f t="shared" si="232"/>
        <v>52.5</v>
      </c>
      <c r="X926" s="1">
        <f t="shared" si="233"/>
        <v>15.276315789473685</v>
      </c>
      <c r="Y926" s="1">
        <f t="shared" si="234"/>
        <v>11</v>
      </c>
      <c r="Z926" s="1">
        <f t="shared" si="235"/>
        <v>12</v>
      </c>
      <c r="AA926" s="1">
        <f t="shared" si="236"/>
        <v>2.9636363636363638</v>
      </c>
      <c r="AB926" s="1">
        <f t="shared" si="237"/>
        <v>3.7333333333333329</v>
      </c>
      <c r="AC926" s="1">
        <f t="shared" si="238"/>
        <v>1</v>
      </c>
      <c r="AD926" s="1">
        <f t="shared" si="239"/>
        <v>6.852828248995034E-2</v>
      </c>
    </row>
    <row r="927" spans="1:30" x14ac:dyDescent="0.35">
      <c r="A927" t="s">
        <v>1828</v>
      </c>
      <c r="B927" t="s">
        <v>60</v>
      </c>
      <c r="C927" t="s">
        <v>64</v>
      </c>
      <c r="D927" t="s">
        <v>25</v>
      </c>
      <c r="E927">
        <v>35</v>
      </c>
      <c r="F927" t="s">
        <v>74</v>
      </c>
      <c r="G927" t="s">
        <v>26</v>
      </c>
      <c r="H927" t="s">
        <v>1829</v>
      </c>
      <c r="I927">
        <v>12</v>
      </c>
      <c r="J927">
        <v>22</v>
      </c>
      <c r="K927">
        <v>171031</v>
      </c>
      <c r="L927">
        <v>4.0999999999999996</v>
      </c>
      <c r="M927" t="s">
        <v>21</v>
      </c>
      <c r="N927">
        <v>56</v>
      </c>
      <c r="O927">
        <f t="shared" si="224"/>
        <v>75</v>
      </c>
      <c r="P927">
        <f t="shared" si="225"/>
        <v>36</v>
      </c>
      <c r="Q927">
        <f t="shared" si="226"/>
        <v>39</v>
      </c>
      <c r="R927">
        <f t="shared" si="227"/>
        <v>49.650349650349654</v>
      </c>
      <c r="S927" s="1">
        <f t="shared" si="228"/>
        <v>50.24975024975025</v>
      </c>
      <c r="T927" s="1">
        <f t="shared" si="229"/>
        <v>27</v>
      </c>
      <c r="U927" s="1">
        <f t="shared" si="230"/>
        <v>48</v>
      </c>
      <c r="V927" s="1">
        <f t="shared" si="231"/>
        <v>47.5</v>
      </c>
      <c r="W927" s="1">
        <f t="shared" si="232"/>
        <v>52.5</v>
      </c>
      <c r="X927" s="1">
        <f t="shared" si="233"/>
        <v>15.293333333333333</v>
      </c>
      <c r="Y927" s="1">
        <f t="shared" si="234"/>
        <v>11</v>
      </c>
      <c r="Z927" s="1">
        <f t="shared" si="235"/>
        <v>12</v>
      </c>
      <c r="AA927" s="1">
        <f t="shared" si="236"/>
        <v>2.9636363636363638</v>
      </c>
      <c r="AB927" s="1">
        <f t="shared" si="237"/>
        <v>3.7333333333333329</v>
      </c>
      <c r="AC927" s="1">
        <f t="shared" si="238"/>
        <v>1</v>
      </c>
      <c r="AD927" s="1">
        <f t="shared" si="239"/>
        <v>7.3056738603937563E-2</v>
      </c>
    </row>
    <row r="928" spans="1:30" x14ac:dyDescent="0.35">
      <c r="A928" t="s">
        <v>1830</v>
      </c>
      <c r="B928" t="s">
        <v>111</v>
      </c>
      <c r="C928" t="s">
        <v>64</v>
      </c>
      <c r="D928" t="s">
        <v>17</v>
      </c>
      <c r="E928">
        <v>33</v>
      </c>
      <c r="F928" t="s">
        <v>74</v>
      </c>
      <c r="G928" t="s">
        <v>71</v>
      </c>
      <c r="H928" t="s">
        <v>97</v>
      </c>
      <c r="I928">
        <v>16</v>
      </c>
      <c r="J928">
        <v>26</v>
      </c>
      <c r="K928">
        <v>359966</v>
      </c>
      <c r="L928">
        <v>4.2</v>
      </c>
      <c r="M928" t="s">
        <v>21</v>
      </c>
      <c r="N928">
        <v>57</v>
      </c>
      <c r="O928">
        <f t="shared" si="224"/>
        <v>74</v>
      </c>
      <c r="P928">
        <f t="shared" si="225"/>
        <v>36</v>
      </c>
      <c r="Q928">
        <f t="shared" si="226"/>
        <v>38</v>
      </c>
      <c r="R928">
        <f t="shared" si="227"/>
        <v>49.650349650349654</v>
      </c>
      <c r="S928" s="1">
        <f t="shared" si="228"/>
        <v>50.24975024975025</v>
      </c>
      <c r="T928" s="1">
        <f t="shared" si="229"/>
        <v>26</v>
      </c>
      <c r="U928" s="1">
        <f t="shared" si="230"/>
        <v>48</v>
      </c>
      <c r="V928" s="1">
        <f t="shared" si="231"/>
        <v>47.5</v>
      </c>
      <c r="W928" s="1">
        <f t="shared" si="232"/>
        <v>52.5</v>
      </c>
      <c r="X928" s="1">
        <f t="shared" si="233"/>
        <v>15.202702702702704</v>
      </c>
      <c r="Y928" s="1">
        <f t="shared" si="234"/>
        <v>10</v>
      </c>
      <c r="Z928" s="1">
        <f t="shared" si="235"/>
        <v>12</v>
      </c>
      <c r="AA928" s="1">
        <f t="shared" si="236"/>
        <v>2.85</v>
      </c>
      <c r="AB928" s="1">
        <f t="shared" si="237"/>
        <v>3.7333333333333329</v>
      </c>
      <c r="AC928" s="1">
        <f t="shared" si="238"/>
        <v>1</v>
      </c>
      <c r="AD928" s="1">
        <f t="shared" si="239"/>
        <v>5.4387942989783666E-2</v>
      </c>
    </row>
    <row r="929" spans="1:30" x14ac:dyDescent="0.35">
      <c r="A929" t="s">
        <v>1831</v>
      </c>
      <c r="B929" t="s">
        <v>60</v>
      </c>
      <c r="C929" t="s">
        <v>93</v>
      </c>
      <c r="D929" t="s">
        <v>25</v>
      </c>
      <c r="E929">
        <v>27</v>
      </c>
      <c r="F929" t="s">
        <v>37</v>
      </c>
      <c r="G929" t="s">
        <v>61</v>
      </c>
      <c r="H929" t="s">
        <v>399</v>
      </c>
      <c r="I929">
        <v>3</v>
      </c>
      <c r="J929">
        <v>10</v>
      </c>
      <c r="K929">
        <v>419585</v>
      </c>
      <c r="L929">
        <v>4.2</v>
      </c>
      <c r="M929" t="s">
        <v>21</v>
      </c>
      <c r="N929">
        <v>49</v>
      </c>
      <c r="O929">
        <f t="shared" si="224"/>
        <v>73</v>
      </c>
      <c r="P929">
        <f t="shared" si="225"/>
        <v>35</v>
      </c>
      <c r="Q929">
        <f t="shared" si="226"/>
        <v>38</v>
      </c>
      <c r="R929">
        <f t="shared" si="227"/>
        <v>49.650349650349654</v>
      </c>
      <c r="S929" s="1">
        <f t="shared" si="228"/>
        <v>50.24975024975025</v>
      </c>
      <c r="T929" s="1">
        <f t="shared" si="229"/>
        <v>25</v>
      </c>
      <c r="U929" s="1">
        <f t="shared" si="230"/>
        <v>48</v>
      </c>
      <c r="V929" s="1">
        <f t="shared" si="231"/>
        <v>47.5</v>
      </c>
      <c r="W929" s="1">
        <f t="shared" si="232"/>
        <v>52.5</v>
      </c>
      <c r="X929" s="1">
        <f t="shared" si="233"/>
        <v>15.054794520547945</v>
      </c>
      <c r="Y929" s="1">
        <f t="shared" si="234"/>
        <v>9</v>
      </c>
      <c r="Z929" s="1">
        <f t="shared" si="235"/>
        <v>12</v>
      </c>
      <c r="AA929" s="1">
        <f t="shared" si="236"/>
        <v>2.6999999999999997</v>
      </c>
      <c r="AB929" s="1">
        <f t="shared" si="237"/>
        <v>3.7333333333333329</v>
      </c>
      <c r="AC929" s="1">
        <f t="shared" si="238"/>
        <v>1</v>
      </c>
      <c r="AD929" s="1">
        <f t="shared" si="239"/>
        <v>2.2226992988577946E-2</v>
      </c>
    </row>
    <row r="930" spans="1:30" x14ac:dyDescent="0.35">
      <c r="A930" t="s">
        <v>1832</v>
      </c>
      <c r="B930" t="s">
        <v>35</v>
      </c>
      <c r="C930" t="s">
        <v>24</v>
      </c>
      <c r="D930" t="s">
        <v>25</v>
      </c>
      <c r="E930">
        <v>58</v>
      </c>
      <c r="F930" t="s">
        <v>18</v>
      </c>
      <c r="G930" t="s">
        <v>57</v>
      </c>
      <c r="H930" t="s">
        <v>1833</v>
      </c>
      <c r="I930">
        <v>0</v>
      </c>
      <c r="J930">
        <v>10</v>
      </c>
      <c r="K930">
        <v>178007</v>
      </c>
      <c r="L930">
        <v>2.2000000000000002</v>
      </c>
      <c r="M930" t="s">
        <v>43</v>
      </c>
      <c r="N930">
        <v>88</v>
      </c>
      <c r="O930">
        <f t="shared" si="224"/>
        <v>72</v>
      </c>
      <c r="P930">
        <f t="shared" si="225"/>
        <v>35</v>
      </c>
      <c r="Q930">
        <f t="shared" si="226"/>
        <v>37</v>
      </c>
      <c r="R930">
        <f t="shared" si="227"/>
        <v>49.650349650349654</v>
      </c>
      <c r="S930" s="1">
        <f t="shared" si="228"/>
        <v>50.24975024975025</v>
      </c>
      <c r="T930" s="1">
        <f t="shared" si="229"/>
        <v>24</v>
      </c>
      <c r="U930" s="1">
        <f t="shared" si="230"/>
        <v>48</v>
      </c>
      <c r="V930" s="1">
        <f t="shared" si="231"/>
        <v>47.5</v>
      </c>
      <c r="W930" s="1">
        <f t="shared" si="232"/>
        <v>52.5</v>
      </c>
      <c r="X930" s="1">
        <f t="shared" si="233"/>
        <v>15.125</v>
      </c>
      <c r="Y930" s="1">
        <f t="shared" si="234"/>
        <v>9</v>
      </c>
      <c r="Z930" s="1">
        <f t="shared" si="235"/>
        <v>12</v>
      </c>
      <c r="AA930" s="1">
        <f t="shared" si="236"/>
        <v>2.6999999999999997</v>
      </c>
      <c r="AB930" s="1">
        <f t="shared" si="237"/>
        <v>3.7333333333333329</v>
      </c>
      <c r="AC930" s="1">
        <f t="shared" si="238"/>
        <v>0</v>
      </c>
      <c r="AD930" s="1">
        <f t="shared" si="239"/>
        <v>3.9118985927759684E-2</v>
      </c>
    </row>
    <row r="931" spans="1:30" x14ac:dyDescent="0.35">
      <c r="A931" t="s">
        <v>1834</v>
      </c>
      <c r="B931" t="s">
        <v>60</v>
      </c>
      <c r="C931" t="s">
        <v>16</v>
      </c>
      <c r="D931" t="s">
        <v>17</v>
      </c>
      <c r="E931">
        <v>58</v>
      </c>
      <c r="F931" t="s">
        <v>70</v>
      </c>
      <c r="G931" t="s">
        <v>61</v>
      </c>
      <c r="H931" t="s">
        <v>1835</v>
      </c>
      <c r="I931">
        <v>13</v>
      </c>
      <c r="J931">
        <v>14</v>
      </c>
      <c r="K931">
        <v>396483</v>
      </c>
      <c r="L931">
        <v>4.2</v>
      </c>
      <c r="M931" t="s">
        <v>21</v>
      </c>
      <c r="N931">
        <v>47</v>
      </c>
      <c r="O931">
        <f t="shared" si="224"/>
        <v>71</v>
      </c>
      <c r="P931">
        <f t="shared" si="225"/>
        <v>35</v>
      </c>
      <c r="Q931">
        <f t="shared" si="226"/>
        <v>36</v>
      </c>
      <c r="R931">
        <f t="shared" si="227"/>
        <v>49.650349650349654</v>
      </c>
      <c r="S931" s="1">
        <f t="shared" si="228"/>
        <v>50.24975024975025</v>
      </c>
      <c r="T931" s="1">
        <f t="shared" si="229"/>
        <v>24</v>
      </c>
      <c r="U931" s="1">
        <f t="shared" si="230"/>
        <v>47</v>
      </c>
      <c r="V931" s="1">
        <f t="shared" si="231"/>
        <v>47.5</v>
      </c>
      <c r="W931" s="1">
        <f t="shared" si="232"/>
        <v>52.5</v>
      </c>
      <c r="X931" s="1">
        <f t="shared" si="233"/>
        <v>15.19718309859155</v>
      </c>
      <c r="Y931" s="1">
        <f t="shared" si="234"/>
        <v>9</v>
      </c>
      <c r="Z931" s="1">
        <f t="shared" si="235"/>
        <v>12</v>
      </c>
      <c r="AA931" s="1">
        <f t="shared" si="236"/>
        <v>2.6999999999999997</v>
      </c>
      <c r="AB931" s="1">
        <f t="shared" si="237"/>
        <v>3.7333333333333329</v>
      </c>
      <c r="AC931" s="1">
        <f t="shared" si="238"/>
        <v>1</v>
      </c>
      <c r="AD931" s="1">
        <f t="shared" si="239"/>
        <v>3.0914197387409272E-2</v>
      </c>
    </row>
    <row r="932" spans="1:30" x14ac:dyDescent="0.35">
      <c r="A932" t="s">
        <v>1836</v>
      </c>
      <c r="B932" t="s">
        <v>55</v>
      </c>
      <c r="C932" t="s">
        <v>93</v>
      </c>
      <c r="D932" t="s">
        <v>17</v>
      </c>
      <c r="E932">
        <v>43</v>
      </c>
      <c r="F932" t="s">
        <v>79</v>
      </c>
      <c r="G932" t="s">
        <v>32</v>
      </c>
      <c r="H932" t="s">
        <v>1837</v>
      </c>
      <c r="I932">
        <v>16</v>
      </c>
      <c r="J932">
        <v>22</v>
      </c>
      <c r="K932">
        <v>334610</v>
      </c>
      <c r="L932">
        <v>4.0999999999999996</v>
      </c>
      <c r="M932" t="s">
        <v>43</v>
      </c>
      <c r="N932">
        <v>85</v>
      </c>
      <c r="O932">
        <f t="shared" si="224"/>
        <v>70</v>
      </c>
      <c r="P932">
        <f t="shared" si="225"/>
        <v>34</v>
      </c>
      <c r="Q932">
        <f t="shared" si="226"/>
        <v>36</v>
      </c>
      <c r="R932">
        <f t="shared" si="227"/>
        <v>49.650349650349654</v>
      </c>
      <c r="S932" s="1">
        <f t="shared" si="228"/>
        <v>50.24975024975025</v>
      </c>
      <c r="T932" s="1">
        <f t="shared" si="229"/>
        <v>23</v>
      </c>
      <c r="U932" s="1">
        <f t="shared" si="230"/>
        <v>47</v>
      </c>
      <c r="V932" s="1">
        <f t="shared" si="231"/>
        <v>47.5</v>
      </c>
      <c r="W932" s="1">
        <f t="shared" si="232"/>
        <v>52.5</v>
      </c>
      <c r="X932" s="1">
        <f t="shared" si="233"/>
        <v>15.214285714285714</v>
      </c>
      <c r="Y932" s="1">
        <f t="shared" si="234"/>
        <v>9</v>
      </c>
      <c r="Z932" s="1">
        <f t="shared" si="235"/>
        <v>12</v>
      </c>
      <c r="AA932" s="1">
        <f t="shared" si="236"/>
        <v>2.6999999999999997</v>
      </c>
      <c r="AB932" s="1">
        <f t="shared" si="237"/>
        <v>3.7333333333333329</v>
      </c>
      <c r="AC932" s="1">
        <f t="shared" si="238"/>
        <v>0</v>
      </c>
      <c r="AD932" s="1">
        <f t="shared" si="239"/>
        <v>3.5387270520071637E-2</v>
      </c>
    </row>
    <row r="933" spans="1:30" x14ac:dyDescent="0.35">
      <c r="A933" t="s">
        <v>1838</v>
      </c>
      <c r="B933" t="s">
        <v>40</v>
      </c>
      <c r="C933" t="s">
        <v>49</v>
      </c>
      <c r="D933" t="s">
        <v>25</v>
      </c>
      <c r="E933">
        <v>53</v>
      </c>
      <c r="F933" t="s">
        <v>70</v>
      </c>
      <c r="G933" t="s">
        <v>41</v>
      </c>
      <c r="H933" t="s">
        <v>1839</v>
      </c>
      <c r="I933">
        <v>12</v>
      </c>
      <c r="J933">
        <v>15</v>
      </c>
      <c r="K933">
        <v>126035</v>
      </c>
      <c r="L933">
        <v>2.6</v>
      </c>
      <c r="M933" t="s">
        <v>21</v>
      </c>
      <c r="N933">
        <v>70</v>
      </c>
      <c r="O933">
        <f t="shared" si="224"/>
        <v>69</v>
      </c>
      <c r="P933">
        <f t="shared" si="225"/>
        <v>33</v>
      </c>
      <c r="Q933">
        <f t="shared" si="226"/>
        <v>36</v>
      </c>
      <c r="R933">
        <f t="shared" si="227"/>
        <v>49.650349650349654</v>
      </c>
      <c r="S933" s="1">
        <f t="shared" si="228"/>
        <v>50.24975024975025</v>
      </c>
      <c r="T933" s="1">
        <f t="shared" si="229"/>
        <v>23</v>
      </c>
      <c r="U933" s="1">
        <f t="shared" si="230"/>
        <v>46</v>
      </c>
      <c r="V933" s="1">
        <f t="shared" si="231"/>
        <v>47.5</v>
      </c>
      <c r="W933" s="1">
        <f t="shared" si="232"/>
        <v>52.5</v>
      </c>
      <c r="X933" s="1">
        <f t="shared" si="233"/>
        <v>15.115942028985508</v>
      </c>
      <c r="Y933" s="1">
        <f t="shared" si="234"/>
        <v>9</v>
      </c>
      <c r="Z933" s="1">
        <f t="shared" si="235"/>
        <v>12</v>
      </c>
      <c r="AA933" s="1">
        <f t="shared" si="236"/>
        <v>2.6999999999999997</v>
      </c>
      <c r="AB933" s="1">
        <f t="shared" si="237"/>
        <v>3.7333333333333329</v>
      </c>
      <c r="AC933" s="1">
        <f t="shared" si="238"/>
        <v>1</v>
      </c>
      <c r="AD933" s="1">
        <f t="shared" si="239"/>
        <v>4.7302156470001244E-2</v>
      </c>
    </row>
    <row r="934" spans="1:30" x14ac:dyDescent="0.35">
      <c r="A934" t="s">
        <v>1840</v>
      </c>
      <c r="B934" t="s">
        <v>23</v>
      </c>
      <c r="C934" t="s">
        <v>82</v>
      </c>
      <c r="D934" t="s">
        <v>17</v>
      </c>
      <c r="E934">
        <v>27</v>
      </c>
      <c r="F934" t="s">
        <v>79</v>
      </c>
      <c r="G934" t="s">
        <v>75</v>
      </c>
      <c r="H934" t="s">
        <v>1841</v>
      </c>
      <c r="I934">
        <v>12</v>
      </c>
      <c r="J934">
        <v>22</v>
      </c>
      <c r="K934">
        <v>99298</v>
      </c>
      <c r="L934">
        <v>2.4</v>
      </c>
      <c r="M934" t="s">
        <v>43</v>
      </c>
      <c r="N934">
        <v>82</v>
      </c>
      <c r="O934">
        <f t="shared" si="224"/>
        <v>68</v>
      </c>
      <c r="P934">
        <f t="shared" si="225"/>
        <v>33</v>
      </c>
      <c r="Q934">
        <f t="shared" si="226"/>
        <v>35</v>
      </c>
      <c r="R934">
        <f t="shared" si="227"/>
        <v>49.650349650349654</v>
      </c>
      <c r="S934" s="1">
        <f t="shared" si="228"/>
        <v>50.24975024975025</v>
      </c>
      <c r="T934" s="1">
        <f t="shared" si="229"/>
        <v>22</v>
      </c>
      <c r="U934" s="1">
        <f t="shared" si="230"/>
        <v>46</v>
      </c>
      <c r="V934" s="1">
        <f t="shared" si="231"/>
        <v>47.5</v>
      </c>
      <c r="W934" s="1">
        <f t="shared" si="232"/>
        <v>52.5</v>
      </c>
      <c r="X934" s="1">
        <f t="shared" si="233"/>
        <v>15.117647058823529</v>
      </c>
      <c r="Y934" s="1">
        <f t="shared" si="234"/>
        <v>9</v>
      </c>
      <c r="Z934" s="1">
        <f t="shared" si="235"/>
        <v>12</v>
      </c>
      <c r="AA934" s="1">
        <f t="shared" si="236"/>
        <v>2.6999999999999997</v>
      </c>
      <c r="AB934" s="1">
        <f t="shared" si="237"/>
        <v>3.7333333333333329</v>
      </c>
      <c r="AC934" s="1">
        <f t="shared" si="238"/>
        <v>0</v>
      </c>
      <c r="AD934" s="1">
        <f t="shared" si="239"/>
        <v>4.8417111910631021E-2</v>
      </c>
    </row>
    <row r="935" spans="1:30" x14ac:dyDescent="0.35">
      <c r="A935" t="s">
        <v>1842</v>
      </c>
      <c r="B935" t="s">
        <v>60</v>
      </c>
      <c r="C935" t="s">
        <v>93</v>
      </c>
      <c r="D935" t="s">
        <v>17</v>
      </c>
      <c r="E935">
        <v>37</v>
      </c>
      <c r="F935" t="s">
        <v>79</v>
      </c>
      <c r="G935" t="s">
        <v>88</v>
      </c>
      <c r="H935" t="s">
        <v>845</v>
      </c>
      <c r="I935">
        <v>14</v>
      </c>
      <c r="J935">
        <v>17</v>
      </c>
      <c r="K935">
        <v>203604</v>
      </c>
      <c r="L935">
        <v>2.9</v>
      </c>
      <c r="M935" t="s">
        <v>43</v>
      </c>
      <c r="N935">
        <v>83</v>
      </c>
      <c r="O935">
        <f t="shared" si="224"/>
        <v>67</v>
      </c>
      <c r="P935">
        <f t="shared" si="225"/>
        <v>32</v>
      </c>
      <c r="Q935">
        <f t="shared" si="226"/>
        <v>35</v>
      </c>
      <c r="R935">
        <f t="shared" si="227"/>
        <v>49.650349650349654</v>
      </c>
      <c r="S935" s="1">
        <f t="shared" si="228"/>
        <v>50.24975024975025</v>
      </c>
      <c r="T935" s="1">
        <f t="shared" si="229"/>
        <v>22</v>
      </c>
      <c r="U935" s="1">
        <f t="shared" si="230"/>
        <v>45</v>
      </c>
      <c r="V935" s="1">
        <f t="shared" si="231"/>
        <v>47.5</v>
      </c>
      <c r="W935" s="1">
        <f t="shared" si="232"/>
        <v>52.5</v>
      </c>
      <c r="X935" s="1">
        <f t="shared" si="233"/>
        <v>15.014925373134329</v>
      </c>
      <c r="Y935" s="1">
        <f t="shared" si="234"/>
        <v>9</v>
      </c>
      <c r="Z935" s="1">
        <f t="shared" si="235"/>
        <v>12</v>
      </c>
      <c r="AA935" s="1">
        <f t="shared" si="236"/>
        <v>2.6999999999999997</v>
      </c>
      <c r="AB935" s="1">
        <f t="shared" si="237"/>
        <v>3.7333333333333329</v>
      </c>
      <c r="AC935" s="1">
        <f t="shared" si="238"/>
        <v>0</v>
      </c>
      <c r="AD935" s="1">
        <f t="shared" si="239"/>
        <v>6.0836776119924475E-2</v>
      </c>
    </row>
    <row r="936" spans="1:30" x14ac:dyDescent="0.35">
      <c r="A936" t="s">
        <v>1843</v>
      </c>
      <c r="B936" t="s">
        <v>45</v>
      </c>
      <c r="C936" t="s">
        <v>49</v>
      </c>
      <c r="D936" t="s">
        <v>17</v>
      </c>
      <c r="E936">
        <v>56</v>
      </c>
      <c r="F936" t="s">
        <v>79</v>
      </c>
      <c r="G936" t="s">
        <v>19</v>
      </c>
      <c r="H936" t="s">
        <v>1844</v>
      </c>
      <c r="I936">
        <v>12</v>
      </c>
      <c r="J936">
        <v>19</v>
      </c>
      <c r="K936">
        <v>407946</v>
      </c>
      <c r="L936">
        <v>3.7</v>
      </c>
      <c r="M936" t="s">
        <v>43</v>
      </c>
      <c r="N936">
        <v>75</v>
      </c>
      <c r="O936">
        <f t="shared" si="224"/>
        <v>66</v>
      </c>
      <c r="P936">
        <f t="shared" si="225"/>
        <v>31</v>
      </c>
      <c r="Q936">
        <f t="shared" si="226"/>
        <v>35</v>
      </c>
      <c r="R936">
        <f t="shared" si="227"/>
        <v>49.650349650349654</v>
      </c>
      <c r="S936" s="1">
        <f t="shared" si="228"/>
        <v>50.24975024975025</v>
      </c>
      <c r="T936" s="1">
        <f t="shared" si="229"/>
        <v>22</v>
      </c>
      <c r="U936" s="1">
        <f t="shared" si="230"/>
        <v>44</v>
      </c>
      <c r="V936" s="1">
        <f t="shared" si="231"/>
        <v>47.5</v>
      </c>
      <c r="W936" s="1">
        <f t="shared" si="232"/>
        <v>52.5</v>
      </c>
      <c r="X936" s="1">
        <f t="shared" si="233"/>
        <v>14.984848484848484</v>
      </c>
      <c r="Y936" s="1">
        <f t="shared" si="234"/>
        <v>9</v>
      </c>
      <c r="Z936" s="1">
        <f t="shared" si="235"/>
        <v>12</v>
      </c>
      <c r="AA936" s="1">
        <f t="shared" si="236"/>
        <v>2.6999999999999997</v>
      </c>
      <c r="AB936" s="1">
        <f t="shared" si="237"/>
        <v>3.7333333333333329</v>
      </c>
      <c r="AC936" s="1">
        <f t="shared" si="238"/>
        <v>0</v>
      </c>
      <c r="AD936" s="1">
        <f t="shared" si="239"/>
        <v>6.4577048067465406E-2</v>
      </c>
    </row>
    <row r="937" spans="1:30" x14ac:dyDescent="0.35">
      <c r="A937" t="s">
        <v>1845</v>
      </c>
      <c r="B937" t="s">
        <v>96</v>
      </c>
      <c r="C937" t="s">
        <v>49</v>
      </c>
      <c r="D937" t="s">
        <v>17</v>
      </c>
      <c r="E937">
        <v>58</v>
      </c>
      <c r="F937" t="s">
        <v>46</v>
      </c>
      <c r="G937" t="s">
        <v>88</v>
      </c>
      <c r="H937" t="s">
        <v>1846</v>
      </c>
      <c r="I937">
        <v>15</v>
      </c>
      <c r="J937">
        <v>15</v>
      </c>
      <c r="K937">
        <v>392713</v>
      </c>
      <c r="L937">
        <v>2.4</v>
      </c>
      <c r="M937" t="s">
        <v>43</v>
      </c>
      <c r="N937">
        <v>100</v>
      </c>
      <c r="O937">
        <f t="shared" si="224"/>
        <v>65</v>
      </c>
      <c r="P937">
        <f t="shared" si="225"/>
        <v>30</v>
      </c>
      <c r="Q937">
        <f t="shared" si="226"/>
        <v>35</v>
      </c>
      <c r="R937">
        <f t="shared" si="227"/>
        <v>49.650349650349654</v>
      </c>
      <c r="S937" s="1">
        <f t="shared" si="228"/>
        <v>50.24975024975025</v>
      </c>
      <c r="T937" s="1">
        <f t="shared" si="229"/>
        <v>22</v>
      </c>
      <c r="U937" s="1">
        <f t="shared" si="230"/>
        <v>43</v>
      </c>
      <c r="V937" s="1">
        <f t="shared" si="231"/>
        <v>47.5</v>
      </c>
      <c r="W937" s="1">
        <f t="shared" si="232"/>
        <v>52.5</v>
      </c>
      <c r="X937" s="1">
        <f t="shared" si="233"/>
        <v>14.923076923076923</v>
      </c>
      <c r="Y937" s="1">
        <f t="shared" si="234"/>
        <v>9</v>
      </c>
      <c r="Z937" s="1">
        <f t="shared" si="235"/>
        <v>12</v>
      </c>
      <c r="AA937" s="1">
        <f t="shared" si="236"/>
        <v>2.6999999999999997</v>
      </c>
      <c r="AB937" s="1">
        <f t="shared" si="237"/>
        <v>3.7333333333333329</v>
      </c>
      <c r="AC937" s="1">
        <f t="shared" si="238"/>
        <v>0</v>
      </c>
      <c r="AD937" s="1">
        <f t="shared" si="239"/>
        <v>7.2207978920319479E-2</v>
      </c>
    </row>
    <row r="938" spans="1:30" x14ac:dyDescent="0.35">
      <c r="A938" t="s">
        <v>1847</v>
      </c>
      <c r="B938" t="s">
        <v>69</v>
      </c>
      <c r="C938" t="s">
        <v>24</v>
      </c>
      <c r="D938" t="s">
        <v>25</v>
      </c>
      <c r="E938">
        <v>57</v>
      </c>
      <c r="F938" t="s">
        <v>46</v>
      </c>
      <c r="G938" t="s">
        <v>61</v>
      </c>
      <c r="H938" t="s">
        <v>1848</v>
      </c>
      <c r="I938">
        <v>5</v>
      </c>
      <c r="J938">
        <v>7</v>
      </c>
      <c r="K938">
        <v>425192</v>
      </c>
      <c r="L938">
        <v>2.6</v>
      </c>
      <c r="M938" t="s">
        <v>21</v>
      </c>
      <c r="N938">
        <v>58</v>
      </c>
      <c r="O938">
        <f t="shared" si="224"/>
        <v>64</v>
      </c>
      <c r="P938">
        <f t="shared" si="225"/>
        <v>29</v>
      </c>
      <c r="Q938">
        <f t="shared" si="226"/>
        <v>35</v>
      </c>
      <c r="R938">
        <f t="shared" si="227"/>
        <v>49.650349650349654</v>
      </c>
      <c r="S938" s="1">
        <f t="shared" si="228"/>
        <v>50.24975024975025</v>
      </c>
      <c r="T938" s="1">
        <f t="shared" si="229"/>
        <v>22</v>
      </c>
      <c r="U938" s="1">
        <f t="shared" si="230"/>
        <v>42</v>
      </c>
      <c r="V938" s="1">
        <f t="shared" si="231"/>
        <v>47.5</v>
      </c>
      <c r="W938" s="1">
        <f t="shared" si="232"/>
        <v>52.5</v>
      </c>
      <c r="X938" s="1">
        <f t="shared" si="233"/>
        <v>14.921875</v>
      </c>
      <c r="Y938" s="1">
        <f t="shared" si="234"/>
        <v>9</v>
      </c>
      <c r="Z938" s="1">
        <f t="shared" si="235"/>
        <v>12</v>
      </c>
      <c r="AA938" s="1">
        <f t="shared" si="236"/>
        <v>2.6999999999999997</v>
      </c>
      <c r="AB938" s="1">
        <f t="shared" si="237"/>
        <v>3.7333333333333329</v>
      </c>
      <c r="AC938" s="1">
        <f t="shared" si="238"/>
        <v>1</v>
      </c>
      <c r="AD938" s="1">
        <f t="shared" si="239"/>
        <v>7.2638438689959936E-2</v>
      </c>
    </row>
    <row r="939" spans="1:30" x14ac:dyDescent="0.35">
      <c r="A939" t="s">
        <v>1849</v>
      </c>
      <c r="B939" t="s">
        <v>35</v>
      </c>
      <c r="C939" t="s">
        <v>30</v>
      </c>
      <c r="D939" t="s">
        <v>25</v>
      </c>
      <c r="E939">
        <v>31</v>
      </c>
      <c r="F939" t="s">
        <v>46</v>
      </c>
      <c r="G939" t="s">
        <v>75</v>
      </c>
      <c r="H939" t="s">
        <v>1850</v>
      </c>
      <c r="I939">
        <v>13</v>
      </c>
      <c r="J939">
        <v>20</v>
      </c>
      <c r="K939">
        <v>484678</v>
      </c>
      <c r="L939">
        <v>4.5</v>
      </c>
      <c r="M939" t="s">
        <v>21</v>
      </c>
      <c r="N939">
        <v>65</v>
      </c>
      <c r="O939">
        <f t="shared" si="224"/>
        <v>63</v>
      </c>
      <c r="P939">
        <f t="shared" si="225"/>
        <v>29</v>
      </c>
      <c r="Q939">
        <f t="shared" si="226"/>
        <v>34</v>
      </c>
      <c r="R939">
        <f t="shared" si="227"/>
        <v>49.650349650349654</v>
      </c>
      <c r="S939" s="1">
        <f t="shared" si="228"/>
        <v>50.24975024975025</v>
      </c>
      <c r="T939" s="1">
        <f t="shared" si="229"/>
        <v>21</v>
      </c>
      <c r="U939" s="1">
        <f t="shared" si="230"/>
        <v>42</v>
      </c>
      <c r="V939" s="1">
        <f t="shared" si="231"/>
        <v>47.5</v>
      </c>
      <c r="W939" s="1">
        <f t="shared" si="232"/>
        <v>52.5</v>
      </c>
      <c r="X939" s="1">
        <f t="shared" si="233"/>
        <v>15.047619047619047</v>
      </c>
      <c r="Y939" s="1">
        <f t="shared" si="234"/>
        <v>9</v>
      </c>
      <c r="Z939" s="1">
        <f t="shared" si="235"/>
        <v>12</v>
      </c>
      <c r="AA939" s="1">
        <f t="shared" si="236"/>
        <v>2.6999999999999997</v>
      </c>
      <c r="AB939" s="1">
        <f t="shared" si="237"/>
        <v>3.7333333333333329</v>
      </c>
      <c r="AC939" s="1">
        <f t="shared" si="238"/>
        <v>1</v>
      </c>
      <c r="AD939" s="1">
        <f t="shared" si="239"/>
        <v>0.10350573798959714</v>
      </c>
    </row>
    <row r="940" spans="1:30" x14ac:dyDescent="0.35">
      <c r="A940" t="s">
        <v>1851</v>
      </c>
      <c r="B940" t="s">
        <v>78</v>
      </c>
      <c r="C940" t="s">
        <v>24</v>
      </c>
      <c r="D940" t="s">
        <v>17</v>
      </c>
      <c r="E940">
        <v>36</v>
      </c>
      <c r="F940" t="s">
        <v>70</v>
      </c>
      <c r="G940" t="s">
        <v>85</v>
      </c>
      <c r="H940" t="s">
        <v>467</v>
      </c>
      <c r="I940">
        <v>15</v>
      </c>
      <c r="J940">
        <v>19</v>
      </c>
      <c r="K940">
        <v>317461</v>
      </c>
      <c r="L940">
        <v>4.3</v>
      </c>
      <c r="M940" t="s">
        <v>21</v>
      </c>
      <c r="N940">
        <v>64</v>
      </c>
      <c r="O940">
        <f t="shared" si="224"/>
        <v>62</v>
      </c>
      <c r="P940">
        <f t="shared" si="225"/>
        <v>29</v>
      </c>
      <c r="Q940">
        <f t="shared" si="226"/>
        <v>33</v>
      </c>
      <c r="R940">
        <f t="shared" si="227"/>
        <v>49.650349650349654</v>
      </c>
      <c r="S940" s="1">
        <f t="shared" si="228"/>
        <v>50.24975024975025</v>
      </c>
      <c r="T940" s="1">
        <f t="shared" si="229"/>
        <v>20</v>
      </c>
      <c r="U940" s="1">
        <f t="shared" si="230"/>
        <v>42</v>
      </c>
      <c r="V940" s="1">
        <f t="shared" si="231"/>
        <v>47.5</v>
      </c>
      <c r="W940" s="1">
        <f t="shared" si="232"/>
        <v>52.5</v>
      </c>
      <c r="X940" s="1">
        <f t="shared" si="233"/>
        <v>14.96774193548387</v>
      </c>
      <c r="Y940" s="1">
        <f t="shared" si="234"/>
        <v>9</v>
      </c>
      <c r="Z940" s="1">
        <f t="shared" si="235"/>
        <v>12</v>
      </c>
      <c r="AA940" s="1">
        <f t="shared" si="236"/>
        <v>2.6999999999999997</v>
      </c>
      <c r="AB940" s="1">
        <f t="shared" si="237"/>
        <v>3.7333333333333329</v>
      </c>
      <c r="AC940" s="1">
        <f t="shared" si="238"/>
        <v>1</v>
      </c>
      <c r="AD940" s="1">
        <f t="shared" si="239"/>
        <v>8.7090593345137274E-2</v>
      </c>
    </row>
    <row r="941" spans="1:30" x14ac:dyDescent="0.35">
      <c r="A941" t="s">
        <v>1852</v>
      </c>
      <c r="B941" t="s">
        <v>29</v>
      </c>
      <c r="C941" t="s">
        <v>36</v>
      </c>
      <c r="D941" t="s">
        <v>17</v>
      </c>
      <c r="E941">
        <v>59</v>
      </c>
      <c r="F941" t="s">
        <v>18</v>
      </c>
      <c r="G941" t="s">
        <v>32</v>
      </c>
      <c r="H941" t="s">
        <v>1853</v>
      </c>
      <c r="I941">
        <v>4</v>
      </c>
      <c r="J941">
        <v>14</v>
      </c>
      <c r="K941">
        <v>148695</v>
      </c>
      <c r="L941">
        <v>2.1</v>
      </c>
      <c r="M941" t="s">
        <v>43</v>
      </c>
      <c r="N941">
        <v>98</v>
      </c>
      <c r="O941">
        <f t="shared" si="224"/>
        <v>61</v>
      </c>
      <c r="P941">
        <f t="shared" si="225"/>
        <v>28</v>
      </c>
      <c r="Q941">
        <f t="shared" si="226"/>
        <v>33</v>
      </c>
      <c r="R941">
        <f t="shared" si="227"/>
        <v>49.650349650349654</v>
      </c>
      <c r="S941" s="1">
        <f t="shared" si="228"/>
        <v>50.24975024975025</v>
      </c>
      <c r="T941" s="1">
        <f t="shared" si="229"/>
        <v>19</v>
      </c>
      <c r="U941" s="1">
        <f t="shared" si="230"/>
        <v>42</v>
      </c>
      <c r="V941" s="1">
        <f t="shared" si="231"/>
        <v>47.5</v>
      </c>
      <c r="W941" s="1">
        <f t="shared" si="232"/>
        <v>52.5</v>
      </c>
      <c r="X941" s="1">
        <f t="shared" si="233"/>
        <v>14.901639344262295</v>
      </c>
      <c r="Y941" s="1">
        <f t="shared" si="234"/>
        <v>9</v>
      </c>
      <c r="Z941" s="1">
        <f t="shared" si="235"/>
        <v>12</v>
      </c>
      <c r="AA941" s="1">
        <f t="shared" si="236"/>
        <v>2.6999999999999997</v>
      </c>
      <c r="AB941" s="1">
        <f t="shared" si="237"/>
        <v>3.7333333333333329</v>
      </c>
      <c r="AC941" s="1">
        <f t="shared" si="238"/>
        <v>0</v>
      </c>
      <c r="AD941" s="1">
        <f t="shared" si="239"/>
        <v>7.3156024108685311E-2</v>
      </c>
    </row>
    <row r="942" spans="1:30" x14ac:dyDescent="0.35">
      <c r="A942" t="s">
        <v>1854</v>
      </c>
      <c r="B942" t="s">
        <v>45</v>
      </c>
      <c r="C942" t="s">
        <v>24</v>
      </c>
      <c r="D942" t="s">
        <v>25</v>
      </c>
      <c r="E942">
        <v>39</v>
      </c>
      <c r="F942" t="s">
        <v>37</v>
      </c>
      <c r="G942" t="s">
        <v>19</v>
      </c>
      <c r="H942" t="s">
        <v>1855</v>
      </c>
      <c r="I942">
        <v>4</v>
      </c>
      <c r="J942">
        <v>9</v>
      </c>
      <c r="K942">
        <v>307795</v>
      </c>
      <c r="L942">
        <v>2.6</v>
      </c>
      <c r="M942" t="s">
        <v>21</v>
      </c>
      <c r="N942">
        <v>65</v>
      </c>
      <c r="O942">
        <f t="shared" si="224"/>
        <v>60</v>
      </c>
      <c r="P942">
        <f t="shared" si="225"/>
        <v>27</v>
      </c>
      <c r="Q942">
        <f t="shared" si="226"/>
        <v>33</v>
      </c>
      <c r="R942">
        <f t="shared" si="227"/>
        <v>49.650349650349654</v>
      </c>
      <c r="S942" s="1">
        <f t="shared" si="228"/>
        <v>50.24975024975025</v>
      </c>
      <c r="T942" s="1">
        <f t="shared" si="229"/>
        <v>19</v>
      </c>
      <c r="U942" s="1">
        <f t="shared" si="230"/>
        <v>41</v>
      </c>
      <c r="V942" s="1">
        <f t="shared" si="231"/>
        <v>47.5</v>
      </c>
      <c r="W942" s="1">
        <f t="shared" si="232"/>
        <v>52.5</v>
      </c>
      <c r="X942" s="1">
        <f t="shared" si="233"/>
        <v>14.916666666666666</v>
      </c>
      <c r="Y942" s="1">
        <f t="shared" si="234"/>
        <v>9</v>
      </c>
      <c r="Z942" s="1">
        <f t="shared" si="235"/>
        <v>12</v>
      </c>
      <c r="AA942" s="1">
        <f t="shared" si="236"/>
        <v>2.6999999999999997</v>
      </c>
      <c r="AB942" s="1">
        <f t="shared" si="237"/>
        <v>3.7333333333333329</v>
      </c>
      <c r="AC942" s="1">
        <f t="shared" si="238"/>
        <v>1</v>
      </c>
      <c r="AD942" s="1">
        <f t="shared" si="239"/>
        <v>7.1816673582119933E-2</v>
      </c>
    </row>
    <row r="943" spans="1:30" x14ac:dyDescent="0.35">
      <c r="A943" t="s">
        <v>1856</v>
      </c>
      <c r="B943" t="s">
        <v>55</v>
      </c>
      <c r="C943" t="s">
        <v>52</v>
      </c>
      <c r="D943" t="s">
        <v>25</v>
      </c>
      <c r="E943">
        <v>21</v>
      </c>
      <c r="F943" t="s">
        <v>70</v>
      </c>
      <c r="G943" t="s">
        <v>61</v>
      </c>
      <c r="H943" t="s">
        <v>1857</v>
      </c>
      <c r="I943">
        <v>20</v>
      </c>
      <c r="J943">
        <v>23</v>
      </c>
      <c r="K943">
        <v>318976</v>
      </c>
      <c r="L943">
        <v>2</v>
      </c>
      <c r="M943" t="s">
        <v>43</v>
      </c>
      <c r="N943">
        <v>93</v>
      </c>
      <c r="O943">
        <f t="shared" si="224"/>
        <v>59</v>
      </c>
      <c r="P943">
        <f t="shared" si="225"/>
        <v>27</v>
      </c>
      <c r="Q943">
        <f t="shared" si="226"/>
        <v>32</v>
      </c>
      <c r="R943">
        <f t="shared" si="227"/>
        <v>49.650349650349654</v>
      </c>
      <c r="S943" s="1">
        <f t="shared" si="228"/>
        <v>50.24975024975025</v>
      </c>
      <c r="T943" s="1">
        <f t="shared" si="229"/>
        <v>18</v>
      </c>
      <c r="U943" s="1">
        <f t="shared" si="230"/>
        <v>41</v>
      </c>
      <c r="V943" s="1">
        <f t="shared" si="231"/>
        <v>47.5</v>
      </c>
      <c r="W943" s="1">
        <f t="shared" si="232"/>
        <v>52.5</v>
      </c>
      <c r="X943" s="1">
        <f t="shared" si="233"/>
        <v>15.016949152542374</v>
      </c>
      <c r="Y943" s="1">
        <f t="shared" si="234"/>
        <v>9</v>
      </c>
      <c r="Z943" s="1">
        <f t="shared" si="235"/>
        <v>12</v>
      </c>
      <c r="AA943" s="1">
        <f t="shared" si="236"/>
        <v>2.6999999999999997</v>
      </c>
      <c r="AB943" s="1">
        <f t="shared" si="237"/>
        <v>3.7333333333333329</v>
      </c>
      <c r="AC943" s="1">
        <f t="shared" si="238"/>
        <v>0</v>
      </c>
      <c r="AD943" s="1">
        <f t="shared" si="239"/>
        <v>9.781351813136703E-2</v>
      </c>
    </row>
    <row r="944" spans="1:30" x14ac:dyDescent="0.35">
      <c r="A944" t="s">
        <v>1858</v>
      </c>
      <c r="B944" t="s">
        <v>40</v>
      </c>
      <c r="C944" t="s">
        <v>56</v>
      </c>
      <c r="D944" t="s">
        <v>25</v>
      </c>
      <c r="E944">
        <v>29</v>
      </c>
      <c r="F944" t="s">
        <v>70</v>
      </c>
      <c r="G944" t="s">
        <v>71</v>
      </c>
      <c r="H944" t="s">
        <v>1859</v>
      </c>
      <c r="I944">
        <v>6</v>
      </c>
      <c r="J944">
        <v>13</v>
      </c>
      <c r="K944">
        <v>242375</v>
      </c>
      <c r="L944">
        <v>3</v>
      </c>
      <c r="M944" t="s">
        <v>21</v>
      </c>
      <c r="N944">
        <v>70</v>
      </c>
      <c r="O944">
        <f t="shared" si="224"/>
        <v>58</v>
      </c>
      <c r="P944">
        <f t="shared" si="225"/>
        <v>27</v>
      </c>
      <c r="Q944">
        <f t="shared" si="226"/>
        <v>31</v>
      </c>
      <c r="R944">
        <f t="shared" si="227"/>
        <v>49.650349650349654</v>
      </c>
      <c r="S944" s="1">
        <f t="shared" si="228"/>
        <v>50.24975024975025</v>
      </c>
      <c r="T944" s="1">
        <f t="shared" si="229"/>
        <v>18</v>
      </c>
      <c r="U944" s="1">
        <f t="shared" si="230"/>
        <v>40</v>
      </c>
      <c r="V944" s="1">
        <f t="shared" si="231"/>
        <v>47.5</v>
      </c>
      <c r="W944" s="1">
        <f t="shared" si="232"/>
        <v>52.5</v>
      </c>
      <c r="X944" s="1">
        <f t="shared" si="233"/>
        <v>14.879310344827585</v>
      </c>
      <c r="Y944" s="1">
        <f t="shared" si="234"/>
        <v>9</v>
      </c>
      <c r="Z944" s="1">
        <f t="shared" si="235"/>
        <v>12</v>
      </c>
      <c r="AA944" s="1">
        <f t="shared" si="236"/>
        <v>2.6999999999999997</v>
      </c>
      <c r="AB944" s="1">
        <f t="shared" si="237"/>
        <v>3.7333333333333329</v>
      </c>
      <c r="AC944" s="1">
        <f t="shared" si="238"/>
        <v>1</v>
      </c>
      <c r="AD944" s="1">
        <f t="shared" si="239"/>
        <v>0.11435928948891234</v>
      </c>
    </row>
    <row r="945" spans="1:30" x14ac:dyDescent="0.35">
      <c r="A945" t="s">
        <v>1860</v>
      </c>
      <c r="B945" t="s">
        <v>29</v>
      </c>
      <c r="C945" t="s">
        <v>52</v>
      </c>
      <c r="D945" t="s">
        <v>25</v>
      </c>
      <c r="E945">
        <v>25</v>
      </c>
      <c r="F945" t="s">
        <v>18</v>
      </c>
      <c r="G945" t="s">
        <v>61</v>
      </c>
      <c r="H945" t="s">
        <v>1861</v>
      </c>
      <c r="I945">
        <v>16</v>
      </c>
      <c r="J945">
        <v>24</v>
      </c>
      <c r="K945">
        <v>463099</v>
      </c>
      <c r="L945">
        <v>3.5</v>
      </c>
      <c r="M945" t="s">
        <v>43</v>
      </c>
      <c r="N945">
        <v>93</v>
      </c>
      <c r="O945">
        <f t="shared" si="224"/>
        <v>57</v>
      </c>
      <c r="P945">
        <f t="shared" si="225"/>
        <v>27</v>
      </c>
      <c r="Q945">
        <f t="shared" si="226"/>
        <v>30</v>
      </c>
      <c r="R945">
        <f t="shared" si="227"/>
        <v>49.650349650349654</v>
      </c>
      <c r="S945" s="1">
        <f t="shared" si="228"/>
        <v>50.24975024975025</v>
      </c>
      <c r="T945" s="1">
        <f t="shared" si="229"/>
        <v>17</v>
      </c>
      <c r="U945" s="1">
        <f t="shared" si="230"/>
        <v>40</v>
      </c>
      <c r="V945" s="1">
        <f t="shared" si="231"/>
        <v>47.5</v>
      </c>
      <c r="W945" s="1">
        <f t="shared" si="232"/>
        <v>52.5</v>
      </c>
      <c r="X945" s="1">
        <f t="shared" si="233"/>
        <v>14.912280701754385</v>
      </c>
      <c r="Y945" s="1">
        <f t="shared" si="234"/>
        <v>9</v>
      </c>
      <c r="Z945" s="1">
        <f t="shared" si="235"/>
        <v>12</v>
      </c>
      <c r="AA945" s="1">
        <f t="shared" si="236"/>
        <v>2.6999999999999997</v>
      </c>
      <c r="AB945" s="1">
        <f t="shared" si="237"/>
        <v>3.7333333333333329</v>
      </c>
      <c r="AC945" s="1">
        <f t="shared" si="238"/>
        <v>0</v>
      </c>
      <c r="AD945" s="1">
        <f t="shared" si="239"/>
        <v>0.12477937456180847</v>
      </c>
    </row>
    <row r="946" spans="1:30" x14ac:dyDescent="0.35">
      <c r="A946" t="s">
        <v>1862</v>
      </c>
      <c r="B946" t="s">
        <v>29</v>
      </c>
      <c r="C946" t="s">
        <v>52</v>
      </c>
      <c r="D946" t="s">
        <v>17</v>
      </c>
      <c r="E946">
        <v>26</v>
      </c>
      <c r="F946" t="s">
        <v>31</v>
      </c>
      <c r="G946" t="s">
        <v>26</v>
      </c>
      <c r="H946" t="s">
        <v>1863</v>
      </c>
      <c r="I946">
        <v>3</v>
      </c>
      <c r="J946">
        <v>5</v>
      </c>
      <c r="K946">
        <v>106298</v>
      </c>
      <c r="L946">
        <v>4.3</v>
      </c>
      <c r="M946" t="s">
        <v>43</v>
      </c>
      <c r="N946">
        <v>93</v>
      </c>
      <c r="O946">
        <f t="shared" si="224"/>
        <v>56</v>
      </c>
      <c r="P946">
        <f t="shared" si="225"/>
        <v>27</v>
      </c>
      <c r="Q946">
        <f t="shared" si="226"/>
        <v>29</v>
      </c>
      <c r="R946">
        <f t="shared" si="227"/>
        <v>49.650349650349654</v>
      </c>
      <c r="S946" s="1">
        <f t="shared" si="228"/>
        <v>50.24975024975025</v>
      </c>
      <c r="T946" s="1">
        <f t="shared" si="229"/>
        <v>17</v>
      </c>
      <c r="U946" s="1">
        <f t="shared" si="230"/>
        <v>39</v>
      </c>
      <c r="V946" s="1">
        <f t="shared" si="231"/>
        <v>47.5</v>
      </c>
      <c r="W946" s="1">
        <f t="shared" si="232"/>
        <v>52.5</v>
      </c>
      <c r="X946" s="1">
        <f t="shared" si="233"/>
        <v>14.75</v>
      </c>
      <c r="Y946" s="1">
        <f t="shared" si="234"/>
        <v>9</v>
      </c>
      <c r="Z946" s="1">
        <f t="shared" si="235"/>
        <v>12</v>
      </c>
      <c r="AA946" s="1">
        <f t="shared" si="236"/>
        <v>2.6999999999999997</v>
      </c>
      <c r="AB946" s="1">
        <f t="shared" si="237"/>
        <v>3.7333333333333329</v>
      </c>
      <c r="AC946" s="1">
        <f t="shared" si="238"/>
        <v>0</v>
      </c>
      <c r="AD946" s="1">
        <f t="shared" si="239"/>
        <v>0.14483745024409644</v>
      </c>
    </row>
    <row r="947" spans="1:30" x14ac:dyDescent="0.35">
      <c r="A947" t="s">
        <v>1864</v>
      </c>
      <c r="B947" t="s">
        <v>29</v>
      </c>
      <c r="C947" t="s">
        <v>36</v>
      </c>
      <c r="D947" t="s">
        <v>17</v>
      </c>
      <c r="E947">
        <v>38</v>
      </c>
      <c r="F947" t="s">
        <v>18</v>
      </c>
      <c r="G947" t="s">
        <v>61</v>
      </c>
      <c r="H947" t="s">
        <v>982</v>
      </c>
      <c r="I947">
        <v>1</v>
      </c>
      <c r="J947">
        <v>7</v>
      </c>
      <c r="K947">
        <v>471536</v>
      </c>
      <c r="L947">
        <v>4</v>
      </c>
      <c r="M947" t="s">
        <v>43</v>
      </c>
      <c r="N947">
        <v>76</v>
      </c>
      <c r="O947">
        <f t="shared" si="224"/>
        <v>55</v>
      </c>
      <c r="P947">
        <f t="shared" si="225"/>
        <v>26</v>
      </c>
      <c r="Q947">
        <f t="shared" si="226"/>
        <v>29</v>
      </c>
      <c r="R947">
        <f t="shared" si="227"/>
        <v>49.650349650349654</v>
      </c>
      <c r="S947" s="1">
        <f t="shared" si="228"/>
        <v>50.24975024975025</v>
      </c>
      <c r="T947" s="1">
        <f t="shared" si="229"/>
        <v>17</v>
      </c>
      <c r="U947" s="1">
        <f t="shared" si="230"/>
        <v>38</v>
      </c>
      <c r="V947" s="1">
        <f t="shared" si="231"/>
        <v>47.5</v>
      </c>
      <c r="W947" s="1">
        <f t="shared" si="232"/>
        <v>52.5</v>
      </c>
      <c r="X947" s="1">
        <f t="shared" si="233"/>
        <v>14.927272727272728</v>
      </c>
      <c r="Y947" s="1">
        <f t="shared" si="234"/>
        <v>9</v>
      </c>
      <c r="Z947" s="1">
        <f t="shared" si="235"/>
        <v>11</v>
      </c>
      <c r="AA947" s="1">
        <f t="shared" si="236"/>
        <v>2.6999999999999997</v>
      </c>
      <c r="AB947" s="1">
        <f t="shared" si="237"/>
        <v>3.6818181818181825</v>
      </c>
      <c r="AC947" s="1">
        <f t="shared" si="238"/>
        <v>0</v>
      </c>
      <c r="AD947" s="1">
        <f t="shared" si="239"/>
        <v>0.12947808439706451</v>
      </c>
    </row>
    <row r="948" spans="1:30" x14ac:dyDescent="0.35">
      <c r="A948" t="s">
        <v>1865</v>
      </c>
      <c r="B948" t="s">
        <v>35</v>
      </c>
      <c r="C948" t="s">
        <v>30</v>
      </c>
      <c r="D948" t="s">
        <v>25</v>
      </c>
      <c r="E948">
        <v>23</v>
      </c>
      <c r="F948" t="s">
        <v>74</v>
      </c>
      <c r="G948" t="s">
        <v>19</v>
      </c>
      <c r="H948" t="s">
        <v>1866</v>
      </c>
      <c r="I948">
        <v>11</v>
      </c>
      <c r="J948">
        <v>17</v>
      </c>
      <c r="K948">
        <v>113490</v>
      </c>
      <c r="L948">
        <v>2.5</v>
      </c>
      <c r="M948" t="s">
        <v>43</v>
      </c>
      <c r="N948">
        <v>71</v>
      </c>
      <c r="O948">
        <f t="shared" si="224"/>
        <v>54</v>
      </c>
      <c r="P948">
        <f t="shared" si="225"/>
        <v>25</v>
      </c>
      <c r="Q948">
        <f t="shared" si="226"/>
        <v>29</v>
      </c>
      <c r="R948">
        <f t="shared" si="227"/>
        <v>49.650349650349654</v>
      </c>
      <c r="S948" s="1">
        <f t="shared" si="228"/>
        <v>50.24975024975025</v>
      </c>
      <c r="T948" s="1">
        <f t="shared" si="229"/>
        <v>17</v>
      </c>
      <c r="U948" s="1">
        <f t="shared" si="230"/>
        <v>37</v>
      </c>
      <c r="V948" s="1">
        <f t="shared" si="231"/>
        <v>47.5</v>
      </c>
      <c r="W948" s="1">
        <f t="shared" si="232"/>
        <v>52.5</v>
      </c>
      <c r="X948" s="1">
        <f t="shared" si="233"/>
        <v>15.074074074074074</v>
      </c>
      <c r="Y948" s="1">
        <f t="shared" si="234"/>
        <v>9</v>
      </c>
      <c r="Z948" s="1">
        <f t="shared" si="235"/>
        <v>11</v>
      </c>
      <c r="AA948" s="1">
        <f t="shared" si="236"/>
        <v>2.6999999999999997</v>
      </c>
      <c r="AB948" s="1">
        <f t="shared" si="237"/>
        <v>3.6818181818181825</v>
      </c>
      <c r="AC948" s="1">
        <f t="shared" si="238"/>
        <v>0</v>
      </c>
      <c r="AD948" s="1">
        <f t="shared" si="239"/>
        <v>0.11577904408484278</v>
      </c>
    </row>
    <row r="949" spans="1:30" x14ac:dyDescent="0.35">
      <c r="A949" t="s">
        <v>1867</v>
      </c>
      <c r="B949" t="s">
        <v>29</v>
      </c>
      <c r="C949" t="s">
        <v>93</v>
      </c>
      <c r="D949" t="s">
        <v>25</v>
      </c>
      <c r="E949">
        <v>56</v>
      </c>
      <c r="F949" t="s">
        <v>46</v>
      </c>
      <c r="G949" t="s">
        <v>26</v>
      </c>
      <c r="H949" t="s">
        <v>1868</v>
      </c>
      <c r="I949">
        <v>11</v>
      </c>
      <c r="J949">
        <v>11</v>
      </c>
      <c r="K949">
        <v>361308</v>
      </c>
      <c r="L949">
        <v>4.5999999999999996</v>
      </c>
      <c r="M949" t="s">
        <v>43</v>
      </c>
      <c r="N949">
        <v>92</v>
      </c>
      <c r="O949">
        <f t="shared" si="224"/>
        <v>53</v>
      </c>
      <c r="P949">
        <f t="shared" si="225"/>
        <v>25</v>
      </c>
      <c r="Q949">
        <f t="shared" si="226"/>
        <v>28</v>
      </c>
      <c r="R949">
        <f t="shared" si="227"/>
        <v>49.650349650349654</v>
      </c>
      <c r="S949" s="1">
        <f t="shared" si="228"/>
        <v>50.24975024975025</v>
      </c>
      <c r="T949" s="1">
        <f t="shared" si="229"/>
        <v>17</v>
      </c>
      <c r="U949" s="1">
        <f t="shared" si="230"/>
        <v>36</v>
      </c>
      <c r="V949" s="1">
        <f t="shared" si="231"/>
        <v>47.5</v>
      </c>
      <c r="W949" s="1">
        <f t="shared" si="232"/>
        <v>52.5</v>
      </c>
      <c r="X949" s="1">
        <f t="shared" si="233"/>
        <v>15.037735849056604</v>
      </c>
      <c r="Y949" s="1">
        <f t="shared" si="234"/>
        <v>8</v>
      </c>
      <c r="Z949" s="1">
        <f t="shared" si="235"/>
        <v>11</v>
      </c>
      <c r="AA949" s="1">
        <f t="shared" si="236"/>
        <v>2.7249999999999996</v>
      </c>
      <c r="AB949" s="1">
        <f t="shared" si="237"/>
        <v>3.6818181818181825</v>
      </c>
      <c r="AC949" s="1">
        <f t="shared" si="238"/>
        <v>0</v>
      </c>
      <c r="AD949" s="1">
        <f t="shared" si="239"/>
        <v>0.12044626902377996</v>
      </c>
    </row>
    <row r="950" spans="1:30" x14ac:dyDescent="0.35">
      <c r="A950" t="s">
        <v>1869</v>
      </c>
      <c r="B950" t="s">
        <v>60</v>
      </c>
      <c r="C950" t="s">
        <v>36</v>
      </c>
      <c r="D950" t="s">
        <v>17</v>
      </c>
      <c r="E950">
        <v>46</v>
      </c>
      <c r="F950" t="s">
        <v>46</v>
      </c>
      <c r="G950" t="s">
        <v>71</v>
      </c>
      <c r="H950" t="s">
        <v>1870</v>
      </c>
      <c r="I950">
        <v>5</v>
      </c>
      <c r="J950">
        <v>9</v>
      </c>
      <c r="K950">
        <v>269783</v>
      </c>
      <c r="L950">
        <v>4.0999999999999996</v>
      </c>
      <c r="M950" t="s">
        <v>43</v>
      </c>
      <c r="N950">
        <v>96</v>
      </c>
      <c r="O950">
        <f t="shared" si="224"/>
        <v>52</v>
      </c>
      <c r="P950">
        <f t="shared" si="225"/>
        <v>25</v>
      </c>
      <c r="Q950">
        <f t="shared" si="226"/>
        <v>27</v>
      </c>
      <c r="R950">
        <f t="shared" si="227"/>
        <v>49.650349650349654</v>
      </c>
      <c r="S950" s="1">
        <f t="shared" si="228"/>
        <v>50.24975024975025</v>
      </c>
      <c r="T950" s="1">
        <f t="shared" si="229"/>
        <v>17</v>
      </c>
      <c r="U950" s="1">
        <f t="shared" si="230"/>
        <v>35</v>
      </c>
      <c r="V950" s="1">
        <f t="shared" si="231"/>
        <v>47.5</v>
      </c>
      <c r="W950" s="1">
        <f t="shared" si="232"/>
        <v>52.5</v>
      </c>
      <c r="X950" s="1">
        <f t="shared" si="233"/>
        <v>15.115384615384615</v>
      </c>
      <c r="Y950" s="1">
        <f t="shared" si="234"/>
        <v>8</v>
      </c>
      <c r="Z950" s="1">
        <f t="shared" si="235"/>
        <v>11</v>
      </c>
      <c r="AA950" s="1">
        <f t="shared" si="236"/>
        <v>2.7249999999999996</v>
      </c>
      <c r="AB950" s="1">
        <f t="shared" si="237"/>
        <v>3.6818181818181825</v>
      </c>
      <c r="AC950" s="1">
        <f t="shared" si="238"/>
        <v>0</v>
      </c>
      <c r="AD950" s="1">
        <f t="shared" si="239"/>
        <v>0.11276352117715621</v>
      </c>
    </row>
    <row r="951" spans="1:30" x14ac:dyDescent="0.35">
      <c r="A951" t="s">
        <v>1871</v>
      </c>
      <c r="B951" t="s">
        <v>111</v>
      </c>
      <c r="C951" t="s">
        <v>36</v>
      </c>
      <c r="D951" t="s">
        <v>17</v>
      </c>
      <c r="E951">
        <v>41</v>
      </c>
      <c r="F951" t="s">
        <v>18</v>
      </c>
      <c r="G951" t="s">
        <v>88</v>
      </c>
      <c r="H951" t="s">
        <v>1425</v>
      </c>
      <c r="I951">
        <v>16</v>
      </c>
      <c r="J951">
        <v>17</v>
      </c>
      <c r="K951">
        <v>185758</v>
      </c>
      <c r="L951">
        <v>4.7</v>
      </c>
      <c r="M951" t="s">
        <v>43</v>
      </c>
      <c r="N951">
        <v>89</v>
      </c>
      <c r="O951">
        <f t="shared" si="224"/>
        <v>51</v>
      </c>
      <c r="P951">
        <f t="shared" si="225"/>
        <v>24</v>
      </c>
      <c r="Q951">
        <f t="shared" si="226"/>
        <v>27</v>
      </c>
      <c r="R951">
        <f t="shared" si="227"/>
        <v>49.650349650349654</v>
      </c>
      <c r="S951" s="1">
        <f t="shared" si="228"/>
        <v>50.24975024975025</v>
      </c>
      <c r="T951" s="1">
        <f t="shared" si="229"/>
        <v>17</v>
      </c>
      <c r="U951" s="1">
        <f t="shared" si="230"/>
        <v>34</v>
      </c>
      <c r="V951" s="1">
        <f t="shared" si="231"/>
        <v>47.5</v>
      </c>
      <c r="W951" s="1">
        <f t="shared" si="232"/>
        <v>52.5</v>
      </c>
      <c r="X951" s="1">
        <f t="shared" si="233"/>
        <v>15.235294117647058</v>
      </c>
      <c r="Y951" s="1">
        <f t="shared" si="234"/>
        <v>8</v>
      </c>
      <c r="Z951" s="1">
        <f t="shared" si="235"/>
        <v>11</v>
      </c>
      <c r="AA951" s="1">
        <f t="shared" si="236"/>
        <v>2.7249999999999996</v>
      </c>
      <c r="AB951" s="1">
        <f t="shared" si="237"/>
        <v>3.6818181818181825</v>
      </c>
      <c r="AC951" s="1">
        <f t="shared" si="238"/>
        <v>0</v>
      </c>
      <c r="AD951" s="1">
        <f t="shared" si="239"/>
        <v>0.10071576014899554</v>
      </c>
    </row>
    <row r="952" spans="1:30" x14ac:dyDescent="0.35">
      <c r="A952" t="s">
        <v>1872</v>
      </c>
      <c r="B952" t="s">
        <v>78</v>
      </c>
      <c r="C952" t="s">
        <v>49</v>
      </c>
      <c r="D952" t="s">
        <v>17</v>
      </c>
      <c r="E952">
        <v>24</v>
      </c>
      <c r="F952" t="s">
        <v>70</v>
      </c>
      <c r="G952" t="s">
        <v>75</v>
      </c>
      <c r="H952" t="s">
        <v>1873</v>
      </c>
      <c r="I952">
        <v>12</v>
      </c>
      <c r="J952">
        <v>19</v>
      </c>
      <c r="K952">
        <v>314568</v>
      </c>
      <c r="L952">
        <v>2</v>
      </c>
      <c r="M952" t="s">
        <v>21</v>
      </c>
      <c r="N952">
        <v>66</v>
      </c>
      <c r="O952">
        <f t="shared" si="224"/>
        <v>50</v>
      </c>
      <c r="P952">
        <f t="shared" si="225"/>
        <v>23</v>
      </c>
      <c r="Q952">
        <f t="shared" si="226"/>
        <v>27</v>
      </c>
      <c r="R952">
        <f t="shared" si="227"/>
        <v>49.650349650349654</v>
      </c>
      <c r="S952" s="1">
        <f t="shared" si="228"/>
        <v>50.24975024975025</v>
      </c>
      <c r="T952" s="1">
        <f t="shared" si="229"/>
        <v>17</v>
      </c>
      <c r="U952" s="1">
        <f t="shared" si="230"/>
        <v>33</v>
      </c>
      <c r="V952" s="1">
        <f t="shared" si="231"/>
        <v>47.5</v>
      </c>
      <c r="W952" s="1">
        <f t="shared" si="232"/>
        <v>52.5</v>
      </c>
      <c r="X952" s="1">
        <f t="shared" si="233"/>
        <v>15.2</v>
      </c>
      <c r="Y952" s="1">
        <f t="shared" si="234"/>
        <v>8</v>
      </c>
      <c r="Z952" s="1">
        <f t="shared" si="235"/>
        <v>11</v>
      </c>
      <c r="AA952" s="1">
        <f t="shared" si="236"/>
        <v>2.7249999999999996</v>
      </c>
      <c r="AB952" s="1">
        <f t="shared" si="237"/>
        <v>3.6818181818181825</v>
      </c>
      <c r="AC952" s="1">
        <f t="shared" si="238"/>
        <v>1</v>
      </c>
      <c r="AD952" s="1">
        <f t="shared" si="239"/>
        <v>0.10535760513688797</v>
      </c>
    </row>
    <row r="953" spans="1:30" x14ac:dyDescent="0.35">
      <c r="A953" t="s">
        <v>1874</v>
      </c>
      <c r="B953" t="s">
        <v>15</v>
      </c>
      <c r="C953" t="s">
        <v>52</v>
      </c>
      <c r="D953" t="s">
        <v>25</v>
      </c>
      <c r="E953">
        <v>48</v>
      </c>
      <c r="F953" t="s">
        <v>74</v>
      </c>
      <c r="G953" t="s">
        <v>41</v>
      </c>
      <c r="H953" t="s">
        <v>1875</v>
      </c>
      <c r="I953">
        <v>11</v>
      </c>
      <c r="J953">
        <v>17</v>
      </c>
      <c r="K953">
        <v>210778</v>
      </c>
      <c r="L953">
        <v>2.2999999999999998</v>
      </c>
      <c r="M953" t="s">
        <v>43</v>
      </c>
      <c r="N953">
        <v>92</v>
      </c>
      <c r="O953">
        <f t="shared" si="224"/>
        <v>49</v>
      </c>
      <c r="P953">
        <f t="shared" si="225"/>
        <v>22</v>
      </c>
      <c r="Q953">
        <f t="shared" si="226"/>
        <v>27</v>
      </c>
      <c r="R953">
        <f t="shared" si="227"/>
        <v>49.650349650349654</v>
      </c>
      <c r="S953" s="1">
        <f t="shared" si="228"/>
        <v>50.24975024975025</v>
      </c>
      <c r="T953" s="1">
        <f t="shared" si="229"/>
        <v>16</v>
      </c>
      <c r="U953" s="1">
        <f t="shared" si="230"/>
        <v>33</v>
      </c>
      <c r="V953" s="1">
        <f t="shared" si="231"/>
        <v>47.5</v>
      </c>
      <c r="W953" s="1">
        <f t="shared" si="232"/>
        <v>52.5</v>
      </c>
      <c r="X953" s="1">
        <f t="shared" si="233"/>
        <v>15.122448979591837</v>
      </c>
      <c r="Y953" s="1">
        <f t="shared" si="234"/>
        <v>8</v>
      </c>
      <c r="Z953" s="1">
        <f t="shared" si="235"/>
        <v>11</v>
      </c>
      <c r="AA953" s="1">
        <f t="shared" si="236"/>
        <v>2.7249999999999996</v>
      </c>
      <c r="AB953" s="1">
        <f t="shared" si="237"/>
        <v>3.6818181818181825</v>
      </c>
      <c r="AC953" s="1">
        <f t="shared" si="238"/>
        <v>0</v>
      </c>
      <c r="AD953" s="1">
        <f t="shared" si="239"/>
        <v>9.0212608974991254E-2</v>
      </c>
    </row>
    <row r="954" spans="1:30" x14ac:dyDescent="0.35">
      <c r="A954" t="s">
        <v>1876</v>
      </c>
      <c r="B954" t="s">
        <v>60</v>
      </c>
      <c r="C954" t="s">
        <v>36</v>
      </c>
      <c r="D954" t="s">
        <v>17</v>
      </c>
      <c r="E954">
        <v>49</v>
      </c>
      <c r="F954" t="s">
        <v>31</v>
      </c>
      <c r="G954" t="s">
        <v>19</v>
      </c>
      <c r="H954" t="s">
        <v>1009</v>
      </c>
      <c r="I954">
        <v>20</v>
      </c>
      <c r="J954">
        <v>25</v>
      </c>
      <c r="K954">
        <v>436475</v>
      </c>
      <c r="L954">
        <v>4</v>
      </c>
      <c r="M954" t="s">
        <v>43</v>
      </c>
      <c r="N954">
        <v>76</v>
      </c>
      <c r="O954">
        <f t="shared" si="224"/>
        <v>48</v>
      </c>
      <c r="P954">
        <f t="shared" si="225"/>
        <v>22</v>
      </c>
      <c r="Q954">
        <f t="shared" si="226"/>
        <v>26</v>
      </c>
      <c r="R954">
        <f t="shared" si="227"/>
        <v>49.650349650349654</v>
      </c>
      <c r="S954" s="1">
        <f t="shared" si="228"/>
        <v>50.24975024975025</v>
      </c>
      <c r="T954" s="1">
        <f t="shared" si="229"/>
        <v>16</v>
      </c>
      <c r="U954" s="1">
        <f t="shared" si="230"/>
        <v>32</v>
      </c>
      <c r="V954" s="1">
        <f t="shared" si="231"/>
        <v>47.5</v>
      </c>
      <c r="W954" s="1">
        <f t="shared" si="232"/>
        <v>52.5</v>
      </c>
      <c r="X954" s="1">
        <f t="shared" si="233"/>
        <v>15.083333333333334</v>
      </c>
      <c r="Y954" s="1">
        <f t="shared" si="234"/>
        <v>7</v>
      </c>
      <c r="Z954" s="1">
        <f t="shared" si="235"/>
        <v>11</v>
      </c>
      <c r="AA954" s="1">
        <f t="shared" si="236"/>
        <v>2.7857142857142856</v>
      </c>
      <c r="AB954" s="1">
        <f t="shared" si="237"/>
        <v>3.6818181818181825</v>
      </c>
      <c r="AC954" s="1">
        <f t="shared" si="238"/>
        <v>0</v>
      </c>
      <c r="AD954" s="1">
        <f t="shared" si="239"/>
        <v>9.5111483262122473E-2</v>
      </c>
    </row>
    <row r="955" spans="1:30" x14ac:dyDescent="0.35">
      <c r="A955" t="s">
        <v>1877</v>
      </c>
      <c r="B955" t="s">
        <v>35</v>
      </c>
      <c r="C955" t="s">
        <v>36</v>
      </c>
      <c r="D955" t="s">
        <v>25</v>
      </c>
      <c r="E955">
        <v>30</v>
      </c>
      <c r="F955" t="s">
        <v>74</v>
      </c>
      <c r="G955" t="s">
        <v>26</v>
      </c>
      <c r="H955" t="s">
        <v>1878</v>
      </c>
      <c r="I955">
        <v>1</v>
      </c>
      <c r="J955">
        <v>5</v>
      </c>
      <c r="K955">
        <v>193299</v>
      </c>
      <c r="L955">
        <v>2</v>
      </c>
      <c r="M955" t="s">
        <v>21</v>
      </c>
      <c r="N955">
        <v>66</v>
      </c>
      <c r="O955">
        <f t="shared" si="224"/>
        <v>47</v>
      </c>
      <c r="P955">
        <f t="shared" si="225"/>
        <v>21</v>
      </c>
      <c r="Q955">
        <f t="shared" si="226"/>
        <v>26</v>
      </c>
      <c r="R955">
        <f t="shared" si="227"/>
        <v>49.650349650349654</v>
      </c>
      <c r="S955" s="1">
        <f t="shared" si="228"/>
        <v>50.24975024975025</v>
      </c>
      <c r="T955" s="1">
        <f t="shared" si="229"/>
        <v>16</v>
      </c>
      <c r="U955" s="1">
        <f t="shared" si="230"/>
        <v>31</v>
      </c>
      <c r="V955" s="1">
        <f t="shared" si="231"/>
        <v>47.5</v>
      </c>
      <c r="W955" s="1">
        <f t="shared" si="232"/>
        <v>52.5</v>
      </c>
      <c r="X955" s="1">
        <f t="shared" si="233"/>
        <v>14.872340425531915</v>
      </c>
      <c r="Y955" s="1">
        <f t="shared" si="234"/>
        <v>7</v>
      </c>
      <c r="Z955" s="1">
        <f t="shared" si="235"/>
        <v>10</v>
      </c>
      <c r="AA955" s="1">
        <f t="shared" si="236"/>
        <v>2.7857142857142856</v>
      </c>
      <c r="AB955" s="1">
        <f t="shared" si="237"/>
        <v>3.6500000000000008</v>
      </c>
      <c r="AC955" s="1">
        <f t="shared" si="238"/>
        <v>1</v>
      </c>
      <c r="AD955" s="1">
        <f t="shared" si="239"/>
        <v>0.1224607798023523</v>
      </c>
    </row>
    <row r="956" spans="1:30" x14ac:dyDescent="0.35">
      <c r="A956" t="s">
        <v>1879</v>
      </c>
      <c r="B956" t="s">
        <v>29</v>
      </c>
      <c r="C956" t="s">
        <v>93</v>
      </c>
      <c r="D956" t="s">
        <v>17</v>
      </c>
      <c r="E956">
        <v>38</v>
      </c>
      <c r="F956" t="s">
        <v>31</v>
      </c>
      <c r="G956" t="s">
        <v>61</v>
      </c>
      <c r="H956" t="s">
        <v>1880</v>
      </c>
      <c r="I956">
        <v>5</v>
      </c>
      <c r="J956">
        <v>11</v>
      </c>
      <c r="K956">
        <v>366719</v>
      </c>
      <c r="L956">
        <v>3.7</v>
      </c>
      <c r="M956" t="s">
        <v>43</v>
      </c>
      <c r="N956">
        <v>92</v>
      </c>
      <c r="O956">
        <f t="shared" si="224"/>
        <v>46</v>
      </c>
      <c r="P956">
        <f t="shared" si="225"/>
        <v>21</v>
      </c>
      <c r="Q956">
        <f t="shared" si="226"/>
        <v>25</v>
      </c>
      <c r="R956">
        <f t="shared" si="227"/>
        <v>49.650349650349654</v>
      </c>
      <c r="S956" s="1">
        <f t="shared" si="228"/>
        <v>50.24975024975025</v>
      </c>
      <c r="T956" s="1">
        <f t="shared" si="229"/>
        <v>15</v>
      </c>
      <c r="U956" s="1">
        <f t="shared" si="230"/>
        <v>31</v>
      </c>
      <c r="V956" s="1">
        <f t="shared" si="231"/>
        <v>47.5</v>
      </c>
      <c r="W956" s="1">
        <f t="shared" si="232"/>
        <v>52.5</v>
      </c>
      <c r="X956" s="1">
        <f t="shared" si="233"/>
        <v>15.086956521739131</v>
      </c>
      <c r="Y956" s="1">
        <f t="shared" si="234"/>
        <v>6</v>
      </c>
      <c r="Z956" s="1">
        <f t="shared" si="235"/>
        <v>10</v>
      </c>
      <c r="AA956" s="1">
        <f t="shared" si="236"/>
        <v>2.9166666666666665</v>
      </c>
      <c r="AB956" s="1">
        <f t="shared" si="237"/>
        <v>3.6500000000000008</v>
      </c>
      <c r="AC956" s="1">
        <f t="shared" si="238"/>
        <v>0</v>
      </c>
      <c r="AD956" s="1">
        <f t="shared" si="239"/>
        <v>0.17889152130775321</v>
      </c>
    </row>
    <row r="957" spans="1:30" x14ac:dyDescent="0.35">
      <c r="A957" t="s">
        <v>1881</v>
      </c>
      <c r="B957" t="s">
        <v>69</v>
      </c>
      <c r="C957" t="s">
        <v>49</v>
      </c>
      <c r="D957" t="s">
        <v>17</v>
      </c>
      <c r="E957">
        <v>44</v>
      </c>
      <c r="F957" t="s">
        <v>37</v>
      </c>
      <c r="G957" t="s">
        <v>75</v>
      </c>
      <c r="H957" t="s">
        <v>1882</v>
      </c>
      <c r="I957">
        <v>5</v>
      </c>
      <c r="J957">
        <v>15</v>
      </c>
      <c r="K957">
        <v>134358</v>
      </c>
      <c r="L957">
        <v>4.0999999999999996</v>
      </c>
      <c r="M957" t="s">
        <v>43</v>
      </c>
      <c r="N957">
        <v>95</v>
      </c>
      <c r="O957">
        <f t="shared" si="224"/>
        <v>45</v>
      </c>
      <c r="P957">
        <f t="shared" si="225"/>
        <v>20</v>
      </c>
      <c r="Q957">
        <f t="shared" si="226"/>
        <v>25</v>
      </c>
      <c r="R957">
        <f t="shared" si="227"/>
        <v>49.650349650349654</v>
      </c>
      <c r="S957" s="1">
        <f t="shared" si="228"/>
        <v>50.24975024975025</v>
      </c>
      <c r="T957" s="1">
        <f t="shared" si="229"/>
        <v>15</v>
      </c>
      <c r="U957" s="1">
        <f t="shared" si="230"/>
        <v>30</v>
      </c>
      <c r="V957" s="1">
        <f t="shared" si="231"/>
        <v>47.5</v>
      </c>
      <c r="W957" s="1">
        <f t="shared" si="232"/>
        <v>52.5</v>
      </c>
      <c r="X957" s="1">
        <f t="shared" si="233"/>
        <v>15.177777777777777</v>
      </c>
      <c r="Y957" s="1">
        <f t="shared" si="234"/>
        <v>6</v>
      </c>
      <c r="Z957" s="1">
        <f t="shared" si="235"/>
        <v>9</v>
      </c>
      <c r="AA957" s="1">
        <f t="shared" si="236"/>
        <v>2.9166666666666665</v>
      </c>
      <c r="AB957" s="1">
        <f t="shared" si="237"/>
        <v>3.6444444444444439</v>
      </c>
      <c r="AC957" s="1">
        <f t="shared" si="238"/>
        <v>0</v>
      </c>
      <c r="AD957" s="1">
        <f t="shared" si="239"/>
        <v>0.17036051805973793</v>
      </c>
    </row>
    <row r="958" spans="1:30" x14ac:dyDescent="0.35">
      <c r="A958" t="s">
        <v>1883</v>
      </c>
      <c r="B958" t="s">
        <v>45</v>
      </c>
      <c r="C958" t="s">
        <v>30</v>
      </c>
      <c r="D958" t="s">
        <v>17</v>
      </c>
      <c r="E958">
        <v>40</v>
      </c>
      <c r="F958" t="s">
        <v>31</v>
      </c>
      <c r="G958" t="s">
        <v>88</v>
      </c>
      <c r="H958" t="s">
        <v>1884</v>
      </c>
      <c r="I958">
        <v>7</v>
      </c>
      <c r="J958">
        <v>12</v>
      </c>
      <c r="K958">
        <v>89831</v>
      </c>
      <c r="L958">
        <v>4.3</v>
      </c>
      <c r="M958" t="s">
        <v>43</v>
      </c>
      <c r="N958">
        <v>77</v>
      </c>
      <c r="O958">
        <f t="shared" si="224"/>
        <v>44</v>
      </c>
      <c r="P958">
        <f t="shared" si="225"/>
        <v>19</v>
      </c>
      <c r="Q958">
        <f t="shared" si="226"/>
        <v>25</v>
      </c>
      <c r="R958">
        <f t="shared" si="227"/>
        <v>49.650349650349654</v>
      </c>
      <c r="S958" s="1">
        <f t="shared" si="228"/>
        <v>50.24975024975025</v>
      </c>
      <c r="T958" s="1">
        <f t="shared" si="229"/>
        <v>15</v>
      </c>
      <c r="U958" s="1">
        <f t="shared" si="230"/>
        <v>29</v>
      </c>
      <c r="V958" s="1">
        <f t="shared" si="231"/>
        <v>47.5</v>
      </c>
      <c r="W958" s="1">
        <f t="shared" si="232"/>
        <v>52.5</v>
      </c>
      <c r="X958" s="1">
        <f t="shared" si="233"/>
        <v>15.181818181818182</v>
      </c>
      <c r="Y958" s="1">
        <f t="shared" si="234"/>
        <v>6</v>
      </c>
      <c r="Z958" s="1">
        <f t="shared" si="235"/>
        <v>9</v>
      </c>
      <c r="AA958" s="1">
        <f t="shared" si="236"/>
        <v>2.9166666666666665</v>
      </c>
      <c r="AB958" s="1">
        <f t="shared" si="237"/>
        <v>3.6444444444444439</v>
      </c>
      <c r="AC958" s="1">
        <f t="shared" si="238"/>
        <v>0</v>
      </c>
      <c r="AD958" s="1">
        <f t="shared" si="239"/>
        <v>0.17087345359935124</v>
      </c>
    </row>
    <row r="959" spans="1:30" x14ac:dyDescent="0.35">
      <c r="A959" t="s">
        <v>1885</v>
      </c>
      <c r="B959" t="s">
        <v>23</v>
      </c>
      <c r="C959" t="s">
        <v>82</v>
      </c>
      <c r="D959" t="s">
        <v>17</v>
      </c>
      <c r="E959">
        <v>57</v>
      </c>
      <c r="F959" t="s">
        <v>37</v>
      </c>
      <c r="G959" t="s">
        <v>41</v>
      </c>
      <c r="H959" t="s">
        <v>1886</v>
      </c>
      <c r="I959">
        <v>9</v>
      </c>
      <c r="J959">
        <v>11</v>
      </c>
      <c r="K959">
        <v>323424</v>
      </c>
      <c r="L959">
        <v>4.3</v>
      </c>
      <c r="M959" t="s">
        <v>43</v>
      </c>
      <c r="N959">
        <v>80</v>
      </c>
      <c r="O959">
        <f t="shared" si="224"/>
        <v>43</v>
      </c>
      <c r="P959">
        <f t="shared" si="225"/>
        <v>18</v>
      </c>
      <c r="Q959">
        <f t="shared" si="226"/>
        <v>25</v>
      </c>
      <c r="R959">
        <f t="shared" si="227"/>
        <v>49.650349650349654</v>
      </c>
      <c r="S959" s="1">
        <f t="shared" si="228"/>
        <v>50.24975024975025</v>
      </c>
      <c r="T959" s="1">
        <f t="shared" si="229"/>
        <v>15</v>
      </c>
      <c r="U959" s="1">
        <f t="shared" si="230"/>
        <v>28</v>
      </c>
      <c r="V959" s="1">
        <f t="shared" si="231"/>
        <v>47.5</v>
      </c>
      <c r="W959" s="1">
        <f t="shared" si="232"/>
        <v>52.5</v>
      </c>
      <c r="X959" s="1">
        <f t="shared" si="233"/>
        <v>15.255813953488373</v>
      </c>
      <c r="Y959" s="1">
        <f t="shared" si="234"/>
        <v>6</v>
      </c>
      <c r="Z959" s="1">
        <f t="shared" si="235"/>
        <v>8</v>
      </c>
      <c r="AA959" s="1">
        <f t="shared" si="236"/>
        <v>2.9166666666666665</v>
      </c>
      <c r="AB959" s="1">
        <f t="shared" si="237"/>
        <v>3.5625</v>
      </c>
      <c r="AC959" s="1">
        <f t="shared" si="238"/>
        <v>0</v>
      </c>
      <c r="AD959" s="1">
        <f t="shared" si="239"/>
        <v>0.16383811186688849</v>
      </c>
    </row>
    <row r="960" spans="1:30" x14ac:dyDescent="0.35">
      <c r="A960" t="s">
        <v>1887</v>
      </c>
      <c r="B960" t="s">
        <v>40</v>
      </c>
      <c r="C960" t="s">
        <v>36</v>
      </c>
      <c r="D960" t="s">
        <v>25</v>
      </c>
      <c r="E960">
        <v>57</v>
      </c>
      <c r="F960" t="s">
        <v>46</v>
      </c>
      <c r="G960" t="s">
        <v>32</v>
      </c>
      <c r="H960" t="s">
        <v>1888</v>
      </c>
      <c r="I960">
        <v>6</v>
      </c>
      <c r="J960">
        <v>11</v>
      </c>
      <c r="K960">
        <v>200351</v>
      </c>
      <c r="L960">
        <v>4.2</v>
      </c>
      <c r="M960" t="s">
        <v>21</v>
      </c>
      <c r="N960">
        <v>54</v>
      </c>
      <c r="O960">
        <f t="shared" si="224"/>
        <v>42</v>
      </c>
      <c r="P960">
        <f t="shared" si="225"/>
        <v>17</v>
      </c>
      <c r="Q960">
        <f t="shared" si="226"/>
        <v>25</v>
      </c>
      <c r="R960">
        <f t="shared" si="227"/>
        <v>49.650349650349654</v>
      </c>
      <c r="S960" s="1">
        <f t="shared" si="228"/>
        <v>50.24975024975025</v>
      </c>
      <c r="T960" s="1">
        <f t="shared" si="229"/>
        <v>15</v>
      </c>
      <c r="U960" s="1">
        <f t="shared" si="230"/>
        <v>27</v>
      </c>
      <c r="V960" s="1">
        <f t="shared" si="231"/>
        <v>47.5</v>
      </c>
      <c r="W960" s="1">
        <f t="shared" si="232"/>
        <v>52.5</v>
      </c>
      <c r="X960" s="1">
        <f t="shared" si="233"/>
        <v>15.357142857142858</v>
      </c>
      <c r="Y960" s="1">
        <f t="shared" si="234"/>
        <v>6</v>
      </c>
      <c r="Z960" s="1">
        <f t="shared" si="235"/>
        <v>8</v>
      </c>
      <c r="AA960" s="1">
        <f t="shared" si="236"/>
        <v>2.9166666666666665</v>
      </c>
      <c r="AB960" s="1">
        <f t="shared" si="237"/>
        <v>3.5625</v>
      </c>
      <c r="AC960" s="1">
        <f t="shared" si="238"/>
        <v>1</v>
      </c>
      <c r="AD960" s="1">
        <f t="shared" si="239"/>
        <v>0.15388785046735198</v>
      </c>
    </row>
    <row r="961" spans="1:30" x14ac:dyDescent="0.35">
      <c r="A961" t="s">
        <v>1889</v>
      </c>
      <c r="B961" t="s">
        <v>45</v>
      </c>
      <c r="C961" t="s">
        <v>93</v>
      </c>
      <c r="D961" t="s">
        <v>17</v>
      </c>
      <c r="E961">
        <v>58</v>
      </c>
      <c r="F961" t="s">
        <v>18</v>
      </c>
      <c r="G961" t="s">
        <v>41</v>
      </c>
      <c r="H961" t="s">
        <v>1890</v>
      </c>
      <c r="I961">
        <v>14</v>
      </c>
      <c r="J961">
        <v>14</v>
      </c>
      <c r="K961">
        <v>483025</v>
      </c>
      <c r="L961">
        <v>2.2000000000000002</v>
      </c>
      <c r="M961" t="s">
        <v>21</v>
      </c>
      <c r="N961">
        <v>46</v>
      </c>
      <c r="O961">
        <f t="shared" si="224"/>
        <v>41</v>
      </c>
      <c r="P961">
        <f t="shared" si="225"/>
        <v>17</v>
      </c>
      <c r="Q961">
        <f t="shared" si="226"/>
        <v>24</v>
      </c>
      <c r="R961">
        <f t="shared" si="227"/>
        <v>49.650349650349654</v>
      </c>
      <c r="S961" s="1">
        <f t="shared" si="228"/>
        <v>50.24975024975025</v>
      </c>
      <c r="T961" s="1">
        <f t="shared" si="229"/>
        <v>14</v>
      </c>
      <c r="U961" s="1">
        <f t="shared" si="230"/>
        <v>27</v>
      </c>
      <c r="V961" s="1">
        <f t="shared" si="231"/>
        <v>47.5</v>
      </c>
      <c r="W961" s="1">
        <f t="shared" si="232"/>
        <v>52.5</v>
      </c>
      <c r="X961" s="1">
        <f t="shared" si="233"/>
        <v>15.463414634146341</v>
      </c>
      <c r="Y961" s="1">
        <f t="shared" si="234"/>
        <v>6</v>
      </c>
      <c r="Z961" s="1">
        <f t="shared" si="235"/>
        <v>8</v>
      </c>
      <c r="AA961" s="1">
        <f t="shared" si="236"/>
        <v>2.9166666666666665</v>
      </c>
      <c r="AB961" s="1">
        <f t="shared" si="237"/>
        <v>3.5625</v>
      </c>
      <c r="AC961" s="1">
        <f t="shared" si="238"/>
        <v>1</v>
      </c>
      <c r="AD961" s="1">
        <f t="shared" si="239"/>
        <v>0.18141795506298633</v>
      </c>
    </row>
    <row r="962" spans="1:30" x14ac:dyDescent="0.35">
      <c r="A962" t="s">
        <v>1891</v>
      </c>
      <c r="B962" t="s">
        <v>78</v>
      </c>
      <c r="C962" t="s">
        <v>93</v>
      </c>
      <c r="D962" t="s">
        <v>25</v>
      </c>
      <c r="E962">
        <v>47</v>
      </c>
      <c r="F962" t="s">
        <v>74</v>
      </c>
      <c r="G962" t="s">
        <v>75</v>
      </c>
      <c r="H962" t="s">
        <v>1892</v>
      </c>
      <c r="I962">
        <v>20</v>
      </c>
      <c r="J962">
        <v>23</v>
      </c>
      <c r="K962">
        <v>127181</v>
      </c>
      <c r="L962">
        <v>2.1</v>
      </c>
      <c r="M962" t="s">
        <v>21</v>
      </c>
      <c r="N962">
        <v>64</v>
      </c>
      <c r="O962">
        <f t="shared" ref="O962:O1001" si="240">COUNTA(A962:A1961)</f>
        <v>40</v>
      </c>
      <c r="P962">
        <f t="shared" ref="P962:P1001" si="241">COUNTIF(D962:D1961,"Male")</f>
        <v>16</v>
      </c>
      <c r="Q962">
        <f t="shared" ref="Q962:Q1001" si="242">COUNTIF(D962:D1961,"Female")</f>
        <v>24</v>
      </c>
      <c r="R962">
        <f t="shared" ref="R962:R1001" si="243">497/1001*100</f>
        <v>49.650349650349654</v>
      </c>
      <c r="S962" s="1">
        <f t="shared" ref="S962:S1001" si="244">503/1001*100</f>
        <v>50.24975024975025</v>
      </c>
      <c r="T962" s="1">
        <f t="shared" ref="T962:T1025" si="245">COUNTIF(M962:M1961,"Yes")</f>
        <v>13</v>
      </c>
      <c r="U962" s="1">
        <f t="shared" ref="U962:U1025" si="246">COUNTIF(M962:M1961,"No")</f>
        <v>27</v>
      </c>
      <c r="V962" s="1">
        <f t="shared" ref="V962:V1001" si="247">475/1000*100</f>
        <v>47.5</v>
      </c>
      <c r="W962" s="1">
        <f t="shared" ref="W962:W1001" si="248">525/1000*100</f>
        <v>52.5</v>
      </c>
      <c r="X962" s="1">
        <f t="shared" ref="X962:X1025" si="249">AVERAGE(J962:J1961)</f>
        <v>15.5</v>
      </c>
      <c r="Y962" s="1">
        <f t="shared" ref="Y962:Y1025" si="250">COUNTIF(F962:F1961,"Marketing")</f>
        <v>6</v>
      </c>
      <c r="Z962" s="1">
        <f t="shared" ref="Z962:Z1025" si="251">COUNTIF(F962:F1961,"IT")</f>
        <v>8</v>
      </c>
      <c r="AA962" s="1">
        <f t="shared" ref="AA962:AA1025" si="252">AVERAGEIF(F962:F1961,"Marketing",L962:L1961)</f>
        <v>2.9166666666666665</v>
      </c>
      <c r="AB962" s="1">
        <f t="shared" ref="AB962:AB1025" si="253">AVERAGEIF(F962:F1961,"IT",L962:L1961)</f>
        <v>3.5625</v>
      </c>
      <c r="AC962" s="1">
        <f t="shared" ref="AC962:AC1001" si="254">IF(M962="yes",1,0)</f>
        <v>1</v>
      </c>
      <c r="AD962" s="1">
        <f t="shared" ref="AD962:AD1025" si="255">CORREL(J962:J1961,AC962:AC1961)</f>
        <v>0.19424340236207463</v>
      </c>
    </row>
    <row r="963" spans="1:30" x14ac:dyDescent="0.35">
      <c r="A963" t="s">
        <v>1893</v>
      </c>
      <c r="B963" t="s">
        <v>15</v>
      </c>
      <c r="C963" t="s">
        <v>64</v>
      </c>
      <c r="D963" t="s">
        <v>17</v>
      </c>
      <c r="E963">
        <v>27</v>
      </c>
      <c r="F963" t="s">
        <v>31</v>
      </c>
      <c r="G963" t="s">
        <v>88</v>
      </c>
      <c r="H963" t="s">
        <v>1634</v>
      </c>
      <c r="I963">
        <v>11</v>
      </c>
      <c r="J963">
        <v>14</v>
      </c>
      <c r="K963">
        <v>229682</v>
      </c>
      <c r="L963">
        <v>3.1</v>
      </c>
      <c r="M963" t="s">
        <v>43</v>
      </c>
      <c r="N963">
        <v>98</v>
      </c>
      <c r="O963">
        <f t="shared" si="240"/>
        <v>39</v>
      </c>
      <c r="P963">
        <f t="shared" si="241"/>
        <v>16</v>
      </c>
      <c r="Q963">
        <f t="shared" si="242"/>
        <v>23</v>
      </c>
      <c r="R963">
        <f t="shared" si="243"/>
        <v>49.650349650349654</v>
      </c>
      <c r="S963" s="1">
        <f t="shared" si="244"/>
        <v>50.24975024975025</v>
      </c>
      <c r="T963" s="1">
        <f t="shared" si="245"/>
        <v>12</v>
      </c>
      <c r="U963" s="1">
        <f t="shared" si="246"/>
        <v>27</v>
      </c>
      <c r="V963" s="1">
        <f t="shared" si="247"/>
        <v>47.5</v>
      </c>
      <c r="W963" s="1">
        <f t="shared" si="248"/>
        <v>52.5</v>
      </c>
      <c r="X963" s="1">
        <f t="shared" si="249"/>
        <v>15.307692307692308</v>
      </c>
      <c r="Y963" s="1">
        <f t="shared" si="250"/>
        <v>5</v>
      </c>
      <c r="Z963" s="1">
        <f t="shared" si="251"/>
        <v>8</v>
      </c>
      <c r="AA963" s="1">
        <f t="shared" si="252"/>
        <v>3.08</v>
      </c>
      <c r="AB963" s="1">
        <f t="shared" si="253"/>
        <v>3.5625</v>
      </c>
      <c r="AC963" s="1">
        <f t="shared" si="254"/>
        <v>0</v>
      </c>
      <c r="AD963" s="1">
        <f t="shared" si="255"/>
        <v>0.15828471164895364</v>
      </c>
    </row>
    <row r="964" spans="1:30" x14ac:dyDescent="0.35">
      <c r="A964" t="s">
        <v>1894</v>
      </c>
      <c r="B964" t="s">
        <v>15</v>
      </c>
      <c r="C964" t="s">
        <v>56</v>
      </c>
      <c r="D964" t="s">
        <v>25</v>
      </c>
      <c r="E964">
        <v>46</v>
      </c>
      <c r="F964" t="s">
        <v>79</v>
      </c>
      <c r="G964" t="s">
        <v>75</v>
      </c>
      <c r="H964" t="s">
        <v>1895</v>
      </c>
      <c r="I964">
        <v>20</v>
      </c>
      <c r="J964">
        <v>24</v>
      </c>
      <c r="K964">
        <v>328536</v>
      </c>
      <c r="L964">
        <v>2.2999999999999998</v>
      </c>
      <c r="M964" t="s">
        <v>21</v>
      </c>
      <c r="N964">
        <v>37</v>
      </c>
      <c r="O964">
        <f t="shared" si="240"/>
        <v>38</v>
      </c>
      <c r="P964">
        <f t="shared" si="241"/>
        <v>15</v>
      </c>
      <c r="Q964">
        <f t="shared" si="242"/>
        <v>23</v>
      </c>
      <c r="R964">
        <f t="shared" si="243"/>
        <v>49.650349650349654</v>
      </c>
      <c r="S964" s="1">
        <f t="shared" si="244"/>
        <v>50.24975024975025</v>
      </c>
      <c r="T964" s="1">
        <f t="shared" si="245"/>
        <v>12</v>
      </c>
      <c r="U964" s="1">
        <f t="shared" si="246"/>
        <v>26</v>
      </c>
      <c r="V964" s="1">
        <f t="shared" si="247"/>
        <v>47.5</v>
      </c>
      <c r="W964" s="1">
        <f t="shared" si="248"/>
        <v>52.5</v>
      </c>
      <c r="X964" s="1">
        <f t="shared" si="249"/>
        <v>15.342105263157896</v>
      </c>
      <c r="Y964" s="1">
        <f t="shared" si="250"/>
        <v>5</v>
      </c>
      <c r="Z964" s="1">
        <f t="shared" si="251"/>
        <v>7</v>
      </c>
      <c r="AA964" s="1">
        <f t="shared" si="252"/>
        <v>3.08</v>
      </c>
      <c r="AB964" s="1">
        <f t="shared" si="253"/>
        <v>3.6285714285714286</v>
      </c>
      <c r="AC964" s="1">
        <f t="shared" si="254"/>
        <v>1</v>
      </c>
      <c r="AD964" s="1">
        <f t="shared" si="255"/>
        <v>0.15571203467673997</v>
      </c>
    </row>
    <row r="965" spans="1:30" x14ac:dyDescent="0.35">
      <c r="A965" t="s">
        <v>1896</v>
      </c>
      <c r="B965" t="s">
        <v>55</v>
      </c>
      <c r="C965" t="s">
        <v>24</v>
      </c>
      <c r="D965" t="s">
        <v>25</v>
      </c>
      <c r="E965">
        <v>60</v>
      </c>
      <c r="F965" t="s">
        <v>31</v>
      </c>
      <c r="G965" t="s">
        <v>88</v>
      </c>
      <c r="H965" t="s">
        <v>1897</v>
      </c>
      <c r="I965">
        <v>16</v>
      </c>
      <c r="J965">
        <v>23</v>
      </c>
      <c r="K965">
        <v>461259</v>
      </c>
      <c r="L965">
        <v>3.9</v>
      </c>
      <c r="M965" t="s">
        <v>21</v>
      </c>
      <c r="N965">
        <v>68</v>
      </c>
      <c r="O965">
        <f t="shared" si="240"/>
        <v>37</v>
      </c>
      <c r="P965">
        <f t="shared" si="241"/>
        <v>15</v>
      </c>
      <c r="Q965">
        <f t="shared" si="242"/>
        <v>22</v>
      </c>
      <c r="R965">
        <f t="shared" si="243"/>
        <v>49.650349650349654</v>
      </c>
      <c r="S965" s="1">
        <f t="shared" si="244"/>
        <v>50.24975024975025</v>
      </c>
      <c r="T965" s="1">
        <f t="shared" si="245"/>
        <v>11</v>
      </c>
      <c r="U965" s="1">
        <f t="shared" si="246"/>
        <v>26</v>
      </c>
      <c r="V965" s="1">
        <f t="shared" si="247"/>
        <v>47.5</v>
      </c>
      <c r="W965" s="1">
        <f t="shared" si="248"/>
        <v>52.5</v>
      </c>
      <c r="X965" s="1">
        <f t="shared" si="249"/>
        <v>15.108108108108109</v>
      </c>
      <c r="Y965" s="1">
        <f t="shared" si="250"/>
        <v>5</v>
      </c>
      <c r="Z965" s="1">
        <f t="shared" si="251"/>
        <v>7</v>
      </c>
      <c r="AA965" s="1">
        <f t="shared" si="252"/>
        <v>3.08</v>
      </c>
      <c r="AB965" s="1">
        <f t="shared" si="253"/>
        <v>3.6285714285714286</v>
      </c>
      <c r="AC965" s="1">
        <f t="shared" si="254"/>
        <v>1</v>
      </c>
      <c r="AD965" s="1">
        <f t="shared" si="255"/>
        <v>0.10854991251892586</v>
      </c>
    </row>
    <row r="966" spans="1:30" x14ac:dyDescent="0.35">
      <c r="A966" t="s">
        <v>1898</v>
      </c>
      <c r="B966" t="s">
        <v>29</v>
      </c>
      <c r="C966" t="s">
        <v>36</v>
      </c>
      <c r="D966" t="s">
        <v>25</v>
      </c>
      <c r="E966">
        <v>41</v>
      </c>
      <c r="F966" t="s">
        <v>46</v>
      </c>
      <c r="G966" t="s">
        <v>85</v>
      </c>
      <c r="H966" t="s">
        <v>1899</v>
      </c>
      <c r="I966">
        <v>15</v>
      </c>
      <c r="J966">
        <v>19</v>
      </c>
      <c r="K966">
        <v>55862</v>
      </c>
      <c r="L966">
        <v>4.7</v>
      </c>
      <c r="M966" t="s">
        <v>21</v>
      </c>
      <c r="N966">
        <v>47</v>
      </c>
      <c r="O966">
        <f t="shared" si="240"/>
        <v>36</v>
      </c>
      <c r="P966">
        <f t="shared" si="241"/>
        <v>15</v>
      </c>
      <c r="Q966">
        <f t="shared" si="242"/>
        <v>21</v>
      </c>
      <c r="R966">
        <f t="shared" si="243"/>
        <v>49.650349650349654</v>
      </c>
      <c r="S966" s="1">
        <f t="shared" si="244"/>
        <v>50.24975024975025</v>
      </c>
      <c r="T966" s="1">
        <f t="shared" si="245"/>
        <v>10</v>
      </c>
      <c r="U966" s="1">
        <f t="shared" si="246"/>
        <v>26</v>
      </c>
      <c r="V966" s="1">
        <f t="shared" si="247"/>
        <v>47.5</v>
      </c>
      <c r="W966" s="1">
        <f t="shared" si="248"/>
        <v>52.5</v>
      </c>
      <c r="X966" s="1">
        <f t="shared" si="249"/>
        <v>14.888888888888889</v>
      </c>
      <c r="Y966" s="1">
        <f t="shared" si="250"/>
        <v>5</v>
      </c>
      <c r="Z966" s="1">
        <f t="shared" si="251"/>
        <v>6</v>
      </c>
      <c r="AA966" s="1">
        <f t="shared" si="252"/>
        <v>3.08</v>
      </c>
      <c r="AB966" s="1">
        <f t="shared" si="253"/>
        <v>3.5833333333333335</v>
      </c>
      <c r="AC966" s="1">
        <f t="shared" si="254"/>
        <v>1</v>
      </c>
      <c r="AD966" s="1">
        <f t="shared" si="255"/>
        <v>5.9359123710860093E-2</v>
      </c>
    </row>
    <row r="967" spans="1:30" x14ac:dyDescent="0.35">
      <c r="A967" t="s">
        <v>1900</v>
      </c>
      <c r="B967" t="s">
        <v>111</v>
      </c>
      <c r="C967" t="s">
        <v>49</v>
      </c>
      <c r="D967" t="s">
        <v>25</v>
      </c>
      <c r="E967">
        <v>46</v>
      </c>
      <c r="F967" t="s">
        <v>79</v>
      </c>
      <c r="G967" t="s">
        <v>41</v>
      </c>
      <c r="H967" t="s">
        <v>1901</v>
      </c>
      <c r="I967">
        <v>6</v>
      </c>
      <c r="J967">
        <v>7</v>
      </c>
      <c r="K967">
        <v>225438</v>
      </c>
      <c r="L967">
        <v>2.6</v>
      </c>
      <c r="M967" t="s">
        <v>43</v>
      </c>
      <c r="N967">
        <v>96</v>
      </c>
      <c r="O967">
        <f t="shared" si="240"/>
        <v>35</v>
      </c>
      <c r="P967">
        <f t="shared" si="241"/>
        <v>15</v>
      </c>
      <c r="Q967">
        <f t="shared" si="242"/>
        <v>20</v>
      </c>
      <c r="R967">
        <f t="shared" si="243"/>
        <v>49.650349650349654</v>
      </c>
      <c r="S967" s="1">
        <f t="shared" si="244"/>
        <v>50.24975024975025</v>
      </c>
      <c r="T967" s="1">
        <f t="shared" si="245"/>
        <v>9</v>
      </c>
      <c r="U967" s="1">
        <f t="shared" si="246"/>
        <v>26</v>
      </c>
      <c r="V967" s="1">
        <f t="shared" si="247"/>
        <v>47.5</v>
      </c>
      <c r="W967" s="1">
        <f t="shared" si="248"/>
        <v>52.5</v>
      </c>
      <c r="X967" s="1">
        <f t="shared" si="249"/>
        <v>14.771428571428572</v>
      </c>
      <c r="Y967" s="1">
        <f t="shared" si="250"/>
        <v>5</v>
      </c>
      <c r="Z967" s="1">
        <f t="shared" si="251"/>
        <v>6</v>
      </c>
      <c r="AA967" s="1">
        <f t="shared" si="252"/>
        <v>3.08</v>
      </c>
      <c r="AB967" s="1">
        <f t="shared" si="253"/>
        <v>3.5833333333333335</v>
      </c>
      <c r="AC967" s="1">
        <f t="shared" si="254"/>
        <v>0</v>
      </c>
      <c r="AD967" s="1">
        <f t="shared" si="255"/>
        <v>3.104789454378995E-2</v>
      </c>
    </row>
    <row r="968" spans="1:30" x14ac:dyDescent="0.35">
      <c r="A968" t="s">
        <v>1902</v>
      </c>
      <c r="B968" t="s">
        <v>35</v>
      </c>
      <c r="C968" t="s">
        <v>93</v>
      </c>
      <c r="D968" t="s">
        <v>17</v>
      </c>
      <c r="E968">
        <v>60</v>
      </c>
      <c r="F968" t="s">
        <v>37</v>
      </c>
      <c r="G968" t="s">
        <v>26</v>
      </c>
      <c r="H968" t="s">
        <v>1903</v>
      </c>
      <c r="I968">
        <v>5</v>
      </c>
      <c r="J968">
        <v>9</v>
      </c>
      <c r="K968">
        <v>72772</v>
      </c>
      <c r="L968">
        <v>5</v>
      </c>
      <c r="M968" t="s">
        <v>21</v>
      </c>
      <c r="N968">
        <v>53</v>
      </c>
      <c r="O968">
        <f t="shared" si="240"/>
        <v>34</v>
      </c>
      <c r="P968">
        <f t="shared" si="241"/>
        <v>15</v>
      </c>
      <c r="Q968">
        <f t="shared" si="242"/>
        <v>19</v>
      </c>
      <c r="R968">
        <f t="shared" si="243"/>
        <v>49.650349650349654</v>
      </c>
      <c r="S968" s="1">
        <f t="shared" si="244"/>
        <v>50.24975024975025</v>
      </c>
      <c r="T968" s="1">
        <f t="shared" si="245"/>
        <v>9</v>
      </c>
      <c r="U968" s="1">
        <f t="shared" si="246"/>
        <v>25</v>
      </c>
      <c r="V968" s="1">
        <f t="shared" si="247"/>
        <v>47.5</v>
      </c>
      <c r="W968" s="1">
        <f t="shared" si="248"/>
        <v>52.5</v>
      </c>
      <c r="X968" s="1">
        <f t="shared" si="249"/>
        <v>15</v>
      </c>
      <c r="Y968" s="1">
        <f t="shared" si="250"/>
        <v>5</v>
      </c>
      <c r="Z968" s="1">
        <f t="shared" si="251"/>
        <v>6</v>
      </c>
      <c r="AA968" s="1">
        <f t="shared" si="252"/>
        <v>3.08</v>
      </c>
      <c r="AB968" s="1">
        <f t="shared" si="253"/>
        <v>3.5833333333333335</v>
      </c>
      <c r="AC968" s="1">
        <f t="shared" si="254"/>
        <v>1</v>
      </c>
      <c r="AD968" s="1">
        <f t="shared" si="255"/>
        <v>1.0434063282969853E-2</v>
      </c>
    </row>
    <row r="969" spans="1:30" x14ac:dyDescent="0.35">
      <c r="A969" t="s">
        <v>1904</v>
      </c>
      <c r="B969" t="s">
        <v>23</v>
      </c>
      <c r="C969" t="s">
        <v>49</v>
      </c>
      <c r="D969" t="s">
        <v>25</v>
      </c>
      <c r="E969">
        <v>35</v>
      </c>
      <c r="F969" t="s">
        <v>74</v>
      </c>
      <c r="G969" t="s">
        <v>57</v>
      </c>
      <c r="H969" t="s">
        <v>1905</v>
      </c>
      <c r="I969">
        <v>5</v>
      </c>
      <c r="J969">
        <v>12</v>
      </c>
      <c r="K969">
        <v>450645</v>
      </c>
      <c r="L969">
        <v>2.6</v>
      </c>
      <c r="M969" t="s">
        <v>43</v>
      </c>
      <c r="N969">
        <v>83</v>
      </c>
      <c r="O969">
        <f t="shared" si="240"/>
        <v>33</v>
      </c>
      <c r="P969">
        <f t="shared" si="241"/>
        <v>14</v>
      </c>
      <c r="Q969">
        <f t="shared" si="242"/>
        <v>19</v>
      </c>
      <c r="R969">
        <f t="shared" si="243"/>
        <v>49.650349650349654</v>
      </c>
      <c r="S969" s="1">
        <f t="shared" si="244"/>
        <v>50.24975024975025</v>
      </c>
      <c r="T969" s="1">
        <f t="shared" si="245"/>
        <v>8</v>
      </c>
      <c r="U969" s="1">
        <f t="shared" si="246"/>
        <v>25</v>
      </c>
      <c r="V969" s="1">
        <f t="shared" si="247"/>
        <v>47.5</v>
      </c>
      <c r="W969" s="1">
        <f t="shared" si="248"/>
        <v>52.5</v>
      </c>
      <c r="X969" s="1">
        <f t="shared" si="249"/>
        <v>15.181818181818182</v>
      </c>
      <c r="Y969" s="1">
        <f t="shared" si="250"/>
        <v>5</v>
      </c>
      <c r="Z969" s="1">
        <f t="shared" si="251"/>
        <v>6</v>
      </c>
      <c r="AA969" s="1">
        <f t="shared" si="252"/>
        <v>3.08</v>
      </c>
      <c r="AB969" s="1">
        <f t="shared" si="253"/>
        <v>3.5833333333333335</v>
      </c>
      <c r="AC969" s="1">
        <f t="shared" si="254"/>
        <v>0</v>
      </c>
      <c r="AD969" s="1">
        <f t="shared" si="255"/>
        <v>6.1286674959495441E-2</v>
      </c>
    </row>
    <row r="970" spans="1:30" x14ac:dyDescent="0.35">
      <c r="A970" t="s">
        <v>1906</v>
      </c>
      <c r="B970" t="s">
        <v>96</v>
      </c>
      <c r="C970" t="s">
        <v>64</v>
      </c>
      <c r="D970" t="s">
        <v>25</v>
      </c>
      <c r="E970">
        <v>29</v>
      </c>
      <c r="F970" t="s">
        <v>46</v>
      </c>
      <c r="G970" t="s">
        <v>75</v>
      </c>
      <c r="H970" t="s">
        <v>1907</v>
      </c>
      <c r="I970">
        <v>15</v>
      </c>
      <c r="J970">
        <v>23</v>
      </c>
      <c r="K970">
        <v>153440</v>
      </c>
      <c r="L970">
        <v>4.8</v>
      </c>
      <c r="M970" t="s">
        <v>43</v>
      </c>
      <c r="N970">
        <v>76</v>
      </c>
      <c r="O970">
        <f t="shared" si="240"/>
        <v>32</v>
      </c>
      <c r="P970">
        <f t="shared" si="241"/>
        <v>14</v>
      </c>
      <c r="Q970">
        <f t="shared" si="242"/>
        <v>18</v>
      </c>
      <c r="R970">
        <f t="shared" si="243"/>
        <v>49.650349650349654</v>
      </c>
      <c r="S970" s="1">
        <f t="shared" si="244"/>
        <v>50.24975024975025</v>
      </c>
      <c r="T970" s="1">
        <f t="shared" si="245"/>
        <v>8</v>
      </c>
      <c r="U970" s="1">
        <f t="shared" si="246"/>
        <v>24</v>
      </c>
      <c r="V970" s="1">
        <f t="shared" si="247"/>
        <v>47.5</v>
      </c>
      <c r="W970" s="1">
        <f t="shared" si="248"/>
        <v>52.5</v>
      </c>
      <c r="X970" s="1">
        <f t="shared" si="249"/>
        <v>15.28125</v>
      </c>
      <c r="Y970" s="1">
        <f t="shared" si="250"/>
        <v>4</v>
      </c>
      <c r="Z970" s="1">
        <f t="shared" si="251"/>
        <v>6</v>
      </c>
      <c r="AA970" s="1">
        <f t="shared" si="252"/>
        <v>3.1999999999999997</v>
      </c>
      <c r="AB970" s="1">
        <f t="shared" si="253"/>
        <v>3.5833333333333335</v>
      </c>
      <c r="AC970" s="1">
        <f t="shared" si="254"/>
        <v>0</v>
      </c>
      <c r="AD970" s="1">
        <f t="shared" si="255"/>
        <v>5.2965080600213758E-2</v>
      </c>
    </row>
    <row r="971" spans="1:30" x14ac:dyDescent="0.35">
      <c r="A971" t="s">
        <v>1908</v>
      </c>
      <c r="B971" t="s">
        <v>111</v>
      </c>
      <c r="C971" t="s">
        <v>49</v>
      </c>
      <c r="D971" t="s">
        <v>25</v>
      </c>
      <c r="E971">
        <v>44</v>
      </c>
      <c r="F971" t="s">
        <v>46</v>
      </c>
      <c r="G971" t="s">
        <v>88</v>
      </c>
      <c r="H971" t="s">
        <v>1909</v>
      </c>
      <c r="I971">
        <v>11</v>
      </c>
      <c r="J971">
        <v>21</v>
      </c>
      <c r="K971">
        <v>385714</v>
      </c>
      <c r="L971">
        <v>4.3</v>
      </c>
      <c r="M971" t="s">
        <v>43</v>
      </c>
      <c r="N971">
        <v>99</v>
      </c>
      <c r="O971">
        <f t="shared" si="240"/>
        <v>31</v>
      </c>
      <c r="P971">
        <f t="shared" si="241"/>
        <v>14</v>
      </c>
      <c r="Q971">
        <f t="shared" si="242"/>
        <v>17</v>
      </c>
      <c r="R971">
        <f t="shared" si="243"/>
        <v>49.650349650349654</v>
      </c>
      <c r="S971" s="1">
        <f t="shared" si="244"/>
        <v>50.24975024975025</v>
      </c>
      <c r="T971" s="1">
        <f t="shared" si="245"/>
        <v>8</v>
      </c>
      <c r="U971" s="1">
        <f t="shared" si="246"/>
        <v>23</v>
      </c>
      <c r="V971" s="1">
        <f t="shared" si="247"/>
        <v>47.5</v>
      </c>
      <c r="W971" s="1">
        <f t="shared" si="248"/>
        <v>52.5</v>
      </c>
      <c r="X971" s="1">
        <f t="shared" si="249"/>
        <v>15.03225806451613</v>
      </c>
      <c r="Y971" s="1">
        <f t="shared" si="250"/>
        <v>4</v>
      </c>
      <c r="Z971" s="1">
        <f t="shared" si="251"/>
        <v>6</v>
      </c>
      <c r="AA971" s="1">
        <f t="shared" si="252"/>
        <v>3.1999999999999997</v>
      </c>
      <c r="AB971" s="1">
        <f t="shared" si="253"/>
        <v>3.5833333333333335</v>
      </c>
      <c r="AC971" s="1">
        <f t="shared" si="254"/>
        <v>0</v>
      </c>
      <c r="AD971" s="1">
        <f t="shared" si="255"/>
        <v>7.7379644877349385E-2</v>
      </c>
    </row>
    <row r="972" spans="1:30" x14ac:dyDescent="0.35">
      <c r="A972" t="s">
        <v>1910</v>
      </c>
      <c r="B972" t="s">
        <v>111</v>
      </c>
      <c r="C972" t="s">
        <v>16</v>
      </c>
      <c r="D972" t="s">
        <v>17</v>
      </c>
      <c r="E972">
        <v>52</v>
      </c>
      <c r="F972" t="s">
        <v>37</v>
      </c>
      <c r="G972" t="s">
        <v>32</v>
      </c>
      <c r="H972" t="s">
        <v>1911</v>
      </c>
      <c r="I972">
        <v>1</v>
      </c>
      <c r="J972">
        <v>9</v>
      </c>
      <c r="K972">
        <v>231353</v>
      </c>
      <c r="L972">
        <v>2.6</v>
      </c>
      <c r="M972" t="s">
        <v>43</v>
      </c>
      <c r="N972">
        <v>80</v>
      </c>
      <c r="O972">
        <f t="shared" si="240"/>
        <v>30</v>
      </c>
      <c r="P972">
        <f t="shared" si="241"/>
        <v>14</v>
      </c>
      <c r="Q972">
        <f t="shared" si="242"/>
        <v>16</v>
      </c>
      <c r="R972">
        <f t="shared" si="243"/>
        <v>49.650349650349654</v>
      </c>
      <c r="S972" s="1">
        <f t="shared" si="244"/>
        <v>50.24975024975025</v>
      </c>
      <c r="T972" s="1">
        <f t="shared" si="245"/>
        <v>8</v>
      </c>
      <c r="U972" s="1">
        <f t="shared" si="246"/>
        <v>22</v>
      </c>
      <c r="V972" s="1">
        <f t="shared" si="247"/>
        <v>47.5</v>
      </c>
      <c r="W972" s="1">
        <f t="shared" si="248"/>
        <v>52.5</v>
      </c>
      <c r="X972" s="1">
        <f t="shared" si="249"/>
        <v>14.833333333333334</v>
      </c>
      <c r="Y972" s="1">
        <f t="shared" si="250"/>
        <v>4</v>
      </c>
      <c r="Z972" s="1">
        <f t="shared" si="251"/>
        <v>6</v>
      </c>
      <c r="AA972" s="1">
        <f t="shared" si="252"/>
        <v>3.1999999999999997</v>
      </c>
      <c r="AB972" s="1">
        <f t="shared" si="253"/>
        <v>3.5833333333333335</v>
      </c>
      <c r="AC972" s="1">
        <f t="shared" si="254"/>
        <v>0</v>
      </c>
      <c r="AD972" s="1">
        <f t="shared" si="255"/>
        <v>9.7618720718627289E-2</v>
      </c>
    </row>
    <row r="973" spans="1:30" x14ac:dyDescent="0.35">
      <c r="A973" t="s">
        <v>1912</v>
      </c>
      <c r="B973" t="s">
        <v>45</v>
      </c>
      <c r="C973" t="s">
        <v>56</v>
      </c>
      <c r="D973" t="s">
        <v>25</v>
      </c>
      <c r="E973">
        <v>29</v>
      </c>
      <c r="F973" t="s">
        <v>31</v>
      </c>
      <c r="G973" t="s">
        <v>19</v>
      </c>
      <c r="H973" t="s">
        <v>1913</v>
      </c>
      <c r="I973">
        <v>3</v>
      </c>
      <c r="J973">
        <v>9</v>
      </c>
      <c r="K973">
        <v>218460</v>
      </c>
      <c r="L973">
        <v>4.5999999999999996</v>
      </c>
      <c r="M973" t="s">
        <v>21</v>
      </c>
      <c r="N973">
        <v>38</v>
      </c>
      <c r="O973">
        <f t="shared" si="240"/>
        <v>29</v>
      </c>
      <c r="P973">
        <f t="shared" si="241"/>
        <v>13</v>
      </c>
      <c r="Q973">
        <f t="shared" si="242"/>
        <v>16</v>
      </c>
      <c r="R973">
        <f t="shared" si="243"/>
        <v>49.650349650349654</v>
      </c>
      <c r="S973" s="1">
        <f t="shared" si="244"/>
        <v>50.24975024975025</v>
      </c>
      <c r="T973" s="1">
        <f t="shared" si="245"/>
        <v>8</v>
      </c>
      <c r="U973" s="1">
        <f t="shared" si="246"/>
        <v>21</v>
      </c>
      <c r="V973" s="1">
        <f t="shared" si="247"/>
        <v>47.5</v>
      </c>
      <c r="W973" s="1">
        <f t="shared" si="248"/>
        <v>52.5</v>
      </c>
      <c r="X973" s="1">
        <f t="shared" si="249"/>
        <v>15.03448275862069</v>
      </c>
      <c r="Y973" s="1">
        <f t="shared" si="250"/>
        <v>4</v>
      </c>
      <c r="Z973" s="1">
        <f t="shared" si="251"/>
        <v>6</v>
      </c>
      <c r="AA973" s="1">
        <f t="shared" si="252"/>
        <v>3.1999999999999997</v>
      </c>
      <c r="AB973" s="1">
        <f t="shared" si="253"/>
        <v>3.5833333333333335</v>
      </c>
      <c r="AC973" s="1">
        <f t="shared" si="254"/>
        <v>1</v>
      </c>
      <c r="AD973" s="1">
        <f t="shared" si="255"/>
        <v>8.0414347117172866E-2</v>
      </c>
    </row>
    <row r="974" spans="1:30" x14ac:dyDescent="0.35">
      <c r="A974" t="s">
        <v>1914</v>
      </c>
      <c r="B974" t="s">
        <v>60</v>
      </c>
      <c r="C974" t="s">
        <v>24</v>
      </c>
      <c r="D974" t="s">
        <v>17</v>
      </c>
      <c r="E974">
        <v>21</v>
      </c>
      <c r="F974" t="s">
        <v>79</v>
      </c>
      <c r="G974" t="s">
        <v>85</v>
      </c>
      <c r="H974" t="s">
        <v>1915</v>
      </c>
      <c r="I974">
        <v>3</v>
      </c>
      <c r="J974">
        <v>11</v>
      </c>
      <c r="K974">
        <v>296947</v>
      </c>
      <c r="L974">
        <v>2.2000000000000002</v>
      </c>
      <c r="M974" t="s">
        <v>43</v>
      </c>
      <c r="N974">
        <v>88</v>
      </c>
      <c r="O974">
        <f t="shared" si="240"/>
        <v>28</v>
      </c>
      <c r="P974">
        <f t="shared" si="241"/>
        <v>13</v>
      </c>
      <c r="Q974">
        <f t="shared" si="242"/>
        <v>15</v>
      </c>
      <c r="R974">
        <f t="shared" si="243"/>
        <v>49.650349650349654</v>
      </c>
      <c r="S974" s="1">
        <f t="shared" si="244"/>
        <v>50.24975024975025</v>
      </c>
      <c r="T974" s="1">
        <f t="shared" si="245"/>
        <v>7</v>
      </c>
      <c r="U974" s="1">
        <f t="shared" si="246"/>
        <v>21</v>
      </c>
      <c r="V974" s="1">
        <f t="shared" si="247"/>
        <v>47.5</v>
      </c>
      <c r="W974" s="1">
        <f t="shared" si="248"/>
        <v>52.5</v>
      </c>
      <c r="X974" s="1">
        <f t="shared" si="249"/>
        <v>15.25</v>
      </c>
      <c r="Y974" s="1">
        <f t="shared" si="250"/>
        <v>4</v>
      </c>
      <c r="Z974" s="1">
        <f t="shared" si="251"/>
        <v>5</v>
      </c>
      <c r="AA974" s="1">
        <f t="shared" si="252"/>
        <v>3.1999999999999997</v>
      </c>
      <c r="AB974" s="1">
        <f t="shared" si="253"/>
        <v>3.38</v>
      </c>
      <c r="AC974" s="1">
        <f t="shared" si="254"/>
        <v>0</v>
      </c>
      <c r="AD974" s="1">
        <f t="shared" si="255"/>
        <v>0.14358834222303238</v>
      </c>
    </row>
    <row r="975" spans="1:30" x14ac:dyDescent="0.35">
      <c r="A975" t="s">
        <v>1916</v>
      </c>
      <c r="B975" t="s">
        <v>23</v>
      </c>
      <c r="C975" t="s">
        <v>93</v>
      </c>
      <c r="D975" t="s">
        <v>17</v>
      </c>
      <c r="E975">
        <v>23</v>
      </c>
      <c r="F975" t="s">
        <v>18</v>
      </c>
      <c r="G975" t="s">
        <v>61</v>
      </c>
      <c r="H975" t="s">
        <v>1917</v>
      </c>
      <c r="I975">
        <v>13</v>
      </c>
      <c r="J975">
        <v>14</v>
      </c>
      <c r="K975">
        <v>454909</v>
      </c>
      <c r="L975">
        <v>4.4000000000000004</v>
      </c>
      <c r="M975" t="s">
        <v>43</v>
      </c>
      <c r="N975">
        <v>76</v>
      </c>
      <c r="O975">
        <f t="shared" si="240"/>
        <v>27</v>
      </c>
      <c r="P975">
        <f t="shared" si="241"/>
        <v>12</v>
      </c>
      <c r="Q975">
        <f t="shared" si="242"/>
        <v>15</v>
      </c>
      <c r="R975">
        <f t="shared" si="243"/>
        <v>49.650349650349654</v>
      </c>
      <c r="S975" s="1">
        <f t="shared" si="244"/>
        <v>50.24975024975025</v>
      </c>
      <c r="T975" s="1">
        <f t="shared" si="245"/>
        <v>7</v>
      </c>
      <c r="U975" s="1">
        <f t="shared" si="246"/>
        <v>20</v>
      </c>
      <c r="V975" s="1">
        <f t="shared" si="247"/>
        <v>47.5</v>
      </c>
      <c r="W975" s="1">
        <f t="shared" si="248"/>
        <v>52.5</v>
      </c>
      <c r="X975" s="1">
        <f t="shared" si="249"/>
        <v>15.407407407407407</v>
      </c>
      <c r="Y975" s="1">
        <f t="shared" si="250"/>
        <v>4</v>
      </c>
      <c r="Z975" s="1">
        <f t="shared" si="251"/>
        <v>5</v>
      </c>
      <c r="AA975" s="1">
        <f t="shared" si="252"/>
        <v>3.1999999999999997</v>
      </c>
      <c r="AB975" s="1">
        <f t="shared" si="253"/>
        <v>3.38</v>
      </c>
      <c r="AC975" s="1">
        <f t="shared" si="254"/>
        <v>0</v>
      </c>
      <c r="AD975" s="1">
        <f t="shared" si="255"/>
        <v>0.13138865177550815</v>
      </c>
    </row>
    <row r="976" spans="1:30" x14ac:dyDescent="0.35">
      <c r="A976" t="s">
        <v>1918</v>
      </c>
      <c r="B976" t="s">
        <v>55</v>
      </c>
      <c r="C976" t="s">
        <v>82</v>
      </c>
      <c r="D976" t="s">
        <v>17</v>
      </c>
      <c r="E976">
        <v>51</v>
      </c>
      <c r="F976" t="s">
        <v>70</v>
      </c>
      <c r="G976" t="s">
        <v>61</v>
      </c>
      <c r="H976" t="s">
        <v>1919</v>
      </c>
      <c r="I976">
        <v>13</v>
      </c>
      <c r="J976">
        <v>21</v>
      </c>
      <c r="K976">
        <v>458295</v>
      </c>
      <c r="L976">
        <v>4.7</v>
      </c>
      <c r="M976" t="s">
        <v>43</v>
      </c>
      <c r="N976">
        <v>83</v>
      </c>
      <c r="O976">
        <f t="shared" si="240"/>
        <v>26</v>
      </c>
      <c r="P976">
        <f t="shared" si="241"/>
        <v>11</v>
      </c>
      <c r="Q976">
        <f t="shared" si="242"/>
        <v>15</v>
      </c>
      <c r="R976">
        <f t="shared" si="243"/>
        <v>49.650349650349654</v>
      </c>
      <c r="S976" s="1">
        <f t="shared" si="244"/>
        <v>50.24975024975025</v>
      </c>
      <c r="T976" s="1">
        <f t="shared" si="245"/>
        <v>7</v>
      </c>
      <c r="U976" s="1">
        <f t="shared" si="246"/>
        <v>19</v>
      </c>
      <c r="V976" s="1">
        <f t="shared" si="247"/>
        <v>47.5</v>
      </c>
      <c r="W976" s="1">
        <f t="shared" si="248"/>
        <v>52.5</v>
      </c>
      <c r="X976" s="1">
        <f t="shared" si="249"/>
        <v>15.461538461538462</v>
      </c>
      <c r="Y976" s="1">
        <f t="shared" si="250"/>
        <v>4</v>
      </c>
      <c r="Z976" s="1">
        <f t="shared" si="251"/>
        <v>5</v>
      </c>
      <c r="AA976" s="1">
        <f t="shared" si="252"/>
        <v>3.1999999999999997</v>
      </c>
      <c r="AB976" s="1">
        <f t="shared" si="253"/>
        <v>3.38</v>
      </c>
      <c r="AC976" s="1">
        <f t="shared" si="254"/>
        <v>0</v>
      </c>
      <c r="AD976" s="1">
        <f t="shared" si="255"/>
        <v>0.12745679524430623</v>
      </c>
    </row>
    <row r="977" spans="1:30" x14ac:dyDescent="0.35">
      <c r="A977" t="s">
        <v>1920</v>
      </c>
      <c r="B977" t="s">
        <v>35</v>
      </c>
      <c r="C977" t="s">
        <v>56</v>
      </c>
      <c r="D977" t="s">
        <v>25</v>
      </c>
      <c r="E977">
        <v>41</v>
      </c>
      <c r="F977" t="s">
        <v>18</v>
      </c>
      <c r="G977" t="s">
        <v>19</v>
      </c>
      <c r="H977" t="s">
        <v>1921</v>
      </c>
      <c r="I977">
        <v>12</v>
      </c>
      <c r="J977">
        <v>19</v>
      </c>
      <c r="K977">
        <v>442150</v>
      </c>
      <c r="L977">
        <v>2</v>
      </c>
      <c r="M977" t="s">
        <v>43</v>
      </c>
      <c r="N977">
        <v>83</v>
      </c>
      <c r="O977">
        <f t="shared" si="240"/>
        <v>25</v>
      </c>
      <c r="P977">
        <f t="shared" si="241"/>
        <v>10</v>
      </c>
      <c r="Q977">
        <f t="shared" si="242"/>
        <v>15</v>
      </c>
      <c r="R977">
        <f t="shared" si="243"/>
        <v>49.650349650349654</v>
      </c>
      <c r="S977" s="1">
        <f t="shared" si="244"/>
        <v>50.24975024975025</v>
      </c>
      <c r="T977" s="1">
        <f t="shared" si="245"/>
        <v>7</v>
      </c>
      <c r="U977" s="1">
        <f t="shared" si="246"/>
        <v>18</v>
      </c>
      <c r="V977" s="1">
        <f t="shared" si="247"/>
        <v>47.5</v>
      </c>
      <c r="W977" s="1">
        <f t="shared" si="248"/>
        <v>52.5</v>
      </c>
      <c r="X977" s="1">
        <f t="shared" si="249"/>
        <v>15.24</v>
      </c>
      <c r="Y977" s="1">
        <f t="shared" si="250"/>
        <v>4</v>
      </c>
      <c r="Z977" s="1">
        <f t="shared" si="251"/>
        <v>5</v>
      </c>
      <c r="AA977" s="1">
        <f t="shared" si="252"/>
        <v>3.1999999999999997</v>
      </c>
      <c r="AB977" s="1">
        <f t="shared" si="253"/>
        <v>3.38</v>
      </c>
      <c r="AC977" s="1">
        <f t="shared" si="254"/>
        <v>0</v>
      </c>
      <c r="AD977" s="1">
        <f t="shared" si="255"/>
        <v>0.15090030788785214</v>
      </c>
    </row>
    <row r="978" spans="1:30" x14ac:dyDescent="0.35">
      <c r="A978" t="s">
        <v>1922</v>
      </c>
      <c r="B978" t="s">
        <v>69</v>
      </c>
      <c r="C978" t="s">
        <v>16</v>
      </c>
      <c r="D978" t="s">
        <v>25</v>
      </c>
      <c r="E978">
        <v>30</v>
      </c>
      <c r="F978" t="s">
        <v>70</v>
      </c>
      <c r="G978" t="s">
        <v>32</v>
      </c>
      <c r="H978" t="s">
        <v>1923</v>
      </c>
      <c r="I978">
        <v>18</v>
      </c>
      <c r="J978">
        <v>18</v>
      </c>
      <c r="K978">
        <v>199232</v>
      </c>
      <c r="L978">
        <v>3.7</v>
      </c>
      <c r="M978" t="s">
        <v>43</v>
      </c>
      <c r="N978">
        <v>79</v>
      </c>
      <c r="O978">
        <f t="shared" si="240"/>
        <v>24</v>
      </c>
      <c r="P978">
        <f t="shared" si="241"/>
        <v>10</v>
      </c>
      <c r="Q978">
        <f t="shared" si="242"/>
        <v>14</v>
      </c>
      <c r="R978">
        <f t="shared" si="243"/>
        <v>49.650349650349654</v>
      </c>
      <c r="S978" s="1">
        <f t="shared" si="244"/>
        <v>50.24975024975025</v>
      </c>
      <c r="T978" s="1">
        <f t="shared" si="245"/>
        <v>7</v>
      </c>
      <c r="U978" s="1">
        <f t="shared" si="246"/>
        <v>17</v>
      </c>
      <c r="V978" s="1">
        <f t="shared" si="247"/>
        <v>47.5</v>
      </c>
      <c r="W978" s="1">
        <f t="shared" si="248"/>
        <v>52.5</v>
      </c>
      <c r="X978" s="1">
        <f t="shared" si="249"/>
        <v>15.083333333333334</v>
      </c>
      <c r="Y978" s="1">
        <f t="shared" si="250"/>
        <v>4</v>
      </c>
      <c r="Z978" s="1">
        <f t="shared" si="251"/>
        <v>5</v>
      </c>
      <c r="AA978" s="1">
        <f t="shared" si="252"/>
        <v>3.1999999999999997</v>
      </c>
      <c r="AB978" s="1">
        <f t="shared" si="253"/>
        <v>3.38</v>
      </c>
      <c r="AC978" s="1">
        <f t="shared" si="254"/>
        <v>0</v>
      </c>
      <c r="AD978" s="1">
        <f t="shared" si="255"/>
        <v>0.1679883672934559</v>
      </c>
    </row>
    <row r="979" spans="1:30" x14ac:dyDescent="0.35">
      <c r="A979" t="s">
        <v>1924</v>
      </c>
      <c r="B979" t="s">
        <v>111</v>
      </c>
      <c r="C979" t="s">
        <v>49</v>
      </c>
      <c r="D979" t="s">
        <v>17</v>
      </c>
      <c r="E979">
        <v>58</v>
      </c>
      <c r="F979" t="s">
        <v>74</v>
      </c>
      <c r="G979" t="s">
        <v>85</v>
      </c>
      <c r="H979" t="s">
        <v>1925</v>
      </c>
      <c r="I979">
        <v>8</v>
      </c>
      <c r="J979">
        <v>15</v>
      </c>
      <c r="K979">
        <v>121555</v>
      </c>
      <c r="L979">
        <v>2.2999999999999998</v>
      </c>
      <c r="M979" t="s">
        <v>43</v>
      </c>
      <c r="N979">
        <v>82</v>
      </c>
      <c r="O979">
        <f t="shared" si="240"/>
        <v>23</v>
      </c>
      <c r="P979">
        <f t="shared" si="241"/>
        <v>10</v>
      </c>
      <c r="Q979">
        <f t="shared" si="242"/>
        <v>13</v>
      </c>
      <c r="R979">
        <f t="shared" si="243"/>
        <v>49.650349650349654</v>
      </c>
      <c r="S979" s="1">
        <f t="shared" si="244"/>
        <v>50.24975024975025</v>
      </c>
      <c r="T979" s="1">
        <f t="shared" si="245"/>
        <v>7</v>
      </c>
      <c r="U979" s="1">
        <f t="shared" si="246"/>
        <v>16</v>
      </c>
      <c r="V979" s="1">
        <f t="shared" si="247"/>
        <v>47.5</v>
      </c>
      <c r="W979" s="1">
        <f t="shared" si="248"/>
        <v>52.5</v>
      </c>
      <c r="X979" s="1">
        <f t="shared" si="249"/>
        <v>14.956521739130435</v>
      </c>
      <c r="Y979" s="1">
        <f t="shared" si="250"/>
        <v>4</v>
      </c>
      <c r="Z979" s="1">
        <f t="shared" si="251"/>
        <v>5</v>
      </c>
      <c r="AA979" s="1">
        <f t="shared" si="252"/>
        <v>3.1999999999999997</v>
      </c>
      <c r="AB979" s="1">
        <f t="shared" si="253"/>
        <v>3.38</v>
      </c>
      <c r="AC979" s="1">
        <f t="shared" si="254"/>
        <v>0</v>
      </c>
      <c r="AD979" s="1">
        <f t="shared" si="255"/>
        <v>0.18236733607080693</v>
      </c>
    </row>
    <row r="980" spans="1:30" x14ac:dyDescent="0.35">
      <c r="A980" t="s">
        <v>1926</v>
      </c>
      <c r="B980" t="s">
        <v>29</v>
      </c>
      <c r="C980" t="s">
        <v>64</v>
      </c>
      <c r="D980" t="s">
        <v>25</v>
      </c>
      <c r="E980">
        <v>55</v>
      </c>
      <c r="F980" t="s">
        <v>70</v>
      </c>
      <c r="G980" t="s">
        <v>61</v>
      </c>
      <c r="H980" t="s">
        <v>1927</v>
      </c>
      <c r="I980">
        <v>6</v>
      </c>
      <c r="J980">
        <v>11</v>
      </c>
      <c r="K980">
        <v>481559</v>
      </c>
      <c r="L980">
        <v>4.4000000000000004</v>
      </c>
      <c r="M980" t="s">
        <v>43</v>
      </c>
      <c r="N980">
        <v>94</v>
      </c>
      <c r="O980">
        <f t="shared" si="240"/>
        <v>22</v>
      </c>
      <c r="P980">
        <f t="shared" si="241"/>
        <v>9</v>
      </c>
      <c r="Q980">
        <f t="shared" si="242"/>
        <v>13</v>
      </c>
      <c r="R980">
        <f t="shared" si="243"/>
        <v>49.650349650349654</v>
      </c>
      <c r="S980" s="1">
        <f t="shared" si="244"/>
        <v>50.24975024975025</v>
      </c>
      <c r="T980" s="1">
        <f t="shared" si="245"/>
        <v>7</v>
      </c>
      <c r="U980" s="1">
        <f t="shared" si="246"/>
        <v>15</v>
      </c>
      <c r="V980" s="1">
        <f t="shared" si="247"/>
        <v>47.5</v>
      </c>
      <c r="W980" s="1">
        <f t="shared" si="248"/>
        <v>52.5</v>
      </c>
      <c r="X980" s="1">
        <f t="shared" si="249"/>
        <v>14.954545454545455</v>
      </c>
      <c r="Y980" s="1">
        <f t="shared" si="250"/>
        <v>3</v>
      </c>
      <c r="Z980" s="1">
        <f t="shared" si="251"/>
        <v>5</v>
      </c>
      <c r="AA980" s="1">
        <f t="shared" si="252"/>
        <v>3.5</v>
      </c>
      <c r="AB980" s="1">
        <f t="shared" si="253"/>
        <v>3.38</v>
      </c>
      <c r="AC980" s="1">
        <f t="shared" si="254"/>
        <v>0</v>
      </c>
      <c r="AD980" s="1">
        <f t="shared" si="255"/>
        <v>0.18439985707937265</v>
      </c>
    </row>
    <row r="981" spans="1:30" x14ac:dyDescent="0.35">
      <c r="A981" t="s">
        <v>1928</v>
      </c>
      <c r="B981" t="s">
        <v>35</v>
      </c>
      <c r="C981" t="s">
        <v>52</v>
      </c>
      <c r="D981" t="s">
        <v>17</v>
      </c>
      <c r="E981">
        <v>49</v>
      </c>
      <c r="F981" t="s">
        <v>74</v>
      </c>
      <c r="G981" t="s">
        <v>85</v>
      </c>
      <c r="H981" t="s">
        <v>1929</v>
      </c>
      <c r="I981">
        <v>1</v>
      </c>
      <c r="J981">
        <v>8</v>
      </c>
      <c r="K981">
        <v>358579</v>
      </c>
      <c r="L981">
        <v>3</v>
      </c>
      <c r="M981" t="s">
        <v>43</v>
      </c>
      <c r="N981">
        <v>99</v>
      </c>
      <c r="O981">
        <f t="shared" si="240"/>
        <v>21</v>
      </c>
      <c r="P981">
        <f t="shared" si="241"/>
        <v>9</v>
      </c>
      <c r="Q981">
        <f t="shared" si="242"/>
        <v>12</v>
      </c>
      <c r="R981">
        <f t="shared" si="243"/>
        <v>49.650349650349654</v>
      </c>
      <c r="S981" s="1">
        <f t="shared" si="244"/>
        <v>50.24975024975025</v>
      </c>
      <c r="T981" s="1">
        <f t="shared" si="245"/>
        <v>7</v>
      </c>
      <c r="U981" s="1">
        <f t="shared" si="246"/>
        <v>14</v>
      </c>
      <c r="V981" s="1">
        <f t="shared" si="247"/>
        <v>47.5</v>
      </c>
      <c r="W981" s="1">
        <f t="shared" si="248"/>
        <v>52.5</v>
      </c>
      <c r="X981" s="1">
        <f t="shared" si="249"/>
        <v>15.142857142857142</v>
      </c>
      <c r="Y981" s="1">
        <f t="shared" si="250"/>
        <v>3</v>
      </c>
      <c r="Z981" s="1">
        <f t="shared" si="251"/>
        <v>5</v>
      </c>
      <c r="AA981" s="1">
        <f t="shared" si="252"/>
        <v>3.5</v>
      </c>
      <c r="AB981" s="1">
        <f t="shared" si="253"/>
        <v>3.38</v>
      </c>
      <c r="AC981" s="1">
        <f t="shared" si="254"/>
        <v>0</v>
      </c>
      <c r="AD981" s="1">
        <f t="shared" si="255"/>
        <v>0.16929979439493012</v>
      </c>
    </row>
    <row r="982" spans="1:30" x14ac:dyDescent="0.35">
      <c r="A982" t="s">
        <v>1930</v>
      </c>
      <c r="B982" t="s">
        <v>96</v>
      </c>
      <c r="C982" t="s">
        <v>24</v>
      </c>
      <c r="D982" t="s">
        <v>25</v>
      </c>
      <c r="E982">
        <v>25</v>
      </c>
      <c r="F982" t="s">
        <v>31</v>
      </c>
      <c r="G982" t="s">
        <v>85</v>
      </c>
      <c r="H982" t="s">
        <v>1931</v>
      </c>
      <c r="I982">
        <v>8</v>
      </c>
      <c r="J982">
        <v>17</v>
      </c>
      <c r="K982">
        <v>340558</v>
      </c>
      <c r="L982">
        <v>2.6</v>
      </c>
      <c r="M982" t="s">
        <v>43</v>
      </c>
      <c r="N982">
        <v>76</v>
      </c>
      <c r="O982">
        <f t="shared" si="240"/>
        <v>20</v>
      </c>
      <c r="P982">
        <f t="shared" si="241"/>
        <v>8</v>
      </c>
      <c r="Q982">
        <f t="shared" si="242"/>
        <v>12</v>
      </c>
      <c r="R982">
        <f t="shared" si="243"/>
        <v>49.650349650349654</v>
      </c>
      <c r="S982" s="1">
        <f t="shared" si="244"/>
        <v>50.24975024975025</v>
      </c>
      <c r="T982" s="1">
        <f t="shared" si="245"/>
        <v>7</v>
      </c>
      <c r="U982" s="1">
        <f t="shared" si="246"/>
        <v>13</v>
      </c>
      <c r="V982" s="1">
        <f t="shared" si="247"/>
        <v>47.5</v>
      </c>
      <c r="W982" s="1">
        <f t="shared" si="248"/>
        <v>52.5</v>
      </c>
      <c r="X982" s="1">
        <f t="shared" si="249"/>
        <v>15.5</v>
      </c>
      <c r="Y982" s="1">
        <f t="shared" si="250"/>
        <v>2</v>
      </c>
      <c r="Z982" s="1">
        <f t="shared" si="251"/>
        <v>5</v>
      </c>
      <c r="AA982" s="1">
        <f t="shared" si="252"/>
        <v>3.75</v>
      </c>
      <c r="AB982" s="1">
        <f t="shared" si="253"/>
        <v>3.38</v>
      </c>
      <c r="AC982" s="1">
        <f t="shared" si="254"/>
        <v>0</v>
      </c>
      <c r="AD982" s="1">
        <f t="shared" si="255"/>
        <v>0.1392451540901874</v>
      </c>
    </row>
    <row r="983" spans="1:30" x14ac:dyDescent="0.35">
      <c r="A983" t="s">
        <v>1932</v>
      </c>
      <c r="B983" t="s">
        <v>96</v>
      </c>
      <c r="C983" t="s">
        <v>36</v>
      </c>
      <c r="D983" t="s">
        <v>17</v>
      </c>
      <c r="E983">
        <v>57</v>
      </c>
      <c r="F983" t="s">
        <v>31</v>
      </c>
      <c r="G983" t="s">
        <v>75</v>
      </c>
      <c r="H983" t="s">
        <v>1933</v>
      </c>
      <c r="I983">
        <v>0</v>
      </c>
      <c r="J983">
        <v>2</v>
      </c>
      <c r="K983">
        <v>281836</v>
      </c>
      <c r="L983">
        <v>2.8</v>
      </c>
      <c r="M983" t="s">
        <v>43</v>
      </c>
      <c r="N983">
        <v>97</v>
      </c>
      <c r="O983">
        <f t="shared" si="240"/>
        <v>19</v>
      </c>
      <c r="P983">
        <f t="shared" si="241"/>
        <v>8</v>
      </c>
      <c r="Q983">
        <f t="shared" si="242"/>
        <v>11</v>
      </c>
      <c r="R983">
        <f t="shared" si="243"/>
        <v>49.650349650349654</v>
      </c>
      <c r="S983" s="1">
        <f t="shared" si="244"/>
        <v>50.24975024975025</v>
      </c>
      <c r="T983" s="1">
        <f t="shared" si="245"/>
        <v>7</v>
      </c>
      <c r="U983" s="1">
        <f t="shared" si="246"/>
        <v>12</v>
      </c>
      <c r="V983" s="1">
        <f t="shared" si="247"/>
        <v>47.5</v>
      </c>
      <c r="W983" s="1">
        <f t="shared" si="248"/>
        <v>52.5</v>
      </c>
      <c r="X983" s="1">
        <f t="shared" si="249"/>
        <v>15.421052631578947</v>
      </c>
      <c r="Y983" s="1">
        <f t="shared" si="250"/>
        <v>2</v>
      </c>
      <c r="Z983" s="1">
        <f t="shared" si="251"/>
        <v>4</v>
      </c>
      <c r="AA983" s="1">
        <f t="shared" si="252"/>
        <v>3.75</v>
      </c>
      <c r="AB983" s="1">
        <f t="shared" si="253"/>
        <v>3.5750000000000002</v>
      </c>
      <c r="AC983" s="1">
        <f t="shared" si="254"/>
        <v>0</v>
      </c>
      <c r="AD983" s="1">
        <f t="shared" si="255"/>
        <v>0.14965196474887382</v>
      </c>
    </row>
    <row r="984" spans="1:30" x14ac:dyDescent="0.35">
      <c r="A984" t="s">
        <v>1934</v>
      </c>
      <c r="B984" t="s">
        <v>45</v>
      </c>
      <c r="C984" t="s">
        <v>82</v>
      </c>
      <c r="D984" t="s">
        <v>25</v>
      </c>
      <c r="E984">
        <v>41</v>
      </c>
      <c r="F984" t="s">
        <v>46</v>
      </c>
      <c r="G984" t="s">
        <v>85</v>
      </c>
      <c r="H984" t="s">
        <v>156</v>
      </c>
      <c r="I984">
        <v>20</v>
      </c>
      <c r="J984">
        <v>29</v>
      </c>
      <c r="K984">
        <v>431253</v>
      </c>
      <c r="L984">
        <v>2.9</v>
      </c>
      <c r="M984" t="s">
        <v>21</v>
      </c>
      <c r="N984">
        <v>37</v>
      </c>
      <c r="O984">
        <f t="shared" si="240"/>
        <v>18</v>
      </c>
      <c r="P984">
        <f t="shared" si="241"/>
        <v>7</v>
      </c>
      <c r="Q984">
        <f t="shared" si="242"/>
        <v>11</v>
      </c>
      <c r="R984">
        <f t="shared" si="243"/>
        <v>49.650349650349654</v>
      </c>
      <c r="S984" s="1">
        <f t="shared" si="244"/>
        <v>50.24975024975025</v>
      </c>
      <c r="T984" s="1">
        <f t="shared" si="245"/>
        <v>7</v>
      </c>
      <c r="U984" s="1">
        <f t="shared" si="246"/>
        <v>11</v>
      </c>
      <c r="V984" s="1">
        <f t="shared" si="247"/>
        <v>47.5</v>
      </c>
      <c r="W984" s="1">
        <f t="shared" si="248"/>
        <v>52.5</v>
      </c>
      <c r="X984" s="1">
        <f t="shared" si="249"/>
        <v>16.166666666666668</v>
      </c>
      <c r="Y984" s="1">
        <f t="shared" si="250"/>
        <v>2</v>
      </c>
      <c r="Z984" s="1">
        <f t="shared" si="251"/>
        <v>3</v>
      </c>
      <c r="AA984" s="1">
        <f t="shared" si="252"/>
        <v>3.75</v>
      </c>
      <c r="AB984" s="1">
        <f t="shared" si="253"/>
        <v>3.8333333333333335</v>
      </c>
      <c r="AC984" s="1">
        <f t="shared" si="254"/>
        <v>1</v>
      </c>
      <c r="AD984" s="1">
        <f t="shared" si="255"/>
        <v>8.1090096844114043E-2</v>
      </c>
    </row>
    <row r="985" spans="1:30" x14ac:dyDescent="0.35">
      <c r="A985" t="s">
        <v>1935</v>
      </c>
      <c r="B985" t="s">
        <v>40</v>
      </c>
      <c r="C985" t="s">
        <v>16</v>
      </c>
      <c r="D985" t="s">
        <v>25</v>
      </c>
      <c r="E985">
        <v>22</v>
      </c>
      <c r="F985" t="s">
        <v>79</v>
      </c>
      <c r="G985" t="s">
        <v>41</v>
      </c>
      <c r="H985" t="s">
        <v>1936</v>
      </c>
      <c r="I985">
        <v>10</v>
      </c>
      <c r="J985">
        <v>15</v>
      </c>
      <c r="K985">
        <v>387856</v>
      </c>
      <c r="L985">
        <v>3.7</v>
      </c>
      <c r="M985" t="s">
        <v>43</v>
      </c>
      <c r="N985">
        <v>89</v>
      </c>
      <c r="O985">
        <f t="shared" si="240"/>
        <v>17</v>
      </c>
      <c r="P985">
        <f t="shared" si="241"/>
        <v>7</v>
      </c>
      <c r="Q985">
        <f t="shared" si="242"/>
        <v>10</v>
      </c>
      <c r="R985">
        <f t="shared" si="243"/>
        <v>49.650349650349654</v>
      </c>
      <c r="S985" s="1">
        <f t="shared" si="244"/>
        <v>50.24975024975025</v>
      </c>
      <c r="T985" s="1">
        <f t="shared" si="245"/>
        <v>6</v>
      </c>
      <c r="U985" s="1">
        <f t="shared" si="246"/>
        <v>11</v>
      </c>
      <c r="V985" s="1">
        <f t="shared" si="247"/>
        <v>47.5</v>
      </c>
      <c r="W985" s="1">
        <f t="shared" si="248"/>
        <v>52.5</v>
      </c>
      <c r="X985" s="1">
        <f t="shared" si="249"/>
        <v>15.411764705882353</v>
      </c>
      <c r="Y985" s="1">
        <f t="shared" si="250"/>
        <v>2</v>
      </c>
      <c r="Z985" s="1">
        <f t="shared" si="251"/>
        <v>3</v>
      </c>
      <c r="AA985" s="1">
        <f t="shared" si="252"/>
        <v>3.75</v>
      </c>
      <c r="AB985" s="1">
        <f t="shared" si="253"/>
        <v>3.8333333333333335</v>
      </c>
      <c r="AC985" s="1">
        <f t="shared" si="254"/>
        <v>0</v>
      </c>
      <c r="AD985" s="1">
        <f t="shared" si="255"/>
        <v>-6.8764568764568754E-2</v>
      </c>
    </row>
    <row r="986" spans="1:30" x14ac:dyDescent="0.35">
      <c r="A986" t="s">
        <v>1937</v>
      </c>
      <c r="B986" t="s">
        <v>55</v>
      </c>
      <c r="C986" t="s">
        <v>36</v>
      </c>
      <c r="D986" t="s">
        <v>25</v>
      </c>
      <c r="E986">
        <v>45</v>
      </c>
      <c r="F986" t="s">
        <v>74</v>
      </c>
      <c r="G986" t="s">
        <v>32</v>
      </c>
      <c r="H986" t="s">
        <v>663</v>
      </c>
      <c r="I986">
        <v>18</v>
      </c>
      <c r="J986">
        <v>19</v>
      </c>
      <c r="K986">
        <v>395910</v>
      </c>
      <c r="L986">
        <v>3.4</v>
      </c>
      <c r="M986" t="s">
        <v>21</v>
      </c>
      <c r="N986">
        <v>43</v>
      </c>
      <c r="O986">
        <f t="shared" si="240"/>
        <v>16</v>
      </c>
      <c r="P986">
        <f t="shared" si="241"/>
        <v>7</v>
      </c>
      <c r="Q986">
        <f t="shared" si="242"/>
        <v>9</v>
      </c>
      <c r="R986">
        <f t="shared" si="243"/>
        <v>49.650349650349654</v>
      </c>
      <c r="S986" s="1">
        <f t="shared" si="244"/>
        <v>50.24975024975025</v>
      </c>
      <c r="T986" s="1">
        <f t="shared" si="245"/>
        <v>6</v>
      </c>
      <c r="U986" s="1">
        <f t="shared" si="246"/>
        <v>10</v>
      </c>
      <c r="V986" s="1">
        <f t="shared" si="247"/>
        <v>47.5</v>
      </c>
      <c r="W986" s="1">
        <f t="shared" si="248"/>
        <v>52.5</v>
      </c>
      <c r="X986" s="1">
        <f t="shared" si="249"/>
        <v>15.4375</v>
      </c>
      <c r="Y986" s="1">
        <f t="shared" si="250"/>
        <v>2</v>
      </c>
      <c r="Z986" s="1">
        <f t="shared" si="251"/>
        <v>3</v>
      </c>
      <c r="AA986" s="1">
        <f t="shared" si="252"/>
        <v>3.75</v>
      </c>
      <c r="AB986" s="1">
        <f t="shared" si="253"/>
        <v>3.8333333333333335</v>
      </c>
      <c r="AC986" s="1">
        <f t="shared" si="254"/>
        <v>1</v>
      </c>
      <c r="AD986" s="1">
        <f t="shared" si="255"/>
        <v>-7.3090536029249614E-2</v>
      </c>
    </row>
    <row r="987" spans="1:30" x14ac:dyDescent="0.35">
      <c r="A987" t="s">
        <v>1938</v>
      </c>
      <c r="B987" t="s">
        <v>111</v>
      </c>
      <c r="C987" t="s">
        <v>64</v>
      </c>
      <c r="D987" t="s">
        <v>17</v>
      </c>
      <c r="E987">
        <v>46</v>
      </c>
      <c r="F987" t="s">
        <v>70</v>
      </c>
      <c r="G987" t="s">
        <v>85</v>
      </c>
      <c r="H987" t="s">
        <v>1939</v>
      </c>
      <c r="I987">
        <v>12</v>
      </c>
      <c r="J987">
        <v>18</v>
      </c>
      <c r="K987">
        <v>350252</v>
      </c>
      <c r="L987">
        <v>4.9000000000000004</v>
      </c>
      <c r="M987" t="s">
        <v>43</v>
      </c>
      <c r="N987">
        <v>75</v>
      </c>
      <c r="O987">
        <f t="shared" si="240"/>
        <v>15</v>
      </c>
      <c r="P987">
        <f t="shared" si="241"/>
        <v>7</v>
      </c>
      <c r="Q987">
        <f t="shared" si="242"/>
        <v>8</v>
      </c>
      <c r="R987">
        <f t="shared" si="243"/>
        <v>49.650349650349654</v>
      </c>
      <c r="S987" s="1">
        <f t="shared" si="244"/>
        <v>50.24975024975025</v>
      </c>
      <c r="T987" s="1">
        <f t="shared" si="245"/>
        <v>5</v>
      </c>
      <c r="U987" s="1">
        <f t="shared" si="246"/>
        <v>10</v>
      </c>
      <c r="V987" s="1">
        <f t="shared" si="247"/>
        <v>47.5</v>
      </c>
      <c r="W987" s="1">
        <f t="shared" si="248"/>
        <v>52.5</v>
      </c>
      <c r="X987" s="1">
        <f t="shared" si="249"/>
        <v>15.2</v>
      </c>
      <c r="Y987" s="1">
        <f t="shared" si="250"/>
        <v>1</v>
      </c>
      <c r="Z987" s="1">
        <f t="shared" si="251"/>
        <v>3</v>
      </c>
      <c r="AA987" s="1">
        <f t="shared" si="252"/>
        <v>4.0999999999999996</v>
      </c>
      <c r="AB987" s="1">
        <f t="shared" si="253"/>
        <v>3.8333333333333335</v>
      </c>
      <c r="AC987" s="1">
        <f t="shared" si="254"/>
        <v>0</v>
      </c>
      <c r="AD987" s="1">
        <f t="shared" si="255"/>
        <v>-0.12966092382872929</v>
      </c>
    </row>
    <row r="988" spans="1:30" x14ac:dyDescent="0.35">
      <c r="A988" t="s">
        <v>1940</v>
      </c>
      <c r="B988" t="s">
        <v>45</v>
      </c>
      <c r="C988" t="s">
        <v>82</v>
      </c>
      <c r="D988" t="s">
        <v>25</v>
      </c>
      <c r="E988">
        <v>26</v>
      </c>
      <c r="F988" t="s">
        <v>79</v>
      </c>
      <c r="G988" t="s">
        <v>88</v>
      </c>
      <c r="H988" t="s">
        <v>1941</v>
      </c>
      <c r="I988">
        <v>11</v>
      </c>
      <c r="J988">
        <v>16</v>
      </c>
      <c r="K988">
        <v>56162</v>
      </c>
      <c r="L988">
        <v>3.2</v>
      </c>
      <c r="M988" t="s">
        <v>43</v>
      </c>
      <c r="N988">
        <v>73</v>
      </c>
      <c r="O988">
        <f t="shared" si="240"/>
        <v>14</v>
      </c>
      <c r="P988">
        <f t="shared" si="241"/>
        <v>6</v>
      </c>
      <c r="Q988">
        <f t="shared" si="242"/>
        <v>8</v>
      </c>
      <c r="R988">
        <f t="shared" si="243"/>
        <v>49.650349650349654</v>
      </c>
      <c r="S988" s="1">
        <f t="shared" si="244"/>
        <v>50.24975024975025</v>
      </c>
      <c r="T988" s="1">
        <f t="shared" si="245"/>
        <v>5</v>
      </c>
      <c r="U988" s="1">
        <f t="shared" si="246"/>
        <v>9</v>
      </c>
      <c r="V988" s="1">
        <f t="shared" si="247"/>
        <v>47.5</v>
      </c>
      <c r="W988" s="1">
        <f t="shared" si="248"/>
        <v>52.5</v>
      </c>
      <c r="X988" s="1">
        <f t="shared" si="249"/>
        <v>15</v>
      </c>
      <c r="Y988" s="1">
        <f t="shared" si="250"/>
        <v>1</v>
      </c>
      <c r="Z988" s="1">
        <f t="shared" si="251"/>
        <v>3</v>
      </c>
      <c r="AA988" s="1">
        <f t="shared" si="252"/>
        <v>4.0999999999999996</v>
      </c>
      <c r="AB988" s="1">
        <f t="shared" si="253"/>
        <v>3.8333333333333335</v>
      </c>
      <c r="AC988" s="1">
        <f t="shared" si="254"/>
        <v>0</v>
      </c>
      <c r="AD988" s="1">
        <f t="shared" si="255"/>
        <v>-0.11076004827113832</v>
      </c>
    </row>
    <row r="989" spans="1:30" x14ac:dyDescent="0.35">
      <c r="A989" t="s">
        <v>1942</v>
      </c>
      <c r="B989" t="s">
        <v>60</v>
      </c>
      <c r="C989" t="s">
        <v>16</v>
      </c>
      <c r="D989" t="s">
        <v>25</v>
      </c>
      <c r="E989">
        <v>27</v>
      </c>
      <c r="F989" t="s">
        <v>70</v>
      </c>
      <c r="G989" t="s">
        <v>26</v>
      </c>
      <c r="H989" t="s">
        <v>1943</v>
      </c>
      <c r="I989">
        <v>16</v>
      </c>
      <c r="J989">
        <v>21</v>
      </c>
      <c r="K989">
        <v>201057</v>
      </c>
      <c r="L989">
        <v>3.2</v>
      </c>
      <c r="M989" t="s">
        <v>43</v>
      </c>
      <c r="N989">
        <v>83</v>
      </c>
      <c r="O989">
        <f t="shared" si="240"/>
        <v>13</v>
      </c>
      <c r="P989">
        <f t="shared" si="241"/>
        <v>6</v>
      </c>
      <c r="Q989">
        <f t="shared" si="242"/>
        <v>7</v>
      </c>
      <c r="R989">
        <f t="shared" si="243"/>
        <v>49.650349650349654</v>
      </c>
      <c r="S989" s="1">
        <f t="shared" si="244"/>
        <v>50.24975024975025</v>
      </c>
      <c r="T989" s="1">
        <f t="shared" si="245"/>
        <v>5</v>
      </c>
      <c r="U989" s="1">
        <f t="shared" si="246"/>
        <v>8</v>
      </c>
      <c r="V989" s="1">
        <f t="shared" si="247"/>
        <v>47.5</v>
      </c>
      <c r="W989" s="1">
        <f t="shared" si="248"/>
        <v>52.5</v>
      </c>
      <c r="X989" s="1">
        <f t="shared" si="249"/>
        <v>14.923076923076923</v>
      </c>
      <c r="Y989" s="1">
        <f t="shared" si="250"/>
        <v>1</v>
      </c>
      <c r="Z989" s="1">
        <f t="shared" si="251"/>
        <v>3</v>
      </c>
      <c r="AA989" s="1">
        <f t="shared" si="252"/>
        <v>4.0999999999999996</v>
      </c>
      <c r="AB989" s="1">
        <f t="shared" si="253"/>
        <v>3.8333333333333335</v>
      </c>
      <c r="AC989" s="1">
        <f t="shared" si="254"/>
        <v>0</v>
      </c>
      <c r="AD989" s="1">
        <f t="shared" si="255"/>
        <v>-0.10458613484282328</v>
      </c>
    </row>
    <row r="990" spans="1:30" x14ac:dyDescent="0.35">
      <c r="A990" t="s">
        <v>1944</v>
      </c>
      <c r="B990" t="s">
        <v>96</v>
      </c>
      <c r="C990" t="s">
        <v>36</v>
      </c>
      <c r="D990" t="s">
        <v>17</v>
      </c>
      <c r="E990">
        <v>31</v>
      </c>
      <c r="F990" t="s">
        <v>46</v>
      </c>
      <c r="G990" t="s">
        <v>61</v>
      </c>
      <c r="H990" t="s">
        <v>1945</v>
      </c>
      <c r="I990">
        <v>12</v>
      </c>
      <c r="J990">
        <v>18</v>
      </c>
      <c r="K990">
        <v>463636</v>
      </c>
      <c r="L990">
        <v>3.4</v>
      </c>
      <c r="M990" t="s">
        <v>21</v>
      </c>
      <c r="N990">
        <v>57</v>
      </c>
      <c r="O990">
        <f t="shared" si="240"/>
        <v>12</v>
      </c>
      <c r="P990">
        <f t="shared" si="241"/>
        <v>6</v>
      </c>
      <c r="Q990">
        <f t="shared" si="242"/>
        <v>6</v>
      </c>
      <c r="R990">
        <f t="shared" si="243"/>
        <v>49.650349650349654</v>
      </c>
      <c r="S990" s="1">
        <f t="shared" si="244"/>
        <v>50.24975024975025</v>
      </c>
      <c r="T990" s="1">
        <f t="shared" si="245"/>
        <v>5</v>
      </c>
      <c r="U990" s="1">
        <f t="shared" si="246"/>
        <v>7</v>
      </c>
      <c r="V990" s="1">
        <f t="shared" si="247"/>
        <v>47.5</v>
      </c>
      <c r="W990" s="1">
        <f t="shared" si="248"/>
        <v>52.5</v>
      </c>
      <c r="X990" s="1">
        <f t="shared" si="249"/>
        <v>14.416666666666666</v>
      </c>
      <c r="Y990" s="1">
        <f t="shared" si="250"/>
        <v>1</v>
      </c>
      <c r="Z990" s="1">
        <f t="shared" si="251"/>
        <v>3</v>
      </c>
      <c r="AA990" s="1">
        <f t="shared" si="252"/>
        <v>4.0999999999999996</v>
      </c>
      <c r="AB990" s="1">
        <f t="shared" si="253"/>
        <v>3.8333333333333335</v>
      </c>
      <c r="AC990" s="1">
        <f t="shared" si="254"/>
        <v>1</v>
      </c>
      <c r="AD990" s="1">
        <f t="shared" si="255"/>
        <v>-5.0097786117533426E-2</v>
      </c>
    </row>
    <row r="991" spans="1:30" x14ac:dyDescent="0.35">
      <c r="A991" t="s">
        <v>1946</v>
      </c>
      <c r="B991" t="s">
        <v>96</v>
      </c>
      <c r="C991" t="s">
        <v>93</v>
      </c>
      <c r="D991" t="s">
        <v>17</v>
      </c>
      <c r="E991">
        <v>30</v>
      </c>
      <c r="F991" t="s">
        <v>31</v>
      </c>
      <c r="G991" t="s">
        <v>85</v>
      </c>
      <c r="H991" t="s">
        <v>1947</v>
      </c>
      <c r="I991">
        <v>3</v>
      </c>
      <c r="J991">
        <v>4</v>
      </c>
      <c r="K991">
        <v>491108</v>
      </c>
      <c r="L991">
        <v>2.8</v>
      </c>
      <c r="M991" t="s">
        <v>21</v>
      </c>
      <c r="N991">
        <v>66</v>
      </c>
      <c r="O991">
        <f t="shared" si="240"/>
        <v>11</v>
      </c>
      <c r="P991">
        <f t="shared" si="241"/>
        <v>5</v>
      </c>
      <c r="Q991">
        <f t="shared" si="242"/>
        <v>6</v>
      </c>
      <c r="R991">
        <f t="shared" si="243"/>
        <v>49.650349650349654</v>
      </c>
      <c r="S991" s="1">
        <f t="shared" si="244"/>
        <v>50.24975024975025</v>
      </c>
      <c r="T991" s="1">
        <f t="shared" si="245"/>
        <v>4</v>
      </c>
      <c r="U991" s="1">
        <f t="shared" si="246"/>
        <v>7</v>
      </c>
      <c r="V991" s="1">
        <f t="shared" si="247"/>
        <v>47.5</v>
      </c>
      <c r="W991" s="1">
        <f t="shared" si="248"/>
        <v>52.5</v>
      </c>
      <c r="X991" s="1">
        <f t="shared" si="249"/>
        <v>14.090909090909092</v>
      </c>
      <c r="Y991" s="1">
        <f t="shared" si="250"/>
        <v>1</v>
      </c>
      <c r="Z991" s="1">
        <f t="shared" si="251"/>
        <v>3</v>
      </c>
      <c r="AA991" s="1">
        <f t="shared" si="252"/>
        <v>4.0999999999999996</v>
      </c>
      <c r="AB991" s="1">
        <f t="shared" si="253"/>
        <v>3.8333333333333335</v>
      </c>
      <c r="AC991" s="1">
        <f t="shared" si="254"/>
        <v>1</v>
      </c>
      <c r="AD991" s="1">
        <f t="shared" si="255"/>
        <v>-0.11367388273134227</v>
      </c>
    </row>
    <row r="992" spans="1:30" x14ac:dyDescent="0.35">
      <c r="A992" t="s">
        <v>1948</v>
      </c>
      <c r="B992" t="s">
        <v>69</v>
      </c>
      <c r="C992" t="s">
        <v>52</v>
      </c>
      <c r="D992" t="s">
        <v>17</v>
      </c>
      <c r="E992">
        <v>41</v>
      </c>
      <c r="F992" t="s">
        <v>31</v>
      </c>
      <c r="G992" t="s">
        <v>32</v>
      </c>
      <c r="H992" t="s">
        <v>1949</v>
      </c>
      <c r="I992">
        <v>4</v>
      </c>
      <c r="J992">
        <v>5</v>
      </c>
      <c r="K992">
        <v>327873</v>
      </c>
      <c r="L992">
        <v>4.7</v>
      </c>
      <c r="M992" t="s">
        <v>43</v>
      </c>
      <c r="N992">
        <v>100</v>
      </c>
      <c r="O992">
        <f t="shared" si="240"/>
        <v>10</v>
      </c>
      <c r="P992">
        <f t="shared" si="241"/>
        <v>4</v>
      </c>
      <c r="Q992">
        <f t="shared" si="242"/>
        <v>6</v>
      </c>
      <c r="R992">
        <f t="shared" si="243"/>
        <v>49.650349650349654</v>
      </c>
      <c r="S992" s="1">
        <f t="shared" si="244"/>
        <v>50.24975024975025</v>
      </c>
      <c r="T992" s="1">
        <f t="shared" si="245"/>
        <v>3</v>
      </c>
      <c r="U992" s="1">
        <f t="shared" si="246"/>
        <v>7</v>
      </c>
      <c r="V992" s="1">
        <f t="shared" si="247"/>
        <v>47.5</v>
      </c>
      <c r="W992" s="1">
        <f t="shared" si="248"/>
        <v>52.5</v>
      </c>
      <c r="X992" s="1">
        <f t="shared" si="249"/>
        <v>15.1</v>
      </c>
      <c r="Y992" s="1">
        <f t="shared" si="250"/>
        <v>1</v>
      </c>
      <c r="Z992" s="1">
        <f t="shared" si="251"/>
        <v>2</v>
      </c>
      <c r="AA992" s="1">
        <f t="shared" si="252"/>
        <v>4.0999999999999996</v>
      </c>
      <c r="AB992" s="1">
        <f t="shared" si="253"/>
        <v>4.3499999999999996</v>
      </c>
      <c r="AC992" s="1">
        <f t="shared" si="254"/>
        <v>0</v>
      </c>
      <c r="AD992" s="1">
        <f t="shared" si="255"/>
        <v>8.6226782273337077E-2</v>
      </c>
    </row>
    <row r="993" spans="1:30" x14ac:dyDescent="0.35">
      <c r="A993" t="s">
        <v>1950</v>
      </c>
      <c r="B993" t="s">
        <v>35</v>
      </c>
      <c r="C993" t="s">
        <v>16</v>
      </c>
      <c r="D993" t="s">
        <v>25</v>
      </c>
      <c r="E993">
        <v>56</v>
      </c>
      <c r="F993" t="s">
        <v>79</v>
      </c>
      <c r="G993" t="s">
        <v>19</v>
      </c>
      <c r="H993" t="s">
        <v>1951</v>
      </c>
      <c r="I993">
        <v>12</v>
      </c>
      <c r="J993">
        <v>13</v>
      </c>
      <c r="K993">
        <v>227920</v>
      </c>
      <c r="L993">
        <v>4.0999999999999996</v>
      </c>
      <c r="M993" t="s">
        <v>21</v>
      </c>
      <c r="N993">
        <v>57</v>
      </c>
      <c r="O993">
        <f t="shared" si="240"/>
        <v>9</v>
      </c>
      <c r="P993">
        <f t="shared" si="241"/>
        <v>3</v>
      </c>
      <c r="Q993">
        <f t="shared" si="242"/>
        <v>6</v>
      </c>
      <c r="R993">
        <f t="shared" si="243"/>
        <v>49.650349650349654</v>
      </c>
      <c r="S993" s="1">
        <f t="shared" si="244"/>
        <v>50.24975024975025</v>
      </c>
      <c r="T993" s="1">
        <f t="shared" si="245"/>
        <v>3</v>
      </c>
      <c r="U993" s="1">
        <f t="shared" si="246"/>
        <v>6</v>
      </c>
      <c r="V993" s="1">
        <f t="shared" si="247"/>
        <v>47.5</v>
      </c>
      <c r="W993" s="1">
        <f t="shared" si="248"/>
        <v>52.5</v>
      </c>
      <c r="X993" s="1">
        <f t="shared" si="249"/>
        <v>16.222222222222221</v>
      </c>
      <c r="Y993" s="1">
        <f t="shared" si="250"/>
        <v>1</v>
      </c>
      <c r="Z993" s="1">
        <f t="shared" si="251"/>
        <v>1</v>
      </c>
      <c r="AA993" s="1">
        <f t="shared" si="252"/>
        <v>4.0999999999999996</v>
      </c>
      <c r="AB993" s="1">
        <f t="shared" si="253"/>
        <v>4</v>
      </c>
      <c r="AC993" s="1">
        <f t="shared" si="254"/>
        <v>1</v>
      </c>
      <c r="AD993" s="1">
        <f t="shared" si="255"/>
        <v>-2.5070610528194998E-2</v>
      </c>
    </row>
    <row r="994" spans="1:30" x14ac:dyDescent="0.35">
      <c r="A994" t="s">
        <v>1952</v>
      </c>
      <c r="B994" t="s">
        <v>55</v>
      </c>
      <c r="C994" t="s">
        <v>56</v>
      </c>
      <c r="D994" t="s">
        <v>17</v>
      </c>
      <c r="E994">
        <v>23</v>
      </c>
      <c r="F994" t="s">
        <v>70</v>
      </c>
      <c r="G994" t="s">
        <v>85</v>
      </c>
      <c r="H994" t="s">
        <v>1953</v>
      </c>
      <c r="I994">
        <v>3</v>
      </c>
      <c r="J994">
        <v>6</v>
      </c>
      <c r="K994">
        <v>139791</v>
      </c>
      <c r="L994">
        <v>2.8</v>
      </c>
      <c r="M994" t="s">
        <v>43</v>
      </c>
      <c r="N994">
        <v>90</v>
      </c>
      <c r="O994">
        <f t="shared" si="240"/>
        <v>8</v>
      </c>
      <c r="P994">
        <f t="shared" si="241"/>
        <v>3</v>
      </c>
      <c r="Q994">
        <f t="shared" si="242"/>
        <v>5</v>
      </c>
      <c r="R994">
        <f t="shared" si="243"/>
        <v>49.650349650349654</v>
      </c>
      <c r="S994" s="1">
        <f t="shared" si="244"/>
        <v>50.24975024975025</v>
      </c>
      <c r="T994" s="1">
        <f t="shared" si="245"/>
        <v>2</v>
      </c>
      <c r="U994" s="1">
        <f t="shared" si="246"/>
        <v>6</v>
      </c>
      <c r="V994" s="1">
        <f t="shared" si="247"/>
        <v>47.5</v>
      </c>
      <c r="W994" s="1">
        <f t="shared" si="248"/>
        <v>52.5</v>
      </c>
      <c r="X994" s="1">
        <f t="shared" si="249"/>
        <v>16.625</v>
      </c>
      <c r="Y994" s="1">
        <f t="shared" si="250"/>
        <v>1</v>
      </c>
      <c r="Z994" s="1">
        <f t="shared" si="251"/>
        <v>1</v>
      </c>
      <c r="AA994" s="1">
        <f t="shared" si="252"/>
        <v>4.0999999999999996</v>
      </c>
      <c r="AB994" s="1">
        <f t="shared" si="253"/>
        <v>4</v>
      </c>
      <c r="AC994" s="1">
        <f t="shared" si="254"/>
        <v>0</v>
      </c>
      <c r="AD994" s="1">
        <f t="shared" si="255"/>
        <v>7.7278511321096727E-2</v>
      </c>
    </row>
    <row r="995" spans="1:30" x14ac:dyDescent="0.35">
      <c r="A995" t="s">
        <v>1954</v>
      </c>
      <c r="B995" t="s">
        <v>111</v>
      </c>
      <c r="C995" t="s">
        <v>24</v>
      </c>
      <c r="D995" t="s">
        <v>25</v>
      </c>
      <c r="E995">
        <v>50</v>
      </c>
      <c r="F995" t="s">
        <v>37</v>
      </c>
      <c r="G995" t="s">
        <v>85</v>
      </c>
      <c r="H995" t="s">
        <v>1955</v>
      </c>
      <c r="I995">
        <v>16</v>
      </c>
      <c r="J995">
        <v>22</v>
      </c>
      <c r="K995">
        <v>167137</v>
      </c>
      <c r="L995">
        <v>2.6</v>
      </c>
      <c r="M995" t="s">
        <v>43</v>
      </c>
      <c r="N995">
        <v>84</v>
      </c>
      <c r="O995">
        <f t="shared" si="240"/>
        <v>7</v>
      </c>
      <c r="P995">
        <f t="shared" si="241"/>
        <v>2</v>
      </c>
      <c r="Q995">
        <f t="shared" si="242"/>
        <v>5</v>
      </c>
      <c r="R995">
        <f t="shared" si="243"/>
        <v>49.650349650349654</v>
      </c>
      <c r="S995" s="1">
        <f t="shared" si="244"/>
        <v>50.24975024975025</v>
      </c>
      <c r="T995" s="1">
        <f t="shared" si="245"/>
        <v>2</v>
      </c>
      <c r="U995" s="1">
        <f t="shared" si="246"/>
        <v>5</v>
      </c>
      <c r="V995" s="1">
        <f t="shared" si="247"/>
        <v>47.5</v>
      </c>
      <c r="W995" s="1">
        <f t="shared" si="248"/>
        <v>52.5</v>
      </c>
      <c r="X995" s="1">
        <f t="shared" si="249"/>
        <v>18.142857142857142</v>
      </c>
      <c r="Y995" s="1">
        <f t="shared" si="250"/>
        <v>1</v>
      </c>
      <c r="Z995" s="1">
        <f t="shared" si="251"/>
        <v>1</v>
      </c>
      <c r="AA995" s="1">
        <f t="shared" si="252"/>
        <v>4.0999999999999996</v>
      </c>
      <c r="AB995" s="1">
        <f t="shared" si="253"/>
        <v>4</v>
      </c>
      <c r="AC995" s="1">
        <f t="shared" si="254"/>
        <v>0</v>
      </c>
      <c r="AD995" s="1">
        <f t="shared" si="255"/>
        <v>-7.3730872846713563E-2</v>
      </c>
    </row>
    <row r="996" spans="1:30" x14ac:dyDescent="0.35">
      <c r="A996" t="s">
        <v>1956</v>
      </c>
      <c r="B996" t="s">
        <v>55</v>
      </c>
      <c r="C996" t="s">
        <v>36</v>
      </c>
      <c r="D996" t="s">
        <v>17</v>
      </c>
      <c r="E996">
        <v>49</v>
      </c>
      <c r="F996" t="s">
        <v>74</v>
      </c>
      <c r="G996" t="s">
        <v>57</v>
      </c>
      <c r="H996" t="s">
        <v>1957</v>
      </c>
      <c r="I996">
        <v>11</v>
      </c>
      <c r="J996">
        <v>13</v>
      </c>
      <c r="K996">
        <v>192749</v>
      </c>
      <c r="L996">
        <v>4.0999999999999996</v>
      </c>
      <c r="M996" t="s">
        <v>21</v>
      </c>
      <c r="N996">
        <v>67</v>
      </c>
      <c r="O996">
        <f t="shared" si="240"/>
        <v>6</v>
      </c>
      <c r="P996">
        <f t="shared" si="241"/>
        <v>2</v>
      </c>
      <c r="Q996">
        <f t="shared" si="242"/>
        <v>4</v>
      </c>
      <c r="R996">
        <f t="shared" si="243"/>
        <v>49.650349650349654</v>
      </c>
      <c r="S996" s="1">
        <f t="shared" si="244"/>
        <v>50.24975024975025</v>
      </c>
      <c r="T996" s="1">
        <f t="shared" si="245"/>
        <v>2</v>
      </c>
      <c r="U996" s="1">
        <f t="shared" si="246"/>
        <v>4</v>
      </c>
      <c r="V996" s="1">
        <f t="shared" si="247"/>
        <v>47.5</v>
      </c>
      <c r="W996" s="1">
        <f t="shared" si="248"/>
        <v>52.5</v>
      </c>
      <c r="X996" s="1">
        <f t="shared" si="249"/>
        <v>17.5</v>
      </c>
      <c r="Y996" s="1">
        <f t="shared" si="250"/>
        <v>1</v>
      </c>
      <c r="Z996" s="1">
        <f t="shared" si="251"/>
        <v>1</v>
      </c>
      <c r="AA996" s="1">
        <f t="shared" si="252"/>
        <v>4.0999999999999996</v>
      </c>
      <c r="AB996" s="1">
        <f t="shared" si="253"/>
        <v>4</v>
      </c>
      <c r="AC996" s="1">
        <f t="shared" si="254"/>
        <v>1</v>
      </c>
      <c r="AD996" s="1">
        <f t="shared" si="255"/>
        <v>1.3753001054916956E-17</v>
      </c>
    </row>
    <row r="997" spans="1:30" x14ac:dyDescent="0.35">
      <c r="A997" t="s">
        <v>1958</v>
      </c>
      <c r="B997" t="s">
        <v>69</v>
      </c>
      <c r="C997" t="s">
        <v>56</v>
      </c>
      <c r="D997" t="s">
        <v>25</v>
      </c>
      <c r="E997">
        <v>40</v>
      </c>
      <c r="F997" t="s">
        <v>70</v>
      </c>
      <c r="G997" t="s">
        <v>26</v>
      </c>
      <c r="H997" t="s">
        <v>1959</v>
      </c>
      <c r="I997">
        <v>20</v>
      </c>
      <c r="J997">
        <v>28</v>
      </c>
      <c r="K997">
        <v>358204</v>
      </c>
      <c r="L997">
        <v>2</v>
      </c>
      <c r="M997" t="s">
        <v>43</v>
      </c>
      <c r="N997">
        <v>84</v>
      </c>
      <c r="O997">
        <f t="shared" si="240"/>
        <v>5</v>
      </c>
      <c r="P997">
        <f t="shared" si="241"/>
        <v>1</v>
      </c>
      <c r="Q997">
        <f t="shared" si="242"/>
        <v>4</v>
      </c>
      <c r="R997">
        <f t="shared" si="243"/>
        <v>49.650349650349654</v>
      </c>
      <c r="S997" s="1">
        <f t="shared" si="244"/>
        <v>50.24975024975025</v>
      </c>
      <c r="T997" s="1">
        <f t="shared" si="245"/>
        <v>1</v>
      </c>
      <c r="U997" s="1">
        <f t="shared" si="246"/>
        <v>4</v>
      </c>
      <c r="V997" s="1">
        <f t="shared" si="247"/>
        <v>47.5</v>
      </c>
      <c r="W997" s="1">
        <f t="shared" si="248"/>
        <v>52.5</v>
      </c>
      <c r="X997" s="1">
        <f t="shared" si="249"/>
        <v>18.399999999999999</v>
      </c>
      <c r="Y997" s="1">
        <f t="shared" si="250"/>
        <v>0</v>
      </c>
      <c r="Z997" s="1">
        <f t="shared" si="251"/>
        <v>1</v>
      </c>
      <c r="AA997" s="1" t="e">
        <f t="shared" si="252"/>
        <v>#DIV/0!</v>
      </c>
      <c r="AB997" s="1">
        <f t="shared" si="253"/>
        <v>4</v>
      </c>
      <c r="AC997" s="1">
        <f t="shared" si="254"/>
        <v>0</v>
      </c>
      <c r="AD997" s="1">
        <f t="shared" si="255"/>
        <v>0.30761366716109839</v>
      </c>
    </row>
    <row r="998" spans="1:30" x14ac:dyDescent="0.35">
      <c r="A998" t="s">
        <v>1960</v>
      </c>
      <c r="B998" t="s">
        <v>29</v>
      </c>
      <c r="C998" t="s">
        <v>56</v>
      </c>
      <c r="D998" t="s">
        <v>25</v>
      </c>
      <c r="E998">
        <v>54</v>
      </c>
      <c r="F998" t="s">
        <v>46</v>
      </c>
      <c r="G998" t="s">
        <v>41</v>
      </c>
      <c r="H998" t="s">
        <v>1961</v>
      </c>
      <c r="I998">
        <v>13</v>
      </c>
      <c r="J998">
        <v>16</v>
      </c>
      <c r="K998">
        <v>415363</v>
      </c>
      <c r="L998">
        <v>3.1</v>
      </c>
      <c r="M998" t="s">
        <v>43</v>
      </c>
      <c r="N998">
        <v>92</v>
      </c>
      <c r="O998">
        <f t="shared" si="240"/>
        <v>4</v>
      </c>
      <c r="P998">
        <f t="shared" si="241"/>
        <v>1</v>
      </c>
      <c r="Q998">
        <f t="shared" si="242"/>
        <v>3</v>
      </c>
      <c r="R998">
        <f t="shared" si="243"/>
        <v>49.650349650349654</v>
      </c>
      <c r="S998" s="1">
        <f t="shared" si="244"/>
        <v>50.24975024975025</v>
      </c>
      <c r="T998" s="1">
        <f t="shared" si="245"/>
        <v>1</v>
      </c>
      <c r="U998" s="1">
        <f t="shared" si="246"/>
        <v>3</v>
      </c>
      <c r="V998" s="1">
        <f t="shared" si="247"/>
        <v>47.5</v>
      </c>
      <c r="W998" s="1">
        <f t="shared" si="248"/>
        <v>52.5</v>
      </c>
      <c r="X998" s="1">
        <f t="shared" si="249"/>
        <v>16</v>
      </c>
      <c r="Y998" s="1">
        <f t="shared" si="250"/>
        <v>0</v>
      </c>
      <c r="Z998" s="1">
        <f t="shared" si="251"/>
        <v>1</v>
      </c>
      <c r="AA998" s="1" t="e">
        <f t="shared" si="252"/>
        <v>#DIV/0!</v>
      </c>
      <c r="AB998" s="1">
        <f t="shared" si="253"/>
        <v>4</v>
      </c>
      <c r="AC998" s="1">
        <f t="shared" si="254"/>
        <v>0</v>
      </c>
      <c r="AD998" s="1">
        <f t="shared" si="255"/>
        <v>0.92582009977255153</v>
      </c>
    </row>
    <row r="999" spans="1:30" x14ac:dyDescent="0.35">
      <c r="A999" t="s">
        <v>1962</v>
      </c>
      <c r="B999" t="s">
        <v>45</v>
      </c>
      <c r="C999" t="s">
        <v>64</v>
      </c>
      <c r="D999" t="s">
        <v>25</v>
      </c>
      <c r="E999">
        <v>59</v>
      </c>
      <c r="F999" t="s">
        <v>31</v>
      </c>
      <c r="G999" t="s">
        <v>88</v>
      </c>
      <c r="H999" t="s">
        <v>1963</v>
      </c>
      <c r="I999">
        <v>15</v>
      </c>
      <c r="J999">
        <v>22</v>
      </c>
      <c r="K999">
        <v>284802</v>
      </c>
      <c r="L999">
        <v>4</v>
      </c>
      <c r="M999" t="s">
        <v>21</v>
      </c>
      <c r="N999">
        <v>43</v>
      </c>
      <c r="O999">
        <f t="shared" si="240"/>
        <v>3</v>
      </c>
      <c r="P999">
        <f t="shared" si="241"/>
        <v>1</v>
      </c>
      <c r="Q999">
        <f t="shared" si="242"/>
        <v>2</v>
      </c>
      <c r="R999">
        <f t="shared" si="243"/>
        <v>49.650349650349654</v>
      </c>
      <c r="S999" s="1">
        <f t="shared" si="244"/>
        <v>50.24975024975025</v>
      </c>
      <c r="T999" s="1">
        <f t="shared" si="245"/>
        <v>1</v>
      </c>
      <c r="U999" s="1">
        <f t="shared" si="246"/>
        <v>2</v>
      </c>
      <c r="V999" s="1">
        <f t="shared" si="247"/>
        <v>47.5</v>
      </c>
      <c r="W999" s="1">
        <f t="shared" si="248"/>
        <v>52.5</v>
      </c>
      <c r="X999" s="1">
        <f t="shared" si="249"/>
        <v>16</v>
      </c>
      <c r="Y999" s="1">
        <f t="shared" si="250"/>
        <v>0</v>
      </c>
      <c r="Z999" s="1">
        <f t="shared" si="251"/>
        <v>1</v>
      </c>
      <c r="AA999" s="1" t="e">
        <f t="shared" si="252"/>
        <v>#DIV/0!</v>
      </c>
      <c r="AB999" s="1">
        <f t="shared" si="253"/>
        <v>4</v>
      </c>
      <c r="AC999" s="1">
        <f t="shared" si="254"/>
        <v>1</v>
      </c>
      <c r="AD999" s="1">
        <f t="shared" si="255"/>
        <v>0.98198050606196563</v>
      </c>
    </row>
    <row r="1000" spans="1:30" x14ac:dyDescent="0.35">
      <c r="A1000" t="s">
        <v>1964</v>
      </c>
      <c r="B1000" t="s">
        <v>111</v>
      </c>
      <c r="C1000" t="s">
        <v>36</v>
      </c>
      <c r="D1000" t="s">
        <v>25</v>
      </c>
      <c r="E1000">
        <v>27</v>
      </c>
      <c r="F1000" t="s">
        <v>70</v>
      </c>
      <c r="G1000" t="s">
        <v>61</v>
      </c>
      <c r="H1000" t="s">
        <v>1965</v>
      </c>
      <c r="I1000">
        <v>7</v>
      </c>
      <c r="J1000">
        <v>14</v>
      </c>
      <c r="K1000">
        <v>410191</v>
      </c>
      <c r="L1000">
        <v>2.8</v>
      </c>
      <c r="M1000" t="s">
        <v>43</v>
      </c>
      <c r="N1000">
        <v>81</v>
      </c>
      <c r="O1000">
        <f t="shared" si="240"/>
        <v>2</v>
      </c>
      <c r="P1000">
        <f t="shared" si="241"/>
        <v>1</v>
      </c>
      <c r="Q1000">
        <f t="shared" si="242"/>
        <v>1</v>
      </c>
      <c r="R1000">
        <f t="shared" si="243"/>
        <v>49.650349650349654</v>
      </c>
      <c r="S1000" s="1">
        <f t="shared" si="244"/>
        <v>50.24975024975025</v>
      </c>
      <c r="T1000" s="1">
        <f t="shared" si="245"/>
        <v>0</v>
      </c>
      <c r="U1000" s="1">
        <f t="shared" si="246"/>
        <v>2</v>
      </c>
      <c r="V1000" s="1">
        <f t="shared" si="247"/>
        <v>47.5</v>
      </c>
      <c r="W1000" s="1">
        <f t="shared" si="248"/>
        <v>52.5</v>
      </c>
      <c r="X1000" s="1">
        <f t="shared" si="249"/>
        <v>13</v>
      </c>
      <c r="Y1000" s="1">
        <f t="shared" si="250"/>
        <v>0</v>
      </c>
      <c r="Z1000" s="1">
        <f t="shared" si="251"/>
        <v>0</v>
      </c>
      <c r="AA1000" s="1" t="e">
        <f t="shared" si="252"/>
        <v>#DIV/0!</v>
      </c>
      <c r="AB1000" s="1" t="e">
        <f t="shared" si="253"/>
        <v>#DIV/0!</v>
      </c>
      <c r="AC1000" s="1">
        <f t="shared" si="254"/>
        <v>0</v>
      </c>
      <c r="AD1000" s="1" t="e">
        <f t="shared" si="255"/>
        <v>#DIV/0!</v>
      </c>
    </row>
    <row r="1001" spans="1:30" x14ac:dyDescent="0.35">
      <c r="A1001" t="s">
        <v>1966</v>
      </c>
      <c r="B1001" t="s">
        <v>55</v>
      </c>
      <c r="C1001" t="s">
        <v>16</v>
      </c>
      <c r="D1001" t="s">
        <v>17</v>
      </c>
      <c r="E1001">
        <v>36</v>
      </c>
      <c r="F1001" t="s">
        <v>70</v>
      </c>
      <c r="G1001" t="s">
        <v>61</v>
      </c>
      <c r="H1001" t="s">
        <v>1546</v>
      </c>
      <c r="I1001">
        <v>8</v>
      </c>
      <c r="J1001">
        <v>12</v>
      </c>
      <c r="K1001">
        <v>436148</v>
      </c>
      <c r="L1001">
        <v>4.7</v>
      </c>
      <c r="M1001" t="s">
        <v>43</v>
      </c>
      <c r="N1001">
        <v>75</v>
      </c>
      <c r="O1001">
        <f t="shared" si="240"/>
        <v>1</v>
      </c>
      <c r="P1001">
        <f t="shared" si="241"/>
        <v>1</v>
      </c>
      <c r="Q1001">
        <f t="shared" si="242"/>
        <v>0</v>
      </c>
      <c r="R1001">
        <f t="shared" si="243"/>
        <v>49.650349650349654</v>
      </c>
      <c r="S1001" s="1">
        <f t="shared" si="244"/>
        <v>50.24975024975025</v>
      </c>
      <c r="T1001" s="1">
        <f t="shared" si="245"/>
        <v>0</v>
      </c>
      <c r="U1001" s="1">
        <f t="shared" si="246"/>
        <v>1</v>
      </c>
      <c r="V1001" s="1">
        <f t="shared" si="247"/>
        <v>47.5</v>
      </c>
      <c r="W1001" s="1">
        <f t="shared" si="248"/>
        <v>52.5</v>
      </c>
      <c r="X1001" s="1">
        <f t="shared" si="249"/>
        <v>12</v>
      </c>
      <c r="Y1001" s="1">
        <f t="shared" si="250"/>
        <v>0</v>
      </c>
      <c r="Z1001" s="1">
        <f t="shared" si="251"/>
        <v>0</v>
      </c>
      <c r="AA1001" s="1" t="e">
        <f t="shared" si="252"/>
        <v>#DIV/0!</v>
      </c>
      <c r="AB1001" s="1" t="e">
        <f t="shared" si="253"/>
        <v>#DIV/0!</v>
      </c>
      <c r="AC1001" s="1">
        <f t="shared" si="254"/>
        <v>0</v>
      </c>
      <c r="AD1001" s="1" t="e">
        <f t="shared" si="255"/>
        <v>#DIV/0!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Employee_Retention_Data</vt:lpstr>
      <vt:lpstr>Sheet1</vt:lpstr>
      <vt:lpstr>Employee_Retention_Data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2026-06-09T12:06:38Z</dcterms:created>
  <dcterms:modified xsi:type="dcterms:W3CDTF">2026-06-10T14:20:45Z</dcterms:modified>
</cp:coreProperties>
</file>